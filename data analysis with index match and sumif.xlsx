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bcc05475d4aa1723/Desktop/"/>
    </mc:Choice>
  </mc:AlternateContent>
  <xr:revisionPtr revIDLastSave="0" documentId="8_{5831C663-8677-481E-903B-0A080971DAC3}" xr6:coauthVersionLast="47" xr6:coauthVersionMax="47" xr10:uidLastSave="{00000000-0000-0000-0000-000000000000}"/>
  <bookViews>
    <workbookView xWindow="-108" yWindow="-108" windowWidth="23256" windowHeight="12456" firstSheet="1" activeTab="4" xr2:uid="{B707F7A4-7A83-4AAC-9BDF-077DEB37E244}"/>
  </bookViews>
  <sheets>
    <sheet name="orders_desnormalizado_prueba" sheetId="2" r:id="rId1"/>
    <sheet name="data analysis " sheetId="4" r:id="rId2"/>
    <sheet name="sumif " sheetId="3" r:id="rId3"/>
    <sheet name="index match " sheetId="1" r:id="rId4"/>
    <sheet name="dashbaord creation " sheetId="5" r:id="rId5"/>
  </sheets>
  <definedNames>
    <definedName name="ExternalData_1" localSheetId="3" hidden="1">'index match '!$A$1:$W$1314</definedName>
    <definedName name="ExternalData_1" localSheetId="0" hidden="1">orders_desnormalizado_prueba!$A$1:$W$1314</definedName>
    <definedName name="ExternalData_1" localSheetId="2" hidden="1">'sumif '!$A$1:$W$1314</definedName>
    <definedName name="Slicer_order_date">#N/A</definedName>
    <definedName name="Slicer_sale_price">#N/A</definedName>
    <definedName name="Slicer_status">#N/A</definedName>
    <definedName name="Slicer_total_price">#N/A</definedName>
  </definedNames>
  <calcPr calcId="191029"/>
  <pivotCaches>
    <pivotCache cacheId="27"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 i="3" l="1"/>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1002" i="3"/>
  <c r="Y1003" i="3"/>
  <c r="Y1004" i="3"/>
  <c r="Y1005" i="3"/>
  <c r="Y1006" i="3"/>
  <c r="Y1007" i="3"/>
  <c r="Y1008" i="3"/>
  <c r="Y1009" i="3"/>
  <c r="Y1010" i="3"/>
  <c r="Y1011" i="3"/>
  <c r="Y1012" i="3"/>
  <c r="Y1013" i="3"/>
  <c r="Y1014" i="3"/>
  <c r="Y1015" i="3"/>
  <c r="Y1016" i="3"/>
  <c r="Y1017" i="3"/>
  <c r="Y1018" i="3"/>
  <c r="Y1019" i="3"/>
  <c r="Y1020" i="3"/>
  <c r="Y1021" i="3"/>
  <c r="Y1022" i="3"/>
  <c r="Y1023" i="3"/>
  <c r="Y1024" i="3"/>
  <c r="Y1025" i="3"/>
  <c r="Y1026" i="3"/>
  <c r="Y1027" i="3"/>
  <c r="Y1028" i="3"/>
  <c r="Y1029" i="3"/>
  <c r="Y1030" i="3"/>
  <c r="Y1031" i="3"/>
  <c r="Y1032" i="3"/>
  <c r="Y1033" i="3"/>
  <c r="Y1034" i="3"/>
  <c r="Y1035" i="3"/>
  <c r="Y1036" i="3"/>
  <c r="Y1037" i="3"/>
  <c r="Y1038" i="3"/>
  <c r="Y1039" i="3"/>
  <c r="Y1040" i="3"/>
  <c r="Y1041" i="3"/>
  <c r="Y1042" i="3"/>
  <c r="Y1043" i="3"/>
  <c r="Y1044" i="3"/>
  <c r="Y1045" i="3"/>
  <c r="Y1046" i="3"/>
  <c r="Y1047" i="3"/>
  <c r="Y1048" i="3"/>
  <c r="Y1049" i="3"/>
  <c r="Y1050" i="3"/>
  <c r="Y1051" i="3"/>
  <c r="Y1052" i="3"/>
  <c r="Y1053" i="3"/>
  <c r="Y1054" i="3"/>
  <c r="Y1055" i="3"/>
  <c r="Y1056" i="3"/>
  <c r="Y1057" i="3"/>
  <c r="Y1058" i="3"/>
  <c r="Y1059" i="3"/>
  <c r="Y1060" i="3"/>
  <c r="Y1061" i="3"/>
  <c r="Y1062" i="3"/>
  <c r="Y1063" i="3"/>
  <c r="Y1064" i="3"/>
  <c r="Y1065" i="3"/>
  <c r="Y1066" i="3"/>
  <c r="Y1067" i="3"/>
  <c r="Y1068" i="3"/>
  <c r="Y1069" i="3"/>
  <c r="Y1070" i="3"/>
  <c r="Y1071" i="3"/>
  <c r="Y1072" i="3"/>
  <c r="Y1073" i="3"/>
  <c r="Y1074" i="3"/>
  <c r="Y1075" i="3"/>
  <c r="Y1076" i="3"/>
  <c r="Y1077" i="3"/>
  <c r="Y1078" i="3"/>
  <c r="Y1079" i="3"/>
  <c r="Y1080" i="3"/>
  <c r="Y1081" i="3"/>
  <c r="Y1082" i="3"/>
  <c r="Y1083" i="3"/>
  <c r="Y1084" i="3"/>
  <c r="Y1085" i="3"/>
  <c r="Y1086" i="3"/>
  <c r="Y1087" i="3"/>
  <c r="Y1088" i="3"/>
  <c r="Y1089" i="3"/>
  <c r="Y1090" i="3"/>
  <c r="Y1091" i="3"/>
  <c r="Y1092" i="3"/>
  <c r="Y1093" i="3"/>
  <c r="Y1094" i="3"/>
  <c r="Y1095" i="3"/>
  <c r="Y1096" i="3"/>
  <c r="Y1097" i="3"/>
  <c r="Y1098" i="3"/>
  <c r="Y1099" i="3"/>
  <c r="Y1100" i="3"/>
  <c r="Y1101" i="3"/>
  <c r="Y1102" i="3"/>
  <c r="Y1103" i="3"/>
  <c r="Y1104" i="3"/>
  <c r="Y1105" i="3"/>
  <c r="Y1106" i="3"/>
  <c r="Y1107" i="3"/>
  <c r="Y1108" i="3"/>
  <c r="Y1109" i="3"/>
  <c r="Y1110" i="3"/>
  <c r="Y1111" i="3"/>
  <c r="Y1112" i="3"/>
  <c r="Y1113" i="3"/>
  <c r="Y1114" i="3"/>
  <c r="Y1115" i="3"/>
  <c r="Y1116" i="3"/>
  <c r="Y1117" i="3"/>
  <c r="Y1118" i="3"/>
  <c r="Y1119" i="3"/>
  <c r="Y1120" i="3"/>
  <c r="Y1121" i="3"/>
  <c r="Y1122" i="3"/>
  <c r="Y1123" i="3"/>
  <c r="Y1124" i="3"/>
  <c r="Y1125" i="3"/>
  <c r="Y1126" i="3"/>
  <c r="Y1127" i="3"/>
  <c r="Y1128" i="3"/>
  <c r="Y1129" i="3"/>
  <c r="Y1130" i="3"/>
  <c r="Y1131" i="3"/>
  <c r="Y1132" i="3"/>
  <c r="Y1133" i="3"/>
  <c r="Y1134" i="3"/>
  <c r="Y1135" i="3"/>
  <c r="Y1136" i="3"/>
  <c r="Y1137" i="3"/>
  <c r="Y1138" i="3"/>
  <c r="Y1139" i="3"/>
  <c r="Y1140" i="3"/>
  <c r="Y1141" i="3"/>
  <c r="Y1142" i="3"/>
  <c r="Y1143" i="3"/>
  <c r="Y1144" i="3"/>
  <c r="Y1145" i="3"/>
  <c r="Y1146" i="3"/>
  <c r="Y1147" i="3"/>
  <c r="Y1148" i="3"/>
  <c r="Y1149" i="3"/>
  <c r="Y1150" i="3"/>
  <c r="Y1151" i="3"/>
  <c r="Y1152" i="3"/>
  <c r="Y1153" i="3"/>
  <c r="Y1154" i="3"/>
  <c r="Y1155" i="3"/>
  <c r="Y1156" i="3"/>
  <c r="Y1157" i="3"/>
  <c r="Y1158" i="3"/>
  <c r="Y1159" i="3"/>
  <c r="Y1160" i="3"/>
  <c r="Y1161" i="3"/>
  <c r="Y1162" i="3"/>
  <c r="Y1163" i="3"/>
  <c r="Y1164" i="3"/>
  <c r="Y1165" i="3"/>
  <c r="Y1166" i="3"/>
  <c r="Y1167" i="3"/>
  <c r="Y1168" i="3"/>
  <c r="Y1169" i="3"/>
  <c r="Y1170" i="3"/>
  <c r="Y1171" i="3"/>
  <c r="Y1172" i="3"/>
  <c r="Y1173" i="3"/>
  <c r="Y1174" i="3"/>
  <c r="Y1175" i="3"/>
  <c r="Y1176" i="3"/>
  <c r="Y1177" i="3"/>
  <c r="Y1178" i="3"/>
  <c r="Y1179" i="3"/>
  <c r="Y1180" i="3"/>
  <c r="Y1181" i="3"/>
  <c r="Y1182" i="3"/>
  <c r="Y1183" i="3"/>
  <c r="Y1184" i="3"/>
  <c r="Y1185" i="3"/>
  <c r="Y1186" i="3"/>
  <c r="Y1187" i="3"/>
  <c r="Y1188" i="3"/>
  <c r="Y1189" i="3"/>
  <c r="Y1190" i="3"/>
  <c r="Y1191" i="3"/>
  <c r="Y1192" i="3"/>
  <c r="Y1193" i="3"/>
  <c r="Y1194" i="3"/>
  <c r="Y1195" i="3"/>
  <c r="Y1196" i="3"/>
  <c r="Y1197" i="3"/>
  <c r="Y1198" i="3"/>
  <c r="Y1199" i="3"/>
  <c r="Y1200" i="3"/>
  <c r="Y1201" i="3"/>
  <c r="Y1202" i="3"/>
  <c r="Y1203" i="3"/>
  <c r="Y1204" i="3"/>
  <c r="Y1205" i="3"/>
  <c r="Y1206" i="3"/>
  <c r="Y1207" i="3"/>
  <c r="Y1208" i="3"/>
  <c r="Y1209" i="3"/>
  <c r="Y1210" i="3"/>
  <c r="Y1211" i="3"/>
  <c r="Y1212" i="3"/>
  <c r="Y1213" i="3"/>
  <c r="Y1214" i="3"/>
  <c r="Y1215" i="3"/>
  <c r="Y1216" i="3"/>
  <c r="Y1217" i="3"/>
  <c r="Y1218" i="3"/>
  <c r="Y1219" i="3"/>
  <c r="Y1220" i="3"/>
  <c r="Y1221" i="3"/>
  <c r="Y1222" i="3"/>
  <c r="Y1223" i="3"/>
  <c r="Y1224" i="3"/>
  <c r="Y1225" i="3"/>
  <c r="Y1226" i="3"/>
  <c r="Y1227" i="3"/>
  <c r="Y1228" i="3"/>
  <c r="Y1229" i="3"/>
  <c r="Y1230" i="3"/>
  <c r="Y1231" i="3"/>
  <c r="Y1232" i="3"/>
  <c r="Y1233" i="3"/>
  <c r="Y1234" i="3"/>
  <c r="Y1235" i="3"/>
  <c r="Y1236" i="3"/>
  <c r="Y1237" i="3"/>
  <c r="Y1238" i="3"/>
  <c r="Y1239" i="3"/>
  <c r="Y1240" i="3"/>
  <c r="Y1241" i="3"/>
  <c r="Y1242" i="3"/>
  <c r="Y1243" i="3"/>
  <c r="Y1244" i="3"/>
  <c r="Y1245" i="3"/>
  <c r="Y1246" i="3"/>
  <c r="Y1247" i="3"/>
  <c r="Y1248" i="3"/>
  <c r="Y1249" i="3"/>
  <c r="Y1250" i="3"/>
  <c r="Y1251" i="3"/>
  <c r="Y1252" i="3"/>
  <c r="Y1253" i="3"/>
  <c r="Y1254" i="3"/>
  <c r="Y1255" i="3"/>
  <c r="Y1256" i="3"/>
  <c r="Y1257" i="3"/>
  <c r="Y1258" i="3"/>
  <c r="Y1259" i="3"/>
  <c r="Y1260" i="3"/>
  <c r="Y1261" i="3"/>
  <c r="Y1262" i="3"/>
  <c r="Y1263" i="3"/>
  <c r="Y1264" i="3"/>
  <c r="Y1265" i="3"/>
  <c r="Y1266" i="3"/>
  <c r="Y1267" i="3"/>
  <c r="Y1268" i="3"/>
  <c r="Y1269" i="3"/>
  <c r="Y1270" i="3"/>
  <c r="Y1271" i="3"/>
  <c r="Y1272" i="3"/>
  <c r="Y1273" i="3"/>
  <c r="Y1274" i="3"/>
  <c r="Y1275" i="3"/>
  <c r="Y1276" i="3"/>
  <c r="Y1277" i="3"/>
  <c r="Y1278" i="3"/>
  <c r="Y1279" i="3"/>
  <c r="Y1280" i="3"/>
  <c r="Y1281" i="3"/>
  <c r="Y1282" i="3"/>
  <c r="Y1283" i="3"/>
  <c r="Y1284" i="3"/>
  <c r="Y1285" i="3"/>
  <c r="Y1286" i="3"/>
  <c r="Y1287" i="3"/>
  <c r="Y1288" i="3"/>
  <c r="Y1289" i="3"/>
  <c r="Y1290" i="3"/>
  <c r="Y1291" i="3"/>
  <c r="Y1292" i="3"/>
  <c r="Y1293" i="3"/>
  <c r="Y1294" i="3"/>
  <c r="Y1295" i="3"/>
  <c r="Y1296" i="3"/>
  <c r="Y1297" i="3"/>
  <c r="Y1298" i="3"/>
  <c r="Y1299" i="3"/>
  <c r="Y1300" i="3"/>
  <c r="Y1301" i="3"/>
  <c r="Y1302" i="3"/>
  <c r="Y1303" i="3"/>
  <c r="Y1304" i="3"/>
  <c r="Y1305" i="3"/>
  <c r="Y1306" i="3"/>
  <c r="Y1307" i="3"/>
  <c r="Y1308" i="3"/>
  <c r="Y1309" i="3"/>
  <c r="Y1310" i="3"/>
  <c r="Y1311" i="3"/>
  <c r="Y1312" i="3"/>
  <c r="Y1313" i="3"/>
  <c r="Y1314"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1171" i="3"/>
  <c r="X1172" i="3"/>
  <c r="X1173" i="3"/>
  <c r="X1174" i="3"/>
  <c r="X1175" i="3"/>
  <c r="X1176" i="3"/>
  <c r="X1177" i="3"/>
  <c r="X1178" i="3"/>
  <c r="X1179" i="3"/>
  <c r="X1180" i="3"/>
  <c r="X1181" i="3"/>
  <c r="X1182" i="3"/>
  <c r="X1183" i="3"/>
  <c r="X1184" i="3"/>
  <c r="X1185" i="3"/>
  <c r="X1186" i="3"/>
  <c r="X1187" i="3"/>
  <c r="X1188" i="3"/>
  <c r="X1189" i="3"/>
  <c r="X1190" i="3"/>
  <c r="X1191" i="3"/>
  <c r="X1192" i="3"/>
  <c r="X1193" i="3"/>
  <c r="X1194" i="3"/>
  <c r="X1195" i="3"/>
  <c r="X1196" i="3"/>
  <c r="X1197" i="3"/>
  <c r="X1198" i="3"/>
  <c r="X1199" i="3"/>
  <c r="X1200" i="3"/>
  <c r="X1201" i="3"/>
  <c r="X1202" i="3"/>
  <c r="X1203" i="3"/>
  <c r="X1204" i="3"/>
  <c r="X1205" i="3"/>
  <c r="X1206" i="3"/>
  <c r="X1207" i="3"/>
  <c r="X1208" i="3"/>
  <c r="X1209" i="3"/>
  <c r="X1210" i="3"/>
  <c r="X1211" i="3"/>
  <c r="X1212" i="3"/>
  <c r="X1213" i="3"/>
  <c r="X1214" i="3"/>
  <c r="X1215" i="3"/>
  <c r="X1216" i="3"/>
  <c r="X1217" i="3"/>
  <c r="X1218" i="3"/>
  <c r="X1219" i="3"/>
  <c r="X1220" i="3"/>
  <c r="X1221" i="3"/>
  <c r="X1222" i="3"/>
  <c r="X1223" i="3"/>
  <c r="X1224" i="3"/>
  <c r="X1225" i="3"/>
  <c r="X1226" i="3"/>
  <c r="X1227" i="3"/>
  <c r="X1228" i="3"/>
  <c r="X1229" i="3"/>
  <c r="X1230" i="3"/>
  <c r="X1231" i="3"/>
  <c r="X1232" i="3"/>
  <c r="X1233" i="3"/>
  <c r="X1234" i="3"/>
  <c r="X1235" i="3"/>
  <c r="X1236" i="3"/>
  <c r="X1237" i="3"/>
  <c r="X1238" i="3"/>
  <c r="X1239" i="3"/>
  <c r="X1240" i="3"/>
  <c r="X1241" i="3"/>
  <c r="X1242" i="3"/>
  <c r="X1243" i="3"/>
  <c r="X1244" i="3"/>
  <c r="X1245" i="3"/>
  <c r="X1246" i="3"/>
  <c r="X1247" i="3"/>
  <c r="X1248" i="3"/>
  <c r="X1249" i="3"/>
  <c r="X1250" i="3"/>
  <c r="X1251" i="3"/>
  <c r="X1252" i="3"/>
  <c r="X1253" i="3"/>
  <c r="X1254" i="3"/>
  <c r="X1255" i="3"/>
  <c r="X1256" i="3"/>
  <c r="X1257" i="3"/>
  <c r="X1258" i="3"/>
  <c r="X1259" i="3"/>
  <c r="X1260" i="3"/>
  <c r="X1261" i="3"/>
  <c r="X1262" i="3"/>
  <c r="X1263" i="3"/>
  <c r="X1264" i="3"/>
  <c r="X1265" i="3"/>
  <c r="X1266" i="3"/>
  <c r="X1267" i="3"/>
  <c r="X1268" i="3"/>
  <c r="X1269" i="3"/>
  <c r="X1270" i="3"/>
  <c r="X1271" i="3"/>
  <c r="X1272" i="3"/>
  <c r="X1273" i="3"/>
  <c r="X1274" i="3"/>
  <c r="X1275" i="3"/>
  <c r="X1276" i="3"/>
  <c r="X1277" i="3"/>
  <c r="X1278" i="3"/>
  <c r="X1279" i="3"/>
  <c r="X1280" i="3"/>
  <c r="X1281" i="3"/>
  <c r="X1282" i="3"/>
  <c r="X1283" i="3"/>
  <c r="X1284" i="3"/>
  <c r="X1285" i="3"/>
  <c r="X1286" i="3"/>
  <c r="X1287" i="3"/>
  <c r="X1288" i="3"/>
  <c r="X1289" i="3"/>
  <c r="X1290" i="3"/>
  <c r="X1291" i="3"/>
  <c r="X1292" i="3"/>
  <c r="X1293" i="3"/>
  <c r="X1294" i="3"/>
  <c r="X1295" i="3"/>
  <c r="X1296" i="3"/>
  <c r="X1297" i="3"/>
  <c r="X1298" i="3"/>
  <c r="X1299" i="3"/>
  <c r="X1300" i="3"/>
  <c r="X1301" i="3"/>
  <c r="X1302" i="3"/>
  <c r="X1303" i="3"/>
  <c r="X1304" i="3"/>
  <c r="X1305" i="3"/>
  <c r="X1306" i="3"/>
  <c r="X1307" i="3"/>
  <c r="X1308" i="3"/>
  <c r="X1309" i="3"/>
  <c r="X1310" i="3"/>
  <c r="X1311" i="3"/>
  <c r="X1312" i="3"/>
  <c r="X1313" i="3"/>
  <c r="X1314" i="3"/>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0E606B-108B-4B42-885E-4C78DAE9A56A}" keepAlive="1" name="Query - orders_desnormalizado_prueba" description="Connection to the 'orders_desnormalizado_prueba' query in the workbook." type="5" refreshedVersion="8" background="1" saveData="1">
    <dbPr connection="Provider=Microsoft.Mashup.OleDb.1;Data Source=$Workbook$;Location=orders_desnormalizado_prueba;Extended Properties=&quot;&quot;" command="SELECT * FROM [orders_desnormalizado_prueba]"/>
  </connection>
  <connection id="2" xr16:uid="{77133119-984C-4F50-9C62-6B4C4E68BF3E}" keepAlive="1" name="Query - orders_desnormalizado_prueba (2)" description="Connection to the 'orders_desnormalizado_prueba (2)' query in the workbook." type="5" refreshedVersion="8" background="1" saveData="1">
    <dbPr connection="Provider=Microsoft.Mashup.OleDb.1;Data Source=$Workbook$;Location=&quot;orders_desnormalizado_prueba (2)&quot;;Extended Properties=&quot;&quot;" command="SELECT * FROM [orders_desnormalizado_prueba (2)]"/>
  </connection>
  <connection id="3" xr16:uid="{BF5597C2-C0F4-4690-9156-4D600DF27646}" keepAlive="1" name="Query - orders_desnormalizado_prueba (3)" description="Connection to the 'orders_desnormalizado_prueba (3)' query in the workbook." type="5" refreshedVersion="8" background="1" saveData="1">
    <dbPr connection="Provider=Microsoft.Mashup.OleDb.1;Data Source=$Workbook$;Location=&quot;orders_desnormalizado_prueba (3)&quot;;Extended Properties=&quot;&quot;" command="SELECT * FROM [orders_desnormalizado_prueba (3)]"/>
  </connection>
</connections>
</file>

<file path=xl/sharedStrings.xml><?xml version="1.0" encoding="utf-8"?>
<sst xmlns="http://schemas.openxmlformats.org/spreadsheetml/2006/main" count="59580" uniqueCount="2623">
  <si>
    <t>order_id</t>
  </si>
  <si>
    <t>quantity</t>
  </si>
  <si>
    <t>unit_price</t>
  </si>
  <si>
    <t>total_price</t>
  </si>
  <si>
    <t>order_date</t>
  </si>
  <si>
    <t>status</t>
  </si>
  <si>
    <t>delivery_days</t>
  </si>
  <si>
    <t>payment_method</t>
  </si>
  <si>
    <t>product_name</t>
  </si>
  <si>
    <t>cost_price</t>
  </si>
  <si>
    <t>sale_price</t>
  </si>
  <si>
    <t>fulfillment_type</t>
  </si>
  <si>
    <t>store_name</t>
  </si>
  <si>
    <t>niche</t>
  </si>
  <si>
    <t>platform</t>
  </si>
  <si>
    <t>launch_date</t>
  </si>
  <si>
    <t>customer_name</t>
  </si>
  <si>
    <t>email</t>
  </si>
  <si>
    <t>city</t>
  </si>
  <si>
    <t>country</t>
  </si>
  <si>
    <t>acquisition_channel</t>
  </si>
  <si>
    <t>supplier_info</t>
  </si>
  <si>
    <t>shipping_cost</t>
  </si>
  <si>
    <t>O00001</t>
  </si>
  <si>
    <t>2026-07-14</t>
  </si>
  <si>
    <t>Devuelto</t>
  </si>
  <si>
    <t>Contraentrega</t>
  </si>
  <si>
    <t>Lampara LED con control tactil</t>
  </si>
  <si>
    <t>propio</t>
  </si>
  <si>
    <t>LuminaHome</t>
  </si>
  <si>
    <t>Hogar y gadgets</t>
  </si>
  <si>
    <t>Facebook/Instagram</t>
  </si>
  <si>
    <t>Laura Gomez</t>
  </si>
  <si>
    <t>laura.gomez71@mail.com</t>
  </si>
  <si>
    <t>Medellin</t>
  </si>
  <si>
    <t>Colombia</t>
  </si>
  <si>
    <t>Instagram Ads</t>
  </si>
  <si>
    <t>Bodega Propia CO - envio 2-3 dias</t>
  </si>
  <si>
    <t>O00002</t>
  </si>
  <si>
    <t>2026-07-19</t>
  </si>
  <si>
    <t>Entregado</t>
  </si>
  <si>
    <t>PSE</t>
  </si>
  <si>
    <t>Fuente de agua para gatos</t>
  </si>
  <si>
    <t>PetLuxe</t>
  </si>
  <si>
    <t>Mascotas</t>
  </si>
  <si>
    <t>David Martinez</t>
  </si>
  <si>
    <t>david.martinez142@mail.com</t>
  </si>
  <si>
    <t>Barranquilla</t>
  </si>
  <si>
    <t>WhatsApp</t>
  </si>
  <si>
    <t>O00003</t>
  </si>
  <si>
    <t>2026-07-31</t>
  </si>
  <si>
    <t>En transito</t>
  </si>
  <si>
    <t>Daniela Vargas</t>
  </si>
  <si>
    <t>daniela.vargas12@mail.com</t>
  </si>
  <si>
    <t>Cartagena</t>
  </si>
  <si>
    <t>Facebook Ads</t>
  </si>
  <si>
    <t>O00004</t>
  </si>
  <si>
    <t>2026-07-27</t>
  </si>
  <si>
    <t>Nequi</t>
  </si>
  <si>
    <t>Muñequeras con peso 1kg</t>
  </si>
  <si>
    <t>dropshipping</t>
  </si>
  <si>
    <t>NovaFit</t>
  </si>
  <si>
    <t>Fitness y bienestar</t>
  </si>
  <si>
    <t>Laura Rodriguez</t>
  </si>
  <si>
    <t>laura.rodriguez85@mail.com</t>
  </si>
  <si>
    <t>Bogota</t>
  </si>
  <si>
    <t>Organico</t>
  </si>
  <si>
    <t>AliDropship CN - envio 15-20 dias</t>
  </si>
  <si>
    <t>O00005</t>
  </si>
  <si>
    <t>2026-07-13</t>
  </si>
  <si>
    <t>Cancelado</t>
  </si>
  <si>
    <t>Diego Ramirez</t>
  </si>
  <si>
    <t>diego.ramirez167@mail.com</t>
  </si>
  <si>
    <t>O00006</t>
  </si>
  <si>
    <t>2026-06-13</t>
  </si>
  <si>
    <t>Tapete de yoga antideslizante</t>
  </si>
  <si>
    <t>David Gomez</t>
  </si>
  <si>
    <t>david.gomez112@mail.com</t>
  </si>
  <si>
    <t>O00007</t>
  </si>
  <si>
    <t>2026-06-24</t>
  </si>
  <si>
    <t>Laura Martinez</t>
  </si>
  <si>
    <t>laura.martinez145@mail.com</t>
  </si>
  <si>
    <t>Referido</t>
  </si>
  <si>
    <t>O00008</t>
  </si>
  <si>
    <t>2026-06-02</t>
  </si>
  <si>
    <t>Proyector de estrellas para techo</t>
  </si>
  <si>
    <t>Gabriela Torres</t>
  </si>
  <si>
    <t>gabriela.torres118@mail.com</t>
  </si>
  <si>
    <t>Bucaramanga</t>
  </si>
  <si>
    <t>HandyGoods MX - envio 5-8 dias</t>
  </si>
  <si>
    <t>O00009</t>
  </si>
  <si>
    <t>2026-07-03</t>
  </si>
  <si>
    <t>Gabriela Gomez</t>
  </si>
  <si>
    <t>gabriela.gomez164@mail.com</t>
  </si>
  <si>
    <t>O00010</t>
  </si>
  <si>
    <t>2026-07-08</t>
  </si>
  <si>
    <t>Tarjeta de credito</t>
  </si>
  <si>
    <t>Suplemento vitaminico para perros</t>
  </si>
  <si>
    <t>David Perez</t>
  </si>
  <si>
    <t>david.perez76@mail.com</t>
  </si>
  <si>
    <t>CJ Dropshipping CN - envio 10-15 dias</t>
  </si>
  <si>
    <t>O00011</t>
  </si>
  <si>
    <t>2026-06-18</t>
  </si>
  <si>
    <t>Miguel Castro</t>
  </si>
  <si>
    <t>miguel.castro159@mail.com</t>
  </si>
  <si>
    <t>Cali</t>
  </si>
  <si>
    <t>O00012</t>
  </si>
  <si>
    <t>2026-07-24</t>
  </si>
  <si>
    <t>O00013</t>
  </si>
  <si>
    <t>2026-06-10</t>
  </si>
  <si>
    <t>Santiago Torres</t>
  </si>
  <si>
    <t>santiago.torres30@mail.com</t>
  </si>
  <si>
    <t>O00014</t>
  </si>
  <si>
    <t>2026-07-18</t>
  </si>
  <si>
    <t>Paula Diaz</t>
  </si>
  <si>
    <t>paula.diaz150@mail.com</t>
  </si>
  <si>
    <t>O00015</t>
  </si>
  <si>
    <t>2026-06-05</t>
  </si>
  <si>
    <t>Camila Torres</t>
  </si>
  <si>
    <t>camila.torres36@mail.com</t>
  </si>
  <si>
    <t>O00016</t>
  </si>
  <si>
    <t>2026-06-20</t>
  </si>
  <si>
    <t>Camila Rodriguez</t>
  </si>
  <si>
    <t>camila.rodriguez108@mail.com</t>
  </si>
  <si>
    <t>O00017</t>
  </si>
  <si>
    <t>Laura Diaz</t>
  </si>
  <si>
    <t>laura.diaz93@mail.com</t>
  </si>
  <si>
    <t>O00018</t>
  </si>
  <si>
    <t>2026-06-28</t>
  </si>
  <si>
    <t>Andres Rodriguez</t>
  </si>
  <si>
    <t>andres.rodriguez24@mail.com</t>
  </si>
  <si>
    <t>O00019</t>
  </si>
  <si>
    <t>2026-06-27</t>
  </si>
  <si>
    <t>Isabella Diaz</t>
  </si>
  <si>
    <t>isabella.diaz18@mail.com</t>
  </si>
  <si>
    <t>O00020</t>
  </si>
  <si>
    <t>2026-06-15</t>
  </si>
  <si>
    <t>Camila Martinez</t>
  </si>
  <si>
    <t>camila.martinez65@mail.com</t>
  </si>
  <si>
    <t>O00021</t>
  </si>
  <si>
    <t>David Rodriguez</t>
  </si>
  <si>
    <t>david.rodriguez33@mail.com</t>
  </si>
  <si>
    <t>O00022</t>
  </si>
  <si>
    <t>2026-07-09</t>
  </si>
  <si>
    <t>david.gomez169@mail.com</t>
  </si>
  <si>
    <t>O00023</t>
  </si>
  <si>
    <t>2026-07-12</t>
  </si>
  <si>
    <t>Natalia Castro</t>
  </si>
  <si>
    <t>natalia.castro19@mail.com</t>
  </si>
  <si>
    <t>O00024</t>
  </si>
  <si>
    <t>Diego Sanchez</t>
  </si>
  <si>
    <t>diego.sanchez111@mail.com</t>
  </si>
  <si>
    <t>O00025</t>
  </si>
  <si>
    <t>Juan Torres</t>
  </si>
  <si>
    <t>juan.torres103@mail.com</t>
  </si>
  <si>
    <t>O00026</t>
  </si>
  <si>
    <t>2026-08-11</t>
  </si>
  <si>
    <t>Natalia Diaz</t>
  </si>
  <si>
    <t>natalia.diaz96@mail.com</t>
  </si>
  <si>
    <t>O00027</t>
  </si>
  <si>
    <t>2026-07-10</t>
  </si>
  <si>
    <t>Miguel Vargas</t>
  </si>
  <si>
    <t>miguel.vargas74@mail.com</t>
  </si>
  <si>
    <t>O00028</t>
  </si>
  <si>
    <t>06/07/2026</t>
  </si>
  <si>
    <t>Paula Sanchez</t>
  </si>
  <si>
    <t>paula.sanchez95@mail.com</t>
  </si>
  <si>
    <t>O00029</t>
  </si>
  <si>
    <t>2026-06-19</t>
  </si>
  <si>
    <t>Daniela Rodriguez</t>
  </si>
  <si>
    <t>daniela.rodriguez2@mail.com</t>
  </si>
  <si>
    <t>O00030</t>
  </si>
  <si>
    <t>Diego Castro</t>
  </si>
  <si>
    <t>diego.castro88@mail.com</t>
  </si>
  <si>
    <t>O00031</t>
  </si>
  <si>
    <t>2026-07-25</t>
  </si>
  <si>
    <t>Camila Castro</t>
  </si>
  <si>
    <t>camila.castro114@mail.com</t>
  </si>
  <si>
    <t>O00032</t>
  </si>
  <si>
    <t>miguel.vargas125@mail.com</t>
  </si>
  <si>
    <t>O00033</t>
  </si>
  <si>
    <t>2026-06-16</t>
  </si>
  <si>
    <t>Daniela Gomez</t>
  </si>
  <si>
    <t>daniela.gomez75@mail.com</t>
  </si>
  <si>
    <t>O00034</t>
  </si>
  <si>
    <t>2026-07-29</t>
  </si>
  <si>
    <t>O00035</t>
  </si>
  <si>
    <t>2026-06-22</t>
  </si>
  <si>
    <t>Procesando</t>
  </si>
  <si>
    <t>Maria Ramirez</t>
  </si>
  <si>
    <t>maria.ramirez6@mail.com</t>
  </si>
  <si>
    <t>O00036</t>
  </si>
  <si>
    <t>2026-06-11</t>
  </si>
  <si>
    <t>O00037</t>
  </si>
  <si>
    <t>Mateo Torres</t>
  </si>
  <si>
    <t>mateo.torres90@mail.com</t>
  </si>
  <si>
    <t>O00038</t>
  </si>
  <si>
    <t>2026-08-12</t>
  </si>
  <si>
    <t>miguel.castro149@mail.com</t>
  </si>
  <si>
    <t>O00039</t>
  </si>
  <si>
    <t>2026-06-08</t>
  </si>
  <si>
    <t>O00040</t>
  </si>
  <si>
    <t>2026-08-04</t>
  </si>
  <si>
    <t>Daniela Martinez</t>
  </si>
  <si>
    <t>daniela.martinez158@mail.com</t>
  </si>
  <si>
    <t>O00041</t>
  </si>
  <si>
    <t>Sebastian Diaz</t>
  </si>
  <si>
    <t>sebastian.diaz129@mail.com</t>
  </si>
  <si>
    <t>O00042</t>
  </si>
  <si>
    <t>2026-06-21</t>
  </si>
  <si>
    <t>Andres Torres</t>
  </si>
  <si>
    <t>andres.torres134@mail.com</t>
  </si>
  <si>
    <t>O00043</t>
  </si>
  <si>
    <t>O00044</t>
  </si>
  <si>
    <t>2026-08-07</t>
  </si>
  <si>
    <t>O00045</t>
  </si>
  <si>
    <t>Valentina Perez</t>
  </si>
  <si>
    <t>valentina.perez50@mail.com</t>
  </si>
  <si>
    <t>O00046</t>
  </si>
  <si>
    <t>Mateo Castro</t>
  </si>
  <si>
    <t>mateo.castro43@mail.com</t>
  </si>
  <si>
    <t>O00047</t>
  </si>
  <si>
    <t>2026-08-13</t>
  </si>
  <si>
    <t>O00048</t>
  </si>
  <si>
    <t>2026-08-06</t>
  </si>
  <si>
    <t>Alejandro Perez</t>
  </si>
  <si>
    <t>alejandro.perez27@mail.com</t>
  </si>
  <si>
    <t>O00049</t>
  </si>
  <si>
    <t>2026-07-15</t>
  </si>
  <si>
    <t>laura.martinez57@mail.com</t>
  </si>
  <si>
    <t>O00050</t>
  </si>
  <si>
    <t>Miguel Ramirez</t>
  </si>
  <si>
    <t>miguel.ramirez82@mail.com</t>
  </si>
  <si>
    <t>O00051</t>
  </si>
  <si>
    <t>David Sanchez</t>
  </si>
  <si>
    <t>david.sanchez5@mail.com</t>
  </si>
  <si>
    <t>O00052</t>
  </si>
  <si>
    <t>24/07/2026</t>
  </si>
  <si>
    <t>Juan Vargas</t>
  </si>
  <si>
    <t>juan.vargas13@mail.com</t>
  </si>
  <si>
    <t>O00053</t>
  </si>
  <si>
    <t>Santiago Ramirez</t>
  </si>
  <si>
    <t>santiago.ramirez62@mail.com</t>
  </si>
  <si>
    <t>O00054</t>
  </si>
  <si>
    <t>2026-08-09</t>
  </si>
  <si>
    <t>O00055</t>
  </si>
  <si>
    <t>2026-06-09</t>
  </si>
  <si>
    <t>O00056</t>
  </si>
  <si>
    <t>2026-08-01</t>
  </si>
  <si>
    <t>Diego Rodriguez</t>
  </si>
  <si>
    <t>diego.rodriguez176@mail.com</t>
  </si>
  <si>
    <t>O00057</t>
  </si>
  <si>
    <t>2026-08-05</t>
  </si>
  <si>
    <t>Camila Sanchez</t>
  </si>
  <si>
    <t>camila.sanchez81@mail.com</t>
  </si>
  <si>
    <t>O00058</t>
  </si>
  <si>
    <t>Daniela Ramirez</t>
  </si>
  <si>
    <t>daniela.ramirez70@mail.com</t>
  </si>
  <si>
    <t>O00059</t>
  </si>
  <si>
    <t>O00060</t>
  </si>
  <si>
    <t>2026-06-06</t>
  </si>
  <si>
    <t>O00061</t>
  </si>
  <si>
    <t>Sebastian Torres</t>
  </si>
  <si>
    <t>sebastian.torres8@mail.com</t>
  </si>
  <si>
    <t>O00062</t>
  </si>
  <si>
    <t>O00063</t>
  </si>
  <si>
    <t>Alejandro Rodriguez</t>
  </si>
  <si>
    <t>alejandro.rodriguez7@mail.com</t>
  </si>
  <si>
    <t>O00064</t>
  </si>
  <si>
    <t>Camila Vargas</t>
  </si>
  <si>
    <t>camila.vargas52@mail.com</t>
  </si>
  <si>
    <t>O00065</t>
  </si>
  <si>
    <t>2026-06-29</t>
  </si>
  <si>
    <t>O00066</t>
  </si>
  <si>
    <t>2026-06-12</t>
  </si>
  <si>
    <t>valentina.perez34@mail.com</t>
  </si>
  <si>
    <t>O00067</t>
  </si>
  <si>
    <t>O00068</t>
  </si>
  <si>
    <t>Gabriela Diaz</t>
  </si>
  <si>
    <t>gabriela.diaz40@mail.com</t>
  </si>
  <si>
    <t>O00069</t>
  </si>
  <si>
    <t>12/06/2026</t>
  </si>
  <si>
    <t>O00070</t>
  </si>
  <si>
    <t>Mateo Sanchez</t>
  </si>
  <si>
    <t>mateo.sanchez11@mail.com</t>
  </si>
  <si>
    <t>O00071</t>
  </si>
  <si>
    <t>O00072</t>
  </si>
  <si>
    <t>O00073</t>
  </si>
  <si>
    <t>2026-07-30</t>
  </si>
  <si>
    <t>O00074</t>
  </si>
  <si>
    <t>Isabella Perez</t>
  </si>
  <si>
    <t>isabella.perez64@mail.com</t>
  </si>
  <si>
    <t>O00075</t>
  </si>
  <si>
    <t>16/07/2026</t>
  </si>
  <si>
    <t>Valentina Torres</t>
  </si>
  <si>
    <t>valentina.torres56@mail.com</t>
  </si>
  <si>
    <t>O00076</t>
  </si>
  <si>
    <t>2026-07-17</t>
  </si>
  <si>
    <t>Sofia Torres</t>
  </si>
  <si>
    <t>sofia.torres35@mail.com</t>
  </si>
  <si>
    <t>O00077</t>
  </si>
  <si>
    <t>O00078</t>
  </si>
  <si>
    <t>Juan Martinez</t>
  </si>
  <si>
    <t>juan.martinez143@mail.com</t>
  </si>
  <si>
    <t>O00079</t>
  </si>
  <si>
    <t>Sebastian Sanchez</t>
  </si>
  <si>
    <t>sebastian.sanchez117@mail.com</t>
  </si>
  <si>
    <t>O00080</t>
  </si>
  <si>
    <t>Valentina Vargas</t>
  </si>
  <si>
    <t>valentina.vargas122@mail.com</t>
  </si>
  <si>
    <t>O00081</t>
  </si>
  <si>
    <t>O00082</t>
  </si>
  <si>
    <t>O00083</t>
  </si>
  <si>
    <t>2026-07-11</t>
  </si>
  <si>
    <t>Carlos Diaz</t>
  </si>
  <si>
    <t>carlos.diaz135@mail.com</t>
  </si>
  <si>
    <t>O00084</t>
  </si>
  <si>
    <t>2026-07-07</t>
  </si>
  <si>
    <t>Paula Vargas</t>
  </si>
  <si>
    <t>paula.vargas58@mail.com</t>
  </si>
  <si>
    <t>O00085</t>
  </si>
  <si>
    <t>08/07/2026</t>
  </si>
  <si>
    <t>Alejandro Torres</t>
  </si>
  <si>
    <t>alejandro.torres89@mail.com</t>
  </si>
  <si>
    <t>O00086</t>
  </si>
  <si>
    <t>2026-07-01</t>
  </si>
  <si>
    <t>O00087</t>
  </si>
  <si>
    <t>2026-06-01</t>
  </si>
  <si>
    <t>Andres Martinez</t>
  </si>
  <si>
    <t>andres.martinez175@mail.com</t>
  </si>
  <si>
    <t>O00088</t>
  </si>
  <si>
    <t>2026-06-30</t>
  </si>
  <si>
    <t>O00089</t>
  </si>
  <si>
    <t>O00090</t>
  </si>
  <si>
    <t>2026-07-05</t>
  </si>
  <si>
    <t>Daniela Castro</t>
  </si>
  <si>
    <t>daniela.castro130@mail.com</t>
  </si>
  <si>
    <t>O00091</t>
  </si>
  <si>
    <t>2026-07-22</t>
  </si>
  <si>
    <t>Natalia Ramirez</t>
  </si>
  <si>
    <t>natalia.ramirez45@mail.com</t>
  </si>
  <si>
    <t>O00092</t>
  </si>
  <si>
    <t>Isabella Torres</t>
  </si>
  <si>
    <t>isabella.torres61@mail.com</t>
  </si>
  <si>
    <t>O00093</t>
  </si>
  <si>
    <t>camila.vargas171@mail.com</t>
  </si>
  <si>
    <t>O00094</t>
  </si>
  <si>
    <t>O00095</t>
  </si>
  <si>
    <t>2026-08-10</t>
  </si>
  <si>
    <t>Diego Diaz</t>
  </si>
  <si>
    <t>diego.diaz29@mail.com</t>
  </si>
  <si>
    <t>O00096</t>
  </si>
  <si>
    <t>O00097</t>
  </si>
  <si>
    <t>camila.castro144@mail.com</t>
  </si>
  <si>
    <t>O00098</t>
  </si>
  <si>
    <t>Sofia Perez</t>
  </si>
  <si>
    <t>sofia.perez139@mail.com</t>
  </si>
  <si>
    <t>O00099</t>
  </si>
  <si>
    <t>Valentina Sanchez</t>
  </si>
  <si>
    <t>valentina.sanchez97@mail.com</t>
  </si>
  <si>
    <t>O00100</t>
  </si>
  <si>
    <t>miguel.ramirez77@mail.com</t>
  </si>
  <si>
    <t>O00101</t>
  </si>
  <si>
    <t>Miguel Diaz</t>
  </si>
  <si>
    <t>miguel.diaz9@mail.com</t>
  </si>
  <si>
    <t>O00102</t>
  </si>
  <si>
    <t>Carlos Vargas</t>
  </si>
  <si>
    <t>carlos.vargas63@mail.com</t>
  </si>
  <si>
    <t>O00103</t>
  </si>
  <si>
    <t>O00104</t>
  </si>
  <si>
    <t>O00105</t>
  </si>
  <si>
    <t>laura.rodriguez138@mail.com</t>
  </si>
  <si>
    <t>O00106</t>
  </si>
  <si>
    <t>David Diaz</t>
  </si>
  <si>
    <t>david.diaz100@mail.com</t>
  </si>
  <si>
    <t>O00107</t>
  </si>
  <si>
    <t>Santiago Perez</t>
  </si>
  <si>
    <t>santiago.perez173@mail.com</t>
  </si>
  <si>
    <t>O00108</t>
  </si>
  <si>
    <t>Sofia Sanchez</t>
  </si>
  <si>
    <t>sofia.sanchez55@mail.com</t>
  </si>
  <si>
    <t>O00109</t>
  </si>
  <si>
    <t>2026-08-08</t>
  </si>
  <si>
    <t>david.rodriguez98@mail.com</t>
  </si>
  <si>
    <t>O00110</t>
  </si>
  <si>
    <t>Isabella Sanchez</t>
  </si>
  <si>
    <t>isabella.sanchez53@mail.com</t>
  </si>
  <si>
    <t>O00111</t>
  </si>
  <si>
    <t>O00112</t>
  </si>
  <si>
    <t>2026-07-16</t>
  </si>
  <si>
    <t>O00113</t>
  </si>
  <si>
    <t>O00114</t>
  </si>
  <si>
    <t>O00115</t>
  </si>
  <si>
    <t>2026-07-26</t>
  </si>
  <si>
    <t>O00116</t>
  </si>
  <si>
    <t>O00117</t>
  </si>
  <si>
    <t>Laura Torres</t>
  </si>
  <si>
    <t>laura.torres168@mail.com</t>
  </si>
  <si>
    <t>O00118</t>
  </si>
  <si>
    <t>O00119</t>
  </si>
  <si>
    <t>natalia.castro140@mail.com</t>
  </si>
  <si>
    <t>O00120</t>
  </si>
  <si>
    <t>paula.diaz174@mail.com</t>
  </si>
  <si>
    <t>O00121</t>
  </si>
  <si>
    <t>david.gomez60@mail.com</t>
  </si>
  <si>
    <t>O00122</t>
  </si>
  <si>
    <t>Gabriela Sanchez</t>
  </si>
  <si>
    <t>gabriela.sanchez126@mail.com</t>
  </si>
  <si>
    <t>O00123</t>
  </si>
  <si>
    <t>Valentina Ramirez</t>
  </si>
  <si>
    <t>valentina.ramirez22@mail.com</t>
  </si>
  <si>
    <t/>
  </si>
  <si>
    <t>O00124</t>
  </si>
  <si>
    <t>O00125</t>
  </si>
  <si>
    <t>12/07/2026</t>
  </si>
  <si>
    <t>andres.martinez153@mail.com</t>
  </si>
  <si>
    <t>O00126</t>
  </si>
  <si>
    <t>O00127</t>
  </si>
  <si>
    <t>O00128</t>
  </si>
  <si>
    <t>2026-07-21</t>
  </si>
  <si>
    <t>Natalia Sanchez</t>
  </si>
  <si>
    <t>natalia.sanchez78@mail.com</t>
  </si>
  <si>
    <t>O00129</t>
  </si>
  <si>
    <t>natalia.sanchez178@mail.com</t>
  </si>
  <si>
    <t>O00130</t>
  </si>
  <si>
    <t>Paula Ramirez</t>
  </si>
  <si>
    <t>paula.ramirez47@mail.com</t>
  </si>
  <si>
    <t>O00131</t>
  </si>
  <si>
    <t>Andres Castro</t>
  </si>
  <si>
    <t>andres.castro163@mail.com</t>
  </si>
  <si>
    <t>O00132</t>
  </si>
  <si>
    <t>O00133</t>
  </si>
  <si>
    <t>O00134</t>
  </si>
  <si>
    <t>O00135</t>
  </si>
  <si>
    <t>O00136</t>
  </si>
  <si>
    <t>14/06/2026</t>
  </si>
  <si>
    <t>O00137</t>
  </si>
  <si>
    <t>Valentina Castro</t>
  </si>
  <si>
    <t>valentina.castro119@mail.com</t>
  </si>
  <si>
    <t>O00138</t>
  </si>
  <si>
    <t>O00139</t>
  </si>
  <si>
    <t>natalia.ramirez172@mail.com</t>
  </si>
  <si>
    <t>O00140</t>
  </si>
  <si>
    <t>O00141</t>
  </si>
  <si>
    <t>O00142</t>
  </si>
  <si>
    <t>2026-08-02</t>
  </si>
  <si>
    <t>O00143</t>
  </si>
  <si>
    <t>2026-07-23</t>
  </si>
  <si>
    <t>O00144</t>
  </si>
  <si>
    <t>2026-07-06</t>
  </si>
  <si>
    <t>O00145</t>
  </si>
  <si>
    <t>O00146</t>
  </si>
  <si>
    <t>2026-07-28</t>
  </si>
  <si>
    <t>O00147</t>
  </si>
  <si>
    <t>diego.ramirez162@mail.com</t>
  </si>
  <si>
    <t>O00148</t>
  </si>
  <si>
    <t>O00149</t>
  </si>
  <si>
    <t>2026-06-17</t>
  </si>
  <si>
    <t>O00150</t>
  </si>
  <si>
    <t>Carlos Martinez</t>
  </si>
  <si>
    <t>carlos.martinez116@mail.com</t>
  </si>
  <si>
    <t>O00151</t>
  </si>
  <si>
    <t>Valentina Diaz</t>
  </si>
  <si>
    <t>valentina.diaz17@mail.com</t>
  </si>
  <si>
    <t>O00152</t>
  </si>
  <si>
    <t>O00153</t>
  </si>
  <si>
    <t>Valentina Gomez</t>
  </si>
  <si>
    <t>valentina.gomez113@mail.com</t>
  </si>
  <si>
    <t>O00154</t>
  </si>
  <si>
    <t>O00155</t>
  </si>
  <si>
    <t>sofia.sanchez20@mail.com</t>
  </si>
  <si>
    <t>O00156</t>
  </si>
  <si>
    <t>O00157</t>
  </si>
  <si>
    <t>O00158</t>
  </si>
  <si>
    <t>O00159</t>
  </si>
  <si>
    <t>O00160</t>
  </si>
  <si>
    <t>O00161</t>
  </si>
  <si>
    <t>O00162</t>
  </si>
  <si>
    <t>O00163</t>
  </si>
  <si>
    <t>O00164</t>
  </si>
  <si>
    <t>10/07/2026</t>
  </si>
  <si>
    <t>valentina.perez156@mail.com</t>
  </si>
  <si>
    <t>O00165</t>
  </si>
  <si>
    <t>O00166</t>
  </si>
  <si>
    <t>valentina.perez148@mail.com</t>
  </si>
  <si>
    <t>O00167</t>
  </si>
  <si>
    <t>O00168</t>
  </si>
  <si>
    <t>Andres Sanchez</t>
  </si>
  <si>
    <t>andres.sanchez46@mail.com</t>
  </si>
  <si>
    <t>O00169</t>
  </si>
  <si>
    <t>O00170</t>
  </si>
  <si>
    <t>mateo.sanchez120@mail.com</t>
  </si>
  <si>
    <t>O00171</t>
  </si>
  <si>
    <t>2026-08-03</t>
  </si>
  <si>
    <t>O00172</t>
  </si>
  <si>
    <t>O00173</t>
  </si>
  <si>
    <t>Diego Vargas</t>
  </si>
  <si>
    <t>diego.vargas37@mail.com</t>
  </si>
  <si>
    <t>O00174</t>
  </si>
  <si>
    <t>O00175</t>
  </si>
  <si>
    <t>miguel.vargas180@mail.com</t>
  </si>
  <si>
    <t>O00176</t>
  </si>
  <si>
    <t>sofia.perez31@mail.com</t>
  </si>
  <si>
    <t>O00177</t>
  </si>
  <si>
    <t>O00178</t>
  </si>
  <si>
    <t>O00179</t>
  </si>
  <si>
    <t>O00180</t>
  </si>
  <si>
    <t>O00181</t>
  </si>
  <si>
    <t>gabriela.sanchez72@mail.com</t>
  </si>
  <si>
    <t>O00182</t>
  </si>
  <si>
    <t>isabella.perez99@mail.com</t>
  </si>
  <si>
    <t>O00183</t>
  </si>
  <si>
    <t>O00184</t>
  </si>
  <si>
    <t>david.martinez26@mail.com</t>
  </si>
  <si>
    <t>O00185</t>
  </si>
  <si>
    <t>O00186</t>
  </si>
  <si>
    <t>miguel.ramirez15@mail.com</t>
  </si>
  <si>
    <t>O00187</t>
  </si>
  <si>
    <t>Juan Castro</t>
  </si>
  <si>
    <t>juan.castro151@mail.com</t>
  </si>
  <si>
    <t>O00188</t>
  </si>
  <si>
    <t>O00189</t>
  </si>
  <si>
    <t>O00190</t>
  </si>
  <si>
    <t>O00191</t>
  </si>
  <si>
    <t>isabella.sanchez54@mail.com</t>
  </si>
  <si>
    <t>O00192</t>
  </si>
  <si>
    <t>Daniela Diaz</t>
  </si>
  <si>
    <t>daniela.diaz127@mail.com</t>
  </si>
  <si>
    <t>O00193</t>
  </si>
  <si>
    <t>O00194</t>
  </si>
  <si>
    <t>Alejandro Castro</t>
  </si>
  <si>
    <t>alejandro.castro87@mail.com</t>
  </si>
  <si>
    <t>O00195</t>
  </si>
  <si>
    <t>Daniela Torres</t>
  </si>
  <si>
    <t>daniela.torres105@mail.com</t>
  </si>
  <si>
    <t>O00196</t>
  </si>
  <si>
    <t>2026-06-07</t>
  </si>
  <si>
    <t>O00197</t>
  </si>
  <si>
    <t>paula.vargas21@mail.com</t>
  </si>
  <si>
    <t>O00198</t>
  </si>
  <si>
    <t>O00199</t>
  </si>
  <si>
    <t>O00200</t>
  </si>
  <si>
    <t>O00201</t>
  </si>
  <si>
    <t>O00202</t>
  </si>
  <si>
    <t>Maria Diaz</t>
  </si>
  <si>
    <t>maria.diaz102@mail.com</t>
  </si>
  <si>
    <t>O00203</t>
  </si>
  <si>
    <t>O00204</t>
  </si>
  <si>
    <t>O00205</t>
  </si>
  <si>
    <t>18/07/2026</t>
  </si>
  <si>
    <t>O00206</t>
  </si>
  <si>
    <t>santiago.perez155@mail.com</t>
  </si>
  <si>
    <t>O00207</t>
  </si>
  <si>
    <t>David Castro</t>
  </si>
  <si>
    <t>david.castro104@mail.com</t>
  </si>
  <si>
    <t>O00208</t>
  </si>
  <si>
    <t>david.sanchez51@mail.com</t>
  </si>
  <si>
    <t>O00209</t>
  </si>
  <si>
    <t>O00210</t>
  </si>
  <si>
    <t>O00211</t>
  </si>
  <si>
    <t>O00212</t>
  </si>
  <si>
    <t>2026-08-14</t>
  </si>
  <si>
    <t>paula.sanchez160@mail.com</t>
  </si>
  <si>
    <t>O00213</t>
  </si>
  <si>
    <t>O00214</t>
  </si>
  <si>
    <t>O00215</t>
  </si>
  <si>
    <t>O00216</t>
  </si>
  <si>
    <t>O00217</t>
  </si>
  <si>
    <t>O00218</t>
  </si>
  <si>
    <t>David Ramirez</t>
  </si>
  <si>
    <t>david.ramirez136@mail.com</t>
  </si>
  <si>
    <t>O00219</t>
  </si>
  <si>
    <t>O00220</t>
  </si>
  <si>
    <t>O00221</t>
  </si>
  <si>
    <t>O00222</t>
  </si>
  <si>
    <t>O00223</t>
  </si>
  <si>
    <t>O00224</t>
  </si>
  <si>
    <t>2026-06-03</t>
  </si>
  <si>
    <t>O00225</t>
  </si>
  <si>
    <t>Juan Sanchez</t>
  </si>
  <si>
    <t>juan.sanchez137@mail.com</t>
  </si>
  <si>
    <t>O00226</t>
  </si>
  <si>
    <t>sebastian.sanchez32@mail.com</t>
  </si>
  <si>
    <t>O00227</t>
  </si>
  <si>
    <t>18/06/2026</t>
  </si>
  <si>
    <t>O00228</t>
  </si>
  <si>
    <t>O00229</t>
  </si>
  <si>
    <t>O00230</t>
  </si>
  <si>
    <t>O00231</t>
  </si>
  <si>
    <t>Natalia Perez</t>
  </si>
  <si>
    <t>natalia.perez25@mail.com</t>
  </si>
  <si>
    <t>O00232</t>
  </si>
  <si>
    <t>O00233</t>
  </si>
  <si>
    <t>Santiago Vargas</t>
  </si>
  <si>
    <t>santiago.vargas41@mail.com</t>
  </si>
  <si>
    <t>O00234</t>
  </si>
  <si>
    <t>O00235</t>
  </si>
  <si>
    <t>O00236</t>
  </si>
  <si>
    <t>2026-07-20</t>
  </si>
  <si>
    <t>isabella.torres124@mail.com</t>
  </si>
  <si>
    <t>O00237</t>
  </si>
  <si>
    <t>O00238</t>
  </si>
  <si>
    <t>O00239</t>
  </si>
  <si>
    <t>23/07/2026</t>
  </si>
  <si>
    <t>O00240</t>
  </si>
  <si>
    <t>O00241</t>
  </si>
  <si>
    <t>O00242</t>
  </si>
  <si>
    <t>O00243</t>
  </si>
  <si>
    <t>O00244</t>
  </si>
  <si>
    <t>O00245</t>
  </si>
  <si>
    <t>O00246</t>
  </si>
  <si>
    <t>O00247</t>
  </si>
  <si>
    <t>O00248</t>
  </si>
  <si>
    <t>O00249</t>
  </si>
  <si>
    <t>sofia.sanchez38@mail.com</t>
  </si>
  <si>
    <t>O00250</t>
  </si>
  <si>
    <t>O00251</t>
  </si>
  <si>
    <t>2026-06-26</t>
  </si>
  <si>
    <t>O00252</t>
  </si>
  <si>
    <t>diego.diaz132@mail.com</t>
  </si>
  <si>
    <t>O00253</t>
  </si>
  <si>
    <t>O00254</t>
  </si>
  <si>
    <t>O00255</t>
  </si>
  <si>
    <t>O00256</t>
  </si>
  <si>
    <t>["</t>
  </si>
  <si>
    <t>O00257</t>
  </si>
  <si>
    <t>O00258</t>
  </si>
  <si>
    <t>O00259</t>
  </si>
  <si>
    <t>2026-06-04</t>
  </si>
  <si>
    <t>O00260</t>
  </si>
  <si>
    <t>Mateo Rodriguez</t>
  </si>
  <si>
    <t>mateo.rodriguez59@mail.com</t>
  </si>
  <si>
    <t>O00261</t>
  </si>
  <si>
    <t>O00262</t>
  </si>
  <si>
    <t>O00263</t>
  </si>
  <si>
    <t>O00264</t>
  </si>
  <si>
    <t>O00265</t>
  </si>
  <si>
    <t>O00266</t>
  </si>
  <si>
    <t>O00267</t>
  </si>
  <si>
    <t>O00268</t>
  </si>
  <si>
    <t>alejandro.rodriguez123@mail.com</t>
  </si>
  <si>
    <t>O00269</t>
  </si>
  <si>
    <t>paula.ramirez68@mail.com</t>
  </si>
  <si>
    <t>O00270</t>
  </si>
  <si>
    <t>20/06/2026</t>
  </si>
  <si>
    <t>O00271</t>
  </si>
  <si>
    <t>01/07/2026</t>
  </si>
  <si>
    <t>Sofia Diaz</t>
  </si>
  <si>
    <t>sofia.diaz3@mail.com</t>
  </si>
  <si>
    <t>O00272</t>
  </si>
  <si>
    <t>O00273</t>
  </si>
  <si>
    <t>29/07/2026</t>
  </si>
  <si>
    <t>O00274</t>
  </si>
  <si>
    <t>O00275</t>
  </si>
  <si>
    <t>Alejandro Diaz</t>
  </si>
  <si>
    <t>alejandro.diaz133@mail.com</t>
  </si>
  <si>
    <t>O00276</t>
  </si>
  <si>
    <t>O00277</t>
  </si>
  <si>
    <t>O00278</t>
  </si>
  <si>
    <t>O00279</t>
  </si>
  <si>
    <t>O00280</t>
  </si>
  <si>
    <t>O00281</t>
  </si>
  <si>
    <t>04/08/2026</t>
  </si>
  <si>
    <t>O00282</t>
  </si>
  <si>
    <t>santiago.perez1@mail.com</t>
  </si>
  <si>
    <t>O00283</t>
  </si>
  <si>
    <t>O00284</t>
  </si>
  <si>
    <t>O00285</t>
  </si>
  <si>
    <t>O00286</t>
  </si>
  <si>
    <t>O00287</t>
  </si>
  <si>
    <t>10/08/2026</t>
  </si>
  <si>
    <t>O00288</t>
  </si>
  <si>
    <t>O00289</t>
  </si>
  <si>
    <t>O00290</t>
  </si>
  <si>
    <t>O00291</t>
  </si>
  <si>
    <t>O00292</t>
  </si>
  <si>
    <t>O00293</t>
  </si>
  <si>
    <t>O00294</t>
  </si>
  <si>
    <t>2026-07-02</t>
  </si>
  <si>
    <t>O00295</t>
  </si>
  <si>
    <t>O00296</t>
  </si>
  <si>
    <t>O00297</t>
  </si>
  <si>
    <t>O00298</t>
  </si>
  <si>
    <t>O00299</t>
  </si>
  <si>
    <t>O00300</t>
  </si>
  <si>
    <t>diego.vargas94@mail.com</t>
  </si>
  <si>
    <t>O00301</t>
  </si>
  <si>
    <t>O00302</t>
  </si>
  <si>
    <t>O00303</t>
  </si>
  <si>
    <t>Mateo Martinez</t>
  </si>
  <si>
    <t>mateo.martinez177@mail.com</t>
  </si>
  <si>
    <t>O00304</t>
  </si>
  <si>
    <t>O00305</t>
  </si>
  <si>
    <t>Paula Gomez</t>
  </si>
  <si>
    <t>paula.gomez91@mail.com</t>
  </si>
  <si>
    <t>O00306</t>
  </si>
  <si>
    <t>O00307</t>
  </si>
  <si>
    <t>diego.diaz166@mail.com</t>
  </si>
  <si>
    <t>O00308</t>
  </si>
  <si>
    <t>laura.rodriguez170@mail.com</t>
  </si>
  <si>
    <t>O00309</t>
  </si>
  <si>
    <t>2026-07-04</t>
  </si>
  <si>
    <t>O00310</t>
  </si>
  <si>
    <t>O00311</t>
  </si>
  <si>
    <t>2026-06-23</t>
  </si>
  <si>
    <t>Andres Diaz</t>
  </si>
  <si>
    <t>andres.diaz179@mail.com</t>
  </si>
  <si>
    <t>O00312</t>
  </si>
  <si>
    <t>O00313</t>
  </si>
  <si>
    <t>O00314</t>
  </si>
  <si>
    <t>Maria Martinez</t>
  </si>
  <si>
    <t>maria.martinez106@mail.com</t>
  </si>
  <si>
    <t>O00315</t>
  </si>
  <si>
    <t>O00316</t>
  </si>
  <si>
    <t>O00317</t>
  </si>
  <si>
    <t>O00318</t>
  </si>
  <si>
    <t>O00319</t>
  </si>
  <si>
    <t>O00320</t>
  </si>
  <si>
    <t>O00321</t>
  </si>
  <si>
    <t>2026-04-10</t>
  </si>
  <si>
    <t>Natalia Ortiz</t>
  </si>
  <si>
    <t>natalia.ortiz107@mail.com</t>
  </si>
  <si>
    <t>O00322</t>
  </si>
  <si>
    <t>2026-02-22</t>
  </si>
  <si>
    <t>Fernanda Lopez</t>
  </si>
  <si>
    <t>fernanda.lopez19@mail.com</t>
  </si>
  <si>
    <t>O00323</t>
  </si>
  <si>
    <t>2026-02-16</t>
  </si>
  <si>
    <t>Sebastian Gomez</t>
  </si>
  <si>
    <t>sebastian.gomez15@mail.com</t>
  </si>
  <si>
    <t>O00324</t>
  </si>
  <si>
    <t>2026-11-09</t>
  </si>
  <si>
    <t>Ximena Martinez</t>
  </si>
  <si>
    <t>ximena.martinez177@mail.com</t>
  </si>
  <si>
    <t>O00325</t>
  </si>
  <si>
    <t>2026-09-26</t>
  </si>
  <si>
    <t>laura.rodriguez175@mail.com</t>
  </si>
  <si>
    <t>O00326</t>
  </si>
  <si>
    <t>Esteban Moreno</t>
  </si>
  <si>
    <t>esteban.moreno150@mail.com</t>
  </si>
  <si>
    <t>O00327</t>
  </si>
  <si>
    <t>Maria Hernandez</t>
  </si>
  <si>
    <t>maria.hernandez83@mail.com</t>
  </si>
  <si>
    <t>O00328</t>
  </si>
  <si>
    <t>2026-12-04</t>
  </si>
  <si>
    <t>David Jimenez</t>
  </si>
  <si>
    <t>david.jimenez192@mail.com</t>
  </si>
  <si>
    <t>O00329</t>
  </si>
  <si>
    <t>Manuela Gomez</t>
  </si>
  <si>
    <t>manuela.gomez88@mail.com</t>
  </si>
  <si>
    <t>O00330</t>
  </si>
  <si>
    <t>camila.torres39@mail.com</t>
  </si>
  <si>
    <t>O00331</t>
  </si>
  <si>
    <t>2026-01-14</t>
  </si>
  <si>
    <t>daniela.gomez4@mail.com</t>
  </si>
  <si>
    <t>O00332</t>
  </si>
  <si>
    <t>2026-11-18</t>
  </si>
  <si>
    <t>natalia.castro146@mail.com</t>
  </si>
  <si>
    <t>O00333</t>
  </si>
  <si>
    <t>2026-02-11</t>
  </si>
  <si>
    <t>Alejandro Gomez</t>
  </si>
  <si>
    <t>alejandro.gomez26@mail.com</t>
  </si>
  <si>
    <t>O00334</t>
  </si>
  <si>
    <t>2026-01-08</t>
  </si>
  <si>
    <t>alejandro.rodriguez11@mail.com</t>
  </si>
  <si>
    <t>O00335</t>
  </si>
  <si>
    <t>mateo.martinez111@mail.com</t>
  </si>
  <si>
    <t>O00336</t>
  </si>
  <si>
    <t>Isabella Martinez</t>
  </si>
  <si>
    <t>isabella.martinez177@mail.com</t>
  </si>
  <si>
    <t>O00337</t>
  </si>
  <si>
    <t>2026-03-26</t>
  </si>
  <si>
    <t>Santiago Martinez</t>
  </si>
  <si>
    <t>santiago.martinez167@mail.com</t>
  </si>
  <si>
    <t>O00338</t>
  </si>
  <si>
    <t>2026-09-19</t>
  </si>
  <si>
    <t>isabella.diaz21@mail.com</t>
  </si>
  <si>
    <t>O00339</t>
  </si>
  <si>
    <t>01/01/2026</t>
  </si>
  <si>
    <t>Alejandro Lopez</t>
  </si>
  <si>
    <t>alejandro.lopez109@mail.com</t>
  </si>
  <si>
    <t>O00340</t>
  </si>
  <si>
    <t>2026-09-20</t>
  </si>
  <si>
    <t>Santiago Castro</t>
  </si>
  <si>
    <t>santiago.castro71@mail.com</t>
  </si>
  <si>
    <t>O00341</t>
  </si>
  <si>
    <t>2026-11-30</t>
  </si>
  <si>
    <t>Julian Moreno</t>
  </si>
  <si>
    <t>julian.moreno101@mail.com</t>
  </si>
  <si>
    <t>O00342</t>
  </si>
  <si>
    <t>Maria Lopez</t>
  </si>
  <si>
    <t>maria.lopez133@mail.com</t>
  </si>
  <si>
    <t>O00343</t>
  </si>
  <si>
    <t>Esteban Ortiz</t>
  </si>
  <si>
    <t>esteban.ortiz133@mail.com</t>
  </si>
  <si>
    <t>O00344</t>
  </si>
  <si>
    <t>2026-11-20</t>
  </si>
  <si>
    <t>Miguel Gomez</t>
  </si>
  <si>
    <t>miguel.gomez127@mail.com</t>
  </si>
  <si>
    <t>O00345</t>
  </si>
  <si>
    <t>2026-04-25</t>
  </si>
  <si>
    <t>Catalina Vargas</t>
  </si>
  <si>
    <t>catalina.vargas107@mail.com</t>
  </si>
  <si>
    <t>O00346</t>
  </si>
  <si>
    <t>Ricardo Perez</t>
  </si>
  <si>
    <t>ricardo.perez175@mail.com</t>
  </si>
  <si>
    <t>O00347</t>
  </si>
  <si>
    <t>2026-10-20</t>
  </si>
  <si>
    <t>santiago.perez76@mail.com</t>
  </si>
  <si>
    <t>O00348</t>
  </si>
  <si>
    <t>2026-08-26</t>
  </si>
  <si>
    <t>gabriela.diaz16@mail.com</t>
  </si>
  <si>
    <t>O00349</t>
  </si>
  <si>
    <t>2026-10-30</t>
  </si>
  <si>
    <t>Isabella Jimenez</t>
  </si>
  <si>
    <t>isabella.jimenez172@mail.com</t>
  </si>
  <si>
    <t>O00350</t>
  </si>
  <si>
    <t>Juan Perez</t>
  </si>
  <si>
    <t>juan.perez187@mail.com</t>
  </si>
  <si>
    <t>O00351</t>
  </si>
  <si>
    <t>2026-11-27</t>
  </si>
  <si>
    <t>O00352</t>
  </si>
  <si>
    <t>2026-11-05</t>
  </si>
  <si>
    <t>O00353</t>
  </si>
  <si>
    <t>2026-10-27</t>
  </si>
  <si>
    <t>ximena.martinez151@mail.com</t>
  </si>
  <si>
    <t>O00354</t>
  </si>
  <si>
    <t>2026-11-04</t>
  </si>
  <si>
    <t>Catalina Martinez</t>
  </si>
  <si>
    <t>catalina.martinez83@mail.com</t>
  </si>
  <si>
    <t>O00355</t>
  </si>
  <si>
    <t>2026-02-19</t>
  </si>
  <si>
    <t>Nicolas Vargas</t>
  </si>
  <si>
    <t>nicolas.vargas144@mail.com</t>
  </si>
  <si>
    <t>O00356</t>
  </si>
  <si>
    <t>25/09/2026</t>
  </si>
  <si>
    <t>Esteban Martinez</t>
  </si>
  <si>
    <t>esteban.martinez139@mail.com</t>
  </si>
  <si>
    <t>O00357</t>
  </si>
  <si>
    <t>Manuela Torres</t>
  </si>
  <si>
    <t>manuela.torres155@mail.com</t>
  </si>
  <si>
    <t>O00358</t>
  </si>
  <si>
    <t>Manuela Moreno</t>
  </si>
  <si>
    <t>manuela.moreno133@mail.com</t>
  </si>
  <si>
    <t>O00359</t>
  </si>
  <si>
    <t>2026-10-29</t>
  </si>
  <si>
    <t>daniela.diaz10@mail.com</t>
  </si>
  <si>
    <t>O00360</t>
  </si>
  <si>
    <t>O00361</t>
  </si>
  <si>
    <t>2026-01-20</t>
  </si>
  <si>
    <t>Natalia Moreno</t>
  </si>
  <si>
    <t>natalia.moreno134@mail.com</t>
  </si>
  <si>
    <t>O00362</t>
  </si>
  <si>
    <t>Camila Moreno</t>
  </si>
  <si>
    <t>camila.moreno80@mail.com</t>
  </si>
  <si>
    <t>O00363</t>
  </si>
  <si>
    <t>2026-09-05</t>
  </si>
  <si>
    <t>O00364</t>
  </si>
  <si>
    <t>2026-09-18</t>
  </si>
  <si>
    <t>Alejandro Sanchez</t>
  </si>
  <si>
    <t>alejandro.sanchez135@mail.com</t>
  </si>
  <si>
    <t>O00365</t>
  </si>
  <si>
    <t>2026-12-05</t>
  </si>
  <si>
    <t>O00366</t>
  </si>
  <si>
    <t>2026-02-10</t>
  </si>
  <si>
    <t>Juan Ortiz</t>
  </si>
  <si>
    <t>juan.ortiz87@mail.com</t>
  </si>
  <si>
    <t>O00367</t>
  </si>
  <si>
    <t>2026-02-13</t>
  </si>
  <si>
    <t>Sofia Jimenez</t>
  </si>
  <si>
    <t>sofia.jimenez82@mail.com</t>
  </si>
  <si>
    <t>O00368</t>
  </si>
  <si>
    <t>2026-05-14</t>
  </si>
  <si>
    <t>Fernanda Sanchez</t>
  </si>
  <si>
    <t>fernanda.sanchez183@mail.com</t>
  </si>
  <si>
    <t>O00369</t>
  </si>
  <si>
    <t>daniela.martinez68@mail.com</t>
  </si>
  <si>
    <t>O00370</t>
  </si>
  <si>
    <t>O00371</t>
  </si>
  <si>
    <t>nicolas.vargas36@mail.com</t>
  </si>
  <si>
    <t>O00372</t>
  </si>
  <si>
    <t>2026-01-11</t>
  </si>
  <si>
    <t>O00373</t>
  </si>
  <si>
    <t>2026-09-22</t>
  </si>
  <si>
    <t>Paula Martinez</t>
  </si>
  <si>
    <t>paula.martinez72@mail.com</t>
  </si>
  <si>
    <t>O00374</t>
  </si>
  <si>
    <t>2026-01-23</t>
  </si>
  <si>
    <t>daniela.martinez5@mail.com</t>
  </si>
  <si>
    <t>O00375</t>
  </si>
  <si>
    <t>O00376</t>
  </si>
  <si>
    <t>isabella.jimenez153@mail.com</t>
  </si>
  <si>
    <t>O00377</t>
  </si>
  <si>
    <t>Gabriela Jimenez</t>
  </si>
  <si>
    <t>gabriela.jimenez17@mail.com</t>
  </si>
  <si>
    <t>O00378</t>
  </si>
  <si>
    <t>Ricardo Hernandez</t>
  </si>
  <si>
    <t>ricardo.hernandez65@mail.com</t>
  </si>
  <si>
    <t>O00379</t>
  </si>
  <si>
    <t>O00380</t>
  </si>
  <si>
    <t>2026-08-16</t>
  </si>
  <si>
    <t>O00381</t>
  </si>
  <si>
    <t>2026-01-03</t>
  </si>
  <si>
    <t>juan.vargas46@mail.com</t>
  </si>
  <si>
    <t>O00382</t>
  </si>
  <si>
    <t>Julian Ortiz</t>
  </si>
  <si>
    <t>julian.ortiz58@mail.com</t>
  </si>
  <si>
    <t>O00383</t>
  </si>
  <si>
    <t>2026-09-28</t>
  </si>
  <si>
    <t>Juan Hernandez</t>
  </si>
  <si>
    <t>juan.hernandez64@mail.com</t>
  </si>
  <si>
    <t>O00384</t>
  </si>
  <si>
    <t>11/04/2026</t>
  </si>
  <si>
    <t>Paula Rodriguez</t>
  </si>
  <si>
    <t>paula.rodriguez185@mail.com</t>
  </si>
  <si>
    <t>O00385</t>
  </si>
  <si>
    <t>2026-01-25</t>
  </si>
  <si>
    <t>Manuela Lopez</t>
  </si>
  <si>
    <t>manuela.lopez93@mail.com</t>
  </si>
  <si>
    <t>O00386</t>
  </si>
  <si>
    <t>O00387</t>
  </si>
  <si>
    <t>2026-01-31</t>
  </si>
  <si>
    <t>O00388</t>
  </si>
  <si>
    <t>2026-05-27</t>
  </si>
  <si>
    <t>diego.rodriguez184@mail.com</t>
  </si>
  <si>
    <t>O00389</t>
  </si>
  <si>
    <t>Fernanda Castro</t>
  </si>
  <si>
    <t>fernanda.castro167@mail.com</t>
  </si>
  <si>
    <t>O00390</t>
  </si>
  <si>
    <t>2026-04-16</t>
  </si>
  <si>
    <t>Fernanda Vargas</t>
  </si>
  <si>
    <t>fernanda.vargas118@mail.com</t>
  </si>
  <si>
    <t>O00391</t>
  </si>
  <si>
    <t>2026-08-28</t>
  </si>
  <si>
    <t>Felipe Gomez</t>
  </si>
  <si>
    <t>felipe.gomez104@mail.com</t>
  </si>
  <si>
    <t>O00392</t>
  </si>
  <si>
    <t>2026-03-08</t>
  </si>
  <si>
    <t>Andres Hernandez</t>
  </si>
  <si>
    <t>andres.hernandez92@mail.com</t>
  </si>
  <si>
    <t>O00393</t>
  </si>
  <si>
    <t>daniela.rodriguez96@mail.com</t>
  </si>
  <si>
    <t>O00394</t>
  </si>
  <si>
    <t>Diego Lopez</t>
  </si>
  <si>
    <t>diego.lopez18@mail.com</t>
  </si>
  <si>
    <t>O00395</t>
  </si>
  <si>
    <t>2026-11-11</t>
  </si>
  <si>
    <t>Valentina Hernandez</t>
  </si>
  <si>
    <t>valentina.hernandez179@mail.com</t>
  </si>
  <si>
    <t>O00396</t>
  </si>
  <si>
    <t>2026-11-13</t>
  </si>
  <si>
    <t>Maria Moreno</t>
  </si>
  <si>
    <t>maria.moreno57@mail.com</t>
  </si>
  <si>
    <t>O00397</t>
  </si>
  <si>
    <t>2026-08-22</t>
  </si>
  <si>
    <t>diego.ramirez199@mail.com</t>
  </si>
  <si>
    <t>O00398</t>
  </si>
  <si>
    <t>Nicolas Diaz</t>
  </si>
  <si>
    <t>nicolas.diaz145@mail.com</t>
  </si>
  <si>
    <t>O00399</t>
  </si>
  <si>
    <t>Ximena Jimenez</t>
  </si>
  <si>
    <t>ximena.jimenez193@mail.com</t>
  </si>
  <si>
    <t>O00400</t>
  </si>
  <si>
    <t>O00401</t>
  </si>
  <si>
    <t>2026-02-26</t>
  </si>
  <si>
    <t>Natalia Martinez</t>
  </si>
  <si>
    <t>natalia.martinez50@mail.com</t>
  </si>
  <si>
    <t>O00402</t>
  </si>
  <si>
    <t>2026-09-07</t>
  </si>
  <si>
    <t>Fernanda Ortiz</t>
  </si>
  <si>
    <t>fernanda.ortiz98@mail.com</t>
  </si>
  <si>
    <t>O00403</t>
  </si>
  <si>
    <t>Juan Rodriguez</t>
  </si>
  <si>
    <t>juan.rodriguez171@mail.com</t>
  </si>
  <si>
    <t>O00404</t>
  </si>
  <si>
    <t>Mateo Moreno</t>
  </si>
  <si>
    <t>mateo.moreno84@mail.com</t>
  </si>
  <si>
    <t>O00405</t>
  </si>
  <si>
    <t>2026-03-30</t>
  </si>
  <si>
    <t>Sofia Ramirez</t>
  </si>
  <si>
    <t>sofia.ramirez104@mail.com</t>
  </si>
  <si>
    <t>O00406</t>
  </si>
  <si>
    <t>28/10/2026</t>
  </si>
  <si>
    <t>alejandro.diaz25@mail.com</t>
  </si>
  <si>
    <t>O00407</t>
  </si>
  <si>
    <t>2026-01-12</t>
  </si>
  <si>
    <t>Ximena Rodriguez</t>
  </si>
  <si>
    <t>ximena.rodriguez96@mail.com</t>
  </si>
  <si>
    <t>O00408</t>
  </si>
  <si>
    <t>2026-10-08</t>
  </si>
  <si>
    <t>Fernanda Diaz</t>
  </si>
  <si>
    <t>fernanda.diaz94@mail.com</t>
  </si>
  <si>
    <t>O00409</t>
  </si>
  <si>
    <t>david.diaz183@mail.com</t>
  </si>
  <si>
    <t>O00410</t>
  </si>
  <si>
    <t>2026-01-28</t>
  </si>
  <si>
    <t>juan.hernandez7@mail.com</t>
  </si>
  <si>
    <t>O00411</t>
  </si>
  <si>
    <t>isabella.sanchez59@mail.com</t>
  </si>
  <si>
    <t>O00412</t>
  </si>
  <si>
    <t>2026-03-16</t>
  </si>
  <si>
    <t>O00413</t>
  </si>
  <si>
    <t>2026-02-25</t>
  </si>
  <si>
    <t>Julian Castro</t>
  </si>
  <si>
    <t>julian.castro40@mail.com</t>
  </si>
  <si>
    <t>O00414</t>
  </si>
  <si>
    <t>2026-03-18</t>
  </si>
  <si>
    <t>O00415</t>
  </si>
  <si>
    <t>2026-04-07</t>
  </si>
  <si>
    <t>Manuela Martinez</t>
  </si>
  <si>
    <t>manuela.martinez152@mail.com</t>
  </si>
  <si>
    <t>O00416</t>
  </si>
  <si>
    <t>Mateo Vargas</t>
  </si>
  <si>
    <t>mateo.vargas175@mail.com</t>
  </si>
  <si>
    <t>O00417</t>
  </si>
  <si>
    <t>2026-02-03</t>
  </si>
  <si>
    <t>maria.ramirez150@mail.com</t>
  </si>
  <si>
    <t>O00418</t>
  </si>
  <si>
    <t>Catalina Jimenez</t>
  </si>
  <si>
    <t>catalina.jimenez76@mail.com</t>
  </si>
  <si>
    <t>O00419</t>
  </si>
  <si>
    <t>Nicolas Lopez</t>
  </si>
  <si>
    <t>nicolas.lopez125@mail.com</t>
  </si>
  <si>
    <t>O00420</t>
  </si>
  <si>
    <t>Camila Gomez</t>
  </si>
  <si>
    <t>camila.gomez147@mail.com</t>
  </si>
  <si>
    <t>O00421</t>
  </si>
  <si>
    <t>2026-03-03</t>
  </si>
  <si>
    <t>Miguel Martinez</t>
  </si>
  <si>
    <t>miguel.martinez162@mail.com</t>
  </si>
  <si>
    <t>O00422</t>
  </si>
  <si>
    <t>2026-03-01</t>
  </si>
  <si>
    <t>Antonia Sanchez</t>
  </si>
  <si>
    <t>antonia.sanchez54@mail.com</t>
  </si>
  <si>
    <t>O00423</t>
  </si>
  <si>
    <t>Nicolas Ortiz</t>
  </si>
  <si>
    <t>nicolas.ortiz56@mail.com</t>
  </si>
  <si>
    <t>O00424</t>
  </si>
  <si>
    <t>ricardo.perez77@mail.com</t>
  </si>
  <si>
    <t>O00425</t>
  </si>
  <si>
    <t>2026-10-09</t>
  </si>
  <si>
    <t>isabella.jimenez170@mail.com</t>
  </si>
  <si>
    <t>O00426</t>
  </si>
  <si>
    <t>11/02/2026</t>
  </si>
  <si>
    <t>O00427</t>
  </si>
  <si>
    <t>valentina.castro178@mail.com</t>
  </si>
  <si>
    <t>O00428</t>
  </si>
  <si>
    <t>2026-11-23</t>
  </si>
  <si>
    <t>Andres Perez</t>
  </si>
  <si>
    <t>andres.perez17@mail.com</t>
  </si>
  <si>
    <t>O00429</t>
  </si>
  <si>
    <t>2026-04-27</t>
  </si>
  <si>
    <t>Ximena Sanchez</t>
  </si>
  <si>
    <t>ximena.sanchez17@mail.com</t>
  </si>
  <si>
    <t>O00430</t>
  </si>
  <si>
    <t>2026-10-11</t>
  </si>
  <si>
    <t>O00431</t>
  </si>
  <si>
    <t>O00432</t>
  </si>
  <si>
    <t>Felipe Castro</t>
  </si>
  <si>
    <t>felipe.castro82@mail.com</t>
  </si>
  <si>
    <t>O00433</t>
  </si>
  <si>
    <t>2026-09-24</t>
  </si>
  <si>
    <t>gabriela.gomez77@mail.com</t>
  </si>
  <si>
    <t>O00434</t>
  </si>
  <si>
    <t>2026-11-10</t>
  </si>
  <si>
    <t>Natalia Rodriguez</t>
  </si>
  <si>
    <t>natalia.rodriguez191@mail.com</t>
  </si>
  <si>
    <t>O00435</t>
  </si>
  <si>
    <t>2026-03-11</t>
  </si>
  <si>
    <t>Diego Jimenez</t>
  </si>
  <si>
    <t>diego.jimenez145@mail.com</t>
  </si>
  <si>
    <t>O00436</t>
  </si>
  <si>
    <t>Miguel Moreno</t>
  </si>
  <si>
    <t>miguel.moreno101@mail.com</t>
  </si>
  <si>
    <t>O00437</t>
  </si>
  <si>
    <t>Gabriela Martinez</t>
  </si>
  <si>
    <t>gabriela.martinez158@mail.com</t>
  </si>
  <si>
    <t>O00438</t>
  </si>
  <si>
    <t>09/03/2026</t>
  </si>
  <si>
    <t>Fernanda Torres</t>
  </si>
  <si>
    <t>fernanda.torres3@mail.com</t>
  </si>
  <si>
    <t>O00439</t>
  </si>
  <si>
    <t>2026-05-22</t>
  </si>
  <si>
    <t>Andres Ramirez</t>
  </si>
  <si>
    <t>andres.ramirez90@mail.com</t>
  </si>
  <si>
    <t>O00440</t>
  </si>
  <si>
    <t>2026-05-16</t>
  </si>
  <si>
    <t>fernanda.diaz5@mail.com</t>
  </si>
  <si>
    <t>O00441</t>
  </si>
  <si>
    <t>paula.martinez166@mail.com</t>
  </si>
  <si>
    <t>O00442</t>
  </si>
  <si>
    <t>2026-03-12</t>
  </si>
  <si>
    <t>O00443</t>
  </si>
  <si>
    <t>2026-01-13</t>
  </si>
  <si>
    <t>andres.castro145@mail.com</t>
  </si>
  <si>
    <t>O00444</t>
  </si>
  <si>
    <t>2026-01-16</t>
  </si>
  <si>
    <t>Isabella Rodriguez</t>
  </si>
  <si>
    <t>isabella.rodriguez3@mail.com</t>
  </si>
  <si>
    <t>O00445</t>
  </si>
  <si>
    <t>2026-09-21</t>
  </si>
  <si>
    <t>Ricardo Gomez</t>
  </si>
  <si>
    <t>ricardo.gomez12@mail.com</t>
  </si>
  <si>
    <t>O00446</t>
  </si>
  <si>
    <t>valentina.gomez173@mail.com</t>
  </si>
  <si>
    <t>O00447</t>
  </si>
  <si>
    <t>2026-12-03</t>
  </si>
  <si>
    <t>O00448</t>
  </si>
  <si>
    <t>2026-05-23</t>
  </si>
  <si>
    <t>ximena.martinez3@mail.com</t>
  </si>
  <si>
    <t>O00449</t>
  </si>
  <si>
    <t>2026-08-15</t>
  </si>
  <si>
    <t>Felipe Moreno</t>
  </si>
  <si>
    <t>felipe.moreno124@mail.com</t>
  </si>
  <si>
    <t>O00450</t>
  </si>
  <si>
    <t>2026-04-04</t>
  </si>
  <si>
    <t>Ximena Hernandez</t>
  </si>
  <si>
    <t>ximena.hernandez20@mail.com</t>
  </si>
  <si>
    <t>O00451</t>
  </si>
  <si>
    <t>Laura Ortiz</t>
  </si>
  <si>
    <t>laura.ortiz181@mail.com</t>
  </si>
  <si>
    <t>O00452</t>
  </si>
  <si>
    <t>2026-08-29</t>
  </si>
  <si>
    <t>isabella.perez156@mail.com</t>
  </si>
  <si>
    <t>O00453</t>
  </si>
  <si>
    <t>gabriela.torres68@mail.com</t>
  </si>
  <si>
    <t>O00454</t>
  </si>
  <si>
    <t>2026-08-25</t>
  </si>
  <si>
    <t>O00455</t>
  </si>
  <si>
    <t>2026-04-12</t>
  </si>
  <si>
    <t>O00456</t>
  </si>
  <si>
    <t>natalia.sanchez57@mail.com</t>
  </si>
  <si>
    <t>O00457</t>
  </si>
  <si>
    <t>Julian Lopez</t>
  </si>
  <si>
    <t>julian.lopez73@mail.com</t>
  </si>
  <si>
    <t>O00458</t>
  </si>
  <si>
    <t>2026-05-15</t>
  </si>
  <si>
    <t>Santiago Ortiz</t>
  </si>
  <si>
    <t>santiago.ortiz166@mail.com</t>
  </si>
  <si>
    <t>O00459</t>
  </si>
  <si>
    <t>Laura Castro</t>
  </si>
  <si>
    <t>laura.castro41@mail.com</t>
  </si>
  <si>
    <t>O00460</t>
  </si>
  <si>
    <t>2026-11-19</t>
  </si>
  <si>
    <t>Maria Sanchez</t>
  </si>
  <si>
    <t>maria.sanchez179@mail.com</t>
  </si>
  <si>
    <t>O00461</t>
  </si>
  <si>
    <t>Catalina Ramirez</t>
  </si>
  <si>
    <t>catalina.ramirez74@mail.com</t>
  </si>
  <si>
    <t>O00462</t>
  </si>
  <si>
    <t>Isabella Gomez</t>
  </si>
  <si>
    <t>isabella.gomez32@mail.com</t>
  </si>
  <si>
    <t>O00463</t>
  </si>
  <si>
    <t>2026-01-15</t>
  </si>
  <si>
    <t>valentina.sanchez87@mail.com</t>
  </si>
  <si>
    <t>O00464</t>
  </si>
  <si>
    <t>2026-11-08</t>
  </si>
  <si>
    <t>Alejandro Ramirez</t>
  </si>
  <si>
    <t>alejandro.ramirez94@mail.com</t>
  </si>
  <si>
    <t>O00465</t>
  </si>
  <si>
    <t>O00466</t>
  </si>
  <si>
    <t>2026-10-28</t>
  </si>
  <si>
    <t>Nicolas Castro</t>
  </si>
  <si>
    <t>nicolas.castro48@mail.com</t>
  </si>
  <si>
    <t>O00467</t>
  </si>
  <si>
    <t>felipe.gomez23@mail.com</t>
  </si>
  <si>
    <t>O00468</t>
  </si>
  <si>
    <t>O00469</t>
  </si>
  <si>
    <t>2026-01-09</t>
  </si>
  <si>
    <t>O00470</t>
  </si>
  <si>
    <t>2026-02-17</t>
  </si>
  <si>
    <t>O00471</t>
  </si>
  <si>
    <t>2026-12-02</t>
  </si>
  <si>
    <t>O00472</t>
  </si>
  <si>
    <t>2026-05-17</t>
  </si>
  <si>
    <t>Paula Ortiz</t>
  </si>
  <si>
    <t>paula.ortiz107@mail.com</t>
  </si>
  <si>
    <t>O00473</t>
  </si>
  <si>
    <t>2026-03-05</t>
  </si>
  <si>
    <t>O00474</t>
  </si>
  <si>
    <t>2026-05-06</t>
  </si>
  <si>
    <t>O00475</t>
  </si>
  <si>
    <t>esteban.ortiz18@mail.com</t>
  </si>
  <si>
    <t>O00476</t>
  </si>
  <si>
    <t>Nicolas Torres</t>
  </si>
  <si>
    <t>nicolas.torres168@mail.com</t>
  </si>
  <si>
    <t>O00477</t>
  </si>
  <si>
    <t>Nicolas Jimenez</t>
  </si>
  <si>
    <t>nicolas.jimenez67@mail.com</t>
  </si>
  <si>
    <t>O00478</t>
  </si>
  <si>
    <t>O00479</t>
  </si>
  <si>
    <t>Esteban Ramirez</t>
  </si>
  <si>
    <t>esteban.ramirez113@mail.com</t>
  </si>
  <si>
    <t>O00480</t>
  </si>
  <si>
    <t>2026-05-25</t>
  </si>
  <si>
    <t>Catalina Rodriguez</t>
  </si>
  <si>
    <t>catalina.rodriguez37@mail.com</t>
  </si>
  <si>
    <t>O00481</t>
  </si>
  <si>
    <t>2026-11-29</t>
  </si>
  <si>
    <t>david.rodriguez92@mail.com</t>
  </si>
  <si>
    <t>O00482</t>
  </si>
  <si>
    <t>O00483</t>
  </si>
  <si>
    <t>gabriela.diaz161@mail.com</t>
  </si>
  <si>
    <t>O00484</t>
  </si>
  <si>
    <t>Sofia Moreno</t>
  </si>
  <si>
    <t>sofia.moreno38@mail.com</t>
  </si>
  <si>
    <t>O00485</t>
  </si>
  <si>
    <t>2026-04-28</t>
  </si>
  <si>
    <t>fernanda.sanchez184@mail.com</t>
  </si>
  <si>
    <t>O00486</t>
  </si>
  <si>
    <t>O00487</t>
  </si>
  <si>
    <t>Gabriela Lopez</t>
  </si>
  <si>
    <t>gabriela.lopez37@mail.com</t>
  </si>
  <si>
    <t>O00488</t>
  </si>
  <si>
    <t>2026-01-21</t>
  </si>
  <si>
    <t>felipe.moreno72@mail.com</t>
  </si>
  <si>
    <t>O00489</t>
  </si>
  <si>
    <t>2026-03-23</t>
  </si>
  <si>
    <t>Mateo Jimenez</t>
  </si>
  <si>
    <t>mateo.jimenez97@mail.com</t>
  </si>
  <si>
    <t>O00490</t>
  </si>
  <si>
    <t>natalia.martinez126@mail.com</t>
  </si>
  <si>
    <t>O00491</t>
  </si>
  <si>
    <t>santiago.vargas84@mail.com</t>
  </si>
  <si>
    <t>O00492</t>
  </si>
  <si>
    <t>maria.diaz38@mail.com</t>
  </si>
  <si>
    <t>O00493</t>
  </si>
  <si>
    <t>2026-04-05</t>
  </si>
  <si>
    <t>fernanda.diaz90@mail.com</t>
  </si>
  <si>
    <t>O00494</t>
  </si>
  <si>
    <t>2026-05-10</t>
  </si>
  <si>
    <t>felipe.castro134@mail.com</t>
  </si>
  <si>
    <t>O00495</t>
  </si>
  <si>
    <t>2026-04-09</t>
  </si>
  <si>
    <t>Antonia Ortiz</t>
  </si>
  <si>
    <t>antonia.ortiz67@mail.com</t>
  </si>
  <si>
    <t>O00496</t>
  </si>
  <si>
    <t>Ricardo Moreno</t>
  </si>
  <si>
    <t>ricardo.moreno46@mail.com</t>
  </si>
  <si>
    <t>O00497</t>
  </si>
  <si>
    <t>2026-12-06</t>
  </si>
  <si>
    <t>Antonia Torres</t>
  </si>
  <si>
    <t>antonia.torres55@mail.com</t>
  </si>
  <si>
    <t>O00498</t>
  </si>
  <si>
    <t>laura.martinez76@mail.com</t>
  </si>
  <si>
    <t>O00499</t>
  </si>
  <si>
    <t>2026-03-29</t>
  </si>
  <si>
    <t>juan.hernandez122@mail.com</t>
  </si>
  <si>
    <t>O00500</t>
  </si>
  <si>
    <t>2026-11-14</t>
  </si>
  <si>
    <t>O00501</t>
  </si>
  <si>
    <t>fernanda.vargas128@mail.com</t>
  </si>
  <si>
    <t>O00502</t>
  </si>
  <si>
    <t>Sofia Ortiz</t>
  </si>
  <si>
    <t>sofia.ortiz121@mail.com</t>
  </si>
  <si>
    <t>O00503</t>
  </si>
  <si>
    <t>Antonia Diaz</t>
  </si>
  <si>
    <t>antonia.diaz128@mail.com</t>
  </si>
  <si>
    <t>O00504</t>
  </si>
  <si>
    <t>O00505</t>
  </si>
  <si>
    <t>Ximena Perez</t>
  </si>
  <si>
    <t>ximena.perez20@mail.com</t>
  </si>
  <si>
    <t>O00506</t>
  </si>
  <si>
    <t>ximena.martinez49@mail.com</t>
  </si>
  <si>
    <t>O00507</t>
  </si>
  <si>
    <t>O00508</t>
  </si>
  <si>
    <t>05/05/2026</t>
  </si>
  <si>
    <t>O00509</t>
  </si>
  <si>
    <t>2026-03-02</t>
  </si>
  <si>
    <t>O00510</t>
  </si>
  <si>
    <t>O00511</t>
  </si>
  <si>
    <t>2026-05-28</t>
  </si>
  <si>
    <t>Natalia Torres</t>
  </si>
  <si>
    <t>natalia.torres177@mail.com</t>
  </si>
  <si>
    <t>O00512</t>
  </si>
  <si>
    <t>Laura Ramirez</t>
  </si>
  <si>
    <t>laura.ramirez173@mail.com</t>
  </si>
  <si>
    <t>O00513</t>
  </si>
  <si>
    <t>camila.martinez179@mail.com</t>
  </si>
  <si>
    <t>O00514</t>
  </si>
  <si>
    <t>O00515</t>
  </si>
  <si>
    <t>2026-09-23</t>
  </si>
  <si>
    <t>Sebastian Jimenez</t>
  </si>
  <si>
    <t>sebastian.jimenez110@mail.com</t>
  </si>
  <si>
    <t>O00516</t>
  </si>
  <si>
    <t>2026-05-29</t>
  </si>
  <si>
    <t>Nicolas Sanchez</t>
  </si>
  <si>
    <t>nicolas.sanchez19@mail.com</t>
  </si>
  <si>
    <t>O00517</t>
  </si>
  <si>
    <t>2026-08-23</t>
  </si>
  <si>
    <t>O00518</t>
  </si>
  <si>
    <t>2026-03-17</t>
  </si>
  <si>
    <t>O00519</t>
  </si>
  <si>
    <t>18/02/2026</t>
  </si>
  <si>
    <t>O00520</t>
  </si>
  <si>
    <t>2026-03-10</t>
  </si>
  <si>
    <t>O00521</t>
  </si>
  <si>
    <t>santiago.perez152@mail.com</t>
  </si>
  <si>
    <t>O00522</t>
  </si>
  <si>
    <t>2026-01-01</t>
  </si>
  <si>
    <t>gabriela.jimenez194@mail.com</t>
  </si>
  <si>
    <t>O00523</t>
  </si>
  <si>
    <t>2026-05-09</t>
  </si>
  <si>
    <t>miguel.martinez106@mail.com</t>
  </si>
  <si>
    <t>O00524</t>
  </si>
  <si>
    <t>O00525</t>
  </si>
  <si>
    <t>Diego Gomez</t>
  </si>
  <si>
    <t>diego.gomez10@mail.com</t>
  </si>
  <si>
    <t>O00526</t>
  </si>
  <si>
    <t>O00527</t>
  </si>
  <si>
    <t>2026-03-22</t>
  </si>
  <si>
    <t>camila.martinez70@mail.com</t>
  </si>
  <si>
    <t>O00528</t>
  </si>
  <si>
    <t>O00529</t>
  </si>
  <si>
    <t>O00530</t>
  </si>
  <si>
    <t>2026-01-30</t>
  </si>
  <si>
    <t>Juan Moreno</t>
  </si>
  <si>
    <t>juan.moreno182@mail.com</t>
  </si>
  <si>
    <t>O00531</t>
  </si>
  <si>
    <t>Sofia Castro</t>
  </si>
  <si>
    <t>sofia.castro163@mail.com</t>
  </si>
  <si>
    <t>O00532</t>
  </si>
  <si>
    <t>diego.sanchez113@mail.com</t>
  </si>
  <si>
    <t>O00533</t>
  </si>
  <si>
    <t>06/01/2026</t>
  </si>
  <si>
    <t>Paula Hernandez</t>
  </si>
  <si>
    <t>paula.hernandez37@mail.com</t>
  </si>
  <si>
    <t>O00534</t>
  </si>
  <si>
    <t>Camila Ortiz</t>
  </si>
  <si>
    <t>camila.ortiz78@mail.com</t>
  </si>
  <si>
    <t>O00535</t>
  </si>
  <si>
    <t>2026-04-30</t>
  </si>
  <si>
    <t>Maria Vargas</t>
  </si>
  <si>
    <t>maria.vargas65@mail.com</t>
  </si>
  <si>
    <t>O00536</t>
  </si>
  <si>
    <t>2026-10-17</t>
  </si>
  <si>
    <t>Felipe Torres</t>
  </si>
  <si>
    <t>felipe.torres155@mail.com</t>
  </si>
  <si>
    <t>O00537</t>
  </si>
  <si>
    <t>O00538</t>
  </si>
  <si>
    <t>2026-02-27</t>
  </si>
  <si>
    <t>O00539</t>
  </si>
  <si>
    <t>David Torres</t>
  </si>
  <si>
    <t>david.torres153@mail.com</t>
  </si>
  <si>
    <t>O00540</t>
  </si>
  <si>
    <t>2026-05-18</t>
  </si>
  <si>
    <t>diego.lopez175@mail.com</t>
  </si>
  <si>
    <t>O00541</t>
  </si>
  <si>
    <t>27/10/2026</t>
  </si>
  <si>
    <t>Catalina Moreno</t>
  </si>
  <si>
    <t>catalina.moreno180@mail.com</t>
  </si>
  <si>
    <t>O00542</t>
  </si>
  <si>
    <t>05/03/2026</t>
  </si>
  <si>
    <t>santiago.vargas12@mail.com</t>
  </si>
  <si>
    <t>O00543</t>
  </si>
  <si>
    <t>2026-12-01</t>
  </si>
  <si>
    <t>Antonia Lopez</t>
  </si>
  <si>
    <t>antonia.lopez65@mail.com</t>
  </si>
  <si>
    <t>O00544</t>
  </si>
  <si>
    <t>2026-11-26</t>
  </si>
  <si>
    <t>O00545</t>
  </si>
  <si>
    <t>O00546</t>
  </si>
  <si>
    <t>Sofia Rodriguez</t>
  </si>
  <si>
    <t>sofia.rodriguez63@mail.com</t>
  </si>
  <si>
    <t>O00547</t>
  </si>
  <si>
    <t>esteban.ramirez88@mail.com</t>
  </si>
  <si>
    <t>O00548</t>
  </si>
  <si>
    <t>2026-04-08</t>
  </si>
  <si>
    <t>O00549</t>
  </si>
  <si>
    <t>O00550</t>
  </si>
  <si>
    <t>Manuela Ramirez</t>
  </si>
  <si>
    <t>manuela.ramirez60@mail.com</t>
  </si>
  <si>
    <t>O00551</t>
  </si>
  <si>
    <t>2026-04-21</t>
  </si>
  <si>
    <t>O00552</t>
  </si>
  <si>
    <t>2026-11-16</t>
  </si>
  <si>
    <t>Alejandro Jimenez</t>
  </si>
  <si>
    <t>alejandro.jimenez18@mail.com</t>
  </si>
  <si>
    <t>O00553</t>
  </si>
  <si>
    <t>2026-11-06</t>
  </si>
  <si>
    <t>O00554</t>
  </si>
  <si>
    <t>2026-05-08</t>
  </si>
  <si>
    <t>Maria Perez</t>
  </si>
  <si>
    <t>maria.perez11@mail.com</t>
  </si>
  <si>
    <t>O00555</t>
  </si>
  <si>
    <t>Catalina Torres</t>
  </si>
  <si>
    <t>catalina.torres188@mail.com</t>
  </si>
  <si>
    <t>O00556</t>
  </si>
  <si>
    <t>2026-02-28</t>
  </si>
  <si>
    <t>O00557</t>
  </si>
  <si>
    <t>2026-02-20</t>
  </si>
  <si>
    <t>valentina.sanchez184@mail.com</t>
  </si>
  <si>
    <t>O00558</t>
  </si>
  <si>
    <t>2026-11-21</t>
  </si>
  <si>
    <t>O00559</t>
  </si>
  <si>
    <t>O00560</t>
  </si>
  <si>
    <t>O00561</t>
  </si>
  <si>
    <t>2026-10-12</t>
  </si>
  <si>
    <t>Camila Lopez</t>
  </si>
  <si>
    <t>camila.lopez178@mail.com</t>
  </si>
  <si>
    <t>O00562</t>
  </si>
  <si>
    <t>Nicolas Ramirez</t>
  </si>
  <si>
    <t>nicolas.ramirez77@mail.com</t>
  </si>
  <si>
    <t>O00563</t>
  </si>
  <si>
    <t>2026-02-18</t>
  </si>
  <si>
    <t>gabriela.jimenez72@mail.com</t>
  </si>
  <si>
    <t>O00564</t>
  </si>
  <si>
    <t>2026-01-06</t>
  </si>
  <si>
    <t>Gabriela Moreno</t>
  </si>
  <si>
    <t>gabriela.moreno85@mail.com</t>
  </si>
  <si>
    <t>O00565</t>
  </si>
  <si>
    <t>2026-09-29</t>
  </si>
  <si>
    <t>natalia.moreno21@mail.com</t>
  </si>
  <si>
    <t>O00566</t>
  </si>
  <si>
    <t>Paula Lopez</t>
  </si>
  <si>
    <t>paula.lopez179@mail.com</t>
  </si>
  <si>
    <t>O00567</t>
  </si>
  <si>
    <t>Manuela Rodriguez</t>
  </si>
  <si>
    <t>manuela.rodriguez14@mail.com</t>
  </si>
  <si>
    <t>O00568</t>
  </si>
  <si>
    <t>2026-03-24</t>
  </si>
  <si>
    <t>Camila Jimenez</t>
  </si>
  <si>
    <t>camila.jimenez104@mail.com</t>
  </si>
  <si>
    <t>O00569</t>
  </si>
  <si>
    <t>2026-10-06</t>
  </si>
  <si>
    <t>valentina.hernandez187@mail.com</t>
  </si>
  <si>
    <t>O00570</t>
  </si>
  <si>
    <t>O00571</t>
  </si>
  <si>
    <t>O00572</t>
  </si>
  <si>
    <t>2026-05-19</t>
  </si>
  <si>
    <t>O00573</t>
  </si>
  <si>
    <t>2026-02-15</t>
  </si>
  <si>
    <t>catalina.moreno46@mail.com</t>
  </si>
  <si>
    <t>O00574</t>
  </si>
  <si>
    <t>2026-04-01</t>
  </si>
  <si>
    <t>paula.ramirez88@mail.com</t>
  </si>
  <si>
    <t>O00575</t>
  </si>
  <si>
    <t>O00576</t>
  </si>
  <si>
    <t>O00577</t>
  </si>
  <si>
    <t>catalina.moreno77@mail.com</t>
  </si>
  <si>
    <t>O00578</t>
  </si>
  <si>
    <t>O00579</t>
  </si>
  <si>
    <t>O00580</t>
  </si>
  <si>
    <t>2026-04-24</t>
  </si>
  <si>
    <t>O00581</t>
  </si>
  <si>
    <t>O00582</t>
  </si>
  <si>
    <t>2026-09-04</t>
  </si>
  <si>
    <t>Ximena Torres</t>
  </si>
  <si>
    <t>ximena.torres31@mail.com</t>
  </si>
  <si>
    <t>O00583</t>
  </si>
  <si>
    <t>2026-02-08</t>
  </si>
  <si>
    <t>O00584</t>
  </si>
  <si>
    <t>2026-10-15</t>
  </si>
  <si>
    <t>mateo.sanchez40@mail.com</t>
  </si>
  <si>
    <t>O00585</t>
  </si>
  <si>
    <t>2026-03-27</t>
  </si>
  <si>
    <t>alejandro.jimenez136@mail.com</t>
  </si>
  <si>
    <t>O00586</t>
  </si>
  <si>
    <t>Julian Perez</t>
  </si>
  <si>
    <t>julian.perez48@mail.com</t>
  </si>
  <si>
    <t>O00587</t>
  </si>
  <si>
    <t>2026-08-20</t>
  </si>
  <si>
    <t>O00588</t>
  </si>
  <si>
    <t>juan.castro120@mail.com</t>
  </si>
  <si>
    <t>O00589</t>
  </si>
  <si>
    <t>O00590</t>
  </si>
  <si>
    <t>Maria Rodriguez</t>
  </si>
  <si>
    <t>maria.rodriguez64@mail.com</t>
  </si>
  <si>
    <t>O00591</t>
  </si>
  <si>
    <t>paula.ramirez23@mail.com</t>
  </si>
  <si>
    <t>O00592</t>
  </si>
  <si>
    <t>2026-02-05</t>
  </si>
  <si>
    <t>antonia.ortiz181@mail.com</t>
  </si>
  <si>
    <t>O00593</t>
  </si>
  <si>
    <t>O00594</t>
  </si>
  <si>
    <t>Ximena Lopez</t>
  </si>
  <si>
    <t>ximena.lopez111@mail.com</t>
  </si>
  <si>
    <t>O00595</t>
  </si>
  <si>
    <t>juan.perez169@mail.com</t>
  </si>
  <si>
    <t>O00596</t>
  </si>
  <si>
    <t>Sebastian Ortiz</t>
  </si>
  <si>
    <t>sebastian.ortiz129@mail.com</t>
  </si>
  <si>
    <t>O00597</t>
  </si>
  <si>
    <t>Carlos Perez</t>
  </si>
  <si>
    <t>carlos.perez161@mail.com</t>
  </si>
  <si>
    <t>O00598</t>
  </si>
  <si>
    <t>2026-05-07</t>
  </si>
  <si>
    <t>Sofia Vargas</t>
  </si>
  <si>
    <t>sofia.vargas151@mail.com</t>
  </si>
  <si>
    <t>O00599</t>
  </si>
  <si>
    <t>fernanda.diaz21@mail.com</t>
  </si>
  <si>
    <t>O00600</t>
  </si>
  <si>
    <t>2026-02-14</t>
  </si>
  <si>
    <t>O00601</t>
  </si>
  <si>
    <t>Catalina Ortiz</t>
  </si>
  <si>
    <t>catalina.ortiz48@mail.com</t>
  </si>
  <si>
    <t>O00602</t>
  </si>
  <si>
    <t>Felipe Ortiz</t>
  </si>
  <si>
    <t>felipe.ortiz13@mail.com</t>
  </si>
  <si>
    <t>O00603</t>
  </si>
  <si>
    <t>Manuela Ortiz</t>
  </si>
  <si>
    <t>manuela.ortiz197@mail.com</t>
  </si>
  <si>
    <t>O00604</t>
  </si>
  <si>
    <t>2026-02-02</t>
  </si>
  <si>
    <t>manuela.moreno196@mail.com</t>
  </si>
  <si>
    <t>O00605</t>
  </si>
  <si>
    <t>Carlos Jimenez</t>
  </si>
  <si>
    <t>carlos.jimenez154@mail.com</t>
  </si>
  <si>
    <t>O00606</t>
  </si>
  <si>
    <t>2026-08-27</t>
  </si>
  <si>
    <t>isabella.sanchez101@mail.com</t>
  </si>
  <si>
    <t>O00607</t>
  </si>
  <si>
    <t>Paula Castro</t>
  </si>
  <si>
    <t>paula.castro13@mail.com</t>
  </si>
  <si>
    <t>O00608</t>
  </si>
  <si>
    <t>2026-04-29</t>
  </si>
  <si>
    <t>O00609</t>
  </si>
  <si>
    <t>O00610</t>
  </si>
  <si>
    <t>mateo.moreno80@mail.com</t>
  </si>
  <si>
    <t>O00611</t>
  </si>
  <si>
    <t>valentina.gomez66@mail.com</t>
  </si>
  <si>
    <t>O00612</t>
  </si>
  <si>
    <t>O00613</t>
  </si>
  <si>
    <t>O00614</t>
  </si>
  <si>
    <t>Daniela Jimenez</t>
  </si>
  <si>
    <t>daniela.jimenez151@mail.com</t>
  </si>
  <si>
    <t>O00615</t>
  </si>
  <si>
    <t>17/04/2026</t>
  </si>
  <si>
    <t>sebastian.diaz9@mail.com</t>
  </si>
  <si>
    <t>O00616</t>
  </si>
  <si>
    <t>2026-03-04</t>
  </si>
  <si>
    <t>O00617</t>
  </si>
  <si>
    <t>O00618</t>
  </si>
  <si>
    <t>Laura Lopez</t>
  </si>
  <si>
    <t>laura.lopez49@mail.com</t>
  </si>
  <si>
    <t>O00619</t>
  </si>
  <si>
    <t>O00620</t>
  </si>
  <si>
    <t>O00621</t>
  </si>
  <si>
    <t>2026-04-15</t>
  </si>
  <si>
    <t>Ximena Ortiz</t>
  </si>
  <si>
    <t>ximena.ortiz46@mail.com</t>
  </si>
  <si>
    <t>O00622</t>
  </si>
  <si>
    <t>julian.castro138@mail.com</t>
  </si>
  <si>
    <t>O00623</t>
  </si>
  <si>
    <t>O00624</t>
  </si>
  <si>
    <t>Ricardo Sanchez</t>
  </si>
  <si>
    <t>ricardo.sanchez162@mail.com</t>
  </si>
  <si>
    <t>O00625</t>
  </si>
  <si>
    <t>2026-09-01</t>
  </si>
  <si>
    <t>Juan Jimenez</t>
  </si>
  <si>
    <t>juan.jimenez86@mail.com</t>
  </si>
  <si>
    <t>O00626</t>
  </si>
  <si>
    <t>2026-03-13</t>
  </si>
  <si>
    <t>ricardo.moreno136@mail.com</t>
  </si>
  <si>
    <t>O00627</t>
  </si>
  <si>
    <t>O00628</t>
  </si>
  <si>
    <t>2026-01-07</t>
  </si>
  <si>
    <t>sofia.vargas1@mail.com</t>
  </si>
  <si>
    <t>O00629</t>
  </si>
  <si>
    <t>O00630</t>
  </si>
  <si>
    <t>sebastian.sanchez149@mail.com</t>
  </si>
  <si>
    <t>O00631</t>
  </si>
  <si>
    <t>2026-10-19</t>
  </si>
  <si>
    <t>O00632</t>
  </si>
  <si>
    <t>O00633</t>
  </si>
  <si>
    <t>2026-01-04</t>
  </si>
  <si>
    <t>O00634</t>
  </si>
  <si>
    <t>Ximena Moreno</t>
  </si>
  <si>
    <t>ximena.moreno16@mail.com</t>
  </si>
  <si>
    <t>O00635</t>
  </si>
  <si>
    <t>2026-11-03</t>
  </si>
  <si>
    <t>O00636</t>
  </si>
  <si>
    <t>2026-09-14</t>
  </si>
  <si>
    <t>O00637</t>
  </si>
  <si>
    <t>2026-10-14</t>
  </si>
  <si>
    <t>santiago.ramirez114@mail.com</t>
  </si>
  <si>
    <t>O00638</t>
  </si>
  <si>
    <t>2026-03-15</t>
  </si>
  <si>
    <t>O00639</t>
  </si>
  <si>
    <t>daniela.gomez30@mail.com</t>
  </si>
  <si>
    <t>O00640</t>
  </si>
  <si>
    <t>19/11/2026</t>
  </si>
  <si>
    <t>O00641</t>
  </si>
  <si>
    <t>valentina.ramirez183@mail.com</t>
  </si>
  <si>
    <t>O00642</t>
  </si>
  <si>
    <t>O00643</t>
  </si>
  <si>
    <t>O00644</t>
  </si>
  <si>
    <t>O00645</t>
  </si>
  <si>
    <t>2026-01-05</t>
  </si>
  <si>
    <t>O00646</t>
  </si>
  <si>
    <t>2026-05-12</t>
  </si>
  <si>
    <t>O00647</t>
  </si>
  <si>
    <t>2026-10-23</t>
  </si>
  <si>
    <t>Sofia Martinez</t>
  </si>
  <si>
    <t>sofia.martinez113@mail.com</t>
  </si>
  <si>
    <t>O00648</t>
  </si>
  <si>
    <t>2026-10-05</t>
  </si>
  <si>
    <t>O00649</t>
  </si>
  <si>
    <t>2026-05-13</t>
  </si>
  <si>
    <t>nicolas.sanchez129@mail.com</t>
  </si>
  <si>
    <t>O00650</t>
  </si>
  <si>
    <t>natalia.castro49@mail.com</t>
  </si>
  <si>
    <t>O00651</t>
  </si>
  <si>
    <t>Felipe Vargas</t>
  </si>
  <si>
    <t>felipe.vargas36@mail.com</t>
  </si>
  <si>
    <t>O00652</t>
  </si>
  <si>
    <t>O00653</t>
  </si>
  <si>
    <t>O00654</t>
  </si>
  <si>
    <t>2026-10-21</t>
  </si>
  <si>
    <t>O00655</t>
  </si>
  <si>
    <t>gabriela.lopez74@mail.com</t>
  </si>
  <si>
    <t>O00656</t>
  </si>
  <si>
    <t>O00657</t>
  </si>
  <si>
    <t>Sebastian Lopez</t>
  </si>
  <si>
    <t>sebastian.lopez198@mail.com</t>
  </si>
  <si>
    <t>O00658</t>
  </si>
  <si>
    <t>Julian Hernandez</t>
  </si>
  <si>
    <t>julian.hernandez118@mail.com</t>
  </si>
  <si>
    <t>O00659</t>
  </si>
  <si>
    <t>O00660</t>
  </si>
  <si>
    <t>Catalina Diaz</t>
  </si>
  <si>
    <t>catalina.diaz162@mail.com</t>
  </si>
  <si>
    <t>O00661</t>
  </si>
  <si>
    <t>fernanda.diaz40@mail.com</t>
  </si>
  <si>
    <t>O00662</t>
  </si>
  <si>
    <t>O00663</t>
  </si>
  <si>
    <t>2026-10-18</t>
  </si>
  <si>
    <t>O00664</t>
  </si>
  <si>
    <t>27/07/2026</t>
  </si>
  <si>
    <t>O00665</t>
  </si>
  <si>
    <t>catalina.torres88@mail.com</t>
  </si>
  <si>
    <t>O00666</t>
  </si>
  <si>
    <t>nicolas.ramirez35@mail.com</t>
  </si>
  <si>
    <t>O00667</t>
  </si>
  <si>
    <t>2026-04-20</t>
  </si>
  <si>
    <t>laura.lopez148@mail.com</t>
  </si>
  <si>
    <t>O00668</t>
  </si>
  <si>
    <t>O00669</t>
  </si>
  <si>
    <t>07/11/2026</t>
  </si>
  <si>
    <t>Miguel Perez</t>
  </si>
  <si>
    <t>miguel.perez86@mail.com</t>
  </si>
  <si>
    <t>O00670</t>
  </si>
  <si>
    <t>Diego Perez</t>
  </si>
  <si>
    <t>diego.perez177@mail.com</t>
  </si>
  <si>
    <t>O00671</t>
  </si>
  <si>
    <t>O00672</t>
  </si>
  <si>
    <t>david.sanchez157@mail.com</t>
  </si>
  <si>
    <t>O00673</t>
  </si>
  <si>
    <t>2026-09-16</t>
  </si>
  <si>
    <t>O00674</t>
  </si>
  <si>
    <t>diego.vargas106@mail.com</t>
  </si>
  <si>
    <t>O00675</t>
  </si>
  <si>
    <t>2026-10-01</t>
  </si>
  <si>
    <t>O00676</t>
  </si>
  <si>
    <t>Miguel Torres</t>
  </si>
  <si>
    <t>miguel.torres117@mail.com</t>
  </si>
  <si>
    <t>O00677</t>
  </si>
  <si>
    <t>David Moreno</t>
  </si>
  <si>
    <t>david.moreno178@mail.com</t>
  </si>
  <si>
    <t>O00678</t>
  </si>
  <si>
    <t>O00679</t>
  </si>
  <si>
    <t>O00680</t>
  </si>
  <si>
    <t>O00681</t>
  </si>
  <si>
    <t>O00682</t>
  </si>
  <si>
    <t>08/02/2026</t>
  </si>
  <si>
    <t>O00683</t>
  </si>
  <si>
    <t>O00684</t>
  </si>
  <si>
    <t>O00685</t>
  </si>
  <si>
    <t>esteban.ramirez134@mail.com</t>
  </si>
  <si>
    <t>O00686</t>
  </si>
  <si>
    <t>O00687</t>
  </si>
  <si>
    <t>antonia.ortiz107@mail.com</t>
  </si>
  <si>
    <t>O00688</t>
  </si>
  <si>
    <t>O00689</t>
  </si>
  <si>
    <t>O00690</t>
  </si>
  <si>
    <t>O00691</t>
  </si>
  <si>
    <t>Antonia Perez</t>
  </si>
  <si>
    <t>antonia.perez1@mail.com</t>
  </si>
  <si>
    <t>O00692</t>
  </si>
  <si>
    <t>06/11/2026</t>
  </si>
  <si>
    <t>maria.hernandez194@mail.com</t>
  </si>
  <si>
    <t>O00693</t>
  </si>
  <si>
    <t>alejandro.gomez7@mail.com</t>
  </si>
  <si>
    <t>O00694</t>
  </si>
  <si>
    <t>O00695</t>
  </si>
  <si>
    <t>2026-04-19</t>
  </si>
  <si>
    <t>laura.rodriguez172@mail.com</t>
  </si>
  <si>
    <t>O00696</t>
  </si>
  <si>
    <t>O00697</t>
  </si>
  <si>
    <t>O00698</t>
  </si>
  <si>
    <t>O00699</t>
  </si>
  <si>
    <t>O00700</t>
  </si>
  <si>
    <t>juan.rodriguez27@mail.com</t>
  </si>
  <si>
    <t>O00701</t>
  </si>
  <si>
    <t>O00702</t>
  </si>
  <si>
    <t>O00703</t>
  </si>
  <si>
    <t>O00704</t>
  </si>
  <si>
    <t>O00705</t>
  </si>
  <si>
    <t>2026-10-24</t>
  </si>
  <si>
    <t>sebastian.ortiz10@mail.com</t>
  </si>
  <si>
    <t>O00706</t>
  </si>
  <si>
    <t>andres.perez88@mail.com</t>
  </si>
  <si>
    <t>O00707</t>
  </si>
  <si>
    <t>David Vargas</t>
  </si>
  <si>
    <t>david.vargas127@mail.com</t>
  </si>
  <si>
    <t>O00708</t>
  </si>
  <si>
    <t>Ricardo Ortiz</t>
  </si>
  <si>
    <t>ricardo.ortiz156@mail.com</t>
  </si>
  <si>
    <t>O00709</t>
  </si>
  <si>
    <t>O00710</t>
  </si>
  <si>
    <t>manuela.lopez17@mail.com</t>
  </si>
  <si>
    <t>O00711</t>
  </si>
  <si>
    <t>Gabriela Hernandez</t>
  </si>
  <si>
    <t>gabriela.hernandez179@mail.com</t>
  </si>
  <si>
    <t>O00712</t>
  </si>
  <si>
    <t>O00713</t>
  </si>
  <si>
    <t>santiago.torres123@mail.com</t>
  </si>
  <si>
    <t>O00714</t>
  </si>
  <si>
    <t>2026-03-20</t>
  </si>
  <si>
    <t>Julian Diaz</t>
  </si>
  <si>
    <t>julian.diaz162@mail.com</t>
  </si>
  <si>
    <t>O00715</t>
  </si>
  <si>
    <t>antonia.torres113@mail.com</t>
  </si>
  <si>
    <t>O00716</t>
  </si>
  <si>
    <t>2026-02-07</t>
  </si>
  <si>
    <t>catalina.jimenez98@mail.com</t>
  </si>
  <si>
    <t>O00717</t>
  </si>
  <si>
    <t>2026-01-17</t>
  </si>
  <si>
    <t>Santiago Rodriguez</t>
  </si>
  <si>
    <t>santiago.rodriguez157@mail.com</t>
  </si>
  <si>
    <t>O00718</t>
  </si>
  <si>
    <t>david.torres12@mail.com</t>
  </si>
  <si>
    <t>O00719</t>
  </si>
  <si>
    <t>2026-10-13</t>
  </si>
  <si>
    <t>O00720</t>
  </si>
  <si>
    <t>O00721</t>
  </si>
  <si>
    <t>diego.perez58@mail.com</t>
  </si>
  <si>
    <t>O00722</t>
  </si>
  <si>
    <t>2026-10-02</t>
  </si>
  <si>
    <t>Andres Ortiz</t>
  </si>
  <si>
    <t>andres.ortiz83@mail.com</t>
  </si>
  <si>
    <t>O00723</t>
  </si>
  <si>
    <t>O00724</t>
  </si>
  <si>
    <t>2026-01-27</t>
  </si>
  <si>
    <t>O00725</t>
  </si>
  <si>
    <t>alejandro.jimenez59@mail.com</t>
  </si>
  <si>
    <t>O00726</t>
  </si>
  <si>
    <t>O00727</t>
  </si>
  <si>
    <t>O00728</t>
  </si>
  <si>
    <t>2026-06-14</t>
  </si>
  <si>
    <t>O00729</t>
  </si>
  <si>
    <t>O00730</t>
  </si>
  <si>
    <t>2026-09-09</t>
  </si>
  <si>
    <t>Manuela Diaz</t>
  </si>
  <si>
    <t>manuela.diaz185@mail.com</t>
  </si>
  <si>
    <t>O00731</t>
  </si>
  <si>
    <t>maria.diaz32@mail.com</t>
  </si>
  <si>
    <t>O00732</t>
  </si>
  <si>
    <t>O00733</t>
  </si>
  <si>
    <t>O00734</t>
  </si>
  <si>
    <t>2026-09-25</t>
  </si>
  <si>
    <t>Julian Jimenez</t>
  </si>
  <si>
    <t>julian.jimenez75@mail.com</t>
  </si>
  <si>
    <t>O00735</t>
  </si>
  <si>
    <t>2026-08-24</t>
  </si>
  <si>
    <t>O00736</t>
  </si>
  <si>
    <t>O00737</t>
  </si>
  <si>
    <t>O00738</t>
  </si>
  <si>
    <t>O00739</t>
  </si>
  <si>
    <t>O00740</t>
  </si>
  <si>
    <t>Felipe Martinez</t>
  </si>
  <si>
    <t>felipe.martinez80@mail.com</t>
  </si>
  <si>
    <t>O00741</t>
  </si>
  <si>
    <t>O00742</t>
  </si>
  <si>
    <t>antonia.perez111@mail.com</t>
  </si>
  <si>
    <t>O00743</t>
  </si>
  <si>
    <t>O00744</t>
  </si>
  <si>
    <t>O00745</t>
  </si>
  <si>
    <t>O00746</t>
  </si>
  <si>
    <t>O00747</t>
  </si>
  <si>
    <t>Manuela Jimenez</t>
  </si>
  <si>
    <t>manuela.jimenez173@mail.com</t>
  </si>
  <si>
    <t>O00748</t>
  </si>
  <si>
    <t>O00749</t>
  </si>
  <si>
    <t>O00750</t>
  </si>
  <si>
    <t>2026-03-09</t>
  </si>
  <si>
    <t>O00751</t>
  </si>
  <si>
    <t>2026-04-06</t>
  </si>
  <si>
    <t>O00752</t>
  </si>
  <si>
    <t>camila.castro184@mail.com</t>
  </si>
  <si>
    <t>O00753</t>
  </si>
  <si>
    <t>O00754</t>
  </si>
  <si>
    <t>O00755</t>
  </si>
  <si>
    <t>Camila Ramirez</t>
  </si>
  <si>
    <t>camila.ramirez98@mail.com</t>
  </si>
  <si>
    <t>O00756</t>
  </si>
  <si>
    <t>2026-02-24</t>
  </si>
  <si>
    <t>O00757</t>
  </si>
  <si>
    <t>07/09/2026</t>
  </si>
  <si>
    <t>laura.castro129@mail.com</t>
  </si>
  <si>
    <t>O00758</t>
  </si>
  <si>
    <t>17/01/2026</t>
  </si>
  <si>
    <t>O00759</t>
  </si>
  <si>
    <t>laura.rodriguez159@mail.com</t>
  </si>
  <si>
    <t>O00760</t>
  </si>
  <si>
    <t>O00761</t>
  </si>
  <si>
    <t>O00762</t>
  </si>
  <si>
    <t>2026-02-01</t>
  </si>
  <si>
    <t>O00763</t>
  </si>
  <si>
    <t>O00764</t>
  </si>
  <si>
    <t>miguel.gomez39@mail.com</t>
  </si>
  <si>
    <t>O00765</t>
  </si>
  <si>
    <t>O00766</t>
  </si>
  <si>
    <t>miguel.ramirez33@mail.com</t>
  </si>
  <si>
    <t>O00767</t>
  </si>
  <si>
    <t>O00768</t>
  </si>
  <si>
    <t>2026-05-03</t>
  </si>
  <si>
    <t>O00769</t>
  </si>
  <si>
    <t>O00770</t>
  </si>
  <si>
    <t>O00771</t>
  </si>
  <si>
    <t>2026-02-06</t>
  </si>
  <si>
    <t>O00772</t>
  </si>
  <si>
    <t>Daniela Moreno</t>
  </si>
  <si>
    <t>daniela.moreno56@mail.com</t>
  </si>
  <si>
    <t>O00773</t>
  </si>
  <si>
    <t>O00774</t>
  </si>
  <si>
    <t>O00775</t>
  </si>
  <si>
    <t>natalia.ortiz8@mail.com</t>
  </si>
  <si>
    <t>O00776</t>
  </si>
  <si>
    <t>O00777</t>
  </si>
  <si>
    <t>O00778</t>
  </si>
  <si>
    <t>O00779</t>
  </si>
  <si>
    <t>2026-05-01</t>
  </si>
  <si>
    <t>miguel.torres15@mail.com</t>
  </si>
  <si>
    <t>O00780</t>
  </si>
  <si>
    <t>O00781</t>
  </si>
  <si>
    <t>julian.moreno88@mail.com</t>
  </si>
  <si>
    <t>O00782</t>
  </si>
  <si>
    <t>Fernanda Martinez</t>
  </si>
  <si>
    <t>fernanda.martinez133@mail.com</t>
  </si>
  <si>
    <t>O00783</t>
  </si>
  <si>
    <t>O00784</t>
  </si>
  <si>
    <t>O00785</t>
  </si>
  <si>
    <t>O00786</t>
  </si>
  <si>
    <t>27/09/2026</t>
  </si>
  <si>
    <t>O00787</t>
  </si>
  <si>
    <t>O00788</t>
  </si>
  <si>
    <t>esteban.martinez196@mail.com</t>
  </si>
  <si>
    <t>O00789</t>
  </si>
  <si>
    <t>O00790</t>
  </si>
  <si>
    <t>Catalina Perez</t>
  </si>
  <si>
    <t>catalina.perez151@mail.com</t>
  </si>
  <si>
    <t>O00791</t>
  </si>
  <si>
    <t>O00792</t>
  </si>
  <si>
    <t>camila.gomez75@mail.com</t>
  </si>
  <si>
    <t>O00793</t>
  </si>
  <si>
    <t>Paula Perez</t>
  </si>
  <si>
    <t>paula.perez26@mail.com</t>
  </si>
  <si>
    <t>O00794</t>
  </si>
  <si>
    <t>O00795</t>
  </si>
  <si>
    <t>26/07/2026</t>
  </si>
  <si>
    <t>nicolas.sanchez143@mail.com</t>
  </si>
  <si>
    <t>O00796</t>
  </si>
  <si>
    <t>O00797</t>
  </si>
  <si>
    <t>O00798</t>
  </si>
  <si>
    <t>2026-03-14</t>
  </si>
  <si>
    <t>O00799</t>
  </si>
  <si>
    <t>O00800</t>
  </si>
  <si>
    <t>O00801</t>
  </si>
  <si>
    <t>ximena.hernandez32@mail.com</t>
  </si>
  <si>
    <t>O00802</t>
  </si>
  <si>
    <t>O00803</t>
  </si>
  <si>
    <t>mateo.torres156@mail.com</t>
  </si>
  <si>
    <t>O00804</t>
  </si>
  <si>
    <t>23/02/2026</t>
  </si>
  <si>
    <t>sofia.ortiz74@mail.com</t>
  </si>
  <si>
    <t>O00805</t>
  </si>
  <si>
    <t>2026-11-25</t>
  </si>
  <si>
    <t>Ximena Vargas</t>
  </si>
  <si>
    <t>ximena.vargas192@mail.com</t>
  </si>
  <si>
    <t>O00806</t>
  </si>
  <si>
    <t>2026-05-31</t>
  </si>
  <si>
    <t>O00807</t>
  </si>
  <si>
    <t>10/11/2026</t>
  </si>
  <si>
    <t>O00808</t>
  </si>
  <si>
    <t>O00809</t>
  </si>
  <si>
    <t>2026-03-07</t>
  </si>
  <si>
    <t>Daniela Perez</t>
  </si>
  <si>
    <t>daniela.perez170@mail.com</t>
  </si>
  <si>
    <t>O00810</t>
  </si>
  <si>
    <t>O00811</t>
  </si>
  <si>
    <t>felipe.moreno37@mail.com</t>
  </si>
  <si>
    <t>O00812</t>
  </si>
  <si>
    <t>2026-11-28</t>
  </si>
  <si>
    <t>O00813</t>
  </si>
  <si>
    <t>2026-04-26</t>
  </si>
  <si>
    <t>O00814</t>
  </si>
  <si>
    <t>O00815</t>
  </si>
  <si>
    <t>O00816</t>
  </si>
  <si>
    <t>Felipe Sanchez</t>
  </si>
  <si>
    <t>felipe.sanchez44@mail.com</t>
  </si>
  <si>
    <t>O00817</t>
  </si>
  <si>
    <t>O00818</t>
  </si>
  <si>
    <t>O00819</t>
  </si>
  <si>
    <t>O00820</t>
  </si>
  <si>
    <t>O00821</t>
  </si>
  <si>
    <t>sofia.rodriguez175@mail.com</t>
  </si>
  <si>
    <t>O00822</t>
  </si>
  <si>
    <t>O00823</t>
  </si>
  <si>
    <t>O00824</t>
  </si>
  <si>
    <t>O00825</t>
  </si>
  <si>
    <t>O00826</t>
  </si>
  <si>
    <t>sofia.ramirez120@mail.com</t>
  </si>
  <si>
    <t>O00827</t>
  </si>
  <si>
    <t>O00828</t>
  </si>
  <si>
    <t>10/02/2026</t>
  </si>
  <si>
    <t>camila.ramirez87@mail.com</t>
  </si>
  <si>
    <t>O00829</t>
  </si>
  <si>
    <t>O00830</t>
  </si>
  <si>
    <t>O00831</t>
  </si>
  <si>
    <t>O00832</t>
  </si>
  <si>
    <t>miguel.gomez141@mail.com</t>
  </si>
  <si>
    <t>O00833</t>
  </si>
  <si>
    <t>maria.diaz9@mail.com</t>
  </si>
  <si>
    <t>O00834</t>
  </si>
  <si>
    <t>catalina.ortiz88@mail.com</t>
  </si>
  <si>
    <t>O00835</t>
  </si>
  <si>
    <t>O00836</t>
  </si>
  <si>
    <t>O00837</t>
  </si>
  <si>
    <t>O00838</t>
  </si>
  <si>
    <t>2026-09-17</t>
  </si>
  <si>
    <t>Diego Hernandez</t>
  </si>
  <si>
    <t>diego.hernandez121@mail.com</t>
  </si>
  <si>
    <t>O00839</t>
  </si>
  <si>
    <t>2026-05-11</t>
  </si>
  <si>
    <t>O00840</t>
  </si>
  <si>
    <t>2026-10-25</t>
  </si>
  <si>
    <t>O00841</t>
  </si>
  <si>
    <t>O00842</t>
  </si>
  <si>
    <t>O00843</t>
  </si>
  <si>
    <t>Carlos Ramirez</t>
  </si>
  <si>
    <t>carlos.ramirez199@mail.com</t>
  </si>
  <si>
    <t>O00844</t>
  </si>
  <si>
    <t>Natalia Gomez</t>
  </si>
  <si>
    <t>natalia.gomez32@mail.com</t>
  </si>
  <si>
    <t>O00845</t>
  </si>
  <si>
    <t>O00846</t>
  </si>
  <si>
    <t>Laura Sanchez</t>
  </si>
  <si>
    <t>laura.sanchez152@mail.com</t>
  </si>
  <si>
    <t>O00847</t>
  </si>
  <si>
    <t>O00848</t>
  </si>
  <si>
    <t>O00849</t>
  </si>
  <si>
    <t>O00850</t>
  </si>
  <si>
    <t>2026-02-09</t>
  </si>
  <si>
    <t>O00851</t>
  </si>
  <si>
    <t>Santiago Diaz</t>
  </si>
  <si>
    <t>santiago.diaz113@mail.com</t>
  </si>
  <si>
    <t>O00852</t>
  </si>
  <si>
    <t>O00853</t>
  </si>
  <si>
    <t>camila.torres119@mail.com</t>
  </si>
  <si>
    <t>O00854</t>
  </si>
  <si>
    <t>2026-02-21</t>
  </si>
  <si>
    <t>O00855</t>
  </si>
  <si>
    <t>O00856</t>
  </si>
  <si>
    <t>O00857</t>
  </si>
  <si>
    <t>2026-10-07</t>
  </si>
  <si>
    <t>O00858</t>
  </si>
  <si>
    <t>O00859</t>
  </si>
  <si>
    <t>2026-09-12</t>
  </si>
  <si>
    <t>Esteban Castro</t>
  </si>
  <si>
    <t>esteban.castro8@mail.com</t>
  </si>
  <si>
    <t>O00860</t>
  </si>
  <si>
    <t>manuela.moreno170@mail.com</t>
  </si>
  <si>
    <t>O00861</t>
  </si>
  <si>
    <t>O00862</t>
  </si>
  <si>
    <t>O00863</t>
  </si>
  <si>
    <t>O00864</t>
  </si>
  <si>
    <t>2026-04-23</t>
  </si>
  <si>
    <t>miguel.ramirez84@mail.com</t>
  </si>
  <si>
    <t>O00865</t>
  </si>
  <si>
    <t>Diego Torres</t>
  </si>
  <si>
    <t>diego.torres163@mail.com</t>
  </si>
  <si>
    <t>O00866</t>
  </si>
  <si>
    <t>O00867</t>
  </si>
  <si>
    <t>Gabriela Rodriguez</t>
  </si>
  <si>
    <t>gabriela.rodriguez57@mail.com</t>
  </si>
  <si>
    <t>O00868</t>
  </si>
  <si>
    <t>O00869</t>
  </si>
  <si>
    <t>Valentina Moreno</t>
  </si>
  <si>
    <t>valentina.moreno45@mail.com</t>
  </si>
  <si>
    <t>O00870</t>
  </si>
  <si>
    <t>ricardo.gomez13@mail.com</t>
  </si>
  <si>
    <t>O00871</t>
  </si>
  <si>
    <t>2026-01-18</t>
  </si>
  <si>
    <t>Isabella Hernandez</t>
  </si>
  <si>
    <t>isabella.hernandez120@mail.com</t>
  </si>
  <si>
    <t>O00872</t>
  </si>
  <si>
    <t>O00873</t>
  </si>
  <si>
    <t>24/08/2026</t>
  </si>
  <si>
    <t>O00874</t>
  </si>
  <si>
    <t>Gabriela Ramirez</t>
  </si>
  <si>
    <t>gabriela.ramirez127@mail.com</t>
  </si>
  <si>
    <t>O00875</t>
  </si>
  <si>
    <t>O00876</t>
  </si>
  <si>
    <t>O00877</t>
  </si>
  <si>
    <t>Carlos Hernandez</t>
  </si>
  <si>
    <t>carlos.hernandez187@mail.com</t>
  </si>
  <si>
    <t>O00878</t>
  </si>
  <si>
    <t>O00879</t>
  </si>
  <si>
    <t>O00880</t>
  </si>
  <si>
    <t>O00881</t>
  </si>
  <si>
    <t>O00882</t>
  </si>
  <si>
    <t>catalina.ortiz43@mail.com</t>
  </si>
  <si>
    <t>O00883</t>
  </si>
  <si>
    <t>O00884</t>
  </si>
  <si>
    <t>Carlos Ortiz</t>
  </si>
  <si>
    <t>carlos.ortiz198@mail.com</t>
  </si>
  <si>
    <t>O00885</t>
  </si>
  <si>
    <t>2026-04-11</t>
  </si>
  <si>
    <t>O00886</t>
  </si>
  <si>
    <t>O00887</t>
  </si>
  <si>
    <t>O00888</t>
  </si>
  <si>
    <t>alejandro.ramirez26@mail.com</t>
  </si>
  <si>
    <t>O00889</t>
  </si>
  <si>
    <t>O00890</t>
  </si>
  <si>
    <t>O00891</t>
  </si>
  <si>
    <t>O00892</t>
  </si>
  <si>
    <t>03/04/2026</t>
  </si>
  <si>
    <t>nicolas.torres167@mail.com</t>
  </si>
  <si>
    <t>O00893</t>
  </si>
  <si>
    <t>O00894</t>
  </si>
  <si>
    <t>O00895</t>
  </si>
  <si>
    <t>O00896</t>
  </si>
  <si>
    <t>O00897</t>
  </si>
  <si>
    <t>O00898</t>
  </si>
  <si>
    <t>O00899</t>
  </si>
  <si>
    <t>O00900</t>
  </si>
  <si>
    <t>O00901</t>
  </si>
  <si>
    <t>25/08/2026</t>
  </si>
  <si>
    <t>O00902</t>
  </si>
  <si>
    <t>20/05/2026</t>
  </si>
  <si>
    <t>O00903</t>
  </si>
  <si>
    <t>Antonia Hernandez</t>
  </si>
  <si>
    <t>antonia.hernandez62@mail.com</t>
  </si>
  <si>
    <t>O00904</t>
  </si>
  <si>
    <t>2026-01-29</t>
  </si>
  <si>
    <t>fernanda.castro60@mail.com</t>
  </si>
  <si>
    <t>O00905</t>
  </si>
  <si>
    <t>2026-10-31</t>
  </si>
  <si>
    <t>O00906</t>
  </si>
  <si>
    <t>O00907</t>
  </si>
  <si>
    <t>O00908</t>
  </si>
  <si>
    <t>O00909</t>
  </si>
  <si>
    <t>O00910</t>
  </si>
  <si>
    <t>04/01/2026</t>
  </si>
  <si>
    <t>gabriela.moreno102@mail.com</t>
  </si>
  <si>
    <t>O00911</t>
  </si>
  <si>
    <t>O00912</t>
  </si>
  <si>
    <t>daniela.castro174@mail.com</t>
  </si>
  <si>
    <t>O00913</t>
  </si>
  <si>
    <t>O00914</t>
  </si>
  <si>
    <t>O00915</t>
  </si>
  <si>
    <t>2026-04-17</t>
  </si>
  <si>
    <t>O00916</t>
  </si>
  <si>
    <t>28/04/2026</t>
  </si>
  <si>
    <t>Maria Jimenez</t>
  </si>
  <si>
    <t>maria.jimenez50@mail.com</t>
  </si>
  <si>
    <t>O00917</t>
  </si>
  <si>
    <t>O00918</t>
  </si>
  <si>
    <t>O00919</t>
  </si>
  <si>
    <t>2026-09-27</t>
  </si>
  <si>
    <t>O00920</t>
  </si>
  <si>
    <t>O00921</t>
  </si>
  <si>
    <t>O00922</t>
  </si>
  <si>
    <t>O00923</t>
  </si>
  <si>
    <t>O00924</t>
  </si>
  <si>
    <t>O00925</t>
  </si>
  <si>
    <t>isabella.jimenez74@mail.com</t>
  </si>
  <si>
    <t>O00926</t>
  </si>
  <si>
    <t>O00927</t>
  </si>
  <si>
    <t>O00928</t>
  </si>
  <si>
    <t>O00929</t>
  </si>
  <si>
    <t>2026-08-31</t>
  </si>
  <si>
    <t>O00930</t>
  </si>
  <si>
    <t>31/03/2026</t>
  </si>
  <si>
    <t>O00931</t>
  </si>
  <si>
    <t>O00932</t>
  </si>
  <si>
    <t>O00933</t>
  </si>
  <si>
    <t>O00934</t>
  </si>
  <si>
    <t>Mateo Gomez</t>
  </si>
  <si>
    <t>mateo.gomez165@mail.com</t>
  </si>
  <si>
    <t>O00935</t>
  </si>
  <si>
    <t>O00936</t>
  </si>
  <si>
    <t>2026-10-03</t>
  </si>
  <si>
    <t>O00937</t>
  </si>
  <si>
    <t>O00938</t>
  </si>
  <si>
    <t>miguel.vargas135@mail.com</t>
  </si>
  <si>
    <t>O00939</t>
  </si>
  <si>
    <t>2026-04-03</t>
  </si>
  <si>
    <t>O00940</t>
  </si>
  <si>
    <t>antonia.diaz182@mail.com</t>
  </si>
  <si>
    <t>O00941</t>
  </si>
  <si>
    <t>O00942</t>
  </si>
  <si>
    <t>O00943</t>
  </si>
  <si>
    <t>2026-10-26</t>
  </si>
  <si>
    <t>miguel.torres68@mail.com</t>
  </si>
  <si>
    <t>O00944</t>
  </si>
  <si>
    <t>Alejandro Moreno</t>
  </si>
  <si>
    <t>alejandro.moreno10@mail.com</t>
  </si>
  <si>
    <t>O00945</t>
  </si>
  <si>
    <t>O00946</t>
  </si>
  <si>
    <t>O00947</t>
  </si>
  <si>
    <t>antonia.sanchez26@mail.com</t>
  </si>
  <si>
    <t>O00948</t>
  </si>
  <si>
    <t>O00949</t>
  </si>
  <si>
    <t>O00950</t>
  </si>
  <si>
    <t>15/06/2026</t>
  </si>
  <si>
    <t>felipe.gomez162@mail.com</t>
  </si>
  <si>
    <t>O00951</t>
  </si>
  <si>
    <t>O00952</t>
  </si>
  <si>
    <t>O00953</t>
  </si>
  <si>
    <t>O00954</t>
  </si>
  <si>
    <t>O00955</t>
  </si>
  <si>
    <t>O00956</t>
  </si>
  <si>
    <t>2026-05-20</t>
  </si>
  <si>
    <t>O00957</t>
  </si>
  <si>
    <t>O00958</t>
  </si>
  <si>
    <t>Alejandro Hernandez</t>
  </si>
  <si>
    <t>alejandro.hernandez159@mail.com</t>
  </si>
  <si>
    <t>O00959</t>
  </si>
  <si>
    <t>O00960</t>
  </si>
  <si>
    <t>O00961</t>
  </si>
  <si>
    <t>O00962</t>
  </si>
  <si>
    <t>2026-09-03</t>
  </si>
  <si>
    <t>O00963</t>
  </si>
  <si>
    <t>O00964</t>
  </si>
  <si>
    <t>O00965</t>
  </si>
  <si>
    <t>O00966</t>
  </si>
  <si>
    <t>O00967</t>
  </si>
  <si>
    <t>mateo.vargas183@mail.com</t>
  </si>
  <si>
    <t>O00968</t>
  </si>
  <si>
    <t>O00969</t>
  </si>
  <si>
    <t>2026-02-04</t>
  </si>
  <si>
    <t>O00970</t>
  </si>
  <si>
    <t>O00971</t>
  </si>
  <si>
    <t>miguel.torres45@mail.com</t>
  </si>
  <si>
    <t>O00972</t>
  </si>
  <si>
    <t>O00973</t>
  </si>
  <si>
    <t>O00974</t>
  </si>
  <si>
    <t>2026-03-28</t>
  </si>
  <si>
    <t>O00975</t>
  </si>
  <si>
    <t>2026-11-12</t>
  </si>
  <si>
    <t>O00976</t>
  </si>
  <si>
    <t>O00977</t>
  </si>
  <si>
    <t>O00978</t>
  </si>
  <si>
    <t>O00979</t>
  </si>
  <si>
    <t>2026-11-15</t>
  </si>
  <si>
    <t>O00980</t>
  </si>
  <si>
    <t>natalia.perez148@mail.com</t>
  </si>
  <si>
    <t>O00981</t>
  </si>
  <si>
    <t>O00982</t>
  </si>
  <si>
    <t>O00983</t>
  </si>
  <si>
    <t>2026-01-22</t>
  </si>
  <si>
    <t>O00984</t>
  </si>
  <si>
    <t>2026-05-02</t>
  </si>
  <si>
    <t>carlos.ramirez174@mail.com</t>
  </si>
  <si>
    <t>O00985</t>
  </si>
  <si>
    <t>2026-08-30</t>
  </si>
  <si>
    <t>O00986</t>
  </si>
  <si>
    <t>2026-11-17</t>
  </si>
  <si>
    <t>Juan Lopez</t>
  </si>
  <si>
    <t>juan.lopez97@mail.com</t>
  </si>
  <si>
    <t>O00987</t>
  </si>
  <si>
    <t>O00988</t>
  </si>
  <si>
    <t>O00989</t>
  </si>
  <si>
    <t>O00990</t>
  </si>
  <si>
    <t>Ricardo Castro</t>
  </si>
  <si>
    <t>ricardo.castro175@mail.com</t>
  </si>
  <si>
    <t>O00991</t>
  </si>
  <si>
    <t>isabella.diaz32@mail.com</t>
  </si>
  <si>
    <t>O00992</t>
  </si>
  <si>
    <t>2026-11-02</t>
  </si>
  <si>
    <t>O00993</t>
  </si>
  <si>
    <t>Santiago Lopez</t>
  </si>
  <si>
    <t>santiago.lopez161@mail.com</t>
  </si>
  <si>
    <t>O00994</t>
  </si>
  <si>
    <t>O00995</t>
  </si>
  <si>
    <t>20/07/2026</t>
  </si>
  <si>
    <t>O00996</t>
  </si>
  <si>
    <t>O00997</t>
  </si>
  <si>
    <t>O00998</t>
  </si>
  <si>
    <t>O00999</t>
  </si>
  <si>
    <t>2026-05-04</t>
  </si>
  <si>
    <t>O01000</t>
  </si>
  <si>
    <t>O01001</t>
  </si>
  <si>
    <t>Sebastian Ramirez</t>
  </si>
  <si>
    <t>sebastian.ramirez112@mail.com</t>
  </si>
  <si>
    <t>O01002</t>
  </si>
  <si>
    <t>julian.diaz86@mail.com</t>
  </si>
  <si>
    <t>O01003</t>
  </si>
  <si>
    <t>O01004</t>
  </si>
  <si>
    <t>O01005</t>
  </si>
  <si>
    <t>2026-04-13</t>
  </si>
  <si>
    <t>O01006</t>
  </si>
  <si>
    <t>nicolas.jimenez18@mail.com</t>
  </si>
  <si>
    <t>O01007</t>
  </si>
  <si>
    <t>O01008</t>
  </si>
  <si>
    <t>O01009</t>
  </si>
  <si>
    <t>O01010</t>
  </si>
  <si>
    <t>O01011</t>
  </si>
  <si>
    <t>O01012</t>
  </si>
  <si>
    <t>O01013</t>
  </si>
  <si>
    <t>O01014</t>
  </si>
  <si>
    <t>O01015</t>
  </si>
  <si>
    <t>O01016</t>
  </si>
  <si>
    <t>O01017</t>
  </si>
  <si>
    <t>O01018</t>
  </si>
  <si>
    <t>O01019</t>
  </si>
  <si>
    <t>12/08/2026</t>
  </si>
  <si>
    <t>O01020</t>
  </si>
  <si>
    <t>2026-01-24</t>
  </si>
  <si>
    <t>O01021</t>
  </si>
  <si>
    <t>O01022</t>
  </si>
  <si>
    <t>O01023</t>
  </si>
  <si>
    <t>O01024</t>
  </si>
  <si>
    <t>Carlos Lopez</t>
  </si>
  <si>
    <t>carlos.lopez162@mail.com</t>
  </si>
  <si>
    <t>O01025</t>
  </si>
  <si>
    <t>O01026</t>
  </si>
  <si>
    <t>23/05/2026</t>
  </si>
  <si>
    <t>O01027</t>
  </si>
  <si>
    <t>O01028</t>
  </si>
  <si>
    <t>O01029</t>
  </si>
  <si>
    <t>O01030</t>
  </si>
  <si>
    <t>O01031</t>
  </si>
  <si>
    <t>O01032</t>
  </si>
  <si>
    <t>mateo.castro114@mail.com</t>
  </si>
  <si>
    <t>O01033</t>
  </si>
  <si>
    <t>O01034</t>
  </si>
  <si>
    <t>O01035</t>
  </si>
  <si>
    <t>2026-10-10</t>
  </si>
  <si>
    <t>david.rodriguez41@mail.com</t>
  </si>
  <si>
    <t>O01036</t>
  </si>
  <si>
    <t>O01037</t>
  </si>
  <si>
    <t>O01038</t>
  </si>
  <si>
    <t>O01039</t>
  </si>
  <si>
    <t>O01040</t>
  </si>
  <si>
    <t>O01041</t>
  </si>
  <si>
    <t>antonia.hernandez138@mail.com</t>
  </si>
  <si>
    <t>O01042</t>
  </si>
  <si>
    <t>O01043</t>
  </si>
  <si>
    <t>O01044</t>
  </si>
  <si>
    <t>O01045</t>
  </si>
  <si>
    <t>2026-01-19</t>
  </si>
  <si>
    <t>O01046</t>
  </si>
  <si>
    <t>santiago.ortiz48@mail.com</t>
  </si>
  <si>
    <t>O01047</t>
  </si>
  <si>
    <t>O01048</t>
  </si>
  <si>
    <t>O01049</t>
  </si>
  <si>
    <t>O01050</t>
  </si>
  <si>
    <t>O01051</t>
  </si>
  <si>
    <t>2026-01-10</t>
  </si>
  <si>
    <t>O01052</t>
  </si>
  <si>
    <t>O01053</t>
  </si>
  <si>
    <t>O01054</t>
  </si>
  <si>
    <t>O01055</t>
  </si>
  <si>
    <t>O01056</t>
  </si>
  <si>
    <t>2026-09-11</t>
  </si>
  <si>
    <t>O01057</t>
  </si>
  <si>
    <t>O01058</t>
  </si>
  <si>
    <t>O01059</t>
  </si>
  <si>
    <t>O01060</t>
  </si>
  <si>
    <t>O01061</t>
  </si>
  <si>
    <t>O01062</t>
  </si>
  <si>
    <t>29/06/2026</t>
  </si>
  <si>
    <t>O01063</t>
  </si>
  <si>
    <t>Esteban Lopez</t>
  </si>
  <si>
    <t>esteban.lopez36@mail.com</t>
  </si>
  <si>
    <t>O01064</t>
  </si>
  <si>
    <t>O01065</t>
  </si>
  <si>
    <t>O01066</t>
  </si>
  <si>
    <t>O01067</t>
  </si>
  <si>
    <t>O01068</t>
  </si>
  <si>
    <t>O01069</t>
  </si>
  <si>
    <t>O01070</t>
  </si>
  <si>
    <t>O01071</t>
  </si>
  <si>
    <t>O01072</t>
  </si>
  <si>
    <t>O01073</t>
  </si>
  <si>
    <t>O01074</t>
  </si>
  <si>
    <t>alejandro.lopez106@mail.com</t>
  </si>
  <si>
    <t>O01075</t>
  </si>
  <si>
    <t>O01076</t>
  </si>
  <si>
    <t>O01077</t>
  </si>
  <si>
    <t>O01078</t>
  </si>
  <si>
    <t>O01079</t>
  </si>
  <si>
    <t>O01080</t>
  </si>
  <si>
    <t>Manuela Vargas</t>
  </si>
  <si>
    <t>manuela.vargas42@mail.com</t>
  </si>
  <si>
    <t>O01081</t>
  </si>
  <si>
    <t>gabriela.moreno186@mail.com</t>
  </si>
  <si>
    <t>O01082</t>
  </si>
  <si>
    <t>Nicolas Hernandez</t>
  </si>
  <si>
    <t>nicolas.hernandez157@mail.com</t>
  </si>
  <si>
    <t>O01083</t>
  </si>
  <si>
    <t>O01084</t>
  </si>
  <si>
    <t>O01085</t>
  </si>
  <si>
    <t>O01086</t>
  </si>
  <si>
    <t>O01087</t>
  </si>
  <si>
    <t>22/03/2026</t>
  </si>
  <si>
    <t>O01088</t>
  </si>
  <si>
    <t>O01089</t>
  </si>
  <si>
    <t>O01090</t>
  </si>
  <si>
    <t>O01091</t>
  </si>
  <si>
    <t>O01092</t>
  </si>
  <si>
    <t>Isabella Lopez</t>
  </si>
  <si>
    <t>isabella.lopez63@mail.com</t>
  </si>
  <si>
    <t>O01093</t>
  </si>
  <si>
    <t>O01094</t>
  </si>
  <si>
    <t>O01095</t>
  </si>
  <si>
    <t>01/09/2026</t>
  </si>
  <si>
    <t>O01096</t>
  </si>
  <si>
    <t>O01097</t>
  </si>
  <si>
    <t>O01098</t>
  </si>
  <si>
    <t>O01099</t>
  </si>
  <si>
    <t>O01100</t>
  </si>
  <si>
    <t>O01101</t>
  </si>
  <si>
    <t>O01102</t>
  </si>
  <si>
    <t>O01103</t>
  </si>
  <si>
    <t>19/01/2026</t>
  </si>
  <si>
    <t>alejandro.ramirez44@mail.com</t>
  </si>
  <si>
    <t>O01104</t>
  </si>
  <si>
    <t>O01105</t>
  </si>
  <si>
    <t>O01106</t>
  </si>
  <si>
    <t>carlos.jimenez33@mail.com</t>
  </si>
  <si>
    <t>O01107</t>
  </si>
  <si>
    <t>O01108</t>
  </si>
  <si>
    <t>O01109</t>
  </si>
  <si>
    <t>O01110</t>
  </si>
  <si>
    <t>nicolas.jimenez40@mail.com</t>
  </si>
  <si>
    <t>O01111</t>
  </si>
  <si>
    <t>O01112</t>
  </si>
  <si>
    <t>O01113</t>
  </si>
  <si>
    <t>O01114</t>
  </si>
  <si>
    <t>O01115</t>
  </si>
  <si>
    <t>2026-04-18</t>
  </si>
  <si>
    <t>O01116</t>
  </si>
  <si>
    <t>O01117</t>
  </si>
  <si>
    <t>O01118</t>
  </si>
  <si>
    <t>2026-05-26</t>
  </si>
  <si>
    <t>O01119</t>
  </si>
  <si>
    <t>O01120</t>
  </si>
  <si>
    <t>O01121</t>
  </si>
  <si>
    <t>O01122</t>
  </si>
  <si>
    <t>O01123</t>
  </si>
  <si>
    <t>O01124</t>
  </si>
  <si>
    <t>O01125</t>
  </si>
  <si>
    <t>2026-09-02</t>
  </si>
  <si>
    <t>O01126</t>
  </si>
  <si>
    <t>O01127</t>
  </si>
  <si>
    <t>2026-08-19</t>
  </si>
  <si>
    <t>O01128</t>
  </si>
  <si>
    <t>O01129</t>
  </si>
  <si>
    <t>O01130</t>
  </si>
  <si>
    <t>O01131</t>
  </si>
  <si>
    <t>O01132</t>
  </si>
  <si>
    <t>O01133</t>
  </si>
  <si>
    <t>O01134</t>
  </si>
  <si>
    <t>O01135</t>
  </si>
  <si>
    <t>O01136</t>
  </si>
  <si>
    <t>O01137</t>
  </si>
  <si>
    <t>O01138</t>
  </si>
  <si>
    <t>O01139</t>
  </si>
  <si>
    <t>08/03/2026</t>
  </si>
  <si>
    <t>O01140</t>
  </si>
  <si>
    <t>valentina.torres86@mail.com</t>
  </si>
  <si>
    <t>O01141</t>
  </si>
  <si>
    <t>O01142</t>
  </si>
  <si>
    <t>O01143</t>
  </si>
  <si>
    <t>O01144</t>
  </si>
  <si>
    <t>O01145</t>
  </si>
  <si>
    <t>2026-03-21</t>
  </si>
  <si>
    <t>O01146</t>
  </si>
  <si>
    <t>O01147</t>
  </si>
  <si>
    <t>O01148</t>
  </si>
  <si>
    <t>O01149</t>
  </si>
  <si>
    <t>O01150</t>
  </si>
  <si>
    <t>ximena.hernandez82@mail.com</t>
  </si>
  <si>
    <t>O01151</t>
  </si>
  <si>
    <t>O01152</t>
  </si>
  <si>
    <t>O01153</t>
  </si>
  <si>
    <t>O01154</t>
  </si>
  <si>
    <t>28/09/2026</t>
  </si>
  <si>
    <t>O01155</t>
  </si>
  <si>
    <t>O01156</t>
  </si>
  <si>
    <t>santiago.diaz173@mail.com</t>
  </si>
  <si>
    <t>O01157</t>
  </si>
  <si>
    <t>O01158</t>
  </si>
  <si>
    <t>O01159</t>
  </si>
  <si>
    <t>Isabella Ramirez</t>
  </si>
  <si>
    <t>isabella.ramirez140@mail.com</t>
  </si>
  <si>
    <t>O01160</t>
  </si>
  <si>
    <t>O01161</t>
  </si>
  <si>
    <t>paula.lopez32@mail.com</t>
  </si>
  <si>
    <t>O01162</t>
  </si>
  <si>
    <t>2026-05-24</t>
  </si>
  <si>
    <t>O01163</t>
  </si>
  <si>
    <t>camila.torres72@mail.com</t>
  </si>
  <si>
    <t>O01164</t>
  </si>
  <si>
    <t>O01165</t>
  </si>
  <si>
    <t>O01166</t>
  </si>
  <si>
    <t>O01167</t>
  </si>
  <si>
    <t>O01168</t>
  </si>
  <si>
    <t>2026-08-18</t>
  </si>
  <si>
    <t>O01169</t>
  </si>
  <si>
    <t>O01170</t>
  </si>
  <si>
    <t>O01171</t>
  </si>
  <si>
    <t>03/06/2026</t>
  </si>
  <si>
    <t>O01172</t>
  </si>
  <si>
    <t>O01173</t>
  </si>
  <si>
    <t>2026-10-16</t>
  </si>
  <si>
    <t>O01174</t>
  </si>
  <si>
    <t>02/06/2026</t>
  </si>
  <si>
    <t>O01175</t>
  </si>
  <si>
    <t>O01176</t>
  </si>
  <si>
    <t>Ximena Ramirez</t>
  </si>
  <si>
    <t>ximena.ramirez160@mail.com</t>
  </si>
  <si>
    <t>O01177</t>
  </si>
  <si>
    <t>Miguel Ortiz</t>
  </si>
  <si>
    <t>miguel.ortiz48@mail.com</t>
  </si>
  <si>
    <t>O01178</t>
  </si>
  <si>
    <t>O01179</t>
  </si>
  <si>
    <t>O01180</t>
  </si>
  <si>
    <t>O01181</t>
  </si>
  <si>
    <t>2026-04-14</t>
  </si>
  <si>
    <t>O01182</t>
  </si>
  <si>
    <t>O01183</t>
  </si>
  <si>
    <t>O01184</t>
  </si>
  <si>
    <t>O01185</t>
  </si>
  <si>
    <t>O01186</t>
  </si>
  <si>
    <t>O01187</t>
  </si>
  <si>
    <t>O01188</t>
  </si>
  <si>
    <t>O01189</t>
  </si>
  <si>
    <t>O01190</t>
  </si>
  <si>
    <t>O01191</t>
  </si>
  <si>
    <t>2026-03-06</t>
  </si>
  <si>
    <t>natalia.moreno172@mail.com</t>
  </si>
  <si>
    <t>O01192</t>
  </si>
  <si>
    <t>O01193</t>
  </si>
  <si>
    <t>O01194</t>
  </si>
  <si>
    <t>Julian Rodriguez</t>
  </si>
  <si>
    <t>julian.rodriguez156@mail.com</t>
  </si>
  <si>
    <t>O01195</t>
  </si>
  <si>
    <t>Manuela Hernandez</t>
  </si>
  <si>
    <t>manuela.hernandez136@mail.com</t>
  </si>
  <si>
    <t>O01196</t>
  </si>
  <si>
    <t>O01197</t>
  </si>
  <si>
    <t>2026-09-10</t>
  </si>
  <si>
    <t>isabella.torres121@mail.com</t>
  </si>
  <si>
    <t>O01198</t>
  </si>
  <si>
    <t>O01199</t>
  </si>
  <si>
    <t>O01200</t>
  </si>
  <si>
    <t>camila.martinez120@mail.com</t>
  </si>
  <si>
    <t>O01201</t>
  </si>
  <si>
    <t>2026-08-17</t>
  </si>
  <si>
    <t>O01202</t>
  </si>
  <si>
    <t>miguel.martinez6@mail.com</t>
  </si>
  <si>
    <t>O01203</t>
  </si>
  <si>
    <t>manuela.lopez22@mail.com</t>
  </si>
  <si>
    <t>O01204</t>
  </si>
  <si>
    <t>O01205</t>
  </si>
  <si>
    <t>2026-08-21</t>
  </si>
  <si>
    <t>O01206</t>
  </si>
  <si>
    <t>O01207</t>
  </si>
  <si>
    <t>01/08/2026</t>
  </si>
  <si>
    <t>O01208</t>
  </si>
  <si>
    <t>2026-04-22</t>
  </si>
  <si>
    <t>O01209</t>
  </si>
  <si>
    <t>julian.castro100@mail.com</t>
  </si>
  <si>
    <t>O01210</t>
  </si>
  <si>
    <t>O01211</t>
  </si>
  <si>
    <t>O01212</t>
  </si>
  <si>
    <t>O01213</t>
  </si>
  <si>
    <t>O01214</t>
  </si>
  <si>
    <t>O01215</t>
  </si>
  <si>
    <t>O01216</t>
  </si>
  <si>
    <t>O01217</t>
  </si>
  <si>
    <t>2026-11-01</t>
  </si>
  <si>
    <t>O01218</t>
  </si>
  <si>
    <t>O01219</t>
  </si>
  <si>
    <t>valentina.torres64@mail.com</t>
  </si>
  <si>
    <t>O01220</t>
  </si>
  <si>
    <t>O01221</t>
  </si>
  <si>
    <t>paula.perez174@mail.com</t>
  </si>
  <si>
    <t>O01222</t>
  </si>
  <si>
    <t>O01223</t>
  </si>
  <si>
    <t>O01224</t>
  </si>
  <si>
    <t>O01225</t>
  </si>
  <si>
    <t>O01226</t>
  </si>
  <si>
    <t>O01227</t>
  </si>
  <si>
    <t>O01228</t>
  </si>
  <si>
    <t>08/04/2026</t>
  </si>
  <si>
    <t>O01229</t>
  </si>
  <si>
    <t>O01230</t>
  </si>
  <si>
    <t>O01231</t>
  </si>
  <si>
    <t>O01232</t>
  </si>
  <si>
    <t>21/09/2026</t>
  </si>
  <si>
    <t>O01233</t>
  </si>
  <si>
    <t>O01234</t>
  </si>
  <si>
    <t>2026-11-22</t>
  </si>
  <si>
    <t>O01235</t>
  </si>
  <si>
    <t>30/10/2026</t>
  </si>
  <si>
    <t>O01236</t>
  </si>
  <si>
    <t>santiago.ramirez43@mail.com</t>
  </si>
  <si>
    <t>O01237</t>
  </si>
  <si>
    <t>O01238</t>
  </si>
  <si>
    <t>O01239</t>
  </si>
  <si>
    <t>O01240</t>
  </si>
  <si>
    <t>O01241</t>
  </si>
  <si>
    <t>O01242</t>
  </si>
  <si>
    <t>27/01/2026</t>
  </si>
  <si>
    <t>O01243</t>
  </si>
  <si>
    <t>O01244</t>
  </si>
  <si>
    <t>O01245</t>
  </si>
  <si>
    <t>O01246</t>
  </si>
  <si>
    <t>O01247</t>
  </si>
  <si>
    <t>O01248</t>
  </si>
  <si>
    <t>O01249</t>
  </si>
  <si>
    <t>O01250</t>
  </si>
  <si>
    <t>O01251</t>
  </si>
  <si>
    <t>O01252</t>
  </si>
  <si>
    <t>O01253</t>
  </si>
  <si>
    <t>O01254</t>
  </si>
  <si>
    <t>O01255</t>
  </si>
  <si>
    <t>O01256</t>
  </si>
  <si>
    <t>2026-10-04</t>
  </si>
  <si>
    <t>O01257</t>
  </si>
  <si>
    <t>Santiago Sanchez</t>
  </si>
  <si>
    <t>santiago.sanchez93@mail.com</t>
  </si>
  <si>
    <t>O01258</t>
  </si>
  <si>
    <t>O01259</t>
  </si>
  <si>
    <t>02/12/2026</t>
  </si>
  <si>
    <t>O01260</t>
  </si>
  <si>
    <t>O01261</t>
  </si>
  <si>
    <t>O01262</t>
  </si>
  <si>
    <t>O01263</t>
  </si>
  <si>
    <t>O01264</t>
  </si>
  <si>
    <t>O01265</t>
  </si>
  <si>
    <t>O01266</t>
  </si>
  <si>
    <t>2026-10-22</t>
  </si>
  <si>
    <t>O01267</t>
  </si>
  <si>
    <t>O01268</t>
  </si>
  <si>
    <t>23/08/2026</t>
  </si>
  <si>
    <t>O01269</t>
  </si>
  <si>
    <t>O01270</t>
  </si>
  <si>
    <t>O01271</t>
  </si>
  <si>
    <t>O01272</t>
  </si>
  <si>
    <t>O01273</t>
  </si>
  <si>
    <t>O01274</t>
  </si>
  <si>
    <t>O01275</t>
  </si>
  <si>
    <t>O01276</t>
  </si>
  <si>
    <t>Manuela Sanchez</t>
  </si>
  <si>
    <t>manuela.sanchez66@mail.com</t>
  </si>
  <si>
    <t>O01277</t>
  </si>
  <si>
    <t>O01278</t>
  </si>
  <si>
    <t>O01279</t>
  </si>
  <si>
    <t>O01280</t>
  </si>
  <si>
    <t>O01281</t>
  </si>
  <si>
    <t>2026-09-30</t>
  </si>
  <si>
    <t>O01282</t>
  </si>
  <si>
    <t>O01283</t>
  </si>
  <si>
    <t>O01284</t>
  </si>
  <si>
    <t>O01285</t>
  </si>
  <si>
    <t>O01286</t>
  </si>
  <si>
    <t>felipe.martinez140@mail.com</t>
  </si>
  <si>
    <t>O01287</t>
  </si>
  <si>
    <t>O01288</t>
  </si>
  <si>
    <t>O01289</t>
  </si>
  <si>
    <t>02/09/2026</t>
  </si>
  <si>
    <t>O01290</t>
  </si>
  <si>
    <t>O01291</t>
  </si>
  <si>
    <t>O01292</t>
  </si>
  <si>
    <t>2026-02-23</t>
  </si>
  <si>
    <t>O01293</t>
  </si>
  <si>
    <t>O01294</t>
  </si>
  <si>
    <t>O01295</t>
  </si>
  <si>
    <t>11/01/2026</t>
  </si>
  <si>
    <t>ricardo.moreno144@mail.com</t>
  </si>
  <si>
    <t>O01296</t>
  </si>
  <si>
    <t>O01297</t>
  </si>
  <si>
    <t>O01298</t>
  </si>
  <si>
    <t>O01299</t>
  </si>
  <si>
    <t>sofia.torres150@mail.com</t>
  </si>
  <si>
    <t>O01300</t>
  </si>
  <si>
    <t>O01301</t>
  </si>
  <si>
    <t>O01302</t>
  </si>
  <si>
    <t>29/08/2026</t>
  </si>
  <si>
    <t>O01303</t>
  </si>
  <si>
    <t>O01304</t>
  </si>
  <si>
    <t>O01305</t>
  </si>
  <si>
    <t>O01306</t>
  </si>
  <si>
    <t>O01307</t>
  </si>
  <si>
    <t>O01308</t>
  </si>
  <si>
    <t>O01309</t>
  </si>
  <si>
    <t>O01310</t>
  </si>
  <si>
    <t>O01311</t>
  </si>
  <si>
    <t>O01312</t>
  </si>
  <si>
    <t>O01313</t>
  </si>
  <si>
    <t>22/10/2026</t>
  </si>
  <si>
    <t xml:space="preserve">index match </t>
  </si>
  <si>
    <t>index match 2</t>
  </si>
  <si>
    <t>index match 3</t>
  </si>
  <si>
    <t xml:space="preserve">index </t>
  </si>
  <si>
    <t>email2</t>
  </si>
  <si>
    <t xml:space="preserve">SUPPLIER </t>
  </si>
  <si>
    <t xml:space="preserve">SUMIF </t>
  </si>
  <si>
    <t xml:space="preserve">it is mandatory that we use both numberical and categorical colum in sum if function </t>
  </si>
  <si>
    <t>sumif 2</t>
  </si>
  <si>
    <t>Grand Total</t>
  </si>
  <si>
    <t>Sum of sale_price</t>
  </si>
  <si>
    <t>Sum of total_price</t>
  </si>
  <si>
    <t xml:space="preserve">payeement method </t>
  </si>
  <si>
    <t xml:space="preserve">order date </t>
  </si>
  <si>
    <t xml:space="preserve">deleievry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</si>
</sst>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NumberFormat="1"/>
    <xf numFmtId="14" fontId="0" fillId="0" borderId="0" xfId="0" applyNumberFormat="1"/>
    <xf numFmtId="0" fontId="2" fillId="0" borderId="0" xfId="1"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Hyperlink" xfId="1" builtinId="8"/>
    <cellStyle name="Normal" xfId="0" builtinId="0"/>
  </cellStyles>
  <dxfs count="5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with index match and sumif.xlsx]data analysis !PivotTable1</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Payement method and channel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'data analysis '!$A$4:$A$12</c:f>
              <c:multiLvlStrCache>
                <c:ptCount val="4"/>
                <c:lvl>
                  <c:pt idx="0">
                    <c:v>Facebook/Instagram</c:v>
                  </c:pt>
                  <c:pt idx="1">
                    <c:v>Facebook/Instagram</c:v>
                  </c:pt>
                  <c:pt idx="2">
                    <c:v>Facebook/Instagram</c:v>
                  </c:pt>
                  <c:pt idx="3">
                    <c:v>Facebook/Instagram</c:v>
                  </c:pt>
                </c:lvl>
                <c:lvl>
                  <c:pt idx="0">
                    <c:v>Contraentrega</c:v>
                  </c:pt>
                  <c:pt idx="1">
                    <c:v>Nequi</c:v>
                  </c:pt>
                  <c:pt idx="2">
                    <c:v>PSE</c:v>
                  </c:pt>
                  <c:pt idx="3">
                    <c:v>Tarjeta de credito</c:v>
                  </c:pt>
                </c:lvl>
              </c:multiLvlStrCache>
            </c:multiLvlStrRef>
          </c:cat>
          <c:val>
            <c:numRef>
              <c:f>'data analysis '!$B$4:$B$12</c:f>
              <c:numCache>
                <c:formatCode>General</c:formatCode>
                <c:ptCount val="4"/>
                <c:pt idx="0">
                  <c:v>8313.6899999999459</c:v>
                </c:pt>
                <c:pt idx="1">
                  <c:v>8640.6199999999462</c:v>
                </c:pt>
                <c:pt idx="2">
                  <c:v>8551.6499999999451</c:v>
                </c:pt>
                <c:pt idx="3">
                  <c:v>7844.9099999999507</c:v>
                </c:pt>
              </c:numCache>
            </c:numRef>
          </c:val>
          <c:extLst>
            <c:ext xmlns:c16="http://schemas.microsoft.com/office/drawing/2014/chart" uri="{C3380CC4-5D6E-409C-BE32-E72D297353CC}">
              <c16:uniqueId val="{00000000-5F07-4255-B8D5-A221ED46EB4F}"/>
            </c:ext>
          </c:extLst>
        </c:ser>
        <c:dLbls>
          <c:dLblPos val="inEnd"/>
          <c:showLegendKey val="0"/>
          <c:showVal val="1"/>
          <c:showCatName val="0"/>
          <c:showSerName val="0"/>
          <c:showPercent val="0"/>
          <c:showBubbleSize val="0"/>
        </c:dLbls>
        <c:gapWidth val="41"/>
        <c:axId val="854372336"/>
        <c:axId val="854370896"/>
      </c:barChart>
      <c:catAx>
        <c:axId val="85437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54370896"/>
        <c:crosses val="autoZero"/>
        <c:auto val="1"/>
        <c:lblAlgn val="ctr"/>
        <c:lblOffset val="100"/>
        <c:noMultiLvlLbl val="0"/>
      </c:catAx>
      <c:valAx>
        <c:axId val="854370896"/>
        <c:scaling>
          <c:orientation val="minMax"/>
        </c:scaling>
        <c:delete val="1"/>
        <c:axPos val="l"/>
        <c:numFmt formatCode="General" sourceLinked="1"/>
        <c:majorTickMark val="none"/>
        <c:minorTickMark val="none"/>
        <c:tickLblPos val="nextTo"/>
        <c:crossAx val="85437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with index match and sumif.xlsx]data analysis !PivotTable2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 '!$B$19</c:f>
              <c:strCache>
                <c:ptCount val="1"/>
                <c:pt idx="0">
                  <c:v>Sum of total_price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 analysis '!$A$20:$A$413</c:f>
              <c:strCache>
                <c:ptCount val="393"/>
                <c:pt idx="0">
                  <c:v>01/01/2026</c:v>
                </c:pt>
                <c:pt idx="1">
                  <c:v>01/07/2026</c:v>
                </c:pt>
                <c:pt idx="2">
                  <c:v>01/08/2026</c:v>
                </c:pt>
                <c:pt idx="3">
                  <c:v>01/09/2026</c:v>
                </c:pt>
                <c:pt idx="4">
                  <c:v>02/06/2026</c:v>
                </c:pt>
                <c:pt idx="5">
                  <c:v>02/09/2026</c:v>
                </c:pt>
                <c:pt idx="6">
                  <c:v>02/12/2026</c:v>
                </c:pt>
                <c:pt idx="7">
                  <c:v>03/04/2026</c:v>
                </c:pt>
                <c:pt idx="8">
                  <c:v>03/06/2026</c:v>
                </c:pt>
                <c:pt idx="9">
                  <c:v>04/01/2026</c:v>
                </c:pt>
                <c:pt idx="10">
                  <c:v>04/08/2026</c:v>
                </c:pt>
                <c:pt idx="11">
                  <c:v>05/03/2026</c:v>
                </c:pt>
                <c:pt idx="12">
                  <c:v>05/05/2026</c:v>
                </c:pt>
                <c:pt idx="13">
                  <c:v>06/01/2026</c:v>
                </c:pt>
                <c:pt idx="14">
                  <c:v>06/07/2026</c:v>
                </c:pt>
                <c:pt idx="15">
                  <c:v>06/11/2026</c:v>
                </c:pt>
                <c:pt idx="16">
                  <c:v>07/09/2026</c:v>
                </c:pt>
                <c:pt idx="17">
                  <c:v>07/11/2026</c:v>
                </c:pt>
                <c:pt idx="18">
                  <c:v>08/02/2026</c:v>
                </c:pt>
                <c:pt idx="19">
                  <c:v>08/03/2026</c:v>
                </c:pt>
                <c:pt idx="20">
                  <c:v>08/04/2026</c:v>
                </c:pt>
                <c:pt idx="21">
                  <c:v>08/07/2026</c:v>
                </c:pt>
                <c:pt idx="22">
                  <c:v>09/03/2026</c:v>
                </c:pt>
                <c:pt idx="23">
                  <c:v>10/02/2026</c:v>
                </c:pt>
                <c:pt idx="24">
                  <c:v>10/07/2026</c:v>
                </c:pt>
                <c:pt idx="25">
                  <c:v>10/08/2026</c:v>
                </c:pt>
                <c:pt idx="26">
                  <c:v>10/11/2026</c:v>
                </c:pt>
                <c:pt idx="27">
                  <c:v>11/01/2026</c:v>
                </c:pt>
                <c:pt idx="28">
                  <c:v>11/02/2026</c:v>
                </c:pt>
                <c:pt idx="29">
                  <c:v>11/04/2026</c:v>
                </c:pt>
                <c:pt idx="30">
                  <c:v>12/06/2026</c:v>
                </c:pt>
                <c:pt idx="31">
                  <c:v>12/07/2026</c:v>
                </c:pt>
                <c:pt idx="32">
                  <c:v>12/08/2026</c:v>
                </c:pt>
                <c:pt idx="33">
                  <c:v>14/06/2026</c:v>
                </c:pt>
                <c:pt idx="34">
                  <c:v>15/06/2026</c:v>
                </c:pt>
                <c:pt idx="35">
                  <c:v>16/07/2026</c:v>
                </c:pt>
                <c:pt idx="36">
                  <c:v>17/01/2026</c:v>
                </c:pt>
                <c:pt idx="37">
                  <c:v>17/04/2026</c:v>
                </c:pt>
                <c:pt idx="38">
                  <c:v>18/02/2026</c:v>
                </c:pt>
                <c:pt idx="39">
                  <c:v>18/06/2026</c:v>
                </c:pt>
                <c:pt idx="40">
                  <c:v>18/07/2026</c:v>
                </c:pt>
                <c:pt idx="41">
                  <c:v>19/01/2026</c:v>
                </c:pt>
                <c:pt idx="42">
                  <c:v>19/11/2026</c:v>
                </c:pt>
                <c:pt idx="43">
                  <c:v>20/05/2026</c:v>
                </c:pt>
                <c:pt idx="44">
                  <c:v>20/06/2026</c:v>
                </c:pt>
                <c:pt idx="45">
                  <c:v>20/07/2026</c:v>
                </c:pt>
                <c:pt idx="46">
                  <c:v>2026-01-01</c:v>
                </c:pt>
                <c:pt idx="47">
                  <c:v>2026-01-03</c:v>
                </c:pt>
                <c:pt idx="48">
                  <c:v>2026-01-04</c:v>
                </c:pt>
                <c:pt idx="49">
                  <c:v>2026-01-05</c:v>
                </c:pt>
                <c:pt idx="50">
                  <c:v>2026-01-06</c:v>
                </c:pt>
                <c:pt idx="51">
                  <c:v>2026-01-07</c:v>
                </c:pt>
                <c:pt idx="52">
                  <c:v>2026-01-08</c:v>
                </c:pt>
                <c:pt idx="53">
                  <c:v>2026-01-09</c:v>
                </c:pt>
                <c:pt idx="54">
                  <c:v>2026-01-10</c:v>
                </c:pt>
                <c:pt idx="55">
                  <c:v>2026-01-11</c:v>
                </c:pt>
                <c:pt idx="56">
                  <c:v>2026-01-12</c:v>
                </c:pt>
                <c:pt idx="57">
                  <c:v>2026-01-13</c:v>
                </c:pt>
                <c:pt idx="58">
                  <c:v>2026-01-14</c:v>
                </c:pt>
                <c:pt idx="59">
                  <c:v>2026-01-15</c:v>
                </c:pt>
                <c:pt idx="60">
                  <c:v>2026-01-16</c:v>
                </c:pt>
                <c:pt idx="61">
                  <c:v>2026-01-17</c:v>
                </c:pt>
                <c:pt idx="62">
                  <c:v>2026-01-18</c:v>
                </c:pt>
                <c:pt idx="63">
                  <c:v>2026-01-19</c:v>
                </c:pt>
                <c:pt idx="64">
                  <c:v>2026-01-20</c:v>
                </c:pt>
                <c:pt idx="65">
                  <c:v>2026-01-21</c:v>
                </c:pt>
                <c:pt idx="66">
                  <c:v>2026-01-22</c:v>
                </c:pt>
                <c:pt idx="67">
                  <c:v>2026-01-23</c:v>
                </c:pt>
                <c:pt idx="68">
                  <c:v>2026-01-24</c:v>
                </c:pt>
                <c:pt idx="69">
                  <c:v>2026-01-25</c:v>
                </c:pt>
                <c:pt idx="70">
                  <c:v>2026-01-27</c:v>
                </c:pt>
                <c:pt idx="71">
                  <c:v>2026-01-28</c:v>
                </c:pt>
                <c:pt idx="72">
                  <c:v>2026-01-29</c:v>
                </c:pt>
                <c:pt idx="73">
                  <c:v>2026-01-30</c:v>
                </c:pt>
                <c:pt idx="74">
                  <c:v>2026-01-31</c:v>
                </c:pt>
                <c:pt idx="75">
                  <c:v>2026-02-01</c:v>
                </c:pt>
                <c:pt idx="76">
                  <c:v>2026-02-02</c:v>
                </c:pt>
                <c:pt idx="77">
                  <c:v>2026-02-03</c:v>
                </c:pt>
                <c:pt idx="78">
                  <c:v>2026-02-04</c:v>
                </c:pt>
                <c:pt idx="79">
                  <c:v>2026-02-05</c:v>
                </c:pt>
                <c:pt idx="80">
                  <c:v>2026-02-06</c:v>
                </c:pt>
                <c:pt idx="81">
                  <c:v>2026-02-07</c:v>
                </c:pt>
                <c:pt idx="82">
                  <c:v>2026-02-08</c:v>
                </c:pt>
                <c:pt idx="83">
                  <c:v>2026-02-09</c:v>
                </c:pt>
                <c:pt idx="84">
                  <c:v>2026-02-10</c:v>
                </c:pt>
                <c:pt idx="85">
                  <c:v>2026-02-11</c:v>
                </c:pt>
                <c:pt idx="86">
                  <c:v>2026-02-13</c:v>
                </c:pt>
                <c:pt idx="87">
                  <c:v>2026-02-14</c:v>
                </c:pt>
                <c:pt idx="88">
                  <c:v>2026-02-15</c:v>
                </c:pt>
                <c:pt idx="89">
                  <c:v>2026-02-16</c:v>
                </c:pt>
                <c:pt idx="90">
                  <c:v>2026-02-17</c:v>
                </c:pt>
                <c:pt idx="91">
                  <c:v>2026-02-18</c:v>
                </c:pt>
                <c:pt idx="92">
                  <c:v>2026-02-19</c:v>
                </c:pt>
                <c:pt idx="93">
                  <c:v>2026-02-20</c:v>
                </c:pt>
                <c:pt idx="94">
                  <c:v>2026-02-21</c:v>
                </c:pt>
                <c:pt idx="95">
                  <c:v>2026-02-22</c:v>
                </c:pt>
                <c:pt idx="96">
                  <c:v>2026-02-23</c:v>
                </c:pt>
                <c:pt idx="97">
                  <c:v>2026-02-24</c:v>
                </c:pt>
                <c:pt idx="98">
                  <c:v>2026-02-25</c:v>
                </c:pt>
                <c:pt idx="99">
                  <c:v>2026-02-26</c:v>
                </c:pt>
                <c:pt idx="100">
                  <c:v>2026-02-27</c:v>
                </c:pt>
                <c:pt idx="101">
                  <c:v>2026-02-28</c:v>
                </c:pt>
                <c:pt idx="102">
                  <c:v>2026-03-01</c:v>
                </c:pt>
                <c:pt idx="103">
                  <c:v>2026-03-02</c:v>
                </c:pt>
                <c:pt idx="104">
                  <c:v>2026-03-03</c:v>
                </c:pt>
                <c:pt idx="105">
                  <c:v>2026-03-04</c:v>
                </c:pt>
                <c:pt idx="106">
                  <c:v>2026-03-05</c:v>
                </c:pt>
                <c:pt idx="107">
                  <c:v>2026-03-06</c:v>
                </c:pt>
                <c:pt idx="108">
                  <c:v>2026-03-07</c:v>
                </c:pt>
                <c:pt idx="109">
                  <c:v>2026-03-08</c:v>
                </c:pt>
                <c:pt idx="110">
                  <c:v>2026-03-09</c:v>
                </c:pt>
                <c:pt idx="111">
                  <c:v>2026-03-10</c:v>
                </c:pt>
                <c:pt idx="112">
                  <c:v>2026-03-11</c:v>
                </c:pt>
                <c:pt idx="113">
                  <c:v>2026-03-12</c:v>
                </c:pt>
                <c:pt idx="114">
                  <c:v>2026-03-13</c:v>
                </c:pt>
                <c:pt idx="115">
                  <c:v>2026-03-14</c:v>
                </c:pt>
                <c:pt idx="116">
                  <c:v>2026-03-15</c:v>
                </c:pt>
                <c:pt idx="117">
                  <c:v>2026-03-16</c:v>
                </c:pt>
                <c:pt idx="118">
                  <c:v>2026-03-17</c:v>
                </c:pt>
                <c:pt idx="119">
                  <c:v>2026-03-18</c:v>
                </c:pt>
                <c:pt idx="120">
                  <c:v>2026-03-20</c:v>
                </c:pt>
                <c:pt idx="121">
                  <c:v>2026-03-21</c:v>
                </c:pt>
                <c:pt idx="122">
                  <c:v>2026-03-22</c:v>
                </c:pt>
                <c:pt idx="123">
                  <c:v>2026-03-23</c:v>
                </c:pt>
                <c:pt idx="124">
                  <c:v>2026-03-24</c:v>
                </c:pt>
                <c:pt idx="125">
                  <c:v>2026-03-26</c:v>
                </c:pt>
                <c:pt idx="126">
                  <c:v>2026-03-27</c:v>
                </c:pt>
                <c:pt idx="127">
                  <c:v>2026-03-28</c:v>
                </c:pt>
                <c:pt idx="128">
                  <c:v>2026-03-29</c:v>
                </c:pt>
                <c:pt idx="129">
                  <c:v>2026-03-30</c:v>
                </c:pt>
                <c:pt idx="130">
                  <c:v>2026-04-01</c:v>
                </c:pt>
                <c:pt idx="131">
                  <c:v>2026-04-03</c:v>
                </c:pt>
                <c:pt idx="132">
                  <c:v>2026-04-04</c:v>
                </c:pt>
                <c:pt idx="133">
                  <c:v>2026-04-05</c:v>
                </c:pt>
                <c:pt idx="134">
                  <c:v>2026-04-06</c:v>
                </c:pt>
                <c:pt idx="135">
                  <c:v>2026-04-07</c:v>
                </c:pt>
                <c:pt idx="136">
                  <c:v>2026-04-08</c:v>
                </c:pt>
                <c:pt idx="137">
                  <c:v>2026-04-09</c:v>
                </c:pt>
                <c:pt idx="138">
                  <c:v>2026-04-10</c:v>
                </c:pt>
                <c:pt idx="139">
                  <c:v>2026-04-11</c:v>
                </c:pt>
                <c:pt idx="140">
                  <c:v>2026-04-12</c:v>
                </c:pt>
                <c:pt idx="141">
                  <c:v>2026-04-13</c:v>
                </c:pt>
                <c:pt idx="142">
                  <c:v>2026-04-14</c:v>
                </c:pt>
                <c:pt idx="143">
                  <c:v>2026-04-15</c:v>
                </c:pt>
                <c:pt idx="144">
                  <c:v>2026-04-16</c:v>
                </c:pt>
                <c:pt idx="145">
                  <c:v>2026-04-17</c:v>
                </c:pt>
                <c:pt idx="146">
                  <c:v>2026-04-18</c:v>
                </c:pt>
                <c:pt idx="147">
                  <c:v>2026-04-19</c:v>
                </c:pt>
                <c:pt idx="148">
                  <c:v>2026-04-20</c:v>
                </c:pt>
                <c:pt idx="149">
                  <c:v>2026-04-21</c:v>
                </c:pt>
                <c:pt idx="150">
                  <c:v>2026-04-22</c:v>
                </c:pt>
                <c:pt idx="151">
                  <c:v>2026-04-23</c:v>
                </c:pt>
                <c:pt idx="152">
                  <c:v>2026-04-24</c:v>
                </c:pt>
                <c:pt idx="153">
                  <c:v>2026-04-25</c:v>
                </c:pt>
                <c:pt idx="154">
                  <c:v>2026-04-26</c:v>
                </c:pt>
                <c:pt idx="155">
                  <c:v>2026-04-27</c:v>
                </c:pt>
                <c:pt idx="156">
                  <c:v>2026-04-28</c:v>
                </c:pt>
                <c:pt idx="157">
                  <c:v>2026-04-29</c:v>
                </c:pt>
                <c:pt idx="158">
                  <c:v>2026-04-30</c:v>
                </c:pt>
                <c:pt idx="159">
                  <c:v>2026-05-01</c:v>
                </c:pt>
                <c:pt idx="160">
                  <c:v>2026-05-02</c:v>
                </c:pt>
                <c:pt idx="161">
                  <c:v>2026-05-03</c:v>
                </c:pt>
                <c:pt idx="162">
                  <c:v>2026-05-04</c:v>
                </c:pt>
                <c:pt idx="163">
                  <c:v>2026-05-06</c:v>
                </c:pt>
                <c:pt idx="164">
                  <c:v>2026-05-07</c:v>
                </c:pt>
                <c:pt idx="165">
                  <c:v>2026-05-08</c:v>
                </c:pt>
                <c:pt idx="166">
                  <c:v>2026-05-09</c:v>
                </c:pt>
                <c:pt idx="167">
                  <c:v>2026-05-10</c:v>
                </c:pt>
                <c:pt idx="168">
                  <c:v>2026-05-11</c:v>
                </c:pt>
                <c:pt idx="169">
                  <c:v>2026-05-12</c:v>
                </c:pt>
                <c:pt idx="170">
                  <c:v>2026-05-13</c:v>
                </c:pt>
                <c:pt idx="171">
                  <c:v>2026-05-14</c:v>
                </c:pt>
                <c:pt idx="172">
                  <c:v>2026-05-15</c:v>
                </c:pt>
                <c:pt idx="173">
                  <c:v>2026-05-16</c:v>
                </c:pt>
                <c:pt idx="174">
                  <c:v>2026-05-17</c:v>
                </c:pt>
                <c:pt idx="175">
                  <c:v>2026-05-18</c:v>
                </c:pt>
                <c:pt idx="176">
                  <c:v>2026-05-19</c:v>
                </c:pt>
                <c:pt idx="177">
                  <c:v>2026-05-20</c:v>
                </c:pt>
                <c:pt idx="178">
                  <c:v>2026-05-22</c:v>
                </c:pt>
                <c:pt idx="179">
                  <c:v>2026-05-23</c:v>
                </c:pt>
                <c:pt idx="180">
                  <c:v>2026-05-24</c:v>
                </c:pt>
                <c:pt idx="181">
                  <c:v>2026-05-25</c:v>
                </c:pt>
                <c:pt idx="182">
                  <c:v>2026-05-26</c:v>
                </c:pt>
                <c:pt idx="183">
                  <c:v>2026-05-27</c:v>
                </c:pt>
                <c:pt idx="184">
                  <c:v>2026-05-28</c:v>
                </c:pt>
                <c:pt idx="185">
                  <c:v>2026-05-29</c:v>
                </c:pt>
                <c:pt idx="186">
                  <c:v>2026-05-31</c:v>
                </c:pt>
                <c:pt idx="187">
                  <c:v>2026-06-01</c:v>
                </c:pt>
                <c:pt idx="188">
                  <c:v>2026-06-02</c:v>
                </c:pt>
                <c:pt idx="189">
                  <c:v>2026-06-03</c:v>
                </c:pt>
                <c:pt idx="190">
                  <c:v>2026-06-04</c:v>
                </c:pt>
                <c:pt idx="191">
                  <c:v>2026-06-05</c:v>
                </c:pt>
                <c:pt idx="192">
                  <c:v>2026-06-06</c:v>
                </c:pt>
                <c:pt idx="193">
                  <c:v>2026-06-07</c:v>
                </c:pt>
                <c:pt idx="194">
                  <c:v>2026-06-08</c:v>
                </c:pt>
                <c:pt idx="195">
                  <c:v>2026-06-09</c:v>
                </c:pt>
                <c:pt idx="196">
                  <c:v>2026-06-10</c:v>
                </c:pt>
                <c:pt idx="197">
                  <c:v>2026-06-11</c:v>
                </c:pt>
                <c:pt idx="198">
                  <c:v>2026-06-12</c:v>
                </c:pt>
                <c:pt idx="199">
                  <c:v>2026-06-13</c:v>
                </c:pt>
                <c:pt idx="200">
                  <c:v>2026-06-14</c:v>
                </c:pt>
                <c:pt idx="201">
                  <c:v>2026-06-15</c:v>
                </c:pt>
                <c:pt idx="202">
                  <c:v>2026-06-16</c:v>
                </c:pt>
                <c:pt idx="203">
                  <c:v>2026-06-17</c:v>
                </c:pt>
                <c:pt idx="204">
                  <c:v>2026-06-18</c:v>
                </c:pt>
                <c:pt idx="205">
                  <c:v>2026-06-19</c:v>
                </c:pt>
                <c:pt idx="206">
                  <c:v>2026-06-20</c:v>
                </c:pt>
                <c:pt idx="207">
                  <c:v>2026-06-21</c:v>
                </c:pt>
                <c:pt idx="208">
                  <c:v>2026-06-22</c:v>
                </c:pt>
                <c:pt idx="209">
                  <c:v>2026-06-23</c:v>
                </c:pt>
                <c:pt idx="210">
                  <c:v>2026-06-24</c:v>
                </c:pt>
                <c:pt idx="211">
                  <c:v>2026-06-26</c:v>
                </c:pt>
                <c:pt idx="212">
                  <c:v>2026-06-27</c:v>
                </c:pt>
                <c:pt idx="213">
                  <c:v>2026-06-28</c:v>
                </c:pt>
                <c:pt idx="214">
                  <c:v>2026-06-29</c:v>
                </c:pt>
                <c:pt idx="215">
                  <c:v>2026-06-30</c:v>
                </c:pt>
                <c:pt idx="216">
                  <c:v>2026-07-01</c:v>
                </c:pt>
                <c:pt idx="217">
                  <c:v>2026-07-02</c:v>
                </c:pt>
                <c:pt idx="218">
                  <c:v>2026-07-03</c:v>
                </c:pt>
                <c:pt idx="219">
                  <c:v>2026-07-04</c:v>
                </c:pt>
                <c:pt idx="220">
                  <c:v>2026-07-05</c:v>
                </c:pt>
                <c:pt idx="221">
                  <c:v>2026-07-06</c:v>
                </c:pt>
                <c:pt idx="222">
                  <c:v>2026-07-07</c:v>
                </c:pt>
                <c:pt idx="223">
                  <c:v>2026-07-08</c:v>
                </c:pt>
                <c:pt idx="224">
                  <c:v>2026-07-09</c:v>
                </c:pt>
                <c:pt idx="225">
                  <c:v>2026-07-10</c:v>
                </c:pt>
                <c:pt idx="226">
                  <c:v>2026-07-11</c:v>
                </c:pt>
                <c:pt idx="227">
                  <c:v>2026-07-12</c:v>
                </c:pt>
                <c:pt idx="228">
                  <c:v>2026-07-13</c:v>
                </c:pt>
                <c:pt idx="229">
                  <c:v>2026-07-14</c:v>
                </c:pt>
                <c:pt idx="230">
                  <c:v>2026-07-15</c:v>
                </c:pt>
                <c:pt idx="231">
                  <c:v>2026-07-16</c:v>
                </c:pt>
                <c:pt idx="232">
                  <c:v>2026-07-17</c:v>
                </c:pt>
                <c:pt idx="233">
                  <c:v>2026-07-18</c:v>
                </c:pt>
                <c:pt idx="234">
                  <c:v>2026-07-19</c:v>
                </c:pt>
                <c:pt idx="235">
                  <c:v>2026-07-20</c:v>
                </c:pt>
                <c:pt idx="236">
                  <c:v>2026-07-21</c:v>
                </c:pt>
                <c:pt idx="237">
                  <c:v>2026-07-22</c:v>
                </c:pt>
                <c:pt idx="238">
                  <c:v>2026-07-23</c:v>
                </c:pt>
                <c:pt idx="239">
                  <c:v>2026-07-24</c:v>
                </c:pt>
                <c:pt idx="240">
                  <c:v>2026-07-25</c:v>
                </c:pt>
                <c:pt idx="241">
                  <c:v>2026-07-26</c:v>
                </c:pt>
                <c:pt idx="242">
                  <c:v>2026-07-27</c:v>
                </c:pt>
                <c:pt idx="243">
                  <c:v>2026-07-28</c:v>
                </c:pt>
                <c:pt idx="244">
                  <c:v>2026-07-29</c:v>
                </c:pt>
                <c:pt idx="245">
                  <c:v>2026-07-30</c:v>
                </c:pt>
                <c:pt idx="246">
                  <c:v>2026-07-31</c:v>
                </c:pt>
                <c:pt idx="247">
                  <c:v>2026-08-01</c:v>
                </c:pt>
                <c:pt idx="248">
                  <c:v>2026-08-02</c:v>
                </c:pt>
                <c:pt idx="249">
                  <c:v>2026-08-03</c:v>
                </c:pt>
                <c:pt idx="250">
                  <c:v>2026-08-04</c:v>
                </c:pt>
                <c:pt idx="251">
                  <c:v>2026-08-05</c:v>
                </c:pt>
                <c:pt idx="252">
                  <c:v>2026-08-06</c:v>
                </c:pt>
                <c:pt idx="253">
                  <c:v>2026-08-07</c:v>
                </c:pt>
                <c:pt idx="254">
                  <c:v>2026-08-08</c:v>
                </c:pt>
                <c:pt idx="255">
                  <c:v>2026-08-09</c:v>
                </c:pt>
                <c:pt idx="256">
                  <c:v>2026-08-10</c:v>
                </c:pt>
                <c:pt idx="257">
                  <c:v>2026-08-11</c:v>
                </c:pt>
                <c:pt idx="258">
                  <c:v>2026-08-12</c:v>
                </c:pt>
                <c:pt idx="259">
                  <c:v>2026-08-13</c:v>
                </c:pt>
                <c:pt idx="260">
                  <c:v>2026-08-14</c:v>
                </c:pt>
                <c:pt idx="261">
                  <c:v>2026-08-15</c:v>
                </c:pt>
                <c:pt idx="262">
                  <c:v>2026-08-16</c:v>
                </c:pt>
                <c:pt idx="263">
                  <c:v>2026-08-17</c:v>
                </c:pt>
                <c:pt idx="264">
                  <c:v>2026-08-18</c:v>
                </c:pt>
                <c:pt idx="265">
                  <c:v>2026-08-19</c:v>
                </c:pt>
                <c:pt idx="266">
                  <c:v>2026-08-20</c:v>
                </c:pt>
                <c:pt idx="267">
                  <c:v>2026-08-21</c:v>
                </c:pt>
                <c:pt idx="268">
                  <c:v>2026-08-22</c:v>
                </c:pt>
                <c:pt idx="269">
                  <c:v>2026-08-23</c:v>
                </c:pt>
                <c:pt idx="270">
                  <c:v>2026-08-24</c:v>
                </c:pt>
                <c:pt idx="271">
                  <c:v>2026-08-25</c:v>
                </c:pt>
                <c:pt idx="272">
                  <c:v>2026-08-26</c:v>
                </c:pt>
                <c:pt idx="273">
                  <c:v>2026-08-27</c:v>
                </c:pt>
                <c:pt idx="274">
                  <c:v>2026-08-28</c:v>
                </c:pt>
                <c:pt idx="275">
                  <c:v>2026-08-29</c:v>
                </c:pt>
                <c:pt idx="276">
                  <c:v>2026-08-30</c:v>
                </c:pt>
                <c:pt idx="277">
                  <c:v>2026-08-31</c:v>
                </c:pt>
                <c:pt idx="278">
                  <c:v>2026-09-01</c:v>
                </c:pt>
                <c:pt idx="279">
                  <c:v>2026-09-02</c:v>
                </c:pt>
                <c:pt idx="280">
                  <c:v>2026-09-03</c:v>
                </c:pt>
                <c:pt idx="281">
                  <c:v>2026-09-04</c:v>
                </c:pt>
                <c:pt idx="282">
                  <c:v>2026-09-05</c:v>
                </c:pt>
                <c:pt idx="283">
                  <c:v>2026-09-07</c:v>
                </c:pt>
                <c:pt idx="284">
                  <c:v>2026-09-09</c:v>
                </c:pt>
                <c:pt idx="285">
                  <c:v>2026-09-10</c:v>
                </c:pt>
                <c:pt idx="286">
                  <c:v>2026-09-11</c:v>
                </c:pt>
                <c:pt idx="287">
                  <c:v>2026-09-12</c:v>
                </c:pt>
                <c:pt idx="288">
                  <c:v>2026-09-14</c:v>
                </c:pt>
                <c:pt idx="289">
                  <c:v>2026-09-16</c:v>
                </c:pt>
                <c:pt idx="290">
                  <c:v>2026-09-17</c:v>
                </c:pt>
                <c:pt idx="291">
                  <c:v>2026-09-18</c:v>
                </c:pt>
                <c:pt idx="292">
                  <c:v>2026-09-19</c:v>
                </c:pt>
                <c:pt idx="293">
                  <c:v>2026-09-20</c:v>
                </c:pt>
                <c:pt idx="294">
                  <c:v>2026-09-21</c:v>
                </c:pt>
                <c:pt idx="295">
                  <c:v>2026-09-22</c:v>
                </c:pt>
                <c:pt idx="296">
                  <c:v>2026-09-23</c:v>
                </c:pt>
                <c:pt idx="297">
                  <c:v>2026-09-24</c:v>
                </c:pt>
                <c:pt idx="298">
                  <c:v>2026-09-25</c:v>
                </c:pt>
                <c:pt idx="299">
                  <c:v>2026-09-26</c:v>
                </c:pt>
                <c:pt idx="300">
                  <c:v>2026-09-27</c:v>
                </c:pt>
                <c:pt idx="301">
                  <c:v>2026-09-28</c:v>
                </c:pt>
                <c:pt idx="302">
                  <c:v>2026-09-29</c:v>
                </c:pt>
                <c:pt idx="303">
                  <c:v>2026-09-30</c:v>
                </c:pt>
                <c:pt idx="304">
                  <c:v>2026-10-01</c:v>
                </c:pt>
                <c:pt idx="305">
                  <c:v>2026-10-02</c:v>
                </c:pt>
                <c:pt idx="306">
                  <c:v>2026-10-03</c:v>
                </c:pt>
                <c:pt idx="307">
                  <c:v>2026-10-04</c:v>
                </c:pt>
                <c:pt idx="308">
                  <c:v>2026-10-05</c:v>
                </c:pt>
                <c:pt idx="309">
                  <c:v>2026-10-06</c:v>
                </c:pt>
                <c:pt idx="310">
                  <c:v>2026-10-07</c:v>
                </c:pt>
                <c:pt idx="311">
                  <c:v>2026-10-08</c:v>
                </c:pt>
                <c:pt idx="312">
                  <c:v>2026-10-09</c:v>
                </c:pt>
                <c:pt idx="313">
                  <c:v>2026-10-10</c:v>
                </c:pt>
                <c:pt idx="314">
                  <c:v>2026-10-11</c:v>
                </c:pt>
                <c:pt idx="315">
                  <c:v>2026-10-12</c:v>
                </c:pt>
                <c:pt idx="316">
                  <c:v>2026-10-13</c:v>
                </c:pt>
                <c:pt idx="317">
                  <c:v>2026-10-14</c:v>
                </c:pt>
                <c:pt idx="318">
                  <c:v>2026-10-15</c:v>
                </c:pt>
                <c:pt idx="319">
                  <c:v>2026-10-16</c:v>
                </c:pt>
                <c:pt idx="320">
                  <c:v>2026-10-17</c:v>
                </c:pt>
                <c:pt idx="321">
                  <c:v>2026-10-18</c:v>
                </c:pt>
                <c:pt idx="322">
                  <c:v>2026-10-19</c:v>
                </c:pt>
                <c:pt idx="323">
                  <c:v>2026-10-20</c:v>
                </c:pt>
                <c:pt idx="324">
                  <c:v>2026-10-21</c:v>
                </c:pt>
                <c:pt idx="325">
                  <c:v>2026-10-22</c:v>
                </c:pt>
                <c:pt idx="326">
                  <c:v>2026-10-23</c:v>
                </c:pt>
                <c:pt idx="327">
                  <c:v>2026-10-24</c:v>
                </c:pt>
                <c:pt idx="328">
                  <c:v>2026-10-25</c:v>
                </c:pt>
                <c:pt idx="329">
                  <c:v>2026-10-26</c:v>
                </c:pt>
                <c:pt idx="330">
                  <c:v>2026-10-27</c:v>
                </c:pt>
                <c:pt idx="331">
                  <c:v>2026-10-28</c:v>
                </c:pt>
                <c:pt idx="332">
                  <c:v>2026-10-29</c:v>
                </c:pt>
                <c:pt idx="333">
                  <c:v>2026-10-30</c:v>
                </c:pt>
                <c:pt idx="334">
                  <c:v>2026-10-31</c:v>
                </c:pt>
                <c:pt idx="335">
                  <c:v>2026-11-01</c:v>
                </c:pt>
                <c:pt idx="336">
                  <c:v>2026-11-02</c:v>
                </c:pt>
                <c:pt idx="337">
                  <c:v>2026-11-03</c:v>
                </c:pt>
                <c:pt idx="338">
                  <c:v>2026-11-04</c:v>
                </c:pt>
                <c:pt idx="339">
                  <c:v>2026-11-05</c:v>
                </c:pt>
                <c:pt idx="340">
                  <c:v>2026-11-06</c:v>
                </c:pt>
                <c:pt idx="341">
                  <c:v>2026-11-08</c:v>
                </c:pt>
                <c:pt idx="342">
                  <c:v>2026-11-09</c:v>
                </c:pt>
                <c:pt idx="343">
                  <c:v>2026-11-10</c:v>
                </c:pt>
                <c:pt idx="344">
                  <c:v>2026-11-11</c:v>
                </c:pt>
                <c:pt idx="345">
                  <c:v>2026-11-12</c:v>
                </c:pt>
                <c:pt idx="346">
                  <c:v>2026-11-13</c:v>
                </c:pt>
                <c:pt idx="347">
                  <c:v>2026-11-14</c:v>
                </c:pt>
                <c:pt idx="348">
                  <c:v>2026-11-15</c:v>
                </c:pt>
                <c:pt idx="349">
                  <c:v>2026-11-16</c:v>
                </c:pt>
                <c:pt idx="350">
                  <c:v>2026-11-17</c:v>
                </c:pt>
                <c:pt idx="351">
                  <c:v>2026-11-18</c:v>
                </c:pt>
                <c:pt idx="352">
                  <c:v>2026-11-19</c:v>
                </c:pt>
                <c:pt idx="353">
                  <c:v>2026-11-20</c:v>
                </c:pt>
                <c:pt idx="354">
                  <c:v>2026-11-21</c:v>
                </c:pt>
                <c:pt idx="355">
                  <c:v>2026-11-22</c:v>
                </c:pt>
                <c:pt idx="356">
                  <c:v>2026-11-23</c:v>
                </c:pt>
                <c:pt idx="357">
                  <c:v>2026-11-25</c:v>
                </c:pt>
                <c:pt idx="358">
                  <c:v>2026-11-26</c:v>
                </c:pt>
                <c:pt idx="359">
                  <c:v>2026-11-27</c:v>
                </c:pt>
                <c:pt idx="360">
                  <c:v>2026-11-28</c:v>
                </c:pt>
                <c:pt idx="361">
                  <c:v>2026-11-29</c:v>
                </c:pt>
                <c:pt idx="362">
                  <c:v>2026-11-30</c:v>
                </c:pt>
                <c:pt idx="363">
                  <c:v>2026-12-01</c:v>
                </c:pt>
                <c:pt idx="364">
                  <c:v>2026-12-02</c:v>
                </c:pt>
                <c:pt idx="365">
                  <c:v>2026-12-03</c:v>
                </c:pt>
                <c:pt idx="366">
                  <c:v>2026-12-04</c:v>
                </c:pt>
                <c:pt idx="367">
                  <c:v>2026-12-05</c:v>
                </c:pt>
                <c:pt idx="368">
                  <c:v>2026-12-06</c:v>
                </c:pt>
                <c:pt idx="369">
                  <c:v>21/09/2026</c:v>
                </c:pt>
                <c:pt idx="370">
                  <c:v>22/03/2026</c:v>
                </c:pt>
                <c:pt idx="371">
                  <c:v>22/10/2026</c:v>
                </c:pt>
                <c:pt idx="372">
                  <c:v>23/02/2026</c:v>
                </c:pt>
                <c:pt idx="373">
                  <c:v>23/05/2026</c:v>
                </c:pt>
                <c:pt idx="374">
                  <c:v>23/07/2026</c:v>
                </c:pt>
                <c:pt idx="375">
                  <c:v>23/08/2026</c:v>
                </c:pt>
                <c:pt idx="376">
                  <c:v>24/07/2026</c:v>
                </c:pt>
                <c:pt idx="377">
                  <c:v>24/08/2026</c:v>
                </c:pt>
                <c:pt idx="378">
                  <c:v>25/08/2026</c:v>
                </c:pt>
                <c:pt idx="379">
                  <c:v>25/09/2026</c:v>
                </c:pt>
                <c:pt idx="380">
                  <c:v>26/07/2026</c:v>
                </c:pt>
                <c:pt idx="381">
                  <c:v>27/01/2026</c:v>
                </c:pt>
                <c:pt idx="382">
                  <c:v>27/07/2026</c:v>
                </c:pt>
                <c:pt idx="383">
                  <c:v>27/09/2026</c:v>
                </c:pt>
                <c:pt idx="384">
                  <c:v>27/10/2026</c:v>
                </c:pt>
                <c:pt idx="385">
                  <c:v>28/04/2026</c:v>
                </c:pt>
                <c:pt idx="386">
                  <c:v>28/09/2026</c:v>
                </c:pt>
                <c:pt idx="387">
                  <c:v>28/10/2026</c:v>
                </c:pt>
                <c:pt idx="388">
                  <c:v>29/06/2026</c:v>
                </c:pt>
                <c:pt idx="389">
                  <c:v>29/07/2026</c:v>
                </c:pt>
                <c:pt idx="390">
                  <c:v>29/08/2026</c:v>
                </c:pt>
                <c:pt idx="391">
                  <c:v>30/10/2026</c:v>
                </c:pt>
                <c:pt idx="392">
                  <c:v>31/03/2026</c:v>
                </c:pt>
              </c:strCache>
            </c:strRef>
          </c:cat>
          <c:val>
            <c:numRef>
              <c:f>'data analysis '!$B$20:$B$413</c:f>
              <c:numCache>
                <c:formatCode>General</c:formatCode>
                <c:ptCount val="393"/>
                <c:pt idx="0">
                  <c:v>64.06</c:v>
                </c:pt>
                <c:pt idx="1">
                  <c:v>30.99</c:v>
                </c:pt>
                <c:pt idx="2">
                  <c:v>21.99</c:v>
                </c:pt>
                <c:pt idx="3">
                  <c:v>16.989999999999998</c:v>
                </c:pt>
                <c:pt idx="4">
                  <c:v>45.11</c:v>
                </c:pt>
                <c:pt idx="5">
                  <c:v>53.43</c:v>
                </c:pt>
                <c:pt idx="6">
                  <c:v>16.989999999999998</c:v>
                </c:pt>
                <c:pt idx="7">
                  <c:v>16.989999999999998</c:v>
                </c:pt>
                <c:pt idx="8">
                  <c:v>27.99</c:v>
                </c:pt>
                <c:pt idx="9">
                  <c:v>94.13</c:v>
                </c:pt>
                <c:pt idx="10">
                  <c:v>70.77</c:v>
                </c:pt>
                <c:pt idx="11">
                  <c:v>27.99</c:v>
                </c:pt>
                <c:pt idx="12">
                  <c:v>16.989999999999998</c:v>
                </c:pt>
                <c:pt idx="13">
                  <c:v>104.47999999999999</c:v>
                </c:pt>
                <c:pt idx="14">
                  <c:v>40.18</c:v>
                </c:pt>
                <c:pt idx="15">
                  <c:v>73.569999999999993</c:v>
                </c:pt>
                <c:pt idx="16">
                  <c:v>37.85</c:v>
                </c:pt>
                <c:pt idx="17">
                  <c:v>34.99</c:v>
                </c:pt>
                <c:pt idx="18">
                  <c:v>30.99</c:v>
                </c:pt>
                <c:pt idx="19">
                  <c:v>27.99</c:v>
                </c:pt>
                <c:pt idx="20">
                  <c:v>82.94</c:v>
                </c:pt>
                <c:pt idx="21">
                  <c:v>58.98</c:v>
                </c:pt>
                <c:pt idx="22">
                  <c:v>60.08</c:v>
                </c:pt>
                <c:pt idx="23">
                  <c:v>45.36</c:v>
                </c:pt>
                <c:pt idx="24">
                  <c:v>27.99</c:v>
                </c:pt>
                <c:pt idx="25">
                  <c:v>84.73</c:v>
                </c:pt>
                <c:pt idx="26">
                  <c:v>123.46000000000001</c:v>
                </c:pt>
                <c:pt idx="27">
                  <c:v>73.12</c:v>
                </c:pt>
                <c:pt idx="28">
                  <c:v>18.989999999999998</c:v>
                </c:pt>
                <c:pt idx="29">
                  <c:v>21.99</c:v>
                </c:pt>
                <c:pt idx="30">
                  <c:v>110.50999999999999</c:v>
                </c:pt>
                <c:pt idx="31">
                  <c:v>74.53</c:v>
                </c:pt>
                <c:pt idx="32">
                  <c:v>58.239999999999995</c:v>
                </c:pt>
                <c:pt idx="33">
                  <c:v>102.49000000000001</c:v>
                </c:pt>
                <c:pt idx="34">
                  <c:v>32.880000000000003</c:v>
                </c:pt>
                <c:pt idx="35">
                  <c:v>78.06</c:v>
                </c:pt>
                <c:pt idx="36">
                  <c:v>40.08</c:v>
                </c:pt>
                <c:pt idx="37">
                  <c:v>53.03</c:v>
                </c:pt>
                <c:pt idx="38">
                  <c:v>29.64</c:v>
                </c:pt>
                <c:pt idx="39">
                  <c:v>46.98</c:v>
                </c:pt>
                <c:pt idx="40">
                  <c:v>60.98</c:v>
                </c:pt>
                <c:pt idx="41">
                  <c:v>40.78</c:v>
                </c:pt>
                <c:pt idx="42">
                  <c:v>32.71</c:v>
                </c:pt>
                <c:pt idx="43">
                  <c:v>27.99</c:v>
                </c:pt>
                <c:pt idx="44">
                  <c:v>34.99</c:v>
                </c:pt>
                <c:pt idx="45">
                  <c:v>16.989999999999998</c:v>
                </c:pt>
                <c:pt idx="46">
                  <c:v>185.51000000000002</c:v>
                </c:pt>
                <c:pt idx="47">
                  <c:v>164.87</c:v>
                </c:pt>
                <c:pt idx="48">
                  <c:v>41.04</c:v>
                </c:pt>
                <c:pt idx="49">
                  <c:v>66.77</c:v>
                </c:pt>
                <c:pt idx="50">
                  <c:v>108.82999999999998</c:v>
                </c:pt>
                <c:pt idx="51">
                  <c:v>78.97</c:v>
                </c:pt>
                <c:pt idx="52">
                  <c:v>128.62</c:v>
                </c:pt>
                <c:pt idx="53">
                  <c:v>189.4</c:v>
                </c:pt>
                <c:pt idx="54">
                  <c:v>30.99</c:v>
                </c:pt>
                <c:pt idx="55">
                  <c:v>148.04999999999998</c:v>
                </c:pt>
                <c:pt idx="56">
                  <c:v>48.29</c:v>
                </c:pt>
                <c:pt idx="57">
                  <c:v>232.49</c:v>
                </c:pt>
                <c:pt idx="58">
                  <c:v>103.94</c:v>
                </c:pt>
                <c:pt idx="59">
                  <c:v>239.39000000000001</c:v>
                </c:pt>
                <c:pt idx="60">
                  <c:v>138.36000000000001</c:v>
                </c:pt>
                <c:pt idx="61">
                  <c:v>140.29</c:v>
                </c:pt>
                <c:pt idx="62">
                  <c:v>16.989999999999998</c:v>
                </c:pt>
                <c:pt idx="63">
                  <c:v>16.989999999999998</c:v>
                </c:pt>
                <c:pt idx="64">
                  <c:v>60.06</c:v>
                </c:pt>
                <c:pt idx="65">
                  <c:v>94.85</c:v>
                </c:pt>
                <c:pt idx="66">
                  <c:v>52.98</c:v>
                </c:pt>
                <c:pt idx="67">
                  <c:v>18.989999999999998</c:v>
                </c:pt>
                <c:pt idx="68">
                  <c:v>48.89</c:v>
                </c:pt>
                <c:pt idx="69">
                  <c:v>110.94999999999999</c:v>
                </c:pt>
                <c:pt idx="70">
                  <c:v>97.97</c:v>
                </c:pt>
                <c:pt idx="71">
                  <c:v>68.679999999999993</c:v>
                </c:pt>
                <c:pt idx="72">
                  <c:v>120.02000000000001</c:v>
                </c:pt>
                <c:pt idx="73">
                  <c:v>34.99</c:v>
                </c:pt>
                <c:pt idx="74">
                  <c:v>140.97</c:v>
                </c:pt>
                <c:pt idx="75">
                  <c:v>131.49</c:v>
                </c:pt>
                <c:pt idx="76">
                  <c:v>27.99</c:v>
                </c:pt>
                <c:pt idx="77">
                  <c:v>173.54</c:v>
                </c:pt>
                <c:pt idx="78">
                  <c:v>104.19</c:v>
                </c:pt>
                <c:pt idx="79">
                  <c:v>53.980000000000004</c:v>
                </c:pt>
                <c:pt idx="80">
                  <c:v>21.99</c:v>
                </c:pt>
                <c:pt idx="81">
                  <c:v>99.02</c:v>
                </c:pt>
                <c:pt idx="82">
                  <c:v>52.41</c:v>
                </c:pt>
                <c:pt idx="83">
                  <c:v>103.89999999999999</c:v>
                </c:pt>
                <c:pt idx="84">
                  <c:v>18.989999999999998</c:v>
                </c:pt>
                <c:pt idx="85">
                  <c:v>147.70000000000002</c:v>
                </c:pt>
                <c:pt idx="86">
                  <c:v>113.80999999999999</c:v>
                </c:pt>
                <c:pt idx="87">
                  <c:v>108.89</c:v>
                </c:pt>
                <c:pt idx="88">
                  <c:v>122.07</c:v>
                </c:pt>
                <c:pt idx="89">
                  <c:v>167.29999999999998</c:v>
                </c:pt>
                <c:pt idx="90">
                  <c:v>137.63</c:v>
                </c:pt>
                <c:pt idx="91">
                  <c:v>18.989999999999998</c:v>
                </c:pt>
                <c:pt idx="92">
                  <c:v>53.980000000000004</c:v>
                </c:pt>
                <c:pt idx="93">
                  <c:v>170.81</c:v>
                </c:pt>
                <c:pt idx="94">
                  <c:v>73.27</c:v>
                </c:pt>
                <c:pt idx="95">
                  <c:v>172.04</c:v>
                </c:pt>
                <c:pt idx="96">
                  <c:v>27.99</c:v>
                </c:pt>
                <c:pt idx="97">
                  <c:v>131.51</c:v>
                </c:pt>
                <c:pt idx="98">
                  <c:v>351.22</c:v>
                </c:pt>
                <c:pt idx="99">
                  <c:v>179.52</c:v>
                </c:pt>
                <c:pt idx="100">
                  <c:v>133.85999999999999</c:v>
                </c:pt>
                <c:pt idx="101">
                  <c:v>76.599999999999994</c:v>
                </c:pt>
                <c:pt idx="102">
                  <c:v>135.19</c:v>
                </c:pt>
                <c:pt idx="103">
                  <c:v>153.22000000000003</c:v>
                </c:pt>
                <c:pt idx="104">
                  <c:v>135.22999999999999</c:v>
                </c:pt>
                <c:pt idx="105">
                  <c:v>47.98</c:v>
                </c:pt>
                <c:pt idx="106">
                  <c:v>102.94999999999999</c:v>
                </c:pt>
                <c:pt idx="107">
                  <c:v>21.99</c:v>
                </c:pt>
                <c:pt idx="108">
                  <c:v>65.98</c:v>
                </c:pt>
                <c:pt idx="109">
                  <c:v>92.83</c:v>
                </c:pt>
                <c:pt idx="110">
                  <c:v>21.99</c:v>
                </c:pt>
                <c:pt idx="111">
                  <c:v>57.97</c:v>
                </c:pt>
                <c:pt idx="112">
                  <c:v>91.96</c:v>
                </c:pt>
                <c:pt idx="113">
                  <c:v>18.989999999999998</c:v>
                </c:pt>
                <c:pt idx="114">
                  <c:v>78.97</c:v>
                </c:pt>
                <c:pt idx="115">
                  <c:v>109.39000000000001</c:v>
                </c:pt>
                <c:pt idx="116">
                  <c:v>174.89</c:v>
                </c:pt>
                <c:pt idx="117">
                  <c:v>136.66999999999999</c:v>
                </c:pt>
                <c:pt idx="118">
                  <c:v>140.83000000000001</c:v>
                </c:pt>
                <c:pt idx="119">
                  <c:v>43.98</c:v>
                </c:pt>
                <c:pt idx="120">
                  <c:v>34.99</c:v>
                </c:pt>
                <c:pt idx="121">
                  <c:v>56.980000000000004</c:v>
                </c:pt>
                <c:pt idx="122">
                  <c:v>69.98</c:v>
                </c:pt>
                <c:pt idx="123">
                  <c:v>46.519999999999996</c:v>
                </c:pt>
                <c:pt idx="124">
                  <c:v>207</c:v>
                </c:pt>
                <c:pt idx="125">
                  <c:v>214.29000000000002</c:v>
                </c:pt>
                <c:pt idx="126">
                  <c:v>147.29000000000002</c:v>
                </c:pt>
                <c:pt idx="127">
                  <c:v>144.74</c:v>
                </c:pt>
                <c:pt idx="128">
                  <c:v>66.67</c:v>
                </c:pt>
                <c:pt idx="129">
                  <c:v>95.449999999999989</c:v>
                </c:pt>
                <c:pt idx="130">
                  <c:v>111.14</c:v>
                </c:pt>
                <c:pt idx="131">
                  <c:v>50.05</c:v>
                </c:pt>
                <c:pt idx="132">
                  <c:v>172.12</c:v>
                </c:pt>
                <c:pt idx="133">
                  <c:v>152.38999999999999</c:v>
                </c:pt>
                <c:pt idx="134">
                  <c:v>29.1</c:v>
                </c:pt>
                <c:pt idx="135">
                  <c:v>84.97</c:v>
                </c:pt>
                <c:pt idx="136">
                  <c:v>75.97</c:v>
                </c:pt>
                <c:pt idx="137">
                  <c:v>221.20999999999998</c:v>
                </c:pt>
                <c:pt idx="138">
                  <c:v>190.18000000000004</c:v>
                </c:pt>
                <c:pt idx="139">
                  <c:v>78.08</c:v>
                </c:pt>
                <c:pt idx="140">
                  <c:v>99.01</c:v>
                </c:pt>
                <c:pt idx="141">
                  <c:v>38.979999999999997</c:v>
                </c:pt>
                <c:pt idx="142">
                  <c:v>18.989999999999998</c:v>
                </c:pt>
                <c:pt idx="143">
                  <c:v>21.99</c:v>
                </c:pt>
                <c:pt idx="144">
                  <c:v>122.89</c:v>
                </c:pt>
                <c:pt idx="145">
                  <c:v>98.699999999999989</c:v>
                </c:pt>
                <c:pt idx="146">
                  <c:v>52.98</c:v>
                </c:pt>
                <c:pt idx="147">
                  <c:v>104.42</c:v>
                </c:pt>
                <c:pt idx="148">
                  <c:v>72.97</c:v>
                </c:pt>
                <c:pt idx="149">
                  <c:v>38.18</c:v>
                </c:pt>
                <c:pt idx="150">
                  <c:v>74.930000000000007</c:v>
                </c:pt>
                <c:pt idx="151">
                  <c:v>56.980000000000004</c:v>
                </c:pt>
                <c:pt idx="152">
                  <c:v>82.95</c:v>
                </c:pt>
                <c:pt idx="153">
                  <c:v>136.71</c:v>
                </c:pt>
                <c:pt idx="154">
                  <c:v>160.5</c:v>
                </c:pt>
                <c:pt idx="155">
                  <c:v>108.22999999999999</c:v>
                </c:pt>
                <c:pt idx="156">
                  <c:v>46.98</c:v>
                </c:pt>
                <c:pt idx="157">
                  <c:v>68.849999999999994</c:v>
                </c:pt>
                <c:pt idx="158">
                  <c:v>46.98</c:v>
                </c:pt>
                <c:pt idx="159">
                  <c:v>163.49</c:v>
                </c:pt>
                <c:pt idx="160">
                  <c:v>44.98</c:v>
                </c:pt>
                <c:pt idx="161">
                  <c:v>34.99</c:v>
                </c:pt>
                <c:pt idx="162">
                  <c:v>56.980000000000004</c:v>
                </c:pt>
                <c:pt idx="163">
                  <c:v>71.97</c:v>
                </c:pt>
                <c:pt idx="164">
                  <c:v>105.11</c:v>
                </c:pt>
                <c:pt idx="165">
                  <c:v>89.97</c:v>
                </c:pt>
                <c:pt idx="166">
                  <c:v>60.47</c:v>
                </c:pt>
                <c:pt idx="167">
                  <c:v>221.74</c:v>
                </c:pt>
                <c:pt idx="168">
                  <c:v>16.989999999999998</c:v>
                </c:pt>
                <c:pt idx="169">
                  <c:v>160.62</c:v>
                </c:pt>
                <c:pt idx="170">
                  <c:v>91.98</c:v>
                </c:pt>
                <c:pt idx="171">
                  <c:v>61.98</c:v>
                </c:pt>
                <c:pt idx="172">
                  <c:v>77.97</c:v>
                </c:pt>
                <c:pt idx="173">
                  <c:v>86.039999999999992</c:v>
                </c:pt>
                <c:pt idx="174">
                  <c:v>93.78</c:v>
                </c:pt>
                <c:pt idx="175">
                  <c:v>140.88</c:v>
                </c:pt>
                <c:pt idx="176">
                  <c:v>104.91</c:v>
                </c:pt>
                <c:pt idx="177">
                  <c:v>57.43</c:v>
                </c:pt>
                <c:pt idx="178">
                  <c:v>76.489999999999995</c:v>
                </c:pt>
                <c:pt idx="179">
                  <c:v>85.96</c:v>
                </c:pt>
                <c:pt idx="180">
                  <c:v>163.07</c:v>
                </c:pt>
                <c:pt idx="181">
                  <c:v>61.98</c:v>
                </c:pt>
                <c:pt idx="182">
                  <c:v>150.36000000000001</c:v>
                </c:pt>
                <c:pt idx="183">
                  <c:v>232.67000000000002</c:v>
                </c:pt>
                <c:pt idx="184">
                  <c:v>165.66</c:v>
                </c:pt>
                <c:pt idx="185">
                  <c:v>170.32</c:v>
                </c:pt>
                <c:pt idx="186">
                  <c:v>114.96</c:v>
                </c:pt>
                <c:pt idx="187">
                  <c:v>252.26000000000002</c:v>
                </c:pt>
                <c:pt idx="188">
                  <c:v>402.06000000000006</c:v>
                </c:pt>
                <c:pt idx="189">
                  <c:v>288.8</c:v>
                </c:pt>
                <c:pt idx="190">
                  <c:v>104.44999999999999</c:v>
                </c:pt>
                <c:pt idx="191">
                  <c:v>239.71000000000004</c:v>
                </c:pt>
                <c:pt idx="192">
                  <c:v>344.84000000000003</c:v>
                </c:pt>
                <c:pt idx="193">
                  <c:v>120.94999999999999</c:v>
                </c:pt>
                <c:pt idx="194">
                  <c:v>150.88</c:v>
                </c:pt>
                <c:pt idx="195">
                  <c:v>606.61</c:v>
                </c:pt>
                <c:pt idx="196">
                  <c:v>176.61</c:v>
                </c:pt>
                <c:pt idx="197">
                  <c:v>312.94</c:v>
                </c:pt>
                <c:pt idx="198">
                  <c:v>188.46</c:v>
                </c:pt>
                <c:pt idx="199">
                  <c:v>194.43</c:v>
                </c:pt>
                <c:pt idx="200">
                  <c:v>175.18</c:v>
                </c:pt>
                <c:pt idx="201">
                  <c:v>187.94000000000003</c:v>
                </c:pt>
                <c:pt idx="202">
                  <c:v>416.46000000000004</c:v>
                </c:pt>
                <c:pt idx="203">
                  <c:v>348.95000000000005</c:v>
                </c:pt>
                <c:pt idx="204">
                  <c:v>324.41000000000003</c:v>
                </c:pt>
                <c:pt idx="205">
                  <c:v>385.74</c:v>
                </c:pt>
                <c:pt idx="206">
                  <c:v>376.81</c:v>
                </c:pt>
                <c:pt idx="207">
                  <c:v>100.97</c:v>
                </c:pt>
                <c:pt idx="208">
                  <c:v>353.14000000000004</c:v>
                </c:pt>
                <c:pt idx="209">
                  <c:v>195.31</c:v>
                </c:pt>
                <c:pt idx="210">
                  <c:v>343.22</c:v>
                </c:pt>
                <c:pt idx="211">
                  <c:v>49.98</c:v>
                </c:pt>
                <c:pt idx="212">
                  <c:v>93.759999999999991</c:v>
                </c:pt>
                <c:pt idx="213">
                  <c:v>146.14000000000001</c:v>
                </c:pt>
                <c:pt idx="214">
                  <c:v>378.21</c:v>
                </c:pt>
                <c:pt idx="215">
                  <c:v>144.84</c:v>
                </c:pt>
                <c:pt idx="216">
                  <c:v>451.22</c:v>
                </c:pt>
                <c:pt idx="217">
                  <c:v>84.97</c:v>
                </c:pt>
                <c:pt idx="218">
                  <c:v>229.67000000000002</c:v>
                </c:pt>
                <c:pt idx="219">
                  <c:v>49.98</c:v>
                </c:pt>
                <c:pt idx="220">
                  <c:v>391.74000000000007</c:v>
                </c:pt>
                <c:pt idx="221">
                  <c:v>66.97</c:v>
                </c:pt>
                <c:pt idx="222">
                  <c:v>182.48999999999998</c:v>
                </c:pt>
                <c:pt idx="223">
                  <c:v>154.68</c:v>
                </c:pt>
                <c:pt idx="224">
                  <c:v>194.06</c:v>
                </c:pt>
                <c:pt idx="225">
                  <c:v>292.69</c:v>
                </c:pt>
                <c:pt idx="226">
                  <c:v>268.55</c:v>
                </c:pt>
                <c:pt idx="227">
                  <c:v>362.90000000000003</c:v>
                </c:pt>
                <c:pt idx="228">
                  <c:v>402.40000000000003</c:v>
                </c:pt>
                <c:pt idx="229">
                  <c:v>319.41000000000003</c:v>
                </c:pt>
                <c:pt idx="230">
                  <c:v>300.93</c:v>
                </c:pt>
                <c:pt idx="231">
                  <c:v>225.66000000000003</c:v>
                </c:pt>
                <c:pt idx="232">
                  <c:v>160.69999999999999</c:v>
                </c:pt>
                <c:pt idx="233">
                  <c:v>543.82000000000005</c:v>
                </c:pt>
                <c:pt idx="234">
                  <c:v>127.93999999999998</c:v>
                </c:pt>
                <c:pt idx="235">
                  <c:v>271.3</c:v>
                </c:pt>
                <c:pt idx="236">
                  <c:v>256.78999999999996</c:v>
                </c:pt>
                <c:pt idx="237">
                  <c:v>240.61</c:v>
                </c:pt>
                <c:pt idx="238">
                  <c:v>230.55</c:v>
                </c:pt>
                <c:pt idx="239">
                  <c:v>376.24000000000007</c:v>
                </c:pt>
                <c:pt idx="240">
                  <c:v>133.94999999999999</c:v>
                </c:pt>
                <c:pt idx="241">
                  <c:v>147.94</c:v>
                </c:pt>
                <c:pt idx="242">
                  <c:v>287.15000000000003</c:v>
                </c:pt>
                <c:pt idx="243">
                  <c:v>145.93</c:v>
                </c:pt>
                <c:pt idx="244">
                  <c:v>151.75</c:v>
                </c:pt>
                <c:pt idx="245">
                  <c:v>100.41999999999999</c:v>
                </c:pt>
                <c:pt idx="246">
                  <c:v>149.95000000000002</c:v>
                </c:pt>
                <c:pt idx="247">
                  <c:v>242.66000000000005</c:v>
                </c:pt>
                <c:pt idx="248">
                  <c:v>237.31</c:v>
                </c:pt>
                <c:pt idx="249">
                  <c:v>212.10000000000002</c:v>
                </c:pt>
                <c:pt idx="250">
                  <c:v>240.94</c:v>
                </c:pt>
                <c:pt idx="251">
                  <c:v>411.77000000000004</c:v>
                </c:pt>
                <c:pt idx="252">
                  <c:v>315.67000000000007</c:v>
                </c:pt>
                <c:pt idx="253">
                  <c:v>208.56</c:v>
                </c:pt>
                <c:pt idx="254">
                  <c:v>104.96</c:v>
                </c:pt>
                <c:pt idx="255">
                  <c:v>190.83</c:v>
                </c:pt>
                <c:pt idx="256">
                  <c:v>351.81</c:v>
                </c:pt>
                <c:pt idx="257">
                  <c:v>155.69999999999999</c:v>
                </c:pt>
                <c:pt idx="258">
                  <c:v>69.97</c:v>
                </c:pt>
                <c:pt idx="259">
                  <c:v>284.76</c:v>
                </c:pt>
                <c:pt idx="260">
                  <c:v>144.95000000000002</c:v>
                </c:pt>
                <c:pt idx="261">
                  <c:v>173.84000000000003</c:v>
                </c:pt>
                <c:pt idx="262">
                  <c:v>177.71</c:v>
                </c:pt>
                <c:pt idx="263">
                  <c:v>34.99</c:v>
                </c:pt>
                <c:pt idx="264">
                  <c:v>18.989999999999998</c:v>
                </c:pt>
                <c:pt idx="265">
                  <c:v>27.99</c:v>
                </c:pt>
                <c:pt idx="266">
                  <c:v>126.15999999999998</c:v>
                </c:pt>
                <c:pt idx="267">
                  <c:v>16.989999999999998</c:v>
                </c:pt>
                <c:pt idx="268">
                  <c:v>185.16000000000003</c:v>
                </c:pt>
                <c:pt idx="269">
                  <c:v>126.99</c:v>
                </c:pt>
                <c:pt idx="270">
                  <c:v>32.880000000000003</c:v>
                </c:pt>
                <c:pt idx="271">
                  <c:v>16.989999999999998</c:v>
                </c:pt>
                <c:pt idx="272">
                  <c:v>58.98</c:v>
                </c:pt>
                <c:pt idx="273">
                  <c:v>145.44</c:v>
                </c:pt>
                <c:pt idx="274">
                  <c:v>191.97000000000003</c:v>
                </c:pt>
                <c:pt idx="275">
                  <c:v>260.20999999999998</c:v>
                </c:pt>
                <c:pt idx="276">
                  <c:v>44.98</c:v>
                </c:pt>
                <c:pt idx="277">
                  <c:v>159.66999999999999</c:v>
                </c:pt>
                <c:pt idx="278">
                  <c:v>152.88</c:v>
                </c:pt>
                <c:pt idx="279">
                  <c:v>34.99</c:v>
                </c:pt>
                <c:pt idx="280">
                  <c:v>88.01</c:v>
                </c:pt>
                <c:pt idx="281">
                  <c:v>121.83000000000001</c:v>
                </c:pt>
                <c:pt idx="282">
                  <c:v>58.98</c:v>
                </c:pt>
                <c:pt idx="283">
                  <c:v>46.98</c:v>
                </c:pt>
                <c:pt idx="284">
                  <c:v>18.989999999999998</c:v>
                </c:pt>
                <c:pt idx="285">
                  <c:v>68</c:v>
                </c:pt>
                <c:pt idx="286">
                  <c:v>16.989999999999998</c:v>
                </c:pt>
                <c:pt idx="287">
                  <c:v>86.73</c:v>
                </c:pt>
                <c:pt idx="288">
                  <c:v>76.5</c:v>
                </c:pt>
                <c:pt idx="289">
                  <c:v>171.73000000000002</c:v>
                </c:pt>
                <c:pt idx="290">
                  <c:v>79.33</c:v>
                </c:pt>
                <c:pt idx="291">
                  <c:v>60.819999999999993</c:v>
                </c:pt>
                <c:pt idx="292">
                  <c:v>92.96</c:v>
                </c:pt>
                <c:pt idx="293">
                  <c:v>138.48000000000002</c:v>
                </c:pt>
                <c:pt idx="294">
                  <c:v>123.94999999999999</c:v>
                </c:pt>
                <c:pt idx="295">
                  <c:v>21.99</c:v>
                </c:pt>
                <c:pt idx="296">
                  <c:v>100.96</c:v>
                </c:pt>
                <c:pt idx="297">
                  <c:v>67.69</c:v>
                </c:pt>
                <c:pt idx="298">
                  <c:v>52.98</c:v>
                </c:pt>
                <c:pt idx="299">
                  <c:v>65.98</c:v>
                </c:pt>
                <c:pt idx="300">
                  <c:v>65.28</c:v>
                </c:pt>
                <c:pt idx="301">
                  <c:v>55.97</c:v>
                </c:pt>
                <c:pt idx="302">
                  <c:v>110.94999999999999</c:v>
                </c:pt>
                <c:pt idx="303">
                  <c:v>34.99</c:v>
                </c:pt>
                <c:pt idx="304">
                  <c:v>111.76999999999998</c:v>
                </c:pt>
                <c:pt idx="305">
                  <c:v>66.97</c:v>
                </c:pt>
                <c:pt idx="306">
                  <c:v>85.22999999999999</c:v>
                </c:pt>
                <c:pt idx="307">
                  <c:v>58.98</c:v>
                </c:pt>
                <c:pt idx="308">
                  <c:v>122.57000000000001</c:v>
                </c:pt>
                <c:pt idx="309">
                  <c:v>46.98</c:v>
                </c:pt>
                <c:pt idx="310">
                  <c:v>68.97</c:v>
                </c:pt>
                <c:pt idx="311">
                  <c:v>236.83000000000004</c:v>
                </c:pt>
                <c:pt idx="312">
                  <c:v>18.989999999999998</c:v>
                </c:pt>
                <c:pt idx="313">
                  <c:v>67.679999999999993</c:v>
                </c:pt>
                <c:pt idx="314">
                  <c:v>90.179999999999993</c:v>
                </c:pt>
                <c:pt idx="315">
                  <c:v>81.97</c:v>
                </c:pt>
                <c:pt idx="316">
                  <c:v>87.949999999999989</c:v>
                </c:pt>
                <c:pt idx="317">
                  <c:v>65.16</c:v>
                </c:pt>
                <c:pt idx="318">
                  <c:v>40.98</c:v>
                </c:pt>
                <c:pt idx="319">
                  <c:v>21.99</c:v>
                </c:pt>
                <c:pt idx="320">
                  <c:v>18.989999999999998</c:v>
                </c:pt>
                <c:pt idx="321">
                  <c:v>146.11000000000001</c:v>
                </c:pt>
                <c:pt idx="322">
                  <c:v>76.179999999999993</c:v>
                </c:pt>
                <c:pt idx="323">
                  <c:v>145.97999999999999</c:v>
                </c:pt>
                <c:pt idx="324">
                  <c:v>27.99</c:v>
                </c:pt>
                <c:pt idx="325">
                  <c:v>30.99</c:v>
                </c:pt>
                <c:pt idx="326">
                  <c:v>213.84000000000003</c:v>
                </c:pt>
                <c:pt idx="327">
                  <c:v>27.99</c:v>
                </c:pt>
                <c:pt idx="328">
                  <c:v>72.91</c:v>
                </c:pt>
                <c:pt idx="329">
                  <c:v>34.99</c:v>
                </c:pt>
                <c:pt idx="330">
                  <c:v>140.85999999999999</c:v>
                </c:pt>
                <c:pt idx="331">
                  <c:v>57.97</c:v>
                </c:pt>
                <c:pt idx="332">
                  <c:v>48.54</c:v>
                </c:pt>
                <c:pt idx="333">
                  <c:v>104.14000000000001</c:v>
                </c:pt>
                <c:pt idx="334">
                  <c:v>84.740000000000009</c:v>
                </c:pt>
                <c:pt idx="335">
                  <c:v>18.989999999999998</c:v>
                </c:pt>
                <c:pt idx="336">
                  <c:v>101.80999999999999</c:v>
                </c:pt>
                <c:pt idx="337">
                  <c:v>137.19</c:v>
                </c:pt>
                <c:pt idx="338">
                  <c:v>53.980000000000004</c:v>
                </c:pt>
                <c:pt idx="339">
                  <c:v>128.81</c:v>
                </c:pt>
                <c:pt idx="340">
                  <c:v>190.68000000000004</c:v>
                </c:pt>
                <c:pt idx="341">
                  <c:v>325.51</c:v>
                </c:pt>
                <c:pt idx="342">
                  <c:v>237.65</c:v>
                </c:pt>
                <c:pt idx="343">
                  <c:v>108.33</c:v>
                </c:pt>
                <c:pt idx="344">
                  <c:v>243.13</c:v>
                </c:pt>
                <c:pt idx="345">
                  <c:v>106.2</c:v>
                </c:pt>
                <c:pt idx="346">
                  <c:v>133.31</c:v>
                </c:pt>
                <c:pt idx="347">
                  <c:v>29.3</c:v>
                </c:pt>
                <c:pt idx="348">
                  <c:v>132.44999999999999</c:v>
                </c:pt>
                <c:pt idx="349">
                  <c:v>84.97</c:v>
                </c:pt>
                <c:pt idx="350">
                  <c:v>69.98</c:v>
                </c:pt>
                <c:pt idx="351">
                  <c:v>123.88999999999999</c:v>
                </c:pt>
                <c:pt idx="352">
                  <c:v>34.99</c:v>
                </c:pt>
                <c:pt idx="353">
                  <c:v>178.22000000000003</c:v>
                </c:pt>
                <c:pt idx="354">
                  <c:v>58.98</c:v>
                </c:pt>
                <c:pt idx="355">
                  <c:v>74.59</c:v>
                </c:pt>
                <c:pt idx="356">
                  <c:v>69.97</c:v>
                </c:pt>
                <c:pt idx="357">
                  <c:v>44.98</c:v>
                </c:pt>
                <c:pt idx="358">
                  <c:v>214.97000000000003</c:v>
                </c:pt>
                <c:pt idx="359">
                  <c:v>16.989999999999998</c:v>
                </c:pt>
                <c:pt idx="360">
                  <c:v>54.989999999999995</c:v>
                </c:pt>
                <c:pt idx="361">
                  <c:v>87.13</c:v>
                </c:pt>
                <c:pt idx="362">
                  <c:v>186.41000000000003</c:v>
                </c:pt>
                <c:pt idx="363">
                  <c:v>66.930000000000007</c:v>
                </c:pt>
                <c:pt idx="364">
                  <c:v>47.98</c:v>
                </c:pt>
                <c:pt idx="365">
                  <c:v>135.9</c:v>
                </c:pt>
                <c:pt idx="366">
                  <c:v>216.48</c:v>
                </c:pt>
                <c:pt idx="367">
                  <c:v>115.96</c:v>
                </c:pt>
                <c:pt idx="368">
                  <c:v>71.81</c:v>
                </c:pt>
                <c:pt idx="369">
                  <c:v>18.989999999999998</c:v>
                </c:pt>
                <c:pt idx="370">
                  <c:v>16.989999999999998</c:v>
                </c:pt>
                <c:pt idx="371">
                  <c:v>30.99</c:v>
                </c:pt>
                <c:pt idx="372">
                  <c:v>32.979999999999997</c:v>
                </c:pt>
                <c:pt idx="373">
                  <c:v>21.99</c:v>
                </c:pt>
                <c:pt idx="374">
                  <c:v>117.21000000000001</c:v>
                </c:pt>
                <c:pt idx="375">
                  <c:v>21.99</c:v>
                </c:pt>
                <c:pt idx="376">
                  <c:v>16.989999999999998</c:v>
                </c:pt>
                <c:pt idx="377">
                  <c:v>34.99</c:v>
                </c:pt>
                <c:pt idx="378">
                  <c:v>65.98</c:v>
                </c:pt>
                <c:pt idx="379">
                  <c:v>18.989999999999998</c:v>
                </c:pt>
                <c:pt idx="380">
                  <c:v>52.37</c:v>
                </c:pt>
                <c:pt idx="381">
                  <c:v>45.04</c:v>
                </c:pt>
                <c:pt idx="382">
                  <c:v>74.650000000000006</c:v>
                </c:pt>
                <c:pt idx="383">
                  <c:v>34.99</c:v>
                </c:pt>
                <c:pt idx="384">
                  <c:v>61.06</c:v>
                </c:pt>
                <c:pt idx="385">
                  <c:v>18.989999999999998</c:v>
                </c:pt>
                <c:pt idx="386">
                  <c:v>29.54</c:v>
                </c:pt>
                <c:pt idx="387">
                  <c:v>43.98</c:v>
                </c:pt>
                <c:pt idx="388">
                  <c:v>77.709999999999994</c:v>
                </c:pt>
                <c:pt idx="389">
                  <c:v>151.32999999999998</c:v>
                </c:pt>
                <c:pt idx="390">
                  <c:v>30.99</c:v>
                </c:pt>
                <c:pt idx="391">
                  <c:v>18.989999999999998</c:v>
                </c:pt>
                <c:pt idx="392">
                  <c:v>21.99</c:v>
                </c:pt>
              </c:numCache>
            </c:numRef>
          </c:val>
          <c:smooth val="0"/>
          <c:extLst>
            <c:ext xmlns:c16="http://schemas.microsoft.com/office/drawing/2014/chart" uri="{C3380CC4-5D6E-409C-BE32-E72D297353CC}">
              <c16:uniqueId val="{00000000-91DE-4157-A919-F3D928F7FBC8}"/>
            </c:ext>
          </c:extLst>
        </c:ser>
        <c:ser>
          <c:idx val="1"/>
          <c:order val="1"/>
          <c:tx>
            <c:strRef>
              <c:f>'data analysis '!$C$19</c:f>
              <c:strCache>
                <c:ptCount val="1"/>
                <c:pt idx="0">
                  <c:v>Sum of sale_price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 analysis '!$A$20:$A$413</c:f>
              <c:strCache>
                <c:ptCount val="393"/>
                <c:pt idx="0">
                  <c:v>01/01/2026</c:v>
                </c:pt>
                <c:pt idx="1">
                  <c:v>01/07/2026</c:v>
                </c:pt>
                <c:pt idx="2">
                  <c:v>01/08/2026</c:v>
                </c:pt>
                <c:pt idx="3">
                  <c:v>01/09/2026</c:v>
                </c:pt>
                <c:pt idx="4">
                  <c:v>02/06/2026</c:v>
                </c:pt>
                <c:pt idx="5">
                  <c:v>02/09/2026</c:v>
                </c:pt>
                <c:pt idx="6">
                  <c:v>02/12/2026</c:v>
                </c:pt>
                <c:pt idx="7">
                  <c:v>03/04/2026</c:v>
                </c:pt>
                <c:pt idx="8">
                  <c:v>03/06/2026</c:v>
                </c:pt>
                <c:pt idx="9">
                  <c:v>04/01/2026</c:v>
                </c:pt>
                <c:pt idx="10">
                  <c:v>04/08/2026</c:v>
                </c:pt>
                <c:pt idx="11">
                  <c:v>05/03/2026</c:v>
                </c:pt>
                <c:pt idx="12">
                  <c:v>05/05/2026</c:v>
                </c:pt>
                <c:pt idx="13">
                  <c:v>06/01/2026</c:v>
                </c:pt>
                <c:pt idx="14">
                  <c:v>06/07/2026</c:v>
                </c:pt>
                <c:pt idx="15">
                  <c:v>06/11/2026</c:v>
                </c:pt>
                <c:pt idx="16">
                  <c:v>07/09/2026</c:v>
                </c:pt>
                <c:pt idx="17">
                  <c:v>07/11/2026</c:v>
                </c:pt>
                <c:pt idx="18">
                  <c:v>08/02/2026</c:v>
                </c:pt>
                <c:pt idx="19">
                  <c:v>08/03/2026</c:v>
                </c:pt>
                <c:pt idx="20">
                  <c:v>08/04/2026</c:v>
                </c:pt>
                <c:pt idx="21">
                  <c:v>08/07/2026</c:v>
                </c:pt>
                <c:pt idx="22">
                  <c:v>09/03/2026</c:v>
                </c:pt>
                <c:pt idx="23">
                  <c:v>10/02/2026</c:v>
                </c:pt>
                <c:pt idx="24">
                  <c:v>10/07/2026</c:v>
                </c:pt>
                <c:pt idx="25">
                  <c:v>10/08/2026</c:v>
                </c:pt>
                <c:pt idx="26">
                  <c:v>10/11/2026</c:v>
                </c:pt>
                <c:pt idx="27">
                  <c:v>11/01/2026</c:v>
                </c:pt>
                <c:pt idx="28">
                  <c:v>11/02/2026</c:v>
                </c:pt>
                <c:pt idx="29">
                  <c:v>11/04/2026</c:v>
                </c:pt>
                <c:pt idx="30">
                  <c:v>12/06/2026</c:v>
                </c:pt>
                <c:pt idx="31">
                  <c:v>12/07/2026</c:v>
                </c:pt>
                <c:pt idx="32">
                  <c:v>12/08/2026</c:v>
                </c:pt>
                <c:pt idx="33">
                  <c:v>14/06/2026</c:v>
                </c:pt>
                <c:pt idx="34">
                  <c:v>15/06/2026</c:v>
                </c:pt>
                <c:pt idx="35">
                  <c:v>16/07/2026</c:v>
                </c:pt>
                <c:pt idx="36">
                  <c:v>17/01/2026</c:v>
                </c:pt>
                <c:pt idx="37">
                  <c:v>17/04/2026</c:v>
                </c:pt>
                <c:pt idx="38">
                  <c:v>18/02/2026</c:v>
                </c:pt>
                <c:pt idx="39">
                  <c:v>18/06/2026</c:v>
                </c:pt>
                <c:pt idx="40">
                  <c:v>18/07/2026</c:v>
                </c:pt>
                <c:pt idx="41">
                  <c:v>19/01/2026</c:v>
                </c:pt>
                <c:pt idx="42">
                  <c:v>19/11/2026</c:v>
                </c:pt>
                <c:pt idx="43">
                  <c:v>20/05/2026</c:v>
                </c:pt>
                <c:pt idx="44">
                  <c:v>20/06/2026</c:v>
                </c:pt>
                <c:pt idx="45">
                  <c:v>20/07/2026</c:v>
                </c:pt>
                <c:pt idx="46">
                  <c:v>2026-01-01</c:v>
                </c:pt>
                <c:pt idx="47">
                  <c:v>2026-01-03</c:v>
                </c:pt>
                <c:pt idx="48">
                  <c:v>2026-01-04</c:v>
                </c:pt>
                <c:pt idx="49">
                  <c:v>2026-01-05</c:v>
                </c:pt>
                <c:pt idx="50">
                  <c:v>2026-01-06</c:v>
                </c:pt>
                <c:pt idx="51">
                  <c:v>2026-01-07</c:v>
                </c:pt>
                <c:pt idx="52">
                  <c:v>2026-01-08</c:v>
                </c:pt>
                <c:pt idx="53">
                  <c:v>2026-01-09</c:v>
                </c:pt>
                <c:pt idx="54">
                  <c:v>2026-01-10</c:v>
                </c:pt>
                <c:pt idx="55">
                  <c:v>2026-01-11</c:v>
                </c:pt>
                <c:pt idx="56">
                  <c:v>2026-01-12</c:v>
                </c:pt>
                <c:pt idx="57">
                  <c:v>2026-01-13</c:v>
                </c:pt>
                <c:pt idx="58">
                  <c:v>2026-01-14</c:v>
                </c:pt>
                <c:pt idx="59">
                  <c:v>2026-01-15</c:v>
                </c:pt>
                <c:pt idx="60">
                  <c:v>2026-01-16</c:v>
                </c:pt>
                <c:pt idx="61">
                  <c:v>2026-01-17</c:v>
                </c:pt>
                <c:pt idx="62">
                  <c:v>2026-01-18</c:v>
                </c:pt>
                <c:pt idx="63">
                  <c:v>2026-01-19</c:v>
                </c:pt>
                <c:pt idx="64">
                  <c:v>2026-01-20</c:v>
                </c:pt>
                <c:pt idx="65">
                  <c:v>2026-01-21</c:v>
                </c:pt>
                <c:pt idx="66">
                  <c:v>2026-01-22</c:v>
                </c:pt>
                <c:pt idx="67">
                  <c:v>2026-01-23</c:v>
                </c:pt>
                <c:pt idx="68">
                  <c:v>2026-01-24</c:v>
                </c:pt>
                <c:pt idx="69">
                  <c:v>2026-01-25</c:v>
                </c:pt>
                <c:pt idx="70">
                  <c:v>2026-01-27</c:v>
                </c:pt>
                <c:pt idx="71">
                  <c:v>2026-01-28</c:v>
                </c:pt>
                <c:pt idx="72">
                  <c:v>2026-01-29</c:v>
                </c:pt>
                <c:pt idx="73">
                  <c:v>2026-01-30</c:v>
                </c:pt>
                <c:pt idx="74">
                  <c:v>2026-01-31</c:v>
                </c:pt>
                <c:pt idx="75">
                  <c:v>2026-02-01</c:v>
                </c:pt>
                <c:pt idx="76">
                  <c:v>2026-02-02</c:v>
                </c:pt>
                <c:pt idx="77">
                  <c:v>2026-02-03</c:v>
                </c:pt>
                <c:pt idx="78">
                  <c:v>2026-02-04</c:v>
                </c:pt>
                <c:pt idx="79">
                  <c:v>2026-02-05</c:v>
                </c:pt>
                <c:pt idx="80">
                  <c:v>2026-02-06</c:v>
                </c:pt>
                <c:pt idx="81">
                  <c:v>2026-02-07</c:v>
                </c:pt>
                <c:pt idx="82">
                  <c:v>2026-02-08</c:v>
                </c:pt>
                <c:pt idx="83">
                  <c:v>2026-02-09</c:v>
                </c:pt>
                <c:pt idx="84">
                  <c:v>2026-02-10</c:v>
                </c:pt>
                <c:pt idx="85">
                  <c:v>2026-02-11</c:v>
                </c:pt>
                <c:pt idx="86">
                  <c:v>2026-02-13</c:v>
                </c:pt>
                <c:pt idx="87">
                  <c:v>2026-02-14</c:v>
                </c:pt>
                <c:pt idx="88">
                  <c:v>2026-02-15</c:v>
                </c:pt>
                <c:pt idx="89">
                  <c:v>2026-02-16</c:v>
                </c:pt>
                <c:pt idx="90">
                  <c:v>2026-02-17</c:v>
                </c:pt>
                <c:pt idx="91">
                  <c:v>2026-02-18</c:v>
                </c:pt>
                <c:pt idx="92">
                  <c:v>2026-02-19</c:v>
                </c:pt>
                <c:pt idx="93">
                  <c:v>2026-02-20</c:v>
                </c:pt>
                <c:pt idx="94">
                  <c:v>2026-02-21</c:v>
                </c:pt>
                <c:pt idx="95">
                  <c:v>2026-02-22</c:v>
                </c:pt>
                <c:pt idx="96">
                  <c:v>2026-02-23</c:v>
                </c:pt>
                <c:pt idx="97">
                  <c:v>2026-02-24</c:v>
                </c:pt>
                <c:pt idx="98">
                  <c:v>2026-02-25</c:v>
                </c:pt>
                <c:pt idx="99">
                  <c:v>2026-02-26</c:v>
                </c:pt>
                <c:pt idx="100">
                  <c:v>2026-02-27</c:v>
                </c:pt>
                <c:pt idx="101">
                  <c:v>2026-02-28</c:v>
                </c:pt>
                <c:pt idx="102">
                  <c:v>2026-03-01</c:v>
                </c:pt>
                <c:pt idx="103">
                  <c:v>2026-03-02</c:v>
                </c:pt>
                <c:pt idx="104">
                  <c:v>2026-03-03</c:v>
                </c:pt>
                <c:pt idx="105">
                  <c:v>2026-03-04</c:v>
                </c:pt>
                <c:pt idx="106">
                  <c:v>2026-03-05</c:v>
                </c:pt>
                <c:pt idx="107">
                  <c:v>2026-03-06</c:v>
                </c:pt>
                <c:pt idx="108">
                  <c:v>2026-03-07</c:v>
                </c:pt>
                <c:pt idx="109">
                  <c:v>2026-03-08</c:v>
                </c:pt>
                <c:pt idx="110">
                  <c:v>2026-03-09</c:v>
                </c:pt>
                <c:pt idx="111">
                  <c:v>2026-03-10</c:v>
                </c:pt>
                <c:pt idx="112">
                  <c:v>2026-03-11</c:v>
                </c:pt>
                <c:pt idx="113">
                  <c:v>2026-03-12</c:v>
                </c:pt>
                <c:pt idx="114">
                  <c:v>2026-03-13</c:v>
                </c:pt>
                <c:pt idx="115">
                  <c:v>2026-03-14</c:v>
                </c:pt>
                <c:pt idx="116">
                  <c:v>2026-03-15</c:v>
                </c:pt>
                <c:pt idx="117">
                  <c:v>2026-03-16</c:v>
                </c:pt>
                <c:pt idx="118">
                  <c:v>2026-03-17</c:v>
                </c:pt>
                <c:pt idx="119">
                  <c:v>2026-03-18</c:v>
                </c:pt>
                <c:pt idx="120">
                  <c:v>2026-03-20</c:v>
                </c:pt>
                <c:pt idx="121">
                  <c:v>2026-03-21</c:v>
                </c:pt>
                <c:pt idx="122">
                  <c:v>2026-03-22</c:v>
                </c:pt>
                <c:pt idx="123">
                  <c:v>2026-03-23</c:v>
                </c:pt>
                <c:pt idx="124">
                  <c:v>2026-03-24</c:v>
                </c:pt>
                <c:pt idx="125">
                  <c:v>2026-03-26</c:v>
                </c:pt>
                <c:pt idx="126">
                  <c:v>2026-03-27</c:v>
                </c:pt>
                <c:pt idx="127">
                  <c:v>2026-03-28</c:v>
                </c:pt>
                <c:pt idx="128">
                  <c:v>2026-03-29</c:v>
                </c:pt>
                <c:pt idx="129">
                  <c:v>2026-03-30</c:v>
                </c:pt>
                <c:pt idx="130">
                  <c:v>2026-04-01</c:v>
                </c:pt>
                <c:pt idx="131">
                  <c:v>2026-04-03</c:v>
                </c:pt>
                <c:pt idx="132">
                  <c:v>2026-04-04</c:v>
                </c:pt>
                <c:pt idx="133">
                  <c:v>2026-04-05</c:v>
                </c:pt>
                <c:pt idx="134">
                  <c:v>2026-04-06</c:v>
                </c:pt>
                <c:pt idx="135">
                  <c:v>2026-04-07</c:v>
                </c:pt>
                <c:pt idx="136">
                  <c:v>2026-04-08</c:v>
                </c:pt>
                <c:pt idx="137">
                  <c:v>2026-04-09</c:v>
                </c:pt>
                <c:pt idx="138">
                  <c:v>2026-04-10</c:v>
                </c:pt>
                <c:pt idx="139">
                  <c:v>2026-04-11</c:v>
                </c:pt>
                <c:pt idx="140">
                  <c:v>2026-04-12</c:v>
                </c:pt>
                <c:pt idx="141">
                  <c:v>2026-04-13</c:v>
                </c:pt>
                <c:pt idx="142">
                  <c:v>2026-04-14</c:v>
                </c:pt>
                <c:pt idx="143">
                  <c:v>2026-04-15</c:v>
                </c:pt>
                <c:pt idx="144">
                  <c:v>2026-04-16</c:v>
                </c:pt>
                <c:pt idx="145">
                  <c:v>2026-04-17</c:v>
                </c:pt>
                <c:pt idx="146">
                  <c:v>2026-04-18</c:v>
                </c:pt>
                <c:pt idx="147">
                  <c:v>2026-04-19</c:v>
                </c:pt>
                <c:pt idx="148">
                  <c:v>2026-04-20</c:v>
                </c:pt>
                <c:pt idx="149">
                  <c:v>2026-04-21</c:v>
                </c:pt>
                <c:pt idx="150">
                  <c:v>2026-04-22</c:v>
                </c:pt>
                <c:pt idx="151">
                  <c:v>2026-04-23</c:v>
                </c:pt>
                <c:pt idx="152">
                  <c:v>2026-04-24</c:v>
                </c:pt>
                <c:pt idx="153">
                  <c:v>2026-04-25</c:v>
                </c:pt>
                <c:pt idx="154">
                  <c:v>2026-04-26</c:v>
                </c:pt>
                <c:pt idx="155">
                  <c:v>2026-04-27</c:v>
                </c:pt>
                <c:pt idx="156">
                  <c:v>2026-04-28</c:v>
                </c:pt>
                <c:pt idx="157">
                  <c:v>2026-04-29</c:v>
                </c:pt>
                <c:pt idx="158">
                  <c:v>2026-04-30</c:v>
                </c:pt>
                <c:pt idx="159">
                  <c:v>2026-05-01</c:v>
                </c:pt>
                <c:pt idx="160">
                  <c:v>2026-05-02</c:v>
                </c:pt>
                <c:pt idx="161">
                  <c:v>2026-05-03</c:v>
                </c:pt>
                <c:pt idx="162">
                  <c:v>2026-05-04</c:v>
                </c:pt>
                <c:pt idx="163">
                  <c:v>2026-05-06</c:v>
                </c:pt>
                <c:pt idx="164">
                  <c:v>2026-05-07</c:v>
                </c:pt>
                <c:pt idx="165">
                  <c:v>2026-05-08</c:v>
                </c:pt>
                <c:pt idx="166">
                  <c:v>2026-05-09</c:v>
                </c:pt>
                <c:pt idx="167">
                  <c:v>2026-05-10</c:v>
                </c:pt>
                <c:pt idx="168">
                  <c:v>2026-05-11</c:v>
                </c:pt>
                <c:pt idx="169">
                  <c:v>2026-05-12</c:v>
                </c:pt>
                <c:pt idx="170">
                  <c:v>2026-05-13</c:v>
                </c:pt>
                <c:pt idx="171">
                  <c:v>2026-05-14</c:v>
                </c:pt>
                <c:pt idx="172">
                  <c:v>2026-05-15</c:v>
                </c:pt>
                <c:pt idx="173">
                  <c:v>2026-05-16</c:v>
                </c:pt>
                <c:pt idx="174">
                  <c:v>2026-05-17</c:v>
                </c:pt>
                <c:pt idx="175">
                  <c:v>2026-05-18</c:v>
                </c:pt>
                <c:pt idx="176">
                  <c:v>2026-05-19</c:v>
                </c:pt>
                <c:pt idx="177">
                  <c:v>2026-05-20</c:v>
                </c:pt>
                <c:pt idx="178">
                  <c:v>2026-05-22</c:v>
                </c:pt>
                <c:pt idx="179">
                  <c:v>2026-05-23</c:v>
                </c:pt>
                <c:pt idx="180">
                  <c:v>2026-05-24</c:v>
                </c:pt>
                <c:pt idx="181">
                  <c:v>2026-05-25</c:v>
                </c:pt>
                <c:pt idx="182">
                  <c:v>2026-05-26</c:v>
                </c:pt>
                <c:pt idx="183">
                  <c:v>2026-05-27</c:v>
                </c:pt>
                <c:pt idx="184">
                  <c:v>2026-05-28</c:v>
                </c:pt>
                <c:pt idx="185">
                  <c:v>2026-05-29</c:v>
                </c:pt>
                <c:pt idx="186">
                  <c:v>2026-05-31</c:v>
                </c:pt>
                <c:pt idx="187">
                  <c:v>2026-06-01</c:v>
                </c:pt>
                <c:pt idx="188">
                  <c:v>2026-06-02</c:v>
                </c:pt>
                <c:pt idx="189">
                  <c:v>2026-06-03</c:v>
                </c:pt>
                <c:pt idx="190">
                  <c:v>2026-06-04</c:v>
                </c:pt>
                <c:pt idx="191">
                  <c:v>2026-06-05</c:v>
                </c:pt>
                <c:pt idx="192">
                  <c:v>2026-06-06</c:v>
                </c:pt>
                <c:pt idx="193">
                  <c:v>2026-06-07</c:v>
                </c:pt>
                <c:pt idx="194">
                  <c:v>2026-06-08</c:v>
                </c:pt>
                <c:pt idx="195">
                  <c:v>2026-06-09</c:v>
                </c:pt>
                <c:pt idx="196">
                  <c:v>2026-06-10</c:v>
                </c:pt>
                <c:pt idx="197">
                  <c:v>2026-06-11</c:v>
                </c:pt>
                <c:pt idx="198">
                  <c:v>2026-06-12</c:v>
                </c:pt>
                <c:pt idx="199">
                  <c:v>2026-06-13</c:v>
                </c:pt>
                <c:pt idx="200">
                  <c:v>2026-06-14</c:v>
                </c:pt>
                <c:pt idx="201">
                  <c:v>2026-06-15</c:v>
                </c:pt>
                <c:pt idx="202">
                  <c:v>2026-06-16</c:v>
                </c:pt>
                <c:pt idx="203">
                  <c:v>2026-06-17</c:v>
                </c:pt>
                <c:pt idx="204">
                  <c:v>2026-06-18</c:v>
                </c:pt>
                <c:pt idx="205">
                  <c:v>2026-06-19</c:v>
                </c:pt>
                <c:pt idx="206">
                  <c:v>2026-06-20</c:v>
                </c:pt>
                <c:pt idx="207">
                  <c:v>2026-06-21</c:v>
                </c:pt>
                <c:pt idx="208">
                  <c:v>2026-06-22</c:v>
                </c:pt>
                <c:pt idx="209">
                  <c:v>2026-06-23</c:v>
                </c:pt>
                <c:pt idx="210">
                  <c:v>2026-06-24</c:v>
                </c:pt>
                <c:pt idx="211">
                  <c:v>2026-06-26</c:v>
                </c:pt>
                <c:pt idx="212">
                  <c:v>2026-06-27</c:v>
                </c:pt>
                <c:pt idx="213">
                  <c:v>2026-06-28</c:v>
                </c:pt>
                <c:pt idx="214">
                  <c:v>2026-06-29</c:v>
                </c:pt>
                <c:pt idx="215">
                  <c:v>2026-06-30</c:v>
                </c:pt>
                <c:pt idx="216">
                  <c:v>2026-07-01</c:v>
                </c:pt>
                <c:pt idx="217">
                  <c:v>2026-07-02</c:v>
                </c:pt>
                <c:pt idx="218">
                  <c:v>2026-07-03</c:v>
                </c:pt>
                <c:pt idx="219">
                  <c:v>2026-07-04</c:v>
                </c:pt>
                <c:pt idx="220">
                  <c:v>2026-07-05</c:v>
                </c:pt>
                <c:pt idx="221">
                  <c:v>2026-07-06</c:v>
                </c:pt>
                <c:pt idx="222">
                  <c:v>2026-07-07</c:v>
                </c:pt>
                <c:pt idx="223">
                  <c:v>2026-07-08</c:v>
                </c:pt>
                <c:pt idx="224">
                  <c:v>2026-07-09</c:v>
                </c:pt>
                <c:pt idx="225">
                  <c:v>2026-07-10</c:v>
                </c:pt>
                <c:pt idx="226">
                  <c:v>2026-07-11</c:v>
                </c:pt>
                <c:pt idx="227">
                  <c:v>2026-07-12</c:v>
                </c:pt>
                <c:pt idx="228">
                  <c:v>2026-07-13</c:v>
                </c:pt>
                <c:pt idx="229">
                  <c:v>2026-07-14</c:v>
                </c:pt>
                <c:pt idx="230">
                  <c:v>2026-07-15</c:v>
                </c:pt>
                <c:pt idx="231">
                  <c:v>2026-07-16</c:v>
                </c:pt>
                <c:pt idx="232">
                  <c:v>2026-07-17</c:v>
                </c:pt>
                <c:pt idx="233">
                  <c:v>2026-07-18</c:v>
                </c:pt>
                <c:pt idx="234">
                  <c:v>2026-07-19</c:v>
                </c:pt>
                <c:pt idx="235">
                  <c:v>2026-07-20</c:v>
                </c:pt>
                <c:pt idx="236">
                  <c:v>2026-07-21</c:v>
                </c:pt>
                <c:pt idx="237">
                  <c:v>2026-07-22</c:v>
                </c:pt>
                <c:pt idx="238">
                  <c:v>2026-07-23</c:v>
                </c:pt>
                <c:pt idx="239">
                  <c:v>2026-07-24</c:v>
                </c:pt>
                <c:pt idx="240">
                  <c:v>2026-07-25</c:v>
                </c:pt>
                <c:pt idx="241">
                  <c:v>2026-07-26</c:v>
                </c:pt>
                <c:pt idx="242">
                  <c:v>2026-07-27</c:v>
                </c:pt>
                <c:pt idx="243">
                  <c:v>2026-07-28</c:v>
                </c:pt>
                <c:pt idx="244">
                  <c:v>2026-07-29</c:v>
                </c:pt>
                <c:pt idx="245">
                  <c:v>2026-07-30</c:v>
                </c:pt>
                <c:pt idx="246">
                  <c:v>2026-07-31</c:v>
                </c:pt>
                <c:pt idx="247">
                  <c:v>2026-08-01</c:v>
                </c:pt>
                <c:pt idx="248">
                  <c:v>2026-08-02</c:v>
                </c:pt>
                <c:pt idx="249">
                  <c:v>2026-08-03</c:v>
                </c:pt>
                <c:pt idx="250">
                  <c:v>2026-08-04</c:v>
                </c:pt>
                <c:pt idx="251">
                  <c:v>2026-08-05</c:v>
                </c:pt>
                <c:pt idx="252">
                  <c:v>2026-08-06</c:v>
                </c:pt>
                <c:pt idx="253">
                  <c:v>2026-08-07</c:v>
                </c:pt>
                <c:pt idx="254">
                  <c:v>2026-08-08</c:v>
                </c:pt>
                <c:pt idx="255">
                  <c:v>2026-08-09</c:v>
                </c:pt>
                <c:pt idx="256">
                  <c:v>2026-08-10</c:v>
                </c:pt>
                <c:pt idx="257">
                  <c:v>2026-08-11</c:v>
                </c:pt>
                <c:pt idx="258">
                  <c:v>2026-08-12</c:v>
                </c:pt>
                <c:pt idx="259">
                  <c:v>2026-08-13</c:v>
                </c:pt>
                <c:pt idx="260">
                  <c:v>2026-08-14</c:v>
                </c:pt>
                <c:pt idx="261">
                  <c:v>2026-08-15</c:v>
                </c:pt>
                <c:pt idx="262">
                  <c:v>2026-08-16</c:v>
                </c:pt>
                <c:pt idx="263">
                  <c:v>2026-08-17</c:v>
                </c:pt>
                <c:pt idx="264">
                  <c:v>2026-08-18</c:v>
                </c:pt>
                <c:pt idx="265">
                  <c:v>2026-08-19</c:v>
                </c:pt>
                <c:pt idx="266">
                  <c:v>2026-08-20</c:v>
                </c:pt>
                <c:pt idx="267">
                  <c:v>2026-08-21</c:v>
                </c:pt>
                <c:pt idx="268">
                  <c:v>2026-08-22</c:v>
                </c:pt>
                <c:pt idx="269">
                  <c:v>2026-08-23</c:v>
                </c:pt>
                <c:pt idx="270">
                  <c:v>2026-08-24</c:v>
                </c:pt>
                <c:pt idx="271">
                  <c:v>2026-08-25</c:v>
                </c:pt>
                <c:pt idx="272">
                  <c:v>2026-08-26</c:v>
                </c:pt>
                <c:pt idx="273">
                  <c:v>2026-08-27</c:v>
                </c:pt>
                <c:pt idx="274">
                  <c:v>2026-08-28</c:v>
                </c:pt>
                <c:pt idx="275">
                  <c:v>2026-08-29</c:v>
                </c:pt>
                <c:pt idx="276">
                  <c:v>2026-08-30</c:v>
                </c:pt>
                <c:pt idx="277">
                  <c:v>2026-08-31</c:v>
                </c:pt>
                <c:pt idx="278">
                  <c:v>2026-09-01</c:v>
                </c:pt>
                <c:pt idx="279">
                  <c:v>2026-09-02</c:v>
                </c:pt>
                <c:pt idx="280">
                  <c:v>2026-09-03</c:v>
                </c:pt>
                <c:pt idx="281">
                  <c:v>2026-09-04</c:v>
                </c:pt>
                <c:pt idx="282">
                  <c:v>2026-09-05</c:v>
                </c:pt>
                <c:pt idx="283">
                  <c:v>2026-09-07</c:v>
                </c:pt>
                <c:pt idx="284">
                  <c:v>2026-09-09</c:v>
                </c:pt>
                <c:pt idx="285">
                  <c:v>2026-09-10</c:v>
                </c:pt>
                <c:pt idx="286">
                  <c:v>2026-09-11</c:v>
                </c:pt>
                <c:pt idx="287">
                  <c:v>2026-09-12</c:v>
                </c:pt>
                <c:pt idx="288">
                  <c:v>2026-09-14</c:v>
                </c:pt>
                <c:pt idx="289">
                  <c:v>2026-09-16</c:v>
                </c:pt>
                <c:pt idx="290">
                  <c:v>2026-09-17</c:v>
                </c:pt>
                <c:pt idx="291">
                  <c:v>2026-09-18</c:v>
                </c:pt>
                <c:pt idx="292">
                  <c:v>2026-09-19</c:v>
                </c:pt>
                <c:pt idx="293">
                  <c:v>2026-09-20</c:v>
                </c:pt>
                <c:pt idx="294">
                  <c:v>2026-09-21</c:v>
                </c:pt>
                <c:pt idx="295">
                  <c:v>2026-09-22</c:v>
                </c:pt>
                <c:pt idx="296">
                  <c:v>2026-09-23</c:v>
                </c:pt>
                <c:pt idx="297">
                  <c:v>2026-09-24</c:v>
                </c:pt>
                <c:pt idx="298">
                  <c:v>2026-09-25</c:v>
                </c:pt>
                <c:pt idx="299">
                  <c:v>2026-09-26</c:v>
                </c:pt>
                <c:pt idx="300">
                  <c:v>2026-09-27</c:v>
                </c:pt>
                <c:pt idx="301">
                  <c:v>2026-09-28</c:v>
                </c:pt>
                <c:pt idx="302">
                  <c:v>2026-09-29</c:v>
                </c:pt>
                <c:pt idx="303">
                  <c:v>2026-09-30</c:v>
                </c:pt>
                <c:pt idx="304">
                  <c:v>2026-10-01</c:v>
                </c:pt>
                <c:pt idx="305">
                  <c:v>2026-10-02</c:v>
                </c:pt>
                <c:pt idx="306">
                  <c:v>2026-10-03</c:v>
                </c:pt>
                <c:pt idx="307">
                  <c:v>2026-10-04</c:v>
                </c:pt>
                <c:pt idx="308">
                  <c:v>2026-10-05</c:v>
                </c:pt>
                <c:pt idx="309">
                  <c:v>2026-10-06</c:v>
                </c:pt>
                <c:pt idx="310">
                  <c:v>2026-10-07</c:v>
                </c:pt>
                <c:pt idx="311">
                  <c:v>2026-10-08</c:v>
                </c:pt>
                <c:pt idx="312">
                  <c:v>2026-10-09</c:v>
                </c:pt>
                <c:pt idx="313">
                  <c:v>2026-10-10</c:v>
                </c:pt>
                <c:pt idx="314">
                  <c:v>2026-10-11</c:v>
                </c:pt>
                <c:pt idx="315">
                  <c:v>2026-10-12</c:v>
                </c:pt>
                <c:pt idx="316">
                  <c:v>2026-10-13</c:v>
                </c:pt>
                <c:pt idx="317">
                  <c:v>2026-10-14</c:v>
                </c:pt>
                <c:pt idx="318">
                  <c:v>2026-10-15</c:v>
                </c:pt>
                <c:pt idx="319">
                  <c:v>2026-10-16</c:v>
                </c:pt>
                <c:pt idx="320">
                  <c:v>2026-10-17</c:v>
                </c:pt>
                <c:pt idx="321">
                  <c:v>2026-10-18</c:v>
                </c:pt>
                <c:pt idx="322">
                  <c:v>2026-10-19</c:v>
                </c:pt>
                <c:pt idx="323">
                  <c:v>2026-10-20</c:v>
                </c:pt>
                <c:pt idx="324">
                  <c:v>2026-10-21</c:v>
                </c:pt>
                <c:pt idx="325">
                  <c:v>2026-10-22</c:v>
                </c:pt>
                <c:pt idx="326">
                  <c:v>2026-10-23</c:v>
                </c:pt>
                <c:pt idx="327">
                  <c:v>2026-10-24</c:v>
                </c:pt>
                <c:pt idx="328">
                  <c:v>2026-10-25</c:v>
                </c:pt>
                <c:pt idx="329">
                  <c:v>2026-10-26</c:v>
                </c:pt>
                <c:pt idx="330">
                  <c:v>2026-10-27</c:v>
                </c:pt>
                <c:pt idx="331">
                  <c:v>2026-10-28</c:v>
                </c:pt>
                <c:pt idx="332">
                  <c:v>2026-10-29</c:v>
                </c:pt>
                <c:pt idx="333">
                  <c:v>2026-10-30</c:v>
                </c:pt>
                <c:pt idx="334">
                  <c:v>2026-10-31</c:v>
                </c:pt>
                <c:pt idx="335">
                  <c:v>2026-11-01</c:v>
                </c:pt>
                <c:pt idx="336">
                  <c:v>2026-11-02</c:v>
                </c:pt>
                <c:pt idx="337">
                  <c:v>2026-11-03</c:v>
                </c:pt>
                <c:pt idx="338">
                  <c:v>2026-11-04</c:v>
                </c:pt>
                <c:pt idx="339">
                  <c:v>2026-11-05</c:v>
                </c:pt>
                <c:pt idx="340">
                  <c:v>2026-11-06</c:v>
                </c:pt>
                <c:pt idx="341">
                  <c:v>2026-11-08</c:v>
                </c:pt>
                <c:pt idx="342">
                  <c:v>2026-11-09</c:v>
                </c:pt>
                <c:pt idx="343">
                  <c:v>2026-11-10</c:v>
                </c:pt>
                <c:pt idx="344">
                  <c:v>2026-11-11</c:v>
                </c:pt>
                <c:pt idx="345">
                  <c:v>2026-11-12</c:v>
                </c:pt>
                <c:pt idx="346">
                  <c:v>2026-11-13</c:v>
                </c:pt>
                <c:pt idx="347">
                  <c:v>2026-11-14</c:v>
                </c:pt>
                <c:pt idx="348">
                  <c:v>2026-11-15</c:v>
                </c:pt>
                <c:pt idx="349">
                  <c:v>2026-11-16</c:v>
                </c:pt>
                <c:pt idx="350">
                  <c:v>2026-11-17</c:v>
                </c:pt>
                <c:pt idx="351">
                  <c:v>2026-11-18</c:v>
                </c:pt>
                <c:pt idx="352">
                  <c:v>2026-11-19</c:v>
                </c:pt>
                <c:pt idx="353">
                  <c:v>2026-11-20</c:v>
                </c:pt>
                <c:pt idx="354">
                  <c:v>2026-11-21</c:v>
                </c:pt>
                <c:pt idx="355">
                  <c:v>2026-11-22</c:v>
                </c:pt>
                <c:pt idx="356">
                  <c:v>2026-11-23</c:v>
                </c:pt>
                <c:pt idx="357">
                  <c:v>2026-11-25</c:v>
                </c:pt>
                <c:pt idx="358">
                  <c:v>2026-11-26</c:v>
                </c:pt>
                <c:pt idx="359">
                  <c:v>2026-11-27</c:v>
                </c:pt>
                <c:pt idx="360">
                  <c:v>2026-11-28</c:v>
                </c:pt>
                <c:pt idx="361">
                  <c:v>2026-11-29</c:v>
                </c:pt>
                <c:pt idx="362">
                  <c:v>2026-11-30</c:v>
                </c:pt>
                <c:pt idx="363">
                  <c:v>2026-12-01</c:v>
                </c:pt>
                <c:pt idx="364">
                  <c:v>2026-12-02</c:v>
                </c:pt>
                <c:pt idx="365">
                  <c:v>2026-12-03</c:v>
                </c:pt>
                <c:pt idx="366">
                  <c:v>2026-12-04</c:v>
                </c:pt>
                <c:pt idx="367">
                  <c:v>2026-12-05</c:v>
                </c:pt>
                <c:pt idx="368">
                  <c:v>2026-12-06</c:v>
                </c:pt>
                <c:pt idx="369">
                  <c:v>21/09/2026</c:v>
                </c:pt>
                <c:pt idx="370">
                  <c:v>22/03/2026</c:v>
                </c:pt>
                <c:pt idx="371">
                  <c:v>22/10/2026</c:v>
                </c:pt>
                <c:pt idx="372">
                  <c:v>23/02/2026</c:v>
                </c:pt>
                <c:pt idx="373">
                  <c:v>23/05/2026</c:v>
                </c:pt>
                <c:pt idx="374">
                  <c:v>23/07/2026</c:v>
                </c:pt>
                <c:pt idx="375">
                  <c:v>23/08/2026</c:v>
                </c:pt>
                <c:pt idx="376">
                  <c:v>24/07/2026</c:v>
                </c:pt>
                <c:pt idx="377">
                  <c:v>24/08/2026</c:v>
                </c:pt>
                <c:pt idx="378">
                  <c:v>25/08/2026</c:v>
                </c:pt>
                <c:pt idx="379">
                  <c:v>25/09/2026</c:v>
                </c:pt>
                <c:pt idx="380">
                  <c:v>26/07/2026</c:v>
                </c:pt>
                <c:pt idx="381">
                  <c:v>27/01/2026</c:v>
                </c:pt>
                <c:pt idx="382">
                  <c:v>27/07/2026</c:v>
                </c:pt>
                <c:pt idx="383">
                  <c:v>27/09/2026</c:v>
                </c:pt>
                <c:pt idx="384">
                  <c:v>27/10/2026</c:v>
                </c:pt>
                <c:pt idx="385">
                  <c:v>28/04/2026</c:v>
                </c:pt>
                <c:pt idx="386">
                  <c:v>28/09/2026</c:v>
                </c:pt>
                <c:pt idx="387">
                  <c:v>28/10/2026</c:v>
                </c:pt>
                <c:pt idx="388">
                  <c:v>29/06/2026</c:v>
                </c:pt>
                <c:pt idx="389">
                  <c:v>29/07/2026</c:v>
                </c:pt>
                <c:pt idx="390">
                  <c:v>29/08/2026</c:v>
                </c:pt>
                <c:pt idx="391">
                  <c:v>30/10/2026</c:v>
                </c:pt>
                <c:pt idx="392">
                  <c:v>31/03/2026</c:v>
                </c:pt>
              </c:strCache>
            </c:strRef>
          </c:cat>
          <c:val>
            <c:numRef>
              <c:f>'data analysis '!$C$20:$C$413</c:f>
              <c:numCache>
                <c:formatCode>General</c:formatCode>
                <c:ptCount val="393"/>
                <c:pt idx="0">
                  <c:v>51.980000000000004</c:v>
                </c:pt>
                <c:pt idx="1">
                  <c:v>30.99</c:v>
                </c:pt>
                <c:pt idx="2">
                  <c:v>21.99</c:v>
                </c:pt>
                <c:pt idx="3">
                  <c:v>16.989999999999998</c:v>
                </c:pt>
                <c:pt idx="4">
                  <c:v>18.989999999999998</c:v>
                </c:pt>
                <c:pt idx="5">
                  <c:v>21.99</c:v>
                </c:pt>
                <c:pt idx="6">
                  <c:v>16.989999999999998</c:v>
                </c:pt>
                <c:pt idx="7">
                  <c:v>16.989999999999998</c:v>
                </c:pt>
                <c:pt idx="8">
                  <c:v>27.99</c:v>
                </c:pt>
                <c:pt idx="9">
                  <c:v>55.98</c:v>
                </c:pt>
                <c:pt idx="10">
                  <c:v>47.98</c:v>
                </c:pt>
                <c:pt idx="11">
                  <c:v>27.99</c:v>
                </c:pt>
                <c:pt idx="12">
                  <c:v>16.989999999999998</c:v>
                </c:pt>
                <c:pt idx="13">
                  <c:v>61.98</c:v>
                </c:pt>
                <c:pt idx="14">
                  <c:v>16.989999999999998</c:v>
                </c:pt>
                <c:pt idx="15">
                  <c:v>30.99</c:v>
                </c:pt>
                <c:pt idx="16">
                  <c:v>21.99</c:v>
                </c:pt>
                <c:pt idx="17">
                  <c:v>34.99</c:v>
                </c:pt>
                <c:pt idx="18">
                  <c:v>30.99</c:v>
                </c:pt>
                <c:pt idx="19">
                  <c:v>27.99</c:v>
                </c:pt>
                <c:pt idx="20">
                  <c:v>34.99</c:v>
                </c:pt>
                <c:pt idx="21">
                  <c:v>58.98</c:v>
                </c:pt>
                <c:pt idx="22">
                  <c:v>34.99</c:v>
                </c:pt>
                <c:pt idx="23">
                  <c:v>18.989999999999998</c:v>
                </c:pt>
                <c:pt idx="24">
                  <c:v>27.99</c:v>
                </c:pt>
                <c:pt idx="25">
                  <c:v>34.99</c:v>
                </c:pt>
                <c:pt idx="26">
                  <c:v>58.98</c:v>
                </c:pt>
                <c:pt idx="27">
                  <c:v>30.99</c:v>
                </c:pt>
                <c:pt idx="28">
                  <c:v>18.989999999999998</c:v>
                </c:pt>
                <c:pt idx="29">
                  <c:v>21.99</c:v>
                </c:pt>
                <c:pt idx="30">
                  <c:v>66.97</c:v>
                </c:pt>
                <c:pt idx="31">
                  <c:v>30.99</c:v>
                </c:pt>
                <c:pt idx="32">
                  <c:v>33.979999999999997</c:v>
                </c:pt>
                <c:pt idx="33">
                  <c:v>62.980000000000004</c:v>
                </c:pt>
                <c:pt idx="34">
                  <c:v>18.989999999999998</c:v>
                </c:pt>
                <c:pt idx="35">
                  <c:v>37.979999999999997</c:v>
                </c:pt>
                <c:pt idx="36">
                  <c:v>16.989999999999998</c:v>
                </c:pt>
                <c:pt idx="37">
                  <c:v>30.99</c:v>
                </c:pt>
                <c:pt idx="38">
                  <c:v>16.989999999999998</c:v>
                </c:pt>
                <c:pt idx="39">
                  <c:v>46.98</c:v>
                </c:pt>
                <c:pt idx="40">
                  <c:v>34.99</c:v>
                </c:pt>
                <c:pt idx="41">
                  <c:v>16.989999999999998</c:v>
                </c:pt>
                <c:pt idx="42">
                  <c:v>18.989999999999998</c:v>
                </c:pt>
                <c:pt idx="43">
                  <c:v>27.99</c:v>
                </c:pt>
                <c:pt idx="44">
                  <c:v>34.99</c:v>
                </c:pt>
                <c:pt idx="45">
                  <c:v>16.989999999999998</c:v>
                </c:pt>
                <c:pt idx="46">
                  <c:v>110.96</c:v>
                </c:pt>
                <c:pt idx="47">
                  <c:v>139.96</c:v>
                </c:pt>
                <c:pt idx="48">
                  <c:v>16.989999999999998</c:v>
                </c:pt>
                <c:pt idx="49">
                  <c:v>40.98</c:v>
                </c:pt>
                <c:pt idx="50">
                  <c:v>68.97</c:v>
                </c:pt>
                <c:pt idx="51">
                  <c:v>78.97</c:v>
                </c:pt>
                <c:pt idx="52">
                  <c:v>88.96</c:v>
                </c:pt>
                <c:pt idx="53">
                  <c:v>128.94999999999999</c:v>
                </c:pt>
                <c:pt idx="54">
                  <c:v>30.99</c:v>
                </c:pt>
                <c:pt idx="55">
                  <c:v>117.94999999999999</c:v>
                </c:pt>
                <c:pt idx="56">
                  <c:v>27.99</c:v>
                </c:pt>
                <c:pt idx="57">
                  <c:v>138.94999999999999</c:v>
                </c:pt>
                <c:pt idx="58">
                  <c:v>89.96</c:v>
                </c:pt>
                <c:pt idx="59">
                  <c:v>166.94000000000003</c:v>
                </c:pt>
                <c:pt idx="60">
                  <c:v>83.97</c:v>
                </c:pt>
                <c:pt idx="61">
                  <c:v>116.94999999999999</c:v>
                </c:pt>
                <c:pt idx="62">
                  <c:v>16.989999999999998</c:v>
                </c:pt>
                <c:pt idx="63">
                  <c:v>16.989999999999998</c:v>
                </c:pt>
                <c:pt idx="64">
                  <c:v>34.99</c:v>
                </c:pt>
                <c:pt idx="65">
                  <c:v>68.97</c:v>
                </c:pt>
                <c:pt idx="66">
                  <c:v>52.98</c:v>
                </c:pt>
                <c:pt idx="67">
                  <c:v>18.989999999999998</c:v>
                </c:pt>
                <c:pt idx="68">
                  <c:v>27.99</c:v>
                </c:pt>
                <c:pt idx="69">
                  <c:v>110.94999999999999</c:v>
                </c:pt>
                <c:pt idx="70">
                  <c:v>97.97</c:v>
                </c:pt>
                <c:pt idx="71">
                  <c:v>52.98</c:v>
                </c:pt>
                <c:pt idx="72">
                  <c:v>81.97</c:v>
                </c:pt>
                <c:pt idx="73">
                  <c:v>34.99</c:v>
                </c:pt>
                <c:pt idx="74">
                  <c:v>84.97</c:v>
                </c:pt>
                <c:pt idx="75">
                  <c:v>100.96</c:v>
                </c:pt>
                <c:pt idx="76">
                  <c:v>27.99</c:v>
                </c:pt>
                <c:pt idx="77">
                  <c:v>150.94999999999999</c:v>
                </c:pt>
                <c:pt idx="78">
                  <c:v>43.98</c:v>
                </c:pt>
                <c:pt idx="79">
                  <c:v>53.980000000000004</c:v>
                </c:pt>
                <c:pt idx="80">
                  <c:v>21.99</c:v>
                </c:pt>
                <c:pt idx="81">
                  <c:v>68.97</c:v>
                </c:pt>
                <c:pt idx="82">
                  <c:v>21.99</c:v>
                </c:pt>
                <c:pt idx="83">
                  <c:v>65.97</c:v>
                </c:pt>
                <c:pt idx="84">
                  <c:v>18.989999999999998</c:v>
                </c:pt>
                <c:pt idx="85">
                  <c:v>120.95</c:v>
                </c:pt>
                <c:pt idx="86">
                  <c:v>99.96</c:v>
                </c:pt>
                <c:pt idx="87">
                  <c:v>62.980000000000004</c:v>
                </c:pt>
                <c:pt idx="88">
                  <c:v>84.97</c:v>
                </c:pt>
                <c:pt idx="89">
                  <c:v>130.94999999999999</c:v>
                </c:pt>
                <c:pt idx="90">
                  <c:v>94.96</c:v>
                </c:pt>
                <c:pt idx="91">
                  <c:v>18.989999999999998</c:v>
                </c:pt>
                <c:pt idx="92">
                  <c:v>53.980000000000004</c:v>
                </c:pt>
                <c:pt idx="93">
                  <c:v>106.96</c:v>
                </c:pt>
                <c:pt idx="94">
                  <c:v>30.99</c:v>
                </c:pt>
                <c:pt idx="95">
                  <c:v>122.95000000000002</c:v>
                </c:pt>
                <c:pt idx="96">
                  <c:v>27.99</c:v>
                </c:pt>
                <c:pt idx="97">
                  <c:v>79.97</c:v>
                </c:pt>
                <c:pt idx="98">
                  <c:v>222.92000000000002</c:v>
                </c:pt>
                <c:pt idx="99">
                  <c:v>96.96</c:v>
                </c:pt>
                <c:pt idx="100">
                  <c:v>84.97</c:v>
                </c:pt>
                <c:pt idx="101">
                  <c:v>55.98</c:v>
                </c:pt>
                <c:pt idx="102">
                  <c:v>66.97</c:v>
                </c:pt>
                <c:pt idx="103">
                  <c:v>104.96</c:v>
                </c:pt>
                <c:pt idx="104">
                  <c:v>103.96000000000001</c:v>
                </c:pt>
                <c:pt idx="105">
                  <c:v>47.98</c:v>
                </c:pt>
                <c:pt idx="106">
                  <c:v>58.98</c:v>
                </c:pt>
                <c:pt idx="107">
                  <c:v>21.99</c:v>
                </c:pt>
                <c:pt idx="108">
                  <c:v>65.98</c:v>
                </c:pt>
                <c:pt idx="109">
                  <c:v>65.97</c:v>
                </c:pt>
                <c:pt idx="110">
                  <c:v>21.99</c:v>
                </c:pt>
                <c:pt idx="111">
                  <c:v>57.97</c:v>
                </c:pt>
                <c:pt idx="112">
                  <c:v>91.96</c:v>
                </c:pt>
                <c:pt idx="113">
                  <c:v>18.989999999999998</c:v>
                </c:pt>
                <c:pt idx="114">
                  <c:v>78.97</c:v>
                </c:pt>
                <c:pt idx="115">
                  <c:v>65.98</c:v>
                </c:pt>
                <c:pt idx="116">
                  <c:v>114.96</c:v>
                </c:pt>
                <c:pt idx="117">
                  <c:v>122.94999999999999</c:v>
                </c:pt>
                <c:pt idx="118">
                  <c:v>96.97</c:v>
                </c:pt>
                <c:pt idx="119">
                  <c:v>43.98</c:v>
                </c:pt>
                <c:pt idx="120">
                  <c:v>34.99</c:v>
                </c:pt>
                <c:pt idx="121">
                  <c:v>56.980000000000004</c:v>
                </c:pt>
                <c:pt idx="122">
                  <c:v>69.98</c:v>
                </c:pt>
                <c:pt idx="123">
                  <c:v>33.979999999999997</c:v>
                </c:pt>
                <c:pt idx="124">
                  <c:v>140.94999999999999</c:v>
                </c:pt>
                <c:pt idx="125">
                  <c:v>153.94</c:v>
                </c:pt>
                <c:pt idx="126">
                  <c:v>77.97</c:v>
                </c:pt>
                <c:pt idx="127">
                  <c:v>69.98</c:v>
                </c:pt>
                <c:pt idx="128">
                  <c:v>27.99</c:v>
                </c:pt>
                <c:pt idx="129">
                  <c:v>52.98</c:v>
                </c:pt>
                <c:pt idx="130">
                  <c:v>90.97</c:v>
                </c:pt>
                <c:pt idx="131">
                  <c:v>35.979999999999997</c:v>
                </c:pt>
                <c:pt idx="132">
                  <c:v>140.94999999999999</c:v>
                </c:pt>
                <c:pt idx="133">
                  <c:v>85.96</c:v>
                </c:pt>
                <c:pt idx="134">
                  <c:v>16.989999999999998</c:v>
                </c:pt>
                <c:pt idx="135">
                  <c:v>84.97</c:v>
                </c:pt>
                <c:pt idx="136">
                  <c:v>75.97</c:v>
                </c:pt>
                <c:pt idx="137">
                  <c:v>131.95000000000002</c:v>
                </c:pt>
                <c:pt idx="138">
                  <c:v>126.93999999999998</c:v>
                </c:pt>
                <c:pt idx="139">
                  <c:v>51.980000000000004</c:v>
                </c:pt>
                <c:pt idx="140">
                  <c:v>72.97</c:v>
                </c:pt>
                <c:pt idx="141">
                  <c:v>38.979999999999997</c:v>
                </c:pt>
                <c:pt idx="142">
                  <c:v>18.989999999999998</c:v>
                </c:pt>
                <c:pt idx="143">
                  <c:v>21.99</c:v>
                </c:pt>
                <c:pt idx="144">
                  <c:v>98.96</c:v>
                </c:pt>
                <c:pt idx="145">
                  <c:v>58.98</c:v>
                </c:pt>
                <c:pt idx="146">
                  <c:v>52.98</c:v>
                </c:pt>
                <c:pt idx="147">
                  <c:v>56.980000000000004</c:v>
                </c:pt>
                <c:pt idx="148">
                  <c:v>72.97</c:v>
                </c:pt>
                <c:pt idx="149">
                  <c:v>21.99</c:v>
                </c:pt>
                <c:pt idx="150">
                  <c:v>30.99</c:v>
                </c:pt>
                <c:pt idx="151">
                  <c:v>56.980000000000004</c:v>
                </c:pt>
                <c:pt idx="152">
                  <c:v>52.98</c:v>
                </c:pt>
                <c:pt idx="153">
                  <c:v>93.97</c:v>
                </c:pt>
                <c:pt idx="154">
                  <c:v>102.96</c:v>
                </c:pt>
                <c:pt idx="155">
                  <c:v>91.96</c:v>
                </c:pt>
                <c:pt idx="156">
                  <c:v>46.98</c:v>
                </c:pt>
                <c:pt idx="157">
                  <c:v>44.98</c:v>
                </c:pt>
                <c:pt idx="158">
                  <c:v>46.98</c:v>
                </c:pt>
                <c:pt idx="159">
                  <c:v>120.94999999999999</c:v>
                </c:pt>
                <c:pt idx="160">
                  <c:v>44.98</c:v>
                </c:pt>
                <c:pt idx="161">
                  <c:v>34.99</c:v>
                </c:pt>
                <c:pt idx="162">
                  <c:v>56.980000000000004</c:v>
                </c:pt>
                <c:pt idx="163">
                  <c:v>71.97</c:v>
                </c:pt>
                <c:pt idx="164">
                  <c:v>56.980000000000004</c:v>
                </c:pt>
                <c:pt idx="165">
                  <c:v>89.97</c:v>
                </c:pt>
                <c:pt idx="166">
                  <c:v>47.98</c:v>
                </c:pt>
                <c:pt idx="167">
                  <c:v>152.94</c:v>
                </c:pt>
                <c:pt idx="168">
                  <c:v>16.989999999999998</c:v>
                </c:pt>
                <c:pt idx="169">
                  <c:v>129.94999999999999</c:v>
                </c:pt>
                <c:pt idx="170">
                  <c:v>65.98</c:v>
                </c:pt>
                <c:pt idx="171">
                  <c:v>61.98</c:v>
                </c:pt>
                <c:pt idx="172">
                  <c:v>77.97</c:v>
                </c:pt>
                <c:pt idx="173">
                  <c:v>71.97</c:v>
                </c:pt>
                <c:pt idx="174">
                  <c:v>62.97</c:v>
                </c:pt>
                <c:pt idx="175">
                  <c:v>109.96</c:v>
                </c:pt>
                <c:pt idx="176">
                  <c:v>43.98</c:v>
                </c:pt>
                <c:pt idx="177">
                  <c:v>44.98</c:v>
                </c:pt>
                <c:pt idx="178">
                  <c:v>52.97</c:v>
                </c:pt>
                <c:pt idx="179">
                  <c:v>85.96</c:v>
                </c:pt>
                <c:pt idx="180">
                  <c:v>88.97</c:v>
                </c:pt>
                <c:pt idx="181">
                  <c:v>61.98</c:v>
                </c:pt>
                <c:pt idx="182">
                  <c:v>62.980000000000004</c:v>
                </c:pt>
                <c:pt idx="183">
                  <c:v>153.95000000000002</c:v>
                </c:pt>
                <c:pt idx="184">
                  <c:v>125.94999999999999</c:v>
                </c:pt>
                <c:pt idx="185">
                  <c:v>134.94999999999999</c:v>
                </c:pt>
                <c:pt idx="186">
                  <c:v>114.96</c:v>
                </c:pt>
                <c:pt idx="187">
                  <c:v>239.91000000000003</c:v>
                </c:pt>
                <c:pt idx="188">
                  <c:v>253.90000000000003</c:v>
                </c:pt>
                <c:pt idx="189">
                  <c:v>214.92000000000002</c:v>
                </c:pt>
                <c:pt idx="190">
                  <c:v>71.97</c:v>
                </c:pt>
                <c:pt idx="191">
                  <c:v>172.93</c:v>
                </c:pt>
                <c:pt idx="192">
                  <c:v>246.91000000000003</c:v>
                </c:pt>
                <c:pt idx="193">
                  <c:v>120.94999999999999</c:v>
                </c:pt>
                <c:pt idx="194">
                  <c:v>136.94999999999999</c:v>
                </c:pt>
                <c:pt idx="195">
                  <c:v>361.85000000000008</c:v>
                </c:pt>
                <c:pt idx="196">
                  <c:v>117.93999999999998</c:v>
                </c:pt>
                <c:pt idx="197">
                  <c:v>193.93</c:v>
                </c:pt>
                <c:pt idx="198">
                  <c:v>135.94</c:v>
                </c:pt>
                <c:pt idx="199">
                  <c:v>163.94000000000003</c:v>
                </c:pt>
                <c:pt idx="200">
                  <c:v>101.96</c:v>
                </c:pt>
                <c:pt idx="201">
                  <c:v>187.94000000000003</c:v>
                </c:pt>
                <c:pt idx="202">
                  <c:v>260.89000000000004</c:v>
                </c:pt>
                <c:pt idx="203">
                  <c:v>205.92000000000002</c:v>
                </c:pt>
                <c:pt idx="204">
                  <c:v>246.90000000000003</c:v>
                </c:pt>
                <c:pt idx="205">
                  <c:v>315.87000000000006</c:v>
                </c:pt>
                <c:pt idx="206">
                  <c:v>288.89000000000004</c:v>
                </c:pt>
                <c:pt idx="207">
                  <c:v>57.97</c:v>
                </c:pt>
                <c:pt idx="208">
                  <c:v>277.90000000000003</c:v>
                </c:pt>
                <c:pt idx="209">
                  <c:v>129.94999999999999</c:v>
                </c:pt>
                <c:pt idx="210">
                  <c:v>249.90000000000003</c:v>
                </c:pt>
                <c:pt idx="211">
                  <c:v>49.98</c:v>
                </c:pt>
                <c:pt idx="212">
                  <c:v>53.980000000000004</c:v>
                </c:pt>
                <c:pt idx="213">
                  <c:v>133.95000000000002</c:v>
                </c:pt>
                <c:pt idx="214">
                  <c:v>233.91000000000003</c:v>
                </c:pt>
                <c:pt idx="215">
                  <c:v>114.94999999999999</c:v>
                </c:pt>
                <c:pt idx="216">
                  <c:v>286.88000000000005</c:v>
                </c:pt>
                <c:pt idx="217">
                  <c:v>84.97</c:v>
                </c:pt>
                <c:pt idx="218">
                  <c:v>179.93000000000004</c:v>
                </c:pt>
                <c:pt idx="219">
                  <c:v>49.98</c:v>
                </c:pt>
                <c:pt idx="220">
                  <c:v>315.88000000000005</c:v>
                </c:pt>
                <c:pt idx="221">
                  <c:v>66.97</c:v>
                </c:pt>
                <c:pt idx="222">
                  <c:v>159.94</c:v>
                </c:pt>
                <c:pt idx="223">
                  <c:v>105.96000000000001</c:v>
                </c:pt>
                <c:pt idx="224">
                  <c:v>153.94</c:v>
                </c:pt>
                <c:pt idx="225">
                  <c:v>235.91000000000005</c:v>
                </c:pt>
                <c:pt idx="226">
                  <c:v>205.92000000000002</c:v>
                </c:pt>
                <c:pt idx="227">
                  <c:v>260.89000000000004</c:v>
                </c:pt>
                <c:pt idx="228">
                  <c:v>257.90000000000003</c:v>
                </c:pt>
                <c:pt idx="229">
                  <c:v>184.93</c:v>
                </c:pt>
                <c:pt idx="230">
                  <c:v>210.91000000000003</c:v>
                </c:pt>
                <c:pt idx="231">
                  <c:v>159.93</c:v>
                </c:pt>
                <c:pt idx="232">
                  <c:v>110.96000000000001</c:v>
                </c:pt>
                <c:pt idx="233">
                  <c:v>373.83000000000004</c:v>
                </c:pt>
                <c:pt idx="234">
                  <c:v>81.96</c:v>
                </c:pt>
                <c:pt idx="235">
                  <c:v>122.96</c:v>
                </c:pt>
                <c:pt idx="236">
                  <c:v>172.93</c:v>
                </c:pt>
                <c:pt idx="237">
                  <c:v>177.93000000000004</c:v>
                </c:pt>
                <c:pt idx="238">
                  <c:v>156.95000000000002</c:v>
                </c:pt>
                <c:pt idx="239">
                  <c:v>308.87000000000006</c:v>
                </c:pt>
                <c:pt idx="240">
                  <c:v>133.94999999999999</c:v>
                </c:pt>
                <c:pt idx="241">
                  <c:v>147.94</c:v>
                </c:pt>
                <c:pt idx="242">
                  <c:v>215.91000000000003</c:v>
                </c:pt>
                <c:pt idx="243">
                  <c:v>119.93999999999998</c:v>
                </c:pt>
                <c:pt idx="244">
                  <c:v>124.93999999999998</c:v>
                </c:pt>
                <c:pt idx="245">
                  <c:v>61.97</c:v>
                </c:pt>
                <c:pt idx="246">
                  <c:v>149.95000000000002</c:v>
                </c:pt>
                <c:pt idx="247">
                  <c:v>186.93</c:v>
                </c:pt>
                <c:pt idx="248">
                  <c:v>178.92000000000002</c:v>
                </c:pt>
                <c:pt idx="249">
                  <c:v>122.94999999999999</c:v>
                </c:pt>
                <c:pt idx="250">
                  <c:v>196.91000000000003</c:v>
                </c:pt>
                <c:pt idx="251">
                  <c:v>336.88000000000005</c:v>
                </c:pt>
                <c:pt idx="252">
                  <c:v>249.90000000000003</c:v>
                </c:pt>
                <c:pt idx="253">
                  <c:v>161.93</c:v>
                </c:pt>
                <c:pt idx="254">
                  <c:v>104.96</c:v>
                </c:pt>
                <c:pt idx="255">
                  <c:v>151.94</c:v>
                </c:pt>
                <c:pt idx="256">
                  <c:v>265.89000000000004</c:v>
                </c:pt>
                <c:pt idx="257">
                  <c:v>105.96000000000001</c:v>
                </c:pt>
                <c:pt idx="258">
                  <c:v>69.97</c:v>
                </c:pt>
                <c:pt idx="259">
                  <c:v>235.91000000000003</c:v>
                </c:pt>
                <c:pt idx="260">
                  <c:v>144.95000000000002</c:v>
                </c:pt>
                <c:pt idx="261">
                  <c:v>120.94999999999999</c:v>
                </c:pt>
                <c:pt idx="262">
                  <c:v>107.94999999999999</c:v>
                </c:pt>
                <c:pt idx="263">
                  <c:v>34.99</c:v>
                </c:pt>
                <c:pt idx="264">
                  <c:v>18.989999999999998</c:v>
                </c:pt>
                <c:pt idx="265">
                  <c:v>27.99</c:v>
                </c:pt>
                <c:pt idx="266">
                  <c:v>77.959999999999994</c:v>
                </c:pt>
                <c:pt idx="267">
                  <c:v>16.989999999999998</c:v>
                </c:pt>
                <c:pt idx="268">
                  <c:v>135.94999999999999</c:v>
                </c:pt>
                <c:pt idx="269">
                  <c:v>100.97</c:v>
                </c:pt>
                <c:pt idx="270">
                  <c:v>18.989999999999998</c:v>
                </c:pt>
                <c:pt idx="271">
                  <c:v>16.989999999999998</c:v>
                </c:pt>
                <c:pt idx="272">
                  <c:v>58.98</c:v>
                </c:pt>
                <c:pt idx="273">
                  <c:v>97.97</c:v>
                </c:pt>
                <c:pt idx="274">
                  <c:v>105.96000000000001</c:v>
                </c:pt>
                <c:pt idx="275">
                  <c:v>171.94000000000003</c:v>
                </c:pt>
                <c:pt idx="276">
                  <c:v>44.98</c:v>
                </c:pt>
                <c:pt idx="277">
                  <c:v>99.96</c:v>
                </c:pt>
                <c:pt idx="278">
                  <c:v>101.94999999999999</c:v>
                </c:pt>
                <c:pt idx="279">
                  <c:v>34.99</c:v>
                </c:pt>
                <c:pt idx="280">
                  <c:v>65.98</c:v>
                </c:pt>
                <c:pt idx="281">
                  <c:v>74.97</c:v>
                </c:pt>
                <c:pt idx="282">
                  <c:v>58.98</c:v>
                </c:pt>
                <c:pt idx="283">
                  <c:v>46.98</c:v>
                </c:pt>
                <c:pt idx="284">
                  <c:v>18.989999999999998</c:v>
                </c:pt>
                <c:pt idx="285">
                  <c:v>27.99</c:v>
                </c:pt>
                <c:pt idx="286">
                  <c:v>16.989999999999998</c:v>
                </c:pt>
                <c:pt idx="287">
                  <c:v>72.97</c:v>
                </c:pt>
                <c:pt idx="288">
                  <c:v>49.98</c:v>
                </c:pt>
                <c:pt idx="289">
                  <c:v>145.95000000000002</c:v>
                </c:pt>
                <c:pt idx="290">
                  <c:v>53.980000000000004</c:v>
                </c:pt>
                <c:pt idx="291">
                  <c:v>46.98</c:v>
                </c:pt>
                <c:pt idx="292">
                  <c:v>92.96</c:v>
                </c:pt>
                <c:pt idx="293">
                  <c:v>98.96</c:v>
                </c:pt>
                <c:pt idx="294">
                  <c:v>123.94999999999999</c:v>
                </c:pt>
                <c:pt idx="295">
                  <c:v>21.99</c:v>
                </c:pt>
                <c:pt idx="296">
                  <c:v>100.96</c:v>
                </c:pt>
                <c:pt idx="297">
                  <c:v>40.98</c:v>
                </c:pt>
                <c:pt idx="298">
                  <c:v>52.98</c:v>
                </c:pt>
                <c:pt idx="299">
                  <c:v>65.98</c:v>
                </c:pt>
                <c:pt idx="300">
                  <c:v>52.97</c:v>
                </c:pt>
                <c:pt idx="301">
                  <c:v>55.97</c:v>
                </c:pt>
                <c:pt idx="302">
                  <c:v>84.96</c:v>
                </c:pt>
                <c:pt idx="303">
                  <c:v>34.99</c:v>
                </c:pt>
                <c:pt idx="304">
                  <c:v>84.96</c:v>
                </c:pt>
                <c:pt idx="305">
                  <c:v>66.97</c:v>
                </c:pt>
                <c:pt idx="306">
                  <c:v>46.98</c:v>
                </c:pt>
                <c:pt idx="307">
                  <c:v>58.98</c:v>
                </c:pt>
                <c:pt idx="308">
                  <c:v>85.96</c:v>
                </c:pt>
                <c:pt idx="309">
                  <c:v>46.98</c:v>
                </c:pt>
                <c:pt idx="310">
                  <c:v>68.97</c:v>
                </c:pt>
                <c:pt idx="311">
                  <c:v>211.93000000000004</c:v>
                </c:pt>
                <c:pt idx="312">
                  <c:v>18.989999999999998</c:v>
                </c:pt>
                <c:pt idx="313">
                  <c:v>40.98</c:v>
                </c:pt>
                <c:pt idx="314">
                  <c:v>75.97</c:v>
                </c:pt>
                <c:pt idx="315">
                  <c:v>81.97</c:v>
                </c:pt>
                <c:pt idx="316">
                  <c:v>49.98</c:v>
                </c:pt>
                <c:pt idx="317">
                  <c:v>52.97</c:v>
                </c:pt>
                <c:pt idx="318">
                  <c:v>40.98</c:v>
                </c:pt>
                <c:pt idx="319">
                  <c:v>21.99</c:v>
                </c:pt>
                <c:pt idx="320">
                  <c:v>18.989999999999998</c:v>
                </c:pt>
                <c:pt idx="321">
                  <c:v>86.97</c:v>
                </c:pt>
                <c:pt idx="322">
                  <c:v>49.98</c:v>
                </c:pt>
                <c:pt idx="323">
                  <c:v>96.97</c:v>
                </c:pt>
                <c:pt idx="324">
                  <c:v>27.99</c:v>
                </c:pt>
                <c:pt idx="325">
                  <c:v>30.99</c:v>
                </c:pt>
                <c:pt idx="326">
                  <c:v>121.94999999999999</c:v>
                </c:pt>
                <c:pt idx="327">
                  <c:v>27.99</c:v>
                </c:pt>
                <c:pt idx="328">
                  <c:v>46.98</c:v>
                </c:pt>
                <c:pt idx="329">
                  <c:v>34.99</c:v>
                </c:pt>
                <c:pt idx="330">
                  <c:v>91.97</c:v>
                </c:pt>
                <c:pt idx="331">
                  <c:v>57.97</c:v>
                </c:pt>
                <c:pt idx="332">
                  <c:v>27.99</c:v>
                </c:pt>
                <c:pt idx="333">
                  <c:v>89.960000000000008</c:v>
                </c:pt>
                <c:pt idx="334">
                  <c:v>70.97</c:v>
                </c:pt>
                <c:pt idx="335">
                  <c:v>18.989999999999998</c:v>
                </c:pt>
                <c:pt idx="336">
                  <c:v>53.980000000000004</c:v>
                </c:pt>
                <c:pt idx="337">
                  <c:v>88.96</c:v>
                </c:pt>
                <c:pt idx="338">
                  <c:v>53.980000000000004</c:v>
                </c:pt>
                <c:pt idx="339">
                  <c:v>84.97</c:v>
                </c:pt>
                <c:pt idx="340">
                  <c:v>141.94999999999999</c:v>
                </c:pt>
                <c:pt idx="341">
                  <c:v>175.93</c:v>
                </c:pt>
                <c:pt idx="342">
                  <c:v>168.94</c:v>
                </c:pt>
                <c:pt idx="343">
                  <c:v>79.959999999999994</c:v>
                </c:pt>
                <c:pt idx="344">
                  <c:v>133.95000000000002</c:v>
                </c:pt>
                <c:pt idx="345">
                  <c:v>82.97</c:v>
                </c:pt>
                <c:pt idx="346">
                  <c:v>89.97</c:v>
                </c:pt>
                <c:pt idx="347">
                  <c:v>16.989999999999998</c:v>
                </c:pt>
                <c:pt idx="348">
                  <c:v>89.97</c:v>
                </c:pt>
                <c:pt idx="349">
                  <c:v>84.97</c:v>
                </c:pt>
                <c:pt idx="350">
                  <c:v>69.98</c:v>
                </c:pt>
                <c:pt idx="351">
                  <c:v>80.97</c:v>
                </c:pt>
                <c:pt idx="352">
                  <c:v>34.99</c:v>
                </c:pt>
                <c:pt idx="353">
                  <c:v>152.95000000000002</c:v>
                </c:pt>
                <c:pt idx="354">
                  <c:v>58.98</c:v>
                </c:pt>
                <c:pt idx="355">
                  <c:v>30.99</c:v>
                </c:pt>
                <c:pt idx="356">
                  <c:v>69.97</c:v>
                </c:pt>
                <c:pt idx="357">
                  <c:v>44.98</c:v>
                </c:pt>
                <c:pt idx="358">
                  <c:v>119.96</c:v>
                </c:pt>
                <c:pt idx="359">
                  <c:v>16.989999999999998</c:v>
                </c:pt>
                <c:pt idx="360">
                  <c:v>40.98</c:v>
                </c:pt>
                <c:pt idx="361">
                  <c:v>63.97</c:v>
                </c:pt>
                <c:pt idx="362">
                  <c:v>138.95000000000002</c:v>
                </c:pt>
                <c:pt idx="363">
                  <c:v>52.97</c:v>
                </c:pt>
                <c:pt idx="364">
                  <c:v>47.98</c:v>
                </c:pt>
                <c:pt idx="365">
                  <c:v>56.980000000000004</c:v>
                </c:pt>
                <c:pt idx="366">
                  <c:v>129.94999999999999</c:v>
                </c:pt>
                <c:pt idx="367">
                  <c:v>115.96</c:v>
                </c:pt>
                <c:pt idx="368">
                  <c:v>57.97</c:v>
                </c:pt>
                <c:pt idx="369">
                  <c:v>18.989999999999998</c:v>
                </c:pt>
                <c:pt idx="370">
                  <c:v>16.989999999999998</c:v>
                </c:pt>
                <c:pt idx="371">
                  <c:v>30.99</c:v>
                </c:pt>
                <c:pt idx="372">
                  <c:v>18.989999999999998</c:v>
                </c:pt>
                <c:pt idx="373">
                  <c:v>21.99</c:v>
                </c:pt>
                <c:pt idx="374">
                  <c:v>53.980000000000004</c:v>
                </c:pt>
                <c:pt idx="375">
                  <c:v>21.99</c:v>
                </c:pt>
                <c:pt idx="376">
                  <c:v>16.989999999999998</c:v>
                </c:pt>
                <c:pt idx="377">
                  <c:v>34.99</c:v>
                </c:pt>
                <c:pt idx="378">
                  <c:v>27.99</c:v>
                </c:pt>
                <c:pt idx="379">
                  <c:v>18.989999999999998</c:v>
                </c:pt>
                <c:pt idx="380">
                  <c:v>21.99</c:v>
                </c:pt>
                <c:pt idx="381">
                  <c:v>18.989999999999998</c:v>
                </c:pt>
                <c:pt idx="382">
                  <c:v>30.99</c:v>
                </c:pt>
                <c:pt idx="383">
                  <c:v>34.99</c:v>
                </c:pt>
                <c:pt idx="384">
                  <c:v>34.99</c:v>
                </c:pt>
                <c:pt idx="385">
                  <c:v>18.989999999999998</c:v>
                </c:pt>
                <c:pt idx="386">
                  <c:v>16.989999999999998</c:v>
                </c:pt>
                <c:pt idx="387">
                  <c:v>43.98</c:v>
                </c:pt>
                <c:pt idx="388">
                  <c:v>51.980000000000004</c:v>
                </c:pt>
                <c:pt idx="389">
                  <c:v>62.980000000000004</c:v>
                </c:pt>
                <c:pt idx="390">
                  <c:v>30.99</c:v>
                </c:pt>
                <c:pt idx="391">
                  <c:v>18.989999999999998</c:v>
                </c:pt>
                <c:pt idx="392">
                  <c:v>21.99</c:v>
                </c:pt>
              </c:numCache>
            </c:numRef>
          </c:val>
          <c:smooth val="0"/>
          <c:extLst>
            <c:ext xmlns:c16="http://schemas.microsoft.com/office/drawing/2014/chart" uri="{C3380CC4-5D6E-409C-BE32-E72D297353CC}">
              <c16:uniqueId val="{00000001-91DE-4157-A919-F3D928F7FBC8}"/>
            </c:ext>
          </c:extLst>
        </c:ser>
        <c:dLbls>
          <c:showLegendKey val="0"/>
          <c:showVal val="0"/>
          <c:showCatName val="0"/>
          <c:showSerName val="0"/>
          <c:showPercent val="0"/>
          <c:showBubbleSize val="0"/>
        </c:dLbls>
        <c:marker val="1"/>
        <c:smooth val="0"/>
        <c:axId val="1114583600"/>
        <c:axId val="1114582640"/>
      </c:lineChart>
      <c:catAx>
        <c:axId val="111458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82640"/>
        <c:crosses val="autoZero"/>
        <c:auto val="1"/>
        <c:lblAlgn val="ctr"/>
        <c:lblOffset val="100"/>
        <c:noMultiLvlLbl val="0"/>
      </c:catAx>
      <c:valAx>
        <c:axId val="1114582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8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746760</xdr:colOff>
      <xdr:row>391</xdr:row>
      <xdr:rowOff>175260</xdr:rowOff>
    </xdr:from>
    <xdr:to>
      <xdr:col>8</xdr:col>
      <xdr:colOff>220980</xdr:colOff>
      <xdr:row>405</xdr:row>
      <xdr:rowOff>81915</xdr:rowOff>
    </xdr:to>
    <mc:AlternateContent xmlns:mc="http://schemas.openxmlformats.org/markup-compatibility/2006">
      <mc:Choice xmlns:a14="http://schemas.microsoft.com/office/drawing/2010/main" Requires="a14">
        <xdr:graphicFrame macro="">
          <xdr:nvGraphicFramePr>
            <xdr:cNvPr id="38" name="total_price">
              <a:extLst>
                <a:ext uri="{FF2B5EF4-FFF2-40B4-BE49-F238E27FC236}">
                  <a16:creationId xmlns:a16="http://schemas.microsoft.com/office/drawing/2014/main" id="{61A95F94-4E10-369E-BBD8-90C7F2061485}"/>
                </a:ext>
              </a:extLst>
            </xdr:cNvPr>
            <xdr:cNvGraphicFramePr/>
          </xdr:nvGraphicFramePr>
          <xdr:xfrm>
            <a:off x="0" y="0"/>
            <a:ext cx="0" cy="0"/>
          </xdr:xfrm>
          <a:graphic>
            <a:graphicData uri="http://schemas.microsoft.com/office/drawing/2010/slicer">
              <sle:slicer xmlns:sle="http://schemas.microsoft.com/office/drawing/2010/slicer" name="total_price"/>
            </a:graphicData>
          </a:graphic>
        </xdr:graphicFrame>
      </mc:Choice>
      <mc:Fallback>
        <xdr:sp macro="" textlink="">
          <xdr:nvSpPr>
            <xdr:cNvPr id="0" name=""/>
            <xdr:cNvSpPr>
              <a:spLocks noTextEdit="1"/>
            </xdr:cNvSpPr>
          </xdr:nvSpPr>
          <xdr:spPr>
            <a:xfrm>
              <a:off x="5212080" y="71681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394</xdr:row>
      <xdr:rowOff>106680</xdr:rowOff>
    </xdr:from>
    <xdr:to>
      <xdr:col>9</xdr:col>
      <xdr:colOff>91440</xdr:colOff>
      <xdr:row>408</xdr:row>
      <xdr:rowOff>13335</xdr:rowOff>
    </xdr:to>
    <mc:AlternateContent xmlns:mc="http://schemas.openxmlformats.org/markup-compatibility/2006">
      <mc:Choice xmlns:a14="http://schemas.microsoft.com/office/drawing/2010/main" Requires="a14">
        <xdr:graphicFrame macro="">
          <xdr:nvGraphicFramePr>
            <xdr:cNvPr id="39" name="order_date">
              <a:extLst>
                <a:ext uri="{FF2B5EF4-FFF2-40B4-BE49-F238E27FC236}">
                  <a16:creationId xmlns:a16="http://schemas.microsoft.com/office/drawing/2014/main" id="{D3CDAEEC-74F2-1463-77FE-5E3AA2F6E1DF}"/>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5692140" y="72161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571500</xdr:colOff>
      <xdr:row>397</xdr:row>
      <xdr:rowOff>38100</xdr:rowOff>
    </xdr:from>
    <xdr:to>
      <xdr:col>9</xdr:col>
      <xdr:colOff>571500</xdr:colOff>
      <xdr:row>410</xdr:row>
      <xdr:rowOff>127635</xdr:rowOff>
    </xdr:to>
    <mc:AlternateContent xmlns:mc="http://schemas.openxmlformats.org/markup-compatibility/2006">
      <mc:Choice xmlns:a14="http://schemas.microsoft.com/office/drawing/2010/main" Requires="a14">
        <xdr:graphicFrame macro="">
          <xdr:nvGraphicFramePr>
            <xdr:cNvPr id="40" name="sale_price">
              <a:extLst>
                <a:ext uri="{FF2B5EF4-FFF2-40B4-BE49-F238E27FC236}">
                  <a16:creationId xmlns:a16="http://schemas.microsoft.com/office/drawing/2014/main" id="{7843A94B-BA81-EBA9-DE20-18A732815042}"/>
                </a:ext>
              </a:extLst>
            </xdr:cNvPr>
            <xdr:cNvGraphicFramePr/>
          </xdr:nvGraphicFramePr>
          <xdr:xfrm>
            <a:off x="0" y="0"/>
            <a:ext cx="0" cy="0"/>
          </xdr:xfrm>
          <a:graphic>
            <a:graphicData uri="http://schemas.microsoft.com/office/drawing/2010/slicer">
              <sle:slicer xmlns:sle="http://schemas.microsoft.com/office/drawing/2010/slicer" name="sale_price"/>
            </a:graphicData>
          </a:graphic>
        </xdr:graphicFrame>
      </mc:Choice>
      <mc:Fallback>
        <xdr:sp macro="" textlink="">
          <xdr:nvSpPr>
            <xdr:cNvPr id="0" name=""/>
            <xdr:cNvSpPr>
              <a:spLocks noTextEdit="1"/>
            </xdr:cNvSpPr>
          </xdr:nvSpPr>
          <xdr:spPr>
            <a:xfrm>
              <a:off x="6172200" y="72641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350520</xdr:colOff>
      <xdr:row>42</xdr:row>
      <xdr:rowOff>106680</xdr:rowOff>
    </xdr:to>
    <xdr:sp macro="" textlink="">
      <xdr:nvSpPr>
        <xdr:cNvPr id="2" name="Rectangle 1">
          <a:extLst>
            <a:ext uri="{FF2B5EF4-FFF2-40B4-BE49-F238E27FC236}">
              <a16:creationId xmlns:a16="http://schemas.microsoft.com/office/drawing/2014/main" id="{F8AAC6A3-0AE5-8737-A0D7-D82B29E0E51F}"/>
            </a:ext>
          </a:extLst>
        </xdr:cNvPr>
        <xdr:cNvSpPr/>
      </xdr:nvSpPr>
      <xdr:spPr>
        <a:xfrm>
          <a:off x="0" y="0"/>
          <a:ext cx="16200120" cy="778764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0</xdr:row>
      <xdr:rowOff>53340</xdr:rowOff>
    </xdr:from>
    <xdr:to>
      <xdr:col>5</xdr:col>
      <xdr:colOff>381000</xdr:colOff>
      <xdr:row>42</xdr:row>
      <xdr:rowOff>121920</xdr:rowOff>
    </xdr:to>
    <xdr:sp macro="" textlink="">
      <xdr:nvSpPr>
        <xdr:cNvPr id="3" name="Rectangle: Rounded Corners 2">
          <a:extLst>
            <a:ext uri="{FF2B5EF4-FFF2-40B4-BE49-F238E27FC236}">
              <a16:creationId xmlns:a16="http://schemas.microsoft.com/office/drawing/2014/main" id="{FE0C42C9-4DDB-DB2F-E2A8-11E8DD01C5FA}"/>
            </a:ext>
          </a:extLst>
        </xdr:cNvPr>
        <xdr:cNvSpPr/>
      </xdr:nvSpPr>
      <xdr:spPr>
        <a:xfrm>
          <a:off x="15240" y="53340"/>
          <a:ext cx="3413760" cy="774954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434340</xdr:colOff>
      <xdr:row>0</xdr:row>
      <xdr:rowOff>137160</xdr:rowOff>
    </xdr:from>
    <xdr:to>
      <xdr:col>21</xdr:col>
      <xdr:colOff>441960</xdr:colOff>
      <xdr:row>6</xdr:row>
      <xdr:rowOff>45720</xdr:rowOff>
    </xdr:to>
    <xdr:sp macro="" textlink="">
      <xdr:nvSpPr>
        <xdr:cNvPr id="4" name="Rectangle 3">
          <a:extLst>
            <a:ext uri="{FF2B5EF4-FFF2-40B4-BE49-F238E27FC236}">
              <a16:creationId xmlns:a16="http://schemas.microsoft.com/office/drawing/2014/main" id="{EA916420-A081-4B18-C8DF-83DFD878298E}"/>
            </a:ext>
          </a:extLst>
        </xdr:cNvPr>
        <xdr:cNvSpPr/>
      </xdr:nvSpPr>
      <xdr:spPr>
        <a:xfrm>
          <a:off x="4091940" y="137160"/>
          <a:ext cx="9151620" cy="100584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accent2"/>
              </a:solidFill>
            </a:rPr>
            <a:t>ECOMMERCE</a:t>
          </a:r>
          <a:r>
            <a:rPr lang="en-US" sz="2800" baseline="0">
              <a:solidFill>
                <a:schemeClr val="accent2"/>
              </a:solidFill>
            </a:rPr>
            <a:t> ANALYSIS </a:t>
          </a:r>
          <a:endParaRPr lang="en-US" sz="2800">
            <a:solidFill>
              <a:schemeClr val="accent2"/>
            </a:solidFill>
          </a:endParaRPr>
        </a:p>
      </xdr:txBody>
    </xdr:sp>
    <xdr:clientData/>
  </xdr:twoCellAnchor>
  <xdr:twoCellAnchor>
    <xdr:from>
      <xdr:col>17</xdr:col>
      <xdr:colOff>99060</xdr:colOff>
      <xdr:row>12</xdr:row>
      <xdr:rowOff>175260</xdr:rowOff>
    </xdr:from>
    <xdr:to>
      <xdr:col>24</xdr:col>
      <xdr:colOff>403860</xdr:colOff>
      <xdr:row>27</xdr:row>
      <xdr:rowOff>175260</xdr:rowOff>
    </xdr:to>
    <xdr:graphicFrame macro="">
      <xdr:nvGraphicFramePr>
        <xdr:cNvPr id="11" name="Chart 10">
          <a:extLst>
            <a:ext uri="{FF2B5EF4-FFF2-40B4-BE49-F238E27FC236}">
              <a16:creationId xmlns:a16="http://schemas.microsoft.com/office/drawing/2014/main" id="{F6DCEFD9-2C34-4255-BE92-A4144AFF2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xdr:colOff>
      <xdr:row>12</xdr:row>
      <xdr:rowOff>99060</xdr:rowOff>
    </xdr:from>
    <xdr:to>
      <xdr:col>14</xdr:col>
      <xdr:colOff>350520</xdr:colOff>
      <xdr:row>27</xdr:row>
      <xdr:rowOff>99060</xdr:rowOff>
    </xdr:to>
    <xdr:graphicFrame macro="">
      <xdr:nvGraphicFramePr>
        <xdr:cNvPr id="15" name="Chart 14">
          <a:extLst>
            <a:ext uri="{FF2B5EF4-FFF2-40B4-BE49-F238E27FC236}">
              <a16:creationId xmlns:a16="http://schemas.microsoft.com/office/drawing/2014/main" id="{4706AE54-8C82-4C76-8823-4F85EFABF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xdr:colOff>
      <xdr:row>0</xdr:row>
      <xdr:rowOff>53340</xdr:rowOff>
    </xdr:from>
    <xdr:to>
      <xdr:col>3</xdr:col>
      <xdr:colOff>15240</xdr:colOff>
      <xdr:row>13</xdr:row>
      <xdr:rowOff>142875</xdr:rowOff>
    </xdr:to>
    <mc:AlternateContent xmlns:mc="http://schemas.openxmlformats.org/markup-compatibility/2006">
      <mc:Choice xmlns:a14="http://schemas.microsoft.com/office/drawing/2010/main" Requires="a14">
        <xdr:graphicFrame macro="">
          <xdr:nvGraphicFramePr>
            <xdr:cNvPr id="20" name="status 1">
              <a:extLst>
                <a:ext uri="{FF2B5EF4-FFF2-40B4-BE49-F238E27FC236}">
                  <a16:creationId xmlns:a16="http://schemas.microsoft.com/office/drawing/2014/main" id="{1F76A6C1-95B7-4F4D-99D0-CD9959F0FB75}"/>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5240" y="53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38100</xdr:rowOff>
    </xdr:from>
    <xdr:to>
      <xdr:col>3</xdr:col>
      <xdr:colOff>0</xdr:colOff>
      <xdr:row>27</xdr:row>
      <xdr:rowOff>127635</xdr:rowOff>
    </xdr:to>
    <mc:AlternateContent xmlns:mc="http://schemas.openxmlformats.org/markup-compatibility/2006">
      <mc:Choice xmlns:a14="http://schemas.microsoft.com/office/drawing/2010/main" Requires="a14">
        <xdr:graphicFrame macro="">
          <xdr:nvGraphicFramePr>
            <xdr:cNvPr id="22" name="order_date 1">
              <a:extLst>
                <a:ext uri="{FF2B5EF4-FFF2-40B4-BE49-F238E27FC236}">
                  <a16:creationId xmlns:a16="http://schemas.microsoft.com/office/drawing/2014/main" id="{A3E0E452-F9A6-4906-831D-FB3E9520D729}"/>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dr:sp macro="" textlink="">
          <xdr:nvSpPr>
            <xdr:cNvPr id="0" name=""/>
            <xdr:cNvSpPr>
              <a:spLocks noTextEdit="1"/>
            </xdr:cNvSpPr>
          </xdr:nvSpPr>
          <xdr:spPr>
            <a:xfrm>
              <a:off x="0" y="2598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1.889012384258" createdVersion="8" refreshedVersion="8" minRefreshableVersion="3" recordCount="1313" xr:uid="{496E528F-CBB4-4634-9305-774BBF99666E}">
  <cacheSource type="worksheet">
    <worksheetSource name="orders_desnormalizado_prueba"/>
  </cacheSource>
  <cacheFields count="23">
    <cacheField name="order_id" numFmtId="0">
      <sharedItems count="1313">
        <s v="O00001"/>
        <s v="O00002"/>
        <s v="O00003"/>
        <s v="O00004"/>
        <s v="O00005"/>
        <s v="O00006"/>
        <s v="O00007"/>
        <s v="O00008"/>
        <s v="O00009"/>
        <s v="O00010"/>
        <s v="O00011"/>
        <s v="O00012"/>
        <s v="O00013"/>
        <s v="O00014"/>
        <s v="O00015"/>
        <s v="O00016"/>
        <s v="O00017"/>
        <s v="O00018"/>
        <s v="O00019"/>
        <s v="O00020"/>
        <s v="O00021"/>
        <s v="O00022"/>
        <s v="O00023"/>
        <s v="O00024"/>
        <s v="O00025"/>
        <s v="O00026"/>
        <s v="O00027"/>
        <s v="O00028"/>
        <s v="O00029"/>
        <s v="O00030"/>
        <s v="O00031"/>
        <s v="O00032"/>
        <s v="O00033"/>
        <s v="O00034"/>
        <s v="O00035"/>
        <s v="O00036"/>
        <s v="O00037"/>
        <s v="O00038"/>
        <s v="O00039"/>
        <s v="O00040"/>
        <s v="O00041"/>
        <s v="O00042"/>
        <s v="O00043"/>
        <s v="O00044"/>
        <s v="O00045"/>
        <s v="O00046"/>
        <s v="O00047"/>
        <s v="O00048"/>
        <s v="O00049"/>
        <s v="O00050"/>
        <s v="O00051"/>
        <s v="O00052"/>
        <s v="O00053"/>
        <s v="O00054"/>
        <s v="O00055"/>
        <s v="O00056"/>
        <s v="O00057"/>
        <s v="O00058"/>
        <s v="O00059"/>
        <s v="O00060"/>
        <s v="O00061"/>
        <s v="O00062"/>
        <s v="O00063"/>
        <s v="O00064"/>
        <s v="O00065"/>
        <s v="O00066"/>
        <s v="O00067"/>
        <s v="O00068"/>
        <s v="O00069"/>
        <s v="O00070"/>
        <s v="O00071"/>
        <s v="O00072"/>
        <s v="O00073"/>
        <s v="O00074"/>
        <s v="O00075"/>
        <s v="O00076"/>
        <s v="O00077"/>
        <s v="O00078"/>
        <s v="O00079"/>
        <s v="O00080"/>
        <s v="O00081"/>
        <s v="O00082"/>
        <s v="O00083"/>
        <s v="O00084"/>
        <s v="O00085"/>
        <s v="O00086"/>
        <s v="O00087"/>
        <s v="O00088"/>
        <s v="O00089"/>
        <s v="O00090"/>
        <s v="O00091"/>
        <s v="O00092"/>
        <s v="O00093"/>
        <s v="O00094"/>
        <s v="O00095"/>
        <s v="O00096"/>
        <s v="O00097"/>
        <s v="O00098"/>
        <s v="O00099"/>
        <s v="O00100"/>
        <s v="O00101"/>
        <s v="O00102"/>
        <s v="O00103"/>
        <s v="O00104"/>
        <s v="O00105"/>
        <s v="O00106"/>
        <s v="O00107"/>
        <s v="O00108"/>
        <s v="O00109"/>
        <s v="O00110"/>
        <s v="O00111"/>
        <s v="O00112"/>
        <s v="O00113"/>
        <s v="O00114"/>
        <s v="O00115"/>
        <s v="O00116"/>
        <s v="O00117"/>
        <s v="O00118"/>
        <s v="O00119"/>
        <s v="O00120"/>
        <s v="O00121"/>
        <s v="O00122"/>
        <s v="O00123"/>
        <s v="O00124"/>
        <s v="O00125"/>
        <s v="O00126"/>
        <s v="O00127"/>
        <s v="O00128"/>
        <s v="O00129"/>
        <s v="O00130"/>
        <s v="O00131"/>
        <s v="O00132"/>
        <s v="O00133"/>
        <s v="O00134"/>
        <s v="O00135"/>
        <s v="O00136"/>
        <s v="O00137"/>
        <s v="O00138"/>
        <s v="O00139"/>
        <s v="O00140"/>
        <s v="O00141"/>
        <s v="O00142"/>
        <s v="O00143"/>
        <s v="O00144"/>
        <s v="O00145"/>
        <s v="O00146"/>
        <s v="O00147"/>
        <s v="O00148"/>
        <s v="O00149"/>
        <s v="O00150"/>
        <s v="O00151"/>
        <s v="O00152"/>
        <s v="O00153"/>
        <s v="O00154"/>
        <s v="O00155"/>
        <s v="O00156"/>
        <s v="O00157"/>
        <s v="O00158"/>
        <s v="O00159"/>
        <s v="O00160"/>
        <s v="O00161"/>
        <s v="O00162"/>
        <s v="O00163"/>
        <s v="O00164"/>
        <s v="O00165"/>
        <s v="O00166"/>
        <s v="O00167"/>
        <s v="O00168"/>
        <s v="O00169"/>
        <s v="O00170"/>
        <s v="O00171"/>
        <s v="O00172"/>
        <s v="O00173"/>
        <s v="O00174"/>
        <s v="O00175"/>
        <s v="O00176"/>
        <s v="O00177"/>
        <s v="O00178"/>
        <s v="O00179"/>
        <s v="O00180"/>
        <s v="O00181"/>
        <s v="O00182"/>
        <s v="O00183"/>
        <s v="O00184"/>
        <s v="O00185"/>
        <s v="O00186"/>
        <s v="O00187"/>
        <s v="O00188"/>
        <s v="O00189"/>
        <s v="O00190"/>
        <s v="O00191"/>
        <s v="O00192"/>
        <s v="O00193"/>
        <s v="O00194"/>
        <s v="O00195"/>
        <s v="O00196"/>
        <s v="O00197"/>
        <s v="O00198"/>
        <s v="O00199"/>
        <s v="O00200"/>
        <s v="O00201"/>
        <s v="O00202"/>
        <s v="O00203"/>
        <s v="O00204"/>
        <s v="O00205"/>
        <s v="O00206"/>
        <s v="O00207"/>
        <s v="O00208"/>
        <s v="O00209"/>
        <s v="O00210"/>
        <s v="O00211"/>
        <s v="O00212"/>
        <s v="O00213"/>
        <s v="O00214"/>
        <s v="O00215"/>
        <s v="O00216"/>
        <s v="O00217"/>
        <s v="O00218"/>
        <s v="O00219"/>
        <s v="O00220"/>
        <s v="O00221"/>
        <s v="O00222"/>
        <s v="O00223"/>
        <s v="O00224"/>
        <s v="O00225"/>
        <s v="O00226"/>
        <s v="O00227"/>
        <s v="O00228"/>
        <s v="O00229"/>
        <s v="O00230"/>
        <s v="O00231"/>
        <s v="O00232"/>
        <s v="O00233"/>
        <s v="O00234"/>
        <s v="O00235"/>
        <s v="O00236"/>
        <s v="O00237"/>
        <s v="O00238"/>
        <s v="O00239"/>
        <s v="O00240"/>
        <s v="O00241"/>
        <s v="O00242"/>
        <s v="O00243"/>
        <s v="O00244"/>
        <s v="O00245"/>
        <s v="O00246"/>
        <s v="O00247"/>
        <s v="O00248"/>
        <s v="O00249"/>
        <s v="O00250"/>
        <s v="O00251"/>
        <s v="O00252"/>
        <s v="O00253"/>
        <s v="O00254"/>
        <s v="O00255"/>
        <s v="O00256"/>
        <s v="O00257"/>
        <s v="O00258"/>
        <s v="O00259"/>
        <s v="O00260"/>
        <s v="O00261"/>
        <s v="O00262"/>
        <s v="O00263"/>
        <s v="O00264"/>
        <s v="O00265"/>
        <s v="O00266"/>
        <s v="O00267"/>
        <s v="O00268"/>
        <s v="O00269"/>
        <s v="O00270"/>
        <s v="O00271"/>
        <s v="O00272"/>
        <s v="O00273"/>
        <s v="O00274"/>
        <s v="O00275"/>
        <s v="O00276"/>
        <s v="O00277"/>
        <s v="O00278"/>
        <s v="O00279"/>
        <s v="O00280"/>
        <s v="O00281"/>
        <s v="O00282"/>
        <s v="O00283"/>
        <s v="O00284"/>
        <s v="O00285"/>
        <s v="O00286"/>
        <s v="O00287"/>
        <s v="O00288"/>
        <s v="O00289"/>
        <s v="O00290"/>
        <s v="O00291"/>
        <s v="O00292"/>
        <s v="O00293"/>
        <s v="O00294"/>
        <s v="O00295"/>
        <s v="O00296"/>
        <s v="O00297"/>
        <s v="O00298"/>
        <s v="O00299"/>
        <s v="O00300"/>
        <s v="O00301"/>
        <s v="O00302"/>
        <s v="O00303"/>
        <s v="O00304"/>
        <s v="O00305"/>
        <s v="O00306"/>
        <s v="O00307"/>
        <s v="O00308"/>
        <s v="O00309"/>
        <s v="O00310"/>
        <s v="O00311"/>
        <s v="O00312"/>
        <s v="O00313"/>
        <s v="O00314"/>
        <s v="O00315"/>
        <s v="O00316"/>
        <s v="O00317"/>
        <s v="O00318"/>
        <s v="O00319"/>
        <s v="O00320"/>
        <s v="O00321"/>
        <s v="O00322"/>
        <s v="O00323"/>
        <s v="O00324"/>
        <s v="O00325"/>
        <s v="O00326"/>
        <s v="O00327"/>
        <s v="O00328"/>
        <s v="O00329"/>
        <s v="O00330"/>
        <s v="O00331"/>
        <s v="O00332"/>
        <s v="O00333"/>
        <s v="O00334"/>
        <s v="O00335"/>
        <s v="O00336"/>
        <s v="O00337"/>
        <s v="O00338"/>
        <s v="O00339"/>
        <s v="O00340"/>
        <s v="O00341"/>
        <s v="O00342"/>
        <s v="O00343"/>
        <s v="O00344"/>
        <s v="O00345"/>
        <s v="O00346"/>
        <s v="O00347"/>
        <s v="O00348"/>
        <s v="O00349"/>
        <s v="O00350"/>
        <s v="O00351"/>
        <s v="O00352"/>
        <s v="O00353"/>
        <s v="O00354"/>
        <s v="O00355"/>
        <s v="O00356"/>
        <s v="O00357"/>
        <s v="O00358"/>
        <s v="O00359"/>
        <s v="O00360"/>
        <s v="O00361"/>
        <s v="O00362"/>
        <s v="O00363"/>
        <s v="O00364"/>
        <s v="O00365"/>
        <s v="O00366"/>
        <s v="O00367"/>
        <s v="O00368"/>
        <s v="O00369"/>
        <s v="O00370"/>
        <s v="O00371"/>
        <s v="O00372"/>
        <s v="O00373"/>
        <s v="O00374"/>
        <s v="O00375"/>
        <s v="O00376"/>
        <s v="O00377"/>
        <s v="O00378"/>
        <s v="O00379"/>
        <s v="O00380"/>
        <s v="O00381"/>
        <s v="O00382"/>
        <s v="O00383"/>
        <s v="O00384"/>
        <s v="O00385"/>
        <s v="O00386"/>
        <s v="O00387"/>
        <s v="O00388"/>
        <s v="O00389"/>
        <s v="O00390"/>
        <s v="O00391"/>
        <s v="O00392"/>
        <s v="O00393"/>
        <s v="O00394"/>
        <s v="O00395"/>
        <s v="O00396"/>
        <s v="O00397"/>
        <s v="O00398"/>
        <s v="O00399"/>
        <s v="O00400"/>
        <s v="O00401"/>
        <s v="O00402"/>
        <s v="O00403"/>
        <s v="O00404"/>
        <s v="O00405"/>
        <s v="O00406"/>
        <s v="O00407"/>
        <s v="O00408"/>
        <s v="O00409"/>
        <s v="O00410"/>
        <s v="O00411"/>
        <s v="O00412"/>
        <s v="O00413"/>
        <s v="O00414"/>
        <s v="O00415"/>
        <s v="O00416"/>
        <s v="O00417"/>
        <s v="O00418"/>
        <s v="O00419"/>
        <s v="O00420"/>
        <s v="O00421"/>
        <s v="O00422"/>
        <s v="O00423"/>
        <s v="O00424"/>
        <s v="O00425"/>
        <s v="O00426"/>
        <s v="O00427"/>
        <s v="O00428"/>
        <s v="O00429"/>
        <s v="O00430"/>
        <s v="O00431"/>
        <s v="O00432"/>
        <s v="O00433"/>
        <s v="O00434"/>
        <s v="O00435"/>
        <s v="O00436"/>
        <s v="O00437"/>
        <s v="O00438"/>
        <s v="O00439"/>
        <s v="O00440"/>
        <s v="O00441"/>
        <s v="O00442"/>
        <s v="O00443"/>
        <s v="O00444"/>
        <s v="O00445"/>
        <s v="O00446"/>
        <s v="O00447"/>
        <s v="O00448"/>
        <s v="O00449"/>
        <s v="O00450"/>
        <s v="O00451"/>
        <s v="O00452"/>
        <s v="O00453"/>
        <s v="O00454"/>
        <s v="O00455"/>
        <s v="O00456"/>
        <s v="O00457"/>
        <s v="O00458"/>
        <s v="O00459"/>
        <s v="O00460"/>
        <s v="O00461"/>
        <s v="O00462"/>
        <s v="O00463"/>
        <s v="O00464"/>
        <s v="O00465"/>
        <s v="O00466"/>
        <s v="O00467"/>
        <s v="O00468"/>
        <s v="O00469"/>
        <s v="O00470"/>
        <s v="O00471"/>
        <s v="O00472"/>
        <s v="O00473"/>
        <s v="O00474"/>
        <s v="O00475"/>
        <s v="O00476"/>
        <s v="O00477"/>
        <s v="O00478"/>
        <s v="O00479"/>
        <s v="O00480"/>
        <s v="O00481"/>
        <s v="O00482"/>
        <s v="O00483"/>
        <s v="O00484"/>
        <s v="O00485"/>
        <s v="O00486"/>
        <s v="O00487"/>
        <s v="O00488"/>
        <s v="O00489"/>
        <s v="O00490"/>
        <s v="O00491"/>
        <s v="O00492"/>
        <s v="O00493"/>
        <s v="O00494"/>
        <s v="O00495"/>
        <s v="O00496"/>
        <s v="O00497"/>
        <s v="O00498"/>
        <s v="O00499"/>
        <s v="O00500"/>
        <s v="O00501"/>
        <s v="O00502"/>
        <s v="O00503"/>
        <s v="O00504"/>
        <s v="O00505"/>
        <s v="O00506"/>
        <s v="O00507"/>
        <s v="O00508"/>
        <s v="O00509"/>
        <s v="O00510"/>
        <s v="O00511"/>
        <s v="O00512"/>
        <s v="O00513"/>
        <s v="O00514"/>
        <s v="O00515"/>
        <s v="O00516"/>
        <s v="O00517"/>
        <s v="O00518"/>
        <s v="O00519"/>
        <s v="O00520"/>
        <s v="O00521"/>
        <s v="O00522"/>
        <s v="O00523"/>
        <s v="O00524"/>
        <s v="O00525"/>
        <s v="O00526"/>
        <s v="O00527"/>
        <s v="O00528"/>
        <s v="O00529"/>
        <s v="O00530"/>
        <s v="O00531"/>
        <s v="O00532"/>
        <s v="O00533"/>
        <s v="O00534"/>
        <s v="O00535"/>
        <s v="O00536"/>
        <s v="O00537"/>
        <s v="O00538"/>
        <s v="O00539"/>
        <s v="O00540"/>
        <s v="O00541"/>
        <s v="O00542"/>
        <s v="O00543"/>
        <s v="O00544"/>
        <s v="O00545"/>
        <s v="O00546"/>
        <s v="O00547"/>
        <s v="O00548"/>
        <s v="O00549"/>
        <s v="O00550"/>
        <s v="O00551"/>
        <s v="O00552"/>
        <s v="O00553"/>
        <s v="O00554"/>
        <s v="O00555"/>
        <s v="O00556"/>
        <s v="O00557"/>
        <s v="O00558"/>
        <s v="O00559"/>
        <s v="O00560"/>
        <s v="O00561"/>
        <s v="O00562"/>
        <s v="O00563"/>
        <s v="O00564"/>
        <s v="O00565"/>
        <s v="O00566"/>
        <s v="O00567"/>
        <s v="O00568"/>
        <s v="O00569"/>
        <s v="O00570"/>
        <s v="O00571"/>
        <s v="O00572"/>
        <s v="O00573"/>
        <s v="O00574"/>
        <s v="O00575"/>
        <s v="O00576"/>
        <s v="O00577"/>
        <s v="O00578"/>
        <s v="O00579"/>
        <s v="O00580"/>
        <s v="O00581"/>
        <s v="O00582"/>
        <s v="O00583"/>
        <s v="O00584"/>
        <s v="O00585"/>
        <s v="O00586"/>
        <s v="O00587"/>
        <s v="O00588"/>
        <s v="O00589"/>
        <s v="O00590"/>
        <s v="O00591"/>
        <s v="O00592"/>
        <s v="O00593"/>
        <s v="O00594"/>
        <s v="O00595"/>
        <s v="O00596"/>
        <s v="O00597"/>
        <s v="O00598"/>
        <s v="O00599"/>
        <s v="O00600"/>
        <s v="O00601"/>
        <s v="O00602"/>
        <s v="O00603"/>
        <s v="O00604"/>
        <s v="O00605"/>
        <s v="O00606"/>
        <s v="O00607"/>
        <s v="O00608"/>
        <s v="O00609"/>
        <s v="O00610"/>
        <s v="O00611"/>
        <s v="O00612"/>
        <s v="O00613"/>
        <s v="O00614"/>
        <s v="O00615"/>
        <s v="O00616"/>
        <s v="O00617"/>
        <s v="O00618"/>
        <s v="O00619"/>
        <s v="O00620"/>
        <s v="O00621"/>
        <s v="O00622"/>
        <s v="O00623"/>
        <s v="O00624"/>
        <s v="O00625"/>
        <s v="O00626"/>
        <s v="O00627"/>
        <s v="O00628"/>
        <s v="O00629"/>
        <s v="O00630"/>
        <s v="O00631"/>
        <s v="O00632"/>
        <s v="O00633"/>
        <s v="O00634"/>
        <s v="O00635"/>
        <s v="O00636"/>
        <s v="O00637"/>
        <s v="O00638"/>
        <s v="O00639"/>
        <s v="O00640"/>
        <s v="O00641"/>
        <s v="O00642"/>
        <s v="O00643"/>
        <s v="O00644"/>
        <s v="O00645"/>
        <s v="O00646"/>
        <s v="O00647"/>
        <s v="O00648"/>
        <s v="O00649"/>
        <s v="O00650"/>
        <s v="O00651"/>
        <s v="O00652"/>
        <s v="O00653"/>
        <s v="O00654"/>
        <s v="O00655"/>
        <s v="O00656"/>
        <s v="O00657"/>
        <s v="O00658"/>
        <s v="O00659"/>
        <s v="O00660"/>
        <s v="O00661"/>
        <s v="O00662"/>
        <s v="O00663"/>
        <s v="O00664"/>
        <s v="O00665"/>
        <s v="O00666"/>
        <s v="O00667"/>
        <s v="O00668"/>
        <s v="O00669"/>
        <s v="O00670"/>
        <s v="O00671"/>
        <s v="O00672"/>
        <s v="O00673"/>
        <s v="O00674"/>
        <s v="O00675"/>
        <s v="O00676"/>
        <s v="O00677"/>
        <s v="O00678"/>
        <s v="O00679"/>
        <s v="O00680"/>
        <s v="O00681"/>
        <s v="O00682"/>
        <s v="O00683"/>
        <s v="O00684"/>
        <s v="O00685"/>
        <s v="O00686"/>
        <s v="O00687"/>
        <s v="O00688"/>
        <s v="O00689"/>
        <s v="O00690"/>
        <s v="O00691"/>
        <s v="O00692"/>
        <s v="O00693"/>
        <s v="O00694"/>
        <s v="O00695"/>
        <s v="O00696"/>
        <s v="O00697"/>
        <s v="O00698"/>
        <s v="O00699"/>
        <s v="O00700"/>
        <s v="O00701"/>
        <s v="O00702"/>
        <s v="O00703"/>
        <s v="O00704"/>
        <s v="O00705"/>
        <s v="O00706"/>
        <s v="O00707"/>
        <s v="O00708"/>
        <s v="O00709"/>
        <s v="O00710"/>
        <s v="O00711"/>
        <s v="O00712"/>
        <s v="O00713"/>
        <s v="O00714"/>
        <s v="O00715"/>
        <s v="O00716"/>
        <s v="O00717"/>
        <s v="O00718"/>
        <s v="O00719"/>
        <s v="O00720"/>
        <s v="O00721"/>
        <s v="O00722"/>
        <s v="O00723"/>
        <s v="O00724"/>
        <s v="O00725"/>
        <s v="O00726"/>
        <s v="O00727"/>
        <s v="O00728"/>
        <s v="O00729"/>
        <s v="O00730"/>
        <s v="O00731"/>
        <s v="O00732"/>
        <s v="O00733"/>
        <s v="O00734"/>
        <s v="O00735"/>
        <s v="O00736"/>
        <s v="O00737"/>
        <s v="O00738"/>
        <s v="O00739"/>
        <s v="O00740"/>
        <s v="O00741"/>
        <s v="O00742"/>
        <s v="O00743"/>
        <s v="O00744"/>
        <s v="O00745"/>
        <s v="O00746"/>
        <s v="O00747"/>
        <s v="O00748"/>
        <s v="O00749"/>
        <s v="O00750"/>
        <s v="O00751"/>
        <s v="O00752"/>
        <s v="O00753"/>
        <s v="O00754"/>
        <s v="O00755"/>
        <s v="O00756"/>
        <s v="O00757"/>
        <s v="O00758"/>
        <s v="O00759"/>
        <s v="O00760"/>
        <s v="O00761"/>
        <s v="O00762"/>
        <s v="O00763"/>
        <s v="O00764"/>
        <s v="O00765"/>
        <s v="O00766"/>
        <s v="O00767"/>
        <s v="O00768"/>
        <s v="O00769"/>
        <s v="O00770"/>
        <s v="O00771"/>
        <s v="O00772"/>
        <s v="O00773"/>
        <s v="O00774"/>
        <s v="O00775"/>
        <s v="O00776"/>
        <s v="O00777"/>
        <s v="O00778"/>
        <s v="O00779"/>
        <s v="O00780"/>
        <s v="O00781"/>
        <s v="O00782"/>
        <s v="O00783"/>
        <s v="O00784"/>
        <s v="O00785"/>
        <s v="O00786"/>
        <s v="O00787"/>
        <s v="O00788"/>
        <s v="O00789"/>
        <s v="O00790"/>
        <s v="O00791"/>
        <s v="O00792"/>
        <s v="O00793"/>
        <s v="O00794"/>
        <s v="O00795"/>
        <s v="O00796"/>
        <s v="O00797"/>
        <s v="O00798"/>
        <s v="O00799"/>
        <s v="O00800"/>
        <s v="O00801"/>
        <s v="O00802"/>
        <s v="O00803"/>
        <s v="O00804"/>
        <s v="O00805"/>
        <s v="O00806"/>
        <s v="O00807"/>
        <s v="O00808"/>
        <s v="O00809"/>
        <s v="O00810"/>
        <s v="O00811"/>
        <s v="O00812"/>
        <s v="O00813"/>
        <s v="O00814"/>
        <s v="O00815"/>
        <s v="O00816"/>
        <s v="O00817"/>
        <s v="O00818"/>
        <s v="O00819"/>
        <s v="O00820"/>
        <s v="O00821"/>
        <s v="O00822"/>
        <s v="O00823"/>
        <s v="O00824"/>
        <s v="O00825"/>
        <s v="O00826"/>
        <s v="O00827"/>
        <s v="O00828"/>
        <s v="O00829"/>
        <s v="O00830"/>
        <s v="O00831"/>
        <s v="O00832"/>
        <s v="O00833"/>
        <s v="O00834"/>
        <s v="O00835"/>
        <s v="O00836"/>
        <s v="O00837"/>
        <s v="O00838"/>
        <s v="O00839"/>
        <s v="O00840"/>
        <s v="O00841"/>
        <s v="O00842"/>
        <s v="O00843"/>
        <s v="O00844"/>
        <s v="O00845"/>
        <s v="O00846"/>
        <s v="O00847"/>
        <s v="O00848"/>
        <s v="O00849"/>
        <s v="O00850"/>
        <s v="O00851"/>
        <s v="O00852"/>
        <s v="O00853"/>
        <s v="O00854"/>
        <s v="O00855"/>
        <s v="O00856"/>
        <s v="O00857"/>
        <s v="O00858"/>
        <s v="O00859"/>
        <s v="O00860"/>
        <s v="O00861"/>
        <s v="O00862"/>
        <s v="O00863"/>
        <s v="O00864"/>
        <s v="O00865"/>
        <s v="O00866"/>
        <s v="O00867"/>
        <s v="O00868"/>
        <s v="O00869"/>
        <s v="O00870"/>
        <s v="O00871"/>
        <s v="O00872"/>
        <s v="O00873"/>
        <s v="O00874"/>
        <s v="O00875"/>
        <s v="O00876"/>
        <s v="O00877"/>
        <s v="O00878"/>
        <s v="O00879"/>
        <s v="O00880"/>
        <s v="O00881"/>
        <s v="O00882"/>
        <s v="O00883"/>
        <s v="O00884"/>
        <s v="O00885"/>
        <s v="O00886"/>
        <s v="O00887"/>
        <s v="O00888"/>
        <s v="O00889"/>
        <s v="O00890"/>
        <s v="O00891"/>
        <s v="O00892"/>
        <s v="O00893"/>
        <s v="O00894"/>
        <s v="O00895"/>
        <s v="O00896"/>
        <s v="O00897"/>
        <s v="O00898"/>
        <s v="O00899"/>
        <s v="O00900"/>
        <s v="O00901"/>
        <s v="O00902"/>
        <s v="O00903"/>
        <s v="O00904"/>
        <s v="O00905"/>
        <s v="O00906"/>
        <s v="O00907"/>
        <s v="O00908"/>
        <s v="O00909"/>
        <s v="O00910"/>
        <s v="O00911"/>
        <s v="O00912"/>
        <s v="O00913"/>
        <s v="O00914"/>
        <s v="O00915"/>
        <s v="O00916"/>
        <s v="O00917"/>
        <s v="O00918"/>
        <s v="O00919"/>
        <s v="O00920"/>
        <s v="O00921"/>
        <s v="O00922"/>
        <s v="O00923"/>
        <s v="O00924"/>
        <s v="O00925"/>
        <s v="O00926"/>
        <s v="O00927"/>
        <s v="O00928"/>
        <s v="O00929"/>
        <s v="O00930"/>
        <s v="O00931"/>
        <s v="O00932"/>
        <s v="O00933"/>
        <s v="O00934"/>
        <s v="O00935"/>
        <s v="O00936"/>
        <s v="O00937"/>
        <s v="O00938"/>
        <s v="O00939"/>
        <s v="O00940"/>
        <s v="O00941"/>
        <s v="O00942"/>
        <s v="O00943"/>
        <s v="O00944"/>
        <s v="O00945"/>
        <s v="O00946"/>
        <s v="O00947"/>
        <s v="O00948"/>
        <s v="O00949"/>
        <s v="O00950"/>
        <s v="O00951"/>
        <s v="O00952"/>
        <s v="O00953"/>
        <s v="O00954"/>
        <s v="O00955"/>
        <s v="O00956"/>
        <s v="O00957"/>
        <s v="O00958"/>
        <s v="O00959"/>
        <s v="O00960"/>
        <s v="O00961"/>
        <s v="O00962"/>
        <s v="O00963"/>
        <s v="O00964"/>
        <s v="O00965"/>
        <s v="O00966"/>
        <s v="O00967"/>
        <s v="O00968"/>
        <s v="O00969"/>
        <s v="O00970"/>
        <s v="O00971"/>
        <s v="O00972"/>
        <s v="O00973"/>
        <s v="O00974"/>
        <s v="O00975"/>
        <s v="O00976"/>
        <s v="O00977"/>
        <s v="O00978"/>
        <s v="O00979"/>
        <s v="O00980"/>
        <s v="O00981"/>
        <s v="O00982"/>
        <s v="O00983"/>
        <s v="O00984"/>
        <s v="O00985"/>
        <s v="O00986"/>
        <s v="O00987"/>
        <s v="O00988"/>
        <s v="O00989"/>
        <s v="O00990"/>
        <s v="O00991"/>
        <s v="O00992"/>
        <s v="O00993"/>
        <s v="O00994"/>
        <s v="O00995"/>
        <s v="O00996"/>
        <s v="O00997"/>
        <s v="O00998"/>
        <s v="O00999"/>
        <s v="O01000"/>
        <s v="O01001"/>
        <s v="O01002"/>
        <s v="O01003"/>
        <s v="O01004"/>
        <s v="O01005"/>
        <s v="O01006"/>
        <s v="O01007"/>
        <s v="O01008"/>
        <s v="O01009"/>
        <s v="O01010"/>
        <s v="O01011"/>
        <s v="O01012"/>
        <s v="O01013"/>
        <s v="O01014"/>
        <s v="O01015"/>
        <s v="O01016"/>
        <s v="O01017"/>
        <s v="O01018"/>
        <s v="O01019"/>
        <s v="O01020"/>
        <s v="O01021"/>
        <s v="O01022"/>
        <s v="O01023"/>
        <s v="O01024"/>
        <s v="O01025"/>
        <s v="O01026"/>
        <s v="O01027"/>
        <s v="O01028"/>
        <s v="O01029"/>
        <s v="O01030"/>
        <s v="O01031"/>
        <s v="O01032"/>
        <s v="O01033"/>
        <s v="O01034"/>
        <s v="O01035"/>
        <s v="O01036"/>
        <s v="O01037"/>
        <s v="O01038"/>
        <s v="O01039"/>
        <s v="O01040"/>
        <s v="O01041"/>
        <s v="O01042"/>
        <s v="O01043"/>
        <s v="O01044"/>
        <s v="O01045"/>
        <s v="O01046"/>
        <s v="O01047"/>
        <s v="O01048"/>
        <s v="O01049"/>
        <s v="O01050"/>
        <s v="O01051"/>
        <s v="O01052"/>
        <s v="O01053"/>
        <s v="O01054"/>
        <s v="O01055"/>
        <s v="O01056"/>
        <s v="O01057"/>
        <s v="O01058"/>
        <s v="O01059"/>
        <s v="O01060"/>
        <s v="O01061"/>
        <s v="O01062"/>
        <s v="O01063"/>
        <s v="O01064"/>
        <s v="O01065"/>
        <s v="O01066"/>
        <s v="O01067"/>
        <s v="O01068"/>
        <s v="O01069"/>
        <s v="O01070"/>
        <s v="O01071"/>
        <s v="O01072"/>
        <s v="O01073"/>
        <s v="O01074"/>
        <s v="O01075"/>
        <s v="O01076"/>
        <s v="O01077"/>
        <s v="O01078"/>
        <s v="O01079"/>
        <s v="O01080"/>
        <s v="O01081"/>
        <s v="O01082"/>
        <s v="O01083"/>
        <s v="O01084"/>
        <s v="O01085"/>
        <s v="O01086"/>
        <s v="O01087"/>
        <s v="O01088"/>
        <s v="O01089"/>
        <s v="O01090"/>
        <s v="O01091"/>
        <s v="O01092"/>
        <s v="O01093"/>
        <s v="O01094"/>
        <s v="O01095"/>
        <s v="O01096"/>
        <s v="O01097"/>
        <s v="O01098"/>
        <s v="O01099"/>
        <s v="O01100"/>
        <s v="O01101"/>
        <s v="O01102"/>
        <s v="O01103"/>
        <s v="O01104"/>
        <s v="O01105"/>
        <s v="O01106"/>
        <s v="O01107"/>
        <s v="O01108"/>
        <s v="O01109"/>
        <s v="O01110"/>
        <s v="O01111"/>
        <s v="O01112"/>
        <s v="O01113"/>
        <s v="O01114"/>
        <s v="O01115"/>
        <s v="O01116"/>
        <s v="O01117"/>
        <s v="O01118"/>
        <s v="O01119"/>
        <s v="O01120"/>
        <s v="O01121"/>
        <s v="O01122"/>
        <s v="O01123"/>
        <s v="O01124"/>
        <s v="O01125"/>
        <s v="O01126"/>
        <s v="O01127"/>
        <s v="O01128"/>
        <s v="O01129"/>
        <s v="O01130"/>
        <s v="O01131"/>
        <s v="O01132"/>
        <s v="O01133"/>
        <s v="O01134"/>
        <s v="O01135"/>
        <s v="O01136"/>
        <s v="O01137"/>
        <s v="O01138"/>
        <s v="O01139"/>
        <s v="O01140"/>
        <s v="O01141"/>
        <s v="O01142"/>
        <s v="O01143"/>
        <s v="O01144"/>
        <s v="O01145"/>
        <s v="O01146"/>
        <s v="O01147"/>
        <s v="O01148"/>
        <s v="O01149"/>
        <s v="O01150"/>
        <s v="O01151"/>
        <s v="O01152"/>
        <s v="O01153"/>
        <s v="O01154"/>
        <s v="O01155"/>
        <s v="O01156"/>
        <s v="O01157"/>
        <s v="O01158"/>
        <s v="O01159"/>
        <s v="O01160"/>
        <s v="O01161"/>
        <s v="O01162"/>
        <s v="O01163"/>
        <s v="O01164"/>
        <s v="O01165"/>
        <s v="O01166"/>
        <s v="O01167"/>
        <s v="O01168"/>
        <s v="O01169"/>
        <s v="O01170"/>
        <s v="O01171"/>
        <s v="O01172"/>
        <s v="O01173"/>
        <s v="O01174"/>
        <s v="O01175"/>
        <s v="O01176"/>
        <s v="O01177"/>
        <s v="O01178"/>
        <s v="O01179"/>
        <s v="O01180"/>
        <s v="O01181"/>
        <s v="O01182"/>
        <s v="O01183"/>
        <s v="O01184"/>
        <s v="O01185"/>
        <s v="O01186"/>
        <s v="O01187"/>
        <s v="O01188"/>
        <s v="O01189"/>
        <s v="O01190"/>
        <s v="O01191"/>
        <s v="O01192"/>
        <s v="O01193"/>
        <s v="O01194"/>
        <s v="O01195"/>
        <s v="O01196"/>
        <s v="O01197"/>
        <s v="O01198"/>
        <s v="O01199"/>
        <s v="O01200"/>
        <s v="O01201"/>
        <s v="O01202"/>
        <s v="O01203"/>
        <s v="O01204"/>
        <s v="O01205"/>
        <s v="O01206"/>
        <s v="O01207"/>
        <s v="O01208"/>
        <s v="O01209"/>
        <s v="O01210"/>
        <s v="O01211"/>
        <s v="O01212"/>
        <s v="O01213"/>
        <s v="O01214"/>
        <s v="O01215"/>
        <s v="O01216"/>
        <s v="O01217"/>
        <s v="O01218"/>
        <s v="O01219"/>
        <s v="O01220"/>
        <s v="O01221"/>
        <s v="O01222"/>
        <s v="O01223"/>
        <s v="O01224"/>
        <s v="O01225"/>
        <s v="O01226"/>
        <s v="O01227"/>
        <s v="O01228"/>
        <s v="O01229"/>
        <s v="O01230"/>
        <s v="O01231"/>
        <s v="O01232"/>
        <s v="O01233"/>
        <s v="O01234"/>
        <s v="O01235"/>
        <s v="O01236"/>
        <s v="O01237"/>
        <s v="O01238"/>
        <s v="O01239"/>
        <s v="O01240"/>
        <s v="O01241"/>
        <s v="O01242"/>
        <s v="O01243"/>
        <s v="O01244"/>
        <s v="O01245"/>
        <s v="O01246"/>
        <s v="O01247"/>
        <s v="O01248"/>
        <s v="O01249"/>
        <s v="O01250"/>
        <s v="O01251"/>
        <s v="O01252"/>
        <s v="O01253"/>
        <s v="O01254"/>
        <s v="O01255"/>
        <s v="O01256"/>
        <s v="O01257"/>
        <s v="O01258"/>
        <s v="O01259"/>
        <s v="O01260"/>
        <s v="O01261"/>
        <s v="O01262"/>
        <s v="O01263"/>
        <s v="O01264"/>
        <s v="O01265"/>
        <s v="O01266"/>
        <s v="O01267"/>
        <s v="O01268"/>
        <s v="O01269"/>
        <s v="O01270"/>
        <s v="O01271"/>
        <s v="O01272"/>
        <s v="O01273"/>
        <s v="O01274"/>
        <s v="O01275"/>
        <s v="O01276"/>
        <s v="O01277"/>
        <s v="O01278"/>
        <s v="O01279"/>
        <s v="O01280"/>
        <s v="O01281"/>
        <s v="O01282"/>
        <s v="O01283"/>
        <s v="O01284"/>
        <s v="O01285"/>
        <s v="O01286"/>
        <s v="O01287"/>
        <s v="O01288"/>
        <s v="O01289"/>
        <s v="O01290"/>
        <s v="O01291"/>
        <s v="O01292"/>
        <s v="O01293"/>
        <s v="O01294"/>
        <s v="O01295"/>
        <s v="O01296"/>
        <s v="O01297"/>
        <s v="O01298"/>
        <s v="O01299"/>
        <s v="O01300"/>
        <s v="O01301"/>
        <s v="O01302"/>
        <s v="O01303"/>
        <s v="O01304"/>
        <s v="O01305"/>
        <s v="O01306"/>
        <s v="O01307"/>
        <s v="O01308"/>
        <s v="O01309"/>
        <s v="O01310"/>
        <s v="O01311"/>
        <s v="O01312"/>
        <s v="O01313"/>
      </sharedItems>
    </cacheField>
    <cacheField name="quantity" numFmtId="0">
      <sharedItems containsSemiMixedTypes="0" containsString="0" containsNumber="1" containsInteger="1" minValue="1" maxValue="3" count="3">
        <n v="2"/>
        <n v="1"/>
        <n v="3"/>
      </sharedItems>
    </cacheField>
    <cacheField name="unit_price" numFmtId="0">
      <sharedItems containsSemiMixedTypes="0" containsString="0" containsNumber="1" minValue="16.989999999999998" maxValue="34.99" count="6">
        <n v="21.99"/>
        <n v="30.99"/>
        <n v="16.989999999999998"/>
        <n v="27.99"/>
        <n v="34.99"/>
        <n v="18.989999999999998"/>
      </sharedItems>
    </cacheField>
    <cacheField name="total_price" numFmtId="0">
      <sharedItems containsSemiMixedTypes="0" containsString="0" containsNumber="1" minValue="16.989999999999998" maxValue="84.97" count="307">
        <n v="37.979999999999997"/>
        <n v="53.78"/>
        <n v="21.99"/>
        <n v="29.18"/>
        <n v="16.989999999999998"/>
        <n v="27.99"/>
        <n v="30.99"/>
        <n v="84.73"/>
        <n v="18.989999999999998"/>
        <n v="34.99"/>
        <n v="52.48"/>
        <n v="66.88"/>
        <n v="32.78"/>
        <n v="40.18"/>
        <n v="45.28"/>
        <n v="74.53"/>
        <n v="48.38"/>
        <n v="60.98"/>
        <n v="38.130000000000003"/>
        <n v="40.049999999999997"/>
        <n v="48.81"/>
        <n v="66.599999999999994"/>
        <n v="40.950000000000003"/>
        <n v="74.900000000000006"/>
        <n v="73.91"/>
        <n v="37.68"/>
        <n v="53.13"/>
        <n v="67.510000000000005"/>
        <n v="60.26"/>
        <n v="73.73"/>
        <n v="53.11"/>
        <n v="84"/>
        <n v="73.64"/>
        <n v="48.54"/>
        <n v="67.92"/>
        <n v="60.06"/>
        <n v="32.83"/>
        <n v="52.09"/>
        <n v="29.64"/>
        <n v="82.45"/>
        <n v="38.020000000000003"/>
        <n v="44.82"/>
        <n v="74.33"/>
        <n v="67.569999999999993"/>
        <n v="73.459999999999994"/>
        <n v="48.29"/>
        <n v="52.35"/>
        <n v="53.58"/>
        <n v="73.31"/>
        <n v="37.85"/>
        <n v="29.24"/>
        <n v="60.08"/>
        <n v="29.59"/>
        <n v="54.2"/>
        <n v="32.61"/>
        <n v="83.83"/>
        <n v="51.88"/>
        <n v="48.65"/>
        <n v="45.77"/>
        <n v="38"/>
        <n v="74.959999999999994"/>
        <n v="29.07"/>
        <n v="74.83"/>
        <n v="32.479999999999997"/>
        <n v="44.87"/>
        <n v="29.53"/>
        <n v="53.27"/>
        <n v="66.67"/>
        <n v="29.3"/>
        <n v="84.13"/>
        <n v="40.08"/>
        <n v="61.01"/>
        <n v="74.849999999999994"/>
        <n v="83.1"/>
        <n v="29.48"/>
        <n v="53.26"/>
        <n v="45.7"/>
        <n v="29.34"/>
        <n v="32.729999999999997"/>
        <n v="83.88"/>
        <n v="84.2"/>
        <n v="61.06"/>
        <n v="60.13"/>
        <n v="29.66"/>
        <n v="38.18"/>
        <n v="83.72"/>
        <n v="45.85"/>
        <n v="67.849999999999994"/>
        <n v="52.43"/>
        <n v="38.36"/>
        <n v="48.16"/>
        <n v="59.9"/>
        <n v="84.67"/>
        <n v="45.49"/>
        <n v="52.41"/>
        <n v="53.07"/>
        <n v="29.62"/>
        <n v="83.12"/>
        <n v="60.35"/>
        <n v="33.119999999999997"/>
        <n v="82.76"/>
        <n v="33.06"/>
        <n v="53.03"/>
        <n v="38.07"/>
        <n v="40.67"/>
        <n v="32.92"/>
        <n v="54.21"/>
        <n v="51.96"/>
        <n v="41.04"/>
        <n v="44.74"/>
        <n v="45.51"/>
        <n v="32.71"/>
        <n v="40.15"/>
        <n v="73.5"/>
        <n v="53.45"/>
        <n v="45.58"/>
        <n v="48.72"/>
        <n v="29.42"/>
        <n v="60.76"/>
        <n v="32.86"/>
        <n v="66.989999999999995"/>
        <n v="74.650000000000006"/>
        <n v="44.9"/>
        <n v="37.69"/>
        <n v="51.92"/>
        <n v="45.8"/>
        <n v="47.87"/>
        <n v="74.790000000000006"/>
        <n v="33.11"/>
        <n v="73.569999999999993"/>
        <n v="74.11"/>
        <n v="82.97"/>
        <n v="82.43"/>
        <n v="66.290000000000006"/>
        <n v="60.43"/>
        <n v="66.930000000000007"/>
        <n v="45.88"/>
        <n v="73.489999999999995"/>
        <n v="52.04"/>
        <n v="38.479999999999997"/>
        <n v="65.930000000000007"/>
        <n v="83.71"/>
        <n v="53.68"/>
        <n v="53.56"/>
        <n v="32.880000000000003"/>
        <n v="48.82"/>
        <n v="67.36"/>
        <n v="73.75"/>
        <n v="45.99"/>
        <n v="60.99"/>
        <n v="53.82"/>
        <n v="29.1"/>
        <n v="32.840000000000003"/>
        <n v="67.209999999999994"/>
        <n v="32.950000000000003"/>
        <n v="40.33"/>
        <n v="38.11"/>
        <n v="48.96"/>
        <n v="74.67"/>
        <n v="52.8"/>
        <n v="73.69"/>
        <n v="53.16"/>
        <n v="52.37"/>
        <n v="61.13"/>
        <n v="83.78"/>
        <n v="32.979999999999997"/>
        <n v="74.48"/>
        <n v="33"/>
        <n v="33.229999999999997"/>
        <n v="44.89"/>
        <n v="40.86"/>
        <n v="61.04"/>
        <n v="45.36"/>
        <n v="48.13"/>
        <n v="52.26"/>
        <n v="67.010000000000005"/>
        <n v="60.34"/>
        <n v="44.92"/>
        <n v="61.11"/>
        <n v="52.63"/>
        <n v="65.92"/>
        <n v="73.27"/>
        <n v="41.23"/>
        <n v="83.89"/>
        <n v="54.18"/>
        <n v="29.71"/>
        <n v="61.09"/>
        <n v="29.26"/>
        <n v="67.02"/>
        <n v="73.319999999999993"/>
        <n v="67.39"/>
        <n v="45.14"/>
        <n v="83.76"/>
        <n v="48.78"/>
        <n v="65.98"/>
        <n v="32.76"/>
        <n v="83.85"/>
        <n v="53.47"/>
        <n v="66.14"/>
        <n v="40.96"/>
        <n v="66.09"/>
        <n v="40.92"/>
        <n v="40.619999999999997"/>
        <n v="48.98"/>
        <n v="48"/>
        <n v="52.91"/>
        <n v="52.38"/>
        <n v="40.51"/>
        <n v="53.02"/>
        <n v="74.400000000000006"/>
        <n v="75.11"/>
        <n v="52.23"/>
        <n v="60.42"/>
        <n v="84.02"/>
        <n v="54.22"/>
        <n v="84.97"/>
        <n v="44.98"/>
        <n v="52.52"/>
        <n v="45.19"/>
        <n v="29.31"/>
        <n v="82.82"/>
        <n v="61.02"/>
        <n v="48.61"/>
        <n v="52.66"/>
        <n v="48.1"/>
        <n v="66.239999999999995"/>
        <n v="41.09"/>
        <n v="41.25"/>
        <n v="48.89"/>
        <n v="32.770000000000003"/>
        <n v="61.18"/>
        <n v="66.2"/>
        <n v="41.07"/>
        <n v="45.69"/>
        <n v="48.8"/>
        <n v="73.47"/>
        <n v="74.77"/>
        <n v="59.89"/>
        <n v="53.17"/>
        <n v="29.69"/>
        <n v="67.5"/>
        <n v="60.72"/>
        <n v="83.42"/>
        <n v="32.89"/>
        <n v="29.44"/>
        <n v="32.97"/>
        <n v="48.34"/>
        <n v="38.229999999999997"/>
        <n v="33.200000000000003"/>
        <n v="46.09"/>
        <n v="66.78"/>
        <n v="53.73"/>
        <n v="38.049999999999997"/>
        <n v="51.89"/>
        <n v="66.94"/>
        <n v="40.78"/>
        <n v="60.77"/>
        <n v="84.88"/>
        <n v="41.26"/>
        <n v="29.17"/>
        <n v="74.86"/>
        <n v="33.17"/>
        <n v="66.44"/>
        <n v="66.97"/>
        <n v="45.43"/>
        <n v="67.430000000000007"/>
        <n v="53.81"/>
        <n v="29.54"/>
        <n v="40.85"/>
        <n v="83.39"/>
        <n v="74.290000000000006"/>
        <n v="44.78"/>
        <n v="45.11"/>
        <n v="67.709999999999994"/>
        <n v="83.13"/>
        <n v="73.66"/>
        <n v="67.7"/>
        <n v="66.040000000000006"/>
        <n v="68"/>
        <n v="32.53"/>
        <n v="65.959999999999994"/>
        <n v="74.930000000000007"/>
        <n v="38.26"/>
        <n v="45.03"/>
        <n v="45.15"/>
        <n v="83.23"/>
        <n v="60.65"/>
        <n v="38.340000000000003"/>
        <n v="82.94"/>
        <n v="37.619999999999997"/>
        <n v="74.59"/>
        <n v="60.24"/>
        <n v="60.49"/>
        <n v="45.04"/>
        <n v="48.35"/>
        <n v="53.51"/>
        <n v="82.46"/>
        <n v="45.65"/>
        <n v="32.75"/>
        <n v="53.54"/>
        <n v="75.02"/>
        <n v="53.43"/>
        <n v="73.2"/>
        <n v="60.85"/>
        <n v="73.12"/>
        <n v="40.07"/>
        <n v="83.92"/>
      </sharedItems>
    </cacheField>
    <cacheField name="order_date" numFmtId="0">
      <sharedItems count="393">
        <s v="2026-07-14"/>
        <s v="2026-07-19"/>
        <s v="2026-07-31"/>
        <s v="2026-07-27"/>
        <s v="2026-07-13"/>
        <s v="2026-06-13"/>
        <s v="2026-06-24"/>
        <s v="2026-06-02"/>
        <s v="2026-07-03"/>
        <s v="2026-07-08"/>
        <s v="2026-06-18"/>
        <s v="2026-07-24"/>
        <s v="2026-06-10"/>
        <s v="2026-07-18"/>
        <s v="2026-06-05"/>
        <s v="2026-06-20"/>
        <s v="2026-06-28"/>
        <s v="2026-06-27"/>
        <s v="2026-06-15"/>
        <s v="2026-07-09"/>
        <s v="2026-07-12"/>
        <s v="2026-08-11"/>
        <s v="2026-07-10"/>
        <s v="06/07/2026"/>
        <s v="2026-06-19"/>
        <s v="2026-07-25"/>
        <s v="2026-06-16"/>
        <s v="2026-07-29"/>
        <s v="2026-06-22"/>
        <s v="2026-06-11"/>
        <s v="2026-08-12"/>
        <s v="2026-06-08"/>
        <s v="2026-08-04"/>
        <s v="2026-06-21"/>
        <s v="2026-08-07"/>
        <s v="2026-08-13"/>
        <s v="2026-08-06"/>
        <s v="2026-07-15"/>
        <s v="24/07/2026"/>
        <s v="2026-08-09"/>
        <s v="2026-06-09"/>
        <s v="2026-08-01"/>
        <s v="2026-08-05"/>
        <s v="2026-06-06"/>
        <s v="2026-06-29"/>
        <s v="2026-06-12"/>
        <s v="12/06/2026"/>
        <s v="2026-07-30"/>
        <s v="16/07/2026"/>
        <s v="2026-07-17"/>
        <s v="2026-07-11"/>
        <s v="2026-07-07"/>
        <s v="08/07/2026"/>
        <s v="2026-07-01"/>
        <s v="2026-06-01"/>
        <s v="2026-06-30"/>
        <s v="2026-07-05"/>
        <s v="2026-07-22"/>
        <s v="2026-08-10"/>
        <s v="2026-08-08"/>
        <s v="2026-07-16"/>
        <s v="2026-07-26"/>
        <s v="12/07/2026"/>
        <s v="2026-07-21"/>
        <s v="14/06/2026"/>
        <s v="2026-08-02"/>
        <s v="2026-07-23"/>
        <s v="2026-07-06"/>
        <s v="2026-07-28"/>
        <s v="2026-06-17"/>
        <s v="10/07/2026"/>
        <s v="2026-08-03"/>
        <s v="2026-06-07"/>
        <s v="18/07/2026"/>
        <s v="2026-08-14"/>
        <s v="2026-06-03"/>
        <s v="18/06/2026"/>
        <s v="2026-07-20"/>
        <s v="23/07/2026"/>
        <s v="2026-06-26"/>
        <s v="2026-06-04"/>
        <s v="20/06/2026"/>
        <s v="01/07/2026"/>
        <s v="29/07/2026"/>
        <s v="04/08/2026"/>
        <s v="10/08/2026"/>
        <s v="2026-07-02"/>
        <s v="2026-07-04"/>
        <s v="2026-06-23"/>
        <s v="2026-04-10"/>
        <s v="2026-02-22"/>
        <s v="2026-02-16"/>
        <s v="2026-11-09"/>
        <s v="2026-09-26"/>
        <s v="2026-12-04"/>
        <s v="2026-01-14"/>
        <s v="2026-11-18"/>
        <s v="2026-02-11"/>
        <s v="2026-01-08"/>
        <s v="2026-03-26"/>
        <s v="2026-09-19"/>
        <s v="01/01/2026"/>
        <s v="2026-09-20"/>
        <s v="2026-11-30"/>
        <s v="2026-11-20"/>
        <s v="2026-04-25"/>
        <s v="2026-10-20"/>
        <s v="2026-08-26"/>
        <s v="2026-10-30"/>
        <s v="2026-11-27"/>
        <s v="2026-11-05"/>
        <s v="2026-10-27"/>
        <s v="2026-11-04"/>
        <s v="2026-02-19"/>
        <s v="25/09/2026"/>
        <s v="2026-10-29"/>
        <s v="2026-01-20"/>
        <s v="2026-09-05"/>
        <s v="2026-09-18"/>
        <s v="2026-12-05"/>
        <s v="2026-02-10"/>
        <s v="2026-02-13"/>
        <s v="2026-05-14"/>
        <s v="2026-01-11"/>
        <s v="2026-09-22"/>
        <s v="2026-01-23"/>
        <s v="2026-08-16"/>
        <s v="2026-01-03"/>
        <s v="2026-09-28"/>
        <s v="11/04/2026"/>
        <s v="2026-01-25"/>
        <s v="2026-01-31"/>
        <s v="2026-05-27"/>
        <s v="2026-04-16"/>
        <s v="2026-08-28"/>
        <s v="2026-03-08"/>
        <s v="2026-11-11"/>
        <s v="2026-11-13"/>
        <s v="2026-08-22"/>
        <s v="2026-02-26"/>
        <s v="2026-09-07"/>
        <s v="2026-03-30"/>
        <s v="28/10/2026"/>
        <s v="2026-01-12"/>
        <s v="2026-10-08"/>
        <s v="2026-01-28"/>
        <s v="2026-03-16"/>
        <s v="2026-02-25"/>
        <s v="2026-03-18"/>
        <s v="2026-04-07"/>
        <s v="2026-02-03"/>
        <s v="2026-03-03"/>
        <s v="2026-03-01"/>
        <s v="2026-10-09"/>
        <s v="11/02/2026"/>
        <s v="2026-11-23"/>
        <s v="2026-04-27"/>
        <s v="2026-10-11"/>
        <s v="2026-09-24"/>
        <s v="2026-11-10"/>
        <s v="2026-03-11"/>
        <s v="09/03/2026"/>
        <s v="2026-05-22"/>
        <s v="2026-05-16"/>
        <s v="2026-03-12"/>
        <s v="2026-01-13"/>
        <s v="2026-01-16"/>
        <s v="2026-09-21"/>
        <s v="2026-12-03"/>
        <s v="2026-05-23"/>
        <s v="2026-08-15"/>
        <s v="2026-04-04"/>
        <s v="2026-08-29"/>
        <s v="2026-08-25"/>
        <s v="2026-04-12"/>
        <s v="2026-05-15"/>
        <s v="2026-11-19"/>
        <s v="2026-01-15"/>
        <s v="2026-11-08"/>
        <s v="2026-10-28"/>
        <s v="2026-01-09"/>
        <s v="2026-02-17"/>
        <s v="2026-12-02"/>
        <s v="2026-05-17"/>
        <s v="2026-03-05"/>
        <s v="2026-05-06"/>
        <s v="2026-05-25"/>
        <s v="2026-11-29"/>
        <s v="2026-04-28"/>
        <s v="2026-01-21"/>
        <s v="2026-03-23"/>
        <s v="2026-04-05"/>
        <s v="2026-05-10"/>
        <s v="2026-04-09"/>
        <s v="2026-12-06"/>
        <s v="2026-03-29"/>
        <s v="2026-11-14"/>
        <s v="05/05/2026"/>
        <s v="2026-03-02"/>
        <s v="2026-05-28"/>
        <s v="2026-09-23"/>
        <s v="2026-05-29"/>
        <s v="2026-08-23"/>
        <s v="2026-03-17"/>
        <s v="18/02/2026"/>
        <s v="2026-03-10"/>
        <s v="2026-01-01"/>
        <s v="2026-05-09"/>
        <s v="2026-03-22"/>
        <s v="2026-01-30"/>
        <s v="06/01/2026"/>
        <s v="2026-04-30"/>
        <s v="2026-10-17"/>
        <s v="2026-02-27"/>
        <s v="2026-05-18"/>
        <s v="27/10/2026"/>
        <s v="05/03/2026"/>
        <s v="2026-12-01"/>
        <s v="2026-11-26"/>
        <s v="2026-04-08"/>
        <s v="2026-04-21"/>
        <s v="2026-11-16"/>
        <s v="2026-11-06"/>
        <s v="2026-05-08"/>
        <s v="2026-02-28"/>
        <s v="2026-02-20"/>
        <s v="2026-11-21"/>
        <s v="2026-10-12"/>
        <s v="2026-02-18"/>
        <s v="2026-01-06"/>
        <s v="2026-09-29"/>
        <s v="2026-03-24"/>
        <s v="2026-10-06"/>
        <s v="2026-05-19"/>
        <s v="2026-02-15"/>
        <s v="2026-04-01"/>
        <s v="2026-04-24"/>
        <s v="2026-09-04"/>
        <s v="2026-02-08"/>
        <s v="2026-10-15"/>
        <s v="2026-03-27"/>
        <s v="2026-08-20"/>
        <s v="2026-02-05"/>
        <s v="2026-05-07"/>
        <s v="2026-02-14"/>
        <s v="2026-02-02"/>
        <s v="2026-08-27"/>
        <s v="2026-04-29"/>
        <s v="17/04/2026"/>
        <s v="2026-03-04"/>
        <s v="2026-04-15"/>
        <s v="2026-09-01"/>
        <s v="2026-03-13"/>
        <s v="2026-01-07"/>
        <s v="2026-10-19"/>
        <s v="2026-01-04"/>
        <s v="2026-11-03"/>
        <s v="2026-09-14"/>
        <s v="2026-10-14"/>
        <s v="2026-03-15"/>
        <s v="19/11/2026"/>
        <s v="2026-01-05"/>
        <s v="2026-05-12"/>
        <s v="2026-10-23"/>
        <s v="2026-10-05"/>
        <s v="2026-05-13"/>
        <s v="2026-10-21"/>
        <s v="2026-10-18"/>
        <s v="27/07/2026"/>
        <s v="2026-04-20"/>
        <s v="07/11/2026"/>
        <s v="2026-09-16"/>
        <s v="2026-10-01"/>
        <s v="08/02/2026"/>
        <s v="06/11/2026"/>
        <s v="2026-04-19"/>
        <s v="2026-10-24"/>
        <s v="2026-03-20"/>
        <s v="2026-02-07"/>
        <s v="2026-01-17"/>
        <s v="2026-10-13"/>
        <s v="2026-10-02"/>
        <s v="2026-01-27"/>
        <s v="2026-06-14"/>
        <s v="2026-09-09"/>
        <s v="2026-09-25"/>
        <s v="2026-08-24"/>
        <s v="2026-03-09"/>
        <s v="2026-04-06"/>
        <s v="2026-02-24"/>
        <s v="07/09/2026"/>
        <s v="17/01/2026"/>
        <s v="2026-02-01"/>
        <s v="2026-05-03"/>
        <s v="2026-02-06"/>
        <s v="2026-05-01"/>
        <s v="27/09/2026"/>
        <s v="26/07/2026"/>
        <s v="2026-03-14"/>
        <s v="23/02/2026"/>
        <s v="2026-11-25"/>
        <s v="2026-05-31"/>
        <s v="10/11/2026"/>
        <s v="2026-03-07"/>
        <s v="2026-11-28"/>
        <s v="2026-04-26"/>
        <s v="10/02/2026"/>
        <s v="2026-09-17"/>
        <s v="2026-05-11"/>
        <s v="2026-10-25"/>
        <s v="2026-02-09"/>
        <s v="2026-02-21"/>
        <s v="2026-10-07"/>
        <s v="2026-09-12"/>
        <s v="2026-04-23"/>
        <s v="2026-01-18"/>
        <s v="24/08/2026"/>
        <s v="2026-04-11"/>
        <s v="03/04/2026"/>
        <s v="25/08/2026"/>
        <s v="20/05/2026"/>
        <s v="2026-01-29"/>
        <s v="2026-10-31"/>
        <s v="04/01/2026"/>
        <s v="2026-04-17"/>
        <s v="28/04/2026"/>
        <s v="2026-09-27"/>
        <s v="2026-08-31"/>
        <s v="31/03/2026"/>
        <s v="2026-10-03"/>
        <s v="2026-04-03"/>
        <s v="2026-10-26"/>
        <s v="15/06/2026"/>
        <s v="2026-05-20"/>
        <s v="2026-09-03"/>
        <s v="2026-02-04"/>
        <s v="2026-03-28"/>
        <s v="2026-11-12"/>
        <s v="2026-11-15"/>
        <s v="2026-01-22"/>
        <s v="2026-05-02"/>
        <s v="2026-08-30"/>
        <s v="2026-11-17"/>
        <s v="2026-11-02"/>
        <s v="20/07/2026"/>
        <s v="2026-05-04"/>
        <s v="2026-04-13"/>
        <s v="12/08/2026"/>
        <s v="2026-01-24"/>
        <s v="23/05/2026"/>
        <s v="2026-10-10"/>
        <s v="2026-01-19"/>
        <s v="2026-01-10"/>
        <s v="2026-09-11"/>
        <s v="29/06/2026"/>
        <s v="22/03/2026"/>
        <s v="01/09/2026"/>
        <s v="19/01/2026"/>
        <s v="2026-04-18"/>
        <s v="2026-05-26"/>
        <s v="2026-09-02"/>
        <s v="2026-08-19"/>
        <s v="08/03/2026"/>
        <s v="2026-03-21"/>
        <s v="28/09/2026"/>
        <s v="2026-05-24"/>
        <s v="2026-08-18"/>
        <s v="03/06/2026"/>
        <s v="2026-10-16"/>
        <s v="02/06/2026"/>
        <s v="2026-04-14"/>
        <s v="2026-03-06"/>
        <s v="2026-09-10"/>
        <s v="2026-08-17"/>
        <s v="2026-08-21"/>
        <s v="01/08/2026"/>
        <s v="2026-04-22"/>
        <s v="2026-11-01"/>
        <s v="08/04/2026"/>
        <s v="21/09/2026"/>
        <s v="2026-11-22"/>
        <s v="30/10/2026"/>
        <s v="27/01/2026"/>
        <s v="2026-10-04"/>
        <s v="02/12/2026"/>
        <s v="2026-10-22"/>
        <s v="23/08/2026"/>
        <s v="2026-09-30"/>
        <s v="02/09/2026"/>
        <s v="2026-02-23"/>
        <s v="11/01/2026"/>
        <s v="29/08/2026"/>
        <s v="22/10/2026"/>
      </sharedItems>
    </cacheField>
    <cacheField name="status" numFmtId="0">
      <sharedItems count="5">
        <s v="Devuelto"/>
        <s v="Entregado"/>
        <s v="En transito"/>
        <s v="Cancelado"/>
        <s v="Procesando"/>
      </sharedItems>
    </cacheField>
    <cacheField name="delivery_days" numFmtId="0">
      <sharedItems containsSemiMixedTypes="0" containsString="0" containsNumber="1" containsInteger="1" minValue="0" maxValue="25" count="24">
        <n v="2"/>
        <n v="3"/>
        <n v="0"/>
        <n v="19"/>
        <n v="15"/>
        <n v="20"/>
        <n v="12"/>
        <n v="7"/>
        <n v="11"/>
        <n v="8"/>
        <n v="14"/>
        <n v="18"/>
        <n v="16"/>
        <n v="10"/>
        <n v="5"/>
        <n v="4"/>
        <n v="13"/>
        <n v="6"/>
        <n v="24"/>
        <n v="17"/>
        <n v="22"/>
        <n v="9"/>
        <n v="25"/>
        <n v="23"/>
      </sharedItems>
    </cacheField>
    <cacheField name="payment_method" numFmtId="0">
      <sharedItems count="4">
        <s v="Contraentrega"/>
        <s v="PSE"/>
        <s v="Nequi"/>
        <s v="Tarjeta de credito"/>
      </sharedItems>
    </cacheField>
    <cacheField name="product_name" numFmtId="0">
      <sharedItems count="6">
        <s v="Lampara LED con control tactil"/>
        <s v="Fuente de agua para gatos"/>
        <s v="Muñequeras con peso 1kg"/>
        <s v="Tapete de yoga antideslizante"/>
        <s v="Proyector de estrellas para techo"/>
        <s v="Suplemento vitaminico para perros"/>
      </sharedItems>
    </cacheField>
    <cacheField name="cost_price" numFmtId="0">
      <sharedItems containsSemiMixedTypes="0" containsString="0" containsNumber="1" minValue="5" maxValue="12.5" count="6">
        <n v="7"/>
        <n v="10.5"/>
        <n v="5"/>
        <n v="9"/>
        <n v="12.5"/>
        <n v="6"/>
      </sharedItems>
    </cacheField>
    <cacheField name="sale_price" numFmtId="0">
      <sharedItems containsSemiMixedTypes="0" containsString="0" containsNumber="1" minValue="16.989999999999998" maxValue="34.99" count="6">
        <n v="21.99"/>
        <n v="30.99"/>
        <n v="16.989999999999998"/>
        <n v="27.99"/>
        <n v="34.99"/>
        <n v="18.989999999999998"/>
      </sharedItems>
    </cacheField>
    <cacheField name="fulfillment_type" numFmtId="0">
      <sharedItems count="3">
        <s v="propio"/>
        <s v="dropshipping"/>
        <s v="[&quot;"/>
      </sharedItems>
    </cacheField>
    <cacheField name="store_name" numFmtId="0">
      <sharedItems count="3">
        <s v="LuminaHome"/>
        <s v="PetLuxe"/>
        <s v="NovaFit"/>
      </sharedItems>
    </cacheField>
    <cacheField name="niche" numFmtId="0">
      <sharedItems count="3">
        <s v="Hogar y gadgets"/>
        <s v="Mascotas"/>
        <s v="Fitness y bienestar"/>
      </sharedItems>
    </cacheField>
    <cacheField name="platform" numFmtId="0">
      <sharedItems count="1">
        <s v="Facebook/Instagram"/>
      </sharedItems>
    </cacheField>
    <cacheField name="launch_date" numFmtId="14">
      <sharedItems containsSemiMixedTypes="0" containsNonDate="0" containsDate="1" containsString="0" minDate="2025-03-10T00:00:00" maxDate="2025-06-16T00:00:00" count="3">
        <d v="2025-05-01T00:00:00"/>
        <d v="2025-06-15T00:00:00"/>
        <d v="2025-03-10T00:00:00"/>
      </sharedItems>
    </cacheField>
    <cacheField name="customer_name" numFmtId="0">
      <sharedItems count="306">
        <s v="Laura Gomez"/>
        <s v="David Martinez"/>
        <s v="Daniela Vargas"/>
        <s v="Laura Rodriguez"/>
        <s v="Diego Ramirez"/>
        <s v="David Gomez"/>
        <s v="Laura Martinez"/>
        <s v="Gabriela Torres"/>
        <s v="Gabriela Gomez"/>
        <s v="David Perez"/>
        <s v="Miguel Castro"/>
        <s v="Santiago Torres"/>
        <s v="Paula Diaz"/>
        <s v="Camila Torres"/>
        <s v="Camila Rodriguez"/>
        <s v="Laura Diaz"/>
        <s v="Andres Rodriguez"/>
        <s v="Isabella Diaz"/>
        <s v="Camila Martinez"/>
        <s v="David Rodriguez"/>
        <s v="Natalia Castro"/>
        <s v="Diego Sanchez"/>
        <s v="Juan Torres"/>
        <s v="Natalia Diaz"/>
        <s v="Miguel Vargas"/>
        <s v="Paula Sanchez"/>
        <s v="Daniela Rodriguez"/>
        <s v="Diego Castro"/>
        <s v="Camila Castro"/>
        <s v="Daniela Gomez"/>
        <s v="Maria Ramirez"/>
        <s v="Mateo Torres"/>
        <s v="Daniela Martinez"/>
        <s v="Sebastian Diaz"/>
        <s v="Andres Torres"/>
        <s v="Valentina Perez"/>
        <s v="Mateo Castro"/>
        <s v="Alejandro Perez"/>
        <s v="Miguel Ramirez"/>
        <s v="David Sanchez"/>
        <s v="Juan Vargas"/>
        <s v="Santiago Ramirez"/>
        <s v="Diego Rodriguez"/>
        <s v="Camila Sanchez"/>
        <s v="Daniela Ramirez"/>
        <s v="Sebastian Torres"/>
        <s v="Alejandro Rodriguez"/>
        <s v="Camila Vargas"/>
        <s v="Gabriela Diaz"/>
        <s v="Mateo Sanchez"/>
        <s v="Isabella Perez"/>
        <s v="Valentina Torres"/>
        <s v="Sofia Torres"/>
        <s v="Juan Martinez"/>
        <s v="Sebastian Sanchez"/>
        <s v="Valentina Vargas"/>
        <s v="Carlos Diaz"/>
        <s v="Paula Vargas"/>
        <s v="Alejandro Torres"/>
        <s v="Andres Martinez"/>
        <s v="Daniela Castro"/>
        <s v="Natalia Ramirez"/>
        <s v="Isabella Torres"/>
        <s v="Diego Diaz"/>
        <s v="Sofia Perez"/>
        <s v="Valentina Sanchez"/>
        <s v="Miguel Diaz"/>
        <s v="Carlos Vargas"/>
        <s v="David Diaz"/>
        <s v="Santiago Perez"/>
        <s v="Sofia Sanchez"/>
        <s v="Isabella Sanchez"/>
        <s v="Laura Torres"/>
        <s v="Gabriela Sanchez"/>
        <s v="Valentina Ramirez"/>
        <s v="Natalia Sanchez"/>
        <s v="Paula Ramirez"/>
        <s v="Andres Castro"/>
        <s v="Valentina Castro"/>
        <s v="Carlos Martinez"/>
        <s v="Valentina Diaz"/>
        <s v="Valentina Gomez"/>
        <s v="Andres Sanchez"/>
        <s v="Diego Vargas"/>
        <s v="Juan Castro"/>
        <s v="Daniela Diaz"/>
        <s v="Alejandro Castro"/>
        <s v="Daniela Torres"/>
        <s v="Maria Diaz"/>
        <s v="David Castro"/>
        <s v="David Ramirez"/>
        <s v="Juan Sanchez"/>
        <s v="Natalia Perez"/>
        <s v="Santiago Vargas"/>
        <s v="Mateo Rodriguez"/>
        <s v="Sofia Diaz"/>
        <s v="Alejandro Diaz"/>
        <s v="Mateo Martinez"/>
        <s v="Paula Gomez"/>
        <s v="Andres Diaz"/>
        <s v="Maria Martinez"/>
        <s v="Natalia Ortiz"/>
        <s v="Fernanda Lopez"/>
        <s v="Sebastian Gomez"/>
        <s v="Ximena Martinez"/>
        <s v="Esteban Moreno"/>
        <s v="Maria Hernandez"/>
        <s v="David Jimenez"/>
        <s v="Manuela Gomez"/>
        <s v="Alejandro Gomez"/>
        <s v="Isabella Martinez"/>
        <s v="Santiago Martinez"/>
        <s v="Alejandro Lopez"/>
        <s v="Santiago Castro"/>
        <s v="Julian Moreno"/>
        <s v="Maria Lopez"/>
        <s v="Esteban Ortiz"/>
        <s v="Miguel Gomez"/>
        <s v="Catalina Vargas"/>
        <s v="Ricardo Perez"/>
        <s v="Isabella Jimenez"/>
        <s v="Juan Perez"/>
        <s v="Catalina Martinez"/>
        <s v="Nicolas Vargas"/>
        <s v="Esteban Martinez"/>
        <s v="Manuela Torres"/>
        <s v="Manuela Moreno"/>
        <s v="Natalia Moreno"/>
        <s v="Camila Moreno"/>
        <s v="Alejandro Sanchez"/>
        <s v="Juan Ortiz"/>
        <s v="Sofia Jimenez"/>
        <s v="Fernanda Sanchez"/>
        <s v="Paula Martinez"/>
        <s v="Gabriela Jimenez"/>
        <s v="Ricardo Hernandez"/>
        <s v="Julian Ortiz"/>
        <s v="Juan Hernandez"/>
        <s v="Paula Rodriguez"/>
        <s v="Manuela Lopez"/>
        <s v="Fernanda Castro"/>
        <s v="Fernanda Vargas"/>
        <s v="Felipe Gomez"/>
        <s v="Andres Hernandez"/>
        <s v="Diego Lopez"/>
        <s v="Valentina Hernandez"/>
        <s v="Maria Moreno"/>
        <s v="Nicolas Diaz"/>
        <s v="Ximena Jimenez"/>
        <s v="Natalia Martinez"/>
        <s v="Fernanda Ortiz"/>
        <s v="Juan Rodriguez"/>
        <s v="Mateo Moreno"/>
        <s v="Sofia Ramirez"/>
        <s v="Ximena Rodriguez"/>
        <s v="Fernanda Diaz"/>
        <s v="Julian Castro"/>
        <s v="Manuela Martinez"/>
        <s v="Mateo Vargas"/>
        <s v="Catalina Jimenez"/>
        <s v="Nicolas Lopez"/>
        <s v="Camila Gomez"/>
        <s v="Miguel Martinez"/>
        <s v="Antonia Sanchez"/>
        <s v="Nicolas Ortiz"/>
        <s v="Andres Perez"/>
        <s v="Ximena Sanchez"/>
        <s v="Felipe Castro"/>
        <s v="Natalia Rodriguez"/>
        <s v="Diego Jimenez"/>
        <s v="Miguel Moreno"/>
        <s v="Gabriela Martinez"/>
        <s v="Fernanda Torres"/>
        <s v="Andres Ramirez"/>
        <s v="Isabella Rodriguez"/>
        <s v="Ricardo Gomez"/>
        <s v="Felipe Moreno"/>
        <s v="Ximena Hernandez"/>
        <s v="Laura Ortiz"/>
        <s v="Julian Lopez"/>
        <s v="Santiago Ortiz"/>
        <s v="Laura Castro"/>
        <s v="Maria Sanchez"/>
        <s v="Catalina Ramirez"/>
        <s v="Isabella Gomez"/>
        <s v="Alejandro Ramirez"/>
        <s v="Nicolas Castro"/>
        <s v="Paula Ortiz"/>
        <s v="Nicolas Torres"/>
        <s v="Nicolas Jimenez"/>
        <s v="Esteban Ramirez"/>
        <s v="Catalina Rodriguez"/>
        <s v="Sofia Moreno"/>
        <s v="Gabriela Lopez"/>
        <s v="Mateo Jimenez"/>
        <s v="Antonia Ortiz"/>
        <s v="Ricardo Moreno"/>
        <s v="Antonia Torres"/>
        <s v="Sofia Ortiz"/>
        <s v="Antonia Diaz"/>
        <s v="Ximena Perez"/>
        <s v="Natalia Torres"/>
        <s v="Laura Ramirez"/>
        <s v="Sebastian Jimenez"/>
        <s v="Nicolas Sanchez"/>
        <s v="Diego Gomez"/>
        <s v="Juan Moreno"/>
        <s v="Sofia Castro"/>
        <s v="Paula Hernandez"/>
        <s v="Camila Ortiz"/>
        <s v="Maria Vargas"/>
        <s v="Felipe Torres"/>
        <s v="David Torres"/>
        <s v="Catalina Moreno"/>
        <s v="Antonia Lopez"/>
        <s v="Sofia Rodriguez"/>
        <s v="Manuela Ramirez"/>
        <s v="Alejandro Jimenez"/>
        <s v="Maria Perez"/>
        <s v="Catalina Torres"/>
        <s v="Camila Lopez"/>
        <s v="Nicolas Ramirez"/>
        <s v="Gabriela Moreno"/>
        <s v="Paula Lopez"/>
        <s v="Manuela Rodriguez"/>
        <s v="Camila Jimenez"/>
        <s v="Ximena Torres"/>
        <s v="Julian Perez"/>
        <s v="Maria Rodriguez"/>
        <s v="Ximena Lopez"/>
        <s v="Sebastian Ortiz"/>
        <s v="Carlos Perez"/>
        <s v="Sofia Vargas"/>
        <s v="Catalina Ortiz"/>
        <s v="Felipe Ortiz"/>
        <s v="Manuela Ortiz"/>
        <s v="Carlos Jimenez"/>
        <s v="Paula Castro"/>
        <s v="Daniela Jimenez"/>
        <s v="Laura Lopez"/>
        <s v="Ximena Ortiz"/>
        <s v="Ricardo Sanchez"/>
        <s v="Juan Jimenez"/>
        <s v="Ximena Moreno"/>
        <s v="Sofia Martinez"/>
        <s v="Felipe Vargas"/>
        <s v="Sebastian Lopez"/>
        <s v="Julian Hernandez"/>
        <s v="Catalina Diaz"/>
        <s v="Miguel Perez"/>
        <s v="Diego Perez"/>
        <s v="Miguel Torres"/>
        <s v="David Moreno"/>
        <s v="Antonia Perez"/>
        <s v="David Vargas"/>
        <s v="Ricardo Ortiz"/>
        <s v="Gabriela Hernandez"/>
        <s v="Julian Diaz"/>
        <s v="Santiago Rodriguez"/>
        <s v="Andres Ortiz"/>
        <s v="Manuela Diaz"/>
        <s v="Julian Jimenez"/>
        <s v="Felipe Martinez"/>
        <s v="Manuela Jimenez"/>
        <s v="Camila Ramirez"/>
        <s v="Daniela Moreno"/>
        <s v="Fernanda Martinez"/>
        <s v="Catalina Perez"/>
        <s v="Paula Perez"/>
        <s v="Ximena Vargas"/>
        <s v="Daniela Perez"/>
        <s v="Felipe Sanchez"/>
        <s v="Diego Hernandez"/>
        <s v="Carlos Ramirez"/>
        <s v="Natalia Gomez"/>
        <s v="Laura Sanchez"/>
        <s v="Santiago Diaz"/>
        <s v="Esteban Castro"/>
        <s v="Diego Torres"/>
        <s v="Gabriela Rodriguez"/>
        <s v="Valentina Moreno"/>
        <s v="Isabella Hernandez"/>
        <s v="Gabriela Ramirez"/>
        <s v="Carlos Hernandez"/>
        <s v="Carlos Ortiz"/>
        <s v="Antonia Hernandez"/>
        <s v="Maria Jimenez"/>
        <s v="Mateo Gomez"/>
        <s v="Alejandro Moreno"/>
        <s v="Alejandro Hernandez"/>
        <s v="Juan Lopez"/>
        <s v="Ricardo Castro"/>
        <s v="Santiago Lopez"/>
        <s v="Sebastian Ramirez"/>
        <s v="Carlos Lopez"/>
        <s v="Esteban Lopez"/>
        <s v="Manuela Vargas"/>
        <s v="Nicolas Hernandez"/>
        <s v="Isabella Lopez"/>
        <s v="Isabella Ramirez"/>
        <s v="Ximena Ramirez"/>
        <s v="Miguel Ortiz"/>
        <s v="Julian Rodriguez"/>
        <s v="Manuela Hernandez"/>
        <s v="Santiago Sanchez"/>
        <s v="Manuela Sanchez"/>
      </sharedItems>
    </cacheField>
    <cacheField name="email" numFmtId="0">
      <sharedItems count="531">
        <s v="laura.gomez71@mail.com"/>
        <s v="david.martinez142@mail.com"/>
        <s v="daniela.vargas12@mail.com"/>
        <s v="laura.rodriguez85@mail.com"/>
        <s v="diego.ramirez167@mail.com"/>
        <s v="david.gomez112@mail.com"/>
        <s v="laura.martinez145@mail.com"/>
        <s v="gabriela.torres118@mail.com"/>
        <s v="gabriela.gomez164@mail.com"/>
        <s v="david.perez76@mail.com"/>
        <s v="miguel.castro159@mail.com"/>
        <s v="santiago.torres30@mail.com"/>
        <s v="paula.diaz150@mail.com"/>
        <s v="camila.torres36@mail.com"/>
        <s v="camila.rodriguez108@mail.com"/>
        <s v="laura.diaz93@mail.com"/>
        <s v="andres.rodriguez24@mail.com"/>
        <s v="isabella.diaz18@mail.com"/>
        <s v="camila.martinez65@mail.com"/>
        <s v="david.rodriguez33@mail.com"/>
        <s v="david.gomez169@mail.com"/>
        <s v="natalia.castro19@mail.com"/>
        <s v="diego.sanchez111@mail.com"/>
        <s v="juan.torres103@mail.com"/>
        <s v="natalia.diaz96@mail.com"/>
        <s v="miguel.vargas74@mail.com"/>
        <s v="paula.sanchez95@mail.com"/>
        <s v="daniela.rodriguez2@mail.com"/>
        <s v="diego.castro88@mail.com"/>
        <s v="camila.castro114@mail.com"/>
        <s v="miguel.vargas125@mail.com"/>
        <s v="daniela.gomez75@mail.com"/>
        <s v="maria.ramirez6@mail.com"/>
        <s v="mateo.torres90@mail.com"/>
        <s v="miguel.castro149@mail.com"/>
        <s v="daniela.martinez158@mail.com"/>
        <s v="sebastian.diaz129@mail.com"/>
        <s v="andres.torres134@mail.com"/>
        <s v="valentina.perez50@mail.com"/>
        <s v="mateo.castro43@mail.com"/>
        <s v="alejandro.perez27@mail.com"/>
        <s v="laura.martinez57@mail.com"/>
        <s v="miguel.ramirez82@mail.com"/>
        <s v="david.sanchez5@mail.com"/>
        <s v="juan.vargas13@mail.com"/>
        <s v="santiago.ramirez62@mail.com"/>
        <s v="diego.rodriguez176@mail.com"/>
        <s v="camila.sanchez81@mail.com"/>
        <s v="daniela.ramirez70@mail.com"/>
        <s v="sebastian.torres8@mail.com"/>
        <s v="alejandro.rodriguez7@mail.com"/>
        <s v="camila.vargas52@mail.com"/>
        <s v="valentina.perez34@mail.com"/>
        <s v="gabriela.diaz40@mail.com"/>
        <s v="mateo.sanchez11@mail.com"/>
        <s v="isabella.perez64@mail.com"/>
        <s v="valentina.torres56@mail.com"/>
        <s v="sofia.torres35@mail.com"/>
        <s v="juan.martinez143@mail.com"/>
        <s v="sebastian.sanchez117@mail.com"/>
        <s v="valentina.vargas122@mail.com"/>
        <s v="carlos.diaz135@mail.com"/>
        <s v="paula.vargas58@mail.com"/>
        <s v="alejandro.torres89@mail.com"/>
        <s v="andres.martinez175@mail.com"/>
        <s v="daniela.castro130@mail.com"/>
        <s v="natalia.ramirez45@mail.com"/>
        <s v="isabella.torres61@mail.com"/>
        <s v="camila.vargas171@mail.com"/>
        <s v="diego.diaz29@mail.com"/>
        <s v="camila.castro144@mail.com"/>
        <s v="sofia.perez139@mail.com"/>
        <s v="valentina.sanchez97@mail.com"/>
        <s v="miguel.ramirez77@mail.com"/>
        <s v="miguel.diaz9@mail.com"/>
        <s v="carlos.vargas63@mail.com"/>
        <s v="laura.rodriguez138@mail.com"/>
        <s v="david.diaz100@mail.com"/>
        <s v="santiago.perez173@mail.com"/>
        <s v="sofia.sanchez55@mail.com"/>
        <s v="david.rodriguez98@mail.com"/>
        <s v="isabella.sanchez53@mail.com"/>
        <s v="laura.torres168@mail.com"/>
        <s v="natalia.castro140@mail.com"/>
        <s v="paula.diaz174@mail.com"/>
        <s v="david.gomez60@mail.com"/>
        <s v="gabriela.sanchez126@mail.com"/>
        <s v="valentina.ramirez22@mail.com"/>
        <s v="andres.martinez153@mail.com"/>
        <s v="natalia.sanchez78@mail.com"/>
        <s v="natalia.sanchez178@mail.com"/>
        <s v="paula.ramirez47@mail.com"/>
        <s v="andres.castro163@mail.com"/>
        <s v="valentina.castro119@mail.com"/>
        <s v="natalia.ramirez172@mail.com"/>
        <s v="diego.ramirez162@mail.com"/>
        <s v="carlos.martinez116@mail.com"/>
        <s v="valentina.diaz17@mail.com"/>
        <s v="valentina.gomez113@mail.com"/>
        <s v="sofia.sanchez20@mail.com"/>
        <s v="valentina.perez156@mail.com"/>
        <s v="valentina.perez148@mail.com"/>
        <s v="andres.sanchez46@mail.com"/>
        <s v="mateo.sanchez120@mail.com"/>
        <s v="diego.vargas37@mail.com"/>
        <s v="miguel.vargas180@mail.com"/>
        <s v="sofia.perez31@mail.com"/>
        <s v="gabriela.sanchez72@mail.com"/>
        <s v="isabella.perez99@mail.com"/>
        <s v="david.martinez26@mail.com"/>
        <s v="miguel.ramirez15@mail.com"/>
        <s v="juan.castro151@mail.com"/>
        <s v="isabella.sanchez54@mail.com"/>
        <s v="daniela.diaz127@mail.com"/>
        <s v="alejandro.castro87@mail.com"/>
        <s v="daniela.torres105@mail.com"/>
        <s v="paula.vargas21@mail.com"/>
        <s v="maria.diaz102@mail.com"/>
        <s v="santiago.perez155@mail.com"/>
        <s v="david.castro104@mail.com"/>
        <s v="david.sanchez51@mail.com"/>
        <s v="paula.sanchez160@mail.com"/>
        <s v="david.ramirez136@mail.com"/>
        <s v="juan.sanchez137@mail.com"/>
        <s v="sebastian.sanchez32@mail.com"/>
        <s v="natalia.perez25@mail.com"/>
        <s v="santiago.vargas41@mail.com"/>
        <s v="isabella.torres124@mail.com"/>
        <s v="sofia.sanchez38@mail.com"/>
        <s v="diego.diaz132@mail.com"/>
        <s v="mateo.rodriguez59@mail.com"/>
        <s v="alejandro.rodriguez123@mail.com"/>
        <s v="paula.ramirez68@mail.com"/>
        <s v="sofia.diaz3@mail.com"/>
        <s v="alejandro.diaz133@mail.com"/>
        <s v="santiago.perez1@mail.com"/>
        <s v="diego.vargas94@mail.com"/>
        <s v="mateo.martinez177@mail.com"/>
        <s v="paula.gomez91@mail.com"/>
        <s v="diego.diaz166@mail.com"/>
        <s v="laura.rodriguez170@mail.com"/>
        <s v="andres.diaz179@mail.com"/>
        <s v="maria.martinez106@mail.com"/>
        <s v="natalia.ortiz107@mail.com"/>
        <s v="fernanda.lopez19@mail.com"/>
        <s v="sebastian.gomez15@mail.com"/>
        <s v="ximena.martinez177@mail.com"/>
        <s v="laura.rodriguez175@mail.com"/>
        <s v="esteban.moreno150@mail.com"/>
        <s v="maria.hernandez83@mail.com"/>
        <s v="david.jimenez192@mail.com"/>
        <s v="manuela.gomez88@mail.com"/>
        <s v="camila.torres39@mail.com"/>
        <s v="daniela.gomez4@mail.com"/>
        <s v="natalia.castro146@mail.com"/>
        <s v="alejandro.gomez26@mail.com"/>
        <s v="alejandro.rodriguez11@mail.com"/>
        <s v="mateo.martinez111@mail.com"/>
        <s v="isabella.martinez177@mail.com"/>
        <s v="santiago.martinez167@mail.com"/>
        <s v="isabella.diaz21@mail.com"/>
        <s v="alejandro.lopez109@mail.com"/>
        <s v="santiago.castro71@mail.com"/>
        <s v="julian.moreno101@mail.com"/>
        <s v="maria.lopez133@mail.com"/>
        <s v="esteban.ortiz133@mail.com"/>
        <s v="miguel.gomez127@mail.com"/>
        <s v="catalina.vargas107@mail.com"/>
        <s v="ricardo.perez175@mail.com"/>
        <s v="santiago.perez76@mail.com"/>
        <s v="gabriela.diaz16@mail.com"/>
        <s v="isabella.jimenez172@mail.com"/>
        <s v="juan.perez187@mail.com"/>
        <s v="ximena.martinez151@mail.com"/>
        <s v="catalina.martinez83@mail.com"/>
        <s v="nicolas.vargas144@mail.com"/>
        <s v="esteban.martinez139@mail.com"/>
        <s v="manuela.torres155@mail.com"/>
        <s v="manuela.moreno133@mail.com"/>
        <s v="daniela.diaz10@mail.com"/>
        <s v="natalia.moreno134@mail.com"/>
        <s v="camila.moreno80@mail.com"/>
        <s v="alejandro.sanchez135@mail.com"/>
        <s v="juan.ortiz87@mail.com"/>
        <s v="sofia.jimenez82@mail.com"/>
        <s v="fernanda.sanchez183@mail.com"/>
        <s v="daniela.martinez68@mail.com"/>
        <s v="nicolas.vargas36@mail.com"/>
        <s v="paula.martinez72@mail.com"/>
        <s v="daniela.martinez5@mail.com"/>
        <s v="isabella.jimenez153@mail.com"/>
        <s v="gabriela.jimenez17@mail.com"/>
        <s v="ricardo.hernandez65@mail.com"/>
        <s v="juan.vargas46@mail.com"/>
        <s v="julian.ortiz58@mail.com"/>
        <s v="juan.hernandez64@mail.com"/>
        <s v="paula.rodriguez185@mail.com"/>
        <s v="manuela.lopez93@mail.com"/>
        <s v="diego.rodriguez184@mail.com"/>
        <s v="fernanda.castro167@mail.com"/>
        <s v="fernanda.vargas118@mail.com"/>
        <s v="felipe.gomez104@mail.com"/>
        <s v="andres.hernandez92@mail.com"/>
        <s v="daniela.rodriguez96@mail.com"/>
        <s v="diego.lopez18@mail.com"/>
        <s v="valentina.hernandez179@mail.com"/>
        <s v="maria.moreno57@mail.com"/>
        <s v="diego.ramirez199@mail.com"/>
        <s v="nicolas.diaz145@mail.com"/>
        <s v="ximena.jimenez193@mail.com"/>
        <s v="natalia.martinez50@mail.com"/>
        <s v="fernanda.ortiz98@mail.com"/>
        <s v="juan.rodriguez171@mail.com"/>
        <s v="mateo.moreno84@mail.com"/>
        <s v="sofia.ramirez104@mail.com"/>
        <s v="alejandro.diaz25@mail.com"/>
        <s v="ximena.rodriguez96@mail.com"/>
        <s v="fernanda.diaz94@mail.com"/>
        <s v="david.diaz183@mail.com"/>
        <s v="juan.hernandez7@mail.com"/>
        <s v="isabella.sanchez59@mail.com"/>
        <s v="julian.castro40@mail.com"/>
        <s v="manuela.martinez152@mail.com"/>
        <s v="mateo.vargas175@mail.com"/>
        <s v="maria.ramirez150@mail.com"/>
        <s v="catalina.jimenez76@mail.com"/>
        <s v="nicolas.lopez125@mail.com"/>
        <s v="camila.gomez147@mail.com"/>
        <s v="miguel.martinez162@mail.com"/>
        <s v="antonia.sanchez54@mail.com"/>
        <s v="nicolas.ortiz56@mail.com"/>
        <s v="ricardo.perez77@mail.com"/>
        <s v="isabella.jimenez170@mail.com"/>
        <s v="valentina.castro178@mail.com"/>
        <s v="andres.perez17@mail.com"/>
        <s v="ximena.sanchez17@mail.com"/>
        <s v="felipe.castro82@mail.com"/>
        <s v="gabriela.gomez77@mail.com"/>
        <s v="natalia.rodriguez191@mail.com"/>
        <s v="diego.jimenez145@mail.com"/>
        <s v="miguel.moreno101@mail.com"/>
        <s v="gabriela.martinez158@mail.com"/>
        <s v="fernanda.torres3@mail.com"/>
        <s v="andres.ramirez90@mail.com"/>
        <s v="fernanda.diaz5@mail.com"/>
        <s v="paula.martinez166@mail.com"/>
        <s v="andres.castro145@mail.com"/>
        <s v="isabella.rodriguez3@mail.com"/>
        <s v="ricardo.gomez12@mail.com"/>
        <s v="valentina.gomez173@mail.com"/>
        <s v="ximena.martinez3@mail.com"/>
        <s v="felipe.moreno124@mail.com"/>
        <s v="ximena.hernandez20@mail.com"/>
        <s v="laura.ortiz181@mail.com"/>
        <s v="isabella.perez156@mail.com"/>
        <s v="gabriela.torres68@mail.com"/>
        <s v="natalia.sanchez57@mail.com"/>
        <s v="julian.lopez73@mail.com"/>
        <s v="santiago.ortiz166@mail.com"/>
        <s v="laura.castro41@mail.com"/>
        <s v="maria.sanchez179@mail.com"/>
        <s v="catalina.ramirez74@mail.com"/>
        <s v="isabella.gomez32@mail.com"/>
        <s v="valentina.sanchez87@mail.com"/>
        <s v="alejandro.ramirez94@mail.com"/>
        <s v="nicolas.castro48@mail.com"/>
        <s v="felipe.gomez23@mail.com"/>
        <s v="paula.ortiz107@mail.com"/>
        <s v="esteban.ortiz18@mail.com"/>
        <s v="nicolas.torres168@mail.com"/>
        <s v="nicolas.jimenez67@mail.com"/>
        <s v="esteban.ramirez113@mail.com"/>
        <s v="catalina.rodriguez37@mail.com"/>
        <s v="david.rodriguez92@mail.com"/>
        <s v="gabriela.diaz161@mail.com"/>
        <s v="sofia.moreno38@mail.com"/>
        <s v="fernanda.sanchez184@mail.com"/>
        <s v="gabriela.lopez37@mail.com"/>
        <s v="felipe.moreno72@mail.com"/>
        <s v="mateo.jimenez97@mail.com"/>
        <s v="natalia.martinez126@mail.com"/>
        <s v="santiago.vargas84@mail.com"/>
        <s v="maria.diaz38@mail.com"/>
        <s v="fernanda.diaz90@mail.com"/>
        <s v="felipe.castro134@mail.com"/>
        <s v="antonia.ortiz67@mail.com"/>
        <s v="ricardo.moreno46@mail.com"/>
        <s v="antonia.torres55@mail.com"/>
        <s v="laura.martinez76@mail.com"/>
        <s v="juan.hernandez122@mail.com"/>
        <s v="fernanda.vargas128@mail.com"/>
        <s v="sofia.ortiz121@mail.com"/>
        <s v="antonia.diaz128@mail.com"/>
        <s v="ximena.perez20@mail.com"/>
        <s v="ximena.martinez49@mail.com"/>
        <s v="natalia.torres177@mail.com"/>
        <s v="laura.ramirez173@mail.com"/>
        <s v="camila.martinez179@mail.com"/>
        <s v="sebastian.jimenez110@mail.com"/>
        <s v="nicolas.sanchez19@mail.com"/>
        <s v="santiago.perez152@mail.com"/>
        <s v="gabriela.jimenez194@mail.com"/>
        <s v="miguel.martinez106@mail.com"/>
        <s v="diego.gomez10@mail.com"/>
        <s v="camila.martinez70@mail.com"/>
        <s v="juan.moreno182@mail.com"/>
        <s v="sofia.castro163@mail.com"/>
        <s v="diego.sanchez113@mail.com"/>
        <s v="paula.hernandez37@mail.com"/>
        <s v="camila.ortiz78@mail.com"/>
        <s v="maria.vargas65@mail.com"/>
        <s v="felipe.torres155@mail.com"/>
        <s v="david.torres153@mail.com"/>
        <s v="diego.lopez175@mail.com"/>
        <s v="catalina.moreno180@mail.com"/>
        <s v="santiago.vargas12@mail.com"/>
        <s v="antonia.lopez65@mail.com"/>
        <s v="sofia.rodriguez63@mail.com"/>
        <s v="esteban.ramirez88@mail.com"/>
        <s v="manuela.ramirez60@mail.com"/>
        <s v="alejandro.jimenez18@mail.com"/>
        <s v="maria.perez11@mail.com"/>
        <s v="catalina.torres188@mail.com"/>
        <s v="valentina.sanchez184@mail.com"/>
        <s v="camila.lopez178@mail.com"/>
        <s v="nicolas.ramirez77@mail.com"/>
        <s v="gabriela.jimenez72@mail.com"/>
        <s v="gabriela.moreno85@mail.com"/>
        <s v="natalia.moreno21@mail.com"/>
        <s v="paula.lopez179@mail.com"/>
        <s v="manuela.rodriguez14@mail.com"/>
        <s v="camila.jimenez104@mail.com"/>
        <s v="valentina.hernandez187@mail.com"/>
        <s v="catalina.moreno46@mail.com"/>
        <s v="paula.ramirez88@mail.com"/>
        <s v="catalina.moreno77@mail.com"/>
        <s v="ximena.torres31@mail.com"/>
        <s v="mateo.sanchez40@mail.com"/>
        <s v="alejandro.jimenez136@mail.com"/>
        <s v="julian.perez48@mail.com"/>
        <s v="juan.castro120@mail.com"/>
        <s v="maria.rodriguez64@mail.com"/>
        <s v="paula.ramirez23@mail.com"/>
        <s v="antonia.ortiz181@mail.com"/>
        <s v="ximena.lopez111@mail.com"/>
        <s v="juan.perez169@mail.com"/>
        <s v="sebastian.ortiz129@mail.com"/>
        <s v="carlos.perez161@mail.com"/>
        <s v="sofia.vargas151@mail.com"/>
        <s v="fernanda.diaz21@mail.com"/>
        <s v="catalina.ortiz48@mail.com"/>
        <s v="felipe.ortiz13@mail.com"/>
        <s v="manuela.ortiz197@mail.com"/>
        <s v="manuela.moreno196@mail.com"/>
        <s v="carlos.jimenez154@mail.com"/>
        <s v="isabella.sanchez101@mail.com"/>
        <s v="paula.castro13@mail.com"/>
        <s v="mateo.moreno80@mail.com"/>
        <s v="valentina.gomez66@mail.com"/>
        <s v="daniela.jimenez151@mail.com"/>
        <s v="sebastian.diaz9@mail.com"/>
        <s v="laura.lopez49@mail.com"/>
        <s v="ximena.ortiz46@mail.com"/>
        <s v="julian.castro138@mail.com"/>
        <s v="ricardo.sanchez162@mail.com"/>
        <s v="juan.jimenez86@mail.com"/>
        <s v="ricardo.moreno136@mail.com"/>
        <s v="sofia.vargas1@mail.com"/>
        <s v="sebastian.sanchez149@mail.com"/>
        <s v="ximena.moreno16@mail.com"/>
        <s v="santiago.ramirez114@mail.com"/>
        <s v="daniela.gomez30@mail.com"/>
        <s v="valentina.ramirez183@mail.com"/>
        <s v="sofia.martinez113@mail.com"/>
        <s v="nicolas.sanchez129@mail.com"/>
        <s v="natalia.castro49@mail.com"/>
        <s v="felipe.vargas36@mail.com"/>
        <s v="gabriela.lopez74@mail.com"/>
        <s v="sebastian.lopez198@mail.com"/>
        <s v="julian.hernandez118@mail.com"/>
        <s v="catalina.diaz162@mail.com"/>
        <s v="fernanda.diaz40@mail.com"/>
        <s v="catalina.torres88@mail.com"/>
        <s v="nicolas.ramirez35@mail.com"/>
        <s v="laura.lopez148@mail.com"/>
        <s v="miguel.perez86@mail.com"/>
        <s v="diego.perez177@mail.com"/>
        <s v="david.sanchez157@mail.com"/>
        <s v="diego.vargas106@mail.com"/>
        <s v="miguel.torres117@mail.com"/>
        <s v="david.moreno178@mail.com"/>
        <s v="esteban.ramirez134@mail.com"/>
        <s v="antonia.ortiz107@mail.com"/>
        <s v="antonia.perez1@mail.com"/>
        <s v="maria.hernandez194@mail.com"/>
        <s v="alejandro.gomez7@mail.com"/>
        <s v="laura.rodriguez172@mail.com"/>
        <s v="juan.rodriguez27@mail.com"/>
        <s v="sebastian.ortiz10@mail.com"/>
        <s v="andres.perez88@mail.com"/>
        <s v="david.vargas127@mail.com"/>
        <s v="ricardo.ortiz156@mail.com"/>
        <s v="manuela.lopez17@mail.com"/>
        <s v="gabriela.hernandez179@mail.com"/>
        <s v="santiago.torres123@mail.com"/>
        <s v="julian.diaz162@mail.com"/>
        <s v="antonia.torres113@mail.com"/>
        <s v="catalina.jimenez98@mail.com"/>
        <s v="santiago.rodriguez157@mail.com"/>
        <s v="david.torres12@mail.com"/>
        <s v="diego.perez58@mail.com"/>
        <s v="andres.ortiz83@mail.com"/>
        <s v="alejandro.jimenez59@mail.com"/>
        <s v="manuela.diaz185@mail.com"/>
        <s v="maria.diaz32@mail.com"/>
        <s v="julian.jimenez75@mail.com"/>
        <s v="felipe.martinez80@mail.com"/>
        <s v="antonia.perez111@mail.com"/>
        <s v="manuela.jimenez173@mail.com"/>
        <s v="camila.castro184@mail.com"/>
        <s v="camila.ramirez98@mail.com"/>
        <s v="laura.castro129@mail.com"/>
        <s v="laura.rodriguez159@mail.com"/>
        <s v="miguel.gomez39@mail.com"/>
        <s v="miguel.ramirez33@mail.com"/>
        <s v="daniela.moreno56@mail.com"/>
        <s v="natalia.ortiz8@mail.com"/>
        <s v="miguel.torres15@mail.com"/>
        <s v="julian.moreno88@mail.com"/>
        <s v="fernanda.martinez133@mail.com"/>
        <s v="esteban.martinez196@mail.com"/>
        <s v="catalina.perez151@mail.com"/>
        <s v="camila.gomez75@mail.com"/>
        <s v="paula.perez26@mail.com"/>
        <s v="nicolas.sanchez143@mail.com"/>
        <s v="ximena.hernandez32@mail.com"/>
        <s v="mateo.torres156@mail.com"/>
        <s v="sofia.ortiz74@mail.com"/>
        <s v="ximena.vargas192@mail.com"/>
        <s v="daniela.perez170@mail.com"/>
        <s v="felipe.moreno37@mail.com"/>
        <s v="felipe.sanchez44@mail.com"/>
        <s v="sofia.rodriguez175@mail.com"/>
        <s v="sofia.ramirez120@mail.com"/>
        <s v="camila.ramirez87@mail.com"/>
        <s v="miguel.gomez141@mail.com"/>
        <s v="maria.diaz9@mail.com"/>
        <s v="catalina.ortiz88@mail.com"/>
        <s v="diego.hernandez121@mail.com"/>
        <s v="carlos.ramirez199@mail.com"/>
        <s v="natalia.gomez32@mail.com"/>
        <s v="laura.sanchez152@mail.com"/>
        <s v="santiago.diaz113@mail.com"/>
        <s v="camila.torres119@mail.com"/>
        <s v="esteban.castro8@mail.com"/>
        <s v="manuela.moreno170@mail.com"/>
        <s v="miguel.ramirez84@mail.com"/>
        <s v="diego.torres163@mail.com"/>
        <s v="gabriela.rodriguez57@mail.com"/>
        <s v="valentina.moreno45@mail.com"/>
        <s v="ricardo.gomez13@mail.com"/>
        <s v="isabella.hernandez120@mail.com"/>
        <s v="gabriela.ramirez127@mail.com"/>
        <s v="carlos.hernandez187@mail.com"/>
        <s v="catalina.ortiz43@mail.com"/>
        <s v="carlos.ortiz198@mail.com"/>
        <s v="alejandro.ramirez26@mail.com"/>
        <s v="nicolas.torres167@mail.com"/>
        <s v="antonia.hernandez62@mail.com"/>
        <s v="fernanda.castro60@mail.com"/>
        <s v="gabriela.moreno102@mail.com"/>
        <s v="daniela.castro174@mail.com"/>
        <s v="maria.jimenez50@mail.com"/>
        <s v="isabella.jimenez74@mail.com"/>
        <s v="mateo.gomez165@mail.com"/>
        <s v="miguel.vargas135@mail.com"/>
        <s v="antonia.diaz182@mail.com"/>
        <s v="miguel.torres68@mail.com"/>
        <s v="alejandro.moreno10@mail.com"/>
        <s v="antonia.sanchez26@mail.com"/>
        <s v="felipe.gomez162@mail.com"/>
        <s v="alejandro.hernandez159@mail.com"/>
        <s v="mateo.vargas183@mail.com"/>
        <s v="miguel.torres45@mail.com"/>
        <s v="natalia.perez148@mail.com"/>
        <s v="carlos.ramirez174@mail.com"/>
        <s v="juan.lopez97@mail.com"/>
        <s v="ricardo.castro175@mail.com"/>
        <s v="isabella.diaz32@mail.com"/>
        <s v="santiago.lopez161@mail.com"/>
        <s v="sebastian.ramirez112@mail.com"/>
        <s v="julian.diaz86@mail.com"/>
        <s v="nicolas.jimenez18@mail.com"/>
        <s v="carlos.lopez162@mail.com"/>
        <s v="mateo.castro114@mail.com"/>
        <s v="david.rodriguez41@mail.com"/>
        <s v="antonia.hernandez138@mail.com"/>
        <s v="santiago.ortiz48@mail.com"/>
        <s v="esteban.lopez36@mail.com"/>
        <s v="alejandro.lopez106@mail.com"/>
        <s v="manuela.vargas42@mail.com"/>
        <s v="gabriela.moreno186@mail.com"/>
        <s v="nicolas.hernandez157@mail.com"/>
        <s v="isabella.lopez63@mail.com"/>
        <s v="alejandro.ramirez44@mail.com"/>
        <s v="carlos.jimenez33@mail.com"/>
        <s v="nicolas.jimenez40@mail.com"/>
        <s v="valentina.torres86@mail.com"/>
        <s v="ximena.hernandez82@mail.com"/>
        <s v="santiago.diaz173@mail.com"/>
        <s v="isabella.ramirez140@mail.com"/>
        <s v="paula.lopez32@mail.com"/>
        <s v="camila.torres72@mail.com"/>
        <s v="ximena.ramirez160@mail.com"/>
        <s v="miguel.ortiz48@mail.com"/>
        <s v="natalia.moreno172@mail.com"/>
        <s v="julian.rodriguez156@mail.com"/>
        <s v="manuela.hernandez136@mail.com"/>
        <s v="isabella.torres121@mail.com"/>
        <s v="camila.martinez120@mail.com"/>
        <s v="miguel.martinez6@mail.com"/>
        <s v="manuela.lopez22@mail.com"/>
        <s v="julian.castro100@mail.com"/>
        <s v="valentina.torres64@mail.com"/>
        <s v="paula.perez174@mail.com"/>
        <s v="santiago.ramirez43@mail.com"/>
        <s v="santiago.sanchez93@mail.com"/>
        <s v="manuela.sanchez66@mail.com"/>
        <s v="felipe.martinez140@mail.com"/>
        <s v="ricardo.moreno144@mail.com"/>
        <s v="sofia.torres150@mail.com"/>
      </sharedItems>
    </cacheField>
    <cacheField name="city" numFmtId="0">
      <sharedItems count="7">
        <s v="Medellin"/>
        <s v="Barranquilla"/>
        <s v="Cartagena"/>
        <s v="Bogota"/>
        <s v="Bucaramanga"/>
        <s v="Cali"/>
        <s v=""/>
      </sharedItems>
    </cacheField>
    <cacheField name="country" numFmtId="0">
      <sharedItems count="1">
        <s v="Colombia"/>
      </sharedItems>
    </cacheField>
    <cacheField name="acquisition_channel" numFmtId="0">
      <sharedItems count="5">
        <s v="Instagram Ads"/>
        <s v="WhatsApp"/>
        <s v="Facebook Ads"/>
        <s v="Organico"/>
        <s v="Referido"/>
      </sharedItems>
    </cacheField>
    <cacheField name="supplier_info" numFmtId="0">
      <sharedItems count="4">
        <s v="Bodega Propia CO - envio 2-3 dias"/>
        <s v="AliDropship CN - envio 15-20 dias"/>
        <s v="HandyGoods MX - envio 5-8 dias"/>
        <s v="CJ Dropshipping CN - envio 10-15 dias"/>
      </sharedItems>
    </cacheField>
    <cacheField name="shipping_cost" numFmtId="0">
      <sharedItems containsSemiMixedTypes="0" containsString="0" containsNumber="1" minValue="2" maxValue="3.2" count="4">
        <n v="2"/>
        <n v="3"/>
        <n v="2.4"/>
        <n v="3.2"/>
      </sharedItems>
    </cacheField>
  </cacheFields>
  <extLst>
    <ext xmlns:x14="http://schemas.microsoft.com/office/spreadsheetml/2009/9/main" uri="{725AE2AE-9491-48be-B2B4-4EB974FC3084}">
      <x14:pivotCacheDefinition pivotCacheId="1300190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3">
  <r>
    <x v="0"/>
    <x v="0"/>
    <x v="0"/>
    <x v="0"/>
    <x v="0"/>
    <x v="0"/>
    <x v="0"/>
    <x v="0"/>
    <x v="0"/>
    <x v="0"/>
    <x v="0"/>
    <x v="0"/>
    <x v="0"/>
    <x v="0"/>
    <x v="0"/>
    <x v="0"/>
    <x v="0"/>
    <x v="0"/>
    <x v="0"/>
    <x v="0"/>
    <x v="0"/>
    <x v="0"/>
    <x v="0"/>
  </r>
  <r>
    <x v="1"/>
    <x v="0"/>
    <x v="1"/>
    <x v="1"/>
    <x v="1"/>
    <x v="1"/>
    <x v="1"/>
    <x v="1"/>
    <x v="1"/>
    <x v="1"/>
    <x v="1"/>
    <x v="0"/>
    <x v="1"/>
    <x v="1"/>
    <x v="0"/>
    <x v="1"/>
    <x v="1"/>
    <x v="1"/>
    <x v="1"/>
    <x v="0"/>
    <x v="1"/>
    <x v="0"/>
    <x v="0"/>
  </r>
  <r>
    <x v="2"/>
    <x v="1"/>
    <x v="0"/>
    <x v="2"/>
    <x v="2"/>
    <x v="2"/>
    <x v="2"/>
    <x v="1"/>
    <x v="0"/>
    <x v="0"/>
    <x v="0"/>
    <x v="0"/>
    <x v="0"/>
    <x v="0"/>
    <x v="0"/>
    <x v="0"/>
    <x v="2"/>
    <x v="2"/>
    <x v="2"/>
    <x v="0"/>
    <x v="2"/>
    <x v="0"/>
    <x v="0"/>
  </r>
  <r>
    <x v="3"/>
    <x v="0"/>
    <x v="2"/>
    <x v="3"/>
    <x v="3"/>
    <x v="1"/>
    <x v="3"/>
    <x v="2"/>
    <x v="2"/>
    <x v="2"/>
    <x v="2"/>
    <x v="1"/>
    <x v="2"/>
    <x v="2"/>
    <x v="0"/>
    <x v="2"/>
    <x v="3"/>
    <x v="3"/>
    <x v="3"/>
    <x v="0"/>
    <x v="3"/>
    <x v="1"/>
    <x v="1"/>
  </r>
  <r>
    <x v="4"/>
    <x v="1"/>
    <x v="2"/>
    <x v="4"/>
    <x v="4"/>
    <x v="3"/>
    <x v="2"/>
    <x v="2"/>
    <x v="2"/>
    <x v="2"/>
    <x v="2"/>
    <x v="1"/>
    <x v="2"/>
    <x v="2"/>
    <x v="0"/>
    <x v="2"/>
    <x v="4"/>
    <x v="4"/>
    <x v="1"/>
    <x v="0"/>
    <x v="0"/>
    <x v="1"/>
    <x v="1"/>
  </r>
  <r>
    <x v="5"/>
    <x v="1"/>
    <x v="3"/>
    <x v="5"/>
    <x v="5"/>
    <x v="1"/>
    <x v="1"/>
    <x v="0"/>
    <x v="3"/>
    <x v="3"/>
    <x v="3"/>
    <x v="0"/>
    <x v="2"/>
    <x v="2"/>
    <x v="0"/>
    <x v="2"/>
    <x v="5"/>
    <x v="5"/>
    <x v="0"/>
    <x v="0"/>
    <x v="0"/>
    <x v="0"/>
    <x v="0"/>
  </r>
  <r>
    <x v="6"/>
    <x v="1"/>
    <x v="1"/>
    <x v="6"/>
    <x v="6"/>
    <x v="1"/>
    <x v="0"/>
    <x v="1"/>
    <x v="1"/>
    <x v="1"/>
    <x v="1"/>
    <x v="0"/>
    <x v="1"/>
    <x v="1"/>
    <x v="0"/>
    <x v="1"/>
    <x v="6"/>
    <x v="6"/>
    <x v="0"/>
    <x v="0"/>
    <x v="4"/>
    <x v="0"/>
    <x v="0"/>
  </r>
  <r>
    <x v="7"/>
    <x v="2"/>
    <x v="4"/>
    <x v="7"/>
    <x v="7"/>
    <x v="3"/>
    <x v="2"/>
    <x v="0"/>
    <x v="4"/>
    <x v="4"/>
    <x v="4"/>
    <x v="1"/>
    <x v="0"/>
    <x v="0"/>
    <x v="0"/>
    <x v="0"/>
    <x v="7"/>
    <x v="7"/>
    <x v="4"/>
    <x v="0"/>
    <x v="0"/>
    <x v="2"/>
    <x v="2"/>
  </r>
  <r>
    <x v="8"/>
    <x v="1"/>
    <x v="0"/>
    <x v="2"/>
    <x v="8"/>
    <x v="1"/>
    <x v="1"/>
    <x v="2"/>
    <x v="0"/>
    <x v="0"/>
    <x v="0"/>
    <x v="0"/>
    <x v="0"/>
    <x v="0"/>
    <x v="0"/>
    <x v="0"/>
    <x v="8"/>
    <x v="8"/>
    <x v="3"/>
    <x v="0"/>
    <x v="4"/>
    <x v="0"/>
    <x v="0"/>
  </r>
  <r>
    <x v="9"/>
    <x v="1"/>
    <x v="5"/>
    <x v="8"/>
    <x v="9"/>
    <x v="1"/>
    <x v="4"/>
    <x v="3"/>
    <x v="5"/>
    <x v="5"/>
    <x v="5"/>
    <x v="1"/>
    <x v="1"/>
    <x v="1"/>
    <x v="0"/>
    <x v="1"/>
    <x v="9"/>
    <x v="9"/>
    <x v="1"/>
    <x v="0"/>
    <x v="3"/>
    <x v="3"/>
    <x v="3"/>
  </r>
  <r>
    <x v="10"/>
    <x v="1"/>
    <x v="4"/>
    <x v="9"/>
    <x v="10"/>
    <x v="2"/>
    <x v="2"/>
    <x v="2"/>
    <x v="4"/>
    <x v="4"/>
    <x v="4"/>
    <x v="1"/>
    <x v="0"/>
    <x v="0"/>
    <x v="0"/>
    <x v="0"/>
    <x v="10"/>
    <x v="10"/>
    <x v="5"/>
    <x v="0"/>
    <x v="2"/>
    <x v="2"/>
    <x v="2"/>
  </r>
  <r>
    <x v="11"/>
    <x v="2"/>
    <x v="0"/>
    <x v="10"/>
    <x v="11"/>
    <x v="1"/>
    <x v="1"/>
    <x v="0"/>
    <x v="0"/>
    <x v="0"/>
    <x v="0"/>
    <x v="0"/>
    <x v="0"/>
    <x v="0"/>
    <x v="0"/>
    <x v="0"/>
    <x v="9"/>
    <x v="9"/>
    <x v="1"/>
    <x v="0"/>
    <x v="3"/>
    <x v="0"/>
    <x v="0"/>
  </r>
  <r>
    <x v="12"/>
    <x v="2"/>
    <x v="0"/>
    <x v="10"/>
    <x v="12"/>
    <x v="1"/>
    <x v="1"/>
    <x v="2"/>
    <x v="0"/>
    <x v="0"/>
    <x v="0"/>
    <x v="0"/>
    <x v="0"/>
    <x v="0"/>
    <x v="0"/>
    <x v="0"/>
    <x v="11"/>
    <x v="11"/>
    <x v="1"/>
    <x v="0"/>
    <x v="0"/>
    <x v="0"/>
    <x v="0"/>
  </r>
  <r>
    <x v="13"/>
    <x v="2"/>
    <x v="0"/>
    <x v="10"/>
    <x v="13"/>
    <x v="1"/>
    <x v="0"/>
    <x v="0"/>
    <x v="0"/>
    <x v="0"/>
    <x v="0"/>
    <x v="0"/>
    <x v="0"/>
    <x v="0"/>
    <x v="0"/>
    <x v="0"/>
    <x v="12"/>
    <x v="12"/>
    <x v="2"/>
    <x v="0"/>
    <x v="4"/>
    <x v="0"/>
    <x v="0"/>
  </r>
  <r>
    <x v="14"/>
    <x v="2"/>
    <x v="3"/>
    <x v="11"/>
    <x v="14"/>
    <x v="1"/>
    <x v="1"/>
    <x v="1"/>
    <x v="3"/>
    <x v="3"/>
    <x v="3"/>
    <x v="0"/>
    <x v="2"/>
    <x v="2"/>
    <x v="0"/>
    <x v="2"/>
    <x v="13"/>
    <x v="13"/>
    <x v="5"/>
    <x v="0"/>
    <x v="3"/>
    <x v="0"/>
    <x v="0"/>
  </r>
  <r>
    <x v="15"/>
    <x v="0"/>
    <x v="1"/>
    <x v="1"/>
    <x v="15"/>
    <x v="3"/>
    <x v="2"/>
    <x v="2"/>
    <x v="1"/>
    <x v="1"/>
    <x v="1"/>
    <x v="0"/>
    <x v="1"/>
    <x v="1"/>
    <x v="0"/>
    <x v="1"/>
    <x v="14"/>
    <x v="14"/>
    <x v="3"/>
    <x v="0"/>
    <x v="4"/>
    <x v="0"/>
    <x v="0"/>
  </r>
  <r>
    <x v="16"/>
    <x v="1"/>
    <x v="2"/>
    <x v="4"/>
    <x v="13"/>
    <x v="1"/>
    <x v="5"/>
    <x v="0"/>
    <x v="2"/>
    <x v="2"/>
    <x v="2"/>
    <x v="1"/>
    <x v="2"/>
    <x v="2"/>
    <x v="0"/>
    <x v="2"/>
    <x v="15"/>
    <x v="15"/>
    <x v="4"/>
    <x v="0"/>
    <x v="1"/>
    <x v="1"/>
    <x v="1"/>
  </r>
  <r>
    <x v="17"/>
    <x v="1"/>
    <x v="5"/>
    <x v="8"/>
    <x v="16"/>
    <x v="2"/>
    <x v="2"/>
    <x v="0"/>
    <x v="5"/>
    <x v="5"/>
    <x v="5"/>
    <x v="1"/>
    <x v="1"/>
    <x v="1"/>
    <x v="0"/>
    <x v="1"/>
    <x v="16"/>
    <x v="16"/>
    <x v="0"/>
    <x v="0"/>
    <x v="2"/>
    <x v="3"/>
    <x v="3"/>
  </r>
  <r>
    <x v="18"/>
    <x v="0"/>
    <x v="5"/>
    <x v="12"/>
    <x v="17"/>
    <x v="2"/>
    <x v="2"/>
    <x v="3"/>
    <x v="5"/>
    <x v="5"/>
    <x v="5"/>
    <x v="1"/>
    <x v="1"/>
    <x v="1"/>
    <x v="0"/>
    <x v="1"/>
    <x v="17"/>
    <x v="17"/>
    <x v="3"/>
    <x v="0"/>
    <x v="3"/>
    <x v="3"/>
    <x v="3"/>
  </r>
  <r>
    <x v="19"/>
    <x v="1"/>
    <x v="3"/>
    <x v="5"/>
    <x v="18"/>
    <x v="2"/>
    <x v="2"/>
    <x v="1"/>
    <x v="3"/>
    <x v="3"/>
    <x v="3"/>
    <x v="0"/>
    <x v="2"/>
    <x v="2"/>
    <x v="0"/>
    <x v="2"/>
    <x v="18"/>
    <x v="18"/>
    <x v="0"/>
    <x v="0"/>
    <x v="4"/>
    <x v="0"/>
    <x v="0"/>
  </r>
  <r>
    <x v="20"/>
    <x v="1"/>
    <x v="5"/>
    <x v="8"/>
    <x v="11"/>
    <x v="1"/>
    <x v="6"/>
    <x v="3"/>
    <x v="5"/>
    <x v="5"/>
    <x v="5"/>
    <x v="1"/>
    <x v="1"/>
    <x v="1"/>
    <x v="0"/>
    <x v="1"/>
    <x v="19"/>
    <x v="19"/>
    <x v="2"/>
    <x v="0"/>
    <x v="2"/>
    <x v="3"/>
    <x v="3"/>
  </r>
  <r>
    <x v="21"/>
    <x v="1"/>
    <x v="1"/>
    <x v="6"/>
    <x v="19"/>
    <x v="1"/>
    <x v="0"/>
    <x v="2"/>
    <x v="1"/>
    <x v="1"/>
    <x v="1"/>
    <x v="0"/>
    <x v="1"/>
    <x v="1"/>
    <x v="0"/>
    <x v="1"/>
    <x v="5"/>
    <x v="20"/>
    <x v="0"/>
    <x v="0"/>
    <x v="3"/>
    <x v="0"/>
    <x v="0"/>
  </r>
  <r>
    <x v="22"/>
    <x v="2"/>
    <x v="2"/>
    <x v="13"/>
    <x v="20"/>
    <x v="2"/>
    <x v="2"/>
    <x v="0"/>
    <x v="2"/>
    <x v="2"/>
    <x v="2"/>
    <x v="1"/>
    <x v="2"/>
    <x v="2"/>
    <x v="0"/>
    <x v="2"/>
    <x v="20"/>
    <x v="21"/>
    <x v="3"/>
    <x v="0"/>
    <x v="1"/>
    <x v="1"/>
    <x v="1"/>
  </r>
  <r>
    <x v="23"/>
    <x v="1"/>
    <x v="3"/>
    <x v="5"/>
    <x v="18"/>
    <x v="3"/>
    <x v="2"/>
    <x v="1"/>
    <x v="3"/>
    <x v="3"/>
    <x v="3"/>
    <x v="0"/>
    <x v="2"/>
    <x v="2"/>
    <x v="0"/>
    <x v="2"/>
    <x v="21"/>
    <x v="22"/>
    <x v="5"/>
    <x v="0"/>
    <x v="2"/>
    <x v="0"/>
    <x v="0"/>
  </r>
  <r>
    <x v="24"/>
    <x v="2"/>
    <x v="0"/>
    <x v="10"/>
    <x v="5"/>
    <x v="1"/>
    <x v="1"/>
    <x v="1"/>
    <x v="0"/>
    <x v="0"/>
    <x v="0"/>
    <x v="0"/>
    <x v="0"/>
    <x v="0"/>
    <x v="0"/>
    <x v="0"/>
    <x v="22"/>
    <x v="23"/>
    <x v="5"/>
    <x v="0"/>
    <x v="1"/>
    <x v="0"/>
    <x v="0"/>
  </r>
  <r>
    <x v="25"/>
    <x v="1"/>
    <x v="2"/>
    <x v="4"/>
    <x v="21"/>
    <x v="1"/>
    <x v="5"/>
    <x v="3"/>
    <x v="2"/>
    <x v="2"/>
    <x v="2"/>
    <x v="1"/>
    <x v="2"/>
    <x v="2"/>
    <x v="0"/>
    <x v="2"/>
    <x v="23"/>
    <x v="24"/>
    <x v="0"/>
    <x v="0"/>
    <x v="4"/>
    <x v="1"/>
    <x v="1"/>
  </r>
  <r>
    <x v="26"/>
    <x v="1"/>
    <x v="5"/>
    <x v="8"/>
    <x v="22"/>
    <x v="1"/>
    <x v="6"/>
    <x v="2"/>
    <x v="5"/>
    <x v="5"/>
    <x v="5"/>
    <x v="1"/>
    <x v="1"/>
    <x v="1"/>
    <x v="0"/>
    <x v="1"/>
    <x v="24"/>
    <x v="25"/>
    <x v="2"/>
    <x v="0"/>
    <x v="0"/>
    <x v="3"/>
    <x v="3"/>
  </r>
  <r>
    <x v="27"/>
    <x v="2"/>
    <x v="2"/>
    <x v="13"/>
    <x v="23"/>
    <x v="2"/>
    <x v="2"/>
    <x v="3"/>
    <x v="2"/>
    <x v="2"/>
    <x v="2"/>
    <x v="1"/>
    <x v="2"/>
    <x v="2"/>
    <x v="0"/>
    <x v="2"/>
    <x v="25"/>
    <x v="26"/>
    <x v="4"/>
    <x v="0"/>
    <x v="3"/>
    <x v="1"/>
    <x v="1"/>
  </r>
  <r>
    <x v="28"/>
    <x v="1"/>
    <x v="3"/>
    <x v="5"/>
    <x v="24"/>
    <x v="2"/>
    <x v="2"/>
    <x v="3"/>
    <x v="3"/>
    <x v="3"/>
    <x v="3"/>
    <x v="0"/>
    <x v="2"/>
    <x v="2"/>
    <x v="0"/>
    <x v="2"/>
    <x v="26"/>
    <x v="27"/>
    <x v="2"/>
    <x v="0"/>
    <x v="3"/>
    <x v="0"/>
    <x v="0"/>
  </r>
  <r>
    <x v="29"/>
    <x v="1"/>
    <x v="2"/>
    <x v="4"/>
    <x v="13"/>
    <x v="1"/>
    <x v="3"/>
    <x v="3"/>
    <x v="2"/>
    <x v="2"/>
    <x v="2"/>
    <x v="1"/>
    <x v="2"/>
    <x v="2"/>
    <x v="0"/>
    <x v="2"/>
    <x v="27"/>
    <x v="28"/>
    <x v="4"/>
    <x v="0"/>
    <x v="4"/>
    <x v="1"/>
    <x v="1"/>
  </r>
  <r>
    <x v="30"/>
    <x v="1"/>
    <x v="1"/>
    <x v="6"/>
    <x v="25"/>
    <x v="1"/>
    <x v="7"/>
    <x v="3"/>
    <x v="1"/>
    <x v="1"/>
    <x v="1"/>
    <x v="0"/>
    <x v="1"/>
    <x v="1"/>
    <x v="0"/>
    <x v="1"/>
    <x v="28"/>
    <x v="29"/>
    <x v="3"/>
    <x v="0"/>
    <x v="4"/>
    <x v="0"/>
    <x v="0"/>
  </r>
  <r>
    <x v="31"/>
    <x v="2"/>
    <x v="5"/>
    <x v="14"/>
    <x v="22"/>
    <x v="1"/>
    <x v="8"/>
    <x v="3"/>
    <x v="5"/>
    <x v="5"/>
    <x v="5"/>
    <x v="1"/>
    <x v="1"/>
    <x v="1"/>
    <x v="0"/>
    <x v="1"/>
    <x v="24"/>
    <x v="30"/>
    <x v="5"/>
    <x v="0"/>
    <x v="4"/>
    <x v="3"/>
    <x v="3"/>
  </r>
  <r>
    <x v="32"/>
    <x v="1"/>
    <x v="4"/>
    <x v="9"/>
    <x v="26"/>
    <x v="1"/>
    <x v="9"/>
    <x v="1"/>
    <x v="4"/>
    <x v="4"/>
    <x v="4"/>
    <x v="1"/>
    <x v="0"/>
    <x v="0"/>
    <x v="0"/>
    <x v="0"/>
    <x v="29"/>
    <x v="31"/>
    <x v="1"/>
    <x v="0"/>
    <x v="1"/>
    <x v="2"/>
    <x v="2"/>
  </r>
  <r>
    <x v="33"/>
    <x v="1"/>
    <x v="2"/>
    <x v="4"/>
    <x v="27"/>
    <x v="3"/>
    <x v="2"/>
    <x v="2"/>
    <x v="2"/>
    <x v="2"/>
    <x v="2"/>
    <x v="1"/>
    <x v="2"/>
    <x v="2"/>
    <x v="0"/>
    <x v="2"/>
    <x v="5"/>
    <x v="5"/>
    <x v="0"/>
    <x v="0"/>
    <x v="0"/>
    <x v="1"/>
    <x v="1"/>
  </r>
  <r>
    <x v="34"/>
    <x v="2"/>
    <x v="4"/>
    <x v="7"/>
    <x v="28"/>
    <x v="4"/>
    <x v="2"/>
    <x v="0"/>
    <x v="4"/>
    <x v="4"/>
    <x v="4"/>
    <x v="1"/>
    <x v="0"/>
    <x v="0"/>
    <x v="0"/>
    <x v="0"/>
    <x v="30"/>
    <x v="32"/>
    <x v="3"/>
    <x v="0"/>
    <x v="1"/>
    <x v="2"/>
    <x v="2"/>
  </r>
  <r>
    <x v="35"/>
    <x v="2"/>
    <x v="1"/>
    <x v="15"/>
    <x v="29"/>
    <x v="1"/>
    <x v="1"/>
    <x v="0"/>
    <x v="1"/>
    <x v="1"/>
    <x v="1"/>
    <x v="0"/>
    <x v="1"/>
    <x v="1"/>
    <x v="0"/>
    <x v="1"/>
    <x v="22"/>
    <x v="23"/>
    <x v="5"/>
    <x v="0"/>
    <x v="1"/>
    <x v="0"/>
    <x v="0"/>
  </r>
  <r>
    <x v="36"/>
    <x v="1"/>
    <x v="1"/>
    <x v="6"/>
    <x v="24"/>
    <x v="1"/>
    <x v="1"/>
    <x v="1"/>
    <x v="1"/>
    <x v="1"/>
    <x v="1"/>
    <x v="0"/>
    <x v="1"/>
    <x v="1"/>
    <x v="0"/>
    <x v="1"/>
    <x v="31"/>
    <x v="33"/>
    <x v="4"/>
    <x v="0"/>
    <x v="1"/>
    <x v="0"/>
    <x v="0"/>
  </r>
  <r>
    <x v="37"/>
    <x v="1"/>
    <x v="0"/>
    <x v="2"/>
    <x v="30"/>
    <x v="2"/>
    <x v="2"/>
    <x v="0"/>
    <x v="0"/>
    <x v="0"/>
    <x v="0"/>
    <x v="0"/>
    <x v="0"/>
    <x v="0"/>
    <x v="0"/>
    <x v="0"/>
    <x v="10"/>
    <x v="34"/>
    <x v="2"/>
    <x v="0"/>
    <x v="4"/>
    <x v="0"/>
    <x v="0"/>
  </r>
  <r>
    <x v="38"/>
    <x v="1"/>
    <x v="1"/>
    <x v="6"/>
    <x v="31"/>
    <x v="1"/>
    <x v="1"/>
    <x v="3"/>
    <x v="1"/>
    <x v="1"/>
    <x v="1"/>
    <x v="0"/>
    <x v="1"/>
    <x v="1"/>
    <x v="0"/>
    <x v="1"/>
    <x v="0"/>
    <x v="0"/>
    <x v="0"/>
    <x v="0"/>
    <x v="0"/>
    <x v="0"/>
    <x v="0"/>
  </r>
  <r>
    <x v="39"/>
    <x v="1"/>
    <x v="5"/>
    <x v="8"/>
    <x v="32"/>
    <x v="1"/>
    <x v="10"/>
    <x v="3"/>
    <x v="5"/>
    <x v="5"/>
    <x v="5"/>
    <x v="1"/>
    <x v="1"/>
    <x v="1"/>
    <x v="0"/>
    <x v="1"/>
    <x v="32"/>
    <x v="35"/>
    <x v="3"/>
    <x v="0"/>
    <x v="3"/>
    <x v="3"/>
    <x v="3"/>
  </r>
  <r>
    <x v="40"/>
    <x v="1"/>
    <x v="3"/>
    <x v="5"/>
    <x v="31"/>
    <x v="1"/>
    <x v="1"/>
    <x v="1"/>
    <x v="3"/>
    <x v="3"/>
    <x v="3"/>
    <x v="0"/>
    <x v="2"/>
    <x v="2"/>
    <x v="0"/>
    <x v="2"/>
    <x v="33"/>
    <x v="36"/>
    <x v="0"/>
    <x v="0"/>
    <x v="3"/>
    <x v="0"/>
    <x v="0"/>
  </r>
  <r>
    <x v="41"/>
    <x v="1"/>
    <x v="5"/>
    <x v="8"/>
    <x v="33"/>
    <x v="1"/>
    <x v="11"/>
    <x v="3"/>
    <x v="5"/>
    <x v="5"/>
    <x v="5"/>
    <x v="1"/>
    <x v="1"/>
    <x v="1"/>
    <x v="0"/>
    <x v="1"/>
    <x v="34"/>
    <x v="37"/>
    <x v="0"/>
    <x v="0"/>
    <x v="1"/>
    <x v="3"/>
    <x v="3"/>
  </r>
  <r>
    <x v="42"/>
    <x v="1"/>
    <x v="5"/>
    <x v="8"/>
    <x v="15"/>
    <x v="1"/>
    <x v="8"/>
    <x v="0"/>
    <x v="5"/>
    <x v="5"/>
    <x v="5"/>
    <x v="1"/>
    <x v="1"/>
    <x v="1"/>
    <x v="0"/>
    <x v="1"/>
    <x v="18"/>
    <x v="18"/>
    <x v="0"/>
    <x v="0"/>
    <x v="4"/>
    <x v="3"/>
    <x v="3"/>
  </r>
  <r>
    <x v="43"/>
    <x v="1"/>
    <x v="5"/>
    <x v="8"/>
    <x v="34"/>
    <x v="1"/>
    <x v="5"/>
    <x v="0"/>
    <x v="5"/>
    <x v="5"/>
    <x v="5"/>
    <x v="1"/>
    <x v="1"/>
    <x v="1"/>
    <x v="0"/>
    <x v="1"/>
    <x v="19"/>
    <x v="19"/>
    <x v="2"/>
    <x v="0"/>
    <x v="2"/>
    <x v="3"/>
    <x v="3"/>
  </r>
  <r>
    <x v="44"/>
    <x v="1"/>
    <x v="2"/>
    <x v="4"/>
    <x v="10"/>
    <x v="1"/>
    <x v="12"/>
    <x v="3"/>
    <x v="2"/>
    <x v="2"/>
    <x v="2"/>
    <x v="1"/>
    <x v="2"/>
    <x v="2"/>
    <x v="0"/>
    <x v="2"/>
    <x v="35"/>
    <x v="38"/>
    <x v="3"/>
    <x v="0"/>
    <x v="4"/>
    <x v="1"/>
    <x v="1"/>
  </r>
  <r>
    <x v="45"/>
    <x v="1"/>
    <x v="5"/>
    <x v="8"/>
    <x v="3"/>
    <x v="1"/>
    <x v="10"/>
    <x v="2"/>
    <x v="5"/>
    <x v="5"/>
    <x v="5"/>
    <x v="1"/>
    <x v="1"/>
    <x v="1"/>
    <x v="0"/>
    <x v="1"/>
    <x v="36"/>
    <x v="39"/>
    <x v="2"/>
    <x v="0"/>
    <x v="2"/>
    <x v="3"/>
    <x v="3"/>
  </r>
  <r>
    <x v="46"/>
    <x v="1"/>
    <x v="0"/>
    <x v="2"/>
    <x v="35"/>
    <x v="0"/>
    <x v="0"/>
    <x v="2"/>
    <x v="0"/>
    <x v="0"/>
    <x v="0"/>
    <x v="0"/>
    <x v="0"/>
    <x v="0"/>
    <x v="0"/>
    <x v="0"/>
    <x v="35"/>
    <x v="38"/>
    <x v="3"/>
    <x v="0"/>
    <x v="4"/>
    <x v="0"/>
    <x v="0"/>
  </r>
  <r>
    <x v="47"/>
    <x v="0"/>
    <x v="1"/>
    <x v="1"/>
    <x v="36"/>
    <x v="3"/>
    <x v="2"/>
    <x v="1"/>
    <x v="1"/>
    <x v="1"/>
    <x v="1"/>
    <x v="0"/>
    <x v="1"/>
    <x v="1"/>
    <x v="0"/>
    <x v="1"/>
    <x v="37"/>
    <x v="40"/>
    <x v="5"/>
    <x v="0"/>
    <x v="0"/>
    <x v="0"/>
    <x v="0"/>
  </r>
  <r>
    <x v="48"/>
    <x v="0"/>
    <x v="0"/>
    <x v="0"/>
    <x v="37"/>
    <x v="0"/>
    <x v="1"/>
    <x v="0"/>
    <x v="0"/>
    <x v="0"/>
    <x v="0"/>
    <x v="0"/>
    <x v="0"/>
    <x v="0"/>
    <x v="0"/>
    <x v="0"/>
    <x v="6"/>
    <x v="41"/>
    <x v="0"/>
    <x v="0"/>
    <x v="0"/>
    <x v="0"/>
    <x v="0"/>
  </r>
  <r>
    <x v="49"/>
    <x v="0"/>
    <x v="2"/>
    <x v="3"/>
    <x v="4"/>
    <x v="4"/>
    <x v="2"/>
    <x v="2"/>
    <x v="2"/>
    <x v="2"/>
    <x v="2"/>
    <x v="1"/>
    <x v="2"/>
    <x v="2"/>
    <x v="0"/>
    <x v="2"/>
    <x v="38"/>
    <x v="42"/>
    <x v="5"/>
    <x v="0"/>
    <x v="0"/>
    <x v="1"/>
    <x v="1"/>
  </r>
  <r>
    <x v="50"/>
    <x v="1"/>
    <x v="4"/>
    <x v="9"/>
    <x v="16"/>
    <x v="4"/>
    <x v="2"/>
    <x v="2"/>
    <x v="4"/>
    <x v="4"/>
    <x v="4"/>
    <x v="1"/>
    <x v="0"/>
    <x v="0"/>
    <x v="0"/>
    <x v="0"/>
    <x v="39"/>
    <x v="43"/>
    <x v="5"/>
    <x v="0"/>
    <x v="1"/>
    <x v="2"/>
    <x v="2"/>
  </r>
  <r>
    <x v="51"/>
    <x v="1"/>
    <x v="2"/>
    <x v="4"/>
    <x v="38"/>
    <x v="2"/>
    <x v="2"/>
    <x v="2"/>
    <x v="2"/>
    <x v="2"/>
    <x v="2"/>
    <x v="1"/>
    <x v="2"/>
    <x v="2"/>
    <x v="0"/>
    <x v="2"/>
    <x v="40"/>
    <x v="44"/>
    <x v="3"/>
    <x v="0"/>
    <x v="3"/>
    <x v="1"/>
    <x v="1"/>
  </r>
  <r>
    <x v="52"/>
    <x v="2"/>
    <x v="5"/>
    <x v="14"/>
    <x v="24"/>
    <x v="1"/>
    <x v="13"/>
    <x v="2"/>
    <x v="5"/>
    <x v="5"/>
    <x v="5"/>
    <x v="1"/>
    <x v="1"/>
    <x v="1"/>
    <x v="0"/>
    <x v="1"/>
    <x v="41"/>
    <x v="45"/>
    <x v="3"/>
    <x v="0"/>
    <x v="2"/>
    <x v="3"/>
    <x v="3"/>
  </r>
  <r>
    <x v="53"/>
    <x v="1"/>
    <x v="5"/>
    <x v="8"/>
    <x v="39"/>
    <x v="1"/>
    <x v="10"/>
    <x v="2"/>
    <x v="5"/>
    <x v="5"/>
    <x v="5"/>
    <x v="1"/>
    <x v="1"/>
    <x v="1"/>
    <x v="0"/>
    <x v="1"/>
    <x v="17"/>
    <x v="17"/>
    <x v="3"/>
    <x v="0"/>
    <x v="3"/>
    <x v="3"/>
    <x v="3"/>
  </r>
  <r>
    <x v="54"/>
    <x v="1"/>
    <x v="0"/>
    <x v="2"/>
    <x v="40"/>
    <x v="1"/>
    <x v="0"/>
    <x v="0"/>
    <x v="0"/>
    <x v="0"/>
    <x v="0"/>
    <x v="0"/>
    <x v="0"/>
    <x v="0"/>
    <x v="0"/>
    <x v="0"/>
    <x v="39"/>
    <x v="43"/>
    <x v="5"/>
    <x v="0"/>
    <x v="1"/>
    <x v="0"/>
    <x v="0"/>
  </r>
  <r>
    <x v="55"/>
    <x v="1"/>
    <x v="4"/>
    <x v="9"/>
    <x v="41"/>
    <x v="2"/>
    <x v="2"/>
    <x v="3"/>
    <x v="4"/>
    <x v="4"/>
    <x v="4"/>
    <x v="1"/>
    <x v="0"/>
    <x v="0"/>
    <x v="0"/>
    <x v="0"/>
    <x v="42"/>
    <x v="46"/>
    <x v="1"/>
    <x v="0"/>
    <x v="4"/>
    <x v="2"/>
    <x v="2"/>
  </r>
  <r>
    <x v="56"/>
    <x v="1"/>
    <x v="4"/>
    <x v="9"/>
    <x v="42"/>
    <x v="1"/>
    <x v="14"/>
    <x v="1"/>
    <x v="4"/>
    <x v="4"/>
    <x v="4"/>
    <x v="1"/>
    <x v="0"/>
    <x v="0"/>
    <x v="0"/>
    <x v="0"/>
    <x v="43"/>
    <x v="47"/>
    <x v="5"/>
    <x v="0"/>
    <x v="1"/>
    <x v="2"/>
    <x v="2"/>
  </r>
  <r>
    <x v="57"/>
    <x v="0"/>
    <x v="3"/>
    <x v="16"/>
    <x v="13"/>
    <x v="1"/>
    <x v="1"/>
    <x v="0"/>
    <x v="3"/>
    <x v="3"/>
    <x v="3"/>
    <x v="0"/>
    <x v="2"/>
    <x v="2"/>
    <x v="0"/>
    <x v="2"/>
    <x v="44"/>
    <x v="48"/>
    <x v="5"/>
    <x v="0"/>
    <x v="1"/>
    <x v="0"/>
    <x v="0"/>
  </r>
  <r>
    <x v="58"/>
    <x v="1"/>
    <x v="1"/>
    <x v="6"/>
    <x v="6"/>
    <x v="1"/>
    <x v="0"/>
    <x v="0"/>
    <x v="1"/>
    <x v="1"/>
    <x v="1"/>
    <x v="0"/>
    <x v="1"/>
    <x v="1"/>
    <x v="0"/>
    <x v="1"/>
    <x v="21"/>
    <x v="22"/>
    <x v="5"/>
    <x v="0"/>
    <x v="2"/>
    <x v="0"/>
    <x v="0"/>
  </r>
  <r>
    <x v="59"/>
    <x v="0"/>
    <x v="4"/>
    <x v="17"/>
    <x v="43"/>
    <x v="2"/>
    <x v="2"/>
    <x v="0"/>
    <x v="4"/>
    <x v="4"/>
    <x v="4"/>
    <x v="1"/>
    <x v="0"/>
    <x v="0"/>
    <x v="0"/>
    <x v="0"/>
    <x v="31"/>
    <x v="33"/>
    <x v="4"/>
    <x v="0"/>
    <x v="1"/>
    <x v="2"/>
    <x v="2"/>
  </r>
  <r>
    <x v="60"/>
    <x v="1"/>
    <x v="3"/>
    <x v="5"/>
    <x v="3"/>
    <x v="1"/>
    <x v="0"/>
    <x v="0"/>
    <x v="3"/>
    <x v="3"/>
    <x v="3"/>
    <x v="0"/>
    <x v="2"/>
    <x v="2"/>
    <x v="0"/>
    <x v="2"/>
    <x v="45"/>
    <x v="49"/>
    <x v="5"/>
    <x v="0"/>
    <x v="4"/>
    <x v="0"/>
    <x v="0"/>
  </r>
  <r>
    <x v="61"/>
    <x v="1"/>
    <x v="4"/>
    <x v="9"/>
    <x v="3"/>
    <x v="4"/>
    <x v="2"/>
    <x v="0"/>
    <x v="4"/>
    <x v="4"/>
    <x v="4"/>
    <x v="1"/>
    <x v="0"/>
    <x v="0"/>
    <x v="0"/>
    <x v="0"/>
    <x v="25"/>
    <x v="26"/>
    <x v="4"/>
    <x v="0"/>
    <x v="3"/>
    <x v="2"/>
    <x v="2"/>
  </r>
  <r>
    <x v="62"/>
    <x v="1"/>
    <x v="1"/>
    <x v="6"/>
    <x v="6"/>
    <x v="1"/>
    <x v="15"/>
    <x v="0"/>
    <x v="1"/>
    <x v="1"/>
    <x v="1"/>
    <x v="0"/>
    <x v="1"/>
    <x v="1"/>
    <x v="0"/>
    <x v="1"/>
    <x v="46"/>
    <x v="50"/>
    <x v="1"/>
    <x v="0"/>
    <x v="0"/>
    <x v="0"/>
    <x v="0"/>
  </r>
  <r>
    <x v="63"/>
    <x v="1"/>
    <x v="3"/>
    <x v="5"/>
    <x v="10"/>
    <x v="3"/>
    <x v="2"/>
    <x v="2"/>
    <x v="3"/>
    <x v="3"/>
    <x v="3"/>
    <x v="0"/>
    <x v="2"/>
    <x v="2"/>
    <x v="0"/>
    <x v="2"/>
    <x v="47"/>
    <x v="51"/>
    <x v="4"/>
    <x v="0"/>
    <x v="2"/>
    <x v="0"/>
    <x v="0"/>
  </r>
  <r>
    <x v="64"/>
    <x v="1"/>
    <x v="5"/>
    <x v="8"/>
    <x v="44"/>
    <x v="1"/>
    <x v="10"/>
    <x v="2"/>
    <x v="5"/>
    <x v="5"/>
    <x v="5"/>
    <x v="1"/>
    <x v="1"/>
    <x v="1"/>
    <x v="0"/>
    <x v="1"/>
    <x v="15"/>
    <x v="15"/>
    <x v="4"/>
    <x v="0"/>
    <x v="1"/>
    <x v="3"/>
    <x v="3"/>
  </r>
  <r>
    <x v="65"/>
    <x v="1"/>
    <x v="5"/>
    <x v="8"/>
    <x v="45"/>
    <x v="1"/>
    <x v="8"/>
    <x v="2"/>
    <x v="5"/>
    <x v="5"/>
    <x v="5"/>
    <x v="1"/>
    <x v="1"/>
    <x v="1"/>
    <x v="0"/>
    <x v="1"/>
    <x v="35"/>
    <x v="52"/>
    <x v="5"/>
    <x v="0"/>
    <x v="4"/>
    <x v="3"/>
    <x v="3"/>
  </r>
  <r>
    <x v="66"/>
    <x v="0"/>
    <x v="0"/>
    <x v="0"/>
    <x v="12"/>
    <x v="1"/>
    <x v="1"/>
    <x v="1"/>
    <x v="0"/>
    <x v="0"/>
    <x v="0"/>
    <x v="0"/>
    <x v="0"/>
    <x v="0"/>
    <x v="0"/>
    <x v="0"/>
    <x v="19"/>
    <x v="19"/>
    <x v="2"/>
    <x v="0"/>
    <x v="2"/>
    <x v="0"/>
    <x v="0"/>
  </r>
  <r>
    <x v="67"/>
    <x v="1"/>
    <x v="0"/>
    <x v="2"/>
    <x v="28"/>
    <x v="1"/>
    <x v="0"/>
    <x v="0"/>
    <x v="0"/>
    <x v="0"/>
    <x v="0"/>
    <x v="0"/>
    <x v="0"/>
    <x v="0"/>
    <x v="0"/>
    <x v="0"/>
    <x v="48"/>
    <x v="53"/>
    <x v="2"/>
    <x v="0"/>
    <x v="0"/>
    <x v="0"/>
    <x v="0"/>
  </r>
  <r>
    <x v="68"/>
    <x v="2"/>
    <x v="1"/>
    <x v="15"/>
    <x v="46"/>
    <x v="1"/>
    <x v="0"/>
    <x v="1"/>
    <x v="1"/>
    <x v="1"/>
    <x v="1"/>
    <x v="0"/>
    <x v="1"/>
    <x v="1"/>
    <x v="0"/>
    <x v="1"/>
    <x v="32"/>
    <x v="35"/>
    <x v="3"/>
    <x v="0"/>
    <x v="3"/>
    <x v="0"/>
    <x v="0"/>
  </r>
  <r>
    <x v="69"/>
    <x v="2"/>
    <x v="3"/>
    <x v="11"/>
    <x v="29"/>
    <x v="1"/>
    <x v="0"/>
    <x v="1"/>
    <x v="3"/>
    <x v="3"/>
    <x v="3"/>
    <x v="0"/>
    <x v="2"/>
    <x v="2"/>
    <x v="0"/>
    <x v="2"/>
    <x v="49"/>
    <x v="54"/>
    <x v="5"/>
    <x v="0"/>
    <x v="2"/>
    <x v="0"/>
    <x v="0"/>
  </r>
  <r>
    <x v="70"/>
    <x v="1"/>
    <x v="5"/>
    <x v="8"/>
    <x v="19"/>
    <x v="1"/>
    <x v="16"/>
    <x v="3"/>
    <x v="5"/>
    <x v="5"/>
    <x v="5"/>
    <x v="1"/>
    <x v="1"/>
    <x v="1"/>
    <x v="0"/>
    <x v="1"/>
    <x v="29"/>
    <x v="31"/>
    <x v="1"/>
    <x v="0"/>
    <x v="1"/>
    <x v="3"/>
    <x v="3"/>
  </r>
  <r>
    <x v="71"/>
    <x v="0"/>
    <x v="1"/>
    <x v="1"/>
    <x v="24"/>
    <x v="1"/>
    <x v="1"/>
    <x v="2"/>
    <x v="1"/>
    <x v="1"/>
    <x v="1"/>
    <x v="0"/>
    <x v="1"/>
    <x v="1"/>
    <x v="0"/>
    <x v="1"/>
    <x v="27"/>
    <x v="28"/>
    <x v="4"/>
    <x v="0"/>
    <x v="4"/>
    <x v="0"/>
    <x v="0"/>
  </r>
  <r>
    <x v="72"/>
    <x v="1"/>
    <x v="2"/>
    <x v="4"/>
    <x v="47"/>
    <x v="1"/>
    <x v="5"/>
    <x v="3"/>
    <x v="2"/>
    <x v="2"/>
    <x v="2"/>
    <x v="1"/>
    <x v="2"/>
    <x v="2"/>
    <x v="0"/>
    <x v="2"/>
    <x v="38"/>
    <x v="42"/>
    <x v="5"/>
    <x v="0"/>
    <x v="0"/>
    <x v="1"/>
    <x v="1"/>
  </r>
  <r>
    <x v="73"/>
    <x v="1"/>
    <x v="2"/>
    <x v="4"/>
    <x v="20"/>
    <x v="0"/>
    <x v="11"/>
    <x v="2"/>
    <x v="2"/>
    <x v="2"/>
    <x v="2"/>
    <x v="1"/>
    <x v="2"/>
    <x v="2"/>
    <x v="0"/>
    <x v="2"/>
    <x v="50"/>
    <x v="55"/>
    <x v="3"/>
    <x v="0"/>
    <x v="4"/>
    <x v="1"/>
    <x v="1"/>
  </r>
  <r>
    <x v="74"/>
    <x v="0"/>
    <x v="5"/>
    <x v="12"/>
    <x v="48"/>
    <x v="1"/>
    <x v="6"/>
    <x v="2"/>
    <x v="5"/>
    <x v="5"/>
    <x v="5"/>
    <x v="1"/>
    <x v="1"/>
    <x v="1"/>
    <x v="0"/>
    <x v="1"/>
    <x v="51"/>
    <x v="56"/>
    <x v="1"/>
    <x v="0"/>
    <x v="2"/>
    <x v="3"/>
    <x v="3"/>
  </r>
  <r>
    <x v="75"/>
    <x v="2"/>
    <x v="4"/>
    <x v="7"/>
    <x v="49"/>
    <x v="4"/>
    <x v="2"/>
    <x v="3"/>
    <x v="4"/>
    <x v="4"/>
    <x v="4"/>
    <x v="1"/>
    <x v="0"/>
    <x v="0"/>
    <x v="0"/>
    <x v="0"/>
    <x v="52"/>
    <x v="57"/>
    <x v="3"/>
    <x v="0"/>
    <x v="4"/>
    <x v="2"/>
    <x v="2"/>
  </r>
  <r>
    <x v="76"/>
    <x v="1"/>
    <x v="0"/>
    <x v="2"/>
    <x v="32"/>
    <x v="1"/>
    <x v="0"/>
    <x v="3"/>
    <x v="0"/>
    <x v="0"/>
    <x v="0"/>
    <x v="0"/>
    <x v="0"/>
    <x v="0"/>
    <x v="0"/>
    <x v="0"/>
    <x v="20"/>
    <x v="21"/>
    <x v="3"/>
    <x v="0"/>
    <x v="1"/>
    <x v="0"/>
    <x v="0"/>
  </r>
  <r>
    <x v="77"/>
    <x v="1"/>
    <x v="0"/>
    <x v="2"/>
    <x v="24"/>
    <x v="1"/>
    <x v="0"/>
    <x v="3"/>
    <x v="0"/>
    <x v="0"/>
    <x v="0"/>
    <x v="0"/>
    <x v="0"/>
    <x v="0"/>
    <x v="0"/>
    <x v="0"/>
    <x v="53"/>
    <x v="58"/>
    <x v="5"/>
    <x v="0"/>
    <x v="2"/>
    <x v="0"/>
    <x v="0"/>
  </r>
  <r>
    <x v="78"/>
    <x v="1"/>
    <x v="3"/>
    <x v="5"/>
    <x v="42"/>
    <x v="1"/>
    <x v="0"/>
    <x v="0"/>
    <x v="3"/>
    <x v="3"/>
    <x v="3"/>
    <x v="0"/>
    <x v="2"/>
    <x v="2"/>
    <x v="0"/>
    <x v="2"/>
    <x v="54"/>
    <x v="59"/>
    <x v="1"/>
    <x v="0"/>
    <x v="3"/>
    <x v="0"/>
    <x v="0"/>
  </r>
  <r>
    <x v="79"/>
    <x v="0"/>
    <x v="2"/>
    <x v="3"/>
    <x v="13"/>
    <x v="1"/>
    <x v="5"/>
    <x v="0"/>
    <x v="2"/>
    <x v="2"/>
    <x v="2"/>
    <x v="1"/>
    <x v="2"/>
    <x v="2"/>
    <x v="0"/>
    <x v="2"/>
    <x v="55"/>
    <x v="60"/>
    <x v="1"/>
    <x v="0"/>
    <x v="4"/>
    <x v="1"/>
    <x v="1"/>
  </r>
  <r>
    <x v="80"/>
    <x v="1"/>
    <x v="0"/>
    <x v="2"/>
    <x v="28"/>
    <x v="1"/>
    <x v="0"/>
    <x v="1"/>
    <x v="0"/>
    <x v="0"/>
    <x v="0"/>
    <x v="0"/>
    <x v="0"/>
    <x v="0"/>
    <x v="0"/>
    <x v="0"/>
    <x v="12"/>
    <x v="12"/>
    <x v="2"/>
    <x v="0"/>
    <x v="4"/>
    <x v="0"/>
    <x v="0"/>
  </r>
  <r>
    <x v="81"/>
    <x v="1"/>
    <x v="4"/>
    <x v="9"/>
    <x v="15"/>
    <x v="1"/>
    <x v="13"/>
    <x v="2"/>
    <x v="4"/>
    <x v="4"/>
    <x v="4"/>
    <x v="1"/>
    <x v="0"/>
    <x v="0"/>
    <x v="0"/>
    <x v="0"/>
    <x v="43"/>
    <x v="47"/>
    <x v="5"/>
    <x v="0"/>
    <x v="1"/>
    <x v="2"/>
    <x v="2"/>
  </r>
  <r>
    <x v="82"/>
    <x v="1"/>
    <x v="0"/>
    <x v="2"/>
    <x v="50"/>
    <x v="0"/>
    <x v="1"/>
    <x v="0"/>
    <x v="0"/>
    <x v="0"/>
    <x v="0"/>
    <x v="0"/>
    <x v="0"/>
    <x v="0"/>
    <x v="0"/>
    <x v="0"/>
    <x v="56"/>
    <x v="61"/>
    <x v="0"/>
    <x v="0"/>
    <x v="4"/>
    <x v="0"/>
    <x v="0"/>
  </r>
  <r>
    <x v="83"/>
    <x v="1"/>
    <x v="4"/>
    <x v="9"/>
    <x v="51"/>
    <x v="2"/>
    <x v="2"/>
    <x v="0"/>
    <x v="4"/>
    <x v="4"/>
    <x v="4"/>
    <x v="1"/>
    <x v="0"/>
    <x v="0"/>
    <x v="0"/>
    <x v="0"/>
    <x v="57"/>
    <x v="62"/>
    <x v="2"/>
    <x v="0"/>
    <x v="2"/>
    <x v="2"/>
    <x v="2"/>
  </r>
  <r>
    <x v="84"/>
    <x v="1"/>
    <x v="3"/>
    <x v="5"/>
    <x v="52"/>
    <x v="1"/>
    <x v="0"/>
    <x v="0"/>
    <x v="3"/>
    <x v="3"/>
    <x v="3"/>
    <x v="0"/>
    <x v="2"/>
    <x v="2"/>
    <x v="0"/>
    <x v="2"/>
    <x v="58"/>
    <x v="63"/>
    <x v="4"/>
    <x v="0"/>
    <x v="2"/>
    <x v="0"/>
    <x v="0"/>
  </r>
  <r>
    <x v="85"/>
    <x v="2"/>
    <x v="2"/>
    <x v="13"/>
    <x v="53"/>
    <x v="1"/>
    <x v="5"/>
    <x v="3"/>
    <x v="2"/>
    <x v="2"/>
    <x v="2"/>
    <x v="1"/>
    <x v="2"/>
    <x v="2"/>
    <x v="0"/>
    <x v="2"/>
    <x v="13"/>
    <x v="13"/>
    <x v="5"/>
    <x v="0"/>
    <x v="3"/>
    <x v="1"/>
    <x v="1"/>
  </r>
  <r>
    <x v="86"/>
    <x v="1"/>
    <x v="2"/>
    <x v="4"/>
    <x v="54"/>
    <x v="0"/>
    <x v="3"/>
    <x v="2"/>
    <x v="2"/>
    <x v="2"/>
    <x v="2"/>
    <x v="1"/>
    <x v="2"/>
    <x v="2"/>
    <x v="0"/>
    <x v="2"/>
    <x v="59"/>
    <x v="64"/>
    <x v="1"/>
    <x v="0"/>
    <x v="1"/>
    <x v="1"/>
    <x v="1"/>
  </r>
  <r>
    <x v="87"/>
    <x v="1"/>
    <x v="5"/>
    <x v="8"/>
    <x v="55"/>
    <x v="1"/>
    <x v="13"/>
    <x v="2"/>
    <x v="5"/>
    <x v="5"/>
    <x v="5"/>
    <x v="1"/>
    <x v="1"/>
    <x v="1"/>
    <x v="0"/>
    <x v="1"/>
    <x v="4"/>
    <x v="4"/>
    <x v="1"/>
    <x v="0"/>
    <x v="0"/>
    <x v="3"/>
    <x v="3"/>
  </r>
  <r>
    <x v="88"/>
    <x v="1"/>
    <x v="2"/>
    <x v="4"/>
    <x v="7"/>
    <x v="1"/>
    <x v="4"/>
    <x v="0"/>
    <x v="2"/>
    <x v="2"/>
    <x v="2"/>
    <x v="1"/>
    <x v="2"/>
    <x v="2"/>
    <x v="0"/>
    <x v="2"/>
    <x v="29"/>
    <x v="31"/>
    <x v="1"/>
    <x v="0"/>
    <x v="1"/>
    <x v="1"/>
    <x v="1"/>
  </r>
  <r>
    <x v="89"/>
    <x v="2"/>
    <x v="4"/>
    <x v="7"/>
    <x v="56"/>
    <x v="1"/>
    <x v="14"/>
    <x v="2"/>
    <x v="4"/>
    <x v="4"/>
    <x v="4"/>
    <x v="1"/>
    <x v="0"/>
    <x v="0"/>
    <x v="0"/>
    <x v="0"/>
    <x v="60"/>
    <x v="65"/>
    <x v="0"/>
    <x v="0"/>
    <x v="1"/>
    <x v="2"/>
    <x v="2"/>
  </r>
  <r>
    <x v="90"/>
    <x v="0"/>
    <x v="1"/>
    <x v="1"/>
    <x v="57"/>
    <x v="4"/>
    <x v="2"/>
    <x v="2"/>
    <x v="1"/>
    <x v="1"/>
    <x v="1"/>
    <x v="0"/>
    <x v="1"/>
    <x v="1"/>
    <x v="0"/>
    <x v="1"/>
    <x v="61"/>
    <x v="66"/>
    <x v="3"/>
    <x v="0"/>
    <x v="3"/>
    <x v="0"/>
    <x v="0"/>
  </r>
  <r>
    <x v="91"/>
    <x v="1"/>
    <x v="4"/>
    <x v="9"/>
    <x v="56"/>
    <x v="0"/>
    <x v="17"/>
    <x v="3"/>
    <x v="4"/>
    <x v="4"/>
    <x v="4"/>
    <x v="1"/>
    <x v="0"/>
    <x v="0"/>
    <x v="0"/>
    <x v="0"/>
    <x v="62"/>
    <x v="67"/>
    <x v="0"/>
    <x v="0"/>
    <x v="3"/>
    <x v="2"/>
    <x v="2"/>
  </r>
  <r>
    <x v="92"/>
    <x v="1"/>
    <x v="2"/>
    <x v="4"/>
    <x v="47"/>
    <x v="1"/>
    <x v="3"/>
    <x v="0"/>
    <x v="2"/>
    <x v="2"/>
    <x v="2"/>
    <x v="1"/>
    <x v="2"/>
    <x v="2"/>
    <x v="0"/>
    <x v="2"/>
    <x v="47"/>
    <x v="68"/>
    <x v="1"/>
    <x v="0"/>
    <x v="0"/>
    <x v="1"/>
    <x v="1"/>
  </r>
  <r>
    <x v="93"/>
    <x v="1"/>
    <x v="0"/>
    <x v="2"/>
    <x v="13"/>
    <x v="1"/>
    <x v="0"/>
    <x v="1"/>
    <x v="0"/>
    <x v="0"/>
    <x v="0"/>
    <x v="0"/>
    <x v="0"/>
    <x v="0"/>
    <x v="0"/>
    <x v="0"/>
    <x v="48"/>
    <x v="53"/>
    <x v="2"/>
    <x v="0"/>
    <x v="0"/>
    <x v="0"/>
    <x v="0"/>
  </r>
  <r>
    <x v="94"/>
    <x v="1"/>
    <x v="2"/>
    <x v="4"/>
    <x v="58"/>
    <x v="3"/>
    <x v="2"/>
    <x v="1"/>
    <x v="2"/>
    <x v="2"/>
    <x v="2"/>
    <x v="1"/>
    <x v="2"/>
    <x v="2"/>
    <x v="0"/>
    <x v="2"/>
    <x v="63"/>
    <x v="69"/>
    <x v="1"/>
    <x v="0"/>
    <x v="2"/>
    <x v="1"/>
    <x v="1"/>
  </r>
  <r>
    <x v="95"/>
    <x v="2"/>
    <x v="0"/>
    <x v="10"/>
    <x v="45"/>
    <x v="3"/>
    <x v="2"/>
    <x v="3"/>
    <x v="0"/>
    <x v="0"/>
    <x v="0"/>
    <x v="0"/>
    <x v="0"/>
    <x v="0"/>
    <x v="0"/>
    <x v="0"/>
    <x v="12"/>
    <x v="12"/>
    <x v="2"/>
    <x v="0"/>
    <x v="4"/>
    <x v="0"/>
    <x v="0"/>
  </r>
  <r>
    <x v="96"/>
    <x v="1"/>
    <x v="4"/>
    <x v="9"/>
    <x v="22"/>
    <x v="2"/>
    <x v="2"/>
    <x v="1"/>
    <x v="4"/>
    <x v="4"/>
    <x v="4"/>
    <x v="1"/>
    <x v="0"/>
    <x v="0"/>
    <x v="0"/>
    <x v="0"/>
    <x v="28"/>
    <x v="70"/>
    <x v="5"/>
    <x v="0"/>
    <x v="4"/>
    <x v="2"/>
    <x v="2"/>
  </r>
  <r>
    <x v="97"/>
    <x v="1"/>
    <x v="2"/>
    <x v="4"/>
    <x v="40"/>
    <x v="0"/>
    <x v="12"/>
    <x v="1"/>
    <x v="2"/>
    <x v="2"/>
    <x v="2"/>
    <x v="1"/>
    <x v="2"/>
    <x v="2"/>
    <x v="0"/>
    <x v="2"/>
    <x v="64"/>
    <x v="71"/>
    <x v="0"/>
    <x v="0"/>
    <x v="1"/>
    <x v="1"/>
    <x v="1"/>
  </r>
  <r>
    <x v="98"/>
    <x v="2"/>
    <x v="3"/>
    <x v="11"/>
    <x v="39"/>
    <x v="1"/>
    <x v="0"/>
    <x v="2"/>
    <x v="3"/>
    <x v="3"/>
    <x v="3"/>
    <x v="0"/>
    <x v="2"/>
    <x v="2"/>
    <x v="0"/>
    <x v="2"/>
    <x v="65"/>
    <x v="72"/>
    <x v="0"/>
    <x v="0"/>
    <x v="3"/>
    <x v="0"/>
    <x v="0"/>
  </r>
  <r>
    <x v="99"/>
    <x v="1"/>
    <x v="0"/>
    <x v="2"/>
    <x v="39"/>
    <x v="1"/>
    <x v="0"/>
    <x v="2"/>
    <x v="0"/>
    <x v="0"/>
    <x v="0"/>
    <x v="0"/>
    <x v="0"/>
    <x v="0"/>
    <x v="0"/>
    <x v="0"/>
    <x v="38"/>
    <x v="73"/>
    <x v="1"/>
    <x v="0"/>
    <x v="3"/>
    <x v="0"/>
    <x v="0"/>
  </r>
  <r>
    <x v="100"/>
    <x v="1"/>
    <x v="1"/>
    <x v="6"/>
    <x v="11"/>
    <x v="2"/>
    <x v="2"/>
    <x v="3"/>
    <x v="1"/>
    <x v="1"/>
    <x v="1"/>
    <x v="0"/>
    <x v="1"/>
    <x v="1"/>
    <x v="0"/>
    <x v="1"/>
    <x v="66"/>
    <x v="74"/>
    <x v="2"/>
    <x v="0"/>
    <x v="2"/>
    <x v="0"/>
    <x v="0"/>
  </r>
  <r>
    <x v="101"/>
    <x v="1"/>
    <x v="5"/>
    <x v="8"/>
    <x v="43"/>
    <x v="1"/>
    <x v="8"/>
    <x v="1"/>
    <x v="5"/>
    <x v="5"/>
    <x v="5"/>
    <x v="1"/>
    <x v="1"/>
    <x v="1"/>
    <x v="0"/>
    <x v="1"/>
    <x v="67"/>
    <x v="75"/>
    <x v="5"/>
    <x v="0"/>
    <x v="1"/>
    <x v="3"/>
    <x v="3"/>
  </r>
  <r>
    <x v="102"/>
    <x v="1"/>
    <x v="1"/>
    <x v="6"/>
    <x v="20"/>
    <x v="1"/>
    <x v="1"/>
    <x v="1"/>
    <x v="1"/>
    <x v="1"/>
    <x v="1"/>
    <x v="0"/>
    <x v="1"/>
    <x v="1"/>
    <x v="0"/>
    <x v="1"/>
    <x v="38"/>
    <x v="42"/>
    <x v="5"/>
    <x v="0"/>
    <x v="0"/>
    <x v="0"/>
    <x v="0"/>
  </r>
  <r>
    <x v="103"/>
    <x v="1"/>
    <x v="1"/>
    <x v="6"/>
    <x v="25"/>
    <x v="2"/>
    <x v="2"/>
    <x v="2"/>
    <x v="1"/>
    <x v="1"/>
    <x v="1"/>
    <x v="0"/>
    <x v="1"/>
    <x v="1"/>
    <x v="0"/>
    <x v="1"/>
    <x v="61"/>
    <x v="66"/>
    <x v="3"/>
    <x v="0"/>
    <x v="3"/>
    <x v="0"/>
    <x v="0"/>
  </r>
  <r>
    <x v="104"/>
    <x v="1"/>
    <x v="4"/>
    <x v="9"/>
    <x v="53"/>
    <x v="4"/>
    <x v="2"/>
    <x v="1"/>
    <x v="4"/>
    <x v="4"/>
    <x v="4"/>
    <x v="1"/>
    <x v="0"/>
    <x v="0"/>
    <x v="0"/>
    <x v="0"/>
    <x v="3"/>
    <x v="76"/>
    <x v="4"/>
    <x v="0"/>
    <x v="0"/>
    <x v="2"/>
    <x v="2"/>
  </r>
  <r>
    <x v="105"/>
    <x v="1"/>
    <x v="3"/>
    <x v="5"/>
    <x v="8"/>
    <x v="1"/>
    <x v="1"/>
    <x v="0"/>
    <x v="3"/>
    <x v="3"/>
    <x v="3"/>
    <x v="0"/>
    <x v="2"/>
    <x v="2"/>
    <x v="0"/>
    <x v="2"/>
    <x v="68"/>
    <x v="77"/>
    <x v="3"/>
    <x v="0"/>
    <x v="4"/>
    <x v="0"/>
    <x v="0"/>
  </r>
  <r>
    <x v="106"/>
    <x v="1"/>
    <x v="5"/>
    <x v="8"/>
    <x v="43"/>
    <x v="3"/>
    <x v="2"/>
    <x v="1"/>
    <x v="5"/>
    <x v="5"/>
    <x v="5"/>
    <x v="1"/>
    <x v="1"/>
    <x v="1"/>
    <x v="0"/>
    <x v="1"/>
    <x v="69"/>
    <x v="78"/>
    <x v="3"/>
    <x v="0"/>
    <x v="3"/>
    <x v="3"/>
    <x v="3"/>
  </r>
  <r>
    <x v="107"/>
    <x v="1"/>
    <x v="3"/>
    <x v="5"/>
    <x v="26"/>
    <x v="4"/>
    <x v="2"/>
    <x v="1"/>
    <x v="3"/>
    <x v="3"/>
    <x v="3"/>
    <x v="0"/>
    <x v="2"/>
    <x v="2"/>
    <x v="0"/>
    <x v="2"/>
    <x v="70"/>
    <x v="79"/>
    <x v="0"/>
    <x v="0"/>
    <x v="2"/>
    <x v="0"/>
    <x v="0"/>
  </r>
  <r>
    <x v="108"/>
    <x v="1"/>
    <x v="4"/>
    <x v="9"/>
    <x v="59"/>
    <x v="2"/>
    <x v="2"/>
    <x v="2"/>
    <x v="4"/>
    <x v="4"/>
    <x v="4"/>
    <x v="1"/>
    <x v="0"/>
    <x v="0"/>
    <x v="0"/>
    <x v="0"/>
    <x v="19"/>
    <x v="80"/>
    <x v="3"/>
    <x v="0"/>
    <x v="4"/>
    <x v="2"/>
    <x v="2"/>
  </r>
  <r>
    <x v="109"/>
    <x v="1"/>
    <x v="0"/>
    <x v="2"/>
    <x v="50"/>
    <x v="1"/>
    <x v="0"/>
    <x v="1"/>
    <x v="0"/>
    <x v="0"/>
    <x v="0"/>
    <x v="0"/>
    <x v="0"/>
    <x v="0"/>
    <x v="0"/>
    <x v="0"/>
    <x v="71"/>
    <x v="81"/>
    <x v="1"/>
    <x v="0"/>
    <x v="1"/>
    <x v="0"/>
    <x v="0"/>
  </r>
  <r>
    <x v="110"/>
    <x v="1"/>
    <x v="2"/>
    <x v="4"/>
    <x v="1"/>
    <x v="2"/>
    <x v="2"/>
    <x v="0"/>
    <x v="2"/>
    <x v="2"/>
    <x v="2"/>
    <x v="1"/>
    <x v="2"/>
    <x v="2"/>
    <x v="0"/>
    <x v="2"/>
    <x v="3"/>
    <x v="3"/>
    <x v="3"/>
    <x v="0"/>
    <x v="3"/>
    <x v="1"/>
    <x v="1"/>
  </r>
  <r>
    <x v="111"/>
    <x v="1"/>
    <x v="3"/>
    <x v="5"/>
    <x v="60"/>
    <x v="1"/>
    <x v="1"/>
    <x v="3"/>
    <x v="3"/>
    <x v="3"/>
    <x v="3"/>
    <x v="0"/>
    <x v="2"/>
    <x v="2"/>
    <x v="0"/>
    <x v="2"/>
    <x v="7"/>
    <x v="7"/>
    <x v="4"/>
    <x v="0"/>
    <x v="0"/>
    <x v="0"/>
    <x v="0"/>
  </r>
  <r>
    <x v="112"/>
    <x v="0"/>
    <x v="0"/>
    <x v="0"/>
    <x v="10"/>
    <x v="4"/>
    <x v="2"/>
    <x v="1"/>
    <x v="0"/>
    <x v="0"/>
    <x v="0"/>
    <x v="0"/>
    <x v="0"/>
    <x v="0"/>
    <x v="0"/>
    <x v="0"/>
    <x v="26"/>
    <x v="27"/>
    <x v="2"/>
    <x v="0"/>
    <x v="3"/>
    <x v="0"/>
    <x v="0"/>
  </r>
  <r>
    <x v="113"/>
    <x v="2"/>
    <x v="1"/>
    <x v="15"/>
    <x v="41"/>
    <x v="2"/>
    <x v="2"/>
    <x v="2"/>
    <x v="1"/>
    <x v="1"/>
    <x v="1"/>
    <x v="0"/>
    <x v="1"/>
    <x v="1"/>
    <x v="0"/>
    <x v="1"/>
    <x v="8"/>
    <x v="8"/>
    <x v="3"/>
    <x v="0"/>
    <x v="4"/>
    <x v="0"/>
    <x v="0"/>
  </r>
  <r>
    <x v="114"/>
    <x v="1"/>
    <x v="5"/>
    <x v="8"/>
    <x v="61"/>
    <x v="4"/>
    <x v="2"/>
    <x v="3"/>
    <x v="5"/>
    <x v="5"/>
    <x v="5"/>
    <x v="1"/>
    <x v="1"/>
    <x v="1"/>
    <x v="0"/>
    <x v="1"/>
    <x v="39"/>
    <x v="43"/>
    <x v="5"/>
    <x v="0"/>
    <x v="1"/>
    <x v="3"/>
    <x v="3"/>
  </r>
  <r>
    <x v="115"/>
    <x v="1"/>
    <x v="0"/>
    <x v="2"/>
    <x v="56"/>
    <x v="4"/>
    <x v="2"/>
    <x v="2"/>
    <x v="0"/>
    <x v="0"/>
    <x v="0"/>
    <x v="0"/>
    <x v="0"/>
    <x v="0"/>
    <x v="0"/>
    <x v="0"/>
    <x v="18"/>
    <x v="18"/>
    <x v="0"/>
    <x v="0"/>
    <x v="4"/>
    <x v="0"/>
    <x v="0"/>
  </r>
  <r>
    <x v="116"/>
    <x v="1"/>
    <x v="1"/>
    <x v="6"/>
    <x v="14"/>
    <x v="1"/>
    <x v="1"/>
    <x v="3"/>
    <x v="1"/>
    <x v="1"/>
    <x v="1"/>
    <x v="0"/>
    <x v="1"/>
    <x v="1"/>
    <x v="0"/>
    <x v="1"/>
    <x v="72"/>
    <x v="82"/>
    <x v="0"/>
    <x v="0"/>
    <x v="4"/>
    <x v="0"/>
    <x v="0"/>
  </r>
  <r>
    <x v="117"/>
    <x v="1"/>
    <x v="2"/>
    <x v="4"/>
    <x v="34"/>
    <x v="3"/>
    <x v="2"/>
    <x v="2"/>
    <x v="2"/>
    <x v="2"/>
    <x v="2"/>
    <x v="1"/>
    <x v="2"/>
    <x v="2"/>
    <x v="0"/>
    <x v="2"/>
    <x v="6"/>
    <x v="6"/>
    <x v="0"/>
    <x v="0"/>
    <x v="4"/>
    <x v="1"/>
    <x v="1"/>
  </r>
  <r>
    <x v="118"/>
    <x v="1"/>
    <x v="1"/>
    <x v="6"/>
    <x v="14"/>
    <x v="1"/>
    <x v="1"/>
    <x v="1"/>
    <x v="1"/>
    <x v="1"/>
    <x v="1"/>
    <x v="0"/>
    <x v="1"/>
    <x v="1"/>
    <x v="0"/>
    <x v="1"/>
    <x v="20"/>
    <x v="83"/>
    <x v="1"/>
    <x v="0"/>
    <x v="0"/>
    <x v="0"/>
    <x v="0"/>
  </r>
  <r>
    <x v="119"/>
    <x v="1"/>
    <x v="1"/>
    <x v="6"/>
    <x v="4"/>
    <x v="1"/>
    <x v="0"/>
    <x v="3"/>
    <x v="1"/>
    <x v="1"/>
    <x v="1"/>
    <x v="0"/>
    <x v="1"/>
    <x v="1"/>
    <x v="0"/>
    <x v="1"/>
    <x v="12"/>
    <x v="84"/>
    <x v="4"/>
    <x v="0"/>
    <x v="1"/>
    <x v="0"/>
    <x v="0"/>
  </r>
  <r>
    <x v="120"/>
    <x v="1"/>
    <x v="3"/>
    <x v="5"/>
    <x v="0"/>
    <x v="2"/>
    <x v="2"/>
    <x v="0"/>
    <x v="3"/>
    <x v="3"/>
    <x v="3"/>
    <x v="0"/>
    <x v="2"/>
    <x v="2"/>
    <x v="0"/>
    <x v="2"/>
    <x v="5"/>
    <x v="85"/>
    <x v="2"/>
    <x v="0"/>
    <x v="1"/>
    <x v="0"/>
    <x v="0"/>
  </r>
  <r>
    <x v="121"/>
    <x v="1"/>
    <x v="2"/>
    <x v="4"/>
    <x v="60"/>
    <x v="2"/>
    <x v="2"/>
    <x v="2"/>
    <x v="2"/>
    <x v="2"/>
    <x v="2"/>
    <x v="1"/>
    <x v="2"/>
    <x v="2"/>
    <x v="0"/>
    <x v="2"/>
    <x v="73"/>
    <x v="86"/>
    <x v="3"/>
    <x v="0"/>
    <x v="2"/>
    <x v="1"/>
    <x v="1"/>
  </r>
  <r>
    <x v="122"/>
    <x v="1"/>
    <x v="0"/>
    <x v="2"/>
    <x v="15"/>
    <x v="1"/>
    <x v="7"/>
    <x v="0"/>
    <x v="0"/>
    <x v="0"/>
    <x v="0"/>
    <x v="0"/>
    <x v="0"/>
    <x v="0"/>
    <x v="0"/>
    <x v="0"/>
    <x v="74"/>
    <x v="87"/>
    <x v="6"/>
    <x v="0"/>
    <x v="1"/>
    <x v="0"/>
    <x v="0"/>
  </r>
  <r>
    <x v="123"/>
    <x v="1"/>
    <x v="4"/>
    <x v="9"/>
    <x v="56"/>
    <x v="1"/>
    <x v="14"/>
    <x v="2"/>
    <x v="4"/>
    <x v="4"/>
    <x v="4"/>
    <x v="1"/>
    <x v="0"/>
    <x v="0"/>
    <x v="0"/>
    <x v="0"/>
    <x v="28"/>
    <x v="29"/>
    <x v="3"/>
    <x v="0"/>
    <x v="4"/>
    <x v="2"/>
    <x v="2"/>
  </r>
  <r>
    <x v="124"/>
    <x v="2"/>
    <x v="1"/>
    <x v="15"/>
    <x v="62"/>
    <x v="3"/>
    <x v="2"/>
    <x v="2"/>
    <x v="1"/>
    <x v="1"/>
    <x v="1"/>
    <x v="0"/>
    <x v="1"/>
    <x v="1"/>
    <x v="0"/>
    <x v="1"/>
    <x v="59"/>
    <x v="88"/>
    <x v="3"/>
    <x v="0"/>
    <x v="2"/>
    <x v="0"/>
    <x v="0"/>
  </r>
  <r>
    <x v="125"/>
    <x v="1"/>
    <x v="5"/>
    <x v="8"/>
    <x v="36"/>
    <x v="1"/>
    <x v="12"/>
    <x v="0"/>
    <x v="5"/>
    <x v="5"/>
    <x v="5"/>
    <x v="1"/>
    <x v="1"/>
    <x v="1"/>
    <x v="0"/>
    <x v="1"/>
    <x v="67"/>
    <x v="75"/>
    <x v="5"/>
    <x v="0"/>
    <x v="1"/>
    <x v="3"/>
    <x v="3"/>
  </r>
  <r>
    <x v="126"/>
    <x v="0"/>
    <x v="4"/>
    <x v="17"/>
    <x v="19"/>
    <x v="1"/>
    <x v="7"/>
    <x v="2"/>
    <x v="4"/>
    <x v="4"/>
    <x v="4"/>
    <x v="1"/>
    <x v="0"/>
    <x v="0"/>
    <x v="0"/>
    <x v="0"/>
    <x v="0"/>
    <x v="0"/>
    <x v="0"/>
    <x v="0"/>
    <x v="0"/>
    <x v="2"/>
    <x v="2"/>
  </r>
  <r>
    <x v="127"/>
    <x v="1"/>
    <x v="3"/>
    <x v="5"/>
    <x v="63"/>
    <x v="1"/>
    <x v="9"/>
    <x v="2"/>
    <x v="3"/>
    <x v="3"/>
    <x v="3"/>
    <x v="0"/>
    <x v="2"/>
    <x v="2"/>
    <x v="0"/>
    <x v="2"/>
    <x v="75"/>
    <x v="89"/>
    <x v="0"/>
    <x v="0"/>
    <x v="4"/>
    <x v="0"/>
    <x v="0"/>
  </r>
  <r>
    <x v="128"/>
    <x v="0"/>
    <x v="2"/>
    <x v="3"/>
    <x v="41"/>
    <x v="1"/>
    <x v="18"/>
    <x v="2"/>
    <x v="2"/>
    <x v="2"/>
    <x v="2"/>
    <x v="1"/>
    <x v="2"/>
    <x v="2"/>
    <x v="0"/>
    <x v="2"/>
    <x v="75"/>
    <x v="90"/>
    <x v="5"/>
    <x v="0"/>
    <x v="4"/>
    <x v="1"/>
    <x v="1"/>
  </r>
  <r>
    <x v="129"/>
    <x v="0"/>
    <x v="5"/>
    <x v="12"/>
    <x v="58"/>
    <x v="1"/>
    <x v="16"/>
    <x v="2"/>
    <x v="5"/>
    <x v="5"/>
    <x v="5"/>
    <x v="1"/>
    <x v="1"/>
    <x v="1"/>
    <x v="0"/>
    <x v="1"/>
    <x v="76"/>
    <x v="91"/>
    <x v="1"/>
    <x v="0"/>
    <x v="2"/>
    <x v="3"/>
    <x v="3"/>
  </r>
  <r>
    <x v="130"/>
    <x v="2"/>
    <x v="4"/>
    <x v="7"/>
    <x v="53"/>
    <x v="1"/>
    <x v="17"/>
    <x v="3"/>
    <x v="4"/>
    <x v="4"/>
    <x v="4"/>
    <x v="1"/>
    <x v="0"/>
    <x v="0"/>
    <x v="0"/>
    <x v="0"/>
    <x v="77"/>
    <x v="92"/>
    <x v="1"/>
    <x v="0"/>
    <x v="3"/>
    <x v="2"/>
    <x v="2"/>
  </r>
  <r>
    <x v="131"/>
    <x v="0"/>
    <x v="5"/>
    <x v="12"/>
    <x v="11"/>
    <x v="1"/>
    <x v="16"/>
    <x v="3"/>
    <x v="5"/>
    <x v="5"/>
    <x v="5"/>
    <x v="1"/>
    <x v="1"/>
    <x v="1"/>
    <x v="0"/>
    <x v="1"/>
    <x v="60"/>
    <x v="65"/>
    <x v="0"/>
    <x v="0"/>
    <x v="1"/>
    <x v="3"/>
    <x v="3"/>
  </r>
  <r>
    <x v="132"/>
    <x v="0"/>
    <x v="1"/>
    <x v="1"/>
    <x v="43"/>
    <x v="2"/>
    <x v="2"/>
    <x v="0"/>
    <x v="1"/>
    <x v="1"/>
    <x v="1"/>
    <x v="0"/>
    <x v="1"/>
    <x v="1"/>
    <x v="0"/>
    <x v="1"/>
    <x v="36"/>
    <x v="39"/>
    <x v="2"/>
    <x v="0"/>
    <x v="2"/>
    <x v="0"/>
    <x v="0"/>
  </r>
  <r>
    <x v="133"/>
    <x v="1"/>
    <x v="0"/>
    <x v="2"/>
    <x v="13"/>
    <x v="1"/>
    <x v="1"/>
    <x v="0"/>
    <x v="0"/>
    <x v="0"/>
    <x v="0"/>
    <x v="0"/>
    <x v="0"/>
    <x v="0"/>
    <x v="0"/>
    <x v="0"/>
    <x v="6"/>
    <x v="41"/>
    <x v="0"/>
    <x v="0"/>
    <x v="0"/>
    <x v="0"/>
    <x v="0"/>
  </r>
  <r>
    <x v="134"/>
    <x v="0"/>
    <x v="3"/>
    <x v="16"/>
    <x v="36"/>
    <x v="1"/>
    <x v="1"/>
    <x v="2"/>
    <x v="3"/>
    <x v="3"/>
    <x v="3"/>
    <x v="0"/>
    <x v="2"/>
    <x v="2"/>
    <x v="0"/>
    <x v="2"/>
    <x v="54"/>
    <x v="59"/>
    <x v="1"/>
    <x v="0"/>
    <x v="3"/>
    <x v="0"/>
    <x v="0"/>
  </r>
  <r>
    <x v="135"/>
    <x v="1"/>
    <x v="4"/>
    <x v="9"/>
    <x v="64"/>
    <x v="2"/>
    <x v="2"/>
    <x v="1"/>
    <x v="4"/>
    <x v="4"/>
    <x v="4"/>
    <x v="1"/>
    <x v="0"/>
    <x v="0"/>
    <x v="0"/>
    <x v="0"/>
    <x v="30"/>
    <x v="32"/>
    <x v="3"/>
    <x v="0"/>
    <x v="1"/>
    <x v="2"/>
    <x v="2"/>
  </r>
  <r>
    <x v="136"/>
    <x v="1"/>
    <x v="2"/>
    <x v="4"/>
    <x v="57"/>
    <x v="2"/>
    <x v="2"/>
    <x v="2"/>
    <x v="2"/>
    <x v="2"/>
    <x v="2"/>
    <x v="1"/>
    <x v="2"/>
    <x v="2"/>
    <x v="0"/>
    <x v="2"/>
    <x v="78"/>
    <x v="93"/>
    <x v="4"/>
    <x v="0"/>
    <x v="0"/>
    <x v="1"/>
    <x v="1"/>
  </r>
  <r>
    <x v="137"/>
    <x v="1"/>
    <x v="3"/>
    <x v="5"/>
    <x v="16"/>
    <x v="1"/>
    <x v="1"/>
    <x v="1"/>
    <x v="3"/>
    <x v="3"/>
    <x v="3"/>
    <x v="0"/>
    <x v="2"/>
    <x v="2"/>
    <x v="0"/>
    <x v="2"/>
    <x v="68"/>
    <x v="77"/>
    <x v="3"/>
    <x v="0"/>
    <x v="4"/>
    <x v="0"/>
    <x v="0"/>
  </r>
  <r>
    <x v="138"/>
    <x v="2"/>
    <x v="0"/>
    <x v="10"/>
    <x v="34"/>
    <x v="0"/>
    <x v="0"/>
    <x v="2"/>
    <x v="0"/>
    <x v="0"/>
    <x v="0"/>
    <x v="0"/>
    <x v="0"/>
    <x v="0"/>
    <x v="0"/>
    <x v="0"/>
    <x v="61"/>
    <x v="94"/>
    <x v="5"/>
    <x v="0"/>
    <x v="4"/>
    <x v="0"/>
    <x v="0"/>
  </r>
  <r>
    <x v="139"/>
    <x v="1"/>
    <x v="3"/>
    <x v="5"/>
    <x v="19"/>
    <x v="3"/>
    <x v="2"/>
    <x v="1"/>
    <x v="3"/>
    <x v="3"/>
    <x v="3"/>
    <x v="0"/>
    <x v="2"/>
    <x v="2"/>
    <x v="0"/>
    <x v="2"/>
    <x v="10"/>
    <x v="10"/>
    <x v="5"/>
    <x v="0"/>
    <x v="2"/>
    <x v="0"/>
    <x v="0"/>
  </r>
  <r>
    <x v="140"/>
    <x v="1"/>
    <x v="1"/>
    <x v="6"/>
    <x v="24"/>
    <x v="1"/>
    <x v="1"/>
    <x v="2"/>
    <x v="1"/>
    <x v="1"/>
    <x v="1"/>
    <x v="0"/>
    <x v="1"/>
    <x v="1"/>
    <x v="0"/>
    <x v="1"/>
    <x v="23"/>
    <x v="24"/>
    <x v="0"/>
    <x v="0"/>
    <x v="4"/>
    <x v="0"/>
    <x v="0"/>
  </r>
  <r>
    <x v="141"/>
    <x v="1"/>
    <x v="3"/>
    <x v="5"/>
    <x v="65"/>
    <x v="1"/>
    <x v="1"/>
    <x v="3"/>
    <x v="3"/>
    <x v="3"/>
    <x v="3"/>
    <x v="0"/>
    <x v="2"/>
    <x v="2"/>
    <x v="0"/>
    <x v="2"/>
    <x v="53"/>
    <x v="58"/>
    <x v="5"/>
    <x v="0"/>
    <x v="2"/>
    <x v="0"/>
    <x v="0"/>
  </r>
  <r>
    <x v="142"/>
    <x v="1"/>
    <x v="4"/>
    <x v="9"/>
    <x v="66"/>
    <x v="2"/>
    <x v="2"/>
    <x v="2"/>
    <x v="4"/>
    <x v="4"/>
    <x v="4"/>
    <x v="1"/>
    <x v="0"/>
    <x v="0"/>
    <x v="0"/>
    <x v="0"/>
    <x v="72"/>
    <x v="82"/>
    <x v="0"/>
    <x v="0"/>
    <x v="4"/>
    <x v="2"/>
    <x v="2"/>
  </r>
  <r>
    <x v="143"/>
    <x v="1"/>
    <x v="2"/>
    <x v="4"/>
    <x v="67"/>
    <x v="1"/>
    <x v="12"/>
    <x v="2"/>
    <x v="2"/>
    <x v="2"/>
    <x v="2"/>
    <x v="1"/>
    <x v="2"/>
    <x v="2"/>
    <x v="0"/>
    <x v="2"/>
    <x v="29"/>
    <x v="31"/>
    <x v="1"/>
    <x v="0"/>
    <x v="1"/>
    <x v="1"/>
    <x v="1"/>
  </r>
  <r>
    <x v="144"/>
    <x v="1"/>
    <x v="4"/>
    <x v="9"/>
    <x v="39"/>
    <x v="4"/>
    <x v="2"/>
    <x v="2"/>
    <x v="4"/>
    <x v="4"/>
    <x v="4"/>
    <x v="1"/>
    <x v="0"/>
    <x v="0"/>
    <x v="0"/>
    <x v="0"/>
    <x v="20"/>
    <x v="83"/>
    <x v="1"/>
    <x v="0"/>
    <x v="0"/>
    <x v="2"/>
    <x v="2"/>
  </r>
  <r>
    <x v="145"/>
    <x v="1"/>
    <x v="2"/>
    <x v="4"/>
    <x v="68"/>
    <x v="1"/>
    <x v="19"/>
    <x v="1"/>
    <x v="2"/>
    <x v="2"/>
    <x v="2"/>
    <x v="1"/>
    <x v="2"/>
    <x v="2"/>
    <x v="0"/>
    <x v="2"/>
    <x v="38"/>
    <x v="73"/>
    <x v="1"/>
    <x v="0"/>
    <x v="3"/>
    <x v="1"/>
    <x v="1"/>
  </r>
  <r>
    <x v="146"/>
    <x v="1"/>
    <x v="0"/>
    <x v="2"/>
    <x v="28"/>
    <x v="2"/>
    <x v="2"/>
    <x v="0"/>
    <x v="0"/>
    <x v="0"/>
    <x v="0"/>
    <x v="0"/>
    <x v="0"/>
    <x v="0"/>
    <x v="0"/>
    <x v="0"/>
    <x v="4"/>
    <x v="95"/>
    <x v="1"/>
    <x v="0"/>
    <x v="2"/>
    <x v="0"/>
    <x v="0"/>
  </r>
  <r>
    <x v="147"/>
    <x v="1"/>
    <x v="1"/>
    <x v="6"/>
    <x v="56"/>
    <x v="0"/>
    <x v="0"/>
    <x v="3"/>
    <x v="1"/>
    <x v="1"/>
    <x v="1"/>
    <x v="0"/>
    <x v="1"/>
    <x v="1"/>
    <x v="0"/>
    <x v="1"/>
    <x v="29"/>
    <x v="31"/>
    <x v="1"/>
    <x v="0"/>
    <x v="1"/>
    <x v="0"/>
    <x v="0"/>
  </r>
  <r>
    <x v="148"/>
    <x v="1"/>
    <x v="2"/>
    <x v="4"/>
    <x v="69"/>
    <x v="1"/>
    <x v="12"/>
    <x v="2"/>
    <x v="2"/>
    <x v="2"/>
    <x v="2"/>
    <x v="1"/>
    <x v="2"/>
    <x v="2"/>
    <x v="0"/>
    <x v="2"/>
    <x v="72"/>
    <x v="82"/>
    <x v="0"/>
    <x v="0"/>
    <x v="4"/>
    <x v="1"/>
    <x v="1"/>
  </r>
  <r>
    <x v="149"/>
    <x v="1"/>
    <x v="2"/>
    <x v="4"/>
    <x v="46"/>
    <x v="1"/>
    <x v="5"/>
    <x v="2"/>
    <x v="2"/>
    <x v="2"/>
    <x v="2"/>
    <x v="1"/>
    <x v="2"/>
    <x v="2"/>
    <x v="0"/>
    <x v="2"/>
    <x v="79"/>
    <x v="96"/>
    <x v="4"/>
    <x v="0"/>
    <x v="2"/>
    <x v="1"/>
    <x v="1"/>
  </r>
  <r>
    <x v="150"/>
    <x v="1"/>
    <x v="5"/>
    <x v="8"/>
    <x v="63"/>
    <x v="1"/>
    <x v="16"/>
    <x v="0"/>
    <x v="5"/>
    <x v="5"/>
    <x v="5"/>
    <x v="1"/>
    <x v="1"/>
    <x v="1"/>
    <x v="0"/>
    <x v="1"/>
    <x v="80"/>
    <x v="97"/>
    <x v="2"/>
    <x v="0"/>
    <x v="0"/>
    <x v="3"/>
    <x v="3"/>
  </r>
  <r>
    <x v="151"/>
    <x v="1"/>
    <x v="5"/>
    <x v="8"/>
    <x v="65"/>
    <x v="4"/>
    <x v="2"/>
    <x v="3"/>
    <x v="5"/>
    <x v="5"/>
    <x v="5"/>
    <x v="1"/>
    <x v="1"/>
    <x v="1"/>
    <x v="0"/>
    <x v="1"/>
    <x v="35"/>
    <x v="52"/>
    <x v="5"/>
    <x v="0"/>
    <x v="4"/>
    <x v="3"/>
    <x v="3"/>
  </r>
  <r>
    <x v="152"/>
    <x v="1"/>
    <x v="4"/>
    <x v="9"/>
    <x v="54"/>
    <x v="0"/>
    <x v="9"/>
    <x v="1"/>
    <x v="4"/>
    <x v="4"/>
    <x v="4"/>
    <x v="1"/>
    <x v="0"/>
    <x v="0"/>
    <x v="0"/>
    <x v="0"/>
    <x v="81"/>
    <x v="98"/>
    <x v="3"/>
    <x v="0"/>
    <x v="0"/>
    <x v="2"/>
    <x v="2"/>
  </r>
  <r>
    <x v="153"/>
    <x v="2"/>
    <x v="2"/>
    <x v="13"/>
    <x v="13"/>
    <x v="2"/>
    <x v="2"/>
    <x v="0"/>
    <x v="2"/>
    <x v="2"/>
    <x v="2"/>
    <x v="1"/>
    <x v="2"/>
    <x v="2"/>
    <x v="0"/>
    <x v="2"/>
    <x v="18"/>
    <x v="18"/>
    <x v="0"/>
    <x v="0"/>
    <x v="4"/>
    <x v="1"/>
    <x v="1"/>
  </r>
  <r>
    <x v="154"/>
    <x v="2"/>
    <x v="3"/>
    <x v="11"/>
    <x v="44"/>
    <x v="1"/>
    <x v="7"/>
    <x v="0"/>
    <x v="3"/>
    <x v="3"/>
    <x v="3"/>
    <x v="0"/>
    <x v="2"/>
    <x v="2"/>
    <x v="0"/>
    <x v="2"/>
    <x v="70"/>
    <x v="99"/>
    <x v="4"/>
    <x v="0"/>
    <x v="3"/>
    <x v="0"/>
    <x v="0"/>
  </r>
  <r>
    <x v="155"/>
    <x v="1"/>
    <x v="3"/>
    <x v="5"/>
    <x v="50"/>
    <x v="1"/>
    <x v="0"/>
    <x v="1"/>
    <x v="3"/>
    <x v="3"/>
    <x v="3"/>
    <x v="0"/>
    <x v="2"/>
    <x v="2"/>
    <x v="0"/>
    <x v="2"/>
    <x v="37"/>
    <x v="40"/>
    <x v="5"/>
    <x v="0"/>
    <x v="0"/>
    <x v="0"/>
    <x v="0"/>
  </r>
  <r>
    <x v="156"/>
    <x v="1"/>
    <x v="4"/>
    <x v="9"/>
    <x v="16"/>
    <x v="2"/>
    <x v="2"/>
    <x v="2"/>
    <x v="4"/>
    <x v="4"/>
    <x v="4"/>
    <x v="1"/>
    <x v="0"/>
    <x v="0"/>
    <x v="0"/>
    <x v="0"/>
    <x v="81"/>
    <x v="98"/>
    <x v="3"/>
    <x v="0"/>
    <x v="0"/>
    <x v="2"/>
    <x v="2"/>
  </r>
  <r>
    <x v="157"/>
    <x v="1"/>
    <x v="4"/>
    <x v="9"/>
    <x v="50"/>
    <x v="4"/>
    <x v="2"/>
    <x v="3"/>
    <x v="4"/>
    <x v="4"/>
    <x v="4"/>
    <x v="1"/>
    <x v="0"/>
    <x v="0"/>
    <x v="0"/>
    <x v="0"/>
    <x v="31"/>
    <x v="33"/>
    <x v="4"/>
    <x v="0"/>
    <x v="1"/>
    <x v="2"/>
    <x v="2"/>
  </r>
  <r>
    <x v="158"/>
    <x v="0"/>
    <x v="4"/>
    <x v="17"/>
    <x v="17"/>
    <x v="1"/>
    <x v="6"/>
    <x v="0"/>
    <x v="4"/>
    <x v="4"/>
    <x v="4"/>
    <x v="1"/>
    <x v="0"/>
    <x v="0"/>
    <x v="0"/>
    <x v="0"/>
    <x v="5"/>
    <x v="20"/>
    <x v="0"/>
    <x v="0"/>
    <x v="3"/>
    <x v="2"/>
    <x v="2"/>
  </r>
  <r>
    <x v="159"/>
    <x v="1"/>
    <x v="5"/>
    <x v="8"/>
    <x v="7"/>
    <x v="0"/>
    <x v="8"/>
    <x v="2"/>
    <x v="5"/>
    <x v="5"/>
    <x v="5"/>
    <x v="1"/>
    <x v="1"/>
    <x v="1"/>
    <x v="0"/>
    <x v="1"/>
    <x v="20"/>
    <x v="21"/>
    <x v="3"/>
    <x v="0"/>
    <x v="1"/>
    <x v="3"/>
    <x v="3"/>
  </r>
  <r>
    <x v="160"/>
    <x v="2"/>
    <x v="1"/>
    <x v="15"/>
    <x v="40"/>
    <x v="1"/>
    <x v="1"/>
    <x v="2"/>
    <x v="1"/>
    <x v="1"/>
    <x v="1"/>
    <x v="0"/>
    <x v="1"/>
    <x v="1"/>
    <x v="0"/>
    <x v="1"/>
    <x v="39"/>
    <x v="43"/>
    <x v="5"/>
    <x v="0"/>
    <x v="1"/>
    <x v="0"/>
    <x v="0"/>
  </r>
  <r>
    <x v="161"/>
    <x v="1"/>
    <x v="1"/>
    <x v="6"/>
    <x v="59"/>
    <x v="1"/>
    <x v="9"/>
    <x v="3"/>
    <x v="1"/>
    <x v="1"/>
    <x v="1"/>
    <x v="0"/>
    <x v="1"/>
    <x v="1"/>
    <x v="0"/>
    <x v="1"/>
    <x v="74"/>
    <x v="87"/>
    <x v="6"/>
    <x v="0"/>
    <x v="1"/>
    <x v="0"/>
    <x v="0"/>
  </r>
  <r>
    <x v="162"/>
    <x v="1"/>
    <x v="0"/>
    <x v="2"/>
    <x v="63"/>
    <x v="2"/>
    <x v="2"/>
    <x v="0"/>
    <x v="0"/>
    <x v="0"/>
    <x v="0"/>
    <x v="0"/>
    <x v="0"/>
    <x v="0"/>
    <x v="0"/>
    <x v="0"/>
    <x v="3"/>
    <x v="76"/>
    <x v="4"/>
    <x v="0"/>
    <x v="0"/>
    <x v="0"/>
    <x v="0"/>
  </r>
  <r>
    <x v="163"/>
    <x v="1"/>
    <x v="3"/>
    <x v="5"/>
    <x v="70"/>
    <x v="2"/>
    <x v="2"/>
    <x v="1"/>
    <x v="3"/>
    <x v="3"/>
    <x v="3"/>
    <x v="0"/>
    <x v="2"/>
    <x v="2"/>
    <x v="0"/>
    <x v="2"/>
    <x v="35"/>
    <x v="100"/>
    <x v="4"/>
    <x v="0"/>
    <x v="1"/>
    <x v="0"/>
    <x v="0"/>
  </r>
  <r>
    <x v="164"/>
    <x v="2"/>
    <x v="0"/>
    <x v="10"/>
    <x v="69"/>
    <x v="4"/>
    <x v="2"/>
    <x v="3"/>
    <x v="0"/>
    <x v="0"/>
    <x v="0"/>
    <x v="0"/>
    <x v="0"/>
    <x v="0"/>
    <x v="0"/>
    <x v="0"/>
    <x v="36"/>
    <x v="39"/>
    <x v="2"/>
    <x v="0"/>
    <x v="2"/>
    <x v="0"/>
    <x v="0"/>
  </r>
  <r>
    <x v="165"/>
    <x v="1"/>
    <x v="5"/>
    <x v="8"/>
    <x v="12"/>
    <x v="1"/>
    <x v="8"/>
    <x v="1"/>
    <x v="5"/>
    <x v="5"/>
    <x v="5"/>
    <x v="1"/>
    <x v="1"/>
    <x v="1"/>
    <x v="0"/>
    <x v="1"/>
    <x v="35"/>
    <x v="101"/>
    <x v="5"/>
    <x v="0"/>
    <x v="1"/>
    <x v="3"/>
    <x v="3"/>
  </r>
  <r>
    <x v="166"/>
    <x v="1"/>
    <x v="1"/>
    <x v="6"/>
    <x v="18"/>
    <x v="1"/>
    <x v="1"/>
    <x v="1"/>
    <x v="1"/>
    <x v="1"/>
    <x v="1"/>
    <x v="0"/>
    <x v="1"/>
    <x v="1"/>
    <x v="0"/>
    <x v="1"/>
    <x v="69"/>
    <x v="78"/>
    <x v="3"/>
    <x v="0"/>
    <x v="3"/>
    <x v="0"/>
    <x v="0"/>
  </r>
  <r>
    <x v="167"/>
    <x v="2"/>
    <x v="2"/>
    <x v="13"/>
    <x v="58"/>
    <x v="4"/>
    <x v="2"/>
    <x v="2"/>
    <x v="2"/>
    <x v="2"/>
    <x v="2"/>
    <x v="1"/>
    <x v="2"/>
    <x v="2"/>
    <x v="0"/>
    <x v="2"/>
    <x v="82"/>
    <x v="102"/>
    <x v="4"/>
    <x v="0"/>
    <x v="3"/>
    <x v="1"/>
    <x v="1"/>
  </r>
  <r>
    <x v="168"/>
    <x v="1"/>
    <x v="2"/>
    <x v="4"/>
    <x v="35"/>
    <x v="1"/>
    <x v="11"/>
    <x v="1"/>
    <x v="2"/>
    <x v="2"/>
    <x v="2"/>
    <x v="1"/>
    <x v="2"/>
    <x v="2"/>
    <x v="0"/>
    <x v="2"/>
    <x v="44"/>
    <x v="48"/>
    <x v="5"/>
    <x v="0"/>
    <x v="1"/>
    <x v="1"/>
    <x v="1"/>
  </r>
  <r>
    <x v="169"/>
    <x v="1"/>
    <x v="4"/>
    <x v="9"/>
    <x v="22"/>
    <x v="1"/>
    <x v="9"/>
    <x v="1"/>
    <x v="4"/>
    <x v="4"/>
    <x v="4"/>
    <x v="1"/>
    <x v="0"/>
    <x v="0"/>
    <x v="0"/>
    <x v="0"/>
    <x v="49"/>
    <x v="103"/>
    <x v="2"/>
    <x v="0"/>
    <x v="2"/>
    <x v="2"/>
    <x v="2"/>
  </r>
  <r>
    <x v="170"/>
    <x v="1"/>
    <x v="4"/>
    <x v="9"/>
    <x v="71"/>
    <x v="0"/>
    <x v="9"/>
    <x v="1"/>
    <x v="4"/>
    <x v="4"/>
    <x v="4"/>
    <x v="1"/>
    <x v="0"/>
    <x v="0"/>
    <x v="0"/>
    <x v="0"/>
    <x v="78"/>
    <x v="93"/>
    <x v="4"/>
    <x v="0"/>
    <x v="0"/>
    <x v="2"/>
    <x v="2"/>
  </r>
  <r>
    <x v="171"/>
    <x v="2"/>
    <x v="1"/>
    <x v="15"/>
    <x v="7"/>
    <x v="0"/>
    <x v="1"/>
    <x v="0"/>
    <x v="1"/>
    <x v="1"/>
    <x v="1"/>
    <x v="0"/>
    <x v="1"/>
    <x v="1"/>
    <x v="0"/>
    <x v="1"/>
    <x v="58"/>
    <x v="63"/>
    <x v="4"/>
    <x v="0"/>
    <x v="2"/>
    <x v="0"/>
    <x v="0"/>
  </r>
  <r>
    <x v="172"/>
    <x v="1"/>
    <x v="5"/>
    <x v="8"/>
    <x v="67"/>
    <x v="1"/>
    <x v="16"/>
    <x v="2"/>
    <x v="5"/>
    <x v="5"/>
    <x v="5"/>
    <x v="1"/>
    <x v="1"/>
    <x v="1"/>
    <x v="0"/>
    <x v="1"/>
    <x v="83"/>
    <x v="104"/>
    <x v="5"/>
    <x v="0"/>
    <x v="0"/>
    <x v="3"/>
    <x v="3"/>
  </r>
  <r>
    <x v="173"/>
    <x v="0"/>
    <x v="5"/>
    <x v="12"/>
    <x v="63"/>
    <x v="1"/>
    <x v="4"/>
    <x v="1"/>
    <x v="5"/>
    <x v="5"/>
    <x v="5"/>
    <x v="1"/>
    <x v="1"/>
    <x v="1"/>
    <x v="0"/>
    <x v="1"/>
    <x v="52"/>
    <x v="57"/>
    <x v="3"/>
    <x v="0"/>
    <x v="4"/>
    <x v="3"/>
    <x v="3"/>
  </r>
  <r>
    <x v="174"/>
    <x v="1"/>
    <x v="5"/>
    <x v="8"/>
    <x v="20"/>
    <x v="1"/>
    <x v="8"/>
    <x v="1"/>
    <x v="5"/>
    <x v="5"/>
    <x v="5"/>
    <x v="1"/>
    <x v="1"/>
    <x v="1"/>
    <x v="0"/>
    <x v="1"/>
    <x v="24"/>
    <x v="105"/>
    <x v="3"/>
    <x v="0"/>
    <x v="2"/>
    <x v="3"/>
    <x v="3"/>
  </r>
  <r>
    <x v="175"/>
    <x v="2"/>
    <x v="5"/>
    <x v="14"/>
    <x v="48"/>
    <x v="0"/>
    <x v="6"/>
    <x v="0"/>
    <x v="5"/>
    <x v="5"/>
    <x v="5"/>
    <x v="1"/>
    <x v="1"/>
    <x v="1"/>
    <x v="0"/>
    <x v="1"/>
    <x v="64"/>
    <x v="106"/>
    <x v="3"/>
    <x v="0"/>
    <x v="4"/>
    <x v="3"/>
    <x v="3"/>
  </r>
  <r>
    <x v="176"/>
    <x v="2"/>
    <x v="3"/>
    <x v="11"/>
    <x v="20"/>
    <x v="1"/>
    <x v="1"/>
    <x v="3"/>
    <x v="3"/>
    <x v="3"/>
    <x v="3"/>
    <x v="0"/>
    <x v="2"/>
    <x v="2"/>
    <x v="0"/>
    <x v="2"/>
    <x v="49"/>
    <x v="54"/>
    <x v="5"/>
    <x v="0"/>
    <x v="2"/>
    <x v="0"/>
    <x v="0"/>
  </r>
  <r>
    <x v="177"/>
    <x v="1"/>
    <x v="5"/>
    <x v="8"/>
    <x v="58"/>
    <x v="1"/>
    <x v="8"/>
    <x v="3"/>
    <x v="5"/>
    <x v="5"/>
    <x v="5"/>
    <x v="1"/>
    <x v="1"/>
    <x v="1"/>
    <x v="0"/>
    <x v="1"/>
    <x v="53"/>
    <x v="58"/>
    <x v="5"/>
    <x v="0"/>
    <x v="2"/>
    <x v="3"/>
    <x v="3"/>
  </r>
  <r>
    <x v="178"/>
    <x v="0"/>
    <x v="1"/>
    <x v="1"/>
    <x v="29"/>
    <x v="2"/>
    <x v="2"/>
    <x v="3"/>
    <x v="1"/>
    <x v="1"/>
    <x v="1"/>
    <x v="0"/>
    <x v="1"/>
    <x v="1"/>
    <x v="0"/>
    <x v="1"/>
    <x v="23"/>
    <x v="24"/>
    <x v="0"/>
    <x v="0"/>
    <x v="4"/>
    <x v="0"/>
    <x v="0"/>
  </r>
  <r>
    <x v="179"/>
    <x v="2"/>
    <x v="2"/>
    <x v="13"/>
    <x v="35"/>
    <x v="1"/>
    <x v="11"/>
    <x v="2"/>
    <x v="2"/>
    <x v="2"/>
    <x v="2"/>
    <x v="1"/>
    <x v="2"/>
    <x v="2"/>
    <x v="0"/>
    <x v="2"/>
    <x v="40"/>
    <x v="44"/>
    <x v="3"/>
    <x v="0"/>
    <x v="3"/>
    <x v="1"/>
    <x v="1"/>
  </r>
  <r>
    <x v="180"/>
    <x v="0"/>
    <x v="0"/>
    <x v="0"/>
    <x v="15"/>
    <x v="1"/>
    <x v="0"/>
    <x v="0"/>
    <x v="0"/>
    <x v="0"/>
    <x v="0"/>
    <x v="0"/>
    <x v="0"/>
    <x v="0"/>
    <x v="0"/>
    <x v="0"/>
    <x v="73"/>
    <x v="107"/>
    <x v="6"/>
    <x v="0"/>
    <x v="1"/>
    <x v="0"/>
    <x v="0"/>
  </r>
  <r>
    <x v="181"/>
    <x v="1"/>
    <x v="3"/>
    <x v="5"/>
    <x v="11"/>
    <x v="1"/>
    <x v="17"/>
    <x v="3"/>
    <x v="3"/>
    <x v="3"/>
    <x v="3"/>
    <x v="0"/>
    <x v="2"/>
    <x v="2"/>
    <x v="0"/>
    <x v="2"/>
    <x v="50"/>
    <x v="108"/>
    <x v="5"/>
    <x v="0"/>
    <x v="3"/>
    <x v="0"/>
    <x v="0"/>
  </r>
  <r>
    <x v="182"/>
    <x v="1"/>
    <x v="2"/>
    <x v="4"/>
    <x v="50"/>
    <x v="2"/>
    <x v="2"/>
    <x v="3"/>
    <x v="2"/>
    <x v="2"/>
    <x v="2"/>
    <x v="1"/>
    <x v="2"/>
    <x v="2"/>
    <x v="0"/>
    <x v="2"/>
    <x v="76"/>
    <x v="91"/>
    <x v="1"/>
    <x v="0"/>
    <x v="2"/>
    <x v="1"/>
    <x v="1"/>
  </r>
  <r>
    <x v="183"/>
    <x v="1"/>
    <x v="3"/>
    <x v="5"/>
    <x v="53"/>
    <x v="1"/>
    <x v="0"/>
    <x v="2"/>
    <x v="3"/>
    <x v="3"/>
    <x v="3"/>
    <x v="0"/>
    <x v="2"/>
    <x v="2"/>
    <x v="0"/>
    <x v="2"/>
    <x v="1"/>
    <x v="109"/>
    <x v="2"/>
    <x v="0"/>
    <x v="1"/>
    <x v="0"/>
    <x v="0"/>
  </r>
  <r>
    <x v="184"/>
    <x v="1"/>
    <x v="5"/>
    <x v="8"/>
    <x v="60"/>
    <x v="3"/>
    <x v="2"/>
    <x v="0"/>
    <x v="5"/>
    <x v="5"/>
    <x v="5"/>
    <x v="1"/>
    <x v="1"/>
    <x v="1"/>
    <x v="0"/>
    <x v="1"/>
    <x v="38"/>
    <x v="42"/>
    <x v="5"/>
    <x v="0"/>
    <x v="0"/>
    <x v="3"/>
    <x v="3"/>
  </r>
  <r>
    <x v="185"/>
    <x v="1"/>
    <x v="3"/>
    <x v="5"/>
    <x v="44"/>
    <x v="1"/>
    <x v="0"/>
    <x v="1"/>
    <x v="3"/>
    <x v="3"/>
    <x v="3"/>
    <x v="0"/>
    <x v="2"/>
    <x v="2"/>
    <x v="0"/>
    <x v="2"/>
    <x v="38"/>
    <x v="110"/>
    <x v="1"/>
    <x v="0"/>
    <x v="3"/>
    <x v="0"/>
    <x v="0"/>
  </r>
  <r>
    <x v="186"/>
    <x v="1"/>
    <x v="5"/>
    <x v="8"/>
    <x v="24"/>
    <x v="4"/>
    <x v="2"/>
    <x v="3"/>
    <x v="5"/>
    <x v="5"/>
    <x v="5"/>
    <x v="1"/>
    <x v="1"/>
    <x v="1"/>
    <x v="0"/>
    <x v="1"/>
    <x v="84"/>
    <x v="111"/>
    <x v="2"/>
    <x v="0"/>
    <x v="2"/>
    <x v="3"/>
    <x v="3"/>
  </r>
  <r>
    <x v="187"/>
    <x v="1"/>
    <x v="0"/>
    <x v="2"/>
    <x v="10"/>
    <x v="0"/>
    <x v="0"/>
    <x v="0"/>
    <x v="0"/>
    <x v="0"/>
    <x v="0"/>
    <x v="0"/>
    <x v="0"/>
    <x v="0"/>
    <x v="0"/>
    <x v="0"/>
    <x v="75"/>
    <x v="89"/>
    <x v="0"/>
    <x v="0"/>
    <x v="4"/>
    <x v="0"/>
    <x v="0"/>
  </r>
  <r>
    <x v="188"/>
    <x v="1"/>
    <x v="4"/>
    <x v="9"/>
    <x v="22"/>
    <x v="4"/>
    <x v="2"/>
    <x v="3"/>
    <x v="4"/>
    <x v="4"/>
    <x v="4"/>
    <x v="1"/>
    <x v="0"/>
    <x v="0"/>
    <x v="0"/>
    <x v="0"/>
    <x v="61"/>
    <x v="66"/>
    <x v="3"/>
    <x v="0"/>
    <x v="3"/>
    <x v="2"/>
    <x v="2"/>
  </r>
  <r>
    <x v="189"/>
    <x v="1"/>
    <x v="0"/>
    <x v="2"/>
    <x v="24"/>
    <x v="1"/>
    <x v="1"/>
    <x v="1"/>
    <x v="0"/>
    <x v="0"/>
    <x v="0"/>
    <x v="0"/>
    <x v="0"/>
    <x v="0"/>
    <x v="0"/>
    <x v="0"/>
    <x v="37"/>
    <x v="40"/>
    <x v="5"/>
    <x v="0"/>
    <x v="0"/>
    <x v="0"/>
    <x v="0"/>
  </r>
  <r>
    <x v="190"/>
    <x v="2"/>
    <x v="3"/>
    <x v="11"/>
    <x v="40"/>
    <x v="1"/>
    <x v="1"/>
    <x v="2"/>
    <x v="3"/>
    <x v="3"/>
    <x v="3"/>
    <x v="0"/>
    <x v="2"/>
    <x v="2"/>
    <x v="0"/>
    <x v="2"/>
    <x v="71"/>
    <x v="112"/>
    <x v="3"/>
    <x v="0"/>
    <x v="3"/>
    <x v="0"/>
    <x v="0"/>
  </r>
  <r>
    <x v="191"/>
    <x v="2"/>
    <x v="0"/>
    <x v="10"/>
    <x v="37"/>
    <x v="1"/>
    <x v="1"/>
    <x v="1"/>
    <x v="0"/>
    <x v="0"/>
    <x v="0"/>
    <x v="0"/>
    <x v="0"/>
    <x v="0"/>
    <x v="0"/>
    <x v="0"/>
    <x v="85"/>
    <x v="113"/>
    <x v="5"/>
    <x v="0"/>
    <x v="1"/>
    <x v="0"/>
    <x v="0"/>
  </r>
  <r>
    <x v="192"/>
    <x v="1"/>
    <x v="3"/>
    <x v="5"/>
    <x v="50"/>
    <x v="1"/>
    <x v="1"/>
    <x v="2"/>
    <x v="3"/>
    <x v="3"/>
    <x v="3"/>
    <x v="0"/>
    <x v="2"/>
    <x v="2"/>
    <x v="0"/>
    <x v="2"/>
    <x v="9"/>
    <x v="9"/>
    <x v="1"/>
    <x v="0"/>
    <x v="3"/>
    <x v="0"/>
    <x v="0"/>
  </r>
  <r>
    <x v="193"/>
    <x v="1"/>
    <x v="5"/>
    <x v="8"/>
    <x v="41"/>
    <x v="2"/>
    <x v="2"/>
    <x v="2"/>
    <x v="5"/>
    <x v="5"/>
    <x v="5"/>
    <x v="1"/>
    <x v="1"/>
    <x v="1"/>
    <x v="0"/>
    <x v="1"/>
    <x v="86"/>
    <x v="114"/>
    <x v="1"/>
    <x v="0"/>
    <x v="4"/>
    <x v="3"/>
    <x v="3"/>
  </r>
  <r>
    <x v="194"/>
    <x v="0"/>
    <x v="1"/>
    <x v="1"/>
    <x v="58"/>
    <x v="2"/>
    <x v="2"/>
    <x v="0"/>
    <x v="1"/>
    <x v="1"/>
    <x v="1"/>
    <x v="0"/>
    <x v="1"/>
    <x v="1"/>
    <x v="0"/>
    <x v="1"/>
    <x v="87"/>
    <x v="115"/>
    <x v="5"/>
    <x v="0"/>
    <x v="3"/>
    <x v="0"/>
    <x v="0"/>
  </r>
  <r>
    <x v="195"/>
    <x v="1"/>
    <x v="2"/>
    <x v="4"/>
    <x v="72"/>
    <x v="1"/>
    <x v="4"/>
    <x v="2"/>
    <x v="2"/>
    <x v="2"/>
    <x v="2"/>
    <x v="1"/>
    <x v="2"/>
    <x v="2"/>
    <x v="0"/>
    <x v="2"/>
    <x v="73"/>
    <x v="86"/>
    <x v="3"/>
    <x v="0"/>
    <x v="2"/>
    <x v="1"/>
    <x v="1"/>
  </r>
  <r>
    <x v="196"/>
    <x v="1"/>
    <x v="4"/>
    <x v="9"/>
    <x v="18"/>
    <x v="1"/>
    <x v="14"/>
    <x v="0"/>
    <x v="4"/>
    <x v="4"/>
    <x v="4"/>
    <x v="1"/>
    <x v="0"/>
    <x v="0"/>
    <x v="0"/>
    <x v="0"/>
    <x v="57"/>
    <x v="116"/>
    <x v="3"/>
    <x v="0"/>
    <x v="0"/>
    <x v="2"/>
    <x v="2"/>
  </r>
  <r>
    <x v="197"/>
    <x v="1"/>
    <x v="2"/>
    <x v="4"/>
    <x v="68"/>
    <x v="1"/>
    <x v="20"/>
    <x v="0"/>
    <x v="2"/>
    <x v="2"/>
    <x v="2"/>
    <x v="1"/>
    <x v="2"/>
    <x v="2"/>
    <x v="0"/>
    <x v="2"/>
    <x v="25"/>
    <x v="26"/>
    <x v="4"/>
    <x v="0"/>
    <x v="3"/>
    <x v="1"/>
    <x v="1"/>
  </r>
  <r>
    <x v="198"/>
    <x v="1"/>
    <x v="5"/>
    <x v="8"/>
    <x v="37"/>
    <x v="4"/>
    <x v="2"/>
    <x v="1"/>
    <x v="5"/>
    <x v="5"/>
    <x v="5"/>
    <x v="1"/>
    <x v="1"/>
    <x v="1"/>
    <x v="0"/>
    <x v="1"/>
    <x v="74"/>
    <x v="87"/>
    <x v="6"/>
    <x v="0"/>
    <x v="1"/>
    <x v="3"/>
    <x v="3"/>
  </r>
  <r>
    <x v="199"/>
    <x v="1"/>
    <x v="1"/>
    <x v="6"/>
    <x v="2"/>
    <x v="2"/>
    <x v="2"/>
    <x v="2"/>
    <x v="1"/>
    <x v="1"/>
    <x v="1"/>
    <x v="0"/>
    <x v="1"/>
    <x v="1"/>
    <x v="0"/>
    <x v="1"/>
    <x v="3"/>
    <x v="76"/>
    <x v="4"/>
    <x v="0"/>
    <x v="0"/>
    <x v="0"/>
    <x v="0"/>
  </r>
  <r>
    <x v="200"/>
    <x v="0"/>
    <x v="2"/>
    <x v="3"/>
    <x v="16"/>
    <x v="4"/>
    <x v="2"/>
    <x v="3"/>
    <x v="2"/>
    <x v="2"/>
    <x v="2"/>
    <x v="1"/>
    <x v="2"/>
    <x v="2"/>
    <x v="0"/>
    <x v="2"/>
    <x v="61"/>
    <x v="66"/>
    <x v="3"/>
    <x v="0"/>
    <x v="3"/>
    <x v="1"/>
    <x v="1"/>
  </r>
  <r>
    <x v="201"/>
    <x v="1"/>
    <x v="5"/>
    <x v="8"/>
    <x v="20"/>
    <x v="3"/>
    <x v="2"/>
    <x v="3"/>
    <x v="5"/>
    <x v="5"/>
    <x v="5"/>
    <x v="1"/>
    <x v="1"/>
    <x v="1"/>
    <x v="0"/>
    <x v="1"/>
    <x v="88"/>
    <x v="117"/>
    <x v="6"/>
    <x v="0"/>
    <x v="3"/>
    <x v="3"/>
    <x v="3"/>
  </r>
  <r>
    <x v="202"/>
    <x v="1"/>
    <x v="2"/>
    <x v="4"/>
    <x v="30"/>
    <x v="4"/>
    <x v="2"/>
    <x v="0"/>
    <x v="2"/>
    <x v="2"/>
    <x v="2"/>
    <x v="1"/>
    <x v="2"/>
    <x v="2"/>
    <x v="0"/>
    <x v="2"/>
    <x v="1"/>
    <x v="109"/>
    <x v="2"/>
    <x v="0"/>
    <x v="1"/>
    <x v="1"/>
    <x v="1"/>
  </r>
  <r>
    <x v="203"/>
    <x v="0"/>
    <x v="4"/>
    <x v="17"/>
    <x v="57"/>
    <x v="1"/>
    <x v="9"/>
    <x v="3"/>
    <x v="4"/>
    <x v="4"/>
    <x v="4"/>
    <x v="1"/>
    <x v="0"/>
    <x v="0"/>
    <x v="0"/>
    <x v="0"/>
    <x v="61"/>
    <x v="66"/>
    <x v="3"/>
    <x v="0"/>
    <x v="3"/>
    <x v="2"/>
    <x v="2"/>
  </r>
  <r>
    <x v="204"/>
    <x v="0"/>
    <x v="4"/>
    <x v="17"/>
    <x v="73"/>
    <x v="1"/>
    <x v="9"/>
    <x v="3"/>
    <x v="4"/>
    <x v="4"/>
    <x v="4"/>
    <x v="1"/>
    <x v="0"/>
    <x v="0"/>
    <x v="0"/>
    <x v="0"/>
    <x v="55"/>
    <x v="60"/>
    <x v="1"/>
    <x v="0"/>
    <x v="4"/>
    <x v="2"/>
    <x v="2"/>
  </r>
  <r>
    <x v="205"/>
    <x v="1"/>
    <x v="5"/>
    <x v="8"/>
    <x v="45"/>
    <x v="1"/>
    <x v="8"/>
    <x v="2"/>
    <x v="5"/>
    <x v="5"/>
    <x v="5"/>
    <x v="1"/>
    <x v="1"/>
    <x v="1"/>
    <x v="0"/>
    <x v="1"/>
    <x v="69"/>
    <x v="118"/>
    <x v="0"/>
    <x v="0"/>
    <x v="4"/>
    <x v="3"/>
    <x v="3"/>
  </r>
  <r>
    <x v="206"/>
    <x v="1"/>
    <x v="3"/>
    <x v="5"/>
    <x v="34"/>
    <x v="3"/>
    <x v="2"/>
    <x v="1"/>
    <x v="3"/>
    <x v="3"/>
    <x v="3"/>
    <x v="0"/>
    <x v="2"/>
    <x v="2"/>
    <x v="0"/>
    <x v="2"/>
    <x v="89"/>
    <x v="119"/>
    <x v="5"/>
    <x v="0"/>
    <x v="0"/>
    <x v="0"/>
    <x v="0"/>
  </r>
  <r>
    <x v="207"/>
    <x v="1"/>
    <x v="0"/>
    <x v="2"/>
    <x v="13"/>
    <x v="4"/>
    <x v="2"/>
    <x v="3"/>
    <x v="0"/>
    <x v="0"/>
    <x v="0"/>
    <x v="0"/>
    <x v="0"/>
    <x v="0"/>
    <x v="0"/>
    <x v="0"/>
    <x v="39"/>
    <x v="120"/>
    <x v="4"/>
    <x v="0"/>
    <x v="1"/>
    <x v="0"/>
    <x v="0"/>
  </r>
  <r>
    <x v="208"/>
    <x v="1"/>
    <x v="5"/>
    <x v="8"/>
    <x v="37"/>
    <x v="1"/>
    <x v="13"/>
    <x v="3"/>
    <x v="5"/>
    <x v="5"/>
    <x v="5"/>
    <x v="1"/>
    <x v="1"/>
    <x v="1"/>
    <x v="0"/>
    <x v="1"/>
    <x v="84"/>
    <x v="111"/>
    <x v="2"/>
    <x v="0"/>
    <x v="2"/>
    <x v="3"/>
    <x v="3"/>
  </r>
  <r>
    <x v="209"/>
    <x v="1"/>
    <x v="3"/>
    <x v="5"/>
    <x v="44"/>
    <x v="2"/>
    <x v="2"/>
    <x v="3"/>
    <x v="3"/>
    <x v="3"/>
    <x v="3"/>
    <x v="0"/>
    <x v="2"/>
    <x v="2"/>
    <x v="0"/>
    <x v="2"/>
    <x v="70"/>
    <x v="79"/>
    <x v="0"/>
    <x v="0"/>
    <x v="2"/>
    <x v="0"/>
    <x v="0"/>
  </r>
  <r>
    <x v="210"/>
    <x v="2"/>
    <x v="0"/>
    <x v="10"/>
    <x v="22"/>
    <x v="2"/>
    <x v="2"/>
    <x v="0"/>
    <x v="0"/>
    <x v="0"/>
    <x v="0"/>
    <x v="0"/>
    <x v="0"/>
    <x v="0"/>
    <x v="0"/>
    <x v="0"/>
    <x v="57"/>
    <x v="62"/>
    <x v="2"/>
    <x v="0"/>
    <x v="2"/>
    <x v="0"/>
    <x v="0"/>
  </r>
  <r>
    <x v="211"/>
    <x v="1"/>
    <x v="4"/>
    <x v="9"/>
    <x v="74"/>
    <x v="1"/>
    <x v="14"/>
    <x v="0"/>
    <x v="4"/>
    <x v="4"/>
    <x v="4"/>
    <x v="1"/>
    <x v="0"/>
    <x v="0"/>
    <x v="0"/>
    <x v="0"/>
    <x v="25"/>
    <x v="121"/>
    <x v="0"/>
    <x v="0"/>
    <x v="1"/>
    <x v="2"/>
    <x v="2"/>
  </r>
  <r>
    <x v="212"/>
    <x v="1"/>
    <x v="1"/>
    <x v="6"/>
    <x v="20"/>
    <x v="3"/>
    <x v="2"/>
    <x v="0"/>
    <x v="1"/>
    <x v="1"/>
    <x v="1"/>
    <x v="0"/>
    <x v="1"/>
    <x v="1"/>
    <x v="0"/>
    <x v="1"/>
    <x v="0"/>
    <x v="0"/>
    <x v="0"/>
    <x v="0"/>
    <x v="0"/>
    <x v="0"/>
    <x v="0"/>
  </r>
  <r>
    <x v="213"/>
    <x v="0"/>
    <x v="5"/>
    <x v="12"/>
    <x v="50"/>
    <x v="2"/>
    <x v="2"/>
    <x v="0"/>
    <x v="5"/>
    <x v="5"/>
    <x v="5"/>
    <x v="1"/>
    <x v="1"/>
    <x v="1"/>
    <x v="0"/>
    <x v="1"/>
    <x v="89"/>
    <x v="119"/>
    <x v="5"/>
    <x v="0"/>
    <x v="0"/>
    <x v="3"/>
    <x v="3"/>
  </r>
  <r>
    <x v="214"/>
    <x v="1"/>
    <x v="1"/>
    <x v="6"/>
    <x v="2"/>
    <x v="3"/>
    <x v="2"/>
    <x v="0"/>
    <x v="1"/>
    <x v="1"/>
    <x v="1"/>
    <x v="0"/>
    <x v="1"/>
    <x v="1"/>
    <x v="0"/>
    <x v="1"/>
    <x v="42"/>
    <x v="46"/>
    <x v="1"/>
    <x v="0"/>
    <x v="4"/>
    <x v="0"/>
    <x v="0"/>
  </r>
  <r>
    <x v="215"/>
    <x v="2"/>
    <x v="1"/>
    <x v="15"/>
    <x v="4"/>
    <x v="2"/>
    <x v="2"/>
    <x v="0"/>
    <x v="1"/>
    <x v="1"/>
    <x v="1"/>
    <x v="0"/>
    <x v="1"/>
    <x v="1"/>
    <x v="0"/>
    <x v="1"/>
    <x v="76"/>
    <x v="91"/>
    <x v="1"/>
    <x v="0"/>
    <x v="2"/>
    <x v="0"/>
    <x v="0"/>
  </r>
  <r>
    <x v="216"/>
    <x v="2"/>
    <x v="0"/>
    <x v="10"/>
    <x v="26"/>
    <x v="1"/>
    <x v="1"/>
    <x v="3"/>
    <x v="0"/>
    <x v="0"/>
    <x v="0"/>
    <x v="0"/>
    <x v="0"/>
    <x v="0"/>
    <x v="0"/>
    <x v="0"/>
    <x v="9"/>
    <x v="9"/>
    <x v="1"/>
    <x v="0"/>
    <x v="3"/>
    <x v="0"/>
    <x v="0"/>
  </r>
  <r>
    <x v="217"/>
    <x v="1"/>
    <x v="4"/>
    <x v="9"/>
    <x v="66"/>
    <x v="1"/>
    <x v="9"/>
    <x v="0"/>
    <x v="4"/>
    <x v="4"/>
    <x v="4"/>
    <x v="1"/>
    <x v="0"/>
    <x v="0"/>
    <x v="0"/>
    <x v="0"/>
    <x v="90"/>
    <x v="122"/>
    <x v="5"/>
    <x v="0"/>
    <x v="3"/>
    <x v="2"/>
    <x v="2"/>
  </r>
  <r>
    <x v="218"/>
    <x v="1"/>
    <x v="4"/>
    <x v="9"/>
    <x v="4"/>
    <x v="2"/>
    <x v="2"/>
    <x v="3"/>
    <x v="4"/>
    <x v="4"/>
    <x v="4"/>
    <x v="1"/>
    <x v="0"/>
    <x v="0"/>
    <x v="0"/>
    <x v="0"/>
    <x v="57"/>
    <x v="116"/>
    <x v="3"/>
    <x v="0"/>
    <x v="0"/>
    <x v="2"/>
    <x v="2"/>
  </r>
  <r>
    <x v="219"/>
    <x v="0"/>
    <x v="2"/>
    <x v="3"/>
    <x v="65"/>
    <x v="4"/>
    <x v="2"/>
    <x v="2"/>
    <x v="2"/>
    <x v="2"/>
    <x v="2"/>
    <x v="1"/>
    <x v="2"/>
    <x v="2"/>
    <x v="0"/>
    <x v="2"/>
    <x v="35"/>
    <x v="101"/>
    <x v="5"/>
    <x v="0"/>
    <x v="1"/>
    <x v="1"/>
    <x v="1"/>
  </r>
  <r>
    <x v="220"/>
    <x v="0"/>
    <x v="5"/>
    <x v="12"/>
    <x v="13"/>
    <x v="0"/>
    <x v="13"/>
    <x v="1"/>
    <x v="5"/>
    <x v="5"/>
    <x v="5"/>
    <x v="1"/>
    <x v="1"/>
    <x v="1"/>
    <x v="0"/>
    <x v="1"/>
    <x v="47"/>
    <x v="51"/>
    <x v="4"/>
    <x v="0"/>
    <x v="2"/>
    <x v="3"/>
    <x v="3"/>
  </r>
  <r>
    <x v="221"/>
    <x v="2"/>
    <x v="1"/>
    <x v="15"/>
    <x v="37"/>
    <x v="1"/>
    <x v="0"/>
    <x v="0"/>
    <x v="1"/>
    <x v="1"/>
    <x v="1"/>
    <x v="0"/>
    <x v="1"/>
    <x v="1"/>
    <x v="0"/>
    <x v="1"/>
    <x v="57"/>
    <x v="62"/>
    <x v="2"/>
    <x v="0"/>
    <x v="2"/>
    <x v="0"/>
    <x v="0"/>
  </r>
  <r>
    <x v="222"/>
    <x v="1"/>
    <x v="5"/>
    <x v="8"/>
    <x v="36"/>
    <x v="2"/>
    <x v="2"/>
    <x v="1"/>
    <x v="5"/>
    <x v="5"/>
    <x v="5"/>
    <x v="1"/>
    <x v="1"/>
    <x v="1"/>
    <x v="0"/>
    <x v="1"/>
    <x v="54"/>
    <x v="59"/>
    <x v="1"/>
    <x v="0"/>
    <x v="3"/>
    <x v="3"/>
    <x v="3"/>
  </r>
  <r>
    <x v="223"/>
    <x v="2"/>
    <x v="0"/>
    <x v="10"/>
    <x v="75"/>
    <x v="1"/>
    <x v="0"/>
    <x v="1"/>
    <x v="0"/>
    <x v="0"/>
    <x v="0"/>
    <x v="0"/>
    <x v="0"/>
    <x v="0"/>
    <x v="0"/>
    <x v="0"/>
    <x v="36"/>
    <x v="39"/>
    <x v="2"/>
    <x v="0"/>
    <x v="2"/>
    <x v="0"/>
    <x v="0"/>
  </r>
  <r>
    <x v="224"/>
    <x v="1"/>
    <x v="1"/>
    <x v="6"/>
    <x v="72"/>
    <x v="2"/>
    <x v="2"/>
    <x v="3"/>
    <x v="1"/>
    <x v="1"/>
    <x v="1"/>
    <x v="0"/>
    <x v="1"/>
    <x v="1"/>
    <x v="0"/>
    <x v="1"/>
    <x v="91"/>
    <x v="123"/>
    <x v="4"/>
    <x v="0"/>
    <x v="0"/>
    <x v="0"/>
    <x v="0"/>
  </r>
  <r>
    <x v="225"/>
    <x v="1"/>
    <x v="5"/>
    <x v="8"/>
    <x v="8"/>
    <x v="1"/>
    <x v="16"/>
    <x v="3"/>
    <x v="5"/>
    <x v="5"/>
    <x v="5"/>
    <x v="1"/>
    <x v="1"/>
    <x v="1"/>
    <x v="0"/>
    <x v="1"/>
    <x v="54"/>
    <x v="124"/>
    <x v="1"/>
    <x v="0"/>
    <x v="4"/>
    <x v="3"/>
    <x v="3"/>
  </r>
  <r>
    <x v="226"/>
    <x v="1"/>
    <x v="5"/>
    <x v="8"/>
    <x v="76"/>
    <x v="1"/>
    <x v="11"/>
    <x v="3"/>
    <x v="5"/>
    <x v="5"/>
    <x v="5"/>
    <x v="1"/>
    <x v="1"/>
    <x v="1"/>
    <x v="0"/>
    <x v="1"/>
    <x v="25"/>
    <x v="121"/>
    <x v="0"/>
    <x v="0"/>
    <x v="1"/>
    <x v="3"/>
    <x v="3"/>
  </r>
  <r>
    <x v="227"/>
    <x v="1"/>
    <x v="0"/>
    <x v="2"/>
    <x v="36"/>
    <x v="0"/>
    <x v="1"/>
    <x v="1"/>
    <x v="0"/>
    <x v="0"/>
    <x v="0"/>
    <x v="0"/>
    <x v="0"/>
    <x v="0"/>
    <x v="0"/>
    <x v="0"/>
    <x v="47"/>
    <x v="51"/>
    <x v="4"/>
    <x v="0"/>
    <x v="2"/>
    <x v="0"/>
    <x v="0"/>
  </r>
  <r>
    <x v="228"/>
    <x v="1"/>
    <x v="3"/>
    <x v="5"/>
    <x v="54"/>
    <x v="1"/>
    <x v="0"/>
    <x v="2"/>
    <x v="3"/>
    <x v="3"/>
    <x v="3"/>
    <x v="0"/>
    <x v="2"/>
    <x v="2"/>
    <x v="0"/>
    <x v="2"/>
    <x v="3"/>
    <x v="3"/>
    <x v="3"/>
    <x v="0"/>
    <x v="3"/>
    <x v="0"/>
    <x v="0"/>
  </r>
  <r>
    <x v="229"/>
    <x v="1"/>
    <x v="0"/>
    <x v="2"/>
    <x v="55"/>
    <x v="1"/>
    <x v="0"/>
    <x v="3"/>
    <x v="0"/>
    <x v="0"/>
    <x v="0"/>
    <x v="0"/>
    <x v="0"/>
    <x v="0"/>
    <x v="0"/>
    <x v="0"/>
    <x v="1"/>
    <x v="109"/>
    <x v="2"/>
    <x v="0"/>
    <x v="1"/>
    <x v="0"/>
    <x v="0"/>
  </r>
  <r>
    <x v="230"/>
    <x v="2"/>
    <x v="3"/>
    <x v="11"/>
    <x v="7"/>
    <x v="3"/>
    <x v="2"/>
    <x v="1"/>
    <x v="3"/>
    <x v="3"/>
    <x v="3"/>
    <x v="0"/>
    <x v="2"/>
    <x v="2"/>
    <x v="0"/>
    <x v="2"/>
    <x v="92"/>
    <x v="125"/>
    <x v="5"/>
    <x v="0"/>
    <x v="0"/>
    <x v="0"/>
    <x v="0"/>
  </r>
  <r>
    <x v="231"/>
    <x v="1"/>
    <x v="0"/>
    <x v="2"/>
    <x v="0"/>
    <x v="1"/>
    <x v="1"/>
    <x v="0"/>
    <x v="0"/>
    <x v="0"/>
    <x v="0"/>
    <x v="0"/>
    <x v="0"/>
    <x v="0"/>
    <x v="0"/>
    <x v="0"/>
    <x v="16"/>
    <x v="16"/>
    <x v="0"/>
    <x v="0"/>
    <x v="2"/>
    <x v="0"/>
    <x v="0"/>
  </r>
  <r>
    <x v="232"/>
    <x v="1"/>
    <x v="2"/>
    <x v="4"/>
    <x v="11"/>
    <x v="3"/>
    <x v="2"/>
    <x v="2"/>
    <x v="2"/>
    <x v="2"/>
    <x v="2"/>
    <x v="1"/>
    <x v="2"/>
    <x v="2"/>
    <x v="0"/>
    <x v="2"/>
    <x v="93"/>
    <x v="126"/>
    <x v="3"/>
    <x v="0"/>
    <x v="2"/>
    <x v="1"/>
    <x v="1"/>
  </r>
  <r>
    <x v="233"/>
    <x v="1"/>
    <x v="5"/>
    <x v="8"/>
    <x v="69"/>
    <x v="1"/>
    <x v="3"/>
    <x v="2"/>
    <x v="5"/>
    <x v="5"/>
    <x v="5"/>
    <x v="1"/>
    <x v="1"/>
    <x v="1"/>
    <x v="0"/>
    <x v="1"/>
    <x v="45"/>
    <x v="49"/>
    <x v="5"/>
    <x v="0"/>
    <x v="4"/>
    <x v="3"/>
    <x v="3"/>
  </r>
  <r>
    <x v="234"/>
    <x v="1"/>
    <x v="1"/>
    <x v="6"/>
    <x v="35"/>
    <x v="2"/>
    <x v="2"/>
    <x v="0"/>
    <x v="1"/>
    <x v="1"/>
    <x v="1"/>
    <x v="0"/>
    <x v="1"/>
    <x v="1"/>
    <x v="0"/>
    <x v="1"/>
    <x v="12"/>
    <x v="84"/>
    <x v="4"/>
    <x v="0"/>
    <x v="1"/>
    <x v="0"/>
    <x v="0"/>
  </r>
  <r>
    <x v="235"/>
    <x v="2"/>
    <x v="4"/>
    <x v="7"/>
    <x v="77"/>
    <x v="1"/>
    <x v="17"/>
    <x v="3"/>
    <x v="4"/>
    <x v="4"/>
    <x v="4"/>
    <x v="1"/>
    <x v="0"/>
    <x v="0"/>
    <x v="0"/>
    <x v="0"/>
    <x v="62"/>
    <x v="127"/>
    <x v="2"/>
    <x v="0"/>
    <x v="3"/>
    <x v="2"/>
    <x v="2"/>
  </r>
  <r>
    <x v="236"/>
    <x v="0"/>
    <x v="2"/>
    <x v="3"/>
    <x v="12"/>
    <x v="4"/>
    <x v="2"/>
    <x v="0"/>
    <x v="2"/>
    <x v="2"/>
    <x v="2"/>
    <x v="1"/>
    <x v="2"/>
    <x v="2"/>
    <x v="0"/>
    <x v="2"/>
    <x v="85"/>
    <x v="113"/>
    <x v="5"/>
    <x v="0"/>
    <x v="1"/>
    <x v="1"/>
    <x v="1"/>
  </r>
  <r>
    <x v="237"/>
    <x v="1"/>
    <x v="3"/>
    <x v="5"/>
    <x v="29"/>
    <x v="1"/>
    <x v="1"/>
    <x v="2"/>
    <x v="3"/>
    <x v="3"/>
    <x v="3"/>
    <x v="0"/>
    <x v="2"/>
    <x v="2"/>
    <x v="0"/>
    <x v="2"/>
    <x v="89"/>
    <x v="119"/>
    <x v="5"/>
    <x v="0"/>
    <x v="0"/>
    <x v="0"/>
    <x v="0"/>
  </r>
  <r>
    <x v="238"/>
    <x v="2"/>
    <x v="4"/>
    <x v="7"/>
    <x v="78"/>
    <x v="1"/>
    <x v="9"/>
    <x v="0"/>
    <x v="4"/>
    <x v="4"/>
    <x v="4"/>
    <x v="1"/>
    <x v="0"/>
    <x v="0"/>
    <x v="0"/>
    <x v="0"/>
    <x v="37"/>
    <x v="40"/>
    <x v="5"/>
    <x v="0"/>
    <x v="0"/>
    <x v="2"/>
    <x v="2"/>
  </r>
  <r>
    <x v="239"/>
    <x v="2"/>
    <x v="4"/>
    <x v="7"/>
    <x v="4"/>
    <x v="2"/>
    <x v="2"/>
    <x v="0"/>
    <x v="4"/>
    <x v="4"/>
    <x v="4"/>
    <x v="1"/>
    <x v="0"/>
    <x v="0"/>
    <x v="0"/>
    <x v="0"/>
    <x v="57"/>
    <x v="62"/>
    <x v="2"/>
    <x v="0"/>
    <x v="2"/>
    <x v="2"/>
    <x v="2"/>
  </r>
  <r>
    <x v="240"/>
    <x v="1"/>
    <x v="4"/>
    <x v="9"/>
    <x v="58"/>
    <x v="1"/>
    <x v="13"/>
    <x v="2"/>
    <x v="4"/>
    <x v="4"/>
    <x v="4"/>
    <x v="1"/>
    <x v="0"/>
    <x v="0"/>
    <x v="0"/>
    <x v="0"/>
    <x v="77"/>
    <x v="92"/>
    <x v="1"/>
    <x v="0"/>
    <x v="3"/>
    <x v="2"/>
    <x v="2"/>
  </r>
  <r>
    <x v="241"/>
    <x v="2"/>
    <x v="3"/>
    <x v="11"/>
    <x v="26"/>
    <x v="0"/>
    <x v="1"/>
    <x v="0"/>
    <x v="3"/>
    <x v="3"/>
    <x v="3"/>
    <x v="0"/>
    <x v="2"/>
    <x v="2"/>
    <x v="0"/>
    <x v="2"/>
    <x v="39"/>
    <x v="120"/>
    <x v="4"/>
    <x v="0"/>
    <x v="1"/>
    <x v="0"/>
    <x v="0"/>
  </r>
  <r>
    <x v="242"/>
    <x v="1"/>
    <x v="0"/>
    <x v="2"/>
    <x v="27"/>
    <x v="2"/>
    <x v="2"/>
    <x v="3"/>
    <x v="0"/>
    <x v="0"/>
    <x v="0"/>
    <x v="0"/>
    <x v="0"/>
    <x v="0"/>
    <x v="0"/>
    <x v="0"/>
    <x v="54"/>
    <x v="124"/>
    <x v="1"/>
    <x v="0"/>
    <x v="4"/>
    <x v="0"/>
    <x v="0"/>
  </r>
  <r>
    <x v="243"/>
    <x v="0"/>
    <x v="4"/>
    <x v="17"/>
    <x v="42"/>
    <x v="4"/>
    <x v="2"/>
    <x v="1"/>
    <x v="4"/>
    <x v="4"/>
    <x v="4"/>
    <x v="1"/>
    <x v="0"/>
    <x v="0"/>
    <x v="0"/>
    <x v="0"/>
    <x v="12"/>
    <x v="12"/>
    <x v="2"/>
    <x v="0"/>
    <x v="4"/>
    <x v="2"/>
    <x v="2"/>
  </r>
  <r>
    <x v="244"/>
    <x v="1"/>
    <x v="0"/>
    <x v="2"/>
    <x v="11"/>
    <x v="0"/>
    <x v="0"/>
    <x v="0"/>
    <x v="0"/>
    <x v="0"/>
    <x v="0"/>
    <x v="0"/>
    <x v="0"/>
    <x v="0"/>
    <x v="0"/>
    <x v="0"/>
    <x v="60"/>
    <x v="65"/>
    <x v="0"/>
    <x v="0"/>
    <x v="1"/>
    <x v="0"/>
    <x v="0"/>
  </r>
  <r>
    <x v="245"/>
    <x v="1"/>
    <x v="5"/>
    <x v="8"/>
    <x v="42"/>
    <x v="1"/>
    <x v="19"/>
    <x v="1"/>
    <x v="5"/>
    <x v="5"/>
    <x v="5"/>
    <x v="1"/>
    <x v="1"/>
    <x v="1"/>
    <x v="0"/>
    <x v="1"/>
    <x v="24"/>
    <x v="105"/>
    <x v="3"/>
    <x v="0"/>
    <x v="2"/>
    <x v="3"/>
    <x v="3"/>
  </r>
  <r>
    <x v="246"/>
    <x v="1"/>
    <x v="3"/>
    <x v="5"/>
    <x v="32"/>
    <x v="1"/>
    <x v="1"/>
    <x v="0"/>
    <x v="3"/>
    <x v="3"/>
    <x v="3"/>
    <x v="0"/>
    <x v="2"/>
    <x v="2"/>
    <x v="0"/>
    <x v="2"/>
    <x v="4"/>
    <x v="4"/>
    <x v="1"/>
    <x v="0"/>
    <x v="0"/>
    <x v="0"/>
    <x v="0"/>
  </r>
  <r>
    <x v="247"/>
    <x v="0"/>
    <x v="0"/>
    <x v="0"/>
    <x v="7"/>
    <x v="1"/>
    <x v="1"/>
    <x v="3"/>
    <x v="0"/>
    <x v="0"/>
    <x v="0"/>
    <x v="0"/>
    <x v="0"/>
    <x v="0"/>
    <x v="0"/>
    <x v="0"/>
    <x v="24"/>
    <x v="25"/>
    <x v="2"/>
    <x v="0"/>
    <x v="0"/>
    <x v="0"/>
    <x v="0"/>
  </r>
  <r>
    <x v="248"/>
    <x v="1"/>
    <x v="2"/>
    <x v="4"/>
    <x v="9"/>
    <x v="1"/>
    <x v="19"/>
    <x v="3"/>
    <x v="2"/>
    <x v="2"/>
    <x v="2"/>
    <x v="1"/>
    <x v="2"/>
    <x v="2"/>
    <x v="0"/>
    <x v="2"/>
    <x v="70"/>
    <x v="128"/>
    <x v="1"/>
    <x v="0"/>
    <x v="1"/>
    <x v="1"/>
    <x v="1"/>
  </r>
  <r>
    <x v="249"/>
    <x v="1"/>
    <x v="5"/>
    <x v="8"/>
    <x v="72"/>
    <x v="3"/>
    <x v="2"/>
    <x v="0"/>
    <x v="5"/>
    <x v="5"/>
    <x v="5"/>
    <x v="1"/>
    <x v="1"/>
    <x v="1"/>
    <x v="0"/>
    <x v="1"/>
    <x v="75"/>
    <x v="90"/>
    <x v="5"/>
    <x v="0"/>
    <x v="4"/>
    <x v="3"/>
    <x v="3"/>
  </r>
  <r>
    <x v="250"/>
    <x v="1"/>
    <x v="5"/>
    <x v="8"/>
    <x v="79"/>
    <x v="4"/>
    <x v="2"/>
    <x v="2"/>
    <x v="5"/>
    <x v="5"/>
    <x v="5"/>
    <x v="1"/>
    <x v="1"/>
    <x v="1"/>
    <x v="0"/>
    <x v="1"/>
    <x v="84"/>
    <x v="111"/>
    <x v="2"/>
    <x v="0"/>
    <x v="2"/>
    <x v="3"/>
    <x v="3"/>
  </r>
  <r>
    <x v="251"/>
    <x v="2"/>
    <x v="2"/>
    <x v="13"/>
    <x v="1"/>
    <x v="1"/>
    <x v="3"/>
    <x v="1"/>
    <x v="2"/>
    <x v="2"/>
    <x v="2"/>
    <x v="1"/>
    <x v="2"/>
    <x v="2"/>
    <x v="0"/>
    <x v="2"/>
    <x v="63"/>
    <x v="129"/>
    <x v="3"/>
    <x v="0"/>
    <x v="4"/>
    <x v="1"/>
    <x v="1"/>
  </r>
  <r>
    <x v="252"/>
    <x v="1"/>
    <x v="2"/>
    <x v="4"/>
    <x v="15"/>
    <x v="3"/>
    <x v="2"/>
    <x v="0"/>
    <x v="2"/>
    <x v="2"/>
    <x v="2"/>
    <x v="1"/>
    <x v="2"/>
    <x v="2"/>
    <x v="0"/>
    <x v="2"/>
    <x v="48"/>
    <x v="53"/>
    <x v="2"/>
    <x v="0"/>
    <x v="0"/>
    <x v="1"/>
    <x v="1"/>
  </r>
  <r>
    <x v="253"/>
    <x v="2"/>
    <x v="2"/>
    <x v="13"/>
    <x v="6"/>
    <x v="1"/>
    <x v="3"/>
    <x v="2"/>
    <x v="2"/>
    <x v="2"/>
    <x v="2"/>
    <x v="1"/>
    <x v="2"/>
    <x v="2"/>
    <x v="0"/>
    <x v="2"/>
    <x v="56"/>
    <x v="61"/>
    <x v="0"/>
    <x v="0"/>
    <x v="4"/>
    <x v="1"/>
    <x v="1"/>
  </r>
  <r>
    <x v="254"/>
    <x v="1"/>
    <x v="4"/>
    <x v="9"/>
    <x v="9"/>
    <x v="1"/>
    <x v="21"/>
    <x v="3"/>
    <x v="4"/>
    <x v="4"/>
    <x v="4"/>
    <x v="1"/>
    <x v="0"/>
    <x v="0"/>
    <x v="0"/>
    <x v="0"/>
    <x v="3"/>
    <x v="3"/>
    <x v="3"/>
    <x v="0"/>
    <x v="3"/>
    <x v="2"/>
    <x v="2"/>
  </r>
  <r>
    <x v="255"/>
    <x v="1"/>
    <x v="3"/>
    <x v="5"/>
    <x v="43"/>
    <x v="2"/>
    <x v="2"/>
    <x v="2"/>
    <x v="3"/>
    <x v="3"/>
    <x v="3"/>
    <x v="2"/>
    <x v="2"/>
    <x v="2"/>
    <x v="0"/>
    <x v="2"/>
    <x v="25"/>
    <x v="121"/>
    <x v="0"/>
    <x v="0"/>
    <x v="1"/>
    <x v="0"/>
    <x v="0"/>
  </r>
  <r>
    <x v="256"/>
    <x v="1"/>
    <x v="1"/>
    <x v="6"/>
    <x v="42"/>
    <x v="1"/>
    <x v="0"/>
    <x v="1"/>
    <x v="1"/>
    <x v="1"/>
    <x v="1"/>
    <x v="0"/>
    <x v="1"/>
    <x v="1"/>
    <x v="0"/>
    <x v="1"/>
    <x v="23"/>
    <x v="24"/>
    <x v="0"/>
    <x v="0"/>
    <x v="4"/>
    <x v="0"/>
    <x v="0"/>
  </r>
  <r>
    <x v="257"/>
    <x v="1"/>
    <x v="1"/>
    <x v="6"/>
    <x v="54"/>
    <x v="2"/>
    <x v="2"/>
    <x v="2"/>
    <x v="1"/>
    <x v="1"/>
    <x v="1"/>
    <x v="0"/>
    <x v="1"/>
    <x v="1"/>
    <x v="0"/>
    <x v="1"/>
    <x v="3"/>
    <x v="76"/>
    <x v="4"/>
    <x v="0"/>
    <x v="0"/>
    <x v="0"/>
    <x v="0"/>
  </r>
  <r>
    <x v="258"/>
    <x v="1"/>
    <x v="3"/>
    <x v="5"/>
    <x v="80"/>
    <x v="1"/>
    <x v="1"/>
    <x v="3"/>
    <x v="3"/>
    <x v="3"/>
    <x v="3"/>
    <x v="0"/>
    <x v="2"/>
    <x v="2"/>
    <x v="0"/>
    <x v="2"/>
    <x v="42"/>
    <x v="46"/>
    <x v="1"/>
    <x v="0"/>
    <x v="4"/>
    <x v="0"/>
    <x v="0"/>
  </r>
  <r>
    <x v="259"/>
    <x v="2"/>
    <x v="4"/>
    <x v="7"/>
    <x v="66"/>
    <x v="1"/>
    <x v="17"/>
    <x v="3"/>
    <x v="4"/>
    <x v="4"/>
    <x v="4"/>
    <x v="1"/>
    <x v="0"/>
    <x v="0"/>
    <x v="0"/>
    <x v="0"/>
    <x v="94"/>
    <x v="130"/>
    <x v="4"/>
    <x v="0"/>
    <x v="0"/>
    <x v="2"/>
    <x v="2"/>
  </r>
  <r>
    <x v="260"/>
    <x v="1"/>
    <x v="5"/>
    <x v="8"/>
    <x v="74"/>
    <x v="1"/>
    <x v="16"/>
    <x v="3"/>
    <x v="5"/>
    <x v="5"/>
    <x v="5"/>
    <x v="1"/>
    <x v="1"/>
    <x v="1"/>
    <x v="0"/>
    <x v="1"/>
    <x v="80"/>
    <x v="97"/>
    <x v="2"/>
    <x v="0"/>
    <x v="0"/>
    <x v="3"/>
    <x v="3"/>
  </r>
  <r>
    <x v="261"/>
    <x v="2"/>
    <x v="0"/>
    <x v="10"/>
    <x v="63"/>
    <x v="4"/>
    <x v="2"/>
    <x v="1"/>
    <x v="0"/>
    <x v="0"/>
    <x v="0"/>
    <x v="0"/>
    <x v="0"/>
    <x v="0"/>
    <x v="0"/>
    <x v="0"/>
    <x v="81"/>
    <x v="98"/>
    <x v="3"/>
    <x v="0"/>
    <x v="0"/>
    <x v="0"/>
    <x v="0"/>
  </r>
  <r>
    <x v="262"/>
    <x v="1"/>
    <x v="5"/>
    <x v="8"/>
    <x v="24"/>
    <x v="1"/>
    <x v="16"/>
    <x v="1"/>
    <x v="5"/>
    <x v="5"/>
    <x v="5"/>
    <x v="1"/>
    <x v="1"/>
    <x v="1"/>
    <x v="0"/>
    <x v="1"/>
    <x v="9"/>
    <x v="9"/>
    <x v="1"/>
    <x v="0"/>
    <x v="3"/>
    <x v="3"/>
    <x v="3"/>
  </r>
  <r>
    <x v="263"/>
    <x v="0"/>
    <x v="5"/>
    <x v="12"/>
    <x v="29"/>
    <x v="1"/>
    <x v="16"/>
    <x v="1"/>
    <x v="5"/>
    <x v="5"/>
    <x v="5"/>
    <x v="1"/>
    <x v="1"/>
    <x v="1"/>
    <x v="0"/>
    <x v="1"/>
    <x v="3"/>
    <x v="76"/>
    <x v="4"/>
    <x v="0"/>
    <x v="0"/>
    <x v="3"/>
    <x v="3"/>
  </r>
  <r>
    <x v="264"/>
    <x v="0"/>
    <x v="3"/>
    <x v="16"/>
    <x v="6"/>
    <x v="2"/>
    <x v="2"/>
    <x v="2"/>
    <x v="3"/>
    <x v="3"/>
    <x v="3"/>
    <x v="0"/>
    <x v="2"/>
    <x v="2"/>
    <x v="0"/>
    <x v="2"/>
    <x v="35"/>
    <x v="38"/>
    <x v="3"/>
    <x v="0"/>
    <x v="4"/>
    <x v="0"/>
    <x v="0"/>
  </r>
  <r>
    <x v="265"/>
    <x v="0"/>
    <x v="0"/>
    <x v="0"/>
    <x v="60"/>
    <x v="1"/>
    <x v="1"/>
    <x v="3"/>
    <x v="0"/>
    <x v="0"/>
    <x v="0"/>
    <x v="0"/>
    <x v="0"/>
    <x v="0"/>
    <x v="0"/>
    <x v="0"/>
    <x v="24"/>
    <x v="30"/>
    <x v="5"/>
    <x v="0"/>
    <x v="4"/>
    <x v="0"/>
    <x v="0"/>
  </r>
  <r>
    <x v="266"/>
    <x v="1"/>
    <x v="4"/>
    <x v="9"/>
    <x v="28"/>
    <x v="1"/>
    <x v="17"/>
    <x v="2"/>
    <x v="4"/>
    <x v="4"/>
    <x v="4"/>
    <x v="1"/>
    <x v="0"/>
    <x v="0"/>
    <x v="0"/>
    <x v="0"/>
    <x v="43"/>
    <x v="47"/>
    <x v="5"/>
    <x v="0"/>
    <x v="1"/>
    <x v="2"/>
    <x v="2"/>
  </r>
  <r>
    <x v="267"/>
    <x v="0"/>
    <x v="4"/>
    <x v="17"/>
    <x v="68"/>
    <x v="1"/>
    <x v="9"/>
    <x v="1"/>
    <x v="4"/>
    <x v="4"/>
    <x v="4"/>
    <x v="1"/>
    <x v="0"/>
    <x v="0"/>
    <x v="0"/>
    <x v="0"/>
    <x v="46"/>
    <x v="131"/>
    <x v="0"/>
    <x v="0"/>
    <x v="4"/>
    <x v="2"/>
    <x v="2"/>
  </r>
  <r>
    <x v="268"/>
    <x v="1"/>
    <x v="5"/>
    <x v="8"/>
    <x v="12"/>
    <x v="2"/>
    <x v="2"/>
    <x v="3"/>
    <x v="5"/>
    <x v="5"/>
    <x v="5"/>
    <x v="1"/>
    <x v="1"/>
    <x v="1"/>
    <x v="0"/>
    <x v="1"/>
    <x v="76"/>
    <x v="132"/>
    <x v="3"/>
    <x v="0"/>
    <x v="0"/>
    <x v="3"/>
    <x v="3"/>
  </r>
  <r>
    <x v="269"/>
    <x v="1"/>
    <x v="4"/>
    <x v="9"/>
    <x v="81"/>
    <x v="1"/>
    <x v="14"/>
    <x v="0"/>
    <x v="4"/>
    <x v="4"/>
    <x v="4"/>
    <x v="1"/>
    <x v="0"/>
    <x v="0"/>
    <x v="0"/>
    <x v="0"/>
    <x v="64"/>
    <x v="71"/>
    <x v="0"/>
    <x v="0"/>
    <x v="1"/>
    <x v="2"/>
    <x v="2"/>
  </r>
  <r>
    <x v="270"/>
    <x v="1"/>
    <x v="1"/>
    <x v="6"/>
    <x v="82"/>
    <x v="4"/>
    <x v="2"/>
    <x v="1"/>
    <x v="1"/>
    <x v="1"/>
    <x v="1"/>
    <x v="0"/>
    <x v="1"/>
    <x v="1"/>
    <x v="0"/>
    <x v="1"/>
    <x v="95"/>
    <x v="133"/>
    <x v="4"/>
    <x v="0"/>
    <x v="4"/>
    <x v="0"/>
    <x v="0"/>
  </r>
  <r>
    <x v="271"/>
    <x v="1"/>
    <x v="4"/>
    <x v="9"/>
    <x v="43"/>
    <x v="1"/>
    <x v="7"/>
    <x v="0"/>
    <x v="4"/>
    <x v="4"/>
    <x v="4"/>
    <x v="1"/>
    <x v="0"/>
    <x v="0"/>
    <x v="0"/>
    <x v="0"/>
    <x v="62"/>
    <x v="127"/>
    <x v="2"/>
    <x v="0"/>
    <x v="3"/>
    <x v="2"/>
    <x v="2"/>
  </r>
  <r>
    <x v="272"/>
    <x v="2"/>
    <x v="4"/>
    <x v="7"/>
    <x v="83"/>
    <x v="3"/>
    <x v="2"/>
    <x v="0"/>
    <x v="4"/>
    <x v="4"/>
    <x v="4"/>
    <x v="1"/>
    <x v="0"/>
    <x v="0"/>
    <x v="0"/>
    <x v="0"/>
    <x v="68"/>
    <x v="77"/>
    <x v="3"/>
    <x v="0"/>
    <x v="4"/>
    <x v="2"/>
    <x v="2"/>
  </r>
  <r>
    <x v="273"/>
    <x v="1"/>
    <x v="1"/>
    <x v="6"/>
    <x v="30"/>
    <x v="1"/>
    <x v="1"/>
    <x v="3"/>
    <x v="1"/>
    <x v="1"/>
    <x v="1"/>
    <x v="0"/>
    <x v="1"/>
    <x v="1"/>
    <x v="0"/>
    <x v="1"/>
    <x v="10"/>
    <x v="34"/>
    <x v="2"/>
    <x v="0"/>
    <x v="4"/>
    <x v="0"/>
    <x v="0"/>
  </r>
  <r>
    <x v="274"/>
    <x v="2"/>
    <x v="4"/>
    <x v="7"/>
    <x v="60"/>
    <x v="4"/>
    <x v="2"/>
    <x v="3"/>
    <x v="4"/>
    <x v="4"/>
    <x v="4"/>
    <x v="1"/>
    <x v="0"/>
    <x v="0"/>
    <x v="0"/>
    <x v="0"/>
    <x v="96"/>
    <x v="134"/>
    <x v="1"/>
    <x v="0"/>
    <x v="3"/>
    <x v="2"/>
    <x v="2"/>
  </r>
  <r>
    <x v="275"/>
    <x v="1"/>
    <x v="1"/>
    <x v="6"/>
    <x v="67"/>
    <x v="1"/>
    <x v="1"/>
    <x v="3"/>
    <x v="1"/>
    <x v="1"/>
    <x v="1"/>
    <x v="0"/>
    <x v="1"/>
    <x v="1"/>
    <x v="0"/>
    <x v="1"/>
    <x v="70"/>
    <x v="99"/>
    <x v="4"/>
    <x v="0"/>
    <x v="3"/>
    <x v="0"/>
    <x v="0"/>
  </r>
  <r>
    <x v="276"/>
    <x v="0"/>
    <x v="2"/>
    <x v="3"/>
    <x v="33"/>
    <x v="2"/>
    <x v="2"/>
    <x v="1"/>
    <x v="2"/>
    <x v="2"/>
    <x v="2"/>
    <x v="1"/>
    <x v="2"/>
    <x v="2"/>
    <x v="0"/>
    <x v="2"/>
    <x v="46"/>
    <x v="131"/>
    <x v="0"/>
    <x v="0"/>
    <x v="4"/>
    <x v="1"/>
    <x v="1"/>
  </r>
  <r>
    <x v="277"/>
    <x v="1"/>
    <x v="5"/>
    <x v="8"/>
    <x v="24"/>
    <x v="1"/>
    <x v="8"/>
    <x v="2"/>
    <x v="5"/>
    <x v="5"/>
    <x v="5"/>
    <x v="1"/>
    <x v="1"/>
    <x v="1"/>
    <x v="0"/>
    <x v="1"/>
    <x v="49"/>
    <x v="54"/>
    <x v="5"/>
    <x v="0"/>
    <x v="2"/>
    <x v="3"/>
    <x v="3"/>
  </r>
  <r>
    <x v="278"/>
    <x v="1"/>
    <x v="2"/>
    <x v="4"/>
    <x v="68"/>
    <x v="2"/>
    <x v="2"/>
    <x v="1"/>
    <x v="2"/>
    <x v="2"/>
    <x v="2"/>
    <x v="1"/>
    <x v="2"/>
    <x v="2"/>
    <x v="0"/>
    <x v="2"/>
    <x v="74"/>
    <x v="87"/>
    <x v="6"/>
    <x v="0"/>
    <x v="1"/>
    <x v="1"/>
    <x v="1"/>
  </r>
  <r>
    <x v="279"/>
    <x v="0"/>
    <x v="3"/>
    <x v="16"/>
    <x v="0"/>
    <x v="3"/>
    <x v="2"/>
    <x v="3"/>
    <x v="3"/>
    <x v="3"/>
    <x v="3"/>
    <x v="0"/>
    <x v="2"/>
    <x v="2"/>
    <x v="0"/>
    <x v="2"/>
    <x v="76"/>
    <x v="132"/>
    <x v="3"/>
    <x v="0"/>
    <x v="0"/>
    <x v="0"/>
    <x v="0"/>
  </r>
  <r>
    <x v="280"/>
    <x v="0"/>
    <x v="1"/>
    <x v="1"/>
    <x v="84"/>
    <x v="2"/>
    <x v="2"/>
    <x v="2"/>
    <x v="1"/>
    <x v="1"/>
    <x v="1"/>
    <x v="0"/>
    <x v="1"/>
    <x v="1"/>
    <x v="0"/>
    <x v="1"/>
    <x v="47"/>
    <x v="51"/>
    <x v="4"/>
    <x v="0"/>
    <x v="2"/>
    <x v="0"/>
    <x v="0"/>
  </r>
  <r>
    <x v="281"/>
    <x v="1"/>
    <x v="5"/>
    <x v="8"/>
    <x v="61"/>
    <x v="1"/>
    <x v="4"/>
    <x v="2"/>
    <x v="5"/>
    <x v="5"/>
    <x v="5"/>
    <x v="1"/>
    <x v="1"/>
    <x v="1"/>
    <x v="0"/>
    <x v="1"/>
    <x v="69"/>
    <x v="135"/>
    <x v="0"/>
    <x v="0"/>
    <x v="4"/>
    <x v="3"/>
    <x v="3"/>
  </r>
  <r>
    <x v="282"/>
    <x v="1"/>
    <x v="1"/>
    <x v="6"/>
    <x v="35"/>
    <x v="1"/>
    <x v="0"/>
    <x v="3"/>
    <x v="1"/>
    <x v="1"/>
    <x v="1"/>
    <x v="0"/>
    <x v="1"/>
    <x v="1"/>
    <x v="0"/>
    <x v="1"/>
    <x v="31"/>
    <x v="33"/>
    <x v="4"/>
    <x v="0"/>
    <x v="1"/>
    <x v="0"/>
    <x v="0"/>
  </r>
  <r>
    <x v="283"/>
    <x v="1"/>
    <x v="1"/>
    <x v="6"/>
    <x v="36"/>
    <x v="1"/>
    <x v="1"/>
    <x v="0"/>
    <x v="1"/>
    <x v="1"/>
    <x v="1"/>
    <x v="0"/>
    <x v="1"/>
    <x v="1"/>
    <x v="0"/>
    <x v="1"/>
    <x v="26"/>
    <x v="27"/>
    <x v="2"/>
    <x v="0"/>
    <x v="3"/>
    <x v="0"/>
    <x v="0"/>
  </r>
  <r>
    <x v="284"/>
    <x v="1"/>
    <x v="0"/>
    <x v="2"/>
    <x v="59"/>
    <x v="1"/>
    <x v="1"/>
    <x v="2"/>
    <x v="0"/>
    <x v="0"/>
    <x v="0"/>
    <x v="0"/>
    <x v="0"/>
    <x v="0"/>
    <x v="0"/>
    <x v="0"/>
    <x v="18"/>
    <x v="18"/>
    <x v="0"/>
    <x v="0"/>
    <x v="4"/>
    <x v="0"/>
    <x v="0"/>
  </r>
  <r>
    <x v="285"/>
    <x v="2"/>
    <x v="4"/>
    <x v="7"/>
    <x v="8"/>
    <x v="0"/>
    <x v="7"/>
    <x v="2"/>
    <x v="4"/>
    <x v="4"/>
    <x v="4"/>
    <x v="1"/>
    <x v="0"/>
    <x v="0"/>
    <x v="0"/>
    <x v="0"/>
    <x v="53"/>
    <x v="58"/>
    <x v="5"/>
    <x v="0"/>
    <x v="2"/>
    <x v="2"/>
    <x v="2"/>
  </r>
  <r>
    <x v="286"/>
    <x v="2"/>
    <x v="4"/>
    <x v="7"/>
    <x v="85"/>
    <x v="2"/>
    <x v="2"/>
    <x v="3"/>
    <x v="4"/>
    <x v="4"/>
    <x v="4"/>
    <x v="1"/>
    <x v="0"/>
    <x v="0"/>
    <x v="0"/>
    <x v="0"/>
    <x v="22"/>
    <x v="23"/>
    <x v="5"/>
    <x v="0"/>
    <x v="1"/>
    <x v="2"/>
    <x v="2"/>
  </r>
  <r>
    <x v="287"/>
    <x v="1"/>
    <x v="4"/>
    <x v="9"/>
    <x v="29"/>
    <x v="2"/>
    <x v="2"/>
    <x v="0"/>
    <x v="4"/>
    <x v="4"/>
    <x v="4"/>
    <x v="1"/>
    <x v="0"/>
    <x v="0"/>
    <x v="0"/>
    <x v="0"/>
    <x v="6"/>
    <x v="41"/>
    <x v="0"/>
    <x v="0"/>
    <x v="0"/>
    <x v="2"/>
    <x v="2"/>
  </r>
  <r>
    <x v="288"/>
    <x v="1"/>
    <x v="5"/>
    <x v="8"/>
    <x v="51"/>
    <x v="1"/>
    <x v="6"/>
    <x v="1"/>
    <x v="5"/>
    <x v="5"/>
    <x v="5"/>
    <x v="1"/>
    <x v="1"/>
    <x v="1"/>
    <x v="0"/>
    <x v="1"/>
    <x v="5"/>
    <x v="20"/>
    <x v="0"/>
    <x v="0"/>
    <x v="3"/>
    <x v="3"/>
    <x v="3"/>
  </r>
  <r>
    <x v="289"/>
    <x v="1"/>
    <x v="0"/>
    <x v="2"/>
    <x v="60"/>
    <x v="2"/>
    <x v="2"/>
    <x v="3"/>
    <x v="0"/>
    <x v="0"/>
    <x v="0"/>
    <x v="0"/>
    <x v="0"/>
    <x v="0"/>
    <x v="0"/>
    <x v="0"/>
    <x v="0"/>
    <x v="0"/>
    <x v="0"/>
    <x v="0"/>
    <x v="0"/>
    <x v="0"/>
    <x v="0"/>
  </r>
  <r>
    <x v="290"/>
    <x v="0"/>
    <x v="4"/>
    <x v="17"/>
    <x v="44"/>
    <x v="2"/>
    <x v="2"/>
    <x v="3"/>
    <x v="4"/>
    <x v="4"/>
    <x v="4"/>
    <x v="1"/>
    <x v="0"/>
    <x v="0"/>
    <x v="0"/>
    <x v="0"/>
    <x v="58"/>
    <x v="63"/>
    <x v="4"/>
    <x v="0"/>
    <x v="2"/>
    <x v="2"/>
    <x v="2"/>
  </r>
  <r>
    <x v="291"/>
    <x v="1"/>
    <x v="1"/>
    <x v="6"/>
    <x v="52"/>
    <x v="1"/>
    <x v="14"/>
    <x v="0"/>
    <x v="1"/>
    <x v="1"/>
    <x v="1"/>
    <x v="0"/>
    <x v="1"/>
    <x v="1"/>
    <x v="0"/>
    <x v="1"/>
    <x v="20"/>
    <x v="21"/>
    <x v="3"/>
    <x v="0"/>
    <x v="1"/>
    <x v="0"/>
    <x v="0"/>
  </r>
  <r>
    <x v="292"/>
    <x v="0"/>
    <x v="0"/>
    <x v="0"/>
    <x v="80"/>
    <x v="1"/>
    <x v="0"/>
    <x v="1"/>
    <x v="0"/>
    <x v="0"/>
    <x v="0"/>
    <x v="0"/>
    <x v="0"/>
    <x v="0"/>
    <x v="0"/>
    <x v="0"/>
    <x v="59"/>
    <x v="64"/>
    <x v="1"/>
    <x v="0"/>
    <x v="1"/>
    <x v="0"/>
    <x v="0"/>
  </r>
  <r>
    <x v="293"/>
    <x v="1"/>
    <x v="4"/>
    <x v="9"/>
    <x v="86"/>
    <x v="1"/>
    <x v="7"/>
    <x v="3"/>
    <x v="4"/>
    <x v="4"/>
    <x v="4"/>
    <x v="1"/>
    <x v="0"/>
    <x v="0"/>
    <x v="0"/>
    <x v="0"/>
    <x v="24"/>
    <x v="105"/>
    <x v="3"/>
    <x v="0"/>
    <x v="2"/>
    <x v="2"/>
    <x v="2"/>
  </r>
  <r>
    <x v="294"/>
    <x v="1"/>
    <x v="5"/>
    <x v="8"/>
    <x v="56"/>
    <x v="1"/>
    <x v="4"/>
    <x v="1"/>
    <x v="5"/>
    <x v="5"/>
    <x v="5"/>
    <x v="1"/>
    <x v="1"/>
    <x v="1"/>
    <x v="0"/>
    <x v="1"/>
    <x v="51"/>
    <x v="56"/>
    <x v="1"/>
    <x v="0"/>
    <x v="2"/>
    <x v="3"/>
    <x v="3"/>
  </r>
  <r>
    <x v="295"/>
    <x v="1"/>
    <x v="2"/>
    <x v="4"/>
    <x v="26"/>
    <x v="3"/>
    <x v="2"/>
    <x v="2"/>
    <x v="2"/>
    <x v="2"/>
    <x v="2"/>
    <x v="1"/>
    <x v="2"/>
    <x v="2"/>
    <x v="0"/>
    <x v="2"/>
    <x v="48"/>
    <x v="53"/>
    <x v="2"/>
    <x v="0"/>
    <x v="0"/>
    <x v="1"/>
    <x v="1"/>
  </r>
  <r>
    <x v="296"/>
    <x v="2"/>
    <x v="4"/>
    <x v="7"/>
    <x v="6"/>
    <x v="0"/>
    <x v="14"/>
    <x v="1"/>
    <x v="4"/>
    <x v="4"/>
    <x v="4"/>
    <x v="1"/>
    <x v="0"/>
    <x v="0"/>
    <x v="0"/>
    <x v="0"/>
    <x v="0"/>
    <x v="0"/>
    <x v="0"/>
    <x v="0"/>
    <x v="0"/>
    <x v="2"/>
    <x v="2"/>
  </r>
  <r>
    <x v="297"/>
    <x v="1"/>
    <x v="5"/>
    <x v="8"/>
    <x v="37"/>
    <x v="1"/>
    <x v="13"/>
    <x v="2"/>
    <x v="5"/>
    <x v="5"/>
    <x v="5"/>
    <x v="1"/>
    <x v="1"/>
    <x v="1"/>
    <x v="0"/>
    <x v="1"/>
    <x v="66"/>
    <x v="74"/>
    <x v="2"/>
    <x v="0"/>
    <x v="2"/>
    <x v="3"/>
    <x v="3"/>
  </r>
  <r>
    <x v="298"/>
    <x v="1"/>
    <x v="1"/>
    <x v="6"/>
    <x v="5"/>
    <x v="1"/>
    <x v="0"/>
    <x v="0"/>
    <x v="1"/>
    <x v="1"/>
    <x v="1"/>
    <x v="0"/>
    <x v="1"/>
    <x v="1"/>
    <x v="0"/>
    <x v="1"/>
    <x v="19"/>
    <x v="80"/>
    <x v="3"/>
    <x v="0"/>
    <x v="4"/>
    <x v="0"/>
    <x v="0"/>
  </r>
  <r>
    <x v="299"/>
    <x v="1"/>
    <x v="2"/>
    <x v="4"/>
    <x v="71"/>
    <x v="1"/>
    <x v="3"/>
    <x v="0"/>
    <x v="2"/>
    <x v="2"/>
    <x v="2"/>
    <x v="1"/>
    <x v="2"/>
    <x v="2"/>
    <x v="0"/>
    <x v="2"/>
    <x v="83"/>
    <x v="136"/>
    <x v="3"/>
    <x v="0"/>
    <x v="4"/>
    <x v="1"/>
    <x v="1"/>
  </r>
  <r>
    <x v="300"/>
    <x v="1"/>
    <x v="5"/>
    <x v="8"/>
    <x v="56"/>
    <x v="4"/>
    <x v="2"/>
    <x v="1"/>
    <x v="5"/>
    <x v="5"/>
    <x v="5"/>
    <x v="1"/>
    <x v="1"/>
    <x v="1"/>
    <x v="0"/>
    <x v="1"/>
    <x v="1"/>
    <x v="109"/>
    <x v="2"/>
    <x v="0"/>
    <x v="1"/>
    <x v="3"/>
    <x v="3"/>
  </r>
  <r>
    <x v="301"/>
    <x v="2"/>
    <x v="4"/>
    <x v="7"/>
    <x v="71"/>
    <x v="1"/>
    <x v="7"/>
    <x v="0"/>
    <x v="4"/>
    <x v="4"/>
    <x v="4"/>
    <x v="1"/>
    <x v="0"/>
    <x v="0"/>
    <x v="0"/>
    <x v="0"/>
    <x v="82"/>
    <x v="102"/>
    <x v="4"/>
    <x v="0"/>
    <x v="3"/>
    <x v="2"/>
    <x v="2"/>
  </r>
  <r>
    <x v="302"/>
    <x v="1"/>
    <x v="3"/>
    <x v="5"/>
    <x v="31"/>
    <x v="1"/>
    <x v="0"/>
    <x v="3"/>
    <x v="3"/>
    <x v="3"/>
    <x v="3"/>
    <x v="0"/>
    <x v="2"/>
    <x v="2"/>
    <x v="0"/>
    <x v="2"/>
    <x v="97"/>
    <x v="137"/>
    <x v="4"/>
    <x v="0"/>
    <x v="3"/>
    <x v="0"/>
    <x v="0"/>
  </r>
  <r>
    <x v="303"/>
    <x v="1"/>
    <x v="1"/>
    <x v="6"/>
    <x v="8"/>
    <x v="1"/>
    <x v="0"/>
    <x v="1"/>
    <x v="1"/>
    <x v="1"/>
    <x v="1"/>
    <x v="0"/>
    <x v="1"/>
    <x v="1"/>
    <x v="0"/>
    <x v="1"/>
    <x v="28"/>
    <x v="70"/>
    <x v="5"/>
    <x v="0"/>
    <x v="4"/>
    <x v="0"/>
    <x v="0"/>
  </r>
  <r>
    <x v="304"/>
    <x v="1"/>
    <x v="0"/>
    <x v="2"/>
    <x v="42"/>
    <x v="1"/>
    <x v="1"/>
    <x v="0"/>
    <x v="0"/>
    <x v="0"/>
    <x v="0"/>
    <x v="0"/>
    <x v="0"/>
    <x v="0"/>
    <x v="0"/>
    <x v="0"/>
    <x v="98"/>
    <x v="138"/>
    <x v="1"/>
    <x v="0"/>
    <x v="4"/>
    <x v="0"/>
    <x v="0"/>
  </r>
  <r>
    <x v="305"/>
    <x v="1"/>
    <x v="1"/>
    <x v="6"/>
    <x v="35"/>
    <x v="1"/>
    <x v="1"/>
    <x v="1"/>
    <x v="1"/>
    <x v="1"/>
    <x v="1"/>
    <x v="0"/>
    <x v="1"/>
    <x v="1"/>
    <x v="0"/>
    <x v="1"/>
    <x v="14"/>
    <x v="14"/>
    <x v="3"/>
    <x v="0"/>
    <x v="4"/>
    <x v="0"/>
    <x v="0"/>
  </r>
  <r>
    <x v="306"/>
    <x v="1"/>
    <x v="0"/>
    <x v="2"/>
    <x v="56"/>
    <x v="3"/>
    <x v="2"/>
    <x v="0"/>
    <x v="0"/>
    <x v="0"/>
    <x v="0"/>
    <x v="0"/>
    <x v="0"/>
    <x v="0"/>
    <x v="0"/>
    <x v="0"/>
    <x v="63"/>
    <x v="139"/>
    <x v="5"/>
    <x v="0"/>
    <x v="3"/>
    <x v="0"/>
    <x v="0"/>
  </r>
  <r>
    <x v="307"/>
    <x v="1"/>
    <x v="0"/>
    <x v="2"/>
    <x v="29"/>
    <x v="1"/>
    <x v="14"/>
    <x v="2"/>
    <x v="0"/>
    <x v="0"/>
    <x v="0"/>
    <x v="0"/>
    <x v="0"/>
    <x v="0"/>
    <x v="0"/>
    <x v="0"/>
    <x v="3"/>
    <x v="140"/>
    <x v="5"/>
    <x v="0"/>
    <x v="1"/>
    <x v="0"/>
    <x v="0"/>
  </r>
  <r>
    <x v="308"/>
    <x v="1"/>
    <x v="3"/>
    <x v="5"/>
    <x v="87"/>
    <x v="2"/>
    <x v="2"/>
    <x v="0"/>
    <x v="3"/>
    <x v="3"/>
    <x v="3"/>
    <x v="0"/>
    <x v="2"/>
    <x v="2"/>
    <x v="0"/>
    <x v="2"/>
    <x v="74"/>
    <x v="87"/>
    <x v="6"/>
    <x v="0"/>
    <x v="1"/>
    <x v="0"/>
    <x v="0"/>
  </r>
  <r>
    <x v="309"/>
    <x v="1"/>
    <x v="5"/>
    <x v="8"/>
    <x v="28"/>
    <x v="1"/>
    <x v="4"/>
    <x v="2"/>
    <x v="5"/>
    <x v="5"/>
    <x v="5"/>
    <x v="1"/>
    <x v="1"/>
    <x v="1"/>
    <x v="0"/>
    <x v="1"/>
    <x v="35"/>
    <x v="52"/>
    <x v="5"/>
    <x v="0"/>
    <x v="4"/>
    <x v="3"/>
    <x v="3"/>
  </r>
  <r>
    <x v="310"/>
    <x v="1"/>
    <x v="1"/>
    <x v="6"/>
    <x v="88"/>
    <x v="2"/>
    <x v="2"/>
    <x v="2"/>
    <x v="1"/>
    <x v="1"/>
    <x v="1"/>
    <x v="0"/>
    <x v="1"/>
    <x v="1"/>
    <x v="0"/>
    <x v="1"/>
    <x v="99"/>
    <x v="141"/>
    <x v="5"/>
    <x v="0"/>
    <x v="0"/>
    <x v="0"/>
    <x v="0"/>
  </r>
  <r>
    <x v="311"/>
    <x v="1"/>
    <x v="2"/>
    <x v="4"/>
    <x v="45"/>
    <x v="1"/>
    <x v="19"/>
    <x v="0"/>
    <x v="2"/>
    <x v="2"/>
    <x v="2"/>
    <x v="1"/>
    <x v="2"/>
    <x v="2"/>
    <x v="0"/>
    <x v="2"/>
    <x v="64"/>
    <x v="71"/>
    <x v="0"/>
    <x v="0"/>
    <x v="1"/>
    <x v="1"/>
    <x v="1"/>
  </r>
  <r>
    <x v="312"/>
    <x v="1"/>
    <x v="2"/>
    <x v="4"/>
    <x v="65"/>
    <x v="0"/>
    <x v="3"/>
    <x v="0"/>
    <x v="2"/>
    <x v="2"/>
    <x v="2"/>
    <x v="1"/>
    <x v="2"/>
    <x v="2"/>
    <x v="0"/>
    <x v="2"/>
    <x v="91"/>
    <x v="123"/>
    <x v="4"/>
    <x v="0"/>
    <x v="0"/>
    <x v="1"/>
    <x v="1"/>
  </r>
  <r>
    <x v="313"/>
    <x v="1"/>
    <x v="5"/>
    <x v="8"/>
    <x v="61"/>
    <x v="1"/>
    <x v="16"/>
    <x v="2"/>
    <x v="5"/>
    <x v="5"/>
    <x v="5"/>
    <x v="1"/>
    <x v="1"/>
    <x v="1"/>
    <x v="0"/>
    <x v="1"/>
    <x v="100"/>
    <x v="142"/>
    <x v="3"/>
    <x v="0"/>
    <x v="1"/>
    <x v="3"/>
    <x v="3"/>
  </r>
  <r>
    <x v="314"/>
    <x v="1"/>
    <x v="5"/>
    <x v="8"/>
    <x v="56"/>
    <x v="1"/>
    <x v="13"/>
    <x v="1"/>
    <x v="5"/>
    <x v="5"/>
    <x v="5"/>
    <x v="1"/>
    <x v="1"/>
    <x v="1"/>
    <x v="0"/>
    <x v="1"/>
    <x v="75"/>
    <x v="90"/>
    <x v="5"/>
    <x v="0"/>
    <x v="4"/>
    <x v="3"/>
    <x v="3"/>
  </r>
  <r>
    <x v="315"/>
    <x v="1"/>
    <x v="5"/>
    <x v="8"/>
    <x v="65"/>
    <x v="1"/>
    <x v="4"/>
    <x v="3"/>
    <x v="5"/>
    <x v="5"/>
    <x v="5"/>
    <x v="1"/>
    <x v="1"/>
    <x v="1"/>
    <x v="0"/>
    <x v="1"/>
    <x v="24"/>
    <x v="105"/>
    <x v="3"/>
    <x v="0"/>
    <x v="2"/>
    <x v="3"/>
    <x v="3"/>
  </r>
  <r>
    <x v="316"/>
    <x v="1"/>
    <x v="5"/>
    <x v="8"/>
    <x v="7"/>
    <x v="1"/>
    <x v="13"/>
    <x v="0"/>
    <x v="5"/>
    <x v="5"/>
    <x v="5"/>
    <x v="1"/>
    <x v="1"/>
    <x v="1"/>
    <x v="0"/>
    <x v="1"/>
    <x v="81"/>
    <x v="98"/>
    <x v="3"/>
    <x v="0"/>
    <x v="0"/>
    <x v="3"/>
    <x v="3"/>
  </r>
  <r>
    <x v="317"/>
    <x v="1"/>
    <x v="2"/>
    <x v="4"/>
    <x v="4"/>
    <x v="1"/>
    <x v="19"/>
    <x v="3"/>
    <x v="2"/>
    <x v="2"/>
    <x v="2"/>
    <x v="1"/>
    <x v="2"/>
    <x v="2"/>
    <x v="0"/>
    <x v="2"/>
    <x v="99"/>
    <x v="141"/>
    <x v="5"/>
    <x v="0"/>
    <x v="0"/>
    <x v="1"/>
    <x v="1"/>
  </r>
  <r>
    <x v="318"/>
    <x v="1"/>
    <x v="2"/>
    <x v="4"/>
    <x v="26"/>
    <x v="0"/>
    <x v="11"/>
    <x v="1"/>
    <x v="2"/>
    <x v="2"/>
    <x v="2"/>
    <x v="1"/>
    <x v="2"/>
    <x v="2"/>
    <x v="0"/>
    <x v="2"/>
    <x v="19"/>
    <x v="80"/>
    <x v="3"/>
    <x v="0"/>
    <x v="4"/>
    <x v="1"/>
    <x v="1"/>
  </r>
  <r>
    <x v="319"/>
    <x v="1"/>
    <x v="4"/>
    <x v="9"/>
    <x v="22"/>
    <x v="0"/>
    <x v="17"/>
    <x v="3"/>
    <x v="4"/>
    <x v="4"/>
    <x v="4"/>
    <x v="1"/>
    <x v="0"/>
    <x v="0"/>
    <x v="0"/>
    <x v="0"/>
    <x v="55"/>
    <x v="60"/>
    <x v="1"/>
    <x v="0"/>
    <x v="4"/>
    <x v="2"/>
    <x v="2"/>
  </r>
  <r>
    <x v="320"/>
    <x v="0"/>
    <x v="0"/>
    <x v="18"/>
    <x v="89"/>
    <x v="1"/>
    <x v="0"/>
    <x v="0"/>
    <x v="0"/>
    <x v="0"/>
    <x v="0"/>
    <x v="0"/>
    <x v="0"/>
    <x v="0"/>
    <x v="0"/>
    <x v="0"/>
    <x v="101"/>
    <x v="143"/>
    <x v="2"/>
    <x v="0"/>
    <x v="4"/>
    <x v="0"/>
    <x v="0"/>
  </r>
  <r>
    <x v="321"/>
    <x v="2"/>
    <x v="2"/>
    <x v="19"/>
    <x v="90"/>
    <x v="1"/>
    <x v="12"/>
    <x v="1"/>
    <x v="2"/>
    <x v="2"/>
    <x v="2"/>
    <x v="1"/>
    <x v="2"/>
    <x v="2"/>
    <x v="0"/>
    <x v="2"/>
    <x v="102"/>
    <x v="144"/>
    <x v="3"/>
    <x v="0"/>
    <x v="3"/>
    <x v="1"/>
    <x v="1"/>
  </r>
  <r>
    <x v="322"/>
    <x v="1"/>
    <x v="0"/>
    <x v="2"/>
    <x v="91"/>
    <x v="1"/>
    <x v="1"/>
    <x v="3"/>
    <x v="0"/>
    <x v="0"/>
    <x v="0"/>
    <x v="0"/>
    <x v="0"/>
    <x v="0"/>
    <x v="0"/>
    <x v="0"/>
    <x v="103"/>
    <x v="145"/>
    <x v="4"/>
    <x v="0"/>
    <x v="2"/>
    <x v="0"/>
    <x v="0"/>
  </r>
  <r>
    <x v="323"/>
    <x v="0"/>
    <x v="3"/>
    <x v="20"/>
    <x v="92"/>
    <x v="1"/>
    <x v="0"/>
    <x v="0"/>
    <x v="3"/>
    <x v="3"/>
    <x v="3"/>
    <x v="0"/>
    <x v="2"/>
    <x v="2"/>
    <x v="0"/>
    <x v="2"/>
    <x v="104"/>
    <x v="146"/>
    <x v="3"/>
    <x v="0"/>
    <x v="1"/>
    <x v="0"/>
    <x v="0"/>
  </r>
  <r>
    <x v="324"/>
    <x v="1"/>
    <x v="1"/>
    <x v="6"/>
    <x v="93"/>
    <x v="0"/>
    <x v="0"/>
    <x v="2"/>
    <x v="1"/>
    <x v="1"/>
    <x v="1"/>
    <x v="0"/>
    <x v="1"/>
    <x v="1"/>
    <x v="0"/>
    <x v="1"/>
    <x v="3"/>
    <x v="147"/>
    <x v="1"/>
    <x v="0"/>
    <x v="3"/>
    <x v="0"/>
    <x v="0"/>
  </r>
  <r>
    <x v="325"/>
    <x v="1"/>
    <x v="5"/>
    <x v="8"/>
    <x v="40"/>
    <x v="4"/>
    <x v="2"/>
    <x v="2"/>
    <x v="5"/>
    <x v="5"/>
    <x v="5"/>
    <x v="1"/>
    <x v="1"/>
    <x v="1"/>
    <x v="0"/>
    <x v="1"/>
    <x v="105"/>
    <x v="148"/>
    <x v="0"/>
    <x v="0"/>
    <x v="4"/>
    <x v="3"/>
    <x v="3"/>
  </r>
  <r>
    <x v="326"/>
    <x v="2"/>
    <x v="3"/>
    <x v="21"/>
    <x v="83"/>
    <x v="2"/>
    <x v="2"/>
    <x v="3"/>
    <x v="3"/>
    <x v="3"/>
    <x v="3"/>
    <x v="0"/>
    <x v="2"/>
    <x v="2"/>
    <x v="0"/>
    <x v="2"/>
    <x v="106"/>
    <x v="149"/>
    <x v="1"/>
    <x v="0"/>
    <x v="1"/>
    <x v="0"/>
    <x v="0"/>
  </r>
  <r>
    <x v="327"/>
    <x v="2"/>
    <x v="2"/>
    <x v="22"/>
    <x v="94"/>
    <x v="1"/>
    <x v="4"/>
    <x v="2"/>
    <x v="2"/>
    <x v="2"/>
    <x v="2"/>
    <x v="1"/>
    <x v="2"/>
    <x v="2"/>
    <x v="0"/>
    <x v="2"/>
    <x v="107"/>
    <x v="150"/>
    <x v="5"/>
    <x v="0"/>
    <x v="1"/>
    <x v="1"/>
    <x v="1"/>
  </r>
  <r>
    <x v="328"/>
    <x v="1"/>
    <x v="4"/>
    <x v="9"/>
    <x v="57"/>
    <x v="3"/>
    <x v="2"/>
    <x v="3"/>
    <x v="4"/>
    <x v="4"/>
    <x v="4"/>
    <x v="1"/>
    <x v="0"/>
    <x v="0"/>
    <x v="0"/>
    <x v="0"/>
    <x v="108"/>
    <x v="151"/>
    <x v="4"/>
    <x v="0"/>
    <x v="1"/>
    <x v="2"/>
    <x v="2"/>
  </r>
  <r>
    <x v="329"/>
    <x v="2"/>
    <x v="1"/>
    <x v="23"/>
    <x v="40"/>
    <x v="1"/>
    <x v="1"/>
    <x v="3"/>
    <x v="1"/>
    <x v="1"/>
    <x v="1"/>
    <x v="0"/>
    <x v="1"/>
    <x v="1"/>
    <x v="0"/>
    <x v="1"/>
    <x v="13"/>
    <x v="152"/>
    <x v="3"/>
    <x v="0"/>
    <x v="4"/>
    <x v="0"/>
    <x v="0"/>
  </r>
  <r>
    <x v="330"/>
    <x v="1"/>
    <x v="5"/>
    <x v="8"/>
    <x v="95"/>
    <x v="1"/>
    <x v="8"/>
    <x v="0"/>
    <x v="5"/>
    <x v="5"/>
    <x v="5"/>
    <x v="1"/>
    <x v="1"/>
    <x v="1"/>
    <x v="0"/>
    <x v="1"/>
    <x v="29"/>
    <x v="153"/>
    <x v="3"/>
    <x v="0"/>
    <x v="0"/>
    <x v="3"/>
    <x v="3"/>
  </r>
  <r>
    <x v="331"/>
    <x v="2"/>
    <x v="1"/>
    <x v="24"/>
    <x v="96"/>
    <x v="1"/>
    <x v="9"/>
    <x v="1"/>
    <x v="1"/>
    <x v="1"/>
    <x v="1"/>
    <x v="0"/>
    <x v="1"/>
    <x v="1"/>
    <x v="0"/>
    <x v="1"/>
    <x v="20"/>
    <x v="154"/>
    <x v="1"/>
    <x v="0"/>
    <x v="1"/>
    <x v="0"/>
    <x v="0"/>
  </r>
  <r>
    <x v="332"/>
    <x v="1"/>
    <x v="0"/>
    <x v="2"/>
    <x v="97"/>
    <x v="2"/>
    <x v="2"/>
    <x v="2"/>
    <x v="0"/>
    <x v="0"/>
    <x v="0"/>
    <x v="0"/>
    <x v="0"/>
    <x v="0"/>
    <x v="0"/>
    <x v="0"/>
    <x v="109"/>
    <x v="155"/>
    <x v="3"/>
    <x v="0"/>
    <x v="0"/>
    <x v="0"/>
    <x v="0"/>
  </r>
  <r>
    <x v="333"/>
    <x v="0"/>
    <x v="0"/>
    <x v="25"/>
    <x v="98"/>
    <x v="1"/>
    <x v="1"/>
    <x v="3"/>
    <x v="0"/>
    <x v="0"/>
    <x v="0"/>
    <x v="0"/>
    <x v="0"/>
    <x v="0"/>
    <x v="0"/>
    <x v="0"/>
    <x v="46"/>
    <x v="156"/>
    <x v="5"/>
    <x v="0"/>
    <x v="0"/>
    <x v="0"/>
    <x v="0"/>
  </r>
  <r>
    <x v="334"/>
    <x v="1"/>
    <x v="2"/>
    <x v="4"/>
    <x v="75"/>
    <x v="4"/>
    <x v="2"/>
    <x v="2"/>
    <x v="2"/>
    <x v="2"/>
    <x v="2"/>
    <x v="1"/>
    <x v="2"/>
    <x v="2"/>
    <x v="0"/>
    <x v="2"/>
    <x v="97"/>
    <x v="157"/>
    <x v="5"/>
    <x v="0"/>
    <x v="1"/>
    <x v="1"/>
    <x v="1"/>
  </r>
  <r>
    <x v="335"/>
    <x v="1"/>
    <x v="0"/>
    <x v="2"/>
    <x v="32"/>
    <x v="2"/>
    <x v="2"/>
    <x v="3"/>
    <x v="0"/>
    <x v="0"/>
    <x v="0"/>
    <x v="0"/>
    <x v="0"/>
    <x v="0"/>
    <x v="0"/>
    <x v="0"/>
    <x v="110"/>
    <x v="158"/>
    <x v="2"/>
    <x v="0"/>
    <x v="0"/>
    <x v="0"/>
    <x v="0"/>
  </r>
  <r>
    <x v="336"/>
    <x v="0"/>
    <x v="1"/>
    <x v="26"/>
    <x v="99"/>
    <x v="2"/>
    <x v="2"/>
    <x v="2"/>
    <x v="1"/>
    <x v="1"/>
    <x v="1"/>
    <x v="0"/>
    <x v="1"/>
    <x v="1"/>
    <x v="0"/>
    <x v="1"/>
    <x v="111"/>
    <x v="159"/>
    <x v="3"/>
    <x v="0"/>
    <x v="0"/>
    <x v="0"/>
    <x v="0"/>
  </r>
  <r>
    <x v="337"/>
    <x v="1"/>
    <x v="2"/>
    <x v="4"/>
    <x v="100"/>
    <x v="2"/>
    <x v="2"/>
    <x v="1"/>
    <x v="2"/>
    <x v="2"/>
    <x v="2"/>
    <x v="1"/>
    <x v="2"/>
    <x v="2"/>
    <x v="0"/>
    <x v="2"/>
    <x v="17"/>
    <x v="160"/>
    <x v="4"/>
    <x v="0"/>
    <x v="1"/>
    <x v="1"/>
    <x v="1"/>
  </r>
  <r>
    <x v="338"/>
    <x v="1"/>
    <x v="4"/>
    <x v="9"/>
    <x v="101"/>
    <x v="1"/>
    <x v="17"/>
    <x v="2"/>
    <x v="4"/>
    <x v="4"/>
    <x v="4"/>
    <x v="1"/>
    <x v="0"/>
    <x v="0"/>
    <x v="0"/>
    <x v="0"/>
    <x v="112"/>
    <x v="161"/>
    <x v="4"/>
    <x v="0"/>
    <x v="1"/>
    <x v="2"/>
    <x v="2"/>
  </r>
  <r>
    <x v="339"/>
    <x v="2"/>
    <x v="3"/>
    <x v="27"/>
    <x v="102"/>
    <x v="0"/>
    <x v="0"/>
    <x v="0"/>
    <x v="3"/>
    <x v="3"/>
    <x v="3"/>
    <x v="0"/>
    <x v="2"/>
    <x v="2"/>
    <x v="0"/>
    <x v="2"/>
    <x v="113"/>
    <x v="162"/>
    <x v="0"/>
    <x v="0"/>
    <x v="2"/>
    <x v="0"/>
    <x v="0"/>
  </r>
  <r>
    <x v="340"/>
    <x v="1"/>
    <x v="1"/>
    <x v="6"/>
    <x v="103"/>
    <x v="0"/>
    <x v="0"/>
    <x v="0"/>
    <x v="1"/>
    <x v="1"/>
    <x v="1"/>
    <x v="0"/>
    <x v="1"/>
    <x v="1"/>
    <x v="0"/>
    <x v="1"/>
    <x v="114"/>
    <x v="163"/>
    <x v="5"/>
    <x v="0"/>
    <x v="4"/>
    <x v="0"/>
    <x v="0"/>
  </r>
  <r>
    <x v="341"/>
    <x v="1"/>
    <x v="4"/>
    <x v="9"/>
    <x v="75"/>
    <x v="1"/>
    <x v="7"/>
    <x v="0"/>
    <x v="4"/>
    <x v="4"/>
    <x v="4"/>
    <x v="1"/>
    <x v="0"/>
    <x v="0"/>
    <x v="0"/>
    <x v="0"/>
    <x v="115"/>
    <x v="164"/>
    <x v="1"/>
    <x v="0"/>
    <x v="2"/>
    <x v="2"/>
    <x v="2"/>
  </r>
  <r>
    <x v="342"/>
    <x v="1"/>
    <x v="0"/>
    <x v="2"/>
    <x v="32"/>
    <x v="1"/>
    <x v="0"/>
    <x v="2"/>
    <x v="0"/>
    <x v="0"/>
    <x v="0"/>
    <x v="0"/>
    <x v="0"/>
    <x v="0"/>
    <x v="0"/>
    <x v="0"/>
    <x v="116"/>
    <x v="165"/>
    <x v="0"/>
    <x v="0"/>
    <x v="4"/>
    <x v="0"/>
    <x v="0"/>
  </r>
  <r>
    <x v="343"/>
    <x v="0"/>
    <x v="4"/>
    <x v="28"/>
    <x v="104"/>
    <x v="0"/>
    <x v="17"/>
    <x v="2"/>
    <x v="4"/>
    <x v="4"/>
    <x v="4"/>
    <x v="1"/>
    <x v="0"/>
    <x v="0"/>
    <x v="0"/>
    <x v="0"/>
    <x v="117"/>
    <x v="166"/>
    <x v="3"/>
    <x v="0"/>
    <x v="3"/>
    <x v="2"/>
    <x v="2"/>
  </r>
  <r>
    <x v="344"/>
    <x v="2"/>
    <x v="1"/>
    <x v="29"/>
    <x v="105"/>
    <x v="1"/>
    <x v="1"/>
    <x v="1"/>
    <x v="1"/>
    <x v="1"/>
    <x v="1"/>
    <x v="0"/>
    <x v="1"/>
    <x v="1"/>
    <x v="0"/>
    <x v="1"/>
    <x v="118"/>
    <x v="167"/>
    <x v="4"/>
    <x v="0"/>
    <x v="4"/>
    <x v="0"/>
    <x v="0"/>
  </r>
  <r>
    <x v="345"/>
    <x v="0"/>
    <x v="1"/>
    <x v="30"/>
    <x v="92"/>
    <x v="2"/>
    <x v="2"/>
    <x v="2"/>
    <x v="1"/>
    <x v="1"/>
    <x v="1"/>
    <x v="0"/>
    <x v="1"/>
    <x v="1"/>
    <x v="0"/>
    <x v="1"/>
    <x v="119"/>
    <x v="168"/>
    <x v="4"/>
    <x v="0"/>
    <x v="4"/>
    <x v="0"/>
    <x v="0"/>
  </r>
  <r>
    <x v="346"/>
    <x v="2"/>
    <x v="4"/>
    <x v="31"/>
    <x v="106"/>
    <x v="1"/>
    <x v="17"/>
    <x v="0"/>
    <x v="4"/>
    <x v="4"/>
    <x v="4"/>
    <x v="1"/>
    <x v="0"/>
    <x v="0"/>
    <x v="0"/>
    <x v="0"/>
    <x v="69"/>
    <x v="169"/>
    <x v="0"/>
    <x v="0"/>
    <x v="1"/>
    <x v="2"/>
    <x v="2"/>
  </r>
  <r>
    <x v="347"/>
    <x v="1"/>
    <x v="3"/>
    <x v="5"/>
    <x v="107"/>
    <x v="1"/>
    <x v="1"/>
    <x v="0"/>
    <x v="3"/>
    <x v="3"/>
    <x v="3"/>
    <x v="0"/>
    <x v="2"/>
    <x v="2"/>
    <x v="0"/>
    <x v="2"/>
    <x v="48"/>
    <x v="170"/>
    <x v="3"/>
    <x v="0"/>
    <x v="3"/>
    <x v="0"/>
    <x v="0"/>
  </r>
  <r>
    <x v="348"/>
    <x v="1"/>
    <x v="5"/>
    <x v="8"/>
    <x v="108"/>
    <x v="1"/>
    <x v="8"/>
    <x v="2"/>
    <x v="5"/>
    <x v="5"/>
    <x v="5"/>
    <x v="1"/>
    <x v="1"/>
    <x v="1"/>
    <x v="0"/>
    <x v="1"/>
    <x v="120"/>
    <x v="171"/>
    <x v="3"/>
    <x v="0"/>
    <x v="4"/>
    <x v="3"/>
    <x v="3"/>
  </r>
  <r>
    <x v="349"/>
    <x v="1"/>
    <x v="5"/>
    <x v="8"/>
    <x v="3"/>
    <x v="1"/>
    <x v="6"/>
    <x v="0"/>
    <x v="5"/>
    <x v="5"/>
    <x v="5"/>
    <x v="1"/>
    <x v="1"/>
    <x v="1"/>
    <x v="0"/>
    <x v="1"/>
    <x v="121"/>
    <x v="172"/>
    <x v="5"/>
    <x v="0"/>
    <x v="3"/>
    <x v="3"/>
    <x v="3"/>
  </r>
  <r>
    <x v="350"/>
    <x v="1"/>
    <x v="2"/>
    <x v="4"/>
    <x v="109"/>
    <x v="4"/>
    <x v="2"/>
    <x v="2"/>
    <x v="2"/>
    <x v="2"/>
    <x v="2"/>
    <x v="1"/>
    <x v="2"/>
    <x v="2"/>
    <x v="0"/>
    <x v="2"/>
    <x v="107"/>
    <x v="150"/>
    <x v="5"/>
    <x v="0"/>
    <x v="1"/>
    <x v="1"/>
    <x v="1"/>
  </r>
  <r>
    <x v="351"/>
    <x v="1"/>
    <x v="4"/>
    <x v="9"/>
    <x v="110"/>
    <x v="4"/>
    <x v="2"/>
    <x v="3"/>
    <x v="4"/>
    <x v="4"/>
    <x v="4"/>
    <x v="1"/>
    <x v="0"/>
    <x v="0"/>
    <x v="0"/>
    <x v="0"/>
    <x v="112"/>
    <x v="161"/>
    <x v="4"/>
    <x v="0"/>
    <x v="1"/>
    <x v="2"/>
    <x v="2"/>
  </r>
  <r>
    <x v="352"/>
    <x v="1"/>
    <x v="0"/>
    <x v="2"/>
    <x v="111"/>
    <x v="2"/>
    <x v="2"/>
    <x v="2"/>
    <x v="0"/>
    <x v="0"/>
    <x v="0"/>
    <x v="0"/>
    <x v="0"/>
    <x v="0"/>
    <x v="0"/>
    <x v="0"/>
    <x v="104"/>
    <x v="173"/>
    <x v="1"/>
    <x v="0"/>
    <x v="3"/>
    <x v="0"/>
    <x v="0"/>
  </r>
  <r>
    <x v="353"/>
    <x v="1"/>
    <x v="5"/>
    <x v="8"/>
    <x v="112"/>
    <x v="1"/>
    <x v="10"/>
    <x v="0"/>
    <x v="5"/>
    <x v="5"/>
    <x v="5"/>
    <x v="1"/>
    <x v="1"/>
    <x v="1"/>
    <x v="0"/>
    <x v="1"/>
    <x v="122"/>
    <x v="174"/>
    <x v="3"/>
    <x v="0"/>
    <x v="1"/>
    <x v="3"/>
    <x v="3"/>
  </r>
  <r>
    <x v="354"/>
    <x v="1"/>
    <x v="4"/>
    <x v="9"/>
    <x v="113"/>
    <x v="1"/>
    <x v="7"/>
    <x v="0"/>
    <x v="4"/>
    <x v="4"/>
    <x v="4"/>
    <x v="1"/>
    <x v="0"/>
    <x v="0"/>
    <x v="0"/>
    <x v="0"/>
    <x v="123"/>
    <x v="175"/>
    <x v="0"/>
    <x v="0"/>
    <x v="0"/>
    <x v="2"/>
    <x v="2"/>
  </r>
  <r>
    <x v="355"/>
    <x v="1"/>
    <x v="5"/>
    <x v="8"/>
    <x v="114"/>
    <x v="4"/>
    <x v="2"/>
    <x v="0"/>
    <x v="5"/>
    <x v="5"/>
    <x v="5"/>
    <x v="1"/>
    <x v="1"/>
    <x v="1"/>
    <x v="0"/>
    <x v="1"/>
    <x v="124"/>
    <x v="176"/>
    <x v="5"/>
    <x v="0"/>
    <x v="2"/>
    <x v="3"/>
    <x v="3"/>
  </r>
  <r>
    <x v="356"/>
    <x v="2"/>
    <x v="1"/>
    <x v="32"/>
    <x v="40"/>
    <x v="1"/>
    <x v="9"/>
    <x v="2"/>
    <x v="1"/>
    <x v="1"/>
    <x v="1"/>
    <x v="0"/>
    <x v="1"/>
    <x v="1"/>
    <x v="0"/>
    <x v="1"/>
    <x v="125"/>
    <x v="177"/>
    <x v="3"/>
    <x v="0"/>
    <x v="2"/>
    <x v="0"/>
    <x v="0"/>
  </r>
  <r>
    <x v="357"/>
    <x v="1"/>
    <x v="3"/>
    <x v="5"/>
    <x v="86"/>
    <x v="1"/>
    <x v="1"/>
    <x v="2"/>
    <x v="3"/>
    <x v="3"/>
    <x v="3"/>
    <x v="0"/>
    <x v="2"/>
    <x v="2"/>
    <x v="0"/>
    <x v="2"/>
    <x v="126"/>
    <x v="178"/>
    <x v="2"/>
    <x v="0"/>
    <x v="0"/>
    <x v="0"/>
    <x v="0"/>
  </r>
  <r>
    <x v="358"/>
    <x v="0"/>
    <x v="3"/>
    <x v="33"/>
    <x v="115"/>
    <x v="1"/>
    <x v="0"/>
    <x v="3"/>
    <x v="3"/>
    <x v="3"/>
    <x v="3"/>
    <x v="0"/>
    <x v="2"/>
    <x v="2"/>
    <x v="0"/>
    <x v="2"/>
    <x v="85"/>
    <x v="179"/>
    <x v="1"/>
    <x v="0"/>
    <x v="2"/>
    <x v="0"/>
    <x v="0"/>
  </r>
  <r>
    <x v="359"/>
    <x v="2"/>
    <x v="3"/>
    <x v="34"/>
    <x v="88"/>
    <x v="1"/>
    <x v="1"/>
    <x v="1"/>
    <x v="3"/>
    <x v="3"/>
    <x v="3"/>
    <x v="0"/>
    <x v="2"/>
    <x v="2"/>
    <x v="0"/>
    <x v="2"/>
    <x v="110"/>
    <x v="158"/>
    <x v="2"/>
    <x v="0"/>
    <x v="0"/>
    <x v="0"/>
    <x v="0"/>
  </r>
  <r>
    <x v="360"/>
    <x v="0"/>
    <x v="4"/>
    <x v="35"/>
    <x v="116"/>
    <x v="0"/>
    <x v="9"/>
    <x v="3"/>
    <x v="4"/>
    <x v="4"/>
    <x v="4"/>
    <x v="1"/>
    <x v="0"/>
    <x v="0"/>
    <x v="0"/>
    <x v="0"/>
    <x v="127"/>
    <x v="180"/>
    <x v="3"/>
    <x v="0"/>
    <x v="0"/>
    <x v="2"/>
    <x v="2"/>
  </r>
  <r>
    <x v="361"/>
    <x v="1"/>
    <x v="3"/>
    <x v="5"/>
    <x v="15"/>
    <x v="1"/>
    <x v="0"/>
    <x v="3"/>
    <x v="3"/>
    <x v="3"/>
    <x v="3"/>
    <x v="0"/>
    <x v="2"/>
    <x v="2"/>
    <x v="0"/>
    <x v="2"/>
    <x v="128"/>
    <x v="181"/>
    <x v="0"/>
    <x v="0"/>
    <x v="0"/>
    <x v="0"/>
    <x v="0"/>
  </r>
  <r>
    <x v="362"/>
    <x v="1"/>
    <x v="1"/>
    <x v="6"/>
    <x v="117"/>
    <x v="1"/>
    <x v="1"/>
    <x v="2"/>
    <x v="1"/>
    <x v="1"/>
    <x v="1"/>
    <x v="0"/>
    <x v="1"/>
    <x v="1"/>
    <x v="0"/>
    <x v="1"/>
    <x v="113"/>
    <x v="162"/>
    <x v="0"/>
    <x v="0"/>
    <x v="2"/>
    <x v="0"/>
    <x v="0"/>
  </r>
  <r>
    <x v="363"/>
    <x v="0"/>
    <x v="5"/>
    <x v="36"/>
    <x v="118"/>
    <x v="4"/>
    <x v="2"/>
    <x v="2"/>
    <x v="5"/>
    <x v="5"/>
    <x v="5"/>
    <x v="1"/>
    <x v="1"/>
    <x v="1"/>
    <x v="0"/>
    <x v="1"/>
    <x v="129"/>
    <x v="182"/>
    <x v="0"/>
    <x v="0"/>
    <x v="1"/>
    <x v="3"/>
    <x v="3"/>
  </r>
  <r>
    <x v="364"/>
    <x v="1"/>
    <x v="0"/>
    <x v="2"/>
    <x v="119"/>
    <x v="1"/>
    <x v="0"/>
    <x v="0"/>
    <x v="0"/>
    <x v="0"/>
    <x v="0"/>
    <x v="0"/>
    <x v="0"/>
    <x v="0"/>
    <x v="0"/>
    <x v="0"/>
    <x v="110"/>
    <x v="158"/>
    <x v="2"/>
    <x v="0"/>
    <x v="0"/>
    <x v="0"/>
    <x v="0"/>
  </r>
  <r>
    <x v="365"/>
    <x v="1"/>
    <x v="5"/>
    <x v="8"/>
    <x v="120"/>
    <x v="1"/>
    <x v="13"/>
    <x v="1"/>
    <x v="5"/>
    <x v="5"/>
    <x v="5"/>
    <x v="1"/>
    <x v="1"/>
    <x v="1"/>
    <x v="0"/>
    <x v="1"/>
    <x v="130"/>
    <x v="183"/>
    <x v="5"/>
    <x v="0"/>
    <x v="0"/>
    <x v="3"/>
    <x v="3"/>
  </r>
  <r>
    <x v="366"/>
    <x v="1"/>
    <x v="3"/>
    <x v="5"/>
    <x v="121"/>
    <x v="2"/>
    <x v="2"/>
    <x v="1"/>
    <x v="3"/>
    <x v="3"/>
    <x v="3"/>
    <x v="0"/>
    <x v="2"/>
    <x v="2"/>
    <x v="0"/>
    <x v="2"/>
    <x v="131"/>
    <x v="184"/>
    <x v="4"/>
    <x v="0"/>
    <x v="2"/>
    <x v="0"/>
    <x v="0"/>
  </r>
  <r>
    <x v="367"/>
    <x v="1"/>
    <x v="1"/>
    <x v="6"/>
    <x v="122"/>
    <x v="3"/>
    <x v="2"/>
    <x v="3"/>
    <x v="1"/>
    <x v="1"/>
    <x v="1"/>
    <x v="0"/>
    <x v="1"/>
    <x v="1"/>
    <x v="0"/>
    <x v="1"/>
    <x v="132"/>
    <x v="185"/>
    <x v="5"/>
    <x v="0"/>
    <x v="1"/>
    <x v="0"/>
    <x v="0"/>
  </r>
  <r>
    <x v="368"/>
    <x v="1"/>
    <x v="5"/>
    <x v="8"/>
    <x v="92"/>
    <x v="4"/>
    <x v="2"/>
    <x v="0"/>
    <x v="5"/>
    <x v="5"/>
    <x v="5"/>
    <x v="1"/>
    <x v="1"/>
    <x v="1"/>
    <x v="0"/>
    <x v="1"/>
    <x v="32"/>
    <x v="186"/>
    <x v="2"/>
    <x v="0"/>
    <x v="4"/>
    <x v="3"/>
    <x v="3"/>
  </r>
  <r>
    <x v="369"/>
    <x v="1"/>
    <x v="0"/>
    <x v="2"/>
    <x v="42"/>
    <x v="2"/>
    <x v="2"/>
    <x v="3"/>
    <x v="0"/>
    <x v="0"/>
    <x v="0"/>
    <x v="0"/>
    <x v="0"/>
    <x v="0"/>
    <x v="0"/>
    <x v="0"/>
    <x v="132"/>
    <x v="185"/>
    <x v="5"/>
    <x v="0"/>
    <x v="1"/>
    <x v="0"/>
    <x v="0"/>
  </r>
  <r>
    <x v="370"/>
    <x v="1"/>
    <x v="0"/>
    <x v="2"/>
    <x v="56"/>
    <x v="1"/>
    <x v="0"/>
    <x v="3"/>
    <x v="0"/>
    <x v="0"/>
    <x v="0"/>
    <x v="0"/>
    <x v="0"/>
    <x v="0"/>
    <x v="0"/>
    <x v="0"/>
    <x v="123"/>
    <x v="187"/>
    <x v="5"/>
    <x v="0"/>
    <x v="3"/>
    <x v="0"/>
    <x v="0"/>
  </r>
  <r>
    <x v="371"/>
    <x v="2"/>
    <x v="0"/>
    <x v="37"/>
    <x v="123"/>
    <x v="1"/>
    <x v="1"/>
    <x v="2"/>
    <x v="0"/>
    <x v="0"/>
    <x v="0"/>
    <x v="0"/>
    <x v="0"/>
    <x v="0"/>
    <x v="0"/>
    <x v="0"/>
    <x v="129"/>
    <x v="182"/>
    <x v="0"/>
    <x v="0"/>
    <x v="1"/>
    <x v="0"/>
    <x v="0"/>
  </r>
  <r>
    <x v="372"/>
    <x v="1"/>
    <x v="0"/>
    <x v="2"/>
    <x v="124"/>
    <x v="3"/>
    <x v="2"/>
    <x v="3"/>
    <x v="0"/>
    <x v="0"/>
    <x v="0"/>
    <x v="0"/>
    <x v="0"/>
    <x v="0"/>
    <x v="0"/>
    <x v="0"/>
    <x v="133"/>
    <x v="188"/>
    <x v="0"/>
    <x v="0"/>
    <x v="0"/>
    <x v="0"/>
    <x v="0"/>
  </r>
  <r>
    <x v="373"/>
    <x v="1"/>
    <x v="5"/>
    <x v="8"/>
    <x v="125"/>
    <x v="2"/>
    <x v="2"/>
    <x v="3"/>
    <x v="5"/>
    <x v="5"/>
    <x v="5"/>
    <x v="1"/>
    <x v="1"/>
    <x v="1"/>
    <x v="0"/>
    <x v="1"/>
    <x v="32"/>
    <x v="189"/>
    <x v="4"/>
    <x v="0"/>
    <x v="2"/>
    <x v="3"/>
    <x v="3"/>
  </r>
  <r>
    <x v="374"/>
    <x v="0"/>
    <x v="2"/>
    <x v="38"/>
    <x v="89"/>
    <x v="1"/>
    <x v="11"/>
    <x v="0"/>
    <x v="2"/>
    <x v="2"/>
    <x v="2"/>
    <x v="1"/>
    <x v="2"/>
    <x v="2"/>
    <x v="0"/>
    <x v="2"/>
    <x v="104"/>
    <x v="146"/>
    <x v="3"/>
    <x v="0"/>
    <x v="1"/>
    <x v="1"/>
    <x v="1"/>
  </r>
  <r>
    <x v="375"/>
    <x v="1"/>
    <x v="5"/>
    <x v="8"/>
    <x v="24"/>
    <x v="3"/>
    <x v="2"/>
    <x v="0"/>
    <x v="5"/>
    <x v="5"/>
    <x v="5"/>
    <x v="1"/>
    <x v="1"/>
    <x v="1"/>
    <x v="0"/>
    <x v="1"/>
    <x v="120"/>
    <x v="190"/>
    <x v="4"/>
    <x v="0"/>
    <x v="4"/>
    <x v="3"/>
    <x v="3"/>
  </r>
  <r>
    <x v="376"/>
    <x v="1"/>
    <x v="3"/>
    <x v="5"/>
    <x v="54"/>
    <x v="1"/>
    <x v="1"/>
    <x v="2"/>
    <x v="3"/>
    <x v="3"/>
    <x v="3"/>
    <x v="0"/>
    <x v="2"/>
    <x v="2"/>
    <x v="0"/>
    <x v="2"/>
    <x v="134"/>
    <x v="191"/>
    <x v="6"/>
    <x v="0"/>
    <x v="1"/>
    <x v="0"/>
    <x v="0"/>
  </r>
  <r>
    <x v="377"/>
    <x v="2"/>
    <x v="4"/>
    <x v="39"/>
    <x v="103"/>
    <x v="1"/>
    <x v="8"/>
    <x v="1"/>
    <x v="4"/>
    <x v="4"/>
    <x v="4"/>
    <x v="1"/>
    <x v="0"/>
    <x v="0"/>
    <x v="0"/>
    <x v="0"/>
    <x v="135"/>
    <x v="192"/>
    <x v="5"/>
    <x v="0"/>
    <x v="2"/>
    <x v="2"/>
    <x v="2"/>
  </r>
  <r>
    <x v="378"/>
    <x v="1"/>
    <x v="4"/>
    <x v="9"/>
    <x v="93"/>
    <x v="3"/>
    <x v="2"/>
    <x v="0"/>
    <x v="4"/>
    <x v="4"/>
    <x v="4"/>
    <x v="1"/>
    <x v="0"/>
    <x v="0"/>
    <x v="0"/>
    <x v="0"/>
    <x v="17"/>
    <x v="160"/>
    <x v="4"/>
    <x v="0"/>
    <x v="1"/>
    <x v="2"/>
    <x v="2"/>
  </r>
  <r>
    <x v="379"/>
    <x v="0"/>
    <x v="0"/>
    <x v="40"/>
    <x v="126"/>
    <x v="2"/>
    <x v="2"/>
    <x v="2"/>
    <x v="0"/>
    <x v="0"/>
    <x v="0"/>
    <x v="0"/>
    <x v="0"/>
    <x v="0"/>
    <x v="0"/>
    <x v="0"/>
    <x v="32"/>
    <x v="186"/>
    <x v="2"/>
    <x v="0"/>
    <x v="4"/>
    <x v="0"/>
    <x v="0"/>
  </r>
  <r>
    <x v="380"/>
    <x v="1"/>
    <x v="4"/>
    <x v="9"/>
    <x v="127"/>
    <x v="1"/>
    <x v="6"/>
    <x v="2"/>
    <x v="4"/>
    <x v="4"/>
    <x v="4"/>
    <x v="1"/>
    <x v="0"/>
    <x v="0"/>
    <x v="0"/>
    <x v="0"/>
    <x v="40"/>
    <x v="193"/>
    <x v="0"/>
    <x v="0"/>
    <x v="0"/>
    <x v="2"/>
    <x v="2"/>
  </r>
  <r>
    <x v="381"/>
    <x v="1"/>
    <x v="2"/>
    <x v="4"/>
    <x v="22"/>
    <x v="2"/>
    <x v="2"/>
    <x v="0"/>
    <x v="2"/>
    <x v="2"/>
    <x v="2"/>
    <x v="1"/>
    <x v="2"/>
    <x v="2"/>
    <x v="0"/>
    <x v="2"/>
    <x v="136"/>
    <x v="194"/>
    <x v="5"/>
    <x v="0"/>
    <x v="2"/>
    <x v="1"/>
    <x v="1"/>
  </r>
  <r>
    <x v="382"/>
    <x v="1"/>
    <x v="2"/>
    <x v="4"/>
    <x v="128"/>
    <x v="1"/>
    <x v="5"/>
    <x v="0"/>
    <x v="2"/>
    <x v="2"/>
    <x v="2"/>
    <x v="1"/>
    <x v="2"/>
    <x v="2"/>
    <x v="0"/>
    <x v="2"/>
    <x v="137"/>
    <x v="195"/>
    <x v="0"/>
    <x v="0"/>
    <x v="3"/>
    <x v="1"/>
    <x v="1"/>
  </r>
  <r>
    <x v="383"/>
    <x v="1"/>
    <x v="0"/>
    <x v="2"/>
    <x v="129"/>
    <x v="1"/>
    <x v="1"/>
    <x v="3"/>
    <x v="0"/>
    <x v="0"/>
    <x v="0"/>
    <x v="0"/>
    <x v="0"/>
    <x v="0"/>
    <x v="0"/>
    <x v="0"/>
    <x v="138"/>
    <x v="196"/>
    <x v="3"/>
    <x v="0"/>
    <x v="1"/>
    <x v="0"/>
    <x v="0"/>
  </r>
  <r>
    <x v="384"/>
    <x v="1"/>
    <x v="5"/>
    <x v="8"/>
    <x v="130"/>
    <x v="1"/>
    <x v="4"/>
    <x v="1"/>
    <x v="5"/>
    <x v="5"/>
    <x v="5"/>
    <x v="1"/>
    <x v="1"/>
    <x v="1"/>
    <x v="0"/>
    <x v="1"/>
    <x v="139"/>
    <x v="197"/>
    <x v="2"/>
    <x v="0"/>
    <x v="0"/>
    <x v="3"/>
    <x v="3"/>
  </r>
  <r>
    <x v="385"/>
    <x v="1"/>
    <x v="3"/>
    <x v="5"/>
    <x v="92"/>
    <x v="1"/>
    <x v="17"/>
    <x v="0"/>
    <x v="3"/>
    <x v="3"/>
    <x v="3"/>
    <x v="0"/>
    <x v="2"/>
    <x v="2"/>
    <x v="0"/>
    <x v="2"/>
    <x v="125"/>
    <x v="177"/>
    <x v="3"/>
    <x v="0"/>
    <x v="2"/>
    <x v="0"/>
    <x v="0"/>
  </r>
  <r>
    <x v="386"/>
    <x v="1"/>
    <x v="4"/>
    <x v="9"/>
    <x v="131"/>
    <x v="1"/>
    <x v="9"/>
    <x v="2"/>
    <x v="4"/>
    <x v="4"/>
    <x v="4"/>
    <x v="1"/>
    <x v="0"/>
    <x v="0"/>
    <x v="0"/>
    <x v="0"/>
    <x v="113"/>
    <x v="162"/>
    <x v="0"/>
    <x v="0"/>
    <x v="2"/>
    <x v="2"/>
    <x v="2"/>
  </r>
  <r>
    <x v="387"/>
    <x v="1"/>
    <x v="4"/>
    <x v="9"/>
    <x v="132"/>
    <x v="2"/>
    <x v="2"/>
    <x v="3"/>
    <x v="4"/>
    <x v="4"/>
    <x v="4"/>
    <x v="1"/>
    <x v="0"/>
    <x v="0"/>
    <x v="0"/>
    <x v="0"/>
    <x v="42"/>
    <x v="198"/>
    <x v="0"/>
    <x v="0"/>
    <x v="2"/>
    <x v="2"/>
    <x v="2"/>
  </r>
  <r>
    <x v="388"/>
    <x v="1"/>
    <x v="0"/>
    <x v="2"/>
    <x v="98"/>
    <x v="1"/>
    <x v="1"/>
    <x v="1"/>
    <x v="0"/>
    <x v="0"/>
    <x v="0"/>
    <x v="0"/>
    <x v="0"/>
    <x v="0"/>
    <x v="0"/>
    <x v="0"/>
    <x v="140"/>
    <x v="199"/>
    <x v="1"/>
    <x v="0"/>
    <x v="0"/>
    <x v="0"/>
    <x v="0"/>
  </r>
  <r>
    <x v="389"/>
    <x v="1"/>
    <x v="4"/>
    <x v="9"/>
    <x v="133"/>
    <x v="4"/>
    <x v="2"/>
    <x v="2"/>
    <x v="4"/>
    <x v="4"/>
    <x v="4"/>
    <x v="1"/>
    <x v="0"/>
    <x v="0"/>
    <x v="0"/>
    <x v="0"/>
    <x v="141"/>
    <x v="200"/>
    <x v="3"/>
    <x v="0"/>
    <x v="0"/>
    <x v="2"/>
    <x v="2"/>
  </r>
  <r>
    <x v="390"/>
    <x v="2"/>
    <x v="5"/>
    <x v="41"/>
    <x v="134"/>
    <x v="3"/>
    <x v="2"/>
    <x v="2"/>
    <x v="5"/>
    <x v="5"/>
    <x v="5"/>
    <x v="1"/>
    <x v="1"/>
    <x v="1"/>
    <x v="0"/>
    <x v="1"/>
    <x v="142"/>
    <x v="201"/>
    <x v="5"/>
    <x v="0"/>
    <x v="4"/>
    <x v="3"/>
    <x v="3"/>
  </r>
  <r>
    <x v="391"/>
    <x v="1"/>
    <x v="3"/>
    <x v="5"/>
    <x v="135"/>
    <x v="2"/>
    <x v="2"/>
    <x v="1"/>
    <x v="3"/>
    <x v="3"/>
    <x v="3"/>
    <x v="0"/>
    <x v="2"/>
    <x v="2"/>
    <x v="0"/>
    <x v="2"/>
    <x v="143"/>
    <x v="202"/>
    <x v="2"/>
    <x v="0"/>
    <x v="3"/>
    <x v="0"/>
    <x v="0"/>
  </r>
  <r>
    <x v="392"/>
    <x v="1"/>
    <x v="5"/>
    <x v="8"/>
    <x v="6"/>
    <x v="4"/>
    <x v="2"/>
    <x v="0"/>
    <x v="5"/>
    <x v="5"/>
    <x v="5"/>
    <x v="1"/>
    <x v="1"/>
    <x v="1"/>
    <x v="0"/>
    <x v="1"/>
    <x v="26"/>
    <x v="203"/>
    <x v="5"/>
    <x v="0"/>
    <x v="3"/>
    <x v="3"/>
    <x v="3"/>
  </r>
  <r>
    <x v="393"/>
    <x v="1"/>
    <x v="3"/>
    <x v="5"/>
    <x v="42"/>
    <x v="1"/>
    <x v="9"/>
    <x v="0"/>
    <x v="3"/>
    <x v="3"/>
    <x v="3"/>
    <x v="0"/>
    <x v="2"/>
    <x v="2"/>
    <x v="0"/>
    <x v="2"/>
    <x v="144"/>
    <x v="204"/>
    <x v="1"/>
    <x v="0"/>
    <x v="1"/>
    <x v="0"/>
    <x v="0"/>
  </r>
  <r>
    <x v="394"/>
    <x v="1"/>
    <x v="3"/>
    <x v="5"/>
    <x v="136"/>
    <x v="2"/>
    <x v="2"/>
    <x v="1"/>
    <x v="3"/>
    <x v="3"/>
    <x v="3"/>
    <x v="0"/>
    <x v="2"/>
    <x v="2"/>
    <x v="0"/>
    <x v="2"/>
    <x v="145"/>
    <x v="205"/>
    <x v="3"/>
    <x v="0"/>
    <x v="4"/>
    <x v="0"/>
    <x v="0"/>
  </r>
  <r>
    <x v="395"/>
    <x v="2"/>
    <x v="1"/>
    <x v="42"/>
    <x v="137"/>
    <x v="3"/>
    <x v="2"/>
    <x v="0"/>
    <x v="1"/>
    <x v="1"/>
    <x v="1"/>
    <x v="0"/>
    <x v="1"/>
    <x v="1"/>
    <x v="0"/>
    <x v="1"/>
    <x v="146"/>
    <x v="206"/>
    <x v="3"/>
    <x v="0"/>
    <x v="1"/>
    <x v="0"/>
    <x v="0"/>
  </r>
  <r>
    <x v="396"/>
    <x v="1"/>
    <x v="4"/>
    <x v="9"/>
    <x v="138"/>
    <x v="1"/>
    <x v="9"/>
    <x v="1"/>
    <x v="4"/>
    <x v="4"/>
    <x v="4"/>
    <x v="1"/>
    <x v="0"/>
    <x v="0"/>
    <x v="0"/>
    <x v="0"/>
    <x v="4"/>
    <x v="207"/>
    <x v="3"/>
    <x v="0"/>
    <x v="4"/>
    <x v="2"/>
    <x v="2"/>
  </r>
  <r>
    <x v="397"/>
    <x v="1"/>
    <x v="1"/>
    <x v="6"/>
    <x v="31"/>
    <x v="1"/>
    <x v="1"/>
    <x v="0"/>
    <x v="1"/>
    <x v="1"/>
    <x v="1"/>
    <x v="0"/>
    <x v="1"/>
    <x v="1"/>
    <x v="0"/>
    <x v="1"/>
    <x v="147"/>
    <x v="208"/>
    <x v="5"/>
    <x v="0"/>
    <x v="3"/>
    <x v="0"/>
    <x v="0"/>
  </r>
  <r>
    <x v="398"/>
    <x v="1"/>
    <x v="1"/>
    <x v="6"/>
    <x v="58"/>
    <x v="2"/>
    <x v="2"/>
    <x v="2"/>
    <x v="1"/>
    <x v="1"/>
    <x v="1"/>
    <x v="0"/>
    <x v="1"/>
    <x v="1"/>
    <x v="0"/>
    <x v="1"/>
    <x v="148"/>
    <x v="209"/>
    <x v="1"/>
    <x v="0"/>
    <x v="1"/>
    <x v="0"/>
    <x v="0"/>
  </r>
  <r>
    <x v="399"/>
    <x v="1"/>
    <x v="3"/>
    <x v="5"/>
    <x v="15"/>
    <x v="1"/>
    <x v="1"/>
    <x v="1"/>
    <x v="3"/>
    <x v="3"/>
    <x v="3"/>
    <x v="0"/>
    <x v="2"/>
    <x v="2"/>
    <x v="0"/>
    <x v="2"/>
    <x v="107"/>
    <x v="150"/>
    <x v="5"/>
    <x v="0"/>
    <x v="1"/>
    <x v="0"/>
    <x v="0"/>
  </r>
  <r>
    <x v="400"/>
    <x v="1"/>
    <x v="5"/>
    <x v="8"/>
    <x v="139"/>
    <x v="0"/>
    <x v="16"/>
    <x v="3"/>
    <x v="5"/>
    <x v="5"/>
    <x v="5"/>
    <x v="1"/>
    <x v="1"/>
    <x v="1"/>
    <x v="0"/>
    <x v="1"/>
    <x v="149"/>
    <x v="210"/>
    <x v="3"/>
    <x v="0"/>
    <x v="0"/>
    <x v="3"/>
    <x v="3"/>
  </r>
  <r>
    <x v="401"/>
    <x v="1"/>
    <x v="5"/>
    <x v="8"/>
    <x v="140"/>
    <x v="1"/>
    <x v="16"/>
    <x v="2"/>
    <x v="5"/>
    <x v="5"/>
    <x v="5"/>
    <x v="1"/>
    <x v="1"/>
    <x v="1"/>
    <x v="0"/>
    <x v="1"/>
    <x v="150"/>
    <x v="211"/>
    <x v="5"/>
    <x v="0"/>
    <x v="0"/>
    <x v="3"/>
    <x v="3"/>
  </r>
  <r>
    <x v="402"/>
    <x v="1"/>
    <x v="4"/>
    <x v="9"/>
    <x v="7"/>
    <x v="2"/>
    <x v="2"/>
    <x v="3"/>
    <x v="4"/>
    <x v="4"/>
    <x v="4"/>
    <x v="1"/>
    <x v="0"/>
    <x v="0"/>
    <x v="0"/>
    <x v="0"/>
    <x v="151"/>
    <x v="212"/>
    <x v="3"/>
    <x v="0"/>
    <x v="4"/>
    <x v="2"/>
    <x v="2"/>
  </r>
  <r>
    <x v="403"/>
    <x v="2"/>
    <x v="3"/>
    <x v="43"/>
    <x v="63"/>
    <x v="1"/>
    <x v="0"/>
    <x v="2"/>
    <x v="3"/>
    <x v="3"/>
    <x v="3"/>
    <x v="0"/>
    <x v="2"/>
    <x v="2"/>
    <x v="0"/>
    <x v="2"/>
    <x v="152"/>
    <x v="213"/>
    <x v="2"/>
    <x v="0"/>
    <x v="3"/>
    <x v="0"/>
    <x v="0"/>
  </r>
  <r>
    <x v="404"/>
    <x v="2"/>
    <x v="1"/>
    <x v="44"/>
    <x v="141"/>
    <x v="1"/>
    <x v="1"/>
    <x v="2"/>
    <x v="1"/>
    <x v="1"/>
    <x v="1"/>
    <x v="0"/>
    <x v="1"/>
    <x v="1"/>
    <x v="0"/>
    <x v="1"/>
    <x v="153"/>
    <x v="214"/>
    <x v="5"/>
    <x v="0"/>
    <x v="4"/>
    <x v="0"/>
    <x v="0"/>
  </r>
  <r>
    <x v="405"/>
    <x v="1"/>
    <x v="0"/>
    <x v="2"/>
    <x v="142"/>
    <x v="1"/>
    <x v="1"/>
    <x v="2"/>
    <x v="0"/>
    <x v="0"/>
    <x v="0"/>
    <x v="0"/>
    <x v="0"/>
    <x v="0"/>
    <x v="0"/>
    <x v="0"/>
    <x v="96"/>
    <x v="215"/>
    <x v="4"/>
    <x v="0"/>
    <x v="1"/>
    <x v="0"/>
    <x v="0"/>
  </r>
  <r>
    <x v="406"/>
    <x v="0"/>
    <x v="3"/>
    <x v="45"/>
    <x v="143"/>
    <x v="1"/>
    <x v="9"/>
    <x v="2"/>
    <x v="3"/>
    <x v="3"/>
    <x v="3"/>
    <x v="0"/>
    <x v="2"/>
    <x v="2"/>
    <x v="0"/>
    <x v="2"/>
    <x v="154"/>
    <x v="216"/>
    <x v="5"/>
    <x v="0"/>
    <x v="4"/>
    <x v="0"/>
    <x v="0"/>
  </r>
  <r>
    <x v="407"/>
    <x v="1"/>
    <x v="4"/>
    <x v="9"/>
    <x v="144"/>
    <x v="1"/>
    <x v="9"/>
    <x v="0"/>
    <x v="4"/>
    <x v="4"/>
    <x v="4"/>
    <x v="1"/>
    <x v="0"/>
    <x v="0"/>
    <x v="0"/>
    <x v="0"/>
    <x v="155"/>
    <x v="217"/>
    <x v="2"/>
    <x v="0"/>
    <x v="1"/>
    <x v="2"/>
    <x v="2"/>
  </r>
  <r>
    <x v="408"/>
    <x v="1"/>
    <x v="0"/>
    <x v="2"/>
    <x v="40"/>
    <x v="1"/>
    <x v="7"/>
    <x v="1"/>
    <x v="0"/>
    <x v="0"/>
    <x v="0"/>
    <x v="0"/>
    <x v="0"/>
    <x v="0"/>
    <x v="0"/>
    <x v="0"/>
    <x v="68"/>
    <x v="218"/>
    <x v="0"/>
    <x v="0"/>
    <x v="1"/>
    <x v="0"/>
    <x v="0"/>
  </r>
  <r>
    <x v="409"/>
    <x v="1"/>
    <x v="1"/>
    <x v="6"/>
    <x v="145"/>
    <x v="1"/>
    <x v="15"/>
    <x v="0"/>
    <x v="1"/>
    <x v="1"/>
    <x v="1"/>
    <x v="0"/>
    <x v="1"/>
    <x v="1"/>
    <x v="0"/>
    <x v="1"/>
    <x v="137"/>
    <x v="219"/>
    <x v="4"/>
    <x v="0"/>
    <x v="3"/>
    <x v="0"/>
    <x v="0"/>
  </r>
  <r>
    <x v="410"/>
    <x v="1"/>
    <x v="2"/>
    <x v="4"/>
    <x v="55"/>
    <x v="1"/>
    <x v="3"/>
    <x v="0"/>
    <x v="2"/>
    <x v="2"/>
    <x v="2"/>
    <x v="1"/>
    <x v="2"/>
    <x v="2"/>
    <x v="0"/>
    <x v="2"/>
    <x v="71"/>
    <x v="220"/>
    <x v="2"/>
    <x v="0"/>
    <x v="1"/>
    <x v="1"/>
    <x v="1"/>
  </r>
  <r>
    <x v="411"/>
    <x v="1"/>
    <x v="2"/>
    <x v="4"/>
    <x v="146"/>
    <x v="1"/>
    <x v="11"/>
    <x v="1"/>
    <x v="2"/>
    <x v="2"/>
    <x v="2"/>
    <x v="1"/>
    <x v="2"/>
    <x v="2"/>
    <x v="0"/>
    <x v="2"/>
    <x v="132"/>
    <x v="185"/>
    <x v="5"/>
    <x v="0"/>
    <x v="1"/>
    <x v="1"/>
    <x v="1"/>
  </r>
  <r>
    <x v="412"/>
    <x v="2"/>
    <x v="0"/>
    <x v="46"/>
    <x v="147"/>
    <x v="2"/>
    <x v="2"/>
    <x v="1"/>
    <x v="0"/>
    <x v="0"/>
    <x v="0"/>
    <x v="0"/>
    <x v="0"/>
    <x v="0"/>
    <x v="0"/>
    <x v="0"/>
    <x v="156"/>
    <x v="221"/>
    <x v="4"/>
    <x v="0"/>
    <x v="4"/>
    <x v="0"/>
    <x v="0"/>
  </r>
  <r>
    <x v="413"/>
    <x v="1"/>
    <x v="0"/>
    <x v="2"/>
    <x v="148"/>
    <x v="1"/>
    <x v="1"/>
    <x v="0"/>
    <x v="0"/>
    <x v="0"/>
    <x v="0"/>
    <x v="0"/>
    <x v="0"/>
    <x v="0"/>
    <x v="0"/>
    <x v="0"/>
    <x v="124"/>
    <x v="176"/>
    <x v="5"/>
    <x v="0"/>
    <x v="2"/>
    <x v="0"/>
    <x v="0"/>
  </r>
  <r>
    <x v="414"/>
    <x v="1"/>
    <x v="5"/>
    <x v="8"/>
    <x v="149"/>
    <x v="1"/>
    <x v="8"/>
    <x v="1"/>
    <x v="5"/>
    <x v="5"/>
    <x v="5"/>
    <x v="1"/>
    <x v="1"/>
    <x v="1"/>
    <x v="0"/>
    <x v="1"/>
    <x v="157"/>
    <x v="222"/>
    <x v="1"/>
    <x v="0"/>
    <x v="4"/>
    <x v="3"/>
    <x v="3"/>
  </r>
  <r>
    <x v="415"/>
    <x v="1"/>
    <x v="3"/>
    <x v="5"/>
    <x v="10"/>
    <x v="1"/>
    <x v="0"/>
    <x v="1"/>
    <x v="3"/>
    <x v="3"/>
    <x v="3"/>
    <x v="0"/>
    <x v="2"/>
    <x v="2"/>
    <x v="0"/>
    <x v="2"/>
    <x v="158"/>
    <x v="223"/>
    <x v="3"/>
    <x v="0"/>
    <x v="0"/>
    <x v="0"/>
    <x v="0"/>
  </r>
  <r>
    <x v="416"/>
    <x v="0"/>
    <x v="1"/>
    <x v="47"/>
    <x v="150"/>
    <x v="2"/>
    <x v="2"/>
    <x v="1"/>
    <x v="1"/>
    <x v="1"/>
    <x v="1"/>
    <x v="0"/>
    <x v="1"/>
    <x v="1"/>
    <x v="0"/>
    <x v="1"/>
    <x v="30"/>
    <x v="224"/>
    <x v="5"/>
    <x v="0"/>
    <x v="1"/>
    <x v="0"/>
    <x v="0"/>
  </r>
  <r>
    <x v="417"/>
    <x v="1"/>
    <x v="1"/>
    <x v="6"/>
    <x v="132"/>
    <x v="0"/>
    <x v="0"/>
    <x v="3"/>
    <x v="1"/>
    <x v="1"/>
    <x v="1"/>
    <x v="0"/>
    <x v="1"/>
    <x v="1"/>
    <x v="0"/>
    <x v="1"/>
    <x v="159"/>
    <x v="225"/>
    <x v="0"/>
    <x v="0"/>
    <x v="4"/>
    <x v="0"/>
    <x v="0"/>
  </r>
  <r>
    <x v="418"/>
    <x v="1"/>
    <x v="3"/>
    <x v="5"/>
    <x v="92"/>
    <x v="1"/>
    <x v="0"/>
    <x v="3"/>
    <x v="3"/>
    <x v="3"/>
    <x v="3"/>
    <x v="0"/>
    <x v="2"/>
    <x v="2"/>
    <x v="0"/>
    <x v="2"/>
    <x v="160"/>
    <x v="226"/>
    <x v="2"/>
    <x v="0"/>
    <x v="4"/>
    <x v="0"/>
    <x v="0"/>
  </r>
  <r>
    <x v="419"/>
    <x v="1"/>
    <x v="0"/>
    <x v="2"/>
    <x v="123"/>
    <x v="1"/>
    <x v="0"/>
    <x v="1"/>
    <x v="0"/>
    <x v="0"/>
    <x v="0"/>
    <x v="0"/>
    <x v="0"/>
    <x v="0"/>
    <x v="0"/>
    <x v="0"/>
    <x v="161"/>
    <x v="227"/>
    <x v="0"/>
    <x v="0"/>
    <x v="3"/>
    <x v="0"/>
    <x v="0"/>
  </r>
  <r>
    <x v="420"/>
    <x v="1"/>
    <x v="5"/>
    <x v="8"/>
    <x v="151"/>
    <x v="2"/>
    <x v="2"/>
    <x v="0"/>
    <x v="5"/>
    <x v="5"/>
    <x v="5"/>
    <x v="1"/>
    <x v="1"/>
    <x v="1"/>
    <x v="0"/>
    <x v="1"/>
    <x v="162"/>
    <x v="228"/>
    <x v="5"/>
    <x v="0"/>
    <x v="0"/>
    <x v="3"/>
    <x v="3"/>
  </r>
  <r>
    <x v="421"/>
    <x v="2"/>
    <x v="1"/>
    <x v="48"/>
    <x v="152"/>
    <x v="3"/>
    <x v="2"/>
    <x v="3"/>
    <x v="1"/>
    <x v="1"/>
    <x v="1"/>
    <x v="0"/>
    <x v="1"/>
    <x v="1"/>
    <x v="0"/>
    <x v="1"/>
    <x v="163"/>
    <x v="229"/>
    <x v="5"/>
    <x v="0"/>
    <x v="2"/>
    <x v="0"/>
    <x v="0"/>
  </r>
  <r>
    <x v="422"/>
    <x v="1"/>
    <x v="2"/>
    <x v="4"/>
    <x v="26"/>
    <x v="2"/>
    <x v="2"/>
    <x v="0"/>
    <x v="2"/>
    <x v="2"/>
    <x v="2"/>
    <x v="1"/>
    <x v="2"/>
    <x v="2"/>
    <x v="0"/>
    <x v="2"/>
    <x v="164"/>
    <x v="230"/>
    <x v="2"/>
    <x v="0"/>
    <x v="3"/>
    <x v="1"/>
    <x v="1"/>
  </r>
  <r>
    <x v="423"/>
    <x v="1"/>
    <x v="1"/>
    <x v="6"/>
    <x v="41"/>
    <x v="2"/>
    <x v="2"/>
    <x v="3"/>
    <x v="1"/>
    <x v="1"/>
    <x v="1"/>
    <x v="0"/>
    <x v="1"/>
    <x v="1"/>
    <x v="0"/>
    <x v="1"/>
    <x v="119"/>
    <x v="231"/>
    <x v="4"/>
    <x v="0"/>
    <x v="2"/>
    <x v="0"/>
    <x v="0"/>
  </r>
  <r>
    <x v="424"/>
    <x v="1"/>
    <x v="5"/>
    <x v="8"/>
    <x v="153"/>
    <x v="1"/>
    <x v="19"/>
    <x v="1"/>
    <x v="5"/>
    <x v="5"/>
    <x v="5"/>
    <x v="1"/>
    <x v="1"/>
    <x v="1"/>
    <x v="0"/>
    <x v="1"/>
    <x v="120"/>
    <x v="232"/>
    <x v="2"/>
    <x v="0"/>
    <x v="0"/>
    <x v="3"/>
    <x v="3"/>
  </r>
  <r>
    <x v="425"/>
    <x v="1"/>
    <x v="5"/>
    <x v="8"/>
    <x v="154"/>
    <x v="2"/>
    <x v="2"/>
    <x v="3"/>
    <x v="5"/>
    <x v="5"/>
    <x v="5"/>
    <x v="1"/>
    <x v="1"/>
    <x v="1"/>
    <x v="0"/>
    <x v="1"/>
    <x v="29"/>
    <x v="153"/>
    <x v="3"/>
    <x v="0"/>
    <x v="0"/>
    <x v="3"/>
    <x v="3"/>
  </r>
  <r>
    <x v="426"/>
    <x v="0"/>
    <x v="0"/>
    <x v="49"/>
    <x v="40"/>
    <x v="2"/>
    <x v="2"/>
    <x v="3"/>
    <x v="0"/>
    <x v="0"/>
    <x v="0"/>
    <x v="0"/>
    <x v="0"/>
    <x v="0"/>
    <x v="0"/>
    <x v="0"/>
    <x v="78"/>
    <x v="233"/>
    <x v="0"/>
    <x v="0"/>
    <x v="3"/>
    <x v="0"/>
    <x v="0"/>
  </r>
  <r>
    <x v="427"/>
    <x v="1"/>
    <x v="2"/>
    <x v="4"/>
    <x v="155"/>
    <x v="0"/>
    <x v="3"/>
    <x v="3"/>
    <x v="2"/>
    <x v="2"/>
    <x v="2"/>
    <x v="1"/>
    <x v="2"/>
    <x v="2"/>
    <x v="0"/>
    <x v="2"/>
    <x v="165"/>
    <x v="234"/>
    <x v="1"/>
    <x v="0"/>
    <x v="4"/>
    <x v="1"/>
    <x v="1"/>
  </r>
  <r>
    <x v="428"/>
    <x v="1"/>
    <x v="0"/>
    <x v="2"/>
    <x v="156"/>
    <x v="1"/>
    <x v="1"/>
    <x v="3"/>
    <x v="0"/>
    <x v="0"/>
    <x v="0"/>
    <x v="0"/>
    <x v="0"/>
    <x v="0"/>
    <x v="0"/>
    <x v="0"/>
    <x v="166"/>
    <x v="235"/>
    <x v="5"/>
    <x v="0"/>
    <x v="2"/>
    <x v="0"/>
    <x v="0"/>
  </r>
  <r>
    <x v="429"/>
    <x v="1"/>
    <x v="4"/>
    <x v="9"/>
    <x v="157"/>
    <x v="1"/>
    <x v="8"/>
    <x v="2"/>
    <x v="4"/>
    <x v="4"/>
    <x v="4"/>
    <x v="1"/>
    <x v="0"/>
    <x v="0"/>
    <x v="0"/>
    <x v="0"/>
    <x v="164"/>
    <x v="230"/>
    <x v="2"/>
    <x v="0"/>
    <x v="3"/>
    <x v="2"/>
    <x v="2"/>
  </r>
  <r>
    <x v="430"/>
    <x v="1"/>
    <x v="0"/>
    <x v="2"/>
    <x v="138"/>
    <x v="1"/>
    <x v="0"/>
    <x v="2"/>
    <x v="0"/>
    <x v="0"/>
    <x v="0"/>
    <x v="0"/>
    <x v="0"/>
    <x v="0"/>
    <x v="0"/>
    <x v="0"/>
    <x v="116"/>
    <x v="165"/>
    <x v="0"/>
    <x v="0"/>
    <x v="4"/>
    <x v="0"/>
    <x v="0"/>
  </r>
  <r>
    <x v="431"/>
    <x v="1"/>
    <x v="3"/>
    <x v="5"/>
    <x v="105"/>
    <x v="4"/>
    <x v="2"/>
    <x v="2"/>
    <x v="3"/>
    <x v="3"/>
    <x v="3"/>
    <x v="0"/>
    <x v="2"/>
    <x v="2"/>
    <x v="0"/>
    <x v="2"/>
    <x v="167"/>
    <x v="236"/>
    <x v="3"/>
    <x v="0"/>
    <x v="4"/>
    <x v="0"/>
    <x v="0"/>
  </r>
  <r>
    <x v="432"/>
    <x v="1"/>
    <x v="0"/>
    <x v="2"/>
    <x v="158"/>
    <x v="1"/>
    <x v="0"/>
    <x v="0"/>
    <x v="0"/>
    <x v="0"/>
    <x v="0"/>
    <x v="0"/>
    <x v="0"/>
    <x v="0"/>
    <x v="0"/>
    <x v="0"/>
    <x v="8"/>
    <x v="237"/>
    <x v="3"/>
    <x v="0"/>
    <x v="3"/>
    <x v="0"/>
    <x v="0"/>
  </r>
  <r>
    <x v="433"/>
    <x v="0"/>
    <x v="2"/>
    <x v="50"/>
    <x v="159"/>
    <x v="1"/>
    <x v="22"/>
    <x v="2"/>
    <x v="2"/>
    <x v="2"/>
    <x v="2"/>
    <x v="1"/>
    <x v="2"/>
    <x v="2"/>
    <x v="0"/>
    <x v="2"/>
    <x v="168"/>
    <x v="238"/>
    <x v="3"/>
    <x v="0"/>
    <x v="3"/>
    <x v="1"/>
    <x v="1"/>
  </r>
  <r>
    <x v="434"/>
    <x v="1"/>
    <x v="0"/>
    <x v="2"/>
    <x v="160"/>
    <x v="1"/>
    <x v="0"/>
    <x v="0"/>
    <x v="0"/>
    <x v="0"/>
    <x v="0"/>
    <x v="0"/>
    <x v="0"/>
    <x v="0"/>
    <x v="0"/>
    <x v="0"/>
    <x v="169"/>
    <x v="239"/>
    <x v="3"/>
    <x v="0"/>
    <x v="3"/>
    <x v="0"/>
    <x v="0"/>
  </r>
  <r>
    <x v="435"/>
    <x v="1"/>
    <x v="0"/>
    <x v="2"/>
    <x v="25"/>
    <x v="1"/>
    <x v="0"/>
    <x v="2"/>
    <x v="0"/>
    <x v="0"/>
    <x v="0"/>
    <x v="0"/>
    <x v="0"/>
    <x v="0"/>
    <x v="0"/>
    <x v="0"/>
    <x v="170"/>
    <x v="240"/>
    <x v="1"/>
    <x v="0"/>
    <x v="0"/>
    <x v="0"/>
    <x v="0"/>
  </r>
  <r>
    <x v="436"/>
    <x v="1"/>
    <x v="2"/>
    <x v="4"/>
    <x v="27"/>
    <x v="0"/>
    <x v="12"/>
    <x v="3"/>
    <x v="2"/>
    <x v="2"/>
    <x v="2"/>
    <x v="1"/>
    <x v="2"/>
    <x v="2"/>
    <x v="0"/>
    <x v="2"/>
    <x v="171"/>
    <x v="241"/>
    <x v="3"/>
    <x v="0"/>
    <x v="2"/>
    <x v="1"/>
    <x v="1"/>
  </r>
  <r>
    <x v="437"/>
    <x v="0"/>
    <x v="4"/>
    <x v="51"/>
    <x v="161"/>
    <x v="1"/>
    <x v="8"/>
    <x v="1"/>
    <x v="4"/>
    <x v="4"/>
    <x v="4"/>
    <x v="1"/>
    <x v="0"/>
    <x v="0"/>
    <x v="0"/>
    <x v="0"/>
    <x v="172"/>
    <x v="242"/>
    <x v="1"/>
    <x v="0"/>
    <x v="4"/>
    <x v="2"/>
    <x v="2"/>
  </r>
  <r>
    <x v="438"/>
    <x v="1"/>
    <x v="5"/>
    <x v="8"/>
    <x v="162"/>
    <x v="2"/>
    <x v="2"/>
    <x v="1"/>
    <x v="5"/>
    <x v="5"/>
    <x v="5"/>
    <x v="1"/>
    <x v="1"/>
    <x v="1"/>
    <x v="0"/>
    <x v="1"/>
    <x v="173"/>
    <x v="243"/>
    <x v="1"/>
    <x v="0"/>
    <x v="0"/>
    <x v="3"/>
    <x v="3"/>
  </r>
  <r>
    <x v="439"/>
    <x v="1"/>
    <x v="0"/>
    <x v="2"/>
    <x v="163"/>
    <x v="2"/>
    <x v="2"/>
    <x v="1"/>
    <x v="0"/>
    <x v="0"/>
    <x v="0"/>
    <x v="0"/>
    <x v="0"/>
    <x v="0"/>
    <x v="0"/>
    <x v="0"/>
    <x v="155"/>
    <x v="244"/>
    <x v="5"/>
    <x v="0"/>
    <x v="1"/>
    <x v="0"/>
    <x v="0"/>
  </r>
  <r>
    <x v="440"/>
    <x v="0"/>
    <x v="2"/>
    <x v="52"/>
    <x v="71"/>
    <x v="1"/>
    <x v="11"/>
    <x v="3"/>
    <x v="2"/>
    <x v="2"/>
    <x v="2"/>
    <x v="1"/>
    <x v="2"/>
    <x v="2"/>
    <x v="0"/>
    <x v="2"/>
    <x v="133"/>
    <x v="245"/>
    <x v="2"/>
    <x v="0"/>
    <x v="1"/>
    <x v="1"/>
    <x v="1"/>
  </r>
  <r>
    <x v="441"/>
    <x v="1"/>
    <x v="5"/>
    <x v="8"/>
    <x v="164"/>
    <x v="2"/>
    <x v="2"/>
    <x v="2"/>
    <x v="5"/>
    <x v="5"/>
    <x v="5"/>
    <x v="1"/>
    <x v="1"/>
    <x v="1"/>
    <x v="0"/>
    <x v="1"/>
    <x v="17"/>
    <x v="160"/>
    <x v="4"/>
    <x v="0"/>
    <x v="1"/>
    <x v="3"/>
    <x v="3"/>
  </r>
  <r>
    <x v="442"/>
    <x v="1"/>
    <x v="3"/>
    <x v="5"/>
    <x v="165"/>
    <x v="1"/>
    <x v="0"/>
    <x v="1"/>
    <x v="3"/>
    <x v="3"/>
    <x v="3"/>
    <x v="0"/>
    <x v="2"/>
    <x v="2"/>
    <x v="0"/>
    <x v="2"/>
    <x v="77"/>
    <x v="246"/>
    <x v="5"/>
    <x v="0"/>
    <x v="0"/>
    <x v="0"/>
    <x v="0"/>
  </r>
  <r>
    <x v="443"/>
    <x v="0"/>
    <x v="1"/>
    <x v="53"/>
    <x v="166"/>
    <x v="3"/>
    <x v="2"/>
    <x v="3"/>
    <x v="1"/>
    <x v="1"/>
    <x v="1"/>
    <x v="0"/>
    <x v="1"/>
    <x v="1"/>
    <x v="0"/>
    <x v="1"/>
    <x v="174"/>
    <x v="247"/>
    <x v="3"/>
    <x v="0"/>
    <x v="1"/>
    <x v="0"/>
    <x v="0"/>
  </r>
  <r>
    <x v="444"/>
    <x v="1"/>
    <x v="5"/>
    <x v="8"/>
    <x v="167"/>
    <x v="1"/>
    <x v="10"/>
    <x v="3"/>
    <x v="5"/>
    <x v="5"/>
    <x v="5"/>
    <x v="1"/>
    <x v="1"/>
    <x v="1"/>
    <x v="0"/>
    <x v="1"/>
    <x v="175"/>
    <x v="248"/>
    <x v="1"/>
    <x v="0"/>
    <x v="1"/>
    <x v="3"/>
    <x v="3"/>
  </r>
  <r>
    <x v="445"/>
    <x v="1"/>
    <x v="5"/>
    <x v="8"/>
    <x v="51"/>
    <x v="0"/>
    <x v="16"/>
    <x v="3"/>
    <x v="5"/>
    <x v="5"/>
    <x v="5"/>
    <x v="1"/>
    <x v="1"/>
    <x v="1"/>
    <x v="0"/>
    <x v="1"/>
    <x v="81"/>
    <x v="249"/>
    <x v="1"/>
    <x v="0"/>
    <x v="3"/>
    <x v="3"/>
    <x v="3"/>
  </r>
  <r>
    <x v="446"/>
    <x v="2"/>
    <x v="0"/>
    <x v="10"/>
    <x v="168"/>
    <x v="1"/>
    <x v="1"/>
    <x v="1"/>
    <x v="0"/>
    <x v="0"/>
    <x v="0"/>
    <x v="0"/>
    <x v="0"/>
    <x v="0"/>
    <x v="0"/>
    <x v="0"/>
    <x v="78"/>
    <x v="233"/>
    <x v="0"/>
    <x v="0"/>
    <x v="3"/>
    <x v="0"/>
    <x v="0"/>
  </r>
  <r>
    <x v="447"/>
    <x v="1"/>
    <x v="2"/>
    <x v="4"/>
    <x v="169"/>
    <x v="2"/>
    <x v="2"/>
    <x v="0"/>
    <x v="2"/>
    <x v="2"/>
    <x v="2"/>
    <x v="1"/>
    <x v="2"/>
    <x v="2"/>
    <x v="0"/>
    <x v="2"/>
    <x v="104"/>
    <x v="250"/>
    <x v="2"/>
    <x v="0"/>
    <x v="3"/>
    <x v="1"/>
    <x v="1"/>
  </r>
  <r>
    <x v="448"/>
    <x v="1"/>
    <x v="2"/>
    <x v="4"/>
    <x v="170"/>
    <x v="1"/>
    <x v="12"/>
    <x v="3"/>
    <x v="2"/>
    <x v="2"/>
    <x v="2"/>
    <x v="1"/>
    <x v="2"/>
    <x v="2"/>
    <x v="0"/>
    <x v="2"/>
    <x v="176"/>
    <x v="251"/>
    <x v="5"/>
    <x v="0"/>
    <x v="3"/>
    <x v="1"/>
    <x v="1"/>
  </r>
  <r>
    <x v="449"/>
    <x v="1"/>
    <x v="4"/>
    <x v="9"/>
    <x v="171"/>
    <x v="1"/>
    <x v="7"/>
    <x v="2"/>
    <x v="4"/>
    <x v="4"/>
    <x v="4"/>
    <x v="1"/>
    <x v="0"/>
    <x v="0"/>
    <x v="0"/>
    <x v="0"/>
    <x v="177"/>
    <x v="252"/>
    <x v="4"/>
    <x v="0"/>
    <x v="2"/>
    <x v="2"/>
    <x v="2"/>
  </r>
  <r>
    <x v="450"/>
    <x v="1"/>
    <x v="2"/>
    <x v="4"/>
    <x v="32"/>
    <x v="1"/>
    <x v="19"/>
    <x v="1"/>
    <x v="2"/>
    <x v="2"/>
    <x v="2"/>
    <x v="1"/>
    <x v="2"/>
    <x v="2"/>
    <x v="0"/>
    <x v="2"/>
    <x v="178"/>
    <x v="253"/>
    <x v="0"/>
    <x v="0"/>
    <x v="3"/>
    <x v="1"/>
    <x v="1"/>
  </r>
  <r>
    <x v="451"/>
    <x v="1"/>
    <x v="4"/>
    <x v="9"/>
    <x v="172"/>
    <x v="2"/>
    <x v="2"/>
    <x v="3"/>
    <x v="4"/>
    <x v="4"/>
    <x v="4"/>
    <x v="1"/>
    <x v="0"/>
    <x v="0"/>
    <x v="0"/>
    <x v="0"/>
    <x v="50"/>
    <x v="254"/>
    <x v="0"/>
    <x v="0"/>
    <x v="2"/>
    <x v="2"/>
    <x v="2"/>
  </r>
  <r>
    <x v="452"/>
    <x v="1"/>
    <x v="1"/>
    <x v="6"/>
    <x v="104"/>
    <x v="1"/>
    <x v="1"/>
    <x v="3"/>
    <x v="1"/>
    <x v="1"/>
    <x v="1"/>
    <x v="0"/>
    <x v="1"/>
    <x v="1"/>
    <x v="0"/>
    <x v="1"/>
    <x v="7"/>
    <x v="255"/>
    <x v="5"/>
    <x v="0"/>
    <x v="0"/>
    <x v="0"/>
    <x v="0"/>
  </r>
  <r>
    <x v="453"/>
    <x v="1"/>
    <x v="2"/>
    <x v="4"/>
    <x v="173"/>
    <x v="4"/>
    <x v="2"/>
    <x v="3"/>
    <x v="2"/>
    <x v="2"/>
    <x v="2"/>
    <x v="1"/>
    <x v="2"/>
    <x v="2"/>
    <x v="0"/>
    <x v="2"/>
    <x v="104"/>
    <x v="146"/>
    <x v="3"/>
    <x v="0"/>
    <x v="1"/>
    <x v="1"/>
    <x v="1"/>
  </r>
  <r>
    <x v="454"/>
    <x v="1"/>
    <x v="4"/>
    <x v="9"/>
    <x v="174"/>
    <x v="1"/>
    <x v="9"/>
    <x v="1"/>
    <x v="4"/>
    <x v="4"/>
    <x v="4"/>
    <x v="1"/>
    <x v="0"/>
    <x v="0"/>
    <x v="0"/>
    <x v="0"/>
    <x v="20"/>
    <x v="154"/>
    <x v="1"/>
    <x v="0"/>
    <x v="1"/>
    <x v="2"/>
    <x v="2"/>
  </r>
  <r>
    <x v="455"/>
    <x v="1"/>
    <x v="4"/>
    <x v="9"/>
    <x v="150"/>
    <x v="1"/>
    <x v="14"/>
    <x v="1"/>
    <x v="4"/>
    <x v="4"/>
    <x v="4"/>
    <x v="1"/>
    <x v="0"/>
    <x v="0"/>
    <x v="0"/>
    <x v="0"/>
    <x v="75"/>
    <x v="256"/>
    <x v="2"/>
    <x v="0"/>
    <x v="2"/>
    <x v="2"/>
    <x v="2"/>
  </r>
  <r>
    <x v="456"/>
    <x v="1"/>
    <x v="4"/>
    <x v="9"/>
    <x v="15"/>
    <x v="1"/>
    <x v="9"/>
    <x v="0"/>
    <x v="4"/>
    <x v="4"/>
    <x v="4"/>
    <x v="1"/>
    <x v="0"/>
    <x v="0"/>
    <x v="0"/>
    <x v="0"/>
    <x v="179"/>
    <x v="257"/>
    <x v="3"/>
    <x v="0"/>
    <x v="0"/>
    <x v="2"/>
    <x v="2"/>
  </r>
  <r>
    <x v="457"/>
    <x v="1"/>
    <x v="1"/>
    <x v="6"/>
    <x v="175"/>
    <x v="1"/>
    <x v="1"/>
    <x v="2"/>
    <x v="1"/>
    <x v="1"/>
    <x v="1"/>
    <x v="0"/>
    <x v="1"/>
    <x v="1"/>
    <x v="0"/>
    <x v="1"/>
    <x v="180"/>
    <x v="258"/>
    <x v="0"/>
    <x v="0"/>
    <x v="4"/>
    <x v="0"/>
    <x v="0"/>
  </r>
  <r>
    <x v="458"/>
    <x v="0"/>
    <x v="5"/>
    <x v="54"/>
    <x v="89"/>
    <x v="1"/>
    <x v="11"/>
    <x v="3"/>
    <x v="5"/>
    <x v="5"/>
    <x v="5"/>
    <x v="1"/>
    <x v="1"/>
    <x v="1"/>
    <x v="0"/>
    <x v="1"/>
    <x v="181"/>
    <x v="259"/>
    <x v="0"/>
    <x v="0"/>
    <x v="0"/>
    <x v="3"/>
    <x v="3"/>
  </r>
  <r>
    <x v="459"/>
    <x v="1"/>
    <x v="4"/>
    <x v="9"/>
    <x v="176"/>
    <x v="1"/>
    <x v="17"/>
    <x v="3"/>
    <x v="4"/>
    <x v="4"/>
    <x v="4"/>
    <x v="1"/>
    <x v="0"/>
    <x v="0"/>
    <x v="0"/>
    <x v="0"/>
    <x v="182"/>
    <x v="260"/>
    <x v="5"/>
    <x v="0"/>
    <x v="0"/>
    <x v="2"/>
    <x v="2"/>
  </r>
  <r>
    <x v="460"/>
    <x v="2"/>
    <x v="4"/>
    <x v="55"/>
    <x v="50"/>
    <x v="2"/>
    <x v="2"/>
    <x v="3"/>
    <x v="4"/>
    <x v="4"/>
    <x v="4"/>
    <x v="1"/>
    <x v="0"/>
    <x v="0"/>
    <x v="0"/>
    <x v="0"/>
    <x v="183"/>
    <x v="261"/>
    <x v="0"/>
    <x v="0"/>
    <x v="2"/>
    <x v="2"/>
    <x v="2"/>
  </r>
  <r>
    <x v="461"/>
    <x v="2"/>
    <x v="0"/>
    <x v="56"/>
    <x v="55"/>
    <x v="1"/>
    <x v="1"/>
    <x v="0"/>
    <x v="0"/>
    <x v="0"/>
    <x v="0"/>
    <x v="0"/>
    <x v="0"/>
    <x v="0"/>
    <x v="0"/>
    <x v="0"/>
    <x v="184"/>
    <x v="262"/>
    <x v="0"/>
    <x v="0"/>
    <x v="2"/>
    <x v="0"/>
    <x v="0"/>
  </r>
  <r>
    <x v="462"/>
    <x v="0"/>
    <x v="3"/>
    <x v="57"/>
    <x v="177"/>
    <x v="3"/>
    <x v="2"/>
    <x v="1"/>
    <x v="3"/>
    <x v="3"/>
    <x v="3"/>
    <x v="0"/>
    <x v="2"/>
    <x v="2"/>
    <x v="0"/>
    <x v="2"/>
    <x v="65"/>
    <x v="263"/>
    <x v="3"/>
    <x v="0"/>
    <x v="1"/>
    <x v="0"/>
    <x v="0"/>
  </r>
  <r>
    <x v="463"/>
    <x v="1"/>
    <x v="5"/>
    <x v="8"/>
    <x v="178"/>
    <x v="1"/>
    <x v="13"/>
    <x v="1"/>
    <x v="5"/>
    <x v="5"/>
    <x v="5"/>
    <x v="1"/>
    <x v="1"/>
    <x v="1"/>
    <x v="0"/>
    <x v="1"/>
    <x v="185"/>
    <x v="264"/>
    <x v="5"/>
    <x v="0"/>
    <x v="2"/>
    <x v="3"/>
    <x v="3"/>
  </r>
  <r>
    <x v="464"/>
    <x v="2"/>
    <x v="5"/>
    <x v="58"/>
    <x v="26"/>
    <x v="1"/>
    <x v="6"/>
    <x v="1"/>
    <x v="5"/>
    <x v="5"/>
    <x v="5"/>
    <x v="1"/>
    <x v="1"/>
    <x v="1"/>
    <x v="0"/>
    <x v="1"/>
    <x v="116"/>
    <x v="165"/>
    <x v="0"/>
    <x v="0"/>
    <x v="4"/>
    <x v="3"/>
    <x v="3"/>
  </r>
  <r>
    <x v="465"/>
    <x v="1"/>
    <x v="0"/>
    <x v="2"/>
    <x v="179"/>
    <x v="1"/>
    <x v="0"/>
    <x v="1"/>
    <x v="0"/>
    <x v="0"/>
    <x v="0"/>
    <x v="0"/>
    <x v="0"/>
    <x v="0"/>
    <x v="0"/>
    <x v="0"/>
    <x v="186"/>
    <x v="265"/>
    <x v="3"/>
    <x v="0"/>
    <x v="1"/>
    <x v="0"/>
    <x v="0"/>
  </r>
  <r>
    <x v="466"/>
    <x v="1"/>
    <x v="4"/>
    <x v="9"/>
    <x v="127"/>
    <x v="1"/>
    <x v="14"/>
    <x v="2"/>
    <x v="4"/>
    <x v="4"/>
    <x v="4"/>
    <x v="1"/>
    <x v="0"/>
    <x v="0"/>
    <x v="0"/>
    <x v="0"/>
    <x v="142"/>
    <x v="266"/>
    <x v="3"/>
    <x v="0"/>
    <x v="4"/>
    <x v="2"/>
    <x v="2"/>
  </r>
  <r>
    <x v="467"/>
    <x v="1"/>
    <x v="3"/>
    <x v="5"/>
    <x v="94"/>
    <x v="1"/>
    <x v="1"/>
    <x v="2"/>
    <x v="3"/>
    <x v="3"/>
    <x v="3"/>
    <x v="0"/>
    <x v="2"/>
    <x v="2"/>
    <x v="0"/>
    <x v="2"/>
    <x v="3"/>
    <x v="147"/>
    <x v="1"/>
    <x v="0"/>
    <x v="3"/>
    <x v="0"/>
    <x v="0"/>
  </r>
  <r>
    <x v="468"/>
    <x v="0"/>
    <x v="0"/>
    <x v="59"/>
    <x v="180"/>
    <x v="1"/>
    <x v="1"/>
    <x v="2"/>
    <x v="0"/>
    <x v="0"/>
    <x v="0"/>
    <x v="0"/>
    <x v="0"/>
    <x v="0"/>
    <x v="0"/>
    <x v="0"/>
    <x v="142"/>
    <x v="201"/>
    <x v="5"/>
    <x v="0"/>
    <x v="4"/>
    <x v="0"/>
    <x v="0"/>
  </r>
  <r>
    <x v="469"/>
    <x v="1"/>
    <x v="3"/>
    <x v="5"/>
    <x v="181"/>
    <x v="2"/>
    <x v="2"/>
    <x v="2"/>
    <x v="3"/>
    <x v="3"/>
    <x v="3"/>
    <x v="0"/>
    <x v="2"/>
    <x v="2"/>
    <x v="0"/>
    <x v="2"/>
    <x v="141"/>
    <x v="200"/>
    <x v="3"/>
    <x v="0"/>
    <x v="0"/>
    <x v="0"/>
    <x v="0"/>
  </r>
  <r>
    <x v="470"/>
    <x v="1"/>
    <x v="1"/>
    <x v="6"/>
    <x v="182"/>
    <x v="1"/>
    <x v="0"/>
    <x v="2"/>
    <x v="1"/>
    <x v="1"/>
    <x v="1"/>
    <x v="0"/>
    <x v="1"/>
    <x v="1"/>
    <x v="0"/>
    <x v="1"/>
    <x v="134"/>
    <x v="191"/>
    <x v="6"/>
    <x v="0"/>
    <x v="1"/>
    <x v="0"/>
    <x v="0"/>
  </r>
  <r>
    <x v="471"/>
    <x v="1"/>
    <x v="0"/>
    <x v="2"/>
    <x v="183"/>
    <x v="3"/>
    <x v="2"/>
    <x v="0"/>
    <x v="0"/>
    <x v="0"/>
    <x v="0"/>
    <x v="0"/>
    <x v="0"/>
    <x v="0"/>
    <x v="0"/>
    <x v="0"/>
    <x v="187"/>
    <x v="267"/>
    <x v="0"/>
    <x v="0"/>
    <x v="1"/>
    <x v="0"/>
    <x v="0"/>
  </r>
  <r>
    <x v="472"/>
    <x v="2"/>
    <x v="1"/>
    <x v="60"/>
    <x v="184"/>
    <x v="1"/>
    <x v="1"/>
    <x v="2"/>
    <x v="1"/>
    <x v="1"/>
    <x v="1"/>
    <x v="0"/>
    <x v="1"/>
    <x v="1"/>
    <x v="0"/>
    <x v="1"/>
    <x v="126"/>
    <x v="178"/>
    <x v="2"/>
    <x v="0"/>
    <x v="0"/>
    <x v="0"/>
    <x v="0"/>
  </r>
  <r>
    <x v="473"/>
    <x v="1"/>
    <x v="5"/>
    <x v="8"/>
    <x v="185"/>
    <x v="4"/>
    <x v="2"/>
    <x v="3"/>
    <x v="5"/>
    <x v="5"/>
    <x v="5"/>
    <x v="1"/>
    <x v="1"/>
    <x v="1"/>
    <x v="0"/>
    <x v="1"/>
    <x v="135"/>
    <x v="192"/>
    <x v="5"/>
    <x v="0"/>
    <x v="2"/>
    <x v="3"/>
    <x v="3"/>
  </r>
  <r>
    <x v="474"/>
    <x v="1"/>
    <x v="3"/>
    <x v="5"/>
    <x v="151"/>
    <x v="1"/>
    <x v="0"/>
    <x v="1"/>
    <x v="3"/>
    <x v="3"/>
    <x v="3"/>
    <x v="0"/>
    <x v="2"/>
    <x v="2"/>
    <x v="0"/>
    <x v="2"/>
    <x v="116"/>
    <x v="268"/>
    <x v="4"/>
    <x v="0"/>
    <x v="4"/>
    <x v="0"/>
    <x v="0"/>
  </r>
  <r>
    <x v="475"/>
    <x v="0"/>
    <x v="2"/>
    <x v="61"/>
    <x v="101"/>
    <x v="1"/>
    <x v="3"/>
    <x v="3"/>
    <x v="2"/>
    <x v="2"/>
    <x v="2"/>
    <x v="1"/>
    <x v="2"/>
    <x v="2"/>
    <x v="0"/>
    <x v="2"/>
    <x v="188"/>
    <x v="269"/>
    <x v="5"/>
    <x v="0"/>
    <x v="2"/>
    <x v="1"/>
    <x v="1"/>
  </r>
  <r>
    <x v="476"/>
    <x v="2"/>
    <x v="1"/>
    <x v="62"/>
    <x v="110"/>
    <x v="1"/>
    <x v="0"/>
    <x v="0"/>
    <x v="1"/>
    <x v="1"/>
    <x v="1"/>
    <x v="0"/>
    <x v="1"/>
    <x v="1"/>
    <x v="0"/>
    <x v="1"/>
    <x v="189"/>
    <x v="270"/>
    <x v="1"/>
    <x v="0"/>
    <x v="1"/>
    <x v="0"/>
    <x v="0"/>
  </r>
  <r>
    <x v="477"/>
    <x v="1"/>
    <x v="3"/>
    <x v="5"/>
    <x v="175"/>
    <x v="1"/>
    <x v="7"/>
    <x v="0"/>
    <x v="3"/>
    <x v="3"/>
    <x v="3"/>
    <x v="0"/>
    <x v="2"/>
    <x v="2"/>
    <x v="0"/>
    <x v="2"/>
    <x v="97"/>
    <x v="157"/>
    <x v="5"/>
    <x v="0"/>
    <x v="1"/>
    <x v="0"/>
    <x v="0"/>
  </r>
  <r>
    <x v="478"/>
    <x v="1"/>
    <x v="3"/>
    <x v="5"/>
    <x v="74"/>
    <x v="2"/>
    <x v="2"/>
    <x v="0"/>
    <x v="3"/>
    <x v="3"/>
    <x v="3"/>
    <x v="0"/>
    <x v="2"/>
    <x v="2"/>
    <x v="0"/>
    <x v="2"/>
    <x v="190"/>
    <x v="271"/>
    <x v="4"/>
    <x v="0"/>
    <x v="2"/>
    <x v="0"/>
    <x v="0"/>
  </r>
  <r>
    <x v="479"/>
    <x v="1"/>
    <x v="1"/>
    <x v="6"/>
    <x v="186"/>
    <x v="1"/>
    <x v="1"/>
    <x v="1"/>
    <x v="1"/>
    <x v="1"/>
    <x v="1"/>
    <x v="0"/>
    <x v="1"/>
    <x v="1"/>
    <x v="0"/>
    <x v="1"/>
    <x v="191"/>
    <x v="272"/>
    <x v="2"/>
    <x v="0"/>
    <x v="3"/>
    <x v="0"/>
    <x v="0"/>
  </r>
  <r>
    <x v="480"/>
    <x v="1"/>
    <x v="5"/>
    <x v="8"/>
    <x v="187"/>
    <x v="2"/>
    <x v="2"/>
    <x v="1"/>
    <x v="5"/>
    <x v="5"/>
    <x v="5"/>
    <x v="1"/>
    <x v="1"/>
    <x v="1"/>
    <x v="0"/>
    <x v="1"/>
    <x v="19"/>
    <x v="273"/>
    <x v="3"/>
    <x v="0"/>
    <x v="0"/>
    <x v="3"/>
    <x v="3"/>
  </r>
  <r>
    <x v="481"/>
    <x v="1"/>
    <x v="4"/>
    <x v="9"/>
    <x v="104"/>
    <x v="1"/>
    <x v="17"/>
    <x v="1"/>
    <x v="4"/>
    <x v="4"/>
    <x v="4"/>
    <x v="1"/>
    <x v="0"/>
    <x v="0"/>
    <x v="0"/>
    <x v="0"/>
    <x v="116"/>
    <x v="268"/>
    <x v="4"/>
    <x v="0"/>
    <x v="4"/>
    <x v="2"/>
    <x v="2"/>
  </r>
  <r>
    <x v="482"/>
    <x v="1"/>
    <x v="2"/>
    <x v="4"/>
    <x v="37"/>
    <x v="1"/>
    <x v="22"/>
    <x v="0"/>
    <x v="2"/>
    <x v="2"/>
    <x v="2"/>
    <x v="1"/>
    <x v="2"/>
    <x v="2"/>
    <x v="0"/>
    <x v="2"/>
    <x v="48"/>
    <x v="274"/>
    <x v="2"/>
    <x v="0"/>
    <x v="0"/>
    <x v="1"/>
    <x v="1"/>
  </r>
  <r>
    <x v="483"/>
    <x v="0"/>
    <x v="5"/>
    <x v="63"/>
    <x v="78"/>
    <x v="1"/>
    <x v="6"/>
    <x v="1"/>
    <x v="5"/>
    <x v="5"/>
    <x v="5"/>
    <x v="1"/>
    <x v="1"/>
    <x v="1"/>
    <x v="0"/>
    <x v="1"/>
    <x v="192"/>
    <x v="275"/>
    <x v="0"/>
    <x v="0"/>
    <x v="1"/>
    <x v="3"/>
    <x v="3"/>
  </r>
  <r>
    <x v="484"/>
    <x v="1"/>
    <x v="5"/>
    <x v="8"/>
    <x v="188"/>
    <x v="2"/>
    <x v="2"/>
    <x v="3"/>
    <x v="5"/>
    <x v="5"/>
    <x v="5"/>
    <x v="1"/>
    <x v="1"/>
    <x v="1"/>
    <x v="0"/>
    <x v="1"/>
    <x v="132"/>
    <x v="276"/>
    <x v="2"/>
    <x v="0"/>
    <x v="4"/>
    <x v="3"/>
    <x v="3"/>
  </r>
  <r>
    <x v="485"/>
    <x v="1"/>
    <x v="3"/>
    <x v="5"/>
    <x v="144"/>
    <x v="0"/>
    <x v="0"/>
    <x v="2"/>
    <x v="3"/>
    <x v="3"/>
    <x v="3"/>
    <x v="0"/>
    <x v="2"/>
    <x v="2"/>
    <x v="0"/>
    <x v="2"/>
    <x v="101"/>
    <x v="143"/>
    <x v="2"/>
    <x v="0"/>
    <x v="4"/>
    <x v="0"/>
    <x v="0"/>
  </r>
  <r>
    <x v="486"/>
    <x v="1"/>
    <x v="5"/>
    <x v="8"/>
    <x v="183"/>
    <x v="2"/>
    <x v="2"/>
    <x v="0"/>
    <x v="5"/>
    <x v="5"/>
    <x v="5"/>
    <x v="1"/>
    <x v="1"/>
    <x v="1"/>
    <x v="0"/>
    <x v="1"/>
    <x v="193"/>
    <x v="277"/>
    <x v="0"/>
    <x v="0"/>
    <x v="3"/>
    <x v="3"/>
    <x v="3"/>
  </r>
  <r>
    <x v="487"/>
    <x v="2"/>
    <x v="5"/>
    <x v="64"/>
    <x v="189"/>
    <x v="2"/>
    <x v="2"/>
    <x v="0"/>
    <x v="5"/>
    <x v="5"/>
    <x v="5"/>
    <x v="1"/>
    <x v="1"/>
    <x v="1"/>
    <x v="0"/>
    <x v="1"/>
    <x v="176"/>
    <x v="278"/>
    <x v="2"/>
    <x v="0"/>
    <x v="1"/>
    <x v="3"/>
    <x v="3"/>
  </r>
  <r>
    <x v="488"/>
    <x v="0"/>
    <x v="2"/>
    <x v="65"/>
    <x v="190"/>
    <x v="1"/>
    <x v="5"/>
    <x v="3"/>
    <x v="2"/>
    <x v="2"/>
    <x v="2"/>
    <x v="1"/>
    <x v="2"/>
    <x v="2"/>
    <x v="0"/>
    <x v="2"/>
    <x v="194"/>
    <x v="279"/>
    <x v="5"/>
    <x v="0"/>
    <x v="4"/>
    <x v="1"/>
    <x v="1"/>
  </r>
  <r>
    <x v="489"/>
    <x v="1"/>
    <x v="5"/>
    <x v="8"/>
    <x v="58"/>
    <x v="1"/>
    <x v="8"/>
    <x v="1"/>
    <x v="5"/>
    <x v="5"/>
    <x v="5"/>
    <x v="1"/>
    <x v="1"/>
    <x v="1"/>
    <x v="0"/>
    <x v="1"/>
    <x v="149"/>
    <x v="280"/>
    <x v="0"/>
    <x v="0"/>
    <x v="1"/>
    <x v="3"/>
    <x v="3"/>
  </r>
  <r>
    <x v="490"/>
    <x v="2"/>
    <x v="0"/>
    <x v="66"/>
    <x v="44"/>
    <x v="1"/>
    <x v="1"/>
    <x v="3"/>
    <x v="0"/>
    <x v="0"/>
    <x v="0"/>
    <x v="0"/>
    <x v="0"/>
    <x v="0"/>
    <x v="0"/>
    <x v="0"/>
    <x v="93"/>
    <x v="281"/>
    <x v="4"/>
    <x v="0"/>
    <x v="3"/>
    <x v="0"/>
    <x v="0"/>
  </r>
  <r>
    <x v="491"/>
    <x v="1"/>
    <x v="1"/>
    <x v="6"/>
    <x v="28"/>
    <x v="3"/>
    <x v="2"/>
    <x v="2"/>
    <x v="1"/>
    <x v="1"/>
    <x v="1"/>
    <x v="0"/>
    <x v="1"/>
    <x v="1"/>
    <x v="0"/>
    <x v="1"/>
    <x v="88"/>
    <x v="282"/>
    <x v="4"/>
    <x v="0"/>
    <x v="0"/>
    <x v="0"/>
    <x v="0"/>
  </r>
  <r>
    <x v="492"/>
    <x v="1"/>
    <x v="5"/>
    <x v="8"/>
    <x v="191"/>
    <x v="2"/>
    <x v="2"/>
    <x v="3"/>
    <x v="5"/>
    <x v="5"/>
    <x v="5"/>
    <x v="1"/>
    <x v="1"/>
    <x v="1"/>
    <x v="0"/>
    <x v="1"/>
    <x v="155"/>
    <x v="283"/>
    <x v="1"/>
    <x v="0"/>
    <x v="2"/>
    <x v="3"/>
    <x v="3"/>
  </r>
  <r>
    <x v="493"/>
    <x v="1"/>
    <x v="1"/>
    <x v="6"/>
    <x v="192"/>
    <x v="4"/>
    <x v="2"/>
    <x v="1"/>
    <x v="1"/>
    <x v="1"/>
    <x v="1"/>
    <x v="0"/>
    <x v="1"/>
    <x v="1"/>
    <x v="0"/>
    <x v="1"/>
    <x v="167"/>
    <x v="284"/>
    <x v="5"/>
    <x v="0"/>
    <x v="3"/>
    <x v="0"/>
    <x v="0"/>
  </r>
  <r>
    <x v="494"/>
    <x v="1"/>
    <x v="0"/>
    <x v="2"/>
    <x v="193"/>
    <x v="1"/>
    <x v="1"/>
    <x v="0"/>
    <x v="0"/>
    <x v="0"/>
    <x v="0"/>
    <x v="0"/>
    <x v="0"/>
    <x v="0"/>
    <x v="0"/>
    <x v="0"/>
    <x v="195"/>
    <x v="285"/>
    <x v="4"/>
    <x v="0"/>
    <x v="1"/>
    <x v="0"/>
    <x v="0"/>
  </r>
  <r>
    <x v="495"/>
    <x v="1"/>
    <x v="3"/>
    <x v="5"/>
    <x v="130"/>
    <x v="1"/>
    <x v="0"/>
    <x v="0"/>
    <x v="3"/>
    <x v="3"/>
    <x v="3"/>
    <x v="0"/>
    <x v="2"/>
    <x v="2"/>
    <x v="0"/>
    <x v="2"/>
    <x v="196"/>
    <x v="286"/>
    <x v="3"/>
    <x v="0"/>
    <x v="3"/>
    <x v="0"/>
    <x v="0"/>
  </r>
  <r>
    <x v="496"/>
    <x v="1"/>
    <x v="0"/>
    <x v="2"/>
    <x v="194"/>
    <x v="2"/>
    <x v="2"/>
    <x v="0"/>
    <x v="0"/>
    <x v="0"/>
    <x v="0"/>
    <x v="0"/>
    <x v="0"/>
    <x v="0"/>
    <x v="0"/>
    <x v="0"/>
    <x v="197"/>
    <x v="287"/>
    <x v="2"/>
    <x v="0"/>
    <x v="1"/>
    <x v="0"/>
    <x v="0"/>
  </r>
  <r>
    <x v="497"/>
    <x v="1"/>
    <x v="5"/>
    <x v="8"/>
    <x v="102"/>
    <x v="1"/>
    <x v="6"/>
    <x v="1"/>
    <x v="5"/>
    <x v="5"/>
    <x v="5"/>
    <x v="1"/>
    <x v="1"/>
    <x v="1"/>
    <x v="0"/>
    <x v="1"/>
    <x v="6"/>
    <x v="288"/>
    <x v="2"/>
    <x v="0"/>
    <x v="4"/>
    <x v="3"/>
    <x v="3"/>
  </r>
  <r>
    <x v="498"/>
    <x v="2"/>
    <x v="3"/>
    <x v="67"/>
    <x v="195"/>
    <x v="1"/>
    <x v="1"/>
    <x v="3"/>
    <x v="3"/>
    <x v="3"/>
    <x v="3"/>
    <x v="0"/>
    <x v="2"/>
    <x v="2"/>
    <x v="0"/>
    <x v="2"/>
    <x v="137"/>
    <x v="289"/>
    <x v="4"/>
    <x v="0"/>
    <x v="2"/>
    <x v="0"/>
    <x v="0"/>
  </r>
  <r>
    <x v="499"/>
    <x v="0"/>
    <x v="2"/>
    <x v="68"/>
    <x v="196"/>
    <x v="1"/>
    <x v="11"/>
    <x v="0"/>
    <x v="2"/>
    <x v="2"/>
    <x v="2"/>
    <x v="1"/>
    <x v="2"/>
    <x v="2"/>
    <x v="0"/>
    <x v="2"/>
    <x v="78"/>
    <x v="233"/>
    <x v="0"/>
    <x v="0"/>
    <x v="3"/>
    <x v="1"/>
    <x v="1"/>
  </r>
  <r>
    <x v="500"/>
    <x v="0"/>
    <x v="4"/>
    <x v="35"/>
    <x v="43"/>
    <x v="2"/>
    <x v="2"/>
    <x v="1"/>
    <x v="4"/>
    <x v="4"/>
    <x v="4"/>
    <x v="1"/>
    <x v="0"/>
    <x v="0"/>
    <x v="0"/>
    <x v="0"/>
    <x v="141"/>
    <x v="290"/>
    <x v="1"/>
    <x v="0"/>
    <x v="3"/>
    <x v="2"/>
    <x v="2"/>
  </r>
  <r>
    <x v="501"/>
    <x v="1"/>
    <x v="2"/>
    <x v="4"/>
    <x v="194"/>
    <x v="1"/>
    <x v="4"/>
    <x v="3"/>
    <x v="2"/>
    <x v="2"/>
    <x v="2"/>
    <x v="1"/>
    <x v="2"/>
    <x v="2"/>
    <x v="0"/>
    <x v="2"/>
    <x v="198"/>
    <x v="291"/>
    <x v="5"/>
    <x v="0"/>
    <x v="3"/>
    <x v="1"/>
    <x v="1"/>
  </r>
  <r>
    <x v="502"/>
    <x v="1"/>
    <x v="4"/>
    <x v="9"/>
    <x v="21"/>
    <x v="0"/>
    <x v="7"/>
    <x v="0"/>
    <x v="4"/>
    <x v="4"/>
    <x v="4"/>
    <x v="1"/>
    <x v="0"/>
    <x v="0"/>
    <x v="0"/>
    <x v="0"/>
    <x v="199"/>
    <x v="292"/>
    <x v="1"/>
    <x v="0"/>
    <x v="4"/>
    <x v="2"/>
    <x v="2"/>
  </r>
  <r>
    <x v="503"/>
    <x v="2"/>
    <x v="4"/>
    <x v="7"/>
    <x v="165"/>
    <x v="1"/>
    <x v="14"/>
    <x v="0"/>
    <x v="4"/>
    <x v="4"/>
    <x v="4"/>
    <x v="1"/>
    <x v="0"/>
    <x v="0"/>
    <x v="0"/>
    <x v="0"/>
    <x v="29"/>
    <x v="153"/>
    <x v="3"/>
    <x v="0"/>
    <x v="0"/>
    <x v="2"/>
    <x v="2"/>
  </r>
  <r>
    <x v="504"/>
    <x v="2"/>
    <x v="4"/>
    <x v="69"/>
    <x v="15"/>
    <x v="1"/>
    <x v="9"/>
    <x v="1"/>
    <x v="4"/>
    <x v="4"/>
    <x v="4"/>
    <x v="1"/>
    <x v="0"/>
    <x v="0"/>
    <x v="0"/>
    <x v="0"/>
    <x v="200"/>
    <x v="293"/>
    <x v="5"/>
    <x v="0"/>
    <x v="4"/>
    <x v="2"/>
    <x v="2"/>
  </r>
  <r>
    <x v="505"/>
    <x v="1"/>
    <x v="5"/>
    <x v="8"/>
    <x v="172"/>
    <x v="1"/>
    <x v="8"/>
    <x v="0"/>
    <x v="5"/>
    <x v="5"/>
    <x v="5"/>
    <x v="1"/>
    <x v="1"/>
    <x v="1"/>
    <x v="0"/>
    <x v="1"/>
    <x v="104"/>
    <x v="294"/>
    <x v="4"/>
    <x v="0"/>
    <x v="4"/>
    <x v="3"/>
    <x v="3"/>
  </r>
  <r>
    <x v="506"/>
    <x v="1"/>
    <x v="1"/>
    <x v="6"/>
    <x v="121"/>
    <x v="0"/>
    <x v="14"/>
    <x v="0"/>
    <x v="1"/>
    <x v="1"/>
    <x v="1"/>
    <x v="0"/>
    <x v="1"/>
    <x v="1"/>
    <x v="0"/>
    <x v="1"/>
    <x v="184"/>
    <x v="262"/>
    <x v="0"/>
    <x v="0"/>
    <x v="2"/>
    <x v="0"/>
    <x v="0"/>
  </r>
  <r>
    <x v="507"/>
    <x v="1"/>
    <x v="2"/>
    <x v="4"/>
    <x v="197"/>
    <x v="1"/>
    <x v="4"/>
    <x v="2"/>
    <x v="2"/>
    <x v="2"/>
    <x v="2"/>
    <x v="1"/>
    <x v="2"/>
    <x v="2"/>
    <x v="0"/>
    <x v="2"/>
    <x v="132"/>
    <x v="185"/>
    <x v="5"/>
    <x v="0"/>
    <x v="1"/>
    <x v="1"/>
    <x v="1"/>
  </r>
  <r>
    <x v="508"/>
    <x v="1"/>
    <x v="2"/>
    <x v="4"/>
    <x v="198"/>
    <x v="2"/>
    <x v="2"/>
    <x v="1"/>
    <x v="2"/>
    <x v="2"/>
    <x v="2"/>
    <x v="1"/>
    <x v="2"/>
    <x v="2"/>
    <x v="0"/>
    <x v="2"/>
    <x v="141"/>
    <x v="290"/>
    <x v="1"/>
    <x v="0"/>
    <x v="3"/>
    <x v="1"/>
    <x v="1"/>
  </r>
  <r>
    <x v="509"/>
    <x v="1"/>
    <x v="4"/>
    <x v="9"/>
    <x v="170"/>
    <x v="2"/>
    <x v="2"/>
    <x v="0"/>
    <x v="4"/>
    <x v="4"/>
    <x v="4"/>
    <x v="1"/>
    <x v="0"/>
    <x v="0"/>
    <x v="0"/>
    <x v="0"/>
    <x v="97"/>
    <x v="157"/>
    <x v="5"/>
    <x v="0"/>
    <x v="1"/>
    <x v="2"/>
    <x v="2"/>
  </r>
  <r>
    <x v="510"/>
    <x v="1"/>
    <x v="1"/>
    <x v="6"/>
    <x v="199"/>
    <x v="1"/>
    <x v="17"/>
    <x v="0"/>
    <x v="1"/>
    <x v="1"/>
    <x v="1"/>
    <x v="0"/>
    <x v="1"/>
    <x v="1"/>
    <x v="0"/>
    <x v="1"/>
    <x v="201"/>
    <x v="295"/>
    <x v="4"/>
    <x v="0"/>
    <x v="1"/>
    <x v="0"/>
    <x v="0"/>
  </r>
  <r>
    <x v="511"/>
    <x v="1"/>
    <x v="5"/>
    <x v="8"/>
    <x v="139"/>
    <x v="1"/>
    <x v="8"/>
    <x v="0"/>
    <x v="5"/>
    <x v="5"/>
    <x v="5"/>
    <x v="1"/>
    <x v="1"/>
    <x v="1"/>
    <x v="0"/>
    <x v="1"/>
    <x v="202"/>
    <x v="296"/>
    <x v="1"/>
    <x v="0"/>
    <x v="3"/>
    <x v="3"/>
    <x v="3"/>
  </r>
  <r>
    <x v="512"/>
    <x v="1"/>
    <x v="3"/>
    <x v="5"/>
    <x v="20"/>
    <x v="1"/>
    <x v="1"/>
    <x v="0"/>
    <x v="3"/>
    <x v="3"/>
    <x v="3"/>
    <x v="0"/>
    <x v="2"/>
    <x v="2"/>
    <x v="0"/>
    <x v="2"/>
    <x v="18"/>
    <x v="297"/>
    <x v="0"/>
    <x v="0"/>
    <x v="0"/>
    <x v="0"/>
    <x v="0"/>
  </r>
  <r>
    <x v="513"/>
    <x v="2"/>
    <x v="2"/>
    <x v="70"/>
    <x v="11"/>
    <x v="1"/>
    <x v="19"/>
    <x v="0"/>
    <x v="2"/>
    <x v="2"/>
    <x v="2"/>
    <x v="1"/>
    <x v="2"/>
    <x v="2"/>
    <x v="0"/>
    <x v="2"/>
    <x v="4"/>
    <x v="207"/>
    <x v="3"/>
    <x v="0"/>
    <x v="4"/>
    <x v="1"/>
    <x v="1"/>
  </r>
  <r>
    <x v="514"/>
    <x v="1"/>
    <x v="0"/>
    <x v="2"/>
    <x v="200"/>
    <x v="1"/>
    <x v="0"/>
    <x v="1"/>
    <x v="0"/>
    <x v="0"/>
    <x v="0"/>
    <x v="0"/>
    <x v="0"/>
    <x v="0"/>
    <x v="0"/>
    <x v="0"/>
    <x v="203"/>
    <x v="298"/>
    <x v="0"/>
    <x v="0"/>
    <x v="3"/>
    <x v="0"/>
    <x v="0"/>
  </r>
  <r>
    <x v="515"/>
    <x v="1"/>
    <x v="3"/>
    <x v="5"/>
    <x v="201"/>
    <x v="1"/>
    <x v="0"/>
    <x v="2"/>
    <x v="3"/>
    <x v="3"/>
    <x v="3"/>
    <x v="0"/>
    <x v="2"/>
    <x v="2"/>
    <x v="0"/>
    <x v="2"/>
    <x v="204"/>
    <x v="299"/>
    <x v="1"/>
    <x v="0"/>
    <x v="3"/>
    <x v="0"/>
    <x v="0"/>
  </r>
  <r>
    <x v="516"/>
    <x v="0"/>
    <x v="4"/>
    <x v="71"/>
    <x v="202"/>
    <x v="1"/>
    <x v="9"/>
    <x v="0"/>
    <x v="4"/>
    <x v="4"/>
    <x v="4"/>
    <x v="1"/>
    <x v="0"/>
    <x v="0"/>
    <x v="0"/>
    <x v="0"/>
    <x v="114"/>
    <x v="163"/>
    <x v="5"/>
    <x v="0"/>
    <x v="4"/>
    <x v="2"/>
    <x v="2"/>
  </r>
  <r>
    <x v="517"/>
    <x v="2"/>
    <x v="1"/>
    <x v="72"/>
    <x v="203"/>
    <x v="1"/>
    <x v="1"/>
    <x v="2"/>
    <x v="1"/>
    <x v="1"/>
    <x v="1"/>
    <x v="0"/>
    <x v="1"/>
    <x v="1"/>
    <x v="0"/>
    <x v="1"/>
    <x v="134"/>
    <x v="191"/>
    <x v="6"/>
    <x v="0"/>
    <x v="1"/>
    <x v="0"/>
    <x v="0"/>
  </r>
  <r>
    <x v="518"/>
    <x v="0"/>
    <x v="2"/>
    <x v="38"/>
    <x v="204"/>
    <x v="2"/>
    <x v="2"/>
    <x v="3"/>
    <x v="2"/>
    <x v="2"/>
    <x v="2"/>
    <x v="1"/>
    <x v="2"/>
    <x v="2"/>
    <x v="0"/>
    <x v="2"/>
    <x v="193"/>
    <x v="277"/>
    <x v="0"/>
    <x v="0"/>
    <x v="3"/>
    <x v="1"/>
    <x v="1"/>
  </r>
  <r>
    <x v="519"/>
    <x v="1"/>
    <x v="5"/>
    <x v="8"/>
    <x v="205"/>
    <x v="3"/>
    <x v="2"/>
    <x v="3"/>
    <x v="5"/>
    <x v="5"/>
    <x v="5"/>
    <x v="1"/>
    <x v="1"/>
    <x v="1"/>
    <x v="0"/>
    <x v="1"/>
    <x v="157"/>
    <x v="222"/>
    <x v="1"/>
    <x v="0"/>
    <x v="4"/>
    <x v="3"/>
    <x v="3"/>
  </r>
  <r>
    <x v="520"/>
    <x v="1"/>
    <x v="3"/>
    <x v="5"/>
    <x v="43"/>
    <x v="1"/>
    <x v="1"/>
    <x v="0"/>
    <x v="3"/>
    <x v="3"/>
    <x v="3"/>
    <x v="0"/>
    <x v="2"/>
    <x v="2"/>
    <x v="0"/>
    <x v="2"/>
    <x v="69"/>
    <x v="300"/>
    <x v="2"/>
    <x v="0"/>
    <x v="2"/>
    <x v="0"/>
    <x v="0"/>
  </r>
  <r>
    <x v="521"/>
    <x v="2"/>
    <x v="4"/>
    <x v="73"/>
    <x v="206"/>
    <x v="3"/>
    <x v="2"/>
    <x v="3"/>
    <x v="4"/>
    <x v="4"/>
    <x v="4"/>
    <x v="1"/>
    <x v="0"/>
    <x v="0"/>
    <x v="0"/>
    <x v="0"/>
    <x v="134"/>
    <x v="301"/>
    <x v="0"/>
    <x v="0"/>
    <x v="3"/>
    <x v="2"/>
    <x v="2"/>
  </r>
  <r>
    <x v="522"/>
    <x v="0"/>
    <x v="2"/>
    <x v="74"/>
    <x v="207"/>
    <x v="1"/>
    <x v="12"/>
    <x v="0"/>
    <x v="2"/>
    <x v="2"/>
    <x v="2"/>
    <x v="1"/>
    <x v="2"/>
    <x v="2"/>
    <x v="0"/>
    <x v="2"/>
    <x v="162"/>
    <x v="302"/>
    <x v="6"/>
    <x v="0"/>
    <x v="2"/>
    <x v="1"/>
    <x v="1"/>
  </r>
  <r>
    <x v="523"/>
    <x v="2"/>
    <x v="0"/>
    <x v="75"/>
    <x v="151"/>
    <x v="2"/>
    <x v="2"/>
    <x v="2"/>
    <x v="0"/>
    <x v="0"/>
    <x v="0"/>
    <x v="0"/>
    <x v="0"/>
    <x v="0"/>
    <x v="0"/>
    <x v="0"/>
    <x v="138"/>
    <x v="196"/>
    <x v="3"/>
    <x v="0"/>
    <x v="1"/>
    <x v="0"/>
    <x v="0"/>
  </r>
  <r>
    <x v="524"/>
    <x v="1"/>
    <x v="0"/>
    <x v="2"/>
    <x v="205"/>
    <x v="4"/>
    <x v="2"/>
    <x v="0"/>
    <x v="0"/>
    <x v="0"/>
    <x v="0"/>
    <x v="0"/>
    <x v="0"/>
    <x v="0"/>
    <x v="0"/>
    <x v="0"/>
    <x v="205"/>
    <x v="303"/>
    <x v="1"/>
    <x v="0"/>
    <x v="3"/>
    <x v="0"/>
    <x v="0"/>
  </r>
  <r>
    <x v="525"/>
    <x v="2"/>
    <x v="5"/>
    <x v="76"/>
    <x v="158"/>
    <x v="0"/>
    <x v="3"/>
    <x v="2"/>
    <x v="5"/>
    <x v="5"/>
    <x v="5"/>
    <x v="1"/>
    <x v="1"/>
    <x v="1"/>
    <x v="0"/>
    <x v="1"/>
    <x v="169"/>
    <x v="239"/>
    <x v="3"/>
    <x v="0"/>
    <x v="3"/>
    <x v="3"/>
    <x v="3"/>
  </r>
  <r>
    <x v="526"/>
    <x v="1"/>
    <x v="4"/>
    <x v="9"/>
    <x v="208"/>
    <x v="2"/>
    <x v="2"/>
    <x v="2"/>
    <x v="4"/>
    <x v="4"/>
    <x v="4"/>
    <x v="1"/>
    <x v="0"/>
    <x v="0"/>
    <x v="0"/>
    <x v="0"/>
    <x v="18"/>
    <x v="304"/>
    <x v="1"/>
    <x v="0"/>
    <x v="4"/>
    <x v="2"/>
    <x v="2"/>
  </r>
  <r>
    <x v="527"/>
    <x v="0"/>
    <x v="2"/>
    <x v="77"/>
    <x v="54"/>
    <x v="1"/>
    <x v="4"/>
    <x v="1"/>
    <x v="2"/>
    <x v="2"/>
    <x v="2"/>
    <x v="1"/>
    <x v="2"/>
    <x v="2"/>
    <x v="0"/>
    <x v="2"/>
    <x v="101"/>
    <x v="143"/>
    <x v="2"/>
    <x v="0"/>
    <x v="4"/>
    <x v="1"/>
    <x v="1"/>
  </r>
  <r>
    <x v="528"/>
    <x v="0"/>
    <x v="5"/>
    <x v="78"/>
    <x v="20"/>
    <x v="2"/>
    <x v="2"/>
    <x v="3"/>
    <x v="5"/>
    <x v="5"/>
    <x v="5"/>
    <x v="1"/>
    <x v="1"/>
    <x v="1"/>
    <x v="0"/>
    <x v="1"/>
    <x v="162"/>
    <x v="302"/>
    <x v="6"/>
    <x v="0"/>
    <x v="2"/>
    <x v="3"/>
    <x v="3"/>
  </r>
  <r>
    <x v="529"/>
    <x v="1"/>
    <x v="4"/>
    <x v="9"/>
    <x v="209"/>
    <x v="2"/>
    <x v="2"/>
    <x v="3"/>
    <x v="4"/>
    <x v="4"/>
    <x v="4"/>
    <x v="1"/>
    <x v="0"/>
    <x v="0"/>
    <x v="0"/>
    <x v="0"/>
    <x v="206"/>
    <x v="305"/>
    <x v="5"/>
    <x v="0"/>
    <x v="3"/>
    <x v="2"/>
    <x v="2"/>
  </r>
  <r>
    <x v="530"/>
    <x v="2"/>
    <x v="4"/>
    <x v="79"/>
    <x v="111"/>
    <x v="2"/>
    <x v="2"/>
    <x v="2"/>
    <x v="4"/>
    <x v="4"/>
    <x v="4"/>
    <x v="1"/>
    <x v="0"/>
    <x v="0"/>
    <x v="0"/>
    <x v="0"/>
    <x v="207"/>
    <x v="306"/>
    <x v="2"/>
    <x v="0"/>
    <x v="4"/>
    <x v="2"/>
    <x v="2"/>
  </r>
  <r>
    <x v="531"/>
    <x v="2"/>
    <x v="4"/>
    <x v="80"/>
    <x v="138"/>
    <x v="1"/>
    <x v="9"/>
    <x v="2"/>
    <x v="4"/>
    <x v="4"/>
    <x v="4"/>
    <x v="1"/>
    <x v="0"/>
    <x v="0"/>
    <x v="0"/>
    <x v="0"/>
    <x v="21"/>
    <x v="307"/>
    <x v="4"/>
    <x v="0"/>
    <x v="3"/>
    <x v="2"/>
    <x v="2"/>
  </r>
  <r>
    <x v="532"/>
    <x v="1"/>
    <x v="1"/>
    <x v="6"/>
    <x v="210"/>
    <x v="2"/>
    <x v="2"/>
    <x v="1"/>
    <x v="1"/>
    <x v="1"/>
    <x v="1"/>
    <x v="0"/>
    <x v="1"/>
    <x v="1"/>
    <x v="0"/>
    <x v="1"/>
    <x v="208"/>
    <x v="308"/>
    <x v="5"/>
    <x v="0"/>
    <x v="4"/>
    <x v="0"/>
    <x v="0"/>
  </r>
  <r>
    <x v="533"/>
    <x v="1"/>
    <x v="2"/>
    <x v="4"/>
    <x v="179"/>
    <x v="1"/>
    <x v="5"/>
    <x v="1"/>
    <x v="2"/>
    <x v="2"/>
    <x v="2"/>
    <x v="1"/>
    <x v="2"/>
    <x v="2"/>
    <x v="0"/>
    <x v="2"/>
    <x v="209"/>
    <x v="309"/>
    <x v="5"/>
    <x v="0"/>
    <x v="0"/>
    <x v="1"/>
    <x v="1"/>
  </r>
  <r>
    <x v="534"/>
    <x v="1"/>
    <x v="3"/>
    <x v="5"/>
    <x v="211"/>
    <x v="2"/>
    <x v="2"/>
    <x v="2"/>
    <x v="3"/>
    <x v="3"/>
    <x v="3"/>
    <x v="0"/>
    <x v="2"/>
    <x v="2"/>
    <x v="0"/>
    <x v="2"/>
    <x v="210"/>
    <x v="310"/>
    <x v="0"/>
    <x v="0"/>
    <x v="2"/>
    <x v="0"/>
    <x v="0"/>
  </r>
  <r>
    <x v="535"/>
    <x v="1"/>
    <x v="5"/>
    <x v="8"/>
    <x v="212"/>
    <x v="2"/>
    <x v="2"/>
    <x v="3"/>
    <x v="5"/>
    <x v="5"/>
    <x v="5"/>
    <x v="1"/>
    <x v="1"/>
    <x v="1"/>
    <x v="0"/>
    <x v="1"/>
    <x v="211"/>
    <x v="311"/>
    <x v="5"/>
    <x v="0"/>
    <x v="2"/>
    <x v="3"/>
    <x v="3"/>
  </r>
  <r>
    <x v="536"/>
    <x v="1"/>
    <x v="4"/>
    <x v="9"/>
    <x v="149"/>
    <x v="2"/>
    <x v="2"/>
    <x v="1"/>
    <x v="4"/>
    <x v="4"/>
    <x v="4"/>
    <x v="1"/>
    <x v="0"/>
    <x v="0"/>
    <x v="0"/>
    <x v="0"/>
    <x v="130"/>
    <x v="183"/>
    <x v="5"/>
    <x v="0"/>
    <x v="0"/>
    <x v="2"/>
    <x v="2"/>
  </r>
  <r>
    <x v="537"/>
    <x v="2"/>
    <x v="4"/>
    <x v="79"/>
    <x v="213"/>
    <x v="1"/>
    <x v="17"/>
    <x v="2"/>
    <x v="4"/>
    <x v="4"/>
    <x v="4"/>
    <x v="1"/>
    <x v="0"/>
    <x v="0"/>
    <x v="0"/>
    <x v="0"/>
    <x v="166"/>
    <x v="235"/>
    <x v="5"/>
    <x v="0"/>
    <x v="2"/>
    <x v="2"/>
    <x v="2"/>
  </r>
  <r>
    <x v="538"/>
    <x v="1"/>
    <x v="0"/>
    <x v="2"/>
    <x v="123"/>
    <x v="1"/>
    <x v="0"/>
    <x v="2"/>
    <x v="0"/>
    <x v="0"/>
    <x v="0"/>
    <x v="0"/>
    <x v="0"/>
    <x v="0"/>
    <x v="0"/>
    <x v="0"/>
    <x v="212"/>
    <x v="312"/>
    <x v="4"/>
    <x v="0"/>
    <x v="1"/>
    <x v="0"/>
    <x v="0"/>
  </r>
  <r>
    <x v="539"/>
    <x v="1"/>
    <x v="1"/>
    <x v="6"/>
    <x v="214"/>
    <x v="4"/>
    <x v="2"/>
    <x v="3"/>
    <x v="1"/>
    <x v="1"/>
    <x v="1"/>
    <x v="0"/>
    <x v="1"/>
    <x v="1"/>
    <x v="0"/>
    <x v="1"/>
    <x v="144"/>
    <x v="313"/>
    <x v="2"/>
    <x v="0"/>
    <x v="2"/>
    <x v="0"/>
    <x v="0"/>
  </r>
  <r>
    <x v="540"/>
    <x v="0"/>
    <x v="4"/>
    <x v="81"/>
    <x v="215"/>
    <x v="0"/>
    <x v="9"/>
    <x v="3"/>
    <x v="4"/>
    <x v="4"/>
    <x v="4"/>
    <x v="1"/>
    <x v="0"/>
    <x v="0"/>
    <x v="0"/>
    <x v="0"/>
    <x v="213"/>
    <x v="314"/>
    <x v="1"/>
    <x v="0"/>
    <x v="1"/>
    <x v="2"/>
    <x v="2"/>
  </r>
  <r>
    <x v="541"/>
    <x v="1"/>
    <x v="3"/>
    <x v="5"/>
    <x v="216"/>
    <x v="1"/>
    <x v="1"/>
    <x v="0"/>
    <x v="3"/>
    <x v="3"/>
    <x v="3"/>
    <x v="0"/>
    <x v="2"/>
    <x v="2"/>
    <x v="0"/>
    <x v="2"/>
    <x v="93"/>
    <x v="315"/>
    <x v="3"/>
    <x v="0"/>
    <x v="3"/>
    <x v="0"/>
    <x v="0"/>
  </r>
  <r>
    <x v="542"/>
    <x v="1"/>
    <x v="2"/>
    <x v="4"/>
    <x v="217"/>
    <x v="1"/>
    <x v="23"/>
    <x v="2"/>
    <x v="2"/>
    <x v="2"/>
    <x v="2"/>
    <x v="1"/>
    <x v="2"/>
    <x v="2"/>
    <x v="0"/>
    <x v="2"/>
    <x v="214"/>
    <x v="316"/>
    <x v="0"/>
    <x v="0"/>
    <x v="2"/>
    <x v="1"/>
    <x v="1"/>
  </r>
  <r>
    <x v="543"/>
    <x v="0"/>
    <x v="4"/>
    <x v="82"/>
    <x v="218"/>
    <x v="1"/>
    <x v="9"/>
    <x v="3"/>
    <x v="4"/>
    <x v="4"/>
    <x v="4"/>
    <x v="1"/>
    <x v="0"/>
    <x v="0"/>
    <x v="0"/>
    <x v="0"/>
    <x v="116"/>
    <x v="165"/>
    <x v="0"/>
    <x v="0"/>
    <x v="4"/>
    <x v="2"/>
    <x v="2"/>
  </r>
  <r>
    <x v="544"/>
    <x v="1"/>
    <x v="2"/>
    <x v="4"/>
    <x v="88"/>
    <x v="1"/>
    <x v="5"/>
    <x v="2"/>
    <x v="2"/>
    <x v="2"/>
    <x v="2"/>
    <x v="1"/>
    <x v="2"/>
    <x v="2"/>
    <x v="0"/>
    <x v="2"/>
    <x v="17"/>
    <x v="160"/>
    <x v="4"/>
    <x v="0"/>
    <x v="1"/>
    <x v="1"/>
    <x v="1"/>
  </r>
  <r>
    <x v="545"/>
    <x v="1"/>
    <x v="4"/>
    <x v="9"/>
    <x v="167"/>
    <x v="1"/>
    <x v="17"/>
    <x v="1"/>
    <x v="4"/>
    <x v="4"/>
    <x v="4"/>
    <x v="1"/>
    <x v="0"/>
    <x v="0"/>
    <x v="0"/>
    <x v="0"/>
    <x v="215"/>
    <x v="317"/>
    <x v="1"/>
    <x v="0"/>
    <x v="2"/>
    <x v="2"/>
    <x v="2"/>
  </r>
  <r>
    <x v="546"/>
    <x v="1"/>
    <x v="3"/>
    <x v="5"/>
    <x v="99"/>
    <x v="1"/>
    <x v="0"/>
    <x v="3"/>
    <x v="3"/>
    <x v="3"/>
    <x v="3"/>
    <x v="0"/>
    <x v="2"/>
    <x v="2"/>
    <x v="0"/>
    <x v="2"/>
    <x v="190"/>
    <x v="318"/>
    <x v="2"/>
    <x v="0"/>
    <x v="4"/>
    <x v="0"/>
    <x v="0"/>
  </r>
  <r>
    <x v="547"/>
    <x v="1"/>
    <x v="4"/>
    <x v="9"/>
    <x v="219"/>
    <x v="0"/>
    <x v="9"/>
    <x v="0"/>
    <x v="4"/>
    <x v="4"/>
    <x v="4"/>
    <x v="1"/>
    <x v="0"/>
    <x v="0"/>
    <x v="0"/>
    <x v="0"/>
    <x v="3"/>
    <x v="147"/>
    <x v="1"/>
    <x v="0"/>
    <x v="3"/>
    <x v="2"/>
    <x v="2"/>
  </r>
  <r>
    <x v="548"/>
    <x v="0"/>
    <x v="2"/>
    <x v="83"/>
    <x v="147"/>
    <x v="1"/>
    <x v="12"/>
    <x v="0"/>
    <x v="2"/>
    <x v="2"/>
    <x v="2"/>
    <x v="1"/>
    <x v="2"/>
    <x v="2"/>
    <x v="0"/>
    <x v="2"/>
    <x v="191"/>
    <x v="272"/>
    <x v="2"/>
    <x v="0"/>
    <x v="3"/>
    <x v="1"/>
    <x v="1"/>
  </r>
  <r>
    <x v="549"/>
    <x v="1"/>
    <x v="4"/>
    <x v="9"/>
    <x v="55"/>
    <x v="1"/>
    <x v="14"/>
    <x v="0"/>
    <x v="4"/>
    <x v="4"/>
    <x v="4"/>
    <x v="1"/>
    <x v="0"/>
    <x v="0"/>
    <x v="0"/>
    <x v="0"/>
    <x v="216"/>
    <x v="319"/>
    <x v="0"/>
    <x v="0"/>
    <x v="2"/>
    <x v="2"/>
    <x v="2"/>
  </r>
  <r>
    <x v="550"/>
    <x v="0"/>
    <x v="0"/>
    <x v="84"/>
    <x v="220"/>
    <x v="2"/>
    <x v="2"/>
    <x v="3"/>
    <x v="0"/>
    <x v="0"/>
    <x v="0"/>
    <x v="0"/>
    <x v="0"/>
    <x v="0"/>
    <x v="0"/>
    <x v="0"/>
    <x v="32"/>
    <x v="189"/>
    <x v="4"/>
    <x v="0"/>
    <x v="2"/>
    <x v="0"/>
    <x v="0"/>
  </r>
  <r>
    <x v="551"/>
    <x v="1"/>
    <x v="5"/>
    <x v="8"/>
    <x v="221"/>
    <x v="4"/>
    <x v="2"/>
    <x v="0"/>
    <x v="5"/>
    <x v="5"/>
    <x v="5"/>
    <x v="1"/>
    <x v="1"/>
    <x v="1"/>
    <x v="0"/>
    <x v="1"/>
    <x v="217"/>
    <x v="320"/>
    <x v="2"/>
    <x v="0"/>
    <x v="3"/>
    <x v="3"/>
    <x v="3"/>
  </r>
  <r>
    <x v="552"/>
    <x v="2"/>
    <x v="4"/>
    <x v="85"/>
    <x v="222"/>
    <x v="1"/>
    <x v="14"/>
    <x v="3"/>
    <x v="4"/>
    <x v="4"/>
    <x v="4"/>
    <x v="1"/>
    <x v="0"/>
    <x v="0"/>
    <x v="0"/>
    <x v="0"/>
    <x v="81"/>
    <x v="249"/>
    <x v="1"/>
    <x v="0"/>
    <x v="3"/>
    <x v="2"/>
    <x v="2"/>
  </r>
  <r>
    <x v="553"/>
    <x v="1"/>
    <x v="3"/>
    <x v="5"/>
    <x v="223"/>
    <x v="1"/>
    <x v="9"/>
    <x v="2"/>
    <x v="3"/>
    <x v="3"/>
    <x v="3"/>
    <x v="0"/>
    <x v="2"/>
    <x v="2"/>
    <x v="0"/>
    <x v="2"/>
    <x v="218"/>
    <x v="321"/>
    <x v="3"/>
    <x v="0"/>
    <x v="4"/>
    <x v="0"/>
    <x v="0"/>
  </r>
  <r>
    <x v="554"/>
    <x v="1"/>
    <x v="0"/>
    <x v="2"/>
    <x v="150"/>
    <x v="1"/>
    <x v="0"/>
    <x v="1"/>
    <x v="0"/>
    <x v="0"/>
    <x v="0"/>
    <x v="0"/>
    <x v="0"/>
    <x v="0"/>
    <x v="0"/>
    <x v="0"/>
    <x v="219"/>
    <x v="322"/>
    <x v="1"/>
    <x v="0"/>
    <x v="3"/>
    <x v="0"/>
    <x v="0"/>
  </r>
  <r>
    <x v="555"/>
    <x v="1"/>
    <x v="3"/>
    <x v="5"/>
    <x v="224"/>
    <x v="1"/>
    <x v="7"/>
    <x v="3"/>
    <x v="3"/>
    <x v="3"/>
    <x v="3"/>
    <x v="0"/>
    <x v="2"/>
    <x v="2"/>
    <x v="0"/>
    <x v="2"/>
    <x v="202"/>
    <x v="296"/>
    <x v="1"/>
    <x v="0"/>
    <x v="3"/>
    <x v="0"/>
    <x v="0"/>
  </r>
  <r>
    <x v="556"/>
    <x v="1"/>
    <x v="3"/>
    <x v="5"/>
    <x v="225"/>
    <x v="3"/>
    <x v="2"/>
    <x v="3"/>
    <x v="3"/>
    <x v="3"/>
    <x v="3"/>
    <x v="0"/>
    <x v="2"/>
    <x v="2"/>
    <x v="0"/>
    <x v="2"/>
    <x v="65"/>
    <x v="323"/>
    <x v="0"/>
    <x v="0"/>
    <x v="4"/>
    <x v="0"/>
    <x v="0"/>
  </r>
  <r>
    <x v="557"/>
    <x v="1"/>
    <x v="1"/>
    <x v="6"/>
    <x v="226"/>
    <x v="2"/>
    <x v="2"/>
    <x v="2"/>
    <x v="1"/>
    <x v="1"/>
    <x v="1"/>
    <x v="0"/>
    <x v="1"/>
    <x v="1"/>
    <x v="0"/>
    <x v="1"/>
    <x v="212"/>
    <x v="312"/>
    <x v="4"/>
    <x v="0"/>
    <x v="1"/>
    <x v="0"/>
    <x v="0"/>
  </r>
  <r>
    <x v="558"/>
    <x v="1"/>
    <x v="1"/>
    <x v="6"/>
    <x v="147"/>
    <x v="2"/>
    <x v="2"/>
    <x v="2"/>
    <x v="1"/>
    <x v="1"/>
    <x v="1"/>
    <x v="0"/>
    <x v="1"/>
    <x v="1"/>
    <x v="0"/>
    <x v="1"/>
    <x v="105"/>
    <x v="148"/>
    <x v="0"/>
    <x v="0"/>
    <x v="4"/>
    <x v="0"/>
    <x v="0"/>
  </r>
  <r>
    <x v="559"/>
    <x v="1"/>
    <x v="0"/>
    <x v="2"/>
    <x v="159"/>
    <x v="4"/>
    <x v="2"/>
    <x v="0"/>
    <x v="0"/>
    <x v="0"/>
    <x v="0"/>
    <x v="0"/>
    <x v="0"/>
    <x v="0"/>
    <x v="0"/>
    <x v="0"/>
    <x v="136"/>
    <x v="194"/>
    <x v="5"/>
    <x v="0"/>
    <x v="2"/>
    <x v="0"/>
    <x v="0"/>
  </r>
  <r>
    <x v="560"/>
    <x v="1"/>
    <x v="3"/>
    <x v="5"/>
    <x v="227"/>
    <x v="1"/>
    <x v="0"/>
    <x v="2"/>
    <x v="3"/>
    <x v="3"/>
    <x v="3"/>
    <x v="0"/>
    <x v="2"/>
    <x v="2"/>
    <x v="0"/>
    <x v="2"/>
    <x v="220"/>
    <x v="324"/>
    <x v="2"/>
    <x v="0"/>
    <x v="1"/>
    <x v="0"/>
    <x v="0"/>
  </r>
  <r>
    <x v="561"/>
    <x v="2"/>
    <x v="5"/>
    <x v="86"/>
    <x v="135"/>
    <x v="1"/>
    <x v="13"/>
    <x v="2"/>
    <x v="5"/>
    <x v="5"/>
    <x v="5"/>
    <x v="1"/>
    <x v="1"/>
    <x v="1"/>
    <x v="0"/>
    <x v="1"/>
    <x v="221"/>
    <x v="325"/>
    <x v="3"/>
    <x v="0"/>
    <x v="3"/>
    <x v="3"/>
    <x v="3"/>
  </r>
  <r>
    <x v="562"/>
    <x v="1"/>
    <x v="5"/>
    <x v="8"/>
    <x v="228"/>
    <x v="1"/>
    <x v="13"/>
    <x v="3"/>
    <x v="5"/>
    <x v="5"/>
    <x v="5"/>
    <x v="1"/>
    <x v="1"/>
    <x v="1"/>
    <x v="0"/>
    <x v="1"/>
    <x v="134"/>
    <x v="326"/>
    <x v="3"/>
    <x v="0"/>
    <x v="4"/>
    <x v="3"/>
    <x v="3"/>
  </r>
  <r>
    <x v="563"/>
    <x v="2"/>
    <x v="3"/>
    <x v="87"/>
    <x v="229"/>
    <x v="2"/>
    <x v="2"/>
    <x v="1"/>
    <x v="3"/>
    <x v="3"/>
    <x v="3"/>
    <x v="0"/>
    <x v="2"/>
    <x v="2"/>
    <x v="0"/>
    <x v="2"/>
    <x v="222"/>
    <x v="327"/>
    <x v="2"/>
    <x v="0"/>
    <x v="0"/>
    <x v="0"/>
    <x v="0"/>
  </r>
  <r>
    <x v="564"/>
    <x v="1"/>
    <x v="5"/>
    <x v="8"/>
    <x v="230"/>
    <x v="2"/>
    <x v="2"/>
    <x v="3"/>
    <x v="5"/>
    <x v="5"/>
    <x v="5"/>
    <x v="1"/>
    <x v="1"/>
    <x v="1"/>
    <x v="0"/>
    <x v="1"/>
    <x v="127"/>
    <x v="328"/>
    <x v="1"/>
    <x v="0"/>
    <x v="0"/>
    <x v="3"/>
    <x v="3"/>
  </r>
  <r>
    <x v="565"/>
    <x v="1"/>
    <x v="5"/>
    <x v="8"/>
    <x v="88"/>
    <x v="2"/>
    <x v="2"/>
    <x v="1"/>
    <x v="5"/>
    <x v="5"/>
    <x v="5"/>
    <x v="1"/>
    <x v="1"/>
    <x v="1"/>
    <x v="0"/>
    <x v="1"/>
    <x v="223"/>
    <x v="329"/>
    <x v="4"/>
    <x v="0"/>
    <x v="1"/>
    <x v="3"/>
    <x v="3"/>
  </r>
  <r>
    <x v="566"/>
    <x v="1"/>
    <x v="2"/>
    <x v="4"/>
    <x v="160"/>
    <x v="1"/>
    <x v="4"/>
    <x v="0"/>
    <x v="2"/>
    <x v="2"/>
    <x v="2"/>
    <x v="1"/>
    <x v="2"/>
    <x v="2"/>
    <x v="0"/>
    <x v="2"/>
    <x v="224"/>
    <x v="330"/>
    <x v="3"/>
    <x v="0"/>
    <x v="2"/>
    <x v="1"/>
    <x v="1"/>
  </r>
  <r>
    <x v="567"/>
    <x v="1"/>
    <x v="4"/>
    <x v="9"/>
    <x v="231"/>
    <x v="1"/>
    <x v="17"/>
    <x v="3"/>
    <x v="4"/>
    <x v="4"/>
    <x v="4"/>
    <x v="1"/>
    <x v="0"/>
    <x v="0"/>
    <x v="0"/>
    <x v="0"/>
    <x v="225"/>
    <x v="331"/>
    <x v="5"/>
    <x v="0"/>
    <x v="4"/>
    <x v="2"/>
    <x v="2"/>
  </r>
  <r>
    <x v="568"/>
    <x v="1"/>
    <x v="3"/>
    <x v="5"/>
    <x v="232"/>
    <x v="2"/>
    <x v="2"/>
    <x v="1"/>
    <x v="3"/>
    <x v="3"/>
    <x v="3"/>
    <x v="0"/>
    <x v="2"/>
    <x v="2"/>
    <x v="0"/>
    <x v="2"/>
    <x v="145"/>
    <x v="332"/>
    <x v="4"/>
    <x v="0"/>
    <x v="2"/>
    <x v="0"/>
    <x v="0"/>
  </r>
  <r>
    <x v="569"/>
    <x v="1"/>
    <x v="2"/>
    <x v="4"/>
    <x v="35"/>
    <x v="2"/>
    <x v="2"/>
    <x v="3"/>
    <x v="2"/>
    <x v="2"/>
    <x v="2"/>
    <x v="1"/>
    <x v="2"/>
    <x v="2"/>
    <x v="0"/>
    <x v="2"/>
    <x v="165"/>
    <x v="234"/>
    <x v="1"/>
    <x v="0"/>
    <x v="4"/>
    <x v="1"/>
    <x v="1"/>
  </r>
  <r>
    <x v="570"/>
    <x v="1"/>
    <x v="4"/>
    <x v="9"/>
    <x v="102"/>
    <x v="4"/>
    <x v="2"/>
    <x v="3"/>
    <x v="4"/>
    <x v="4"/>
    <x v="4"/>
    <x v="1"/>
    <x v="0"/>
    <x v="0"/>
    <x v="0"/>
    <x v="0"/>
    <x v="171"/>
    <x v="241"/>
    <x v="3"/>
    <x v="0"/>
    <x v="2"/>
    <x v="2"/>
    <x v="2"/>
  </r>
  <r>
    <x v="571"/>
    <x v="2"/>
    <x v="0"/>
    <x v="88"/>
    <x v="233"/>
    <x v="1"/>
    <x v="0"/>
    <x v="3"/>
    <x v="0"/>
    <x v="0"/>
    <x v="0"/>
    <x v="0"/>
    <x v="0"/>
    <x v="0"/>
    <x v="0"/>
    <x v="0"/>
    <x v="187"/>
    <x v="267"/>
    <x v="0"/>
    <x v="0"/>
    <x v="1"/>
    <x v="0"/>
    <x v="0"/>
  </r>
  <r>
    <x v="572"/>
    <x v="0"/>
    <x v="0"/>
    <x v="89"/>
    <x v="234"/>
    <x v="2"/>
    <x v="2"/>
    <x v="0"/>
    <x v="0"/>
    <x v="0"/>
    <x v="0"/>
    <x v="0"/>
    <x v="0"/>
    <x v="0"/>
    <x v="0"/>
    <x v="0"/>
    <x v="213"/>
    <x v="333"/>
    <x v="1"/>
    <x v="0"/>
    <x v="0"/>
    <x v="0"/>
    <x v="0"/>
  </r>
  <r>
    <x v="573"/>
    <x v="0"/>
    <x v="3"/>
    <x v="90"/>
    <x v="235"/>
    <x v="1"/>
    <x v="0"/>
    <x v="1"/>
    <x v="3"/>
    <x v="3"/>
    <x v="3"/>
    <x v="0"/>
    <x v="2"/>
    <x v="2"/>
    <x v="0"/>
    <x v="2"/>
    <x v="76"/>
    <x v="334"/>
    <x v="2"/>
    <x v="0"/>
    <x v="1"/>
    <x v="0"/>
    <x v="0"/>
  </r>
  <r>
    <x v="574"/>
    <x v="1"/>
    <x v="2"/>
    <x v="4"/>
    <x v="6"/>
    <x v="1"/>
    <x v="19"/>
    <x v="1"/>
    <x v="2"/>
    <x v="2"/>
    <x v="2"/>
    <x v="1"/>
    <x v="2"/>
    <x v="2"/>
    <x v="0"/>
    <x v="2"/>
    <x v="122"/>
    <x v="174"/>
    <x v="3"/>
    <x v="0"/>
    <x v="1"/>
    <x v="1"/>
    <x v="1"/>
  </r>
  <r>
    <x v="575"/>
    <x v="0"/>
    <x v="4"/>
    <x v="91"/>
    <x v="127"/>
    <x v="4"/>
    <x v="2"/>
    <x v="2"/>
    <x v="4"/>
    <x v="4"/>
    <x v="4"/>
    <x v="1"/>
    <x v="0"/>
    <x v="0"/>
    <x v="0"/>
    <x v="0"/>
    <x v="197"/>
    <x v="287"/>
    <x v="2"/>
    <x v="0"/>
    <x v="1"/>
    <x v="2"/>
    <x v="2"/>
  </r>
  <r>
    <x v="576"/>
    <x v="1"/>
    <x v="5"/>
    <x v="8"/>
    <x v="110"/>
    <x v="3"/>
    <x v="2"/>
    <x v="1"/>
    <x v="5"/>
    <x v="5"/>
    <x v="5"/>
    <x v="1"/>
    <x v="1"/>
    <x v="1"/>
    <x v="0"/>
    <x v="1"/>
    <x v="213"/>
    <x v="335"/>
    <x v="3"/>
    <x v="0"/>
    <x v="0"/>
    <x v="3"/>
    <x v="3"/>
  </r>
  <r>
    <x v="577"/>
    <x v="1"/>
    <x v="0"/>
    <x v="2"/>
    <x v="53"/>
    <x v="4"/>
    <x v="2"/>
    <x v="0"/>
    <x v="0"/>
    <x v="0"/>
    <x v="0"/>
    <x v="0"/>
    <x v="0"/>
    <x v="0"/>
    <x v="0"/>
    <x v="0"/>
    <x v="107"/>
    <x v="150"/>
    <x v="5"/>
    <x v="0"/>
    <x v="1"/>
    <x v="0"/>
    <x v="0"/>
  </r>
  <r>
    <x v="578"/>
    <x v="2"/>
    <x v="4"/>
    <x v="92"/>
    <x v="172"/>
    <x v="1"/>
    <x v="17"/>
    <x v="0"/>
    <x v="4"/>
    <x v="4"/>
    <x v="4"/>
    <x v="1"/>
    <x v="0"/>
    <x v="0"/>
    <x v="0"/>
    <x v="0"/>
    <x v="127"/>
    <x v="180"/>
    <x v="3"/>
    <x v="0"/>
    <x v="0"/>
    <x v="2"/>
    <x v="2"/>
  </r>
  <r>
    <x v="579"/>
    <x v="1"/>
    <x v="1"/>
    <x v="6"/>
    <x v="236"/>
    <x v="2"/>
    <x v="2"/>
    <x v="1"/>
    <x v="1"/>
    <x v="1"/>
    <x v="1"/>
    <x v="0"/>
    <x v="1"/>
    <x v="1"/>
    <x v="0"/>
    <x v="1"/>
    <x v="169"/>
    <x v="239"/>
    <x v="3"/>
    <x v="0"/>
    <x v="3"/>
    <x v="0"/>
    <x v="0"/>
  </r>
  <r>
    <x v="580"/>
    <x v="1"/>
    <x v="4"/>
    <x v="9"/>
    <x v="151"/>
    <x v="1"/>
    <x v="9"/>
    <x v="1"/>
    <x v="4"/>
    <x v="4"/>
    <x v="4"/>
    <x v="1"/>
    <x v="0"/>
    <x v="0"/>
    <x v="0"/>
    <x v="0"/>
    <x v="122"/>
    <x v="174"/>
    <x v="3"/>
    <x v="0"/>
    <x v="1"/>
    <x v="2"/>
    <x v="2"/>
  </r>
  <r>
    <x v="581"/>
    <x v="2"/>
    <x v="5"/>
    <x v="93"/>
    <x v="237"/>
    <x v="0"/>
    <x v="10"/>
    <x v="1"/>
    <x v="5"/>
    <x v="5"/>
    <x v="5"/>
    <x v="1"/>
    <x v="1"/>
    <x v="1"/>
    <x v="0"/>
    <x v="1"/>
    <x v="226"/>
    <x v="336"/>
    <x v="1"/>
    <x v="0"/>
    <x v="0"/>
    <x v="3"/>
    <x v="3"/>
  </r>
  <r>
    <x v="582"/>
    <x v="2"/>
    <x v="0"/>
    <x v="94"/>
    <x v="238"/>
    <x v="3"/>
    <x v="2"/>
    <x v="1"/>
    <x v="0"/>
    <x v="0"/>
    <x v="0"/>
    <x v="0"/>
    <x v="0"/>
    <x v="0"/>
    <x v="0"/>
    <x v="0"/>
    <x v="103"/>
    <x v="145"/>
    <x v="4"/>
    <x v="0"/>
    <x v="2"/>
    <x v="0"/>
    <x v="0"/>
  </r>
  <r>
    <x v="583"/>
    <x v="1"/>
    <x v="5"/>
    <x v="8"/>
    <x v="239"/>
    <x v="4"/>
    <x v="2"/>
    <x v="0"/>
    <x v="5"/>
    <x v="5"/>
    <x v="5"/>
    <x v="1"/>
    <x v="1"/>
    <x v="1"/>
    <x v="0"/>
    <x v="1"/>
    <x v="49"/>
    <x v="337"/>
    <x v="4"/>
    <x v="0"/>
    <x v="3"/>
    <x v="3"/>
    <x v="3"/>
  </r>
  <r>
    <x v="584"/>
    <x v="0"/>
    <x v="1"/>
    <x v="95"/>
    <x v="240"/>
    <x v="1"/>
    <x v="1"/>
    <x v="3"/>
    <x v="1"/>
    <x v="1"/>
    <x v="1"/>
    <x v="0"/>
    <x v="1"/>
    <x v="1"/>
    <x v="0"/>
    <x v="1"/>
    <x v="217"/>
    <x v="338"/>
    <x v="5"/>
    <x v="0"/>
    <x v="0"/>
    <x v="0"/>
    <x v="0"/>
  </r>
  <r>
    <x v="585"/>
    <x v="1"/>
    <x v="5"/>
    <x v="8"/>
    <x v="169"/>
    <x v="1"/>
    <x v="5"/>
    <x v="1"/>
    <x v="5"/>
    <x v="5"/>
    <x v="5"/>
    <x v="1"/>
    <x v="1"/>
    <x v="1"/>
    <x v="0"/>
    <x v="1"/>
    <x v="227"/>
    <x v="339"/>
    <x v="4"/>
    <x v="0"/>
    <x v="4"/>
    <x v="3"/>
    <x v="3"/>
  </r>
  <r>
    <x v="586"/>
    <x v="2"/>
    <x v="2"/>
    <x v="22"/>
    <x v="241"/>
    <x v="2"/>
    <x v="2"/>
    <x v="0"/>
    <x v="2"/>
    <x v="2"/>
    <x v="2"/>
    <x v="1"/>
    <x v="2"/>
    <x v="2"/>
    <x v="0"/>
    <x v="2"/>
    <x v="123"/>
    <x v="187"/>
    <x v="5"/>
    <x v="0"/>
    <x v="3"/>
    <x v="1"/>
    <x v="1"/>
  </r>
  <r>
    <x v="587"/>
    <x v="1"/>
    <x v="0"/>
    <x v="2"/>
    <x v="225"/>
    <x v="1"/>
    <x v="1"/>
    <x v="1"/>
    <x v="0"/>
    <x v="0"/>
    <x v="0"/>
    <x v="0"/>
    <x v="0"/>
    <x v="0"/>
    <x v="0"/>
    <x v="0"/>
    <x v="84"/>
    <x v="340"/>
    <x v="0"/>
    <x v="0"/>
    <x v="3"/>
    <x v="0"/>
    <x v="0"/>
  </r>
  <r>
    <x v="588"/>
    <x v="1"/>
    <x v="1"/>
    <x v="6"/>
    <x v="231"/>
    <x v="1"/>
    <x v="0"/>
    <x v="1"/>
    <x v="1"/>
    <x v="1"/>
    <x v="1"/>
    <x v="0"/>
    <x v="1"/>
    <x v="1"/>
    <x v="0"/>
    <x v="1"/>
    <x v="97"/>
    <x v="157"/>
    <x v="5"/>
    <x v="0"/>
    <x v="1"/>
    <x v="0"/>
    <x v="0"/>
  </r>
  <r>
    <x v="589"/>
    <x v="0"/>
    <x v="2"/>
    <x v="96"/>
    <x v="97"/>
    <x v="1"/>
    <x v="12"/>
    <x v="0"/>
    <x v="2"/>
    <x v="2"/>
    <x v="2"/>
    <x v="1"/>
    <x v="2"/>
    <x v="2"/>
    <x v="0"/>
    <x v="2"/>
    <x v="228"/>
    <x v="341"/>
    <x v="3"/>
    <x v="0"/>
    <x v="1"/>
    <x v="1"/>
    <x v="1"/>
  </r>
  <r>
    <x v="590"/>
    <x v="1"/>
    <x v="1"/>
    <x v="6"/>
    <x v="171"/>
    <x v="1"/>
    <x v="1"/>
    <x v="2"/>
    <x v="1"/>
    <x v="1"/>
    <x v="1"/>
    <x v="0"/>
    <x v="1"/>
    <x v="1"/>
    <x v="0"/>
    <x v="1"/>
    <x v="76"/>
    <x v="342"/>
    <x v="4"/>
    <x v="0"/>
    <x v="4"/>
    <x v="0"/>
    <x v="0"/>
  </r>
  <r>
    <x v="591"/>
    <x v="1"/>
    <x v="5"/>
    <x v="8"/>
    <x v="242"/>
    <x v="1"/>
    <x v="10"/>
    <x v="3"/>
    <x v="5"/>
    <x v="5"/>
    <x v="5"/>
    <x v="1"/>
    <x v="1"/>
    <x v="1"/>
    <x v="0"/>
    <x v="1"/>
    <x v="195"/>
    <x v="343"/>
    <x v="2"/>
    <x v="0"/>
    <x v="3"/>
    <x v="3"/>
    <x v="3"/>
  </r>
  <r>
    <x v="592"/>
    <x v="1"/>
    <x v="2"/>
    <x v="4"/>
    <x v="126"/>
    <x v="1"/>
    <x v="12"/>
    <x v="3"/>
    <x v="2"/>
    <x v="2"/>
    <x v="2"/>
    <x v="1"/>
    <x v="2"/>
    <x v="2"/>
    <x v="0"/>
    <x v="2"/>
    <x v="116"/>
    <x v="165"/>
    <x v="0"/>
    <x v="0"/>
    <x v="4"/>
    <x v="1"/>
    <x v="1"/>
  </r>
  <r>
    <x v="593"/>
    <x v="1"/>
    <x v="1"/>
    <x v="6"/>
    <x v="65"/>
    <x v="1"/>
    <x v="1"/>
    <x v="1"/>
    <x v="1"/>
    <x v="1"/>
    <x v="1"/>
    <x v="0"/>
    <x v="1"/>
    <x v="1"/>
    <x v="0"/>
    <x v="1"/>
    <x v="229"/>
    <x v="344"/>
    <x v="0"/>
    <x v="0"/>
    <x v="0"/>
    <x v="0"/>
    <x v="0"/>
  </r>
  <r>
    <x v="594"/>
    <x v="1"/>
    <x v="4"/>
    <x v="9"/>
    <x v="227"/>
    <x v="1"/>
    <x v="9"/>
    <x v="1"/>
    <x v="4"/>
    <x v="4"/>
    <x v="4"/>
    <x v="1"/>
    <x v="0"/>
    <x v="0"/>
    <x v="0"/>
    <x v="0"/>
    <x v="121"/>
    <x v="345"/>
    <x v="3"/>
    <x v="0"/>
    <x v="4"/>
    <x v="2"/>
    <x v="2"/>
  </r>
  <r>
    <x v="595"/>
    <x v="1"/>
    <x v="4"/>
    <x v="9"/>
    <x v="74"/>
    <x v="3"/>
    <x v="2"/>
    <x v="0"/>
    <x v="4"/>
    <x v="4"/>
    <x v="4"/>
    <x v="1"/>
    <x v="0"/>
    <x v="0"/>
    <x v="0"/>
    <x v="0"/>
    <x v="230"/>
    <x v="346"/>
    <x v="0"/>
    <x v="0"/>
    <x v="3"/>
    <x v="2"/>
    <x v="2"/>
  </r>
  <r>
    <x v="596"/>
    <x v="1"/>
    <x v="5"/>
    <x v="8"/>
    <x v="96"/>
    <x v="0"/>
    <x v="6"/>
    <x v="3"/>
    <x v="5"/>
    <x v="5"/>
    <x v="5"/>
    <x v="1"/>
    <x v="1"/>
    <x v="1"/>
    <x v="0"/>
    <x v="1"/>
    <x v="231"/>
    <x v="347"/>
    <x v="2"/>
    <x v="0"/>
    <x v="3"/>
    <x v="3"/>
    <x v="3"/>
  </r>
  <r>
    <x v="597"/>
    <x v="2"/>
    <x v="4"/>
    <x v="97"/>
    <x v="243"/>
    <x v="3"/>
    <x v="2"/>
    <x v="0"/>
    <x v="4"/>
    <x v="4"/>
    <x v="4"/>
    <x v="1"/>
    <x v="0"/>
    <x v="0"/>
    <x v="0"/>
    <x v="0"/>
    <x v="232"/>
    <x v="348"/>
    <x v="0"/>
    <x v="0"/>
    <x v="1"/>
    <x v="2"/>
    <x v="2"/>
  </r>
  <r>
    <x v="598"/>
    <x v="1"/>
    <x v="3"/>
    <x v="5"/>
    <x v="91"/>
    <x v="2"/>
    <x v="2"/>
    <x v="3"/>
    <x v="3"/>
    <x v="3"/>
    <x v="3"/>
    <x v="0"/>
    <x v="2"/>
    <x v="2"/>
    <x v="0"/>
    <x v="2"/>
    <x v="155"/>
    <x v="349"/>
    <x v="4"/>
    <x v="0"/>
    <x v="4"/>
    <x v="0"/>
    <x v="0"/>
  </r>
  <r>
    <x v="599"/>
    <x v="0"/>
    <x v="4"/>
    <x v="98"/>
    <x v="244"/>
    <x v="0"/>
    <x v="17"/>
    <x v="2"/>
    <x v="4"/>
    <x v="4"/>
    <x v="4"/>
    <x v="1"/>
    <x v="0"/>
    <x v="0"/>
    <x v="0"/>
    <x v="0"/>
    <x v="160"/>
    <x v="226"/>
    <x v="2"/>
    <x v="0"/>
    <x v="4"/>
    <x v="2"/>
    <x v="2"/>
  </r>
  <r>
    <x v="600"/>
    <x v="1"/>
    <x v="2"/>
    <x v="4"/>
    <x v="167"/>
    <x v="1"/>
    <x v="11"/>
    <x v="1"/>
    <x v="2"/>
    <x v="2"/>
    <x v="2"/>
    <x v="1"/>
    <x v="2"/>
    <x v="2"/>
    <x v="0"/>
    <x v="2"/>
    <x v="233"/>
    <x v="350"/>
    <x v="3"/>
    <x v="0"/>
    <x v="1"/>
    <x v="1"/>
    <x v="1"/>
  </r>
  <r>
    <x v="601"/>
    <x v="1"/>
    <x v="0"/>
    <x v="2"/>
    <x v="142"/>
    <x v="1"/>
    <x v="1"/>
    <x v="0"/>
    <x v="0"/>
    <x v="0"/>
    <x v="0"/>
    <x v="0"/>
    <x v="0"/>
    <x v="0"/>
    <x v="0"/>
    <x v="0"/>
    <x v="234"/>
    <x v="351"/>
    <x v="0"/>
    <x v="0"/>
    <x v="2"/>
    <x v="0"/>
    <x v="0"/>
  </r>
  <r>
    <x v="602"/>
    <x v="0"/>
    <x v="5"/>
    <x v="99"/>
    <x v="19"/>
    <x v="1"/>
    <x v="11"/>
    <x v="1"/>
    <x v="5"/>
    <x v="5"/>
    <x v="5"/>
    <x v="1"/>
    <x v="1"/>
    <x v="1"/>
    <x v="0"/>
    <x v="1"/>
    <x v="235"/>
    <x v="352"/>
    <x v="2"/>
    <x v="0"/>
    <x v="2"/>
    <x v="3"/>
    <x v="3"/>
  </r>
  <r>
    <x v="603"/>
    <x v="1"/>
    <x v="3"/>
    <x v="5"/>
    <x v="245"/>
    <x v="1"/>
    <x v="1"/>
    <x v="0"/>
    <x v="3"/>
    <x v="3"/>
    <x v="3"/>
    <x v="0"/>
    <x v="2"/>
    <x v="2"/>
    <x v="0"/>
    <x v="2"/>
    <x v="126"/>
    <x v="353"/>
    <x v="1"/>
    <x v="0"/>
    <x v="3"/>
    <x v="0"/>
    <x v="0"/>
  </r>
  <r>
    <x v="604"/>
    <x v="1"/>
    <x v="4"/>
    <x v="9"/>
    <x v="206"/>
    <x v="1"/>
    <x v="9"/>
    <x v="2"/>
    <x v="4"/>
    <x v="4"/>
    <x v="4"/>
    <x v="1"/>
    <x v="0"/>
    <x v="0"/>
    <x v="0"/>
    <x v="0"/>
    <x v="236"/>
    <x v="354"/>
    <x v="5"/>
    <x v="0"/>
    <x v="4"/>
    <x v="2"/>
    <x v="2"/>
  </r>
  <r>
    <x v="605"/>
    <x v="1"/>
    <x v="3"/>
    <x v="5"/>
    <x v="246"/>
    <x v="1"/>
    <x v="1"/>
    <x v="2"/>
    <x v="3"/>
    <x v="3"/>
    <x v="3"/>
    <x v="0"/>
    <x v="2"/>
    <x v="2"/>
    <x v="0"/>
    <x v="2"/>
    <x v="71"/>
    <x v="355"/>
    <x v="4"/>
    <x v="0"/>
    <x v="1"/>
    <x v="0"/>
    <x v="0"/>
  </r>
  <r>
    <x v="606"/>
    <x v="1"/>
    <x v="0"/>
    <x v="2"/>
    <x v="171"/>
    <x v="1"/>
    <x v="0"/>
    <x v="2"/>
    <x v="0"/>
    <x v="0"/>
    <x v="0"/>
    <x v="0"/>
    <x v="0"/>
    <x v="0"/>
    <x v="0"/>
    <x v="0"/>
    <x v="237"/>
    <x v="356"/>
    <x v="4"/>
    <x v="0"/>
    <x v="0"/>
    <x v="0"/>
    <x v="0"/>
  </r>
  <r>
    <x v="607"/>
    <x v="1"/>
    <x v="3"/>
    <x v="5"/>
    <x v="247"/>
    <x v="1"/>
    <x v="0"/>
    <x v="2"/>
    <x v="3"/>
    <x v="3"/>
    <x v="3"/>
    <x v="0"/>
    <x v="2"/>
    <x v="2"/>
    <x v="0"/>
    <x v="2"/>
    <x v="122"/>
    <x v="174"/>
    <x v="3"/>
    <x v="0"/>
    <x v="1"/>
    <x v="0"/>
    <x v="0"/>
  </r>
  <r>
    <x v="608"/>
    <x v="2"/>
    <x v="4"/>
    <x v="100"/>
    <x v="225"/>
    <x v="1"/>
    <x v="9"/>
    <x v="1"/>
    <x v="4"/>
    <x v="4"/>
    <x v="4"/>
    <x v="1"/>
    <x v="0"/>
    <x v="0"/>
    <x v="0"/>
    <x v="0"/>
    <x v="110"/>
    <x v="158"/>
    <x v="2"/>
    <x v="0"/>
    <x v="0"/>
    <x v="2"/>
    <x v="2"/>
  </r>
  <r>
    <x v="609"/>
    <x v="1"/>
    <x v="4"/>
    <x v="9"/>
    <x v="235"/>
    <x v="1"/>
    <x v="7"/>
    <x v="3"/>
    <x v="4"/>
    <x v="4"/>
    <x v="4"/>
    <x v="1"/>
    <x v="0"/>
    <x v="0"/>
    <x v="0"/>
    <x v="0"/>
    <x v="152"/>
    <x v="357"/>
    <x v="5"/>
    <x v="0"/>
    <x v="1"/>
    <x v="2"/>
    <x v="2"/>
  </r>
  <r>
    <x v="610"/>
    <x v="0"/>
    <x v="5"/>
    <x v="101"/>
    <x v="163"/>
    <x v="2"/>
    <x v="2"/>
    <x v="3"/>
    <x v="5"/>
    <x v="5"/>
    <x v="5"/>
    <x v="1"/>
    <x v="1"/>
    <x v="1"/>
    <x v="0"/>
    <x v="1"/>
    <x v="81"/>
    <x v="358"/>
    <x v="5"/>
    <x v="0"/>
    <x v="1"/>
    <x v="3"/>
    <x v="3"/>
  </r>
  <r>
    <x v="611"/>
    <x v="1"/>
    <x v="3"/>
    <x v="5"/>
    <x v="213"/>
    <x v="1"/>
    <x v="0"/>
    <x v="0"/>
    <x v="3"/>
    <x v="3"/>
    <x v="3"/>
    <x v="0"/>
    <x v="2"/>
    <x v="2"/>
    <x v="0"/>
    <x v="2"/>
    <x v="105"/>
    <x v="148"/>
    <x v="0"/>
    <x v="0"/>
    <x v="4"/>
    <x v="0"/>
    <x v="0"/>
  </r>
  <r>
    <x v="612"/>
    <x v="1"/>
    <x v="2"/>
    <x v="4"/>
    <x v="1"/>
    <x v="1"/>
    <x v="5"/>
    <x v="2"/>
    <x v="2"/>
    <x v="2"/>
    <x v="2"/>
    <x v="1"/>
    <x v="2"/>
    <x v="2"/>
    <x v="0"/>
    <x v="2"/>
    <x v="6"/>
    <x v="288"/>
    <x v="2"/>
    <x v="0"/>
    <x v="4"/>
    <x v="1"/>
    <x v="1"/>
  </r>
  <r>
    <x v="613"/>
    <x v="1"/>
    <x v="5"/>
    <x v="8"/>
    <x v="181"/>
    <x v="1"/>
    <x v="6"/>
    <x v="2"/>
    <x v="5"/>
    <x v="5"/>
    <x v="5"/>
    <x v="1"/>
    <x v="1"/>
    <x v="1"/>
    <x v="0"/>
    <x v="1"/>
    <x v="238"/>
    <x v="359"/>
    <x v="3"/>
    <x v="0"/>
    <x v="3"/>
    <x v="3"/>
    <x v="3"/>
  </r>
  <r>
    <x v="614"/>
    <x v="0"/>
    <x v="1"/>
    <x v="102"/>
    <x v="248"/>
    <x v="2"/>
    <x v="2"/>
    <x v="3"/>
    <x v="1"/>
    <x v="1"/>
    <x v="1"/>
    <x v="0"/>
    <x v="1"/>
    <x v="1"/>
    <x v="0"/>
    <x v="1"/>
    <x v="33"/>
    <x v="360"/>
    <x v="4"/>
    <x v="0"/>
    <x v="0"/>
    <x v="0"/>
    <x v="0"/>
  </r>
  <r>
    <x v="615"/>
    <x v="1"/>
    <x v="1"/>
    <x v="6"/>
    <x v="249"/>
    <x v="1"/>
    <x v="15"/>
    <x v="3"/>
    <x v="1"/>
    <x v="1"/>
    <x v="1"/>
    <x v="0"/>
    <x v="1"/>
    <x v="1"/>
    <x v="0"/>
    <x v="1"/>
    <x v="135"/>
    <x v="192"/>
    <x v="5"/>
    <x v="0"/>
    <x v="2"/>
    <x v="0"/>
    <x v="0"/>
  </r>
  <r>
    <x v="616"/>
    <x v="1"/>
    <x v="2"/>
    <x v="4"/>
    <x v="20"/>
    <x v="2"/>
    <x v="2"/>
    <x v="3"/>
    <x v="2"/>
    <x v="2"/>
    <x v="2"/>
    <x v="1"/>
    <x v="2"/>
    <x v="2"/>
    <x v="0"/>
    <x v="2"/>
    <x v="75"/>
    <x v="256"/>
    <x v="2"/>
    <x v="0"/>
    <x v="2"/>
    <x v="1"/>
    <x v="1"/>
  </r>
  <r>
    <x v="617"/>
    <x v="0"/>
    <x v="0"/>
    <x v="103"/>
    <x v="225"/>
    <x v="1"/>
    <x v="1"/>
    <x v="2"/>
    <x v="0"/>
    <x v="0"/>
    <x v="0"/>
    <x v="0"/>
    <x v="0"/>
    <x v="0"/>
    <x v="0"/>
    <x v="0"/>
    <x v="239"/>
    <x v="361"/>
    <x v="1"/>
    <x v="0"/>
    <x v="1"/>
    <x v="0"/>
    <x v="0"/>
  </r>
  <r>
    <x v="618"/>
    <x v="2"/>
    <x v="2"/>
    <x v="104"/>
    <x v="65"/>
    <x v="3"/>
    <x v="2"/>
    <x v="0"/>
    <x v="2"/>
    <x v="2"/>
    <x v="2"/>
    <x v="1"/>
    <x v="2"/>
    <x v="2"/>
    <x v="0"/>
    <x v="2"/>
    <x v="224"/>
    <x v="330"/>
    <x v="3"/>
    <x v="0"/>
    <x v="2"/>
    <x v="1"/>
    <x v="1"/>
  </r>
  <r>
    <x v="619"/>
    <x v="1"/>
    <x v="4"/>
    <x v="9"/>
    <x v="18"/>
    <x v="1"/>
    <x v="17"/>
    <x v="1"/>
    <x v="4"/>
    <x v="4"/>
    <x v="4"/>
    <x v="1"/>
    <x v="0"/>
    <x v="0"/>
    <x v="0"/>
    <x v="0"/>
    <x v="193"/>
    <x v="277"/>
    <x v="0"/>
    <x v="0"/>
    <x v="3"/>
    <x v="2"/>
    <x v="2"/>
  </r>
  <r>
    <x v="620"/>
    <x v="1"/>
    <x v="0"/>
    <x v="2"/>
    <x v="250"/>
    <x v="3"/>
    <x v="2"/>
    <x v="1"/>
    <x v="0"/>
    <x v="0"/>
    <x v="0"/>
    <x v="0"/>
    <x v="0"/>
    <x v="0"/>
    <x v="0"/>
    <x v="0"/>
    <x v="240"/>
    <x v="362"/>
    <x v="1"/>
    <x v="0"/>
    <x v="0"/>
    <x v="0"/>
    <x v="0"/>
  </r>
  <r>
    <x v="621"/>
    <x v="0"/>
    <x v="5"/>
    <x v="105"/>
    <x v="31"/>
    <x v="1"/>
    <x v="16"/>
    <x v="2"/>
    <x v="5"/>
    <x v="5"/>
    <x v="5"/>
    <x v="1"/>
    <x v="1"/>
    <x v="1"/>
    <x v="0"/>
    <x v="1"/>
    <x v="156"/>
    <x v="363"/>
    <x v="2"/>
    <x v="0"/>
    <x v="1"/>
    <x v="3"/>
    <x v="3"/>
  </r>
  <r>
    <x v="622"/>
    <x v="1"/>
    <x v="5"/>
    <x v="8"/>
    <x v="57"/>
    <x v="1"/>
    <x v="8"/>
    <x v="3"/>
    <x v="5"/>
    <x v="5"/>
    <x v="5"/>
    <x v="1"/>
    <x v="1"/>
    <x v="1"/>
    <x v="0"/>
    <x v="1"/>
    <x v="131"/>
    <x v="184"/>
    <x v="4"/>
    <x v="0"/>
    <x v="2"/>
    <x v="3"/>
    <x v="3"/>
  </r>
  <r>
    <x v="623"/>
    <x v="0"/>
    <x v="1"/>
    <x v="106"/>
    <x v="10"/>
    <x v="0"/>
    <x v="0"/>
    <x v="1"/>
    <x v="1"/>
    <x v="1"/>
    <x v="1"/>
    <x v="0"/>
    <x v="1"/>
    <x v="1"/>
    <x v="0"/>
    <x v="1"/>
    <x v="241"/>
    <x v="364"/>
    <x v="5"/>
    <x v="0"/>
    <x v="1"/>
    <x v="0"/>
    <x v="0"/>
  </r>
  <r>
    <x v="624"/>
    <x v="1"/>
    <x v="5"/>
    <x v="8"/>
    <x v="251"/>
    <x v="1"/>
    <x v="6"/>
    <x v="1"/>
    <x v="5"/>
    <x v="5"/>
    <x v="5"/>
    <x v="1"/>
    <x v="1"/>
    <x v="1"/>
    <x v="0"/>
    <x v="1"/>
    <x v="242"/>
    <x v="365"/>
    <x v="0"/>
    <x v="0"/>
    <x v="1"/>
    <x v="3"/>
    <x v="3"/>
  </r>
  <r>
    <x v="625"/>
    <x v="1"/>
    <x v="4"/>
    <x v="9"/>
    <x v="252"/>
    <x v="2"/>
    <x v="2"/>
    <x v="3"/>
    <x v="4"/>
    <x v="4"/>
    <x v="4"/>
    <x v="1"/>
    <x v="0"/>
    <x v="0"/>
    <x v="0"/>
    <x v="0"/>
    <x v="196"/>
    <x v="366"/>
    <x v="4"/>
    <x v="0"/>
    <x v="4"/>
    <x v="2"/>
    <x v="2"/>
  </r>
  <r>
    <x v="626"/>
    <x v="2"/>
    <x v="0"/>
    <x v="107"/>
    <x v="236"/>
    <x v="1"/>
    <x v="1"/>
    <x v="1"/>
    <x v="0"/>
    <x v="0"/>
    <x v="0"/>
    <x v="0"/>
    <x v="0"/>
    <x v="0"/>
    <x v="0"/>
    <x v="0"/>
    <x v="206"/>
    <x v="305"/>
    <x v="5"/>
    <x v="0"/>
    <x v="3"/>
    <x v="0"/>
    <x v="0"/>
  </r>
  <r>
    <x v="627"/>
    <x v="1"/>
    <x v="1"/>
    <x v="6"/>
    <x v="253"/>
    <x v="2"/>
    <x v="2"/>
    <x v="1"/>
    <x v="1"/>
    <x v="1"/>
    <x v="1"/>
    <x v="0"/>
    <x v="1"/>
    <x v="1"/>
    <x v="0"/>
    <x v="1"/>
    <x v="232"/>
    <x v="367"/>
    <x v="1"/>
    <x v="0"/>
    <x v="4"/>
    <x v="0"/>
    <x v="0"/>
  </r>
  <r>
    <x v="628"/>
    <x v="1"/>
    <x v="0"/>
    <x v="2"/>
    <x v="214"/>
    <x v="1"/>
    <x v="1"/>
    <x v="0"/>
    <x v="0"/>
    <x v="0"/>
    <x v="0"/>
    <x v="0"/>
    <x v="0"/>
    <x v="0"/>
    <x v="0"/>
    <x v="0"/>
    <x v="220"/>
    <x v="324"/>
    <x v="2"/>
    <x v="0"/>
    <x v="1"/>
    <x v="0"/>
    <x v="0"/>
  </r>
  <r>
    <x v="629"/>
    <x v="1"/>
    <x v="5"/>
    <x v="8"/>
    <x v="22"/>
    <x v="2"/>
    <x v="2"/>
    <x v="0"/>
    <x v="5"/>
    <x v="5"/>
    <x v="5"/>
    <x v="1"/>
    <x v="1"/>
    <x v="1"/>
    <x v="0"/>
    <x v="1"/>
    <x v="54"/>
    <x v="368"/>
    <x v="3"/>
    <x v="0"/>
    <x v="2"/>
    <x v="3"/>
    <x v="3"/>
  </r>
  <r>
    <x v="630"/>
    <x v="1"/>
    <x v="1"/>
    <x v="6"/>
    <x v="254"/>
    <x v="1"/>
    <x v="1"/>
    <x v="0"/>
    <x v="1"/>
    <x v="1"/>
    <x v="1"/>
    <x v="0"/>
    <x v="1"/>
    <x v="1"/>
    <x v="0"/>
    <x v="1"/>
    <x v="138"/>
    <x v="196"/>
    <x v="3"/>
    <x v="0"/>
    <x v="1"/>
    <x v="0"/>
    <x v="0"/>
  </r>
  <r>
    <x v="631"/>
    <x v="1"/>
    <x v="3"/>
    <x v="5"/>
    <x v="140"/>
    <x v="1"/>
    <x v="1"/>
    <x v="2"/>
    <x v="3"/>
    <x v="3"/>
    <x v="3"/>
    <x v="0"/>
    <x v="2"/>
    <x v="2"/>
    <x v="0"/>
    <x v="2"/>
    <x v="203"/>
    <x v="298"/>
    <x v="0"/>
    <x v="0"/>
    <x v="3"/>
    <x v="0"/>
    <x v="0"/>
  </r>
  <r>
    <x v="632"/>
    <x v="2"/>
    <x v="2"/>
    <x v="108"/>
    <x v="255"/>
    <x v="1"/>
    <x v="4"/>
    <x v="2"/>
    <x v="2"/>
    <x v="2"/>
    <x v="2"/>
    <x v="1"/>
    <x v="2"/>
    <x v="2"/>
    <x v="0"/>
    <x v="2"/>
    <x v="167"/>
    <x v="236"/>
    <x v="3"/>
    <x v="0"/>
    <x v="4"/>
    <x v="1"/>
    <x v="1"/>
  </r>
  <r>
    <x v="633"/>
    <x v="1"/>
    <x v="1"/>
    <x v="6"/>
    <x v="177"/>
    <x v="0"/>
    <x v="0"/>
    <x v="3"/>
    <x v="1"/>
    <x v="1"/>
    <x v="1"/>
    <x v="0"/>
    <x v="1"/>
    <x v="1"/>
    <x v="0"/>
    <x v="1"/>
    <x v="243"/>
    <x v="369"/>
    <x v="3"/>
    <x v="0"/>
    <x v="2"/>
    <x v="0"/>
    <x v="0"/>
  </r>
  <r>
    <x v="634"/>
    <x v="2"/>
    <x v="5"/>
    <x v="109"/>
    <x v="256"/>
    <x v="1"/>
    <x v="10"/>
    <x v="1"/>
    <x v="5"/>
    <x v="5"/>
    <x v="5"/>
    <x v="1"/>
    <x v="1"/>
    <x v="1"/>
    <x v="0"/>
    <x v="1"/>
    <x v="191"/>
    <x v="272"/>
    <x v="2"/>
    <x v="0"/>
    <x v="3"/>
    <x v="3"/>
    <x v="3"/>
  </r>
  <r>
    <x v="635"/>
    <x v="2"/>
    <x v="5"/>
    <x v="110"/>
    <x v="257"/>
    <x v="1"/>
    <x v="5"/>
    <x v="3"/>
    <x v="5"/>
    <x v="5"/>
    <x v="5"/>
    <x v="1"/>
    <x v="1"/>
    <x v="1"/>
    <x v="0"/>
    <x v="1"/>
    <x v="233"/>
    <x v="350"/>
    <x v="3"/>
    <x v="0"/>
    <x v="1"/>
    <x v="3"/>
    <x v="3"/>
  </r>
  <r>
    <x v="636"/>
    <x v="0"/>
    <x v="2"/>
    <x v="3"/>
    <x v="258"/>
    <x v="4"/>
    <x v="2"/>
    <x v="0"/>
    <x v="2"/>
    <x v="2"/>
    <x v="2"/>
    <x v="1"/>
    <x v="2"/>
    <x v="2"/>
    <x v="0"/>
    <x v="2"/>
    <x v="41"/>
    <x v="370"/>
    <x v="3"/>
    <x v="0"/>
    <x v="4"/>
    <x v="1"/>
    <x v="1"/>
  </r>
  <r>
    <x v="637"/>
    <x v="1"/>
    <x v="1"/>
    <x v="6"/>
    <x v="259"/>
    <x v="4"/>
    <x v="2"/>
    <x v="0"/>
    <x v="1"/>
    <x v="1"/>
    <x v="1"/>
    <x v="0"/>
    <x v="1"/>
    <x v="1"/>
    <x v="0"/>
    <x v="1"/>
    <x v="93"/>
    <x v="281"/>
    <x v="4"/>
    <x v="0"/>
    <x v="3"/>
    <x v="0"/>
    <x v="0"/>
  </r>
  <r>
    <x v="638"/>
    <x v="1"/>
    <x v="5"/>
    <x v="8"/>
    <x v="103"/>
    <x v="4"/>
    <x v="2"/>
    <x v="0"/>
    <x v="5"/>
    <x v="5"/>
    <x v="5"/>
    <x v="1"/>
    <x v="1"/>
    <x v="1"/>
    <x v="0"/>
    <x v="1"/>
    <x v="29"/>
    <x v="371"/>
    <x v="5"/>
    <x v="0"/>
    <x v="3"/>
    <x v="3"/>
    <x v="3"/>
  </r>
  <r>
    <x v="639"/>
    <x v="0"/>
    <x v="5"/>
    <x v="111"/>
    <x v="260"/>
    <x v="1"/>
    <x v="13"/>
    <x v="2"/>
    <x v="5"/>
    <x v="5"/>
    <x v="5"/>
    <x v="1"/>
    <x v="1"/>
    <x v="1"/>
    <x v="0"/>
    <x v="1"/>
    <x v="19"/>
    <x v="273"/>
    <x v="3"/>
    <x v="0"/>
    <x v="0"/>
    <x v="3"/>
    <x v="3"/>
  </r>
  <r>
    <x v="640"/>
    <x v="1"/>
    <x v="0"/>
    <x v="2"/>
    <x v="252"/>
    <x v="1"/>
    <x v="0"/>
    <x v="1"/>
    <x v="0"/>
    <x v="0"/>
    <x v="0"/>
    <x v="0"/>
    <x v="0"/>
    <x v="0"/>
    <x v="0"/>
    <x v="0"/>
    <x v="74"/>
    <x v="372"/>
    <x v="5"/>
    <x v="0"/>
    <x v="1"/>
    <x v="0"/>
    <x v="0"/>
  </r>
  <r>
    <x v="641"/>
    <x v="2"/>
    <x v="2"/>
    <x v="112"/>
    <x v="187"/>
    <x v="1"/>
    <x v="3"/>
    <x v="1"/>
    <x v="2"/>
    <x v="2"/>
    <x v="2"/>
    <x v="1"/>
    <x v="2"/>
    <x v="2"/>
    <x v="0"/>
    <x v="2"/>
    <x v="104"/>
    <x v="146"/>
    <x v="3"/>
    <x v="0"/>
    <x v="1"/>
    <x v="1"/>
    <x v="1"/>
  </r>
  <r>
    <x v="642"/>
    <x v="2"/>
    <x v="1"/>
    <x v="113"/>
    <x v="147"/>
    <x v="1"/>
    <x v="0"/>
    <x v="2"/>
    <x v="1"/>
    <x v="1"/>
    <x v="1"/>
    <x v="0"/>
    <x v="1"/>
    <x v="1"/>
    <x v="0"/>
    <x v="1"/>
    <x v="182"/>
    <x v="260"/>
    <x v="5"/>
    <x v="0"/>
    <x v="0"/>
    <x v="0"/>
    <x v="0"/>
  </r>
  <r>
    <x v="643"/>
    <x v="1"/>
    <x v="0"/>
    <x v="2"/>
    <x v="56"/>
    <x v="1"/>
    <x v="0"/>
    <x v="0"/>
    <x v="0"/>
    <x v="0"/>
    <x v="0"/>
    <x v="0"/>
    <x v="0"/>
    <x v="0"/>
    <x v="0"/>
    <x v="0"/>
    <x v="181"/>
    <x v="259"/>
    <x v="0"/>
    <x v="0"/>
    <x v="0"/>
    <x v="0"/>
    <x v="0"/>
  </r>
  <r>
    <x v="644"/>
    <x v="1"/>
    <x v="0"/>
    <x v="2"/>
    <x v="261"/>
    <x v="2"/>
    <x v="2"/>
    <x v="0"/>
    <x v="0"/>
    <x v="0"/>
    <x v="0"/>
    <x v="0"/>
    <x v="0"/>
    <x v="0"/>
    <x v="0"/>
    <x v="0"/>
    <x v="71"/>
    <x v="355"/>
    <x v="4"/>
    <x v="0"/>
    <x v="1"/>
    <x v="0"/>
    <x v="0"/>
  </r>
  <r>
    <x v="645"/>
    <x v="1"/>
    <x v="4"/>
    <x v="9"/>
    <x v="262"/>
    <x v="1"/>
    <x v="7"/>
    <x v="3"/>
    <x v="4"/>
    <x v="4"/>
    <x v="4"/>
    <x v="1"/>
    <x v="0"/>
    <x v="0"/>
    <x v="0"/>
    <x v="0"/>
    <x v="198"/>
    <x v="291"/>
    <x v="5"/>
    <x v="0"/>
    <x v="3"/>
    <x v="2"/>
    <x v="2"/>
  </r>
  <r>
    <x v="646"/>
    <x v="0"/>
    <x v="1"/>
    <x v="114"/>
    <x v="263"/>
    <x v="0"/>
    <x v="0"/>
    <x v="0"/>
    <x v="1"/>
    <x v="1"/>
    <x v="1"/>
    <x v="0"/>
    <x v="1"/>
    <x v="1"/>
    <x v="0"/>
    <x v="1"/>
    <x v="244"/>
    <x v="373"/>
    <x v="1"/>
    <x v="0"/>
    <x v="1"/>
    <x v="0"/>
    <x v="0"/>
  </r>
  <r>
    <x v="647"/>
    <x v="1"/>
    <x v="5"/>
    <x v="8"/>
    <x v="264"/>
    <x v="4"/>
    <x v="2"/>
    <x v="3"/>
    <x v="5"/>
    <x v="5"/>
    <x v="5"/>
    <x v="1"/>
    <x v="1"/>
    <x v="1"/>
    <x v="0"/>
    <x v="1"/>
    <x v="189"/>
    <x v="270"/>
    <x v="1"/>
    <x v="0"/>
    <x v="1"/>
    <x v="3"/>
    <x v="3"/>
  </r>
  <r>
    <x v="648"/>
    <x v="1"/>
    <x v="1"/>
    <x v="6"/>
    <x v="265"/>
    <x v="1"/>
    <x v="1"/>
    <x v="2"/>
    <x v="1"/>
    <x v="1"/>
    <x v="1"/>
    <x v="0"/>
    <x v="1"/>
    <x v="1"/>
    <x v="0"/>
    <x v="1"/>
    <x v="204"/>
    <x v="374"/>
    <x v="0"/>
    <x v="0"/>
    <x v="4"/>
    <x v="0"/>
    <x v="0"/>
  </r>
  <r>
    <x v="649"/>
    <x v="1"/>
    <x v="0"/>
    <x v="2"/>
    <x v="192"/>
    <x v="1"/>
    <x v="0"/>
    <x v="1"/>
    <x v="0"/>
    <x v="0"/>
    <x v="0"/>
    <x v="0"/>
    <x v="0"/>
    <x v="0"/>
    <x v="0"/>
    <x v="0"/>
    <x v="20"/>
    <x v="375"/>
    <x v="5"/>
    <x v="0"/>
    <x v="2"/>
    <x v="0"/>
    <x v="0"/>
  </r>
  <r>
    <x v="650"/>
    <x v="2"/>
    <x v="5"/>
    <x v="115"/>
    <x v="192"/>
    <x v="4"/>
    <x v="2"/>
    <x v="1"/>
    <x v="5"/>
    <x v="5"/>
    <x v="5"/>
    <x v="1"/>
    <x v="1"/>
    <x v="1"/>
    <x v="0"/>
    <x v="1"/>
    <x v="245"/>
    <x v="376"/>
    <x v="5"/>
    <x v="0"/>
    <x v="2"/>
    <x v="3"/>
    <x v="3"/>
  </r>
  <r>
    <x v="651"/>
    <x v="1"/>
    <x v="0"/>
    <x v="2"/>
    <x v="219"/>
    <x v="1"/>
    <x v="1"/>
    <x v="1"/>
    <x v="0"/>
    <x v="0"/>
    <x v="0"/>
    <x v="0"/>
    <x v="0"/>
    <x v="0"/>
    <x v="0"/>
    <x v="0"/>
    <x v="155"/>
    <x v="349"/>
    <x v="4"/>
    <x v="0"/>
    <x v="4"/>
    <x v="0"/>
    <x v="0"/>
  </r>
  <r>
    <x v="652"/>
    <x v="0"/>
    <x v="3"/>
    <x v="116"/>
    <x v="234"/>
    <x v="2"/>
    <x v="2"/>
    <x v="2"/>
    <x v="3"/>
    <x v="3"/>
    <x v="3"/>
    <x v="0"/>
    <x v="2"/>
    <x v="2"/>
    <x v="0"/>
    <x v="2"/>
    <x v="147"/>
    <x v="208"/>
    <x v="5"/>
    <x v="0"/>
    <x v="3"/>
    <x v="0"/>
    <x v="0"/>
  </r>
  <r>
    <x v="653"/>
    <x v="1"/>
    <x v="3"/>
    <x v="5"/>
    <x v="266"/>
    <x v="2"/>
    <x v="2"/>
    <x v="1"/>
    <x v="3"/>
    <x v="3"/>
    <x v="3"/>
    <x v="0"/>
    <x v="2"/>
    <x v="2"/>
    <x v="0"/>
    <x v="2"/>
    <x v="88"/>
    <x v="282"/>
    <x v="4"/>
    <x v="0"/>
    <x v="0"/>
    <x v="0"/>
    <x v="0"/>
  </r>
  <r>
    <x v="654"/>
    <x v="1"/>
    <x v="5"/>
    <x v="8"/>
    <x v="191"/>
    <x v="1"/>
    <x v="4"/>
    <x v="3"/>
    <x v="5"/>
    <x v="5"/>
    <x v="5"/>
    <x v="1"/>
    <x v="1"/>
    <x v="1"/>
    <x v="0"/>
    <x v="1"/>
    <x v="193"/>
    <x v="377"/>
    <x v="3"/>
    <x v="0"/>
    <x v="2"/>
    <x v="3"/>
    <x v="3"/>
  </r>
  <r>
    <x v="655"/>
    <x v="1"/>
    <x v="0"/>
    <x v="2"/>
    <x v="241"/>
    <x v="2"/>
    <x v="2"/>
    <x v="2"/>
    <x v="0"/>
    <x v="0"/>
    <x v="0"/>
    <x v="0"/>
    <x v="0"/>
    <x v="0"/>
    <x v="0"/>
    <x v="0"/>
    <x v="147"/>
    <x v="208"/>
    <x v="5"/>
    <x v="0"/>
    <x v="3"/>
    <x v="0"/>
    <x v="0"/>
  </r>
  <r>
    <x v="656"/>
    <x v="1"/>
    <x v="4"/>
    <x v="9"/>
    <x v="222"/>
    <x v="4"/>
    <x v="2"/>
    <x v="2"/>
    <x v="4"/>
    <x v="4"/>
    <x v="4"/>
    <x v="1"/>
    <x v="0"/>
    <x v="0"/>
    <x v="0"/>
    <x v="0"/>
    <x v="246"/>
    <x v="378"/>
    <x v="0"/>
    <x v="0"/>
    <x v="2"/>
    <x v="2"/>
    <x v="2"/>
  </r>
  <r>
    <x v="657"/>
    <x v="0"/>
    <x v="2"/>
    <x v="117"/>
    <x v="136"/>
    <x v="1"/>
    <x v="19"/>
    <x v="3"/>
    <x v="2"/>
    <x v="2"/>
    <x v="2"/>
    <x v="1"/>
    <x v="2"/>
    <x v="2"/>
    <x v="0"/>
    <x v="2"/>
    <x v="247"/>
    <x v="379"/>
    <x v="5"/>
    <x v="0"/>
    <x v="4"/>
    <x v="1"/>
    <x v="1"/>
  </r>
  <r>
    <x v="658"/>
    <x v="1"/>
    <x v="1"/>
    <x v="6"/>
    <x v="253"/>
    <x v="2"/>
    <x v="2"/>
    <x v="3"/>
    <x v="1"/>
    <x v="1"/>
    <x v="1"/>
    <x v="0"/>
    <x v="1"/>
    <x v="1"/>
    <x v="0"/>
    <x v="1"/>
    <x v="124"/>
    <x v="176"/>
    <x v="5"/>
    <x v="0"/>
    <x v="2"/>
    <x v="0"/>
    <x v="0"/>
  </r>
  <r>
    <x v="659"/>
    <x v="0"/>
    <x v="4"/>
    <x v="118"/>
    <x v="92"/>
    <x v="2"/>
    <x v="2"/>
    <x v="1"/>
    <x v="4"/>
    <x v="4"/>
    <x v="4"/>
    <x v="1"/>
    <x v="0"/>
    <x v="0"/>
    <x v="0"/>
    <x v="0"/>
    <x v="248"/>
    <x v="380"/>
    <x v="4"/>
    <x v="0"/>
    <x v="4"/>
    <x v="2"/>
    <x v="2"/>
  </r>
  <r>
    <x v="660"/>
    <x v="1"/>
    <x v="0"/>
    <x v="2"/>
    <x v="99"/>
    <x v="0"/>
    <x v="0"/>
    <x v="1"/>
    <x v="0"/>
    <x v="0"/>
    <x v="0"/>
    <x v="0"/>
    <x v="0"/>
    <x v="0"/>
    <x v="0"/>
    <x v="0"/>
    <x v="155"/>
    <x v="381"/>
    <x v="2"/>
    <x v="0"/>
    <x v="1"/>
    <x v="0"/>
    <x v="0"/>
  </r>
  <r>
    <x v="661"/>
    <x v="0"/>
    <x v="5"/>
    <x v="119"/>
    <x v="170"/>
    <x v="1"/>
    <x v="12"/>
    <x v="3"/>
    <x v="5"/>
    <x v="5"/>
    <x v="5"/>
    <x v="1"/>
    <x v="1"/>
    <x v="1"/>
    <x v="0"/>
    <x v="1"/>
    <x v="20"/>
    <x v="154"/>
    <x v="1"/>
    <x v="0"/>
    <x v="1"/>
    <x v="3"/>
    <x v="3"/>
  </r>
  <r>
    <x v="662"/>
    <x v="2"/>
    <x v="3"/>
    <x v="120"/>
    <x v="267"/>
    <x v="4"/>
    <x v="2"/>
    <x v="2"/>
    <x v="3"/>
    <x v="3"/>
    <x v="3"/>
    <x v="0"/>
    <x v="2"/>
    <x v="2"/>
    <x v="0"/>
    <x v="2"/>
    <x v="247"/>
    <x v="379"/>
    <x v="5"/>
    <x v="0"/>
    <x v="4"/>
    <x v="0"/>
    <x v="0"/>
  </r>
  <r>
    <x v="663"/>
    <x v="2"/>
    <x v="1"/>
    <x v="121"/>
    <x v="268"/>
    <x v="1"/>
    <x v="1"/>
    <x v="0"/>
    <x v="1"/>
    <x v="1"/>
    <x v="1"/>
    <x v="0"/>
    <x v="1"/>
    <x v="1"/>
    <x v="0"/>
    <x v="1"/>
    <x v="196"/>
    <x v="286"/>
    <x v="3"/>
    <x v="0"/>
    <x v="3"/>
    <x v="0"/>
    <x v="0"/>
  </r>
  <r>
    <x v="664"/>
    <x v="1"/>
    <x v="2"/>
    <x v="4"/>
    <x v="39"/>
    <x v="2"/>
    <x v="2"/>
    <x v="0"/>
    <x v="2"/>
    <x v="2"/>
    <x v="2"/>
    <x v="1"/>
    <x v="2"/>
    <x v="2"/>
    <x v="0"/>
    <x v="2"/>
    <x v="219"/>
    <x v="382"/>
    <x v="3"/>
    <x v="0"/>
    <x v="2"/>
    <x v="1"/>
    <x v="1"/>
  </r>
  <r>
    <x v="665"/>
    <x v="1"/>
    <x v="5"/>
    <x v="8"/>
    <x v="53"/>
    <x v="2"/>
    <x v="2"/>
    <x v="0"/>
    <x v="5"/>
    <x v="5"/>
    <x v="5"/>
    <x v="1"/>
    <x v="1"/>
    <x v="1"/>
    <x v="0"/>
    <x v="1"/>
    <x v="221"/>
    <x v="383"/>
    <x v="4"/>
    <x v="0"/>
    <x v="0"/>
    <x v="3"/>
    <x v="3"/>
  </r>
  <r>
    <x v="666"/>
    <x v="1"/>
    <x v="4"/>
    <x v="9"/>
    <x v="269"/>
    <x v="4"/>
    <x v="2"/>
    <x v="1"/>
    <x v="4"/>
    <x v="4"/>
    <x v="4"/>
    <x v="1"/>
    <x v="0"/>
    <x v="0"/>
    <x v="0"/>
    <x v="0"/>
    <x v="239"/>
    <x v="384"/>
    <x v="5"/>
    <x v="0"/>
    <x v="0"/>
    <x v="2"/>
    <x v="2"/>
  </r>
  <r>
    <x v="667"/>
    <x v="1"/>
    <x v="3"/>
    <x v="5"/>
    <x v="4"/>
    <x v="1"/>
    <x v="0"/>
    <x v="0"/>
    <x v="3"/>
    <x v="3"/>
    <x v="3"/>
    <x v="0"/>
    <x v="2"/>
    <x v="2"/>
    <x v="0"/>
    <x v="2"/>
    <x v="234"/>
    <x v="351"/>
    <x v="0"/>
    <x v="0"/>
    <x v="2"/>
    <x v="0"/>
    <x v="0"/>
  </r>
  <r>
    <x v="668"/>
    <x v="1"/>
    <x v="4"/>
    <x v="9"/>
    <x v="270"/>
    <x v="4"/>
    <x v="2"/>
    <x v="0"/>
    <x v="4"/>
    <x v="4"/>
    <x v="4"/>
    <x v="1"/>
    <x v="0"/>
    <x v="0"/>
    <x v="0"/>
    <x v="0"/>
    <x v="249"/>
    <x v="385"/>
    <x v="5"/>
    <x v="0"/>
    <x v="0"/>
    <x v="2"/>
    <x v="2"/>
  </r>
  <r>
    <x v="669"/>
    <x v="2"/>
    <x v="5"/>
    <x v="122"/>
    <x v="177"/>
    <x v="4"/>
    <x v="2"/>
    <x v="1"/>
    <x v="5"/>
    <x v="5"/>
    <x v="5"/>
    <x v="1"/>
    <x v="1"/>
    <x v="1"/>
    <x v="0"/>
    <x v="1"/>
    <x v="250"/>
    <x v="386"/>
    <x v="4"/>
    <x v="0"/>
    <x v="0"/>
    <x v="3"/>
    <x v="3"/>
  </r>
  <r>
    <x v="670"/>
    <x v="1"/>
    <x v="1"/>
    <x v="6"/>
    <x v="96"/>
    <x v="2"/>
    <x v="2"/>
    <x v="0"/>
    <x v="1"/>
    <x v="1"/>
    <x v="1"/>
    <x v="0"/>
    <x v="1"/>
    <x v="1"/>
    <x v="0"/>
    <x v="1"/>
    <x v="32"/>
    <x v="186"/>
    <x v="2"/>
    <x v="0"/>
    <x v="4"/>
    <x v="0"/>
    <x v="0"/>
  </r>
  <r>
    <x v="671"/>
    <x v="0"/>
    <x v="0"/>
    <x v="123"/>
    <x v="145"/>
    <x v="2"/>
    <x v="2"/>
    <x v="2"/>
    <x v="0"/>
    <x v="0"/>
    <x v="0"/>
    <x v="0"/>
    <x v="0"/>
    <x v="0"/>
    <x v="0"/>
    <x v="0"/>
    <x v="39"/>
    <x v="387"/>
    <x v="2"/>
    <x v="0"/>
    <x v="0"/>
    <x v="0"/>
    <x v="0"/>
  </r>
  <r>
    <x v="672"/>
    <x v="1"/>
    <x v="2"/>
    <x v="4"/>
    <x v="271"/>
    <x v="3"/>
    <x v="2"/>
    <x v="3"/>
    <x v="2"/>
    <x v="2"/>
    <x v="2"/>
    <x v="1"/>
    <x v="2"/>
    <x v="2"/>
    <x v="0"/>
    <x v="2"/>
    <x v="211"/>
    <x v="311"/>
    <x v="5"/>
    <x v="0"/>
    <x v="2"/>
    <x v="1"/>
    <x v="1"/>
  </r>
  <r>
    <x v="673"/>
    <x v="2"/>
    <x v="0"/>
    <x v="124"/>
    <x v="132"/>
    <x v="4"/>
    <x v="2"/>
    <x v="1"/>
    <x v="0"/>
    <x v="0"/>
    <x v="0"/>
    <x v="0"/>
    <x v="0"/>
    <x v="0"/>
    <x v="0"/>
    <x v="0"/>
    <x v="83"/>
    <x v="388"/>
    <x v="1"/>
    <x v="0"/>
    <x v="1"/>
    <x v="0"/>
    <x v="0"/>
  </r>
  <r>
    <x v="674"/>
    <x v="2"/>
    <x v="5"/>
    <x v="125"/>
    <x v="272"/>
    <x v="2"/>
    <x v="2"/>
    <x v="3"/>
    <x v="5"/>
    <x v="5"/>
    <x v="5"/>
    <x v="1"/>
    <x v="1"/>
    <x v="1"/>
    <x v="0"/>
    <x v="1"/>
    <x v="196"/>
    <x v="366"/>
    <x v="4"/>
    <x v="0"/>
    <x v="4"/>
    <x v="3"/>
    <x v="3"/>
  </r>
  <r>
    <x v="675"/>
    <x v="1"/>
    <x v="3"/>
    <x v="5"/>
    <x v="189"/>
    <x v="1"/>
    <x v="1"/>
    <x v="1"/>
    <x v="3"/>
    <x v="3"/>
    <x v="3"/>
    <x v="0"/>
    <x v="2"/>
    <x v="2"/>
    <x v="0"/>
    <x v="2"/>
    <x v="251"/>
    <x v="389"/>
    <x v="4"/>
    <x v="0"/>
    <x v="4"/>
    <x v="0"/>
    <x v="0"/>
  </r>
  <r>
    <x v="676"/>
    <x v="1"/>
    <x v="5"/>
    <x v="8"/>
    <x v="42"/>
    <x v="1"/>
    <x v="16"/>
    <x v="1"/>
    <x v="5"/>
    <x v="5"/>
    <x v="5"/>
    <x v="1"/>
    <x v="1"/>
    <x v="1"/>
    <x v="0"/>
    <x v="1"/>
    <x v="252"/>
    <x v="390"/>
    <x v="3"/>
    <x v="0"/>
    <x v="0"/>
    <x v="3"/>
    <x v="3"/>
  </r>
  <r>
    <x v="677"/>
    <x v="1"/>
    <x v="0"/>
    <x v="2"/>
    <x v="167"/>
    <x v="2"/>
    <x v="2"/>
    <x v="3"/>
    <x v="0"/>
    <x v="0"/>
    <x v="0"/>
    <x v="0"/>
    <x v="0"/>
    <x v="0"/>
    <x v="0"/>
    <x v="0"/>
    <x v="203"/>
    <x v="298"/>
    <x v="0"/>
    <x v="0"/>
    <x v="3"/>
    <x v="0"/>
    <x v="0"/>
  </r>
  <r>
    <x v="678"/>
    <x v="1"/>
    <x v="4"/>
    <x v="9"/>
    <x v="5"/>
    <x v="1"/>
    <x v="9"/>
    <x v="0"/>
    <x v="4"/>
    <x v="4"/>
    <x v="4"/>
    <x v="1"/>
    <x v="0"/>
    <x v="0"/>
    <x v="0"/>
    <x v="0"/>
    <x v="65"/>
    <x v="323"/>
    <x v="0"/>
    <x v="0"/>
    <x v="4"/>
    <x v="2"/>
    <x v="2"/>
  </r>
  <r>
    <x v="679"/>
    <x v="1"/>
    <x v="3"/>
    <x v="5"/>
    <x v="231"/>
    <x v="3"/>
    <x v="2"/>
    <x v="3"/>
    <x v="3"/>
    <x v="3"/>
    <x v="3"/>
    <x v="0"/>
    <x v="2"/>
    <x v="2"/>
    <x v="0"/>
    <x v="2"/>
    <x v="76"/>
    <x v="334"/>
    <x v="2"/>
    <x v="0"/>
    <x v="1"/>
    <x v="0"/>
    <x v="0"/>
  </r>
  <r>
    <x v="680"/>
    <x v="0"/>
    <x v="3"/>
    <x v="126"/>
    <x v="69"/>
    <x v="1"/>
    <x v="0"/>
    <x v="2"/>
    <x v="3"/>
    <x v="3"/>
    <x v="3"/>
    <x v="0"/>
    <x v="2"/>
    <x v="2"/>
    <x v="0"/>
    <x v="2"/>
    <x v="18"/>
    <x v="304"/>
    <x v="1"/>
    <x v="0"/>
    <x v="4"/>
    <x v="0"/>
    <x v="0"/>
  </r>
  <r>
    <x v="681"/>
    <x v="1"/>
    <x v="1"/>
    <x v="6"/>
    <x v="273"/>
    <x v="0"/>
    <x v="1"/>
    <x v="3"/>
    <x v="1"/>
    <x v="1"/>
    <x v="1"/>
    <x v="0"/>
    <x v="1"/>
    <x v="1"/>
    <x v="0"/>
    <x v="1"/>
    <x v="181"/>
    <x v="259"/>
    <x v="0"/>
    <x v="0"/>
    <x v="0"/>
    <x v="0"/>
    <x v="0"/>
  </r>
  <r>
    <x v="682"/>
    <x v="1"/>
    <x v="1"/>
    <x v="6"/>
    <x v="223"/>
    <x v="1"/>
    <x v="1"/>
    <x v="2"/>
    <x v="1"/>
    <x v="1"/>
    <x v="1"/>
    <x v="0"/>
    <x v="1"/>
    <x v="1"/>
    <x v="0"/>
    <x v="1"/>
    <x v="200"/>
    <x v="293"/>
    <x v="5"/>
    <x v="0"/>
    <x v="4"/>
    <x v="0"/>
    <x v="0"/>
  </r>
  <r>
    <x v="683"/>
    <x v="1"/>
    <x v="2"/>
    <x v="4"/>
    <x v="205"/>
    <x v="4"/>
    <x v="2"/>
    <x v="2"/>
    <x v="2"/>
    <x v="2"/>
    <x v="2"/>
    <x v="1"/>
    <x v="2"/>
    <x v="2"/>
    <x v="0"/>
    <x v="2"/>
    <x v="17"/>
    <x v="160"/>
    <x v="4"/>
    <x v="0"/>
    <x v="1"/>
    <x v="1"/>
    <x v="1"/>
  </r>
  <r>
    <x v="684"/>
    <x v="1"/>
    <x v="2"/>
    <x v="4"/>
    <x v="199"/>
    <x v="1"/>
    <x v="11"/>
    <x v="2"/>
    <x v="2"/>
    <x v="2"/>
    <x v="2"/>
    <x v="1"/>
    <x v="2"/>
    <x v="2"/>
    <x v="0"/>
    <x v="2"/>
    <x v="190"/>
    <x v="391"/>
    <x v="3"/>
    <x v="0"/>
    <x v="2"/>
    <x v="1"/>
    <x v="1"/>
  </r>
  <r>
    <x v="685"/>
    <x v="1"/>
    <x v="4"/>
    <x v="9"/>
    <x v="242"/>
    <x v="1"/>
    <x v="9"/>
    <x v="3"/>
    <x v="4"/>
    <x v="4"/>
    <x v="4"/>
    <x v="1"/>
    <x v="0"/>
    <x v="0"/>
    <x v="0"/>
    <x v="0"/>
    <x v="245"/>
    <x v="376"/>
    <x v="5"/>
    <x v="0"/>
    <x v="2"/>
    <x v="2"/>
    <x v="2"/>
  </r>
  <r>
    <x v="686"/>
    <x v="1"/>
    <x v="2"/>
    <x v="4"/>
    <x v="3"/>
    <x v="1"/>
    <x v="5"/>
    <x v="3"/>
    <x v="2"/>
    <x v="2"/>
    <x v="2"/>
    <x v="1"/>
    <x v="2"/>
    <x v="2"/>
    <x v="0"/>
    <x v="2"/>
    <x v="195"/>
    <x v="392"/>
    <x v="1"/>
    <x v="0"/>
    <x v="4"/>
    <x v="1"/>
    <x v="1"/>
  </r>
  <r>
    <x v="687"/>
    <x v="1"/>
    <x v="0"/>
    <x v="2"/>
    <x v="189"/>
    <x v="1"/>
    <x v="1"/>
    <x v="2"/>
    <x v="0"/>
    <x v="0"/>
    <x v="0"/>
    <x v="0"/>
    <x v="0"/>
    <x v="0"/>
    <x v="0"/>
    <x v="0"/>
    <x v="46"/>
    <x v="156"/>
    <x v="5"/>
    <x v="0"/>
    <x v="0"/>
    <x v="0"/>
    <x v="0"/>
  </r>
  <r>
    <x v="688"/>
    <x v="1"/>
    <x v="0"/>
    <x v="2"/>
    <x v="49"/>
    <x v="1"/>
    <x v="0"/>
    <x v="3"/>
    <x v="0"/>
    <x v="0"/>
    <x v="0"/>
    <x v="0"/>
    <x v="0"/>
    <x v="0"/>
    <x v="0"/>
    <x v="0"/>
    <x v="125"/>
    <x v="177"/>
    <x v="3"/>
    <x v="0"/>
    <x v="2"/>
    <x v="0"/>
    <x v="0"/>
  </r>
  <r>
    <x v="689"/>
    <x v="2"/>
    <x v="1"/>
    <x v="127"/>
    <x v="69"/>
    <x v="0"/>
    <x v="0"/>
    <x v="2"/>
    <x v="1"/>
    <x v="1"/>
    <x v="1"/>
    <x v="0"/>
    <x v="1"/>
    <x v="1"/>
    <x v="0"/>
    <x v="1"/>
    <x v="231"/>
    <x v="347"/>
    <x v="2"/>
    <x v="0"/>
    <x v="3"/>
    <x v="0"/>
    <x v="0"/>
  </r>
  <r>
    <x v="690"/>
    <x v="0"/>
    <x v="5"/>
    <x v="128"/>
    <x v="97"/>
    <x v="2"/>
    <x v="2"/>
    <x v="2"/>
    <x v="5"/>
    <x v="5"/>
    <x v="5"/>
    <x v="1"/>
    <x v="1"/>
    <x v="1"/>
    <x v="0"/>
    <x v="1"/>
    <x v="253"/>
    <x v="393"/>
    <x v="5"/>
    <x v="0"/>
    <x v="3"/>
    <x v="3"/>
    <x v="3"/>
  </r>
  <r>
    <x v="691"/>
    <x v="2"/>
    <x v="1"/>
    <x v="129"/>
    <x v="274"/>
    <x v="2"/>
    <x v="2"/>
    <x v="3"/>
    <x v="1"/>
    <x v="1"/>
    <x v="1"/>
    <x v="0"/>
    <x v="1"/>
    <x v="1"/>
    <x v="0"/>
    <x v="1"/>
    <x v="106"/>
    <x v="394"/>
    <x v="3"/>
    <x v="0"/>
    <x v="3"/>
    <x v="0"/>
    <x v="0"/>
  </r>
  <r>
    <x v="692"/>
    <x v="2"/>
    <x v="1"/>
    <x v="130"/>
    <x v="139"/>
    <x v="1"/>
    <x v="1"/>
    <x v="0"/>
    <x v="1"/>
    <x v="1"/>
    <x v="1"/>
    <x v="0"/>
    <x v="1"/>
    <x v="1"/>
    <x v="0"/>
    <x v="1"/>
    <x v="109"/>
    <x v="395"/>
    <x v="5"/>
    <x v="0"/>
    <x v="1"/>
    <x v="0"/>
    <x v="0"/>
  </r>
  <r>
    <x v="693"/>
    <x v="2"/>
    <x v="4"/>
    <x v="131"/>
    <x v="136"/>
    <x v="1"/>
    <x v="14"/>
    <x v="1"/>
    <x v="4"/>
    <x v="4"/>
    <x v="4"/>
    <x v="1"/>
    <x v="0"/>
    <x v="0"/>
    <x v="0"/>
    <x v="0"/>
    <x v="198"/>
    <x v="291"/>
    <x v="5"/>
    <x v="0"/>
    <x v="3"/>
    <x v="2"/>
    <x v="2"/>
  </r>
  <r>
    <x v="694"/>
    <x v="2"/>
    <x v="4"/>
    <x v="132"/>
    <x v="275"/>
    <x v="4"/>
    <x v="2"/>
    <x v="3"/>
    <x v="4"/>
    <x v="4"/>
    <x v="4"/>
    <x v="1"/>
    <x v="0"/>
    <x v="0"/>
    <x v="0"/>
    <x v="0"/>
    <x v="3"/>
    <x v="396"/>
    <x v="4"/>
    <x v="0"/>
    <x v="1"/>
    <x v="2"/>
    <x v="2"/>
  </r>
  <r>
    <x v="695"/>
    <x v="0"/>
    <x v="1"/>
    <x v="47"/>
    <x v="36"/>
    <x v="1"/>
    <x v="1"/>
    <x v="2"/>
    <x v="1"/>
    <x v="1"/>
    <x v="1"/>
    <x v="0"/>
    <x v="1"/>
    <x v="1"/>
    <x v="0"/>
    <x v="1"/>
    <x v="193"/>
    <x v="277"/>
    <x v="0"/>
    <x v="0"/>
    <x v="3"/>
    <x v="0"/>
    <x v="0"/>
  </r>
  <r>
    <x v="696"/>
    <x v="1"/>
    <x v="5"/>
    <x v="8"/>
    <x v="251"/>
    <x v="4"/>
    <x v="2"/>
    <x v="2"/>
    <x v="5"/>
    <x v="5"/>
    <x v="5"/>
    <x v="1"/>
    <x v="1"/>
    <x v="1"/>
    <x v="0"/>
    <x v="1"/>
    <x v="116"/>
    <x v="268"/>
    <x v="4"/>
    <x v="0"/>
    <x v="4"/>
    <x v="3"/>
    <x v="3"/>
  </r>
  <r>
    <x v="697"/>
    <x v="1"/>
    <x v="1"/>
    <x v="6"/>
    <x v="169"/>
    <x v="0"/>
    <x v="1"/>
    <x v="3"/>
    <x v="1"/>
    <x v="1"/>
    <x v="1"/>
    <x v="0"/>
    <x v="1"/>
    <x v="1"/>
    <x v="0"/>
    <x v="1"/>
    <x v="108"/>
    <x v="151"/>
    <x v="4"/>
    <x v="0"/>
    <x v="1"/>
    <x v="0"/>
    <x v="0"/>
  </r>
  <r>
    <x v="698"/>
    <x v="1"/>
    <x v="2"/>
    <x v="4"/>
    <x v="217"/>
    <x v="3"/>
    <x v="2"/>
    <x v="1"/>
    <x v="2"/>
    <x v="2"/>
    <x v="2"/>
    <x v="1"/>
    <x v="2"/>
    <x v="2"/>
    <x v="0"/>
    <x v="2"/>
    <x v="133"/>
    <x v="188"/>
    <x v="0"/>
    <x v="0"/>
    <x v="0"/>
    <x v="1"/>
    <x v="1"/>
  </r>
  <r>
    <x v="699"/>
    <x v="1"/>
    <x v="1"/>
    <x v="6"/>
    <x v="223"/>
    <x v="2"/>
    <x v="2"/>
    <x v="2"/>
    <x v="1"/>
    <x v="1"/>
    <x v="1"/>
    <x v="0"/>
    <x v="1"/>
    <x v="1"/>
    <x v="0"/>
    <x v="1"/>
    <x v="151"/>
    <x v="397"/>
    <x v="5"/>
    <x v="0"/>
    <x v="1"/>
    <x v="0"/>
    <x v="0"/>
  </r>
  <r>
    <x v="700"/>
    <x v="2"/>
    <x v="3"/>
    <x v="133"/>
    <x v="10"/>
    <x v="2"/>
    <x v="2"/>
    <x v="2"/>
    <x v="3"/>
    <x v="3"/>
    <x v="3"/>
    <x v="0"/>
    <x v="2"/>
    <x v="2"/>
    <x v="0"/>
    <x v="2"/>
    <x v="93"/>
    <x v="315"/>
    <x v="3"/>
    <x v="0"/>
    <x v="3"/>
    <x v="0"/>
    <x v="0"/>
  </r>
  <r>
    <x v="701"/>
    <x v="0"/>
    <x v="4"/>
    <x v="134"/>
    <x v="198"/>
    <x v="1"/>
    <x v="14"/>
    <x v="2"/>
    <x v="4"/>
    <x v="4"/>
    <x v="4"/>
    <x v="1"/>
    <x v="0"/>
    <x v="0"/>
    <x v="0"/>
    <x v="0"/>
    <x v="104"/>
    <x v="173"/>
    <x v="1"/>
    <x v="0"/>
    <x v="3"/>
    <x v="2"/>
    <x v="2"/>
  </r>
  <r>
    <x v="702"/>
    <x v="2"/>
    <x v="3"/>
    <x v="135"/>
    <x v="40"/>
    <x v="3"/>
    <x v="2"/>
    <x v="0"/>
    <x v="3"/>
    <x v="3"/>
    <x v="3"/>
    <x v="0"/>
    <x v="2"/>
    <x v="2"/>
    <x v="0"/>
    <x v="2"/>
    <x v="155"/>
    <x v="283"/>
    <x v="1"/>
    <x v="0"/>
    <x v="2"/>
    <x v="0"/>
    <x v="0"/>
  </r>
  <r>
    <x v="703"/>
    <x v="1"/>
    <x v="0"/>
    <x v="2"/>
    <x v="229"/>
    <x v="1"/>
    <x v="1"/>
    <x v="1"/>
    <x v="0"/>
    <x v="0"/>
    <x v="0"/>
    <x v="0"/>
    <x v="0"/>
    <x v="0"/>
    <x v="0"/>
    <x v="0"/>
    <x v="105"/>
    <x v="148"/>
    <x v="0"/>
    <x v="0"/>
    <x v="4"/>
    <x v="0"/>
    <x v="0"/>
  </r>
  <r>
    <x v="704"/>
    <x v="1"/>
    <x v="3"/>
    <x v="5"/>
    <x v="276"/>
    <x v="2"/>
    <x v="2"/>
    <x v="3"/>
    <x v="3"/>
    <x v="3"/>
    <x v="3"/>
    <x v="0"/>
    <x v="2"/>
    <x v="2"/>
    <x v="0"/>
    <x v="2"/>
    <x v="230"/>
    <x v="398"/>
    <x v="4"/>
    <x v="0"/>
    <x v="1"/>
    <x v="0"/>
    <x v="0"/>
  </r>
  <r>
    <x v="705"/>
    <x v="2"/>
    <x v="5"/>
    <x v="136"/>
    <x v="240"/>
    <x v="1"/>
    <x v="13"/>
    <x v="3"/>
    <x v="5"/>
    <x v="5"/>
    <x v="5"/>
    <x v="1"/>
    <x v="1"/>
    <x v="1"/>
    <x v="0"/>
    <x v="1"/>
    <x v="165"/>
    <x v="399"/>
    <x v="5"/>
    <x v="0"/>
    <x v="4"/>
    <x v="3"/>
    <x v="3"/>
  </r>
  <r>
    <x v="706"/>
    <x v="1"/>
    <x v="5"/>
    <x v="8"/>
    <x v="159"/>
    <x v="1"/>
    <x v="8"/>
    <x v="3"/>
    <x v="5"/>
    <x v="5"/>
    <x v="5"/>
    <x v="1"/>
    <x v="1"/>
    <x v="1"/>
    <x v="0"/>
    <x v="1"/>
    <x v="254"/>
    <x v="400"/>
    <x v="5"/>
    <x v="0"/>
    <x v="4"/>
    <x v="3"/>
    <x v="3"/>
  </r>
  <r>
    <x v="707"/>
    <x v="1"/>
    <x v="1"/>
    <x v="6"/>
    <x v="156"/>
    <x v="2"/>
    <x v="2"/>
    <x v="2"/>
    <x v="1"/>
    <x v="1"/>
    <x v="1"/>
    <x v="0"/>
    <x v="1"/>
    <x v="1"/>
    <x v="0"/>
    <x v="1"/>
    <x v="255"/>
    <x v="401"/>
    <x v="2"/>
    <x v="0"/>
    <x v="4"/>
    <x v="0"/>
    <x v="0"/>
  </r>
  <r>
    <x v="708"/>
    <x v="1"/>
    <x v="3"/>
    <x v="5"/>
    <x v="53"/>
    <x v="1"/>
    <x v="1"/>
    <x v="0"/>
    <x v="3"/>
    <x v="3"/>
    <x v="3"/>
    <x v="0"/>
    <x v="2"/>
    <x v="2"/>
    <x v="0"/>
    <x v="2"/>
    <x v="136"/>
    <x v="194"/>
    <x v="5"/>
    <x v="0"/>
    <x v="2"/>
    <x v="0"/>
    <x v="0"/>
  </r>
  <r>
    <x v="709"/>
    <x v="1"/>
    <x v="0"/>
    <x v="2"/>
    <x v="206"/>
    <x v="1"/>
    <x v="0"/>
    <x v="0"/>
    <x v="0"/>
    <x v="0"/>
    <x v="0"/>
    <x v="0"/>
    <x v="0"/>
    <x v="0"/>
    <x v="0"/>
    <x v="0"/>
    <x v="139"/>
    <x v="402"/>
    <x v="0"/>
    <x v="0"/>
    <x v="4"/>
    <x v="0"/>
    <x v="0"/>
  </r>
  <r>
    <x v="710"/>
    <x v="1"/>
    <x v="0"/>
    <x v="2"/>
    <x v="239"/>
    <x v="4"/>
    <x v="2"/>
    <x v="1"/>
    <x v="0"/>
    <x v="0"/>
    <x v="0"/>
    <x v="0"/>
    <x v="0"/>
    <x v="0"/>
    <x v="0"/>
    <x v="0"/>
    <x v="256"/>
    <x v="403"/>
    <x v="0"/>
    <x v="0"/>
    <x v="1"/>
    <x v="0"/>
    <x v="0"/>
  </r>
  <r>
    <x v="711"/>
    <x v="1"/>
    <x v="3"/>
    <x v="5"/>
    <x v="150"/>
    <x v="4"/>
    <x v="2"/>
    <x v="3"/>
    <x v="3"/>
    <x v="3"/>
    <x v="3"/>
    <x v="0"/>
    <x v="2"/>
    <x v="2"/>
    <x v="0"/>
    <x v="2"/>
    <x v="189"/>
    <x v="270"/>
    <x v="1"/>
    <x v="0"/>
    <x v="1"/>
    <x v="0"/>
    <x v="0"/>
  </r>
  <r>
    <x v="712"/>
    <x v="1"/>
    <x v="2"/>
    <x v="4"/>
    <x v="108"/>
    <x v="1"/>
    <x v="11"/>
    <x v="3"/>
    <x v="2"/>
    <x v="2"/>
    <x v="2"/>
    <x v="1"/>
    <x v="2"/>
    <x v="2"/>
    <x v="0"/>
    <x v="2"/>
    <x v="11"/>
    <x v="404"/>
    <x v="3"/>
    <x v="0"/>
    <x v="2"/>
    <x v="1"/>
    <x v="1"/>
  </r>
  <r>
    <x v="713"/>
    <x v="1"/>
    <x v="4"/>
    <x v="9"/>
    <x v="277"/>
    <x v="1"/>
    <x v="17"/>
    <x v="3"/>
    <x v="4"/>
    <x v="4"/>
    <x v="4"/>
    <x v="1"/>
    <x v="0"/>
    <x v="0"/>
    <x v="0"/>
    <x v="0"/>
    <x v="257"/>
    <x v="405"/>
    <x v="2"/>
    <x v="0"/>
    <x v="3"/>
    <x v="2"/>
    <x v="2"/>
  </r>
  <r>
    <x v="714"/>
    <x v="2"/>
    <x v="1"/>
    <x v="137"/>
    <x v="210"/>
    <x v="1"/>
    <x v="17"/>
    <x v="3"/>
    <x v="1"/>
    <x v="1"/>
    <x v="1"/>
    <x v="0"/>
    <x v="1"/>
    <x v="1"/>
    <x v="0"/>
    <x v="1"/>
    <x v="197"/>
    <x v="406"/>
    <x v="3"/>
    <x v="0"/>
    <x v="4"/>
    <x v="0"/>
    <x v="0"/>
  </r>
  <r>
    <x v="715"/>
    <x v="2"/>
    <x v="0"/>
    <x v="138"/>
    <x v="278"/>
    <x v="3"/>
    <x v="2"/>
    <x v="2"/>
    <x v="0"/>
    <x v="0"/>
    <x v="0"/>
    <x v="0"/>
    <x v="0"/>
    <x v="0"/>
    <x v="0"/>
    <x v="0"/>
    <x v="159"/>
    <x v="407"/>
    <x v="1"/>
    <x v="0"/>
    <x v="2"/>
    <x v="0"/>
    <x v="0"/>
  </r>
  <r>
    <x v="716"/>
    <x v="1"/>
    <x v="3"/>
    <x v="5"/>
    <x v="279"/>
    <x v="3"/>
    <x v="2"/>
    <x v="0"/>
    <x v="3"/>
    <x v="3"/>
    <x v="3"/>
    <x v="0"/>
    <x v="2"/>
    <x v="2"/>
    <x v="0"/>
    <x v="2"/>
    <x v="258"/>
    <x v="408"/>
    <x v="3"/>
    <x v="0"/>
    <x v="2"/>
    <x v="0"/>
    <x v="0"/>
  </r>
  <r>
    <x v="717"/>
    <x v="0"/>
    <x v="0"/>
    <x v="139"/>
    <x v="80"/>
    <x v="1"/>
    <x v="0"/>
    <x v="2"/>
    <x v="0"/>
    <x v="0"/>
    <x v="0"/>
    <x v="0"/>
    <x v="0"/>
    <x v="0"/>
    <x v="0"/>
    <x v="0"/>
    <x v="212"/>
    <x v="409"/>
    <x v="0"/>
    <x v="0"/>
    <x v="1"/>
    <x v="0"/>
    <x v="0"/>
  </r>
  <r>
    <x v="718"/>
    <x v="1"/>
    <x v="0"/>
    <x v="2"/>
    <x v="280"/>
    <x v="4"/>
    <x v="2"/>
    <x v="1"/>
    <x v="0"/>
    <x v="0"/>
    <x v="0"/>
    <x v="0"/>
    <x v="0"/>
    <x v="0"/>
    <x v="0"/>
    <x v="0"/>
    <x v="196"/>
    <x v="286"/>
    <x v="3"/>
    <x v="0"/>
    <x v="3"/>
    <x v="0"/>
    <x v="0"/>
  </r>
  <r>
    <x v="719"/>
    <x v="1"/>
    <x v="5"/>
    <x v="8"/>
    <x v="13"/>
    <x v="3"/>
    <x v="2"/>
    <x v="2"/>
    <x v="5"/>
    <x v="5"/>
    <x v="5"/>
    <x v="1"/>
    <x v="1"/>
    <x v="1"/>
    <x v="0"/>
    <x v="1"/>
    <x v="225"/>
    <x v="331"/>
    <x v="5"/>
    <x v="0"/>
    <x v="4"/>
    <x v="3"/>
    <x v="3"/>
  </r>
  <r>
    <x v="720"/>
    <x v="2"/>
    <x v="3"/>
    <x v="140"/>
    <x v="53"/>
    <x v="0"/>
    <x v="1"/>
    <x v="2"/>
    <x v="3"/>
    <x v="3"/>
    <x v="3"/>
    <x v="0"/>
    <x v="2"/>
    <x v="2"/>
    <x v="0"/>
    <x v="2"/>
    <x v="250"/>
    <x v="410"/>
    <x v="1"/>
    <x v="0"/>
    <x v="1"/>
    <x v="0"/>
    <x v="0"/>
  </r>
  <r>
    <x v="721"/>
    <x v="1"/>
    <x v="5"/>
    <x v="8"/>
    <x v="281"/>
    <x v="1"/>
    <x v="13"/>
    <x v="1"/>
    <x v="5"/>
    <x v="5"/>
    <x v="5"/>
    <x v="1"/>
    <x v="1"/>
    <x v="1"/>
    <x v="0"/>
    <x v="1"/>
    <x v="259"/>
    <x v="411"/>
    <x v="3"/>
    <x v="0"/>
    <x v="0"/>
    <x v="3"/>
    <x v="3"/>
  </r>
  <r>
    <x v="722"/>
    <x v="1"/>
    <x v="1"/>
    <x v="6"/>
    <x v="146"/>
    <x v="2"/>
    <x v="2"/>
    <x v="3"/>
    <x v="1"/>
    <x v="1"/>
    <x v="1"/>
    <x v="0"/>
    <x v="1"/>
    <x v="1"/>
    <x v="0"/>
    <x v="1"/>
    <x v="101"/>
    <x v="143"/>
    <x v="2"/>
    <x v="0"/>
    <x v="4"/>
    <x v="0"/>
    <x v="0"/>
  </r>
  <r>
    <x v="723"/>
    <x v="1"/>
    <x v="4"/>
    <x v="9"/>
    <x v="282"/>
    <x v="0"/>
    <x v="9"/>
    <x v="3"/>
    <x v="4"/>
    <x v="4"/>
    <x v="4"/>
    <x v="1"/>
    <x v="0"/>
    <x v="0"/>
    <x v="0"/>
    <x v="0"/>
    <x v="129"/>
    <x v="182"/>
    <x v="0"/>
    <x v="0"/>
    <x v="1"/>
    <x v="2"/>
    <x v="2"/>
  </r>
  <r>
    <x v="724"/>
    <x v="2"/>
    <x v="4"/>
    <x v="141"/>
    <x v="9"/>
    <x v="1"/>
    <x v="17"/>
    <x v="0"/>
    <x v="4"/>
    <x v="4"/>
    <x v="4"/>
    <x v="1"/>
    <x v="0"/>
    <x v="0"/>
    <x v="0"/>
    <x v="0"/>
    <x v="217"/>
    <x v="412"/>
    <x v="5"/>
    <x v="0"/>
    <x v="0"/>
    <x v="2"/>
    <x v="2"/>
  </r>
  <r>
    <x v="725"/>
    <x v="1"/>
    <x v="1"/>
    <x v="6"/>
    <x v="271"/>
    <x v="1"/>
    <x v="1"/>
    <x v="3"/>
    <x v="1"/>
    <x v="1"/>
    <x v="1"/>
    <x v="0"/>
    <x v="1"/>
    <x v="1"/>
    <x v="0"/>
    <x v="1"/>
    <x v="157"/>
    <x v="222"/>
    <x v="1"/>
    <x v="0"/>
    <x v="4"/>
    <x v="0"/>
    <x v="0"/>
  </r>
  <r>
    <x v="726"/>
    <x v="1"/>
    <x v="4"/>
    <x v="9"/>
    <x v="221"/>
    <x v="1"/>
    <x v="8"/>
    <x v="3"/>
    <x v="4"/>
    <x v="4"/>
    <x v="4"/>
    <x v="1"/>
    <x v="0"/>
    <x v="0"/>
    <x v="0"/>
    <x v="0"/>
    <x v="145"/>
    <x v="332"/>
    <x v="4"/>
    <x v="0"/>
    <x v="2"/>
    <x v="2"/>
    <x v="2"/>
  </r>
  <r>
    <x v="727"/>
    <x v="0"/>
    <x v="1"/>
    <x v="142"/>
    <x v="283"/>
    <x v="1"/>
    <x v="1"/>
    <x v="2"/>
    <x v="1"/>
    <x v="1"/>
    <x v="1"/>
    <x v="0"/>
    <x v="1"/>
    <x v="1"/>
    <x v="0"/>
    <x v="1"/>
    <x v="104"/>
    <x v="146"/>
    <x v="3"/>
    <x v="0"/>
    <x v="1"/>
    <x v="0"/>
    <x v="0"/>
  </r>
  <r>
    <x v="728"/>
    <x v="1"/>
    <x v="3"/>
    <x v="5"/>
    <x v="184"/>
    <x v="1"/>
    <x v="1"/>
    <x v="3"/>
    <x v="3"/>
    <x v="3"/>
    <x v="3"/>
    <x v="0"/>
    <x v="2"/>
    <x v="2"/>
    <x v="0"/>
    <x v="2"/>
    <x v="147"/>
    <x v="208"/>
    <x v="5"/>
    <x v="0"/>
    <x v="3"/>
    <x v="0"/>
    <x v="0"/>
  </r>
  <r>
    <x v="729"/>
    <x v="1"/>
    <x v="5"/>
    <x v="8"/>
    <x v="284"/>
    <x v="3"/>
    <x v="2"/>
    <x v="3"/>
    <x v="5"/>
    <x v="5"/>
    <x v="5"/>
    <x v="1"/>
    <x v="1"/>
    <x v="1"/>
    <x v="0"/>
    <x v="1"/>
    <x v="260"/>
    <x v="413"/>
    <x v="2"/>
    <x v="0"/>
    <x v="3"/>
    <x v="3"/>
    <x v="3"/>
  </r>
  <r>
    <x v="730"/>
    <x v="1"/>
    <x v="4"/>
    <x v="9"/>
    <x v="41"/>
    <x v="1"/>
    <x v="7"/>
    <x v="0"/>
    <x v="4"/>
    <x v="4"/>
    <x v="4"/>
    <x v="1"/>
    <x v="0"/>
    <x v="0"/>
    <x v="0"/>
    <x v="0"/>
    <x v="88"/>
    <x v="414"/>
    <x v="2"/>
    <x v="0"/>
    <x v="2"/>
    <x v="2"/>
    <x v="2"/>
  </r>
  <r>
    <x v="731"/>
    <x v="0"/>
    <x v="1"/>
    <x v="143"/>
    <x v="75"/>
    <x v="1"/>
    <x v="0"/>
    <x v="3"/>
    <x v="1"/>
    <x v="1"/>
    <x v="1"/>
    <x v="0"/>
    <x v="1"/>
    <x v="1"/>
    <x v="0"/>
    <x v="1"/>
    <x v="131"/>
    <x v="184"/>
    <x v="4"/>
    <x v="0"/>
    <x v="2"/>
    <x v="0"/>
    <x v="0"/>
  </r>
  <r>
    <x v="732"/>
    <x v="1"/>
    <x v="4"/>
    <x v="9"/>
    <x v="208"/>
    <x v="1"/>
    <x v="17"/>
    <x v="1"/>
    <x v="4"/>
    <x v="4"/>
    <x v="4"/>
    <x v="1"/>
    <x v="0"/>
    <x v="0"/>
    <x v="0"/>
    <x v="0"/>
    <x v="214"/>
    <x v="316"/>
    <x v="0"/>
    <x v="0"/>
    <x v="2"/>
    <x v="2"/>
    <x v="2"/>
  </r>
  <r>
    <x v="733"/>
    <x v="1"/>
    <x v="1"/>
    <x v="6"/>
    <x v="285"/>
    <x v="1"/>
    <x v="0"/>
    <x v="2"/>
    <x v="1"/>
    <x v="1"/>
    <x v="1"/>
    <x v="0"/>
    <x v="1"/>
    <x v="1"/>
    <x v="0"/>
    <x v="1"/>
    <x v="261"/>
    <x v="415"/>
    <x v="4"/>
    <x v="0"/>
    <x v="4"/>
    <x v="0"/>
    <x v="0"/>
  </r>
  <r>
    <x v="734"/>
    <x v="0"/>
    <x v="5"/>
    <x v="144"/>
    <x v="286"/>
    <x v="1"/>
    <x v="6"/>
    <x v="0"/>
    <x v="5"/>
    <x v="5"/>
    <x v="5"/>
    <x v="1"/>
    <x v="1"/>
    <x v="1"/>
    <x v="0"/>
    <x v="1"/>
    <x v="110"/>
    <x v="158"/>
    <x v="2"/>
    <x v="0"/>
    <x v="0"/>
    <x v="3"/>
    <x v="3"/>
  </r>
  <r>
    <x v="735"/>
    <x v="1"/>
    <x v="1"/>
    <x v="6"/>
    <x v="171"/>
    <x v="1"/>
    <x v="0"/>
    <x v="1"/>
    <x v="1"/>
    <x v="1"/>
    <x v="1"/>
    <x v="0"/>
    <x v="1"/>
    <x v="1"/>
    <x v="0"/>
    <x v="1"/>
    <x v="207"/>
    <x v="306"/>
    <x v="2"/>
    <x v="0"/>
    <x v="4"/>
    <x v="0"/>
    <x v="0"/>
  </r>
  <r>
    <x v="736"/>
    <x v="1"/>
    <x v="4"/>
    <x v="9"/>
    <x v="112"/>
    <x v="1"/>
    <x v="9"/>
    <x v="0"/>
    <x v="4"/>
    <x v="4"/>
    <x v="4"/>
    <x v="1"/>
    <x v="0"/>
    <x v="0"/>
    <x v="0"/>
    <x v="0"/>
    <x v="104"/>
    <x v="294"/>
    <x v="4"/>
    <x v="0"/>
    <x v="4"/>
    <x v="2"/>
    <x v="2"/>
  </r>
  <r>
    <x v="737"/>
    <x v="0"/>
    <x v="3"/>
    <x v="145"/>
    <x v="89"/>
    <x v="1"/>
    <x v="1"/>
    <x v="0"/>
    <x v="3"/>
    <x v="3"/>
    <x v="3"/>
    <x v="0"/>
    <x v="2"/>
    <x v="2"/>
    <x v="0"/>
    <x v="2"/>
    <x v="107"/>
    <x v="150"/>
    <x v="5"/>
    <x v="0"/>
    <x v="1"/>
    <x v="0"/>
    <x v="0"/>
  </r>
  <r>
    <x v="738"/>
    <x v="2"/>
    <x v="3"/>
    <x v="146"/>
    <x v="193"/>
    <x v="1"/>
    <x v="1"/>
    <x v="2"/>
    <x v="3"/>
    <x v="3"/>
    <x v="3"/>
    <x v="0"/>
    <x v="2"/>
    <x v="2"/>
    <x v="0"/>
    <x v="2"/>
    <x v="239"/>
    <x v="384"/>
    <x v="5"/>
    <x v="0"/>
    <x v="0"/>
    <x v="0"/>
    <x v="0"/>
  </r>
  <r>
    <x v="739"/>
    <x v="2"/>
    <x v="1"/>
    <x v="147"/>
    <x v="147"/>
    <x v="1"/>
    <x v="1"/>
    <x v="2"/>
    <x v="1"/>
    <x v="1"/>
    <x v="1"/>
    <x v="0"/>
    <x v="1"/>
    <x v="1"/>
    <x v="0"/>
    <x v="1"/>
    <x v="262"/>
    <x v="416"/>
    <x v="0"/>
    <x v="0"/>
    <x v="2"/>
    <x v="0"/>
    <x v="0"/>
  </r>
  <r>
    <x v="740"/>
    <x v="1"/>
    <x v="2"/>
    <x v="4"/>
    <x v="102"/>
    <x v="1"/>
    <x v="12"/>
    <x v="2"/>
    <x v="2"/>
    <x v="2"/>
    <x v="2"/>
    <x v="1"/>
    <x v="2"/>
    <x v="2"/>
    <x v="0"/>
    <x v="2"/>
    <x v="78"/>
    <x v="233"/>
    <x v="0"/>
    <x v="0"/>
    <x v="3"/>
    <x v="1"/>
    <x v="1"/>
  </r>
  <r>
    <x v="741"/>
    <x v="1"/>
    <x v="1"/>
    <x v="6"/>
    <x v="18"/>
    <x v="3"/>
    <x v="2"/>
    <x v="0"/>
    <x v="1"/>
    <x v="1"/>
    <x v="1"/>
    <x v="0"/>
    <x v="1"/>
    <x v="1"/>
    <x v="0"/>
    <x v="1"/>
    <x v="253"/>
    <x v="417"/>
    <x v="2"/>
    <x v="0"/>
    <x v="0"/>
    <x v="0"/>
    <x v="0"/>
  </r>
  <r>
    <x v="742"/>
    <x v="1"/>
    <x v="3"/>
    <x v="5"/>
    <x v="74"/>
    <x v="1"/>
    <x v="0"/>
    <x v="0"/>
    <x v="3"/>
    <x v="3"/>
    <x v="3"/>
    <x v="0"/>
    <x v="2"/>
    <x v="2"/>
    <x v="0"/>
    <x v="2"/>
    <x v="182"/>
    <x v="260"/>
    <x v="5"/>
    <x v="0"/>
    <x v="0"/>
    <x v="0"/>
    <x v="0"/>
  </r>
  <r>
    <x v="743"/>
    <x v="1"/>
    <x v="3"/>
    <x v="5"/>
    <x v="51"/>
    <x v="1"/>
    <x v="1"/>
    <x v="0"/>
    <x v="3"/>
    <x v="3"/>
    <x v="3"/>
    <x v="0"/>
    <x v="2"/>
    <x v="2"/>
    <x v="0"/>
    <x v="2"/>
    <x v="108"/>
    <x v="151"/>
    <x v="4"/>
    <x v="0"/>
    <x v="1"/>
    <x v="0"/>
    <x v="0"/>
  </r>
  <r>
    <x v="744"/>
    <x v="2"/>
    <x v="5"/>
    <x v="148"/>
    <x v="0"/>
    <x v="1"/>
    <x v="4"/>
    <x v="0"/>
    <x v="5"/>
    <x v="5"/>
    <x v="5"/>
    <x v="1"/>
    <x v="1"/>
    <x v="1"/>
    <x v="0"/>
    <x v="1"/>
    <x v="126"/>
    <x v="353"/>
    <x v="1"/>
    <x v="0"/>
    <x v="3"/>
    <x v="3"/>
    <x v="3"/>
  </r>
  <r>
    <x v="745"/>
    <x v="0"/>
    <x v="4"/>
    <x v="149"/>
    <x v="265"/>
    <x v="2"/>
    <x v="2"/>
    <x v="2"/>
    <x v="4"/>
    <x v="4"/>
    <x v="4"/>
    <x v="1"/>
    <x v="0"/>
    <x v="0"/>
    <x v="0"/>
    <x v="0"/>
    <x v="164"/>
    <x v="230"/>
    <x v="2"/>
    <x v="0"/>
    <x v="3"/>
    <x v="2"/>
    <x v="2"/>
  </r>
  <r>
    <x v="746"/>
    <x v="1"/>
    <x v="5"/>
    <x v="8"/>
    <x v="90"/>
    <x v="1"/>
    <x v="10"/>
    <x v="1"/>
    <x v="5"/>
    <x v="5"/>
    <x v="5"/>
    <x v="1"/>
    <x v="1"/>
    <x v="1"/>
    <x v="0"/>
    <x v="1"/>
    <x v="263"/>
    <x v="418"/>
    <x v="3"/>
    <x v="0"/>
    <x v="0"/>
    <x v="3"/>
    <x v="3"/>
  </r>
  <r>
    <x v="747"/>
    <x v="0"/>
    <x v="5"/>
    <x v="63"/>
    <x v="131"/>
    <x v="1"/>
    <x v="13"/>
    <x v="2"/>
    <x v="5"/>
    <x v="5"/>
    <x v="5"/>
    <x v="1"/>
    <x v="1"/>
    <x v="1"/>
    <x v="0"/>
    <x v="1"/>
    <x v="137"/>
    <x v="219"/>
    <x v="4"/>
    <x v="0"/>
    <x v="3"/>
    <x v="3"/>
    <x v="3"/>
  </r>
  <r>
    <x v="748"/>
    <x v="0"/>
    <x v="1"/>
    <x v="150"/>
    <x v="264"/>
    <x v="2"/>
    <x v="2"/>
    <x v="1"/>
    <x v="1"/>
    <x v="1"/>
    <x v="1"/>
    <x v="0"/>
    <x v="1"/>
    <x v="1"/>
    <x v="0"/>
    <x v="1"/>
    <x v="132"/>
    <x v="276"/>
    <x v="2"/>
    <x v="0"/>
    <x v="4"/>
    <x v="0"/>
    <x v="0"/>
  </r>
  <r>
    <x v="749"/>
    <x v="1"/>
    <x v="0"/>
    <x v="2"/>
    <x v="287"/>
    <x v="1"/>
    <x v="1"/>
    <x v="1"/>
    <x v="0"/>
    <x v="0"/>
    <x v="0"/>
    <x v="0"/>
    <x v="0"/>
    <x v="0"/>
    <x v="0"/>
    <x v="0"/>
    <x v="179"/>
    <x v="257"/>
    <x v="3"/>
    <x v="0"/>
    <x v="0"/>
    <x v="0"/>
    <x v="0"/>
  </r>
  <r>
    <x v="750"/>
    <x v="0"/>
    <x v="2"/>
    <x v="151"/>
    <x v="288"/>
    <x v="1"/>
    <x v="5"/>
    <x v="3"/>
    <x v="2"/>
    <x v="2"/>
    <x v="2"/>
    <x v="1"/>
    <x v="2"/>
    <x v="2"/>
    <x v="0"/>
    <x v="2"/>
    <x v="109"/>
    <x v="395"/>
    <x v="5"/>
    <x v="0"/>
    <x v="1"/>
    <x v="1"/>
    <x v="1"/>
  </r>
  <r>
    <x v="751"/>
    <x v="1"/>
    <x v="5"/>
    <x v="8"/>
    <x v="46"/>
    <x v="1"/>
    <x v="8"/>
    <x v="3"/>
    <x v="5"/>
    <x v="5"/>
    <x v="5"/>
    <x v="1"/>
    <x v="1"/>
    <x v="1"/>
    <x v="0"/>
    <x v="1"/>
    <x v="28"/>
    <x v="419"/>
    <x v="2"/>
    <x v="0"/>
    <x v="3"/>
    <x v="3"/>
    <x v="3"/>
  </r>
  <r>
    <x v="752"/>
    <x v="0"/>
    <x v="5"/>
    <x v="152"/>
    <x v="121"/>
    <x v="1"/>
    <x v="10"/>
    <x v="0"/>
    <x v="5"/>
    <x v="5"/>
    <x v="5"/>
    <x v="1"/>
    <x v="1"/>
    <x v="1"/>
    <x v="0"/>
    <x v="1"/>
    <x v="113"/>
    <x v="162"/>
    <x v="0"/>
    <x v="0"/>
    <x v="2"/>
    <x v="3"/>
    <x v="3"/>
  </r>
  <r>
    <x v="753"/>
    <x v="1"/>
    <x v="3"/>
    <x v="5"/>
    <x v="61"/>
    <x v="4"/>
    <x v="2"/>
    <x v="1"/>
    <x v="3"/>
    <x v="3"/>
    <x v="3"/>
    <x v="0"/>
    <x v="2"/>
    <x v="2"/>
    <x v="0"/>
    <x v="2"/>
    <x v="76"/>
    <x v="342"/>
    <x v="4"/>
    <x v="0"/>
    <x v="4"/>
    <x v="0"/>
    <x v="0"/>
  </r>
  <r>
    <x v="754"/>
    <x v="1"/>
    <x v="4"/>
    <x v="9"/>
    <x v="214"/>
    <x v="1"/>
    <x v="9"/>
    <x v="3"/>
    <x v="4"/>
    <x v="4"/>
    <x v="4"/>
    <x v="1"/>
    <x v="0"/>
    <x v="0"/>
    <x v="0"/>
    <x v="0"/>
    <x v="264"/>
    <x v="420"/>
    <x v="4"/>
    <x v="0"/>
    <x v="4"/>
    <x v="2"/>
    <x v="2"/>
  </r>
  <r>
    <x v="755"/>
    <x v="2"/>
    <x v="3"/>
    <x v="153"/>
    <x v="289"/>
    <x v="1"/>
    <x v="0"/>
    <x v="2"/>
    <x v="3"/>
    <x v="3"/>
    <x v="3"/>
    <x v="0"/>
    <x v="2"/>
    <x v="2"/>
    <x v="0"/>
    <x v="2"/>
    <x v="29"/>
    <x v="153"/>
    <x v="3"/>
    <x v="0"/>
    <x v="0"/>
    <x v="0"/>
    <x v="0"/>
  </r>
  <r>
    <x v="756"/>
    <x v="0"/>
    <x v="0"/>
    <x v="49"/>
    <x v="290"/>
    <x v="1"/>
    <x v="0"/>
    <x v="2"/>
    <x v="0"/>
    <x v="0"/>
    <x v="0"/>
    <x v="0"/>
    <x v="0"/>
    <x v="0"/>
    <x v="0"/>
    <x v="0"/>
    <x v="181"/>
    <x v="421"/>
    <x v="3"/>
    <x v="0"/>
    <x v="1"/>
    <x v="0"/>
    <x v="0"/>
  </r>
  <r>
    <x v="757"/>
    <x v="2"/>
    <x v="2"/>
    <x v="70"/>
    <x v="291"/>
    <x v="4"/>
    <x v="2"/>
    <x v="0"/>
    <x v="2"/>
    <x v="2"/>
    <x v="2"/>
    <x v="1"/>
    <x v="2"/>
    <x v="2"/>
    <x v="0"/>
    <x v="2"/>
    <x v="123"/>
    <x v="187"/>
    <x v="5"/>
    <x v="0"/>
    <x v="3"/>
    <x v="1"/>
    <x v="1"/>
  </r>
  <r>
    <x v="758"/>
    <x v="1"/>
    <x v="2"/>
    <x v="4"/>
    <x v="181"/>
    <x v="2"/>
    <x v="2"/>
    <x v="1"/>
    <x v="2"/>
    <x v="2"/>
    <x v="2"/>
    <x v="1"/>
    <x v="2"/>
    <x v="2"/>
    <x v="0"/>
    <x v="2"/>
    <x v="3"/>
    <x v="422"/>
    <x v="5"/>
    <x v="0"/>
    <x v="1"/>
    <x v="1"/>
    <x v="1"/>
  </r>
  <r>
    <x v="759"/>
    <x v="1"/>
    <x v="0"/>
    <x v="2"/>
    <x v="155"/>
    <x v="1"/>
    <x v="0"/>
    <x v="1"/>
    <x v="0"/>
    <x v="0"/>
    <x v="0"/>
    <x v="0"/>
    <x v="0"/>
    <x v="0"/>
    <x v="0"/>
    <x v="0"/>
    <x v="54"/>
    <x v="368"/>
    <x v="3"/>
    <x v="0"/>
    <x v="2"/>
    <x v="0"/>
    <x v="0"/>
  </r>
  <r>
    <x v="760"/>
    <x v="0"/>
    <x v="5"/>
    <x v="154"/>
    <x v="14"/>
    <x v="2"/>
    <x v="2"/>
    <x v="1"/>
    <x v="5"/>
    <x v="5"/>
    <x v="5"/>
    <x v="1"/>
    <x v="1"/>
    <x v="1"/>
    <x v="0"/>
    <x v="1"/>
    <x v="142"/>
    <x v="266"/>
    <x v="3"/>
    <x v="0"/>
    <x v="4"/>
    <x v="3"/>
    <x v="3"/>
  </r>
  <r>
    <x v="761"/>
    <x v="1"/>
    <x v="1"/>
    <x v="6"/>
    <x v="292"/>
    <x v="1"/>
    <x v="1"/>
    <x v="0"/>
    <x v="1"/>
    <x v="1"/>
    <x v="1"/>
    <x v="0"/>
    <x v="1"/>
    <x v="1"/>
    <x v="0"/>
    <x v="1"/>
    <x v="244"/>
    <x v="373"/>
    <x v="1"/>
    <x v="0"/>
    <x v="1"/>
    <x v="0"/>
    <x v="0"/>
  </r>
  <r>
    <x v="762"/>
    <x v="1"/>
    <x v="0"/>
    <x v="2"/>
    <x v="243"/>
    <x v="1"/>
    <x v="1"/>
    <x v="1"/>
    <x v="0"/>
    <x v="0"/>
    <x v="0"/>
    <x v="0"/>
    <x v="0"/>
    <x v="0"/>
    <x v="0"/>
    <x v="0"/>
    <x v="213"/>
    <x v="335"/>
    <x v="3"/>
    <x v="0"/>
    <x v="0"/>
    <x v="0"/>
    <x v="0"/>
  </r>
  <r>
    <x v="763"/>
    <x v="1"/>
    <x v="4"/>
    <x v="9"/>
    <x v="203"/>
    <x v="1"/>
    <x v="13"/>
    <x v="3"/>
    <x v="4"/>
    <x v="4"/>
    <x v="4"/>
    <x v="1"/>
    <x v="0"/>
    <x v="0"/>
    <x v="0"/>
    <x v="0"/>
    <x v="117"/>
    <x v="423"/>
    <x v="4"/>
    <x v="0"/>
    <x v="3"/>
    <x v="2"/>
    <x v="2"/>
  </r>
  <r>
    <x v="764"/>
    <x v="2"/>
    <x v="2"/>
    <x v="155"/>
    <x v="279"/>
    <x v="3"/>
    <x v="2"/>
    <x v="2"/>
    <x v="2"/>
    <x v="2"/>
    <x v="2"/>
    <x v="1"/>
    <x v="2"/>
    <x v="2"/>
    <x v="0"/>
    <x v="2"/>
    <x v="223"/>
    <x v="329"/>
    <x v="4"/>
    <x v="0"/>
    <x v="1"/>
    <x v="1"/>
    <x v="1"/>
  </r>
  <r>
    <x v="765"/>
    <x v="1"/>
    <x v="1"/>
    <x v="6"/>
    <x v="199"/>
    <x v="1"/>
    <x v="7"/>
    <x v="2"/>
    <x v="1"/>
    <x v="1"/>
    <x v="1"/>
    <x v="0"/>
    <x v="1"/>
    <x v="1"/>
    <x v="0"/>
    <x v="1"/>
    <x v="38"/>
    <x v="424"/>
    <x v="1"/>
    <x v="0"/>
    <x v="1"/>
    <x v="0"/>
    <x v="0"/>
  </r>
  <r>
    <x v="766"/>
    <x v="1"/>
    <x v="0"/>
    <x v="2"/>
    <x v="213"/>
    <x v="1"/>
    <x v="9"/>
    <x v="2"/>
    <x v="0"/>
    <x v="0"/>
    <x v="0"/>
    <x v="0"/>
    <x v="0"/>
    <x v="0"/>
    <x v="0"/>
    <x v="0"/>
    <x v="137"/>
    <x v="219"/>
    <x v="4"/>
    <x v="0"/>
    <x v="3"/>
    <x v="0"/>
    <x v="0"/>
  </r>
  <r>
    <x v="767"/>
    <x v="1"/>
    <x v="4"/>
    <x v="9"/>
    <x v="293"/>
    <x v="1"/>
    <x v="14"/>
    <x v="1"/>
    <x v="4"/>
    <x v="4"/>
    <x v="4"/>
    <x v="1"/>
    <x v="0"/>
    <x v="0"/>
    <x v="0"/>
    <x v="0"/>
    <x v="139"/>
    <x v="402"/>
    <x v="0"/>
    <x v="0"/>
    <x v="4"/>
    <x v="2"/>
    <x v="2"/>
  </r>
  <r>
    <x v="768"/>
    <x v="0"/>
    <x v="0"/>
    <x v="156"/>
    <x v="159"/>
    <x v="1"/>
    <x v="0"/>
    <x v="0"/>
    <x v="0"/>
    <x v="0"/>
    <x v="0"/>
    <x v="0"/>
    <x v="0"/>
    <x v="0"/>
    <x v="0"/>
    <x v="0"/>
    <x v="236"/>
    <x v="354"/>
    <x v="5"/>
    <x v="0"/>
    <x v="4"/>
    <x v="0"/>
    <x v="0"/>
  </r>
  <r>
    <x v="769"/>
    <x v="1"/>
    <x v="3"/>
    <x v="5"/>
    <x v="133"/>
    <x v="4"/>
    <x v="2"/>
    <x v="0"/>
    <x v="3"/>
    <x v="3"/>
    <x v="3"/>
    <x v="0"/>
    <x v="2"/>
    <x v="2"/>
    <x v="0"/>
    <x v="2"/>
    <x v="223"/>
    <x v="329"/>
    <x v="4"/>
    <x v="0"/>
    <x v="1"/>
    <x v="0"/>
    <x v="0"/>
  </r>
  <r>
    <x v="770"/>
    <x v="1"/>
    <x v="0"/>
    <x v="2"/>
    <x v="294"/>
    <x v="1"/>
    <x v="0"/>
    <x v="1"/>
    <x v="0"/>
    <x v="0"/>
    <x v="0"/>
    <x v="0"/>
    <x v="0"/>
    <x v="0"/>
    <x v="0"/>
    <x v="0"/>
    <x v="190"/>
    <x v="271"/>
    <x v="4"/>
    <x v="0"/>
    <x v="2"/>
    <x v="0"/>
    <x v="0"/>
  </r>
  <r>
    <x v="771"/>
    <x v="0"/>
    <x v="3"/>
    <x v="157"/>
    <x v="40"/>
    <x v="1"/>
    <x v="1"/>
    <x v="3"/>
    <x v="3"/>
    <x v="3"/>
    <x v="3"/>
    <x v="0"/>
    <x v="2"/>
    <x v="2"/>
    <x v="0"/>
    <x v="2"/>
    <x v="265"/>
    <x v="425"/>
    <x v="5"/>
    <x v="0"/>
    <x v="4"/>
    <x v="0"/>
    <x v="0"/>
  </r>
  <r>
    <x v="772"/>
    <x v="2"/>
    <x v="1"/>
    <x v="158"/>
    <x v="178"/>
    <x v="1"/>
    <x v="0"/>
    <x v="0"/>
    <x v="1"/>
    <x v="1"/>
    <x v="1"/>
    <x v="0"/>
    <x v="1"/>
    <x v="1"/>
    <x v="0"/>
    <x v="1"/>
    <x v="151"/>
    <x v="212"/>
    <x v="3"/>
    <x v="0"/>
    <x v="4"/>
    <x v="0"/>
    <x v="0"/>
  </r>
  <r>
    <x v="773"/>
    <x v="1"/>
    <x v="0"/>
    <x v="2"/>
    <x v="222"/>
    <x v="3"/>
    <x v="2"/>
    <x v="2"/>
    <x v="0"/>
    <x v="0"/>
    <x v="0"/>
    <x v="0"/>
    <x v="0"/>
    <x v="0"/>
    <x v="0"/>
    <x v="0"/>
    <x v="155"/>
    <x v="349"/>
    <x v="4"/>
    <x v="0"/>
    <x v="4"/>
    <x v="0"/>
    <x v="0"/>
  </r>
  <r>
    <x v="774"/>
    <x v="1"/>
    <x v="5"/>
    <x v="8"/>
    <x v="72"/>
    <x v="1"/>
    <x v="6"/>
    <x v="2"/>
    <x v="5"/>
    <x v="5"/>
    <x v="5"/>
    <x v="1"/>
    <x v="1"/>
    <x v="1"/>
    <x v="0"/>
    <x v="1"/>
    <x v="101"/>
    <x v="426"/>
    <x v="1"/>
    <x v="0"/>
    <x v="0"/>
    <x v="3"/>
    <x v="3"/>
  </r>
  <r>
    <x v="775"/>
    <x v="1"/>
    <x v="5"/>
    <x v="8"/>
    <x v="269"/>
    <x v="1"/>
    <x v="16"/>
    <x v="2"/>
    <x v="5"/>
    <x v="5"/>
    <x v="5"/>
    <x v="1"/>
    <x v="1"/>
    <x v="1"/>
    <x v="0"/>
    <x v="1"/>
    <x v="188"/>
    <x v="269"/>
    <x v="5"/>
    <x v="0"/>
    <x v="2"/>
    <x v="3"/>
    <x v="3"/>
  </r>
  <r>
    <x v="776"/>
    <x v="1"/>
    <x v="5"/>
    <x v="8"/>
    <x v="199"/>
    <x v="0"/>
    <x v="11"/>
    <x v="2"/>
    <x v="5"/>
    <x v="5"/>
    <x v="5"/>
    <x v="1"/>
    <x v="1"/>
    <x v="1"/>
    <x v="0"/>
    <x v="1"/>
    <x v="20"/>
    <x v="154"/>
    <x v="1"/>
    <x v="0"/>
    <x v="1"/>
    <x v="3"/>
    <x v="3"/>
  </r>
  <r>
    <x v="777"/>
    <x v="2"/>
    <x v="0"/>
    <x v="159"/>
    <x v="183"/>
    <x v="1"/>
    <x v="1"/>
    <x v="1"/>
    <x v="0"/>
    <x v="0"/>
    <x v="0"/>
    <x v="0"/>
    <x v="0"/>
    <x v="0"/>
    <x v="0"/>
    <x v="0"/>
    <x v="131"/>
    <x v="184"/>
    <x v="4"/>
    <x v="0"/>
    <x v="2"/>
    <x v="0"/>
    <x v="0"/>
  </r>
  <r>
    <x v="778"/>
    <x v="1"/>
    <x v="4"/>
    <x v="9"/>
    <x v="295"/>
    <x v="0"/>
    <x v="14"/>
    <x v="2"/>
    <x v="4"/>
    <x v="4"/>
    <x v="4"/>
    <x v="1"/>
    <x v="0"/>
    <x v="0"/>
    <x v="0"/>
    <x v="0"/>
    <x v="251"/>
    <x v="427"/>
    <x v="3"/>
    <x v="0"/>
    <x v="4"/>
    <x v="2"/>
    <x v="2"/>
  </r>
  <r>
    <x v="779"/>
    <x v="2"/>
    <x v="1"/>
    <x v="32"/>
    <x v="77"/>
    <x v="1"/>
    <x v="0"/>
    <x v="2"/>
    <x v="1"/>
    <x v="1"/>
    <x v="1"/>
    <x v="0"/>
    <x v="1"/>
    <x v="1"/>
    <x v="0"/>
    <x v="1"/>
    <x v="145"/>
    <x v="205"/>
    <x v="3"/>
    <x v="0"/>
    <x v="4"/>
    <x v="0"/>
    <x v="0"/>
  </r>
  <r>
    <x v="780"/>
    <x v="2"/>
    <x v="1"/>
    <x v="160"/>
    <x v="3"/>
    <x v="4"/>
    <x v="2"/>
    <x v="1"/>
    <x v="1"/>
    <x v="1"/>
    <x v="1"/>
    <x v="0"/>
    <x v="1"/>
    <x v="1"/>
    <x v="0"/>
    <x v="1"/>
    <x v="114"/>
    <x v="428"/>
    <x v="1"/>
    <x v="0"/>
    <x v="0"/>
    <x v="0"/>
    <x v="0"/>
  </r>
  <r>
    <x v="781"/>
    <x v="1"/>
    <x v="1"/>
    <x v="6"/>
    <x v="122"/>
    <x v="4"/>
    <x v="2"/>
    <x v="2"/>
    <x v="1"/>
    <x v="1"/>
    <x v="1"/>
    <x v="0"/>
    <x v="1"/>
    <x v="1"/>
    <x v="0"/>
    <x v="1"/>
    <x v="266"/>
    <x v="429"/>
    <x v="2"/>
    <x v="0"/>
    <x v="4"/>
    <x v="0"/>
    <x v="0"/>
  </r>
  <r>
    <x v="782"/>
    <x v="1"/>
    <x v="0"/>
    <x v="2"/>
    <x v="44"/>
    <x v="0"/>
    <x v="0"/>
    <x v="1"/>
    <x v="0"/>
    <x v="0"/>
    <x v="0"/>
    <x v="0"/>
    <x v="0"/>
    <x v="0"/>
    <x v="0"/>
    <x v="0"/>
    <x v="157"/>
    <x v="222"/>
    <x v="1"/>
    <x v="0"/>
    <x v="4"/>
    <x v="0"/>
    <x v="0"/>
  </r>
  <r>
    <x v="783"/>
    <x v="2"/>
    <x v="1"/>
    <x v="127"/>
    <x v="165"/>
    <x v="2"/>
    <x v="2"/>
    <x v="2"/>
    <x v="1"/>
    <x v="1"/>
    <x v="1"/>
    <x v="0"/>
    <x v="1"/>
    <x v="1"/>
    <x v="0"/>
    <x v="1"/>
    <x v="265"/>
    <x v="425"/>
    <x v="5"/>
    <x v="0"/>
    <x v="4"/>
    <x v="0"/>
    <x v="0"/>
  </r>
  <r>
    <x v="784"/>
    <x v="1"/>
    <x v="3"/>
    <x v="5"/>
    <x v="271"/>
    <x v="1"/>
    <x v="1"/>
    <x v="1"/>
    <x v="3"/>
    <x v="3"/>
    <x v="3"/>
    <x v="0"/>
    <x v="2"/>
    <x v="2"/>
    <x v="0"/>
    <x v="2"/>
    <x v="76"/>
    <x v="334"/>
    <x v="2"/>
    <x v="0"/>
    <x v="1"/>
    <x v="0"/>
    <x v="0"/>
  </r>
  <r>
    <x v="785"/>
    <x v="1"/>
    <x v="4"/>
    <x v="9"/>
    <x v="296"/>
    <x v="1"/>
    <x v="14"/>
    <x v="2"/>
    <x v="4"/>
    <x v="4"/>
    <x v="4"/>
    <x v="1"/>
    <x v="0"/>
    <x v="0"/>
    <x v="0"/>
    <x v="0"/>
    <x v="178"/>
    <x v="253"/>
    <x v="0"/>
    <x v="0"/>
    <x v="3"/>
    <x v="2"/>
    <x v="2"/>
  </r>
  <r>
    <x v="786"/>
    <x v="1"/>
    <x v="5"/>
    <x v="8"/>
    <x v="135"/>
    <x v="1"/>
    <x v="8"/>
    <x v="3"/>
    <x v="5"/>
    <x v="5"/>
    <x v="5"/>
    <x v="1"/>
    <x v="1"/>
    <x v="1"/>
    <x v="0"/>
    <x v="1"/>
    <x v="88"/>
    <x v="282"/>
    <x v="4"/>
    <x v="0"/>
    <x v="0"/>
    <x v="3"/>
    <x v="3"/>
  </r>
  <r>
    <x v="787"/>
    <x v="1"/>
    <x v="2"/>
    <x v="4"/>
    <x v="178"/>
    <x v="0"/>
    <x v="4"/>
    <x v="3"/>
    <x v="2"/>
    <x v="2"/>
    <x v="2"/>
    <x v="1"/>
    <x v="2"/>
    <x v="2"/>
    <x v="0"/>
    <x v="2"/>
    <x v="124"/>
    <x v="430"/>
    <x v="5"/>
    <x v="0"/>
    <x v="3"/>
    <x v="1"/>
    <x v="1"/>
  </r>
  <r>
    <x v="788"/>
    <x v="1"/>
    <x v="4"/>
    <x v="9"/>
    <x v="103"/>
    <x v="1"/>
    <x v="21"/>
    <x v="2"/>
    <x v="4"/>
    <x v="4"/>
    <x v="4"/>
    <x v="1"/>
    <x v="0"/>
    <x v="0"/>
    <x v="0"/>
    <x v="0"/>
    <x v="162"/>
    <x v="228"/>
    <x v="5"/>
    <x v="0"/>
    <x v="0"/>
    <x v="2"/>
    <x v="2"/>
  </r>
  <r>
    <x v="789"/>
    <x v="1"/>
    <x v="5"/>
    <x v="8"/>
    <x v="69"/>
    <x v="1"/>
    <x v="4"/>
    <x v="3"/>
    <x v="5"/>
    <x v="5"/>
    <x v="5"/>
    <x v="1"/>
    <x v="1"/>
    <x v="1"/>
    <x v="0"/>
    <x v="1"/>
    <x v="267"/>
    <x v="431"/>
    <x v="1"/>
    <x v="0"/>
    <x v="3"/>
    <x v="3"/>
    <x v="3"/>
  </r>
  <r>
    <x v="790"/>
    <x v="1"/>
    <x v="4"/>
    <x v="9"/>
    <x v="289"/>
    <x v="2"/>
    <x v="2"/>
    <x v="1"/>
    <x v="4"/>
    <x v="4"/>
    <x v="4"/>
    <x v="1"/>
    <x v="0"/>
    <x v="0"/>
    <x v="0"/>
    <x v="0"/>
    <x v="140"/>
    <x v="199"/>
    <x v="1"/>
    <x v="0"/>
    <x v="0"/>
    <x v="2"/>
    <x v="2"/>
  </r>
  <r>
    <x v="791"/>
    <x v="1"/>
    <x v="5"/>
    <x v="8"/>
    <x v="10"/>
    <x v="2"/>
    <x v="2"/>
    <x v="0"/>
    <x v="5"/>
    <x v="5"/>
    <x v="5"/>
    <x v="1"/>
    <x v="1"/>
    <x v="1"/>
    <x v="0"/>
    <x v="1"/>
    <x v="161"/>
    <x v="432"/>
    <x v="3"/>
    <x v="0"/>
    <x v="4"/>
    <x v="3"/>
    <x v="3"/>
  </r>
  <r>
    <x v="792"/>
    <x v="0"/>
    <x v="1"/>
    <x v="161"/>
    <x v="0"/>
    <x v="1"/>
    <x v="0"/>
    <x v="0"/>
    <x v="1"/>
    <x v="1"/>
    <x v="1"/>
    <x v="0"/>
    <x v="1"/>
    <x v="1"/>
    <x v="0"/>
    <x v="1"/>
    <x v="268"/>
    <x v="433"/>
    <x v="0"/>
    <x v="0"/>
    <x v="0"/>
    <x v="0"/>
    <x v="0"/>
  </r>
  <r>
    <x v="793"/>
    <x v="1"/>
    <x v="5"/>
    <x v="8"/>
    <x v="6"/>
    <x v="1"/>
    <x v="6"/>
    <x v="1"/>
    <x v="5"/>
    <x v="5"/>
    <x v="5"/>
    <x v="1"/>
    <x v="1"/>
    <x v="1"/>
    <x v="0"/>
    <x v="1"/>
    <x v="197"/>
    <x v="406"/>
    <x v="3"/>
    <x v="0"/>
    <x v="4"/>
    <x v="3"/>
    <x v="3"/>
  </r>
  <r>
    <x v="794"/>
    <x v="2"/>
    <x v="0"/>
    <x v="162"/>
    <x v="297"/>
    <x v="4"/>
    <x v="2"/>
    <x v="2"/>
    <x v="0"/>
    <x v="0"/>
    <x v="0"/>
    <x v="0"/>
    <x v="0"/>
    <x v="0"/>
    <x v="0"/>
    <x v="0"/>
    <x v="204"/>
    <x v="434"/>
    <x v="4"/>
    <x v="0"/>
    <x v="1"/>
    <x v="0"/>
    <x v="0"/>
  </r>
  <r>
    <x v="795"/>
    <x v="1"/>
    <x v="3"/>
    <x v="5"/>
    <x v="14"/>
    <x v="2"/>
    <x v="2"/>
    <x v="0"/>
    <x v="3"/>
    <x v="3"/>
    <x v="3"/>
    <x v="0"/>
    <x v="2"/>
    <x v="2"/>
    <x v="0"/>
    <x v="2"/>
    <x v="267"/>
    <x v="431"/>
    <x v="1"/>
    <x v="0"/>
    <x v="3"/>
    <x v="0"/>
    <x v="0"/>
  </r>
  <r>
    <x v="796"/>
    <x v="1"/>
    <x v="5"/>
    <x v="8"/>
    <x v="262"/>
    <x v="1"/>
    <x v="6"/>
    <x v="1"/>
    <x v="5"/>
    <x v="5"/>
    <x v="5"/>
    <x v="1"/>
    <x v="1"/>
    <x v="1"/>
    <x v="0"/>
    <x v="1"/>
    <x v="48"/>
    <x v="170"/>
    <x v="3"/>
    <x v="0"/>
    <x v="3"/>
    <x v="3"/>
    <x v="3"/>
  </r>
  <r>
    <x v="797"/>
    <x v="1"/>
    <x v="4"/>
    <x v="9"/>
    <x v="298"/>
    <x v="4"/>
    <x v="2"/>
    <x v="3"/>
    <x v="4"/>
    <x v="4"/>
    <x v="4"/>
    <x v="1"/>
    <x v="0"/>
    <x v="0"/>
    <x v="0"/>
    <x v="0"/>
    <x v="232"/>
    <x v="367"/>
    <x v="1"/>
    <x v="0"/>
    <x v="4"/>
    <x v="2"/>
    <x v="2"/>
  </r>
  <r>
    <x v="798"/>
    <x v="0"/>
    <x v="4"/>
    <x v="163"/>
    <x v="172"/>
    <x v="1"/>
    <x v="17"/>
    <x v="2"/>
    <x v="4"/>
    <x v="4"/>
    <x v="4"/>
    <x v="1"/>
    <x v="0"/>
    <x v="0"/>
    <x v="0"/>
    <x v="0"/>
    <x v="30"/>
    <x v="224"/>
    <x v="5"/>
    <x v="0"/>
    <x v="1"/>
    <x v="2"/>
    <x v="2"/>
  </r>
  <r>
    <x v="799"/>
    <x v="1"/>
    <x v="4"/>
    <x v="9"/>
    <x v="262"/>
    <x v="1"/>
    <x v="17"/>
    <x v="3"/>
    <x v="4"/>
    <x v="4"/>
    <x v="4"/>
    <x v="1"/>
    <x v="0"/>
    <x v="0"/>
    <x v="0"/>
    <x v="0"/>
    <x v="112"/>
    <x v="161"/>
    <x v="4"/>
    <x v="0"/>
    <x v="1"/>
    <x v="2"/>
    <x v="2"/>
  </r>
  <r>
    <x v="800"/>
    <x v="2"/>
    <x v="4"/>
    <x v="164"/>
    <x v="132"/>
    <x v="1"/>
    <x v="17"/>
    <x v="3"/>
    <x v="4"/>
    <x v="4"/>
    <x v="4"/>
    <x v="1"/>
    <x v="0"/>
    <x v="0"/>
    <x v="0"/>
    <x v="0"/>
    <x v="177"/>
    <x v="435"/>
    <x v="5"/>
    <x v="0"/>
    <x v="3"/>
    <x v="2"/>
    <x v="2"/>
  </r>
  <r>
    <x v="801"/>
    <x v="1"/>
    <x v="2"/>
    <x v="4"/>
    <x v="32"/>
    <x v="1"/>
    <x v="12"/>
    <x v="2"/>
    <x v="2"/>
    <x v="2"/>
    <x v="2"/>
    <x v="1"/>
    <x v="2"/>
    <x v="2"/>
    <x v="0"/>
    <x v="2"/>
    <x v="161"/>
    <x v="227"/>
    <x v="0"/>
    <x v="0"/>
    <x v="3"/>
    <x v="1"/>
    <x v="1"/>
  </r>
  <r>
    <x v="802"/>
    <x v="1"/>
    <x v="2"/>
    <x v="4"/>
    <x v="99"/>
    <x v="1"/>
    <x v="12"/>
    <x v="2"/>
    <x v="2"/>
    <x v="2"/>
    <x v="2"/>
    <x v="1"/>
    <x v="2"/>
    <x v="2"/>
    <x v="0"/>
    <x v="2"/>
    <x v="31"/>
    <x v="436"/>
    <x v="0"/>
    <x v="0"/>
    <x v="3"/>
    <x v="1"/>
    <x v="1"/>
  </r>
  <r>
    <x v="803"/>
    <x v="0"/>
    <x v="5"/>
    <x v="165"/>
    <x v="299"/>
    <x v="1"/>
    <x v="13"/>
    <x v="2"/>
    <x v="5"/>
    <x v="5"/>
    <x v="5"/>
    <x v="1"/>
    <x v="1"/>
    <x v="1"/>
    <x v="0"/>
    <x v="1"/>
    <x v="198"/>
    <x v="437"/>
    <x v="5"/>
    <x v="0"/>
    <x v="3"/>
    <x v="3"/>
    <x v="3"/>
  </r>
  <r>
    <x v="804"/>
    <x v="1"/>
    <x v="3"/>
    <x v="5"/>
    <x v="300"/>
    <x v="1"/>
    <x v="0"/>
    <x v="3"/>
    <x v="3"/>
    <x v="3"/>
    <x v="3"/>
    <x v="0"/>
    <x v="2"/>
    <x v="2"/>
    <x v="0"/>
    <x v="2"/>
    <x v="269"/>
    <x v="438"/>
    <x v="2"/>
    <x v="0"/>
    <x v="3"/>
    <x v="0"/>
    <x v="0"/>
  </r>
  <r>
    <x v="805"/>
    <x v="1"/>
    <x v="0"/>
    <x v="2"/>
    <x v="301"/>
    <x v="2"/>
    <x v="2"/>
    <x v="3"/>
    <x v="0"/>
    <x v="0"/>
    <x v="0"/>
    <x v="0"/>
    <x v="0"/>
    <x v="0"/>
    <x v="0"/>
    <x v="0"/>
    <x v="127"/>
    <x v="180"/>
    <x v="3"/>
    <x v="0"/>
    <x v="0"/>
    <x v="0"/>
    <x v="0"/>
  </r>
  <r>
    <x v="806"/>
    <x v="2"/>
    <x v="1"/>
    <x v="166"/>
    <x v="302"/>
    <x v="1"/>
    <x v="0"/>
    <x v="1"/>
    <x v="1"/>
    <x v="1"/>
    <x v="1"/>
    <x v="0"/>
    <x v="1"/>
    <x v="1"/>
    <x v="0"/>
    <x v="1"/>
    <x v="195"/>
    <x v="392"/>
    <x v="1"/>
    <x v="0"/>
    <x v="4"/>
    <x v="0"/>
    <x v="0"/>
  </r>
  <r>
    <x v="807"/>
    <x v="1"/>
    <x v="4"/>
    <x v="9"/>
    <x v="147"/>
    <x v="1"/>
    <x v="17"/>
    <x v="1"/>
    <x v="4"/>
    <x v="4"/>
    <x v="4"/>
    <x v="1"/>
    <x v="0"/>
    <x v="0"/>
    <x v="0"/>
    <x v="0"/>
    <x v="115"/>
    <x v="164"/>
    <x v="1"/>
    <x v="0"/>
    <x v="2"/>
    <x v="2"/>
    <x v="2"/>
  </r>
  <r>
    <x v="808"/>
    <x v="1"/>
    <x v="1"/>
    <x v="6"/>
    <x v="303"/>
    <x v="2"/>
    <x v="2"/>
    <x v="3"/>
    <x v="1"/>
    <x v="1"/>
    <x v="1"/>
    <x v="0"/>
    <x v="1"/>
    <x v="1"/>
    <x v="0"/>
    <x v="1"/>
    <x v="270"/>
    <x v="439"/>
    <x v="4"/>
    <x v="0"/>
    <x v="4"/>
    <x v="0"/>
    <x v="0"/>
  </r>
  <r>
    <x v="809"/>
    <x v="1"/>
    <x v="4"/>
    <x v="9"/>
    <x v="111"/>
    <x v="1"/>
    <x v="9"/>
    <x v="0"/>
    <x v="4"/>
    <x v="4"/>
    <x v="4"/>
    <x v="1"/>
    <x v="0"/>
    <x v="0"/>
    <x v="0"/>
    <x v="0"/>
    <x v="219"/>
    <x v="382"/>
    <x v="3"/>
    <x v="0"/>
    <x v="2"/>
    <x v="2"/>
    <x v="2"/>
  </r>
  <r>
    <x v="810"/>
    <x v="1"/>
    <x v="1"/>
    <x v="6"/>
    <x v="132"/>
    <x v="1"/>
    <x v="0"/>
    <x v="1"/>
    <x v="1"/>
    <x v="1"/>
    <x v="1"/>
    <x v="0"/>
    <x v="1"/>
    <x v="1"/>
    <x v="0"/>
    <x v="1"/>
    <x v="176"/>
    <x v="440"/>
    <x v="1"/>
    <x v="0"/>
    <x v="4"/>
    <x v="0"/>
    <x v="0"/>
  </r>
  <r>
    <x v="811"/>
    <x v="0"/>
    <x v="5"/>
    <x v="167"/>
    <x v="304"/>
    <x v="1"/>
    <x v="13"/>
    <x v="1"/>
    <x v="5"/>
    <x v="5"/>
    <x v="5"/>
    <x v="1"/>
    <x v="1"/>
    <x v="1"/>
    <x v="0"/>
    <x v="1"/>
    <x v="119"/>
    <x v="231"/>
    <x v="4"/>
    <x v="0"/>
    <x v="2"/>
    <x v="3"/>
    <x v="3"/>
  </r>
  <r>
    <x v="812"/>
    <x v="0"/>
    <x v="5"/>
    <x v="168"/>
    <x v="305"/>
    <x v="4"/>
    <x v="2"/>
    <x v="2"/>
    <x v="5"/>
    <x v="5"/>
    <x v="5"/>
    <x v="1"/>
    <x v="1"/>
    <x v="1"/>
    <x v="0"/>
    <x v="1"/>
    <x v="198"/>
    <x v="437"/>
    <x v="5"/>
    <x v="0"/>
    <x v="3"/>
    <x v="3"/>
    <x v="3"/>
  </r>
  <r>
    <x v="813"/>
    <x v="1"/>
    <x v="5"/>
    <x v="8"/>
    <x v="279"/>
    <x v="2"/>
    <x v="2"/>
    <x v="0"/>
    <x v="5"/>
    <x v="5"/>
    <x v="5"/>
    <x v="1"/>
    <x v="1"/>
    <x v="1"/>
    <x v="0"/>
    <x v="1"/>
    <x v="251"/>
    <x v="389"/>
    <x v="4"/>
    <x v="0"/>
    <x v="4"/>
    <x v="3"/>
    <x v="3"/>
  </r>
  <r>
    <x v="814"/>
    <x v="0"/>
    <x v="3"/>
    <x v="20"/>
    <x v="75"/>
    <x v="1"/>
    <x v="0"/>
    <x v="0"/>
    <x v="3"/>
    <x v="3"/>
    <x v="3"/>
    <x v="0"/>
    <x v="2"/>
    <x v="2"/>
    <x v="0"/>
    <x v="2"/>
    <x v="269"/>
    <x v="438"/>
    <x v="2"/>
    <x v="0"/>
    <x v="3"/>
    <x v="0"/>
    <x v="0"/>
  </r>
  <r>
    <x v="815"/>
    <x v="1"/>
    <x v="1"/>
    <x v="6"/>
    <x v="222"/>
    <x v="1"/>
    <x v="1"/>
    <x v="0"/>
    <x v="1"/>
    <x v="1"/>
    <x v="1"/>
    <x v="0"/>
    <x v="1"/>
    <x v="1"/>
    <x v="0"/>
    <x v="1"/>
    <x v="271"/>
    <x v="441"/>
    <x v="3"/>
    <x v="0"/>
    <x v="1"/>
    <x v="0"/>
    <x v="0"/>
  </r>
  <r>
    <x v="816"/>
    <x v="2"/>
    <x v="5"/>
    <x v="169"/>
    <x v="152"/>
    <x v="1"/>
    <x v="5"/>
    <x v="2"/>
    <x v="5"/>
    <x v="5"/>
    <x v="5"/>
    <x v="1"/>
    <x v="1"/>
    <x v="1"/>
    <x v="0"/>
    <x v="1"/>
    <x v="145"/>
    <x v="205"/>
    <x v="3"/>
    <x v="0"/>
    <x v="4"/>
    <x v="3"/>
    <x v="3"/>
  </r>
  <r>
    <x v="817"/>
    <x v="0"/>
    <x v="5"/>
    <x v="105"/>
    <x v="14"/>
    <x v="2"/>
    <x v="2"/>
    <x v="3"/>
    <x v="5"/>
    <x v="5"/>
    <x v="5"/>
    <x v="1"/>
    <x v="1"/>
    <x v="1"/>
    <x v="0"/>
    <x v="1"/>
    <x v="83"/>
    <x v="388"/>
    <x v="1"/>
    <x v="0"/>
    <x v="1"/>
    <x v="3"/>
    <x v="3"/>
  </r>
  <r>
    <x v="818"/>
    <x v="1"/>
    <x v="0"/>
    <x v="2"/>
    <x v="279"/>
    <x v="2"/>
    <x v="2"/>
    <x v="3"/>
    <x v="0"/>
    <x v="0"/>
    <x v="0"/>
    <x v="0"/>
    <x v="0"/>
    <x v="0"/>
    <x v="0"/>
    <x v="0"/>
    <x v="258"/>
    <x v="408"/>
    <x v="3"/>
    <x v="0"/>
    <x v="2"/>
    <x v="0"/>
    <x v="0"/>
  </r>
  <r>
    <x v="819"/>
    <x v="1"/>
    <x v="5"/>
    <x v="8"/>
    <x v="169"/>
    <x v="0"/>
    <x v="4"/>
    <x v="0"/>
    <x v="5"/>
    <x v="5"/>
    <x v="5"/>
    <x v="1"/>
    <x v="1"/>
    <x v="1"/>
    <x v="0"/>
    <x v="1"/>
    <x v="256"/>
    <x v="403"/>
    <x v="0"/>
    <x v="0"/>
    <x v="1"/>
    <x v="3"/>
    <x v="3"/>
  </r>
  <r>
    <x v="820"/>
    <x v="1"/>
    <x v="2"/>
    <x v="4"/>
    <x v="165"/>
    <x v="0"/>
    <x v="4"/>
    <x v="1"/>
    <x v="2"/>
    <x v="2"/>
    <x v="2"/>
    <x v="1"/>
    <x v="2"/>
    <x v="2"/>
    <x v="0"/>
    <x v="2"/>
    <x v="215"/>
    <x v="442"/>
    <x v="1"/>
    <x v="0"/>
    <x v="1"/>
    <x v="1"/>
    <x v="1"/>
  </r>
  <r>
    <x v="821"/>
    <x v="2"/>
    <x v="2"/>
    <x v="170"/>
    <x v="247"/>
    <x v="1"/>
    <x v="5"/>
    <x v="2"/>
    <x v="2"/>
    <x v="2"/>
    <x v="2"/>
    <x v="1"/>
    <x v="2"/>
    <x v="2"/>
    <x v="0"/>
    <x v="2"/>
    <x v="120"/>
    <x v="232"/>
    <x v="2"/>
    <x v="0"/>
    <x v="0"/>
    <x v="1"/>
    <x v="1"/>
  </r>
  <r>
    <x v="822"/>
    <x v="1"/>
    <x v="0"/>
    <x v="2"/>
    <x v="285"/>
    <x v="4"/>
    <x v="2"/>
    <x v="0"/>
    <x v="0"/>
    <x v="0"/>
    <x v="0"/>
    <x v="0"/>
    <x v="0"/>
    <x v="0"/>
    <x v="0"/>
    <x v="0"/>
    <x v="211"/>
    <x v="311"/>
    <x v="5"/>
    <x v="0"/>
    <x v="2"/>
    <x v="0"/>
    <x v="0"/>
  </r>
  <r>
    <x v="823"/>
    <x v="0"/>
    <x v="4"/>
    <x v="171"/>
    <x v="77"/>
    <x v="1"/>
    <x v="9"/>
    <x v="1"/>
    <x v="4"/>
    <x v="4"/>
    <x v="4"/>
    <x v="1"/>
    <x v="0"/>
    <x v="0"/>
    <x v="0"/>
    <x v="0"/>
    <x v="189"/>
    <x v="270"/>
    <x v="1"/>
    <x v="0"/>
    <x v="1"/>
    <x v="2"/>
    <x v="2"/>
  </r>
  <r>
    <x v="824"/>
    <x v="1"/>
    <x v="0"/>
    <x v="2"/>
    <x v="275"/>
    <x v="1"/>
    <x v="0"/>
    <x v="3"/>
    <x v="0"/>
    <x v="0"/>
    <x v="0"/>
    <x v="0"/>
    <x v="0"/>
    <x v="0"/>
    <x v="0"/>
    <x v="0"/>
    <x v="250"/>
    <x v="410"/>
    <x v="1"/>
    <x v="0"/>
    <x v="1"/>
    <x v="0"/>
    <x v="0"/>
  </r>
  <r>
    <x v="825"/>
    <x v="0"/>
    <x v="5"/>
    <x v="36"/>
    <x v="194"/>
    <x v="2"/>
    <x v="2"/>
    <x v="3"/>
    <x v="5"/>
    <x v="5"/>
    <x v="5"/>
    <x v="1"/>
    <x v="1"/>
    <x v="1"/>
    <x v="0"/>
    <x v="1"/>
    <x v="153"/>
    <x v="443"/>
    <x v="5"/>
    <x v="0"/>
    <x v="4"/>
    <x v="3"/>
    <x v="3"/>
  </r>
  <r>
    <x v="826"/>
    <x v="1"/>
    <x v="3"/>
    <x v="5"/>
    <x v="100"/>
    <x v="4"/>
    <x v="2"/>
    <x v="0"/>
    <x v="3"/>
    <x v="3"/>
    <x v="3"/>
    <x v="0"/>
    <x v="2"/>
    <x v="2"/>
    <x v="0"/>
    <x v="2"/>
    <x v="192"/>
    <x v="275"/>
    <x v="0"/>
    <x v="0"/>
    <x v="1"/>
    <x v="0"/>
    <x v="0"/>
  </r>
  <r>
    <x v="827"/>
    <x v="2"/>
    <x v="5"/>
    <x v="172"/>
    <x v="306"/>
    <x v="0"/>
    <x v="4"/>
    <x v="0"/>
    <x v="5"/>
    <x v="5"/>
    <x v="5"/>
    <x v="1"/>
    <x v="1"/>
    <x v="1"/>
    <x v="0"/>
    <x v="1"/>
    <x v="264"/>
    <x v="444"/>
    <x v="4"/>
    <x v="0"/>
    <x v="0"/>
    <x v="3"/>
    <x v="3"/>
  </r>
  <r>
    <x v="828"/>
    <x v="1"/>
    <x v="2"/>
    <x v="4"/>
    <x v="253"/>
    <x v="0"/>
    <x v="3"/>
    <x v="0"/>
    <x v="2"/>
    <x v="2"/>
    <x v="2"/>
    <x v="1"/>
    <x v="2"/>
    <x v="2"/>
    <x v="0"/>
    <x v="2"/>
    <x v="121"/>
    <x v="345"/>
    <x v="3"/>
    <x v="0"/>
    <x v="4"/>
    <x v="1"/>
    <x v="1"/>
  </r>
  <r>
    <x v="829"/>
    <x v="0"/>
    <x v="3"/>
    <x v="173"/>
    <x v="267"/>
    <x v="4"/>
    <x v="2"/>
    <x v="0"/>
    <x v="3"/>
    <x v="3"/>
    <x v="3"/>
    <x v="0"/>
    <x v="2"/>
    <x v="2"/>
    <x v="0"/>
    <x v="2"/>
    <x v="219"/>
    <x v="322"/>
    <x v="1"/>
    <x v="0"/>
    <x v="3"/>
    <x v="0"/>
    <x v="0"/>
  </r>
  <r>
    <x v="830"/>
    <x v="1"/>
    <x v="1"/>
    <x v="6"/>
    <x v="25"/>
    <x v="1"/>
    <x v="1"/>
    <x v="3"/>
    <x v="1"/>
    <x v="1"/>
    <x v="1"/>
    <x v="0"/>
    <x v="1"/>
    <x v="1"/>
    <x v="0"/>
    <x v="1"/>
    <x v="212"/>
    <x v="312"/>
    <x v="4"/>
    <x v="0"/>
    <x v="1"/>
    <x v="0"/>
    <x v="0"/>
  </r>
  <r>
    <x v="831"/>
    <x v="1"/>
    <x v="2"/>
    <x v="4"/>
    <x v="152"/>
    <x v="1"/>
    <x v="5"/>
    <x v="3"/>
    <x v="2"/>
    <x v="2"/>
    <x v="2"/>
    <x v="1"/>
    <x v="2"/>
    <x v="2"/>
    <x v="0"/>
    <x v="2"/>
    <x v="117"/>
    <x v="445"/>
    <x v="4"/>
    <x v="0"/>
    <x v="0"/>
    <x v="1"/>
    <x v="1"/>
  </r>
  <r>
    <x v="832"/>
    <x v="1"/>
    <x v="5"/>
    <x v="8"/>
    <x v="262"/>
    <x v="3"/>
    <x v="2"/>
    <x v="1"/>
    <x v="5"/>
    <x v="5"/>
    <x v="5"/>
    <x v="1"/>
    <x v="1"/>
    <x v="1"/>
    <x v="0"/>
    <x v="1"/>
    <x v="88"/>
    <x v="446"/>
    <x v="5"/>
    <x v="0"/>
    <x v="0"/>
    <x v="3"/>
    <x v="3"/>
  </r>
  <r>
    <x v="833"/>
    <x v="1"/>
    <x v="4"/>
    <x v="9"/>
    <x v="105"/>
    <x v="2"/>
    <x v="2"/>
    <x v="0"/>
    <x v="4"/>
    <x v="4"/>
    <x v="4"/>
    <x v="1"/>
    <x v="0"/>
    <x v="0"/>
    <x v="0"/>
    <x v="0"/>
    <x v="233"/>
    <x v="447"/>
    <x v="0"/>
    <x v="0"/>
    <x v="3"/>
    <x v="2"/>
    <x v="2"/>
  </r>
  <r>
    <x v="834"/>
    <x v="2"/>
    <x v="0"/>
    <x v="174"/>
    <x v="295"/>
    <x v="1"/>
    <x v="0"/>
    <x v="0"/>
    <x v="0"/>
    <x v="0"/>
    <x v="0"/>
    <x v="0"/>
    <x v="0"/>
    <x v="0"/>
    <x v="0"/>
    <x v="0"/>
    <x v="148"/>
    <x v="209"/>
    <x v="1"/>
    <x v="0"/>
    <x v="1"/>
    <x v="0"/>
    <x v="0"/>
  </r>
  <r>
    <x v="835"/>
    <x v="1"/>
    <x v="0"/>
    <x v="2"/>
    <x v="40"/>
    <x v="1"/>
    <x v="1"/>
    <x v="0"/>
    <x v="0"/>
    <x v="0"/>
    <x v="0"/>
    <x v="0"/>
    <x v="0"/>
    <x v="0"/>
    <x v="0"/>
    <x v="0"/>
    <x v="131"/>
    <x v="184"/>
    <x v="4"/>
    <x v="0"/>
    <x v="2"/>
    <x v="0"/>
    <x v="0"/>
  </r>
  <r>
    <x v="836"/>
    <x v="2"/>
    <x v="3"/>
    <x v="175"/>
    <x v="170"/>
    <x v="0"/>
    <x v="1"/>
    <x v="3"/>
    <x v="3"/>
    <x v="3"/>
    <x v="3"/>
    <x v="0"/>
    <x v="2"/>
    <x v="2"/>
    <x v="0"/>
    <x v="2"/>
    <x v="134"/>
    <x v="326"/>
    <x v="3"/>
    <x v="0"/>
    <x v="4"/>
    <x v="0"/>
    <x v="0"/>
  </r>
  <r>
    <x v="837"/>
    <x v="0"/>
    <x v="4"/>
    <x v="176"/>
    <x v="307"/>
    <x v="1"/>
    <x v="17"/>
    <x v="2"/>
    <x v="4"/>
    <x v="4"/>
    <x v="4"/>
    <x v="1"/>
    <x v="0"/>
    <x v="0"/>
    <x v="0"/>
    <x v="0"/>
    <x v="272"/>
    <x v="448"/>
    <x v="5"/>
    <x v="0"/>
    <x v="4"/>
    <x v="2"/>
    <x v="2"/>
  </r>
  <r>
    <x v="838"/>
    <x v="1"/>
    <x v="2"/>
    <x v="4"/>
    <x v="308"/>
    <x v="2"/>
    <x v="2"/>
    <x v="1"/>
    <x v="2"/>
    <x v="2"/>
    <x v="2"/>
    <x v="1"/>
    <x v="2"/>
    <x v="2"/>
    <x v="0"/>
    <x v="2"/>
    <x v="3"/>
    <x v="422"/>
    <x v="5"/>
    <x v="0"/>
    <x v="1"/>
    <x v="1"/>
    <x v="1"/>
  </r>
  <r>
    <x v="839"/>
    <x v="2"/>
    <x v="5"/>
    <x v="177"/>
    <x v="309"/>
    <x v="1"/>
    <x v="4"/>
    <x v="2"/>
    <x v="5"/>
    <x v="5"/>
    <x v="5"/>
    <x v="1"/>
    <x v="1"/>
    <x v="1"/>
    <x v="0"/>
    <x v="1"/>
    <x v="142"/>
    <x v="201"/>
    <x v="5"/>
    <x v="0"/>
    <x v="4"/>
    <x v="3"/>
    <x v="3"/>
  </r>
  <r>
    <x v="840"/>
    <x v="0"/>
    <x v="4"/>
    <x v="178"/>
    <x v="56"/>
    <x v="1"/>
    <x v="6"/>
    <x v="3"/>
    <x v="4"/>
    <x v="4"/>
    <x v="4"/>
    <x v="1"/>
    <x v="0"/>
    <x v="0"/>
    <x v="0"/>
    <x v="0"/>
    <x v="118"/>
    <x v="167"/>
    <x v="4"/>
    <x v="0"/>
    <x v="4"/>
    <x v="2"/>
    <x v="2"/>
  </r>
  <r>
    <x v="841"/>
    <x v="1"/>
    <x v="4"/>
    <x v="9"/>
    <x v="283"/>
    <x v="1"/>
    <x v="17"/>
    <x v="3"/>
    <x v="4"/>
    <x v="4"/>
    <x v="4"/>
    <x v="1"/>
    <x v="0"/>
    <x v="0"/>
    <x v="0"/>
    <x v="0"/>
    <x v="190"/>
    <x v="318"/>
    <x v="2"/>
    <x v="0"/>
    <x v="4"/>
    <x v="2"/>
    <x v="2"/>
  </r>
  <r>
    <x v="842"/>
    <x v="1"/>
    <x v="0"/>
    <x v="2"/>
    <x v="54"/>
    <x v="1"/>
    <x v="1"/>
    <x v="0"/>
    <x v="0"/>
    <x v="0"/>
    <x v="0"/>
    <x v="0"/>
    <x v="0"/>
    <x v="0"/>
    <x v="0"/>
    <x v="0"/>
    <x v="273"/>
    <x v="449"/>
    <x v="0"/>
    <x v="0"/>
    <x v="1"/>
    <x v="0"/>
    <x v="0"/>
  </r>
  <r>
    <x v="843"/>
    <x v="1"/>
    <x v="4"/>
    <x v="9"/>
    <x v="34"/>
    <x v="3"/>
    <x v="2"/>
    <x v="1"/>
    <x v="4"/>
    <x v="4"/>
    <x v="4"/>
    <x v="1"/>
    <x v="0"/>
    <x v="0"/>
    <x v="0"/>
    <x v="0"/>
    <x v="274"/>
    <x v="450"/>
    <x v="5"/>
    <x v="0"/>
    <x v="1"/>
    <x v="2"/>
    <x v="2"/>
  </r>
  <r>
    <x v="844"/>
    <x v="2"/>
    <x v="0"/>
    <x v="179"/>
    <x v="263"/>
    <x v="1"/>
    <x v="9"/>
    <x v="1"/>
    <x v="0"/>
    <x v="0"/>
    <x v="0"/>
    <x v="0"/>
    <x v="0"/>
    <x v="0"/>
    <x v="0"/>
    <x v="0"/>
    <x v="157"/>
    <x v="222"/>
    <x v="1"/>
    <x v="0"/>
    <x v="4"/>
    <x v="0"/>
    <x v="0"/>
  </r>
  <r>
    <x v="845"/>
    <x v="1"/>
    <x v="0"/>
    <x v="2"/>
    <x v="121"/>
    <x v="1"/>
    <x v="1"/>
    <x v="3"/>
    <x v="0"/>
    <x v="0"/>
    <x v="0"/>
    <x v="0"/>
    <x v="0"/>
    <x v="0"/>
    <x v="0"/>
    <x v="0"/>
    <x v="275"/>
    <x v="451"/>
    <x v="0"/>
    <x v="0"/>
    <x v="2"/>
    <x v="0"/>
    <x v="0"/>
  </r>
  <r>
    <x v="846"/>
    <x v="1"/>
    <x v="4"/>
    <x v="9"/>
    <x v="95"/>
    <x v="1"/>
    <x v="6"/>
    <x v="3"/>
    <x v="4"/>
    <x v="4"/>
    <x v="4"/>
    <x v="1"/>
    <x v="0"/>
    <x v="0"/>
    <x v="0"/>
    <x v="0"/>
    <x v="206"/>
    <x v="305"/>
    <x v="5"/>
    <x v="0"/>
    <x v="3"/>
    <x v="2"/>
    <x v="2"/>
  </r>
  <r>
    <x v="847"/>
    <x v="1"/>
    <x v="5"/>
    <x v="8"/>
    <x v="211"/>
    <x v="1"/>
    <x v="3"/>
    <x v="0"/>
    <x v="5"/>
    <x v="5"/>
    <x v="5"/>
    <x v="1"/>
    <x v="1"/>
    <x v="1"/>
    <x v="0"/>
    <x v="1"/>
    <x v="195"/>
    <x v="392"/>
    <x v="1"/>
    <x v="0"/>
    <x v="4"/>
    <x v="3"/>
    <x v="3"/>
  </r>
  <r>
    <x v="848"/>
    <x v="1"/>
    <x v="1"/>
    <x v="6"/>
    <x v="137"/>
    <x v="2"/>
    <x v="2"/>
    <x v="0"/>
    <x v="1"/>
    <x v="1"/>
    <x v="1"/>
    <x v="0"/>
    <x v="1"/>
    <x v="1"/>
    <x v="0"/>
    <x v="1"/>
    <x v="197"/>
    <x v="287"/>
    <x v="2"/>
    <x v="0"/>
    <x v="1"/>
    <x v="0"/>
    <x v="0"/>
  </r>
  <r>
    <x v="849"/>
    <x v="2"/>
    <x v="3"/>
    <x v="180"/>
    <x v="310"/>
    <x v="1"/>
    <x v="0"/>
    <x v="1"/>
    <x v="3"/>
    <x v="3"/>
    <x v="3"/>
    <x v="0"/>
    <x v="2"/>
    <x v="2"/>
    <x v="0"/>
    <x v="2"/>
    <x v="77"/>
    <x v="246"/>
    <x v="5"/>
    <x v="0"/>
    <x v="0"/>
    <x v="0"/>
    <x v="0"/>
  </r>
  <r>
    <x v="850"/>
    <x v="1"/>
    <x v="5"/>
    <x v="8"/>
    <x v="310"/>
    <x v="1"/>
    <x v="6"/>
    <x v="1"/>
    <x v="5"/>
    <x v="5"/>
    <x v="5"/>
    <x v="1"/>
    <x v="1"/>
    <x v="1"/>
    <x v="0"/>
    <x v="1"/>
    <x v="276"/>
    <x v="452"/>
    <x v="0"/>
    <x v="0"/>
    <x v="3"/>
    <x v="3"/>
    <x v="3"/>
  </r>
  <r>
    <x v="851"/>
    <x v="1"/>
    <x v="4"/>
    <x v="9"/>
    <x v="63"/>
    <x v="2"/>
    <x v="2"/>
    <x v="1"/>
    <x v="4"/>
    <x v="4"/>
    <x v="4"/>
    <x v="1"/>
    <x v="0"/>
    <x v="0"/>
    <x v="0"/>
    <x v="0"/>
    <x v="157"/>
    <x v="222"/>
    <x v="1"/>
    <x v="0"/>
    <x v="4"/>
    <x v="2"/>
    <x v="2"/>
  </r>
  <r>
    <x v="852"/>
    <x v="1"/>
    <x v="3"/>
    <x v="5"/>
    <x v="24"/>
    <x v="3"/>
    <x v="2"/>
    <x v="2"/>
    <x v="3"/>
    <x v="3"/>
    <x v="3"/>
    <x v="0"/>
    <x v="2"/>
    <x v="2"/>
    <x v="0"/>
    <x v="2"/>
    <x v="13"/>
    <x v="453"/>
    <x v="3"/>
    <x v="0"/>
    <x v="0"/>
    <x v="0"/>
    <x v="0"/>
  </r>
  <r>
    <x v="853"/>
    <x v="2"/>
    <x v="1"/>
    <x v="181"/>
    <x v="311"/>
    <x v="3"/>
    <x v="2"/>
    <x v="1"/>
    <x v="1"/>
    <x v="1"/>
    <x v="1"/>
    <x v="0"/>
    <x v="1"/>
    <x v="1"/>
    <x v="0"/>
    <x v="1"/>
    <x v="19"/>
    <x v="273"/>
    <x v="3"/>
    <x v="0"/>
    <x v="0"/>
    <x v="0"/>
    <x v="0"/>
  </r>
  <r>
    <x v="854"/>
    <x v="2"/>
    <x v="2"/>
    <x v="182"/>
    <x v="283"/>
    <x v="1"/>
    <x v="3"/>
    <x v="3"/>
    <x v="2"/>
    <x v="2"/>
    <x v="2"/>
    <x v="1"/>
    <x v="2"/>
    <x v="2"/>
    <x v="0"/>
    <x v="2"/>
    <x v="13"/>
    <x v="152"/>
    <x v="3"/>
    <x v="0"/>
    <x v="4"/>
    <x v="1"/>
    <x v="1"/>
  </r>
  <r>
    <x v="855"/>
    <x v="2"/>
    <x v="4"/>
    <x v="183"/>
    <x v="42"/>
    <x v="1"/>
    <x v="14"/>
    <x v="3"/>
    <x v="4"/>
    <x v="4"/>
    <x v="4"/>
    <x v="1"/>
    <x v="0"/>
    <x v="0"/>
    <x v="0"/>
    <x v="0"/>
    <x v="133"/>
    <x v="188"/>
    <x v="0"/>
    <x v="0"/>
    <x v="0"/>
    <x v="2"/>
    <x v="2"/>
  </r>
  <r>
    <x v="856"/>
    <x v="1"/>
    <x v="5"/>
    <x v="8"/>
    <x v="312"/>
    <x v="1"/>
    <x v="8"/>
    <x v="3"/>
    <x v="5"/>
    <x v="5"/>
    <x v="5"/>
    <x v="1"/>
    <x v="1"/>
    <x v="1"/>
    <x v="0"/>
    <x v="1"/>
    <x v="176"/>
    <x v="251"/>
    <x v="5"/>
    <x v="0"/>
    <x v="3"/>
    <x v="3"/>
    <x v="3"/>
  </r>
  <r>
    <x v="857"/>
    <x v="1"/>
    <x v="5"/>
    <x v="8"/>
    <x v="295"/>
    <x v="1"/>
    <x v="10"/>
    <x v="1"/>
    <x v="5"/>
    <x v="5"/>
    <x v="5"/>
    <x v="1"/>
    <x v="1"/>
    <x v="1"/>
    <x v="0"/>
    <x v="1"/>
    <x v="65"/>
    <x v="323"/>
    <x v="0"/>
    <x v="0"/>
    <x v="4"/>
    <x v="3"/>
    <x v="3"/>
  </r>
  <r>
    <x v="858"/>
    <x v="1"/>
    <x v="5"/>
    <x v="8"/>
    <x v="313"/>
    <x v="0"/>
    <x v="8"/>
    <x v="0"/>
    <x v="5"/>
    <x v="5"/>
    <x v="5"/>
    <x v="1"/>
    <x v="1"/>
    <x v="1"/>
    <x v="0"/>
    <x v="1"/>
    <x v="277"/>
    <x v="454"/>
    <x v="0"/>
    <x v="0"/>
    <x v="2"/>
    <x v="3"/>
    <x v="3"/>
  </r>
  <r>
    <x v="859"/>
    <x v="1"/>
    <x v="4"/>
    <x v="9"/>
    <x v="42"/>
    <x v="2"/>
    <x v="2"/>
    <x v="1"/>
    <x v="4"/>
    <x v="4"/>
    <x v="4"/>
    <x v="1"/>
    <x v="0"/>
    <x v="0"/>
    <x v="0"/>
    <x v="0"/>
    <x v="126"/>
    <x v="455"/>
    <x v="4"/>
    <x v="0"/>
    <x v="0"/>
    <x v="2"/>
    <x v="2"/>
  </r>
  <r>
    <x v="860"/>
    <x v="0"/>
    <x v="1"/>
    <x v="184"/>
    <x v="201"/>
    <x v="1"/>
    <x v="0"/>
    <x v="1"/>
    <x v="1"/>
    <x v="1"/>
    <x v="1"/>
    <x v="0"/>
    <x v="1"/>
    <x v="1"/>
    <x v="0"/>
    <x v="1"/>
    <x v="137"/>
    <x v="219"/>
    <x v="4"/>
    <x v="0"/>
    <x v="3"/>
    <x v="0"/>
    <x v="0"/>
  </r>
  <r>
    <x v="861"/>
    <x v="1"/>
    <x v="1"/>
    <x v="6"/>
    <x v="192"/>
    <x v="0"/>
    <x v="1"/>
    <x v="0"/>
    <x v="1"/>
    <x v="1"/>
    <x v="1"/>
    <x v="0"/>
    <x v="1"/>
    <x v="1"/>
    <x v="0"/>
    <x v="1"/>
    <x v="167"/>
    <x v="236"/>
    <x v="3"/>
    <x v="0"/>
    <x v="4"/>
    <x v="0"/>
    <x v="0"/>
  </r>
  <r>
    <x v="862"/>
    <x v="1"/>
    <x v="4"/>
    <x v="9"/>
    <x v="246"/>
    <x v="1"/>
    <x v="9"/>
    <x v="2"/>
    <x v="4"/>
    <x v="4"/>
    <x v="4"/>
    <x v="1"/>
    <x v="0"/>
    <x v="0"/>
    <x v="0"/>
    <x v="0"/>
    <x v="116"/>
    <x v="165"/>
    <x v="0"/>
    <x v="0"/>
    <x v="4"/>
    <x v="2"/>
    <x v="2"/>
  </r>
  <r>
    <x v="863"/>
    <x v="1"/>
    <x v="4"/>
    <x v="9"/>
    <x v="314"/>
    <x v="1"/>
    <x v="9"/>
    <x v="3"/>
    <x v="4"/>
    <x v="4"/>
    <x v="4"/>
    <x v="1"/>
    <x v="0"/>
    <x v="0"/>
    <x v="0"/>
    <x v="0"/>
    <x v="38"/>
    <x v="456"/>
    <x v="3"/>
    <x v="0"/>
    <x v="3"/>
    <x v="2"/>
    <x v="2"/>
  </r>
  <r>
    <x v="864"/>
    <x v="1"/>
    <x v="2"/>
    <x v="4"/>
    <x v="123"/>
    <x v="4"/>
    <x v="2"/>
    <x v="1"/>
    <x v="2"/>
    <x v="2"/>
    <x v="2"/>
    <x v="1"/>
    <x v="2"/>
    <x v="2"/>
    <x v="0"/>
    <x v="2"/>
    <x v="278"/>
    <x v="457"/>
    <x v="0"/>
    <x v="0"/>
    <x v="3"/>
    <x v="1"/>
    <x v="1"/>
  </r>
  <r>
    <x v="865"/>
    <x v="1"/>
    <x v="5"/>
    <x v="8"/>
    <x v="263"/>
    <x v="3"/>
    <x v="2"/>
    <x v="1"/>
    <x v="5"/>
    <x v="5"/>
    <x v="5"/>
    <x v="1"/>
    <x v="1"/>
    <x v="1"/>
    <x v="0"/>
    <x v="1"/>
    <x v="155"/>
    <x v="349"/>
    <x v="4"/>
    <x v="0"/>
    <x v="4"/>
    <x v="3"/>
    <x v="3"/>
  </r>
  <r>
    <x v="866"/>
    <x v="1"/>
    <x v="5"/>
    <x v="8"/>
    <x v="232"/>
    <x v="1"/>
    <x v="4"/>
    <x v="1"/>
    <x v="5"/>
    <x v="5"/>
    <x v="5"/>
    <x v="1"/>
    <x v="1"/>
    <x v="1"/>
    <x v="0"/>
    <x v="1"/>
    <x v="279"/>
    <x v="458"/>
    <x v="3"/>
    <x v="0"/>
    <x v="4"/>
    <x v="3"/>
    <x v="3"/>
  </r>
  <r>
    <x v="867"/>
    <x v="2"/>
    <x v="0"/>
    <x v="161"/>
    <x v="171"/>
    <x v="1"/>
    <x v="17"/>
    <x v="2"/>
    <x v="0"/>
    <x v="0"/>
    <x v="0"/>
    <x v="0"/>
    <x v="0"/>
    <x v="0"/>
    <x v="0"/>
    <x v="0"/>
    <x v="239"/>
    <x v="384"/>
    <x v="5"/>
    <x v="0"/>
    <x v="0"/>
    <x v="0"/>
    <x v="0"/>
  </r>
  <r>
    <x v="868"/>
    <x v="2"/>
    <x v="5"/>
    <x v="125"/>
    <x v="27"/>
    <x v="1"/>
    <x v="5"/>
    <x v="0"/>
    <x v="5"/>
    <x v="5"/>
    <x v="5"/>
    <x v="1"/>
    <x v="1"/>
    <x v="1"/>
    <x v="0"/>
    <x v="1"/>
    <x v="280"/>
    <x v="459"/>
    <x v="5"/>
    <x v="0"/>
    <x v="2"/>
    <x v="3"/>
    <x v="3"/>
  </r>
  <r>
    <x v="869"/>
    <x v="1"/>
    <x v="5"/>
    <x v="8"/>
    <x v="53"/>
    <x v="1"/>
    <x v="4"/>
    <x v="1"/>
    <x v="5"/>
    <x v="5"/>
    <x v="5"/>
    <x v="1"/>
    <x v="1"/>
    <x v="1"/>
    <x v="0"/>
    <x v="1"/>
    <x v="175"/>
    <x v="460"/>
    <x v="6"/>
    <x v="0"/>
    <x v="4"/>
    <x v="3"/>
    <x v="3"/>
  </r>
  <r>
    <x v="870"/>
    <x v="1"/>
    <x v="2"/>
    <x v="4"/>
    <x v="315"/>
    <x v="0"/>
    <x v="12"/>
    <x v="2"/>
    <x v="2"/>
    <x v="2"/>
    <x v="2"/>
    <x v="1"/>
    <x v="2"/>
    <x v="2"/>
    <x v="0"/>
    <x v="2"/>
    <x v="281"/>
    <x v="461"/>
    <x v="4"/>
    <x v="0"/>
    <x v="1"/>
    <x v="1"/>
    <x v="1"/>
  </r>
  <r>
    <x v="871"/>
    <x v="1"/>
    <x v="5"/>
    <x v="8"/>
    <x v="36"/>
    <x v="3"/>
    <x v="2"/>
    <x v="2"/>
    <x v="5"/>
    <x v="5"/>
    <x v="5"/>
    <x v="1"/>
    <x v="1"/>
    <x v="1"/>
    <x v="0"/>
    <x v="1"/>
    <x v="146"/>
    <x v="206"/>
    <x v="3"/>
    <x v="0"/>
    <x v="1"/>
    <x v="3"/>
    <x v="3"/>
  </r>
  <r>
    <x v="872"/>
    <x v="1"/>
    <x v="4"/>
    <x v="9"/>
    <x v="316"/>
    <x v="1"/>
    <x v="9"/>
    <x v="1"/>
    <x v="4"/>
    <x v="4"/>
    <x v="4"/>
    <x v="1"/>
    <x v="0"/>
    <x v="0"/>
    <x v="0"/>
    <x v="0"/>
    <x v="176"/>
    <x v="251"/>
    <x v="5"/>
    <x v="0"/>
    <x v="3"/>
    <x v="2"/>
    <x v="2"/>
  </r>
  <r>
    <x v="873"/>
    <x v="1"/>
    <x v="1"/>
    <x v="6"/>
    <x v="37"/>
    <x v="2"/>
    <x v="2"/>
    <x v="0"/>
    <x v="1"/>
    <x v="1"/>
    <x v="1"/>
    <x v="0"/>
    <x v="1"/>
    <x v="1"/>
    <x v="0"/>
    <x v="1"/>
    <x v="282"/>
    <x v="462"/>
    <x v="2"/>
    <x v="0"/>
    <x v="2"/>
    <x v="0"/>
    <x v="0"/>
  </r>
  <r>
    <x v="874"/>
    <x v="1"/>
    <x v="2"/>
    <x v="4"/>
    <x v="128"/>
    <x v="1"/>
    <x v="19"/>
    <x v="0"/>
    <x v="2"/>
    <x v="2"/>
    <x v="2"/>
    <x v="1"/>
    <x v="2"/>
    <x v="2"/>
    <x v="0"/>
    <x v="2"/>
    <x v="50"/>
    <x v="254"/>
    <x v="0"/>
    <x v="0"/>
    <x v="2"/>
    <x v="1"/>
    <x v="1"/>
  </r>
  <r>
    <x v="875"/>
    <x v="0"/>
    <x v="2"/>
    <x v="185"/>
    <x v="134"/>
    <x v="1"/>
    <x v="19"/>
    <x v="1"/>
    <x v="2"/>
    <x v="2"/>
    <x v="2"/>
    <x v="1"/>
    <x v="2"/>
    <x v="2"/>
    <x v="0"/>
    <x v="2"/>
    <x v="145"/>
    <x v="205"/>
    <x v="3"/>
    <x v="0"/>
    <x v="4"/>
    <x v="1"/>
    <x v="1"/>
  </r>
  <r>
    <x v="876"/>
    <x v="1"/>
    <x v="1"/>
    <x v="6"/>
    <x v="36"/>
    <x v="2"/>
    <x v="2"/>
    <x v="3"/>
    <x v="1"/>
    <x v="1"/>
    <x v="1"/>
    <x v="0"/>
    <x v="1"/>
    <x v="1"/>
    <x v="0"/>
    <x v="1"/>
    <x v="283"/>
    <x v="463"/>
    <x v="4"/>
    <x v="0"/>
    <x v="4"/>
    <x v="0"/>
    <x v="0"/>
  </r>
  <r>
    <x v="877"/>
    <x v="1"/>
    <x v="1"/>
    <x v="6"/>
    <x v="106"/>
    <x v="1"/>
    <x v="0"/>
    <x v="3"/>
    <x v="1"/>
    <x v="1"/>
    <x v="1"/>
    <x v="0"/>
    <x v="1"/>
    <x v="1"/>
    <x v="0"/>
    <x v="1"/>
    <x v="152"/>
    <x v="357"/>
    <x v="5"/>
    <x v="0"/>
    <x v="1"/>
    <x v="0"/>
    <x v="0"/>
  </r>
  <r>
    <x v="878"/>
    <x v="1"/>
    <x v="0"/>
    <x v="2"/>
    <x v="256"/>
    <x v="1"/>
    <x v="1"/>
    <x v="0"/>
    <x v="0"/>
    <x v="0"/>
    <x v="0"/>
    <x v="0"/>
    <x v="0"/>
    <x v="0"/>
    <x v="0"/>
    <x v="0"/>
    <x v="269"/>
    <x v="438"/>
    <x v="2"/>
    <x v="0"/>
    <x v="3"/>
    <x v="0"/>
    <x v="0"/>
  </r>
  <r>
    <x v="879"/>
    <x v="1"/>
    <x v="1"/>
    <x v="6"/>
    <x v="203"/>
    <x v="1"/>
    <x v="0"/>
    <x v="1"/>
    <x v="1"/>
    <x v="1"/>
    <x v="1"/>
    <x v="0"/>
    <x v="1"/>
    <x v="1"/>
    <x v="0"/>
    <x v="1"/>
    <x v="120"/>
    <x v="232"/>
    <x v="2"/>
    <x v="0"/>
    <x v="0"/>
    <x v="0"/>
    <x v="0"/>
  </r>
  <r>
    <x v="880"/>
    <x v="1"/>
    <x v="0"/>
    <x v="2"/>
    <x v="89"/>
    <x v="1"/>
    <x v="1"/>
    <x v="2"/>
    <x v="0"/>
    <x v="0"/>
    <x v="0"/>
    <x v="0"/>
    <x v="0"/>
    <x v="0"/>
    <x v="0"/>
    <x v="0"/>
    <x v="88"/>
    <x v="446"/>
    <x v="5"/>
    <x v="0"/>
    <x v="0"/>
    <x v="0"/>
    <x v="0"/>
  </r>
  <r>
    <x v="881"/>
    <x v="1"/>
    <x v="4"/>
    <x v="9"/>
    <x v="104"/>
    <x v="0"/>
    <x v="14"/>
    <x v="1"/>
    <x v="4"/>
    <x v="4"/>
    <x v="4"/>
    <x v="1"/>
    <x v="0"/>
    <x v="0"/>
    <x v="0"/>
    <x v="0"/>
    <x v="233"/>
    <x v="464"/>
    <x v="4"/>
    <x v="0"/>
    <x v="3"/>
    <x v="2"/>
    <x v="2"/>
  </r>
  <r>
    <x v="882"/>
    <x v="1"/>
    <x v="0"/>
    <x v="2"/>
    <x v="128"/>
    <x v="2"/>
    <x v="2"/>
    <x v="0"/>
    <x v="0"/>
    <x v="0"/>
    <x v="0"/>
    <x v="0"/>
    <x v="0"/>
    <x v="0"/>
    <x v="0"/>
    <x v="0"/>
    <x v="204"/>
    <x v="434"/>
    <x v="4"/>
    <x v="0"/>
    <x v="1"/>
    <x v="0"/>
    <x v="0"/>
  </r>
  <r>
    <x v="883"/>
    <x v="1"/>
    <x v="4"/>
    <x v="9"/>
    <x v="123"/>
    <x v="1"/>
    <x v="9"/>
    <x v="0"/>
    <x v="4"/>
    <x v="4"/>
    <x v="4"/>
    <x v="1"/>
    <x v="0"/>
    <x v="0"/>
    <x v="0"/>
    <x v="0"/>
    <x v="284"/>
    <x v="465"/>
    <x v="3"/>
    <x v="0"/>
    <x v="1"/>
    <x v="2"/>
    <x v="2"/>
  </r>
  <r>
    <x v="884"/>
    <x v="0"/>
    <x v="4"/>
    <x v="186"/>
    <x v="317"/>
    <x v="1"/>
    <x v="9"/>
    <x v="2"/>
    <x v="4"/>
    <x v="4"/>
    <x v="4"/>
    <x v="1"/>
    <x v="0"/>
    <x v="0"/>
    <x v="0"/>
    <x v="0"/>
    <x v="96"/>
    <x v="215"/>
    <x v="4"/>
    <x v="0"/>
    <x v="1"/>
    <x v="2"/>
    <x v="2"/>
  </r>
  <r>
    <x v="885"/>
    <x v="1"/>
    <x v="0"/>
    <x v="2"/>
    <x v="28"/>
    <x v="1"/>
    <x v="1"/>
    <x v="3"/>
    <x v="0"/>
    <x v="0"/>
    <x v="0"/>
    <x v="0"/>
    <x v="0"/>
    <x v="0"/>
    <x v="0"/>
    <x v="0"/>
    <x v="116"/>
    <x v="165"/>
    <x v="0"/>
    <x v="0"/>
    <x v="4"/>
    <x v="0"/>
    <x v="0"/>
  </r>
  <r>
    <x v="886"/>
    <x v="0"/>
    <x v="2"/>
    <x v="187"/>
    <x v="295"/>
    <x v="1"/>
    <x v="3"/>
    <x v="3"/>
    <x v="2"/>
    <x v="2"/>
    <x v="2"/>
    <x v="1"/>
    <x v="2"/>
    <x v="2"/>
    <x v="0"/>
    <x v="2"/>
    <x v="158"/>
    <x v="223"/>
    <x v="3"/>
    <x v="0"/>
    <x v="0"/>
    <x v="1"/>
    <x v="1"/>
  </r>
  <r>
    <x v="887"/>
    <x v="1"/>
    <x v="3"/>
    <x v="5"/>
    <x v="117"/>
    <x v="1"/>
    <x v="0"/>
    <x v="2"/>
    <x v="3"/>
    <x v="3"/>
    <x v="3"/>
    <x v="0"/>
    <x v="2"/>
    <x v="2"/>
    <x v="0"/>
    <x v="2"/>
    <x v="185"/>
    <x v="466"/>
    <x v="0"/>
    <x v="0"/>
    <x v="4"/>
    <x v="0"/>
    <x v="0"/>
  </r>
  <r>
    <x v="888"/>
    <x v="1"/>
    <x v="1"/>
    <x v="6"/>
    <x v="37"/>
    <x v="1"/>
    <x v="0"/>
    <x v="1"/>
    <x v="1"/>
    <x v="1"/>
    <x v="1"/>
    <x v="0"/>
    <x v="1"/>
    <x v="1"/>
    <x v="0"/>
    <x v="1"/>
    <x v="282"/>
    <x v="462"/>
    <x v="2"/>
    <x v="0"/>
    <x v="2"/>
    <x v="0"/>
    <x v="0"/>
  </r>
  <r>
    <x v="889"/>
    <x v="2"/>
    <x v="3"/>
    <x v="188"/>
    <x v="4"/>
    <x v="1"/>
    <x v="1"/>
    <x v="1"/>
    <x v="3"/>
    <x v="3"/>
    <x v="3"/>
    <x v="0"/>
    <x v="2"/>
    <x v="2"/>
    <x v="0"/>
    <x v="2"/>
    <x v="228"/>
    <x v="341"/>
    <x v="3"/>
    <x v="0"/>
    <x v="1"/>
    <x v="0"/>
    <x v="0"/>
  </r>
  <r>
    <x v="890"/>
    <x v="2"/>
    <x v="1"/>
    <x v="189"/>
    <x v="191"/>
    <x v="4"/>
    <x v="2"/>
    <x v="1"/>
    <x v="1"/>
    <x v="1"/>
    <x v="1"/>
    <x v="0"/>
    <x v="1"/>
    <x v="1"/>
    <x v="0"/>
    <x v="1"/>
    <x v="270"/>
    <x v="439"/>
    <x v="4"/>
    <x v="0"/>
    <x v="4"/>
    <x v="0"/>
    <x v="0"/>
  </r>
  <r>
    <x v="891"/>
    <x v="1"/>
    <x v="2"/>
    <x v="4"/>
    <x v="318"/>
    <x v="1"/>
    <x v="12"/>
    <x v="1"/>
    <x v="2"/>
    <x v="2"/>
    <x v="2"/>
    <x v="1"/>
    <x v="2"/>
    <x v="2"/>
    <x v="0"/>
    <x v="2"/>
    <x v="188"/>
    <x v="467"/>
    <x v="5"/>
    <x v="0"/>
    <x v="0"/>
    <x v="1"/>
    <x v="1"/>
  </r>
  <r>
    <x v="892"/>
    <x v="2"/>
    <x v="3"/>
    <x v="190"/>
    <x v="26"/>
    <x v="1"/>
    <x v="0"/>
    <x v="3"/>
    <x v="3"/>
    <x v="3"/>
    <x v="3"/>
    <x v="0"/>
    <x v="2"/>
    <x v="2"/>
    <x v="0"/>
    <x v="2"/>
    <x v="259"/>
    <x v="411"/>
    <x v="3"/>
    <x v="0"/>
    <x v="0"/>
    <x v="0"/>
    <x v="0"/>
  </r>
  <r>
    <x v="893"/>
    <x v="2"/>
    <x v="5"/>
    <x v="191"/>
    <x v="58"/>
    <x v="1"/>
    <x v="3"/>
    <x v="3"/>
    <x v="5"/>
    <x v="5"/>
    <x v="5"/>
    <x v="1"/>
    <x v="1"/>
    <x v="1"/>
    <x v="0"/>
    <x v="1"/>
    <x v="213"/>
    <x v="335"/>
    <x v="3"/>
    <x v="0"/>
    <x v="0"/>
    <x v="3"/>
    <x v="3"/>
  </r>
  <r>
    <x v="894"/>
    <x v="1"/>
    <x v="1"/>
    <x v="6"/>
    <x v="186"/>
    <x v="1"/>
    <x v="1"/>
    <x v="1"/>
    <x v="1"/>
    <x v="1"/>
    <x v="1"/>
    <x v="0"/>
    <x v="1"/>
    <x v="1"/>
    <x v="0"/>
    <x v="1"/>
    <x v="54"/>
    <x v="368"/>
    <x v="3"/>
    <x v="0"/>
    <x v="2"/>
    <x v="0"/>
    <x v="0"/>
  </r>
  <r>
    <x v="895"/>
    <x v="1"/>
    <x v="4"/>
    <x v="9"/>
    <x v="134"/>
    <x v="2"/>
    <x v="2"/>
    <x v="3"/>
    <x v="4"/>
    <x v="4"/>
    <x v="4"/>
    <x v="1"/>
    <x v="0"/>
    <x v="0"/>
    <x v="0"/>
    <x v="0"/>
    <x v="137"/>
    <x v="289"/>
    <x v="4"/>
    <x v="0"/>
    <x v="2"/>
    <x v="2"/>
    <x v="2"/>
  </r>
  <r>
    <x v="896"/>
    <x v="2"/>
    <x v="4"/>
    <x v="192"/>
    <x v="136"/>
    <x v="1"/>
    <x v="9"/>
    <x v="0"/>
    <x v="4"/>
    <x v="4"/>
    <x v="4"/>
    <x v="1"/>
    <x v="0"/>
    <x v="0"/>
    <x v="0"/>
    <x v="0"/>
    <x v="192"/>
    <x v="275"/>
    <x v="0"/>
    <x v="0"/>
    <x v="1"/>
    <x v="2"/>
    <x v="2"/>
  </r>
  <r>
    <x v="897"/>
    <x v="0"/>
    <x v="3"/>
    <x v="193"/>
    <x v="24"/>
    <x v="1"/>
    <x v="0"/>
    <x v="3"/>
    <x v="3"/>
    <x v="3"/>
    <x v="3"/>
    <x v="0"/>
    <x v="2"/>
    <x v="2"/>
    <x v="0"/>
    <x v="2"/>
    <x v="132"/>
    <x v="185"/>
    <x v="5"/>
    <x v="0"/>
    <x v="1"/>
    <x v="0"/>
    <x v="0"/>
  </r>
  <r>
    <x v="898"/>
    <x v="1"/>
    <x v="1"/>
    <x v="6"/>
    <x v="167"/>
    <x v="1"/>
    <x v="17"/>
    <x v="3"/>
    <x v="1"/>
    <x v="1"/>
    <x v="1"/>
    <x v="0"/>
    <x v="1"/>
    <x v="1"/>
    <x v="0"/>
    <x v="1"/>
    <x v="183"/>
    <x v="261"/>
    <x v="0"/>
    <x v="0"/>
    <x v="2"/>
    <x v="0"/>
    <x v="0"/>
  </r>
  <r>
    <x v="899"/>
    <x v="1"/>
    <x v="3"/>
    <x v="5"/>
    <x v="45"/>
    <x v="1"/>
    <x v="17"/>
    <x v="2"/>
    <x v="3"/>
    <x v="3"/>
    <x v="3"/>
    <x v="0"/>
    <x v="2"/>
    <x v="2"/>
    <x v="0"/>
    <x v="2"/>
    <x v="84"/>
    <x v="340"/>
    <x v="0"/>
    <x v="0"/>
    <x v="3"/>
    <x v="0"/>
    <x v="0"/>
  </r>
  <r>
    <x v="900"/>
    <x v="2"/>
    <x v="3"/>
    <x v="194"/>
    <x v="319"/>
    <x v="2"/>
    <x v="2"/>
    <x v="1"/>
    <x v="3"/>
    <x v="3"/>
    <x v="3"/>
    <x v="0"/>
    <x v="2"/>
    <x v="2"/>
    <x v="0"/>
    <x v="2"/>
    <x v="201"/>
    <x v="295"/>
    <x v="4"/>
    <x v="0"/>
    <x v="1"/>
    <x v="0"/>
    <x v="0"/>
  </r>
  <r>
    <x v="901"/>
    <x v="1"/>
    <x v="3"/>
    <x v="5"/>
    <x v="320"/>
    <x v="3"/>
    <x v="2"/>
    <x v="1"/>
    <x v="3"/>
    <x v="3"/>
    <x v="3"/>
    <x v="0"/>
    <x v="2"/>
    <x v="2"/>
    <x v="0"/>
    <x v="2"/>
    <x v="105"/>
    <x v="148"/>
    <x v="0"/>
    <x v="0"/>
    <x v="4"/>
    <x v="0"/>
    <x v="0"/>
  </r>
  <r>
    <x v="902"/>
    <x v="1"/>
    <x v="0"/>
    <x v="2"/>
    <x v="305"/>
    <x v="1"/>
    <x v="1"/>
    <x v="1"/>
    <x v="0"/>
    <x v="0"/>
    <x v="0"/>
    <x v="0"/>
    <x v="0"/>
    <x v="0"/>
    <x v="0"/>
    <x v="0"/>
    <x v="285"/>
    <x v="468"/>
    <x v="3"/>
    <x v="0"/>
    <x v="0"/>
    <x v="0"/>
    <x v="0"/>
  </r>
  <r>
    <x v="903"/>
    <x v="1"/>
    <x v="4"/>
    <x v="9"/>
    <x v="321"/>
    <x v="1"/>
    <x v="17"/>
    <x v="1"/>
    <x v="4"/>
    <x v="4"/>
    <x v="4"/>
    <x v="1"/>
    <x v="0"/>
    <x v="0"/>
    <x v="0"/>
    <x v="0"/>
    <x v="140"/>
    <x v="469"/>
    <x v="0"/>
    <x v="0"/>
    <x v="2"/>
    <x v="2"/>
    <x v="2"/>
  </r>
  <r>
    <x v="904"/>
    <x v="0"/>
    <x v="5"/>
    <x v="195"/>
    <x v="322"/>
    <x v="0"/>
    <x v="4"/>
    <x v="3"/>
    <x v="5"/>
    <x v="5"/>
    <x v="5"/>
    <x v="1"/>
    <x v="1"/>
    <x v="1"/>
    <x v="0"/>
    <x v="1"/>
    <x v="71"/>
    <x v="220"/>
    <x v="2"/>
    <x v="0"/>
    <x v="1"/>
    <x v="3"/>
    <x v="3"/>
  </r>
  <r>
    <x v="905"/>
    <x v="2"/>
    <x v="4"/>
    <x v="196"/>
    <x v="69"/>
    <x v="1"/>
    <x v="14"/>
    <x v="3"/>
    <x v="4"/>
    <x v="4"/>
    <x v="4"/>
    <x v="1"/>
    <x v="0"/>
    <x v="0"/>
    <x v="0"/>
    <x v="0"/>
    <x v="163"/>
    <x v="229"/>
    <x v="5"/>
    <x v="0"/>
    <x v="2"/>
    <x v="2"/>
    <x v="2"/>
  </r>
  <r>
    <x v="906"/>
    <x v="0"/>
    <x v="1"/>
    <x v="197"/>
    <x v="256"/>
    <x v="1"/>
    <x v="0"/>
    <x v="2"/>
    <x v="1"/>
    <x v="1"/>
    <x v="1"/>
    <x v="0"/>
    <x v="1"/>
    <x v="1"/>
    <x v="0"/>
    <x v="1"/>
    <x v="152"/>
    <x v="357"/>
    <x v="5"/>
    <x v="0"/>
    <x v="1"/>
    <x v="0"/>
    <x v="0"/>
  </r>
  <r>
    <x v="907"/>
    <x v="1"/>
    <x v="3"/>
    <x v="5"/>
    <x v="3"/>
    <x v="2"/>
    <x v="2"/>
    <x v="2"/>
    <x v="3"/>
    <x v="3"/>
    <x v="3"/>
    <x v="0"/>
    <x v="2"/>
    <x v="2"/>
    <x v="0"/>
    <x v="2"/>
    <x v="253"/>
    <x v="393"/>
    <x v="5"/>
    <x v="0"/>
    <x v="3"/>
    <x v="0"/>
    <x v="0"/>
  </r>
  <r>
    <x v="908"/>
    <x v="1"/>
    <x v="3"/>
    <x v="5"/>
    <x v="147"/>
    <x v="2"/>
    <x v="2"/>
    <x v="1"/>
    <x v="3"/>
    <x v="3"/>
    <x v="3"/>
    <x v="0"/>
    <x v="2"/>
    <x v="2"/>
    <x v="0"/>
    <x v="2"/>
    <x v="20"/>
    <x v="375"/>
    <x v="5"/>
    <x v="0"/>
    <x v="2"/>
    <x v="0"/>
    <x v="0"/>
  </r>
  <r>
    <x v="909"/>
    <x v="2"/>
    <x v="3"/>
    <x v="198"/>
    <x v="323"/>
    <x v="1"/>
    <x v="0"/>
    <x v="3"/>
    <x v="3"/>
    <x v="3"/>
    <x v="3"/>
    <x v="0"/>
    <x v="2"/>
    <x v="2"/>
    <x v="0"/>
    <x v="2"/>
    <x v="222"/>
    <x v="470"/>
    <x v="2"/>
    <x v="0"/>
    <x v="4"/>
    <x v="0"/>
    <x v="0"/>
  </r>
  <r>
    <x v="910"/>
    <x v="1"/>
    <x v="3"/>
    <x v="5"/>
    <x v="147"/>
    <x v="1"/>
    <x v="0"/>
    <x v="2"/>
    <x v="3"/>
    <x v="3"/>
    <x v="3"/>
    <x v="0"/>
    <x v="2"/>
    <x v="2"/>
    <x v="0"/>
    <x v="2"/>
    <x v="117"/>
    <x v="423"/>
    <x v="4"/>
    <x v="0"/>
    <x v="3"/>
    <x v="0"/>
    <x v="0"/>
  </r>
  <r>
    <x v="911"/>
    <x v="1"/>
    <x v="0"/>
    <x v="2"/>
    <x v="19"/>
    <x v="1"/>
    <x v="0"/>
    <x v="0"/>
    <x v="0"/>
    <x v="0"/>
    <x v="0"/>
    <x v="0"/>
    <x v="0"/>
    <x v="0"/>
    <x v="0"/>
    <x v="0"/>
    <x v="60"/>
    <x v="471"/>
    <x v="3"/>
    <x v="0"/>
    <x v="1"/>
    <x v="0"/>
    <x v="0"/>
  </r>
  <r>
    <x v="912"/>
    <x v="1"/>
    <x v="1"/>
    <x v="6"/>
    <x v="301"/>
    <x v="1"/>
    <x v="1"/>
    <x v="3"/>
    <x v="1"/>
    <x v="1"/>
    <x v="1"/>
    <x v="0"/>
    <x v="1"/>
    <x v="1"/>
    <x v="0"/>
    <x v="1"/>
    <x v="190"/>
    <x v="271"/>
    <x v="4"/>
    <x v="0"/>
    <x v="2"/>
    <x v="0"/>
    <x v="0"/>
  </r>
  <r>
    <x v="913"/>
    <x v="1"/>
    <x v="2"/>
    <x v="4"/>
    <x v="8"/>
    <x v="1"/>
    <x v="5"/>
    <x v="0"/>
    <x v="2"/>
    <x v="2"/>
    <x v="2"/>
    <x v="1"/>
    <x v="2"/>
    <x v="2"/>
    <x v="0"/>
    <x v="2"/>
    <x v="162"/>
    <x v="228"/>
    <x v="5"/>
    <x v="0"/>
    <x v="0"/>
    <x v="1"/>
    <x v="1"/>
  </r>
  <r>
    <x v="914"/>
    <x v="1"/>
    <x v="1"/>
    <x v="6"/>
    <x v="324"/>
    <x v="1"/>
    <x v="1"/>
    <x v="0"/>
    <x v="1"/>
    <x v="1"/>
    <x v="1"/>
    <x v="0"/>
    <x v="1"/>
    <x v="1"/>
    <x v="0"/>
    <x v="1"/>
    <x v="159"/>
    <x v="407"/>
    <x v="1"/>
    <x v="0"/>
    <x v="2"/>
    <x v="0"/>
    <x v="0"/>
  </r>
  <r>
    <x v="915"/>
    <x v="1"/>
    <x v="5"/>
    <x v="8"/>
    <x v="325"/>
    <x v="1"/>
    <x v="10"/>
    <x v="3"/>
    <x v="5"/>
    <x v="5"/>
    <x v="5"/>
    <x v="1"/>
    <x v="1"/>
    <x v="1"/>
    <x v="0"/>
    <x v="1"/>
    <x v="286"/>
    <x v="472"/>
    <x v="1"/>
    <x v="0"/>
    <x v="3"/>
    <x v="3"/>
    <x v="3"/>
  </r>
  <r>
    <x v="916"/>
    <x v="1"/>
    <x v="4"/>
    <x v="9"/>
    <x v="28"/>
    <x v="1"/>
    <x v="9"/>
    <x v="2"/>
    <x v="4"/>
    <x v="4"/>
    <x v="4"/>
    <x v="1"/>
    <x v="0"/>
    <x v="0"/>
    <x v="0"/>
    <x v="0"/>
    <x v="177"/>
    <x v="252"/>
    <x v="4"/>
    <x v="0"/>
    <x v="2"/>
    <x v="2"/>
    <x v="2"/>
  </r>
  <r>
    <x v="917"/>
    <x v="1"/>
    <x v="4"/>
    <x v="9"/>
    <x v="177"/>
    <x v="4"/>
    <x v="2"/>
    <x v="1"/>
    <x v="4"/>
    <x v="4"/>
    <x v="4"/>
    <x v="1"/>
    <x v="0"/>
    <x v="0"/>
    <x v="0"/>
    <x v="0"/>
    <x v="166"/>
    <x v="235"/>
    <x v="5"/>
    <x v="0"/>
    <x v="2"/>
    <x v="2"/>
    <x v="2"/>
  </r>
  <r>
    <x v="918"/>
    <x v="0"/>
    <x v="2"/>
    <x v="68"/>
    <x v="326"/>
    <x v="1"/>
    <x v="12"/>
    <x v="3"/>
    <x v="2"/>
    <x v="2"/>
    <x v="2"/>
    <x v="1"/>
    <x v="2"/>
    <x v="2"/>
    <x v="0"/>
    <x v="2"/>
    <x v="202"/>
    <x v="296"/>
    <x v="1"/>
    <x v="0"/>
    <x v="3"/>
    <x v="1"/>
    <x v="1"/>
  </r>
  <r>
    <x v="919"/>
    <x v="2"/>
    <x v="2"/>
    <x v="199"/>
    <x v="98"/>
    <x v="1"/>
    <x v="19"/>
    <x v="1"/>
    <x v="2"/>
    <x v="2"/>
    <x v="2"/>
    <x v="1"/>
    <x v="2"/>
    <x v="2"/>
    <x v="0"/>
    <x v="2"/>
    <x v="13"/>
    <x v="152"/>
    <x v="3"/>
    <x v="0"/>
    <x v="4"/>
    <x v="1"/>
    <x v="1"/>
  </r>
  <r>
    <x v="920"/>
    <x v="2"/>
    <x v="3"/>
    <x v="200"/>
    <x v="126"/>
    <x v="1"/>
    <x v="1"/>
    <x v="0"/>
    <x v="3"/>
    <x v="3"/>
    <x v="3"/>
    <x v="0"/>
    <x v="2"/>
    <x v="2"/>
    <x v="0"/>
    <x v="2"/>
    <x v="145"/>
    <x v="332"/>
    <x v="4"/>
    <x v="0"/>
    <x v="2"/>
    <x v="0"/>
    <x v="0"/>
  </r>
  <r>
    <x v="921"/>
    <x v="1"/>
    <x v="3"/>
    <x v="5"/>
    <x v="75"/>
    <x v="1"/>
    <x v="1"/>
    <x v="1"/>
    <x v="3"/>
    <x v="3"/>
    <x v="3"/>
    <x v="0"/>
    <x v="2"/>
    <x v="2"/>
    <x v="0"/>
    <x v="2"/>
    <x v="19"/>
    <x v="273"/>
    <x v="3"/>
    <x v="0"/>
    <x v="0"/>
    <x v="0"/>
    <x v="0"/>
  </r>
  <r>
    <x v="922"/>
    <x v="1"/>
    <x v="0"/>
    <x v="2"/>
    <x v="148"/>
    <x v="1"/>
    <x v="1"/>
    <x v="1"/>
    <x v="0"/>
    <x v="0"/>
    <x v="0"/>
    <x v="0"/>
    <x v="0"/>
    <x v="0"/>
    <x v="0"/>
    <x v="0"/>
    <x v="284"/>
    <x v="465"/>
    <x v="3"/>
    <x v="0"/>
    <x v="1"/>
    <x v="0"/>
    <x v="0"/>
  </r>
  <r>
    <x v="923"/>
    <x v="2"/>
    <x v="2"/>
    <x v="201"/>
    <x v="133"/>
    <x v="0"/>
    <x v="11"/>
    <x v="2"/>
    <x v="2"/>
    <x v="2"/>
    <x v="2"/>
    <x v="1"/>
    <x v="2"/>
    <x v="2"/>
    <x v="0"/>
    <x v="2"/>
    <x v="159"/>
    <x v="225"/>
    <x v="0"/>
    <x v="0"/>
    <x v="4"/>
    <x v="1"/>
    <x v="1"/>
  </r>
  <r>
    <x v="924"/>
    <x v="1"/>
    <x v="1"/>
    <x v="6"/>
    <x v="257"/>
    <x v="1"/>
    <x v="0"/>
    <x v="2"/>
    <x v="1"/>
    <x v="1"/>
    <x v="1"/>
    <x v="0"/>
    <x v="1"/>
    <x v="1"/>
    <x v="0"/>
    <x v="1"/>
    <x v="120"/>
    <x v="473"/>
    <x v="0"/>
    <x v="0"/>
    <x v="2"/>
    <x v="0"/>
    <x v="0"/>
  </r>
  <r>
    <x v="925"/>
    <x v="2"/>
    <x v="5"/>
    <x v="125"/>
    <x v="71"/>
    <x v="1"/>
    <x v="10"/>
    <x v="3"/>
    <x v="5"/>
    <x v="5"/>
    <x v="5"/>
    <x v="1"/>
    <x v="1"/>
    <x v="1"/>
    <x v="0"/>
    <x v="1"/>
    <x v="126"/>
    <x v="178"/>
    <x v="2"/>
    <x v="0"/>
    <x v="0"/>
    <x v="3"/>
    <x v="3"/>
  </r>
  <r>
    <x v="926"/>
    <x v="1"/>
    <x v="2"/>
    <x v="4"/>
    <x v="300"/>
    <x v="1"/>
    <x v="5"/>
    <x v="0"/>
    <x v="2"/>
    <x v="2"/>
    <x v="2"/>
    <x v="1"/>
    <x v="2"/>
    <x v="2"/>
    <x v="0"/>
    <x v="2"/>
    <x v="285"/>
    <x v="468"/>
    <x v="3"/>
    <x v="0"/>
    <x v="0"/>
    <x v="1"/>
    <x v="1"/>
  </r>
  <r>
    <x v="927"/>
    <x v="1"/>
    <x v="3"/>
    <x v="5"/>
    <x v="201"/>
    <x v="1"/>
    <x v="1"/>
    <x v="0"/>
    <x v="3"/>
    <x v="3"/>
    <x v="3"/>
    <x v="0"/>
    <x v="2"/>
    <x v="2"/>
    <x v="0"/>
    <x v="2"/>
    <x v="156"/>
    <x v="363"/>
    <x v="2"/>
    <x v="0"/>
    <x v="1"/>
    <x v="0"/>
    <x v="0"/>
  </r>
  <r>
    <x v="928"/>
    <x v="1"/>
    <x v="4"/>
    <x v="9"/>
    <x v="327"/>
    <x v="2"/>
    <x v="2"/>
    <x v="2"/>
    <x v="4"/>
    <x v="4"/>
    <x v="4"/>
    <x v="1"/>
    <x v="0"/>
    <x v="0"/>
    <x v="0"/>
    <x v="0"/>
    <x v="159"/>
    <x v="225"/>
    <x v="0"/>
    <x v="0"/>
    <x v="4"/>
    <x v="2"/>
    <x v="2"/>
  </r>
  <r>
    <x v="929"/>
    <x v="1"/>
    <x v="0"/>
    <x v="2"/>
    <x v="328"/>
    <x v="1"/>
    <x v="0"/>
    <x v="0"/>
    <x v="0"/>
    <x v="0"/>
    <x v="0"/>
    <x v="0"/>
    <x v="0"/>
    <x v="0"/>
    <x v="0"/>
    <x v="0"/>
    <x v="265"/>
    <x v="425"/>
    <x v="5"/>
    <x v="0"/>
    <x v="4"/>
    <x v="0"/>
    <x v="0"/>
  </r>
  <r>
    <x v="930"/>
    <x v="2"/>
    <x v="2"/>
    <x v="202"/>
    <x v="180"/>
    <x v="1"/>
    <x v="3"/>
    <x v="0"/>
    <x v="2"/>
    <x v="2"/>
    <x v="2"/>
    <x v="1"/>
    <x v="2"/>
    <x v="2"/>
    <x v="0"/>
    <x v="2"/>
    <x v="102"/>
    <x v="144"/>
    <x v="3"/>
    <x v="0"/>
    <x v="3"/>
    <x v="1"/>
    <x v="1"/>
  </r>
  <r>
    <x v="931"/>
    <x v="1"/>
    <x v="2"/>
    <x v="4"/>
    <x v="40"/>
    <x v="1"/>
    <x v="11"/>
    <x v="1"/>
    <x v="2"/>
    <x v="2"/>
    <x v="2"/>
    <x v="1"/>
    <x v="2"/>
    <x v="2"/>
    <x v="0"/>
    <x v="2"/>
    <x v="17"/>
    <x v="160"/>
    <x v="4"/>
    <x v="0"/>
    <x v="1"/>
    <x v="1"/>
    <x v="1"/>
  </r>
  <r>
    <x v="932"/>
    <x v="1"/>
    <x v="5"/>
    <x v="8"/>
    <x v="11"/>
    <x v="1"/>
    <x v="10"/>
    <x v="1"/>
    <x v="5"/>
    <x v="5"/>
    <x v="5"/>
    <x v="1"/>
    <x v="1"/>
    <x v="1"/>
    <x v="0"/>
    <x v="1"/>
    <x v="177"/>
    <x v="252"/>
    <x v="4"/>
    <x v="0"/>
    <x v="2"/>
    <x v="3"/>
    <x v="3"/>
  </r>
  <r>
    <x v="933"/>
    <x v="1"/>
    <x v="2"/>
    <x v="4"/>
    <x v="322"/>
    <x v="1"/>
    <x v="3"/>
    <x v="0"/>
    <x v="2"/>
    <x v="2"/>
    <x v="2"/>
    <x v="1"/>
    <x v="2"/>
    <x v="2"/>
    <x v="0"/>
    <x v="2"/>
    <x v="287"/>
    <x v="474"/>
    <x v="5"/>
    <x v="0"/>
    <x v="0"/>
    <x v="1"/>
    <x v="1"/>
  </r>
  <r>
    <x v="934"/>
    <x v="1"/>
    <x v="2"/>
    <x v="4"/>
    <x v="44"/>
    <x v="1"/>
    <x v="4"/>
    <x v="0"/>
    <x v="2"/>
    <x v="2"/>
    <x v="2"/>
    <x v="1"/>
    <x v="2"/>
    <x v="2"/>
    <x v="0"/>
    <x v="2"/>
    <x v="268"/>
    <x v="433"/>
    <x v="0"/>
    <x v="0"/>
    <x v="0"/>
    <x v="1"/>
    <x v="1"/>
  </r>
  <r>
    <x v="935"/>
    <x v="1"/>
    <x v="5"/>
    <x v="8"/>
    <x v="329"/>
    <x v="1"/>
    <x v="16"/>
    <x v="3"/>
    <x v="5"/>
    <x v="5"/>
    <x v="5"/>
    <x v="1"/>
    <x v="1"/>
    <x v="1"/>
    <x v="0"/>
    <x v="1"/>
    <x v="176"/>
    <x v="278"/>
    <x v="2"/>
    <x v="0"/>
    <x v="1"/>
    <x v="3"/>
    <x v="3"/>
  </r>
  <r>
    <x v="936"/>
    <x v="0"/>
    <x v="3"/>
    <x v="203"/>
    <x v="302"/>
    <x v="1"/>
    <x v="14"/>
    <x v="1"/>
    <x v="3"/>
    <x v="3"/>
    <x v="3"/>
    <x v="0"/>
    <x v="2"/>
    <x v="2"/>
    <x v="0"/>
    <x v="2"/>
    <x v="176"/>
    <x v="251"/>
    <x v="5"/>
    <x v="0"/>
    <x v="3"/>
    <x v="0"/>
    <x v="0"/>
  </r>
  <r>
    <x v="937"/>
    <x v="1"/>
    <x v="5"/>
    <x v="8"/>
    <x v="32"/>
    <x v="4"/>
    <x v="2"/>
    <x v="3"/>
    <x v="5"/>
    <x v="5"/>
    <x v="5"/>
    <x v="1"/>
    <x v="1"/>
    <x v="1"/>
    <x v="0"/>
    <x v="1"/>
    <x v="24"/>
    <x v="475"/>
    <x v="0"/>
    <x v="0"/>
    <x v="1"/>
    <x v="3"/>
    <x v="3"/>
  </r>
  <r>
    <x v="938"/>
    <x v="1"/>
    <x v="2"/>
    <x v="4"/>
    <x v="330"/>
    <x v="2"/>
    <x v="2"/>
    <x v="1"/>
    <x v="2"/>
    <x v="2"/>
    <x v="2"/>
    <x v="1"/>
    <x v="2"/>
    <x v="2"/>
    <x v="0"/>
    <x v="2"/>
    <x v="256"/>
    <x v="403"/>
    <x v="0"/>
    <x v="0"/>
    <x v="1"/>
    <x v="1"/>
    <x v="1"/>
  </r>
  <r>
    <x v="939"/>
    <x v="1"/>
    <x v="2"/>
    <x v="4"/>
    <x v="90"/>
    <x v="0"/>
    <x v="23"/>
    <x v="2"/>
    <x v="2"/>
    <x v="2"/>
    <x v="2"/>
    <x v="1"/>
    <x v="2"/>
    <x v="2"/>
    <x v="0"/>
    <x v="2"/>
    <x v="199"/>
    <x v="476"/>
    <x v="4"/>
    <x v="0"/>
    <x v="2"/>
    <x v="1"/>
    <x v="1"/>
  </r>
  <r>
    <x v="940"/>
    <x v="1"/>
    <x v="1"/>
    <x v="6"/>
    <x v="119"/>
    <x v="3"/>
    <x v="2"/>
    <x v="1"/>
    <x v="1"/>
    <x v="1"/>
    <x v="1"/>
    <x v="0"/>
    <x v="1"/>
    <x v="1"/>
    <x v="0"/>
    <x v="1"/>
    <x v="139"/>
    <x v="197"/>
    <x v="2"/>
    <x v="0"/>
    <x v="0"/>
    <x v="0"/>
    <x v="0"/>
  </r>
  <r>
    <x v="941"/>
    <x v="1"/>
    <x v="5"/>
    <x v="8"/>
    <x v="21"/>
    <x v="2"/>
    <x v="2"/>
    <x v="2"/>
    <x v="5"/>
    <x v="5"/>
    <x v="5"/>
    <x v="1"/>
    <x v="1"/>
    <x v="1"/>
    <x v="0"/>
    <x v="1"/>
    <x v="145"/>
    <x v="332"/>
    <x v="4"/>
    <x v="0"/>
    <x v="2"/>
    <x v="3"/>
    <x v="3"/>
  </r>
  <r>
    <x v="942"/>
    <x v="1"/>
    <x v="4"/>
    <x v="9"/>
    <x v="331"/>
    <x v="0"/>
    <x v="7"/>
    <x v="2"/>
    <x v="4"/>
    <x v="4"/>
    <x v="4"/>
    <x v="1"/>
    <x v="0"/>
    <x v="0"/>
    <x v="0"/>
    <x v="0"/>
    <x v="251"/>
    <x v="477"/>
    <x v="0"/>
    <x v="0"/>
    <x v="1"/>
    <x v="2"/>
    <x v="2"/>
  </r>
  <r>
    <x v="943"/>
    <x v="1"/>
    <x v="0"/>
    <x v="2"/>
    <x v="170"/>
    <x v="0"/>
    <x v="9"/>
    <x v="1"/>
    <x v="0"/>
    <x v="0"/>
    <x v="0"/>
    <x v="0"/>
    <x v="0"/>
    <x v="0"/>
    <x v="0"/>
    <x v="0"/>
    <x v="288"/>
    <x v="478"/>
    <x v="4"/>
    <x v="0"/>
    <x v="4"/>
    <x v="0"/>
    <x v="0"/>
  </r>
  <r>
    <x v="944"/>
    <x v="1"/>
    <x v="5"/>
    <x v="8"/>
    <x v="13"/>
    <x v="0"/>
    <x v="8"/>
    <x v="1"/>
    <x v="5"/>
    <x v="5"/>
    <x v="5"/>
    <x v="1"/>
    <x v="1"/>
    <x v="1"/>
    <x v="0"/>
    <x v="1"/>
    <x v="117"/>
    <x v="166"/>
    <x v="3"/>
    <x v="0"/>
    <x v="3"/>
    <x v="3"/>
    <x v="3"/>
  </r>
  <r>
    <x v="945"/>
    <x v="1"/>
    <x v="5"/>
    <x v="8"/>
    <x v="222"/>
    <x v="1"/>
    <x v="12"/>
    <x v="3"/>
    <x v="5"/>
    <x v="5"/>
    <x v="5"/>
    <x v="1"/>
    <x v="1"/>
    <x v="1"/>
    <x v="0"/>
    <x v="1"/>
    <x v="20"/>
    <x v="375"/>
    <x v="5"/>
    <x v="0"/>
    <x v="2"/>
    <x v="3"/>
    <x v="3"/>
  </r>
  <r>
    <x v="946"/>
    <x v="1"/>
    <x v="3"/>
    <x v="5"/>
    <x v="226"/>
    <x v="1"/>
    <x v="14"/>
    <x v="0"/>
    <x v="3"/>
    <x v="3"/>
    <x v="3"/>
    <x v="0"/>
    <x v="2"/>
    <x v="2"/>
    <x v="0"/>
    <x v="2"/>
    <x v="163"/>
    <x v="479"/>
    <x v="5"/>
    <x v="0"/>
    <x v="4"/>
    <x v="0"/>
    <x v="0"/>
  </r>
  <r>
    <x v="947"/>
    <x v="1"/>
    <x v="1"/>
    <x v="6"/>
    <x v="221"/>
    <x v="1"/>
    <x v="15"/>
    <x v="2"/>
    <x v="1"/>
    <x v="1"/>
    <x v="1"/>
    <x v="0"/>
    <x v="1"/>
    <x v="1"/>
    <x v="0"/>
    <x v="1"/>
    <x v="209"/>
    <x v="309"/>
    <x v="5"/>
    <x v="0"/>
    <x v="0"/>
    <x v="0"/>
    <x v="0"/>
  </r>
  <r>
    <x v="948"/>
    <x v="1"/>
    <x v="5"/>
    <x v="8"/>
    <x v="230"/>
    <x v="1"/>
    <x v="13"/>
    <x v="0"/>
    <x v="5"/>
    <x v="5"/>
    <x v="5"/>
    <x v="1"/>
    <x v="1"/>
    <x v="1"/>
    <x v="0"/>
    <x v="1"/>
    <x v="152"/>
    <x v="213"/>
    <x v="2"/>
    <x v="0"/>
    <x v="3"/>
    <x v="3"/>
    <x v="3"/>
  </r>
  <r>
    <x v="949"/>
    <x v="0"/>
    <x v="5"/>
    <x v="144"/>
    <x v="332"/>
    <x v="2"/>
    <x v="2"/>
    <x v="1"/>
    <x v="5"/>
    <x v="5"/>
    <x v="5"/>
    <x v="1"/>
    <x v="1"/>
    <x v="1"/>
    <x v="0"/>
    <x v="1"/>
    <x v="142"/>
    <x v="480"/>
    <x v="5"/>
    <x v="0"/>
    <x v="2"/>
    <x v="3"/>
    <x v="3"/>
  </r>
  <r>
    <x v="950"/>
    <x v="1"/>
    <x v="5"/>
    <x v="8"/>
    <x v="41"/>
    <x v="4"/>
    <x v="2"/>
    <x v="1"/>
    <x v="5"/>
    <x v="5"/>
    <x v="5"/>
    <x v="1"/>
    <x v="1"/>
    <x v="1"/>
    <x v="0"/>
    <x v="1"/>
    <x v="133"/>
    <x v="188"/>
    <x v="0"/>
    <x v="0"/>
    <x v="0"/>
    <x v="3"/>
    <x v="3"/>
  </r>
  <r>
    <x v="951"/>
    <x v="0"/>
    <x v="3"/>
    <x v="204"/>
    <x v="26"/>
    <x v="1"/>
    <x v="0"/>
    <x v="1"/>
    <x v="3"/>
    <x v="3"/>
    <x v="3"/>
    <x v="0"/>
    <x v="2"/>
    <x v="2"/>
    <x v="0"/>
    <x v="2"/>
    <x v="165"/>
    <x v="399"/>
    <x v="5"/>
    <x v="0"/>
    <x v="4"/>
    <x v="0"/>
    <x v="0"/>
  </r>
  <r>
    <x v="952"/>
    <x v="1"/>
    <x v="2"/>
    <x v="4"/>
    <x v="7"/>
    <x v="3"/>
    <x v="2"/>
    <x v="0"/>
    <x v="2"/>
    <x v="2"/>
    <x v="2"/>
    <x v="1"/>
    <x v="2"/>
    <x v="2"/>
    <x v="0"/>
    <x v="2"/>
    <x v="155"/>
    <x v="217"/>
    <x v="2"/>
    <x v="0"/>
    <x v="1"/>
    <x v="1"/>
    <x v="1"/>
  </r>
  <r>
    <x v="953"/>
    <x v="2"/>
    <x v="0"/>
    <x v="205"/>
    <x v="214"/>
    <x v="1"/>
    <x v="1"/>
    <x v="2"/>
    <x v="0"/>
    <x v="0"/>
    <x v="0"/>
    <x v="0"/>
    <x v="0"/>
    <x v="0"/>
    <x v="0"/>
    <x v="0"/>
    <x v="185"/>
    <x v="264"/>
    <x v="5"/>
    <x v="0"/>
    <x v="2"/>
    <x v="0"/>
    <x v="0"/>
  </r>
  <r>
    <x v="954"/>
    <x v="1"/>
    <x v="3"/>
    <x v="5"/>
    <x v="99"/>
    <x v="1"/>
    <x v="7"/>
    <x v="2"/>
    <x v="3"/>
    <x v="3"/>
    <x v="3"/>
    <x v="0"/>
    <x v="2"/>
    <x v="2"/>
    <x v="0"/>
    <x v="2"/>
    <x v="118"/>
    <x v="167"/>
    <x v="4"/>
    <x v="0"/>
    <x v="4"/>
    <x v="0"/>
    <x v="0"/>
  </r>
  <r>
    <x v="955"/>
    <x v="1"/>
    <x v="3"/>
    <x v="5"/>
    <x v="333"/>
    <x v="1"/>
    <x v="0"/>
    <x v="1"/>
    <x v="3"/>
    <x v="3"/>
    <x v="3"/>
    <x v="0"/>
    <x v="2"/>
    <x v="2"/>
    <x v="0"/>
    <x v="2"/>
    <x v="286"/>
    <x v="472"/>
    <x v="1"/>
    <x v="0"/>
    <x v="3"/>
    <x v="0"/>
    <x v="0"/>
  </r>
  <r>
    <x v="956"/>
    <x v="2"/>
    <x v="0"/>
    <x v="206"/>
    <x v="53"/>
    <x v="1"/>
    <x v="1"/>
    <x v="0"/>
    <x v="0"/>
    <x v="0"/>
    <x v="0"/>
    <x v="0"/>
    <x v="0"/>
    <x v="0"/>
    <x v="0"/>
    <x v="0"/>
    <x v="222"/>
    <x v="470"/>
    <x v="2"/>
    <x v="0"/>
    <x v="4"/>
    <x v="0"/>
    <x v="0"/>
  </r>
  <r>
    <x v="957"/>
    <x v="1"/>
    <x v="5"/>
    <x v="8"/>
    <x v="175"/>
    <x v="1"/>
    <x v="13"/>
    <x v="2"/>
    <x v="5"/>
    <x v="5"/>
    <x v="5"/>
    <x v="1"/>
    <x v="1"/>
    <x v="1"/>
    <x v="0"/>
    <x v="1"/>
    <x v="289"/>
    <x v="481"/>
    <x v="4"/>
    <x v="0"/>
    <x v="3"/>
    <x v="3"/>
    <x v="3"/>
  </r>
  <r>
    <x v="958"/>
    <x v="1"/>
    <x v="1"/>
    <x v="6"/>
    <x v="144"/>
    <x v="1"/>
    <x v="0"/>
    <x v="3"/>
    <x v="1"/>
    <x v="1"/>
    <x v="1"/>
    <x v="0"/>
    <x v="1"/>
    <x v="1"/>
    <x v="0"/>
    <x v="1"/>
    <x v="161"/>
    <x v="432"/>
    <x v="3"/>
    <x v="0"/>
    <x v="4"/>
    <x v="0"/>
    <x v="0"/>
  </r>
  <r>
    <x v="959"/>
    <x v="2"/>
    <x v="2"/>
    <x v="207"/>
    <x v="162"/>
    <x v="2"/>
    <x v="2"/>
    <x v="3"/>
    <x v="2"/>
    <x v="2"/>
    <x v="2"/>
    <x v="1"/>
    <x v="2"/>
    <x v="2"/>
    <x v="0"/>
    <x v="2"/>
    <x v="46"/>
    <x v="156"/>
    <x v="5"/>
    <x v="0"/>
    <x v="0"/>
    <x v="1"/>
    <x v="1"/>
  </r>
  <r>
    <x v="960"/>
    <x v="1"/>
    <x v="2"/>
    <x v="4"/>
    <x v="156"/>
    <x v="1"/>
    <x v="3"/>
    <x v="0"/>
    <x v="2"/>
    <x v="2"/>
    <x v="2"/>
    <x v="1"/>
    <x v="2"/>
    <x v="2"/>
    <x v="0"/>
    <x v="2"/>
    <x v="223"/>
    <x v="329"/>
    <x v="4"/>
    <x v="0"/>
    <x v="1"/>
    <x v="1"/>
    <x v="1"/>
  </r>
  <r>
    <x v="961"/>
    <x v="0"/>
    <x v="1"/>
    <x v="208"/>
    <x v="334"/>
    <x v="3"/>
    <x v="2"/>
    <x v="2"/>
    <x v="1"/>
    <x v="1"/>
    <x v="1"/>
    <x v="0"/>
    <x v="1"/>
    <x v="1"/>
    <x v="0"/>
    <x v="1"/>
    <x v="130"/>
    <x v="183"/>
    <x v="5"/>
    <x v="0"/>
    <x v="0"/>
    <x v="0"/>
    <x v="0"/>
  </r>
  <r>
    <x v="962"/>
    <x v="2"/>
    <x v="1"/>
    <x v="209"/>
    <x v="298"/>
    <x v="1"/>
    <x v="1"/>
    <x v="1"/>
    <x v="1"/>
    <x v="1"/>
    <x v="1"/>
    <x v="0"/>
    <x v="1"/>
    <x v="1"/>
    <x v="0"/>
    <x v="1"/>
    <x v="195"/>
    <x v="285"/>
    <x v="4"/>
    <x v="0"/>
    <x v="1"/>
    <x v="0"/>
    <x v="0"/>
  </r>
  <r>
    <x v="963"/>
    <x v="1"/>
    <x v="0"/>
    <x v="2"/>
    <x v="87"/>
    <x v="1"/>
    <x v="1"/>
    <x v="1"/>
    <x v="0"/>
    <x v="0"/>
    <x v="0"/>
    <x v="0"/>
    <x v="0"/>
    <x v="0"/>
    <x v="0"/>
    <x v="0"/>
    <x v="213"/>
    <x v="335"/>
    <x v="3"/>
    <x v="0"/>
    <x v="0"/>
    <x v="0"/>
    <x v="0"/>
  </r>
  <r>
    <x v="964"/>
    <x v="1"/>
    <x v="5"/>
    <x v="8"/>
    <x v="258"/>
    <x v="1"/>
    <x v="6"/>
    <x v="3"/>
    <x v="5"/>
    <x v="5"/>
    <x v="5"/>
    <x v="1"/>
    <x v="1"/>
    <x v="1"/>
    <x v="0"/>
    <x v="1"/>
    <x v="161"/>
    <x v="432"/>
    <x v="3"/>
    <x v="0"/>
    <x v="4"/>
    <x v="3"/>
    <x v="3"/>
  </r>
  <r>
    <x v="965"/>
    <x v="1"/>
    <x v="2"/>
    <x v="4"/>
    <x v="162"/>
    <x v="1"/>
    <x v="5"/>
    <x v="0"/>
    <x v="2"/>
    <x v="2"/>
    <x v="2"/>
    <x v="1"/>
    <x v="2"/>
    <x v="2"/>
    <x v="0"/>
    <x v="2"/>
    <x v="181"/>
    <x v="259"/>
    <x v="0"/>
    <x v="0"/>
    <x v="0"/>
    <x v="1"/>
    <x v="1"/>
  </r>
  <r>
    <x v="966"/>
    <x v="1"/>
    <x v="3"/>
    <x v="5"/>
    <x v="146"/>
    <x v="1"/>
    <x v="1"/>
    <x v="0"/>
    <x v="3"/>
    <x v="3"/>
    <x v="3"/>
    <x v="0"/>
    <x v="2"/>
    <x v="2"/>
    <x v="0"/>
    <x v="2"/>
    <x v="158"/>
    <x v="482"/>
    <x v="3"/>
    <x v="0"/>
    <x v="2"/>
    <x v="0"/>
    <x v="0"/>
  </r>
  <r>
    <x v="967"/>
    <x v="2"/>
    <x v="1"/>
    <x v="210"/>
    <x v="218"/>
    <x v="4"/>
    <x v="2"/>
    <x v="3"/>
    <x v="1"/>
    <x v="1"/>
    <x v="1"/>
    <x v="0"/>
    <x v="1"/>
    <x v="1"/>
    <x v="0"/>
    <x v="1"/>
    <x v="105"/>
    <x v="148"/>
    <x v="0"/>
    <x v="0"/>
    <x v="4"/>
    <x v="0"/>
    <x v="0"/>
  </r>
  <r>
    <x v="968"/>
    <x v="2"/>
    <x v="0"/>
    <x v="211"/>
    <x v="335"/>
    <x v="1"/>
    <x v="0"/>
    <x v="0"/>
    <x v="0"/>
    <x v="0"/>
    <x v="0"/>
    <x v="0"/>
    <x v="0"/>
    <x v="0"/>
    <x v="0"/>
    <x v="0"/>
    <x v="115"/>
    <x v="164"/>
    <x v="1"/>
    <x v="0"/>
    <x v="2"/>
    <x v="0"/>
    <x v="0"/>
  </r>
  <r>
    <x v="969"/>
    <x v="1"/>
    <x v="0"/>
    <x v="2"/>
    <x v="185"/>
    <x v="1"/>
    <x v="1"/>
    <x v="3"/>
    <x v="0"/>
    <x v="0"/>
    <x v="0"/>
    <x v="0"/>
    <x v="0"/>
    <x v="0"/>
    <x v="0"/>
    <x v="0"/>
    <x v="120"/>
    <x v="190"/>
    <x v="4"/>
    <x v="0"/>
    <x v="4"/>
    <x v="0"/>
    <x v="0"/>
  </r>
  <r>
    <x v="970"/>
    <x v="0"/>
    <x v="4"/>
    <x v="212"/>
    <x v="88"/>
    <x v="0"/>
    <x v="9"/>
    <x v="2"/>
    <x v="4"/>
    <x v="4"/>
    <x v="4"/>
    <x v="1"/>
    <x v="0"/>
    <x v="0"/>
    <x v="0"/>
    <x v="0"/>
    <x v="251"/>
    <x v="483"/>
    <x v="0"/>
    <x v="0"/>
    <x v="1"/>
    <x v="2"/>
    <x v="2"/>
  </r>
  <r>
    <x v="971"/>
    <x v="1"/>
    <x v="4"/>
    <x v="9"/>
    <x v="75"/>
    <x v="2"/>
    <x v="2"/>
    <x v="2"/>
    <x v="4"/>
    <x v="4"/>
    <x v="4"/>
    <x v="1"/>
    <x v="0"/>
    <x v="0"/>
    <x v="0"/>
    <x v="0"/>
    <x v="204"/>
    <x v="299"/>
    <x v="1"/>
    <x v="0"/>
    <x v="3"/>
    <x v="2"/>
    <x v="2"/>
  </r>
  <r>
    <x v="972"/>
    <x v="1"/>
    <x v="5"/>
    <x v="8"/>
    <x v="133"/>
    <x v="1"/>
    <x v="13"/>
    <x v="1"/>
    <x v="5"/>
    <x v="5"/>
    <x v="5"/>
    <x v="1"/>
    <x v="1"/>
    <x v="1"/>
    <x v="0"/>
    <x v="1"/>
    <x v="174"/>
    <x v="247"/>
    <x v="3"/>
    <x v="0"/>
    <x v="1"/>
    <x v="3"/>
    <x v="3"/>
  </r>
  <r>
    <x v="973"/>
    <x v="2"/>
    <x v="4"/>
    <x v="213"/>
    <x v="336"/>
    <x v="1"/>
    <x v="14"/>
    <x v="1"/>
    <x v="4"/>
    <x v="4"/>
    <x v="4"/>
    <x v="1"/>
    <x v="0"/>
    <x v="0"/>
    <x v="0"/>
    <x v="0"/>
    <x v="46"/>
    <x v="156"/>
    <x v="5"/>
    <x v="0"/>
    <x v="0"/>
    <x v="2"/>
    <x v="2"/>
  </r>
  <r>
    <x v="974"/>
    <x v="0"/>
    <x v="1"/>
    <x v="214"/>
    <x v="337"/>
    <x v="1"/>
    <x v="1"/>
    <x v="0"/>
    <x v="1"/>
    <x v="1"/>
    <x v="1"/>
    <x v="0"/>
    <x v="1"/>
    <x v="1"/>
    <x v="0"/>
    <x v="1"/>
    <x v="178"/>
    <x v="253"/>
    <x v="0"/>
    <x v="0"/>
    <x v="3"/>
    <x v="0"/>
    <x v="0"/>
  </r>
  <r>
    <x v="975"/>
    <x v="2"/>
    <x v="4"/>
    <x v="215"/>
    <x v="178"/>
    <x v="4"/>
    <x v="2"/>
    <x v="1"/>
    <x v="4"/>
    <x v="4"/>
    <x v="4"/>
    <x v="1"/>
    <x v="0"/>
    <x v="0"/>
    <x v="0"/>
    <x v="0"/>
    <x v="162"/>
    <x v="228"/>
    <x v="5"/>
    <x v="0"/>
    <x v="0"/>
    <x v="2"/>
    <x v="2"/>
  </r>
  <r>
    <x v="976"/>
    <x v="1"/>
    <x v="1"/>
    <x v="6"/>
    <x v="7"/>
    <x v="1"/>
    <x v="0"/>
    <x v="0"/>
    <x v="1"/>
    <x v="1"/>
    <x v="1"/>
    <x v="0"/>
    <x v="1"/>
    <x v="1"/>
    <x v="0"/>
    <x v="1"/>
    <x v="271"/>
    <x v="441"/>
    <x v="3"/>
    <x v="0"/>
    <x v="1"/>
    <x v="0"/>
    <x v="0"/>
  </r>
  <r>
    <x v="977"/>
    <x v="2"/>
    <x v="5"/>
    <x v="216"/>
    <x v="230"/>
    <x v="3"/>
    <x v="2"/>
    <x v="1"/>
    <x v="5"/>
    <x v="5"/>
    <x v="5"/>
    <x v="1"/>
    <x v="1"/>
    <x v="1"/>
    <x v="0"/>
    <x v="1"/>
    <x v="225"/>
    <x v="331"/>
    <x v="5"/>
    <x v="0"/>
    <x v="4"/>
    <x v="3"/>
    <x v="3"/>
  </r>
  <r>
    <x v="978"/>
    <x v="1"/>
    <x v="3"/>
    <x v="5"/>
    <x v="338"/>
    <x v="2"/>
    <x v="2"/>
    <x v="0"/>
    <x v="3"/>
    <x v="3"/>
    <x v="3"/>
    <x v="0"/>
    <x v="2"/>
    <x v="2"/>
    <x v="0"/>
    <x v="2"/>
    <x v="221"/>
    <x v="383"/>
    <x v="4"/>
    <x v="0"/>
    <x v="0"/>
    <x v="0"/>
    <x v="0"/>
  </r>
  <r>
    <x v="979"/>
    <x v="1"/>
    <x v="3"/>
    <x v="5"/>
    <x v="188"/>
    <x v="2"/>
    <x v="2"/>
    <x v="2"/>
    <x v="3"/>
    <x v="3"/>
    <x v="3"/>
    <x v="0"/>
    <x v="2"/>
    <x v="2"/>
    <x v="0"/>
    <x v="2"/>
    <x v="92"/>
    <x v="484"/>
    <x v="0"/>
    <x v="0"/>
    <x v="4"/>
    <x v="0"/>
    <x v="0"/>
  </r>
  <r>
    <x v="980"/>
    <x v="2"/>
    <x v="0"/>
    <x v="217"/>
    <x v="292"/>
    <x v="3"/>
    <x v="2"/>
    <x v="2"/>
    <x v="0"/>
    <x v="0"/>
    <x v="0"/>
    <x v="0"/>
    <x v="0"/>
    <x v="0"/>
    <x v="0"/>
    <x v="0"/>
    <x v="187"/>
    <x v="267"/>
    <x v="0"/>
    <x v="0"/>
    <x v="1"/>
    <x v="0"/>
    <x v="0"/>
  </r>
  <r>
    <x v="981"/>
    <x v="1"/>
    <x v="1"/>
    <x v="6"/>
    <x v="267"/>
    <x v="0"/>
    <x v="1"/>
    <x v="2"/>
    <x v="1"/>
    <x v="1"/>
    <x v="1"/>
    <x v="0"/>
    <x v="1"/>
    <x v="1"/>
    <x v="0"/>
    <x v="1"/>
    <x v="237"/>
    <x v="356"/>
    <x v="4"/>
    <x v="0"/>
    <x v="0"/>
    <x v="0"/>
    <x v="0"/>
  </r>
  <r>
    <x v="982"/>
    <x v="1"/>
    <x v="1"/>
    <x v="6"/>
    <x v="339"/>
    <x v="0"/>
    <x v="0"/>
    <x v="0"/>
    <x v="1"/>
    <x v="1"/>
    <x v="1"/>
    <x v="0"/>
    <x v="1"/>
    <x v="1"/>
    <x v="0"/>
    <x v="1"/>
    <x v="244"/>
    <x v="373"/>
    <x v="1"/>
    <x v="0"/>
    <x v="1"/>
    <x v="0"/>
    <x v="0"/>
  </r>
  <r>
    <x v="983"/>
    <x v="1"/>
    <x v="3"/>
    <x v="5"/>
    <x v="340"/>
    <x v="2"/>
    <x v="2"/>
    <x v="2"/>
    <x v="3"/>
    <x v="3"/>
    <x v="3"/>
    <x v="0"/>
    <x v="2"/>
    <x v="2"/>
    <x v="0"/>
    <x v="2"/>
    <x v="273"/>
    <x v="485"/>
    <x v="3"/>
    <x v="0"/>
    <x v="0"/>
    <x v="0"/>
    <x v="0"/>
  </r>
  <r>
    <x v="984"/>
    <x v="1"/>
    <x v="3"/>
    <x v="5"/>
    <x v="341"/>
    <x v="1"/>
    <x v="0"/>
    <x v="1"/>
    <x v="3"/>
    <x v="3"/>
    <x v="3"/>
    <x v="0"/>
    <x v="2"/>
    <x v="2"/>
    <x v="0"/>
    <x v="2"/>
    <x v="148"/>
    <x v="209"/>
    <x v="1"/>
    <x v="0"/>
    <x v="1"/>
    <x v="0"/>
    <x v="0"/>
  </r>
  <r>
    <x v="985"/>
    <x v="1"/>
    <x v="4"/>
    <x v="9"/>
    <x v="342"/>
    <x v="1"/>
    <x v="9"/>
    <x v="3"/>
    <x v="4"/>
    <x v="4"/>
    <x v="4"/>
    <x v="1"/>
    <x v="0"/>
    <x v="0"/>
    <x v="0"/>
    <x v="0"/>
    <x v="290"/>
    <x v="486"/>
    <x v="2"/>
    <x v="0"/>
    <x v="2"/>
    <x v="2"/>
    <x v="2"/>
  </r>
  <r>
    <x v="986"/>
    <x v="2"/>
    <x v="5"/>
    <x v="218"/>
    <x v="254"/>
    <x v="2"/>
    <x v="2"/>
    <x v="0"/>
    <x v="5"/>
    <x v="5"/>
    <x v="5"/>
    <x v="1"/>
    <x v="1"/>
    <x v="1"/>
    <x v="0"/>
    <x v="1"/>
    <x v="32"/>
    <x v="186"/>
    <x v="2"/>
    <x v="0"/>
    <x v="4"/>
    <x v="3"/>
    <x v="3"/>
  </r>
  <r>
    <x v="987"/>
    <x v="0"/>
    <x v="0"/>
    <x v="18"/>
    <x v="34"/>
    <x v="1"/>
    <x v="1"/>
    <x v="3"/>
    <x v="0"/>
    <x v="0"/>
    <x v="0"/>
    <x v="0"/>
    <x v="0"/>
    <x v="0"/>
    <x v="0"/>
    <x v="0"/>
    <x v="106"/>
    <x v="149"/>
    <x v="1"/>
    <x v="0"/>
    <x v="1"/>
    <x v="0"/>
    <x v="0"/>
  </r>
  <r>
    <x v="988"/>
    <x v="0"/>
    <x v="2"/>
    <x v="219"/>
    <x v="289"/>
    <x v="1"/>
    <x v="3"/>
    <x v="2"/>
    <x v="2"/>
    <x v="2"/>
    <x v="2"/>
    <x v="1"/>
    <x v="2"/>
    <x v="2"/>
    <x v="0"/>
    <x v="2"/>
    <x v="76"/>
    <x v="342"/>
    <x v="4"/>
    <x v="0"/>
    <x v="4"/>
    <x v="1"/>
    <x v="1"/>
  </r>
  <r>
    <x v="989"/>
    <x v="1"/>
    <x v="2"/>
    <x v="4"/>
    <x v="317"/>
    <x v="1"/>
    <x v="12"/>
    <x v="0"/>
    <x v="2"/>
    <x v="2"/>
    <x v="2"/>
    <x v="1"/>
    <x v="2"/>
    <x v="2"/>
    <x v="0"/>
    <x v="2"/>
    <x v="291"/>
    <x v="487"/>
    <x v="5"/>
    <x v="0"/>
    <x v="4"/>
    <x v="1"/>
    <x v="1"/>
  </r>
  <r>
    <x v="990"/>
    <x v="1"/>
    <x v="1"/>
    <x v="6"/>
    <x v="91"/>
    <x v="2"/>
    <x v="2"/>
    <x v="1"/>
    <x v="1"/>
    <x v="1"/>
    <x v="1"/>
    <x v="0"/>
    <x v="1"/>
    <x v="1"/>
    <x v="0"/>
    <x v="1"/>
    <x v="17"/>
    <x v="488"/>
    <x v="3"/>
    <x v="0"/>
    <x v="3"/>
    <x v="0"/>
    <x v="0"/>
  </r>
  <r>
    <x v="991"/>
    <x v="2"/>
    <x v="4"/>
    <x v="220"/>
    <x v="343"/>
    <x v="2"/>
    <x v="2"/>
    <x v="1"/>
    <x v="4"/>
    <x v="4"/>
    <x v="4"/>
    <x v="1"/>
    <x v="0"/>
    <x v="0"/>
    <x v="0"/>
    <x v="0"/>
    <x v="155"/>
    <x v="381"/>
    <x v="2"/>
    <x v="0"/>
    <x v="1"/>
    <x v="2"/>
    <x v="2"/>
  </r>
  <r>
    <x v="992"/>
    <x v="1"/>
    <x v="3"/>
    <x v="5"/>
    <x v="278"/>
    <x v="1"/>
    <x v="0"/>
    <x v="1"/>
    <x v="3"/>
    <x v="3"/>
    <x v="3"/>
    <x v="0"/>
    <x v="2"/>
    <x v="2"/>
    <x v="0"/>
    <x v="2"/>
    <x v="292"/>
    <x v="489"/>
    <x v="0"/>
    <x v="0"/>
    <x v="1"/>
    <x v="0"/>
    <x v="0"/>
  </r>
  <r>
    <x v="993"/>
    <x v="1"/>
    <x v="5"/>
    <x v="8"/>
    <x v="278"/>
    <x v="1"/>
    <x v="3"/>
    <x v="0"/>
    <x v="5"/>
    <x v="5"/>
    <x v="5"/>
    <x v="1"/>
    <x v="1"/>
    <x v="1"/>
    <x v="0"/>
    <x v="1"/>
    <x v="158"/>
    <x v="223"/>
    <x v="3"/>
    <x v="0"/>
    <x v="0"/>
    <x v="3"/>
    <x v="3"/>
  </r>
  <r>
    <x v="994"/>
    <x v="1"/>
    <x v="2"/>
    <x v="4"/>
    <x v="344"/>
    <x v="1"/>
    <x v="11"/>
    <x v="0"/>
    <x v="2"/>
    <x v="2"/>
    <x v="2"/>
    <x v="1"/>
    <x v="2"/>
    <x v="2"/>
    <x v="0"/>
    <x v="2"/>
    <x v="250"/>
    <x v="410"/>
    <x v="1"/>
    <x v="0"/>
    <x v="1"/>
    <x v="1"/>
    <x v="1"/>
  </r>
  <r>
    <x v="995"/>
    <x v="1"/>
    <x v="3"/>
    <x v="5"/>
    <x v="58"/>
    <x v="1"/>
    <x v="0"/>
    <x v="1"/>
    <x v="3"/>
    <x v="3"/>
    <x v="3"/>
    <x v="0"/>
    <x v="2"/>
    <x v="2"/>
    <x v="0"/>
    <x v="2"/>
    <x v="6"/>
    <x v="288"/>
    <x v="2"/>
    <x v="0"/>
    <x v="4"/>
    <x v="0"/>
    <x v="0"/>
  </r>
  <r>
    <x v="996"/>
    <x v="1"/>
    <x v="0"/>
    <x v="2"/>
    <x v="272"/>
    <x v="1"/>
    <x v="0"/>
    <x v="3"/>
    <x v="0"/>
    <x v="0"/>
    <x v="0"/>
    <x v="0"/>
    <x v="0"/>
    <x v="0"/>
    <x v="0"/>
    <x v="0"/>
    <x v="113"/>
    <x v="162"/>
    <x v="0"/>
    <x v="0"/>
    <x v="2"/>
    <x v="0"/>
    <x v="0"/>
  </r>
  <r>
    <x v="997"/>
    <x v="0"/>
    <x v="4"/>
    <x v="221"/>
    <x v="90"/>
    <x v="1"/>
    <x v="7"/>
    <x v="1"/>
    <x v="4"/>
    <x v="4"/>
    <x v="4"/>
    <x v="1"/>
    <x v="0"/>
    <x v="0"/>
    <x v="0"/>
    <x v="0"/>
    <x v="142"/>
    <x v="266"/>
    <x v="3"/>
    <x v="0"/>
    <x v="4"/>
    <x v="2"/>
    <x v="2"/>
  </r>
  <r>
    <x v="998"/>
    <x v="1"/>
    <x v="4"/>
    <x v="9"/>
    <x v="345"/>
    <x v="1"/>
    <x v="17"/>
    <x v="1"/>
    <x v="4"/>
    <x v="4"/>
    <x v="4"/>
    <x v="1"/>
    <x v="0"/>
    <x v="0"/>
    <x v="0"/>
    <x v="0"/>
    <x v="76"/>
    <x v="334"/>
    <x v="2"/>
    <x v="0"/>
    <x v="1"/>
    <x v="2"/>
    <x v="2"/>
  </r>
  <r>
    <x v="999"/>
    <x v="1"/>
    <x v="4"/>
    <x v="9"/>
    <x v="150"/>
    <x v="2"/>
    <x v="2"/>
    <x v="2"/>
    <x v="4"/>
    <x v="4"/>
    <x v="4"/>
    <x v="1"/>
    <x v="0"/>
    <x v="0"/>
    <x v="0"/>
    <x v="0"/>
    <x v="219"/>
    <x v="322"/>
    <x v="1"/>
    <x v="0"/>
    <x v="3"/>
    <x v="2"/>
    <x v="2"/>
  </r>
  <r>
    <x v="1000"/>
    <x v="1"/>
    <x v="1"/>
    <x v="6"/>
    <x v="149"/>
    <x v="1"/>
    <x v="0"/>
    <x v="2"/>
    <x v="1"/>
    <x v="1"/>
    <x v="1"/>
    <x v="0"/>
    <x v="1"/>
    <x v="1"/>
    <x v="0"/>
    <x v="1"/>
    <x v="293"/>
    <x v="490"/>
    <x v="0"/>
    <x v="0"/>
    <x v="3"/>
    <x v="0"/>
    <x v="0"/>
  </r>
  <r>
    <x v="1001"/>
    <x v="0"/>
    <x v="3"/>
    <x v="222"/>
    <x v="224"/>
    <x v="4"/>
    <x v="2"/>
    <x v="3"/>
    <x v="3"/>
    <x v="3"/>
    <x v="3"/>
    <x v="0"/>
    <x v="2"/>
    <x v="2"/>
    <x v="0"/>
    <x v="2"/>
    <x v="257"/>
    <x v="491"/>
    <x v="0"/>
    <x v="0"/>
    <x v="0"/>
    <x v="0"/>
    <x v="0"/>
  </r>
  <r>
    <x v="1002"/>
    <x v="1"/>
    <x v="4"/>
    <x v="9"/>
    <x v="218"/>
    <x v="3"/>
    <x v="2"/>
    <x v="2"/>
    <x v="4"/>
    <x v="4"/>
    <x v="4"/>
    <x v="1"/>
    <x v="0"/>
    <x v="0"/>
    <x v="0"/>
    <x v="0"/>
    <x v="267"/>
    <x v="431"/>
    <x v="1"/>
    <x v="0"/>
    <x v="3"/>
    <x v="2"/>
    <x v="2"/>
  </r>
  <r>
    <x v="1003"/>
    <x v="1"/>
    <x v="3"/>
    <x v="5"/>
    <x v="309"/>
    <x v="1"/>
    <x v="1"/>
    <x v="2"/>
    <x v="3"/>
    <x v="3"/>
    <x v="3"/>
    <x v="0"/>
    <x v="2"/>
    <x v="2"/>
    <x v="0"/>
    <x v="2"/>
    <x v="202"/>
    <x v="296"/>
    <x v="1"/>
    <x v="0"/>
    <x v="3"/>
    <x v="0"/>
    <x v="0"/>
  </r>
  <r>
    <x v="1004"/>
    <x v="1"/>
    <x v="2"/>
    <x v="4"/>
    <x v="346"/>
    <x v="1"/>
    <x v="12"/>
    <x v="0"/>
    <x v="2"/>
    <x v="2"/>
    <x v="2"/>
    <x v="1"/>
    <x v="2"/>
    <x v="2"/>
    <x v="0"/>
    <x v="2"/>
    <x v="250"/>
    <x v="386"/>
    <x v="4"/>
    <x v="0"/>
    <x v="0"/>
    <x v="1"/>
    <x v="1"/>
  </r>
  <r>
    <x v="1005"/>
    <x v="2"/>
    <x v="0"/>
    <x v="223"/>
    <x v="178"/>
    <x v="1"/>
    <x v="1"/>
    <x v="1"/>
    <x v="0"/>
    <x v="0"/>
    <x v="0"/>
    <x v="0"/>
    <x v="0"/>
    <x v="0"/>
    <x v="0"/>
    <x v="0"/>
    <x v="189"/>
    <x v="492"/>
    <x v="4"/>
    <x v="0"/>
    <x v="2"/>
    <x v="0"/>
    <x v="0"/>
  </r>
  <r>
    <x v="1006"/>
    <x v="1"/>
    <x v="1"/>
    <x v="6"/>
    <x v="27"/>
    <x v="1"/>
    <x v="0"/>
    <x v="1"/>
    <x v="1"/>
    <x v="1"/>
    <x v="1"/>
    <x v="0"/>
    <x v="1"/>
    <x v="1"/>
    <x v="0"/>
    <x v="1"/>
    <x v="249"/>
    <x v="385"/>
    <x v="5"/>
    <x v="0"/>
    <x v="0"/>
    <x v="0"/>
    <x v="0"/>
  </r>
  <r>
    <x v="1007"/>
    <x v="2"/>
    <x v="0"/>
    <x v="107"/>
    <x v="335"/>
    <x v="4"/>
    <x v="2"/>
    <x v="2"/>
    <x v="0"/>
    <x v="0"/>
    <x v="0"/>
    <x v="0"/>
    <x v="0"/>
    <x v="0"/>
    <x v="0"/>
    <x v="0"/>
    <x v="130"/>
    <x v="183"/>
    <x v="5"/>
    <x v="0"/>
    <x v="0"/>
    <x v="0"/>
    <x v="0"/>
  </r>
  <r>
    <x v="1008"/>
    <x v="0"/>
    <x v="3"/>
    <x v="224"/>
    <x v="91"/>
    <x v="1"/>
    <x v="0"/>
    <x v="2"/>
    <x v="3"/>
    <x v="3"/>
    <x v="3"/>
    <x v="0"/>
    <x v="2"/>
    <x v="2"/>
    <x v="0"/>
    <x v="2"/>
    <x v="39"/>
    <x v="387"/>
    <x v="2"/>
    <x v="0"/>
    <x v="0"/>
    <x v="0"/>
    <x v="0"/>
  </r>
  <r>
    <x v="1009"/>
    <x v="1"/>
    <x v="1"/>
    <x v="6"/>
    <x v="58"/>
    <x v="1"/>
    <x v="1"/>
    <x v="3"/>
    <x v="1"/>
    <x v="1"/>
    <x v="1"/>
    <x v="0"/>
    <x v="1"/>
    <x v="1"/>
    <x v="0"/>
    <x v="1"/>
    <x v="248"/>
    <x v="380"/>
    <x v="4"/>
    <x v="0"/>
    <x v="4"/>
    <x v="0"/>
    <x v="0"/>
  </r>
  <r>
    <x v="1010"/>
    <x v="2"/>
    <x v="5"/>
    <x v="14"/>
    <x v="283"/>
    <x v="1"/>
    <x v="10"/>
    <x v="0"/>
    <x v="5"/>
    <x v="5"/>
    <x v="5"/>
    <x v="1"/>
    <x v="1"/>
    <x v="1"/>
    <x v="0"/>
    <x v="1"/>
    <x v="174"/>
    <x v="247"/>
    <x v="3"/>
    <x v="0"/>
    <x v="1"/>
    <x v="3"/>
    <x v="3"/>
  </r>
  <r>
    <x v="1011"/>
    <x v="2"/>
    <x v="3"/>
    <x v="225"/>
    <x v="329"/>
    <x v="2"/>
    <x v="2"/>
    <x v="1"/>
    <x v="3"/>
    <x v="3"/>
    <x v="3"/>
    <x v="0"/>
    <x v="2"/>
    <x v="2"/>
    <x v="0"/>
    <x v="2"/>
    <x v="19"/>
    <x v="273"/>
    <x v="3"/>
    <x v="0"/>
    <x v="0"/>
    <x v="0"/>
    <x v="0"/>
  </r>
  <r>
    <x v="1012"/>
    <x v="1"/>
    <x v="3"/>
    <x v="5"/>
    <x v="42"/>
    <x v="1"/>
    <x v="1"/>
    <x v="2"/>
    <x v="3"/>
    <x v="3"/>
    <x v="3"/>
    <x v="0"/>
    <x v="2"/>
    <x v="2"/>
    <x v="0"/>
    <x v="2"/>
    <x v="273"/>
    <x v="449"/>
    <x v="0"/>
    <x v="0"/>
    <x v="1"/>
    <x v="0"/>
    <x v="0"/>
  </r>
  <r>
    <x v="1013"/>
    <x v="1"/>
    <x v="5"/>
    <x v="8"/>
    <x v="49"/>
    <x v="1"/>
    <x v="13"/>
    <x v="0"/>
    <x v="5"/>
    <x v="5"/>
    <x v="5"/>
    <x v="1"/>
    <x v="1"/>
    <x v="1"/>
    <x v="0"/>
    <x v="1"/>
    <x v="130"/>
    <x v="183"/>
    <x v="5"/>
    <x v="0"/>
    <x v="0"/>
    <x v="3"/>
    <x v="3"/>
  </r>
  <r>
    <x v="1014"/>
    <x v="0"/>
    <x v="3"/>
    <x v="33"/>
    <x v="244"/>
    <x v="3"/>
    <x v="2"/>
    <x v="1"/>
    <x v="3"/>
    <x v="3"/>
    <x v="3"/>
    <x v="0"/>
    <x v="2"/>
    <x v="2"/>
    <x v="0"/>
    <x v="2"/>
    <x v="270"/>
    <x v="439"/>
    <x v="4"/>
    <x v="0"/>
    <x v="4"/>
    <x v="0"/>
    <x v="0"/>
  </r>
  <r>
    <x v="1015"/>
    <x v="2"/>
    <x v="2"/>
    <x v="226"/>
    <x v="191"/>
    <x v="4"/>
    <x v="2"/>
    <x v="0"/>
    <x v="2"/>
    <x v="2"/>
    <x v="2"/>
    <x v="1"/>
    <x v="2"/>
    <x v="2"/>
    <x v="0"/>
    <x v="2"/>
    <x v="194"/>
    <x v="279"/>
    <x v="5"/>
    <x v="0"/>
    <x v="4"/>
    <x v="1"/>
    <x v="1"/>
  </r>
  <r>
    <x v="1016"/>
    <x v="1"/>
    <x v="1"/>
    <x v="6"/>
    <x v="301"/>
    <x v="1"/>
    <x v="1"/>
    <x v="3"/>
    <x v="1"/>
    <x v="1"/>
    <x v="1"/>
    <x v="0"/>
    <x v="1"/>
    <x v="1"/>
    <x v="0"/>
    <x v="1"/>
    <x v="134"/>
    <x v="301"/>
    <x v="0"/>
    <x v="0"/>
    <x v="3"/>
    <x v="0"/>
    <x v="0"/>
  </r>
  <r>
    <x v="1017"/>
    <x v="1"/>
    <x v="5"/>
    <x v="8"/>
    <x v="193"/>
    <x v="2"/>
    <x v="2"/>
    <x v="0"/>
    <x v="5"/>
    <x v="5"/>
    <x v="5"/>
    <x v="1"/>
    <x v="1"/>
    <x v="1"/>
    <x v="0"/>
    <x v="1"/>
    <x v="258"/>
    <x v="408"/>
    <x v="3"/>
    <x v="0"/>
    <x v="2"/>
    <x v="3"/>
    <x v="3"/>
  </r>
  <r>
    <x v="1018"/>
    <x v="2"/>
    <x v="2"/>
    <x v="227"/>
    <x v="347"/>
    <x v="1"/>
    <x v="11"/>
    <x v="3"/>
    <x v="2"/>
    <x v="2"/>
    <x v="2"/>
    <x v="1"/>
    <x v="2"/>
    <x v="2"/>
    <x v="0"/>
    <x v="2"/>
    <x v="112"/>
    <x v="161"/>
    <x v="4"/>
    <x v="0"/>
    <x v="1"/>
    <x v="1"/>
    <x v="1"/>
  </r>
  <r>
    <x v="1019"/>
    <x v="0"/>
    <x v="3"/>
    <x v="228"/>
    <x v="348"/>
    <x v="1"/>
    <x v="1"/>
    <x v="2"/>
    <x v="3"/>
    <x v="3"/>
    <x v="3"/>
    <x v="0"/>
    <x v="2"/>
    <x v="2"/>
    <x v="0"/>
    <x v="2"/>
    <x v="119"/>
    <x v="168"/>
    <x v="4"/>
    <x v="0"/>
    <x v="4"/>
    <x v="0"/>
    <x v="0"/>
  </r>
  <r>
    <x v="1020"/>
    <x v="1"/>
    <x v="4"/>
    <x v="9"/>
    <x v="177"/>
    <x v="2"/>
    <x v="2"/>
    <x v="1"/>
    <x v="4"/>
    <x v="4"/>
    <x v="4"/>
    <x v="1"/>
    <x v="0"/>
    <x v="0"/>
    <x v="0"/>
    <x v="0"/>
    <x v="175"/>
    <x v="248"/>
    <x v="1"/>
    <x v="0"/>
    <x v="1"/>
    <x v="2"/>
    <x v="2"/>
  </r>
  <r>
    <x v="1021"/>
    <x v="0"/>
    <x v="1"/>
    <x v="208"/>
    <x v="45"/>
    <x v="1"/>
    <x v="1"/>
    <x v="0"/>
    <x v="1"/>
    <x v="1"/>
    <x v="1"/>
    <x v="0"/>
    <x v="1"/>
    <x v="1"/>
    <x v="0"/>
    <x v="1"/>
    <x v="18"/>
    <x v="297"/>
    <x v="0"/>
    <x v="0"/>
    <x v="0"/>
    <x v="0"/>
    <x v="0"/>
  </r>
  <r>
    <x v="1022"/>
    <x v="0"/>
    <x v="5"/>
    <x v="229"/>
    <x v="264"/>
    <x v="4"/>
    <x v="2"/>
    <x v="0"/>
    <x v="5"/>
    <x v="5"/>
    <x v="5"/>
    <x v="1"/>
    <x v="1"/>
    <x v="1"/>
    <x v="0"/>
    <x v="1"/>
    <x v="239"/>
    <x v="384"/>
    <x v="5"/>
    <x v="0"/>
    <x v="0"/>
    <x v="3"/>
    <x v="3"/>
  </r>
  <r>
    <x v="1023"/>
    <x v="1"/>
    <x v="3"/>
    <x v="5"/>
    <x v="137"/>
    <x v="0"/>
    <x v="0"/>
    <x v="0"/>
    <x v="3"/>
    <x v="3"/>
    <x v="3"/>
    <x v="0"/>
    <x v="2"/>
    <x v="2"/>
    <x v="0"/>
    <x v="2"/>
    <x v="294"/>
    <x v="493"/>
    <x v="3"/>
    <x v="0"/>
    <x v="2"/>
    <x v="0"/>
    <x v="0"/>
  </r>
  <r>
    <x v="1024"/>
    <x v="1"/>
    <x v="0"/>
    <x v="2"/>
    <x v="304"/>
    <x v="0"/>
    <x v="1"/>
    <x v="2"/>
    <x v="0"/>
    <x v="0"/>
    <x v="0"/>
    <x v="0"/>
    <x v="0"/>
    <x v="0"/>
    <x v="0"/>
    <x v="0"/>
    <x v="269"/>
    <x v="438"/>
    <x v="2"/>
    <x v="0"/>
    <x v="3"/>
    <x v="0"/>
    <x v="0"/>
  </r>
  <r>
    <x v="1025"/>
    <x v="1"/>
    <x v="0"/>
    <x v="2"/>
    <x v="349"/>
    <x v="4"/>
    <x v="2"/>
    <x v="1"/>
    <x v="0"/>
    <x v="0"/>
    <x v="0"/>
    <x v="0"/>
    <x v="0"/>
    <x v="0"/>
    <x v="0"/>
    <x v="0"/>
    <x v="185"/>
    <x v="264"/>
    <x v="5"/>
    <x v="0"/>
    <x v="2"/>
    <x v="0"/>
    <x v="0"/>
  </r>
  <r>
    <x v="1026"/>
    <x v="0"/>
    <x v="4"/>
    <x v="230"/>
    <x v="20"/>
    <x v="1"/>
    <x v="9"/>
    <x v="2"/>
    <x v="4"/>
    <x v="4"/>
    <x v="4"/>
    <x v="1"/>
    <x v="0"/>
    <x v="0"/>
    <x v="0"/>
    <x v="0"/>
    <x v="228"/>
    <x v="341"/>
    <x v="3"/>
    <x v="0"/>
    <x v="1"/>
    <x v="2"/>
    <x v="2"/>
  </r>
  <r>
    <x v="1027"/>
    <x v="1"/>
    <x v="2"/>
    <x v="4"/>
    <x v="182"/>
    <x v="1"/>
    <x v="12"/>
    <x v="1"/>
    <x v="2"/>
    <x v="2"/>
    <x v="2"/>
    <x v="1"/>
    <x v="2"/>
    <x v="2"/>
    <x v="0"/>
    <x v="2"/>
    <x v="242"/>
    <x v="365"/>
    <x v="0"/>
    <x v="0"/>
    <x v="1"/>
    <x v="1"/>
    <x v="1"/>
  </r>
  <r>
    <x v="1028"/>
    <x v="2"/>
    <x v="3"/>
    <x v="231"/>
    <x v="99"/>
    <x v="2"/>
    <x v="2"/>
    <x v="1"/>
    <x v="3"/>
    <x v="3"/>
    <x v="3"/>
    <x v="0"/>
    <x v="2"/>
    <x v="2"/>
    <x v="0"/>
    <x v="2"/>
    <x v="122"/>
    <x v="174"/>
    <x v="3"/>
    <x v="0"/>
    <x v="1"/>
    <x v="0"/>
    <x v="0"/>
  </r>
  <r>
    <x v="1029"/>
    <x v="1"/>
    <x v="4"/>
    <x v="9"/>
    <x v="271"/>
    <x v="0"/>
    <x v="9"/>
    <x v="0"/>
    <x v="4"/>
    <x v="4"/>
    <x v="4"/>
    <x v="1"/>
    <x v="0"/>
    <x v="0"/>
    <x v="0"/>
    <x v="0"/>
    <x v="142"/>
    <x v="266"/>
    <x v="3"/>
    <x v="0"/>
    <x v="4"/>
    <x v="2"/>
    <x v="2"/>
  </r>
  <r>
    <x v="1030"/>
    <x v="1"/>
    <x v="4"/>
    <x v="9"/>
    <x v="144"/>
    <x v="1"/>
    <x v="14"/>
    <x v="1"/>
    <x v="4"/>
    <x v="4"/>
    <x v="4"/>
    <x v="1"/>
    <x v="0"/>
    <x v="0"/>
    <x v="0"/>
    <x v="0"/>
    <x v="189"/>
    <x v="492"/>
    <x v="4"/>
    <x v="0"/>
    <x v="2"/>
    <x v="2"/>
    <x v="2"/>
  </r>
  <r>
    <x v="1031"/>
    <x v="1"/>
    <x v="4"/>
    <x v="9"/>
    <x v="69"/>
    <x v="1"/>
    <x v="14"/>
    <x v="1"/>
    <x v="4"/>
    <x v="4"/>
    <x v="4"/>
    <x v="1"/>
    <x v="0"/>
    <x v="0"/>
    <x v="0"/>
    <x v="0"/>
    <x v="36"/>
    <x v="494"/>
    <x v="0"/>
    <x v="0"/>
    <x v="2"/>
    <x v="2"/>
    <x v="2"/>
  </r>
  <r>
    <x v="1032"/>
    <x v="1"/>
    <x v="1"/>
    <x v="6"/>
    <x v="166"/>
    <x v="2"/>
    <x v="2"/>
    <x v="3"/>
    <x v="1"/>
    <x v="1"/>
    <x v="1"/>
    <x v="0"/>
    <x v="1"/>
    <x v="1"/>
    <x v="0"/>
    <x v="1"/>
    <x v="88"/>
    <x v="414"/>
    <x v="2"/>
    <x v="0"/>
    <x v="2"/>
    <x v="0"/>
    <x v="0"/>
  </r>
  <r>
    <x v="1033"/>
    <x v="1"/>
    <x v="0"/>
    <x v="2"/>
    <x v="252"/>
    <x v="2"/>
    <x v="2"/>
    <x v="2"/>
    <x v="0"/>
    <x v="0"/>
    <x v="0"/>
    <x v="0"/>
    <x v="0"/>
    <x v="0"/>
    <x v="0"/>
    <x v="0"/>
    <x v="169"/>
    <x v="239"/>
    <x v="3"/>
    <x v="0"/>
    <x v="3"/>
    <x v="0"/>
    <x v="0"/>
  </r>
  <r>
    <x v="1034"/>
    <x v="1"/>
    <x v="0"/>
    <x v="2"/>
    <x v="350"/>
    <x v="1"/>
    <x v="1"/>
    <x v="1"/>
    <x v="0"/>
    <x v="0"/>
    <x v="0"/>
    <x v="0"/>
    <x v="0"/>
    <x v="0"/>
    <x v="0"/>
    <x v="0"/>
    <x v="19"/>
    <x v="495"/>
    <x v="3"/>
    <x v="0"/>
    <x v="3"/>
    <x v="0"/>
    <x v="0"/>
  </r>
  <r>
    <x v="1035"/>
    <x v="1"/>
    <x v="4"/>
    <x v="9"/>
    <x v="202"/>
    <x v="0"/>
    <x v="13"/>
    <x v="1"/>
    <x v="4"/>
    <x v="4"/>
    <x v="4"/>
    <x v="1"/>
    <x v="0"/>
    <x v="0"/>
    <x v="0"/>
    <x v="0"/>
    <x v="281"/>
    <x v="461"/>
    <x v="4"/>
    <x v="0"/>
    <x v="1"/>
    <x v="2"/>
    <x v="2"/>
  </r>
  <r>
    <x v="1036"/>
    <x v="1"/>
    <x v="3"/>
    <x v="5"/>
    <x v="237"/>
    <x v="4"/>
    <x v="2"/>
    <x v="0"/>
    <x v="3"/>
    <x v="3"/>
    <x v="3"/>
    <x v="0"/>
    <x v="2"/>
    <x v="2"/>
    <x v="0"/>
    <x v="2"/>
    <x v="31"/>
    <x v="436"/>
    <x v="0"/>
    <x v="0"/>
    <x v="3"/>
    <x v="0"/>
    <x v="0"/>
  </r>
  <r>
    <x v="1037"/>
    <x v="2"/>
    <x v="2"/>
    <x v="232"/>
    <x v="43"/>
    <x v="4"/>
    <x v="2"/>
    <x v="0"/>
    <x v="2"/>
    <x v="2"/>
    <x v="2"/>
    <x v="1"/>
    <x v="2"/>
    <x v="2"/>
    <x v="0"/>
    <x v="2"/>
    <x v="241"/>
    <x v="364"/>
    <x v="5"/>
    <x v="0"/>
    <x v="1"/>
    <x v="1"/>
    <x v="1"/>
  </r>
  <r>
    <x v="1038"/>
    <x v="1"/>
    <x v="5"/>
    <x v="8"/>
    <x v="312"/>
    <x v="1"/>
    <x v="16"/>
    <x v="0"/>
    <x v="5"/>
    <x v="5"/>
    <x v="5"/>
    <x v="1"/>
    <x v="1"/>
    <x v="1"/>
    <x v="0"/>
    <x v="1"/>
    <x v="270"/>
    <x v="439"/>
    <x v="4"/>
    <x v="0"/>
    <x v="4"/>
    <x v="3"/>
    <x v="3"/>
  </r>
  <r>
    <x v="1039"/>
    <x v="2"/>
    <x v="5"/>
    <x v="233"/>
    <x v="350"/>
    <x v="1"/>
    <x v="8"/>
    <x v="2"/>
    <x v="5"/>
    <x v="5"/>
    <x v="5"/>
    <x v="1"/>
    <x v="1"/>
    <x v="1"/>
    <x v="0"/>
    <x v="1"/>
    <x v="107"/>
    <x v="150"/>
    <x v="5"/>
    <x v="0"/>
    <x v="1"/>
    <x v="3"/>
    <x v="3"/>
  </r>
  <r>
    <x v="1040"/>
    <x v="1"/>
    <x v="4"/>
    <x v="9"/>
    <x v="322"/>
    <x v="3"/>
    <x v="2"/>
    <x v="0"/>
    <x v="4"/>
    <x v="4"/>
    <x v="4"/>
    <x v="1"/>
    <x v="0"/>
    <x v="0"/>
    <x v="0"/>
    <x v="0"/>
    <x v="285"/>
    <x v="496"/>
    <x v="1"/>
    <x v="0"/>
    <x v="4"/>
    <x v="2"/>
    <x v="2"/>
  </r>
  <r>
    <x v="1041"/>
    <x v="0"/>
    <x v="3"/>
    <x v="234"/>
    <x v="180"/>
    <x v="0"/>
    <x v="1"/>
    <x v="2"/>
    <x v="3"/>
    <x v="3"/>
    <x v="3"/>
    <x v="0"/>
    <x v="2"/>
    <x v="2"/>
    <x v="0"/>
    <x v="2"/>
    <x v="189"/>
    <x v="492"/>
    <x v="4"/>
    <x v="0"/>
    <x v="2"/>
    <x v="0"/>
    <x v="0"/>
  </r>
  <r>
    <x v="1042"/>
    <x v="2"/>
    <x v="1"/>
    <x v="235"/>
    <x v="338"/>
    <x v="1"/>
    <x v="0"/>
    <x v="2"/>
    <x v="1"/>
    <x v="1"/>
    <x v="1"/>
    <x v="0"/>
    <x v="1"/>
    <x v="1"/>
    <x v="0"/>
    <x v="1"/>
    <x v="124"/>
    <x v="430"/>
    <x v="5"/>
    <x v="0"/>
    <x v="3"/>
    <x v="0"/>
    <x v="0"/>
  </r>
  <r>
    <x v="1043"/>
    <x v="1"/>
    <x v="5"/>
    <x v="8"/>
    <x v="27"/>
    <x v="2"/>
    <x v="2"/>
    <x v="2"/>
    <x v="5"/>
    <x v="5"/>
    <x v="5"/>
    <x v="1"/>
    <x v="1"/>
    <x v="1"/>
    <x v="0"/>
    <x v="1"/>
    <x v="134"/>
    <x v="301"/>
    <x v="0"/>
    <x v="0"/>
    <x v="3"/>
    <x v="3"/>
    <x v="3"/>
  </r>
  <r>
    <x v="1044"/>
    <x v="1"/>
    <x v="2"/>
    <x v="4"/>
    <x v="351"/>
    <x v="2"/>
    <x v="2"/>
    <x v="3"/>
    <x v="2"/>
    <x v="2"/>
    <x v="2"/>
    <x v="1"/>
    <x v="2"/>
    <x v="2"/>
    <x v="0"/>
    <x v="2"/>
    <x v="165"/>
    <x v="399"/>
    <x v="5"/>
    <x v="0"/>
    <x v="4"/>
    <x v="1"/>
    <x v="1"/>
  </r>
  <r>
    <x v="1045"/>
    <x v="1"/>
    <x v="5"/>
    <x v="8"/>
    <x v="229"/>
    <x v="1"/>
    <x v="6"/>
    <x v="2"/>
    <x v="5"/>
    <x v="5"/>
    <x v="5"/>
    <x v="1"/>
    <x v="1"/>
    <x v="1"/>
    <x v="0"/>
    <x v="1"/>
    <x v="180"/>
    <x v="497"/>
    <x v="3"/>
    <x v="0"/>
    <x v="0"/>
    <x v="3"/>
    <x v="3"/>
  </r>
  <r>
    <x v="1046"/>
    <x v="1"/>
    <x v="2"/>
    <x v="4"/>
    <x v="14"/>
    <x v="0"/>
    <x v="4"/>
    <x v="2"/>
    <x v="2"/>
    <x v="2"/>
    <x v="2"/>
    <x v="1"/>
    <x v="2"/>
    <x v="2"/>
    <x v="0"/>
    <x v="2"/>
    <x v="198"/>
    <x v="437"/>
    <x v="5"/>
    <x v="0"/>
    <x v="3"/>
    <x v="1"/>
    <x v="1"/>
  </r>
  <r>
    <x v="1047"/>
    <x v="1"/>
    <x v="3"/>
    <x v="5"/>
    <x v="118"/>
    <x v="2"/>
    <x v="2"/>
    <x v="2"/>
    <x v="3"/>
    <x v="3"/>
    <x v="3"/>
    <x v="0"/>
    <x v="2"/>
    <x v="2"/>
    <x v="0"/>
    <x v="2"/>
    <x v="263"/>
    <x v="418"/>
    <x v="3"/>
    <x v="0"/>
    <x v="0"/>
    <x v="0"/>
    <x v="0"/>
  </r>
  <r>
    <x v="1048"/>
    <x v="1"/>
    <x v="5"/>
    <x v="8"/>
    <x v="36"/>
    <x v="4"/>
    <x v="2"/>
    <x v="0"/>
    <x v="5"/>
    <x v="5"/>
    <x v="5"/>
    <x v="1"/>
    <x v="1"/>
    <x v="1"/>
    <x v="0"/>
    <x v="1"/>
    <x v="97"/>
    <x v="157"/>
    <x v="5"/>
    <x v="0"/>
    <x v="1"/>
    <x v="3"/>
    <x v="3"/>
  </r>
  <r>
    <x v="1049"/>
    <x v="1"/>
    <x v="0"/>
    <x v="2"/>
    <x v="160"/>
    <x v="1"/>
    <x v="1"/>
    <x v="0"/>
    <x v="0"/>
    <x v="0"/>
    <x v="0"/>
    <x v="0"/>
    <x v="0"/>
    <x v="0"/>
    <x v="0"/>
    <x v="0"/>
    <x v="143"/>
    <x v="202"/>
    <x v="2"/>
    <x v="0"/>
    <x v="3"/>
    <x v="0"/>
    <x v="0"/>
  </r>
  <r>
    <x v="1050"/>
    <x v="1"/>
    <x v="1"/>
    <x v="6"/>
    <x v="352"/>
    <x v="1"/>
    <x v="1"/>
    <x v="3"/>
    <x v="1"/>
    <x v="1"/>
    <x v="1"/>
    <x v="0"/>
    <x v="1"/>
    <x v="1"/>
    <x v="0"/>
    <x v="1"/>
    <x v="126"/>
    <x v="353"/>
    <x v="1"/>
    <x v="0"/>
    <x v="3"/>
    <x v="0"/>
    <x v="0"/>
  </r>
  <r>
    <x v="1051"/>
    <x v="2"/>
    <x v="1"/>
    <x v="236"/>
    <x v="13"/>
    <x v="2"/>
    <x v="2"/>
    <x v="2"/>
    <x v="1"/>
    <x v="1"/>
    <x v="1"/>
    <x v="0"/>
    <x v="1"/>
    <x v="1"/>
    <x v="0"/>
    <x v="1"/>
    <x v="144"/>
    <x v="313"/>
    <x v="2"/>
    <x v="0"/>
    <x v="2"/>
    <x v="0"/>
    <x v="0"/>
  </r>
  <r>
    <x v="1052"/>
    <x v="1"/>
    <x v="2"/>
    <x v="4"/>
    <x v="59"/>
    <x v="1"/>
    <x v="4"/>
    <x v="0"/>
    <x v="2"/>
    <x v="2"/>
    <x v="2"/>
    <x v="1"/>
    <x v="2"/>
    <x v="2"/>
    <x v="0"/>
    <x v="2"/>
    <x v="141"/>
    <x v="290"/>
    <x v="1"/>
    <x v="0"/>
    <x v="3"/>
    <x v="1"/>
    <x v="1"/>
  </r>
  <r>
    <x v="1053"/>
    <x v="0"/>
    <x v="4"/>
    <x v="237"/>
    <x v="144"/>
    <x v="0"/>
    <x v="9"/>
    <x v="3"/>
    <x v="4"/>
    <x v="4"/>
    <x v="4"/>
    <x v="1"/>
    <x v="0"/>
    <x v="0"/>
    <x v="0"/>
    <x v="0"/>
    <x v="161"/>
    <x v="432"/>
    <x v="3"/>
    <x v="0"/>
    <x v="4"/>
    <x v="2"/>
    <x v="2"/>
  </r>
  <r>
    <x v="1054"/>
    <x v="1"/>
    <x v="1"/>
    <x v="6"/>
    <x v="207"/>
    <x v="1"/>
    <x v="1"/>
    <x v="1"/>
    <x v="1"/>
    <x v="1"/>
    <x v="1"/>
    <x v="0"/>
    <x v="1"/>
    <x v="1"/>
    <x v="0"/>
    <x v="1"/>
    <x v="48"/>
    <x v="274"/>
    <x v="2"/>
    <x v="0"/>
    <x v="0"/>
    <x v="0"/>
    <x v="0"/>
  </r>
  <r>
    <x v="1055"/>
    <x v="1"/>
    <x v="2"/>
    <x v="4"/>
    <x v="353"/>
    <x v="1"/>
    <x v="19"/>
    <x v="0"/>
    <x v="2"/>
    <x v="2"/>
    <x v="2"/>
    <x v="1"/>
    <x v="2"/>
    <x v="2"/>
    <x v="0"/>
    <x v="2"/>
    <x v="155"/>
    <x v="381"/>
    <x v="2"/>
    <x v="0"/>
    <x v="1"/>
    <x v="1"/>
    <x v="1"/>
  </r>
  <r>
    <x v="1056"/>
    <x v="1"/>
    <x v="5"/>
    <x v="8"/>
    <x v="310"/>
    <x v="0"/>
    <x v="10"/>
    <x v="1"/>
    <x v="5"/>
    <x v="5"/>
    <x v="5"/>
    <x v="1"/>
    <x v="1"/>
    <x v="1"/>
    <x v="0"/>
    <x v="1"/>
    <x v="150"/>
    <x v="211"/>
    <x v="5"/>
    <x v="0"/>
    <x v="0"/>
    <x v="3"/>
    <x v="3"/>
  </r>
  <r>
    <x v="1057"/>
    <x v="2"/>
    <x v="0"/>
    <x v="238"/>
    <x v="166"/>
    <x v="1"/>
    <x v="17"/>
    <x v="3"/>
    <x v="0"/>
    <x v="0"/>
    <x v="0"/>
    <x v="0"/>
    <x v="0"/>
    <x v="0"/>
    <x v="0"/>
    <x v="0"/>
    <x v="193"/>
    <x v="277"/>
    <x v="0"/>
    <x v="0"/>
    <x v="3"/>
    <x v="0"/>
    <x v="0"/>
  </r>
  <r>
    <x v="1058"/>
    <x v="0"/>
    <x v="2"/>
    <x v="239"/>
    <x v="327"/>
    <x v="1"/>
    <x v="3"/>
    <x v="1"/>
    <x v="2"/>
    <x v="2"/>
    <x v="2"/>
    <x v="1"/>
    <x v="2"/>
    <x v="2"/>
    <x v="0"/>
    <x v="2"/>
    <x v="189"/>
    <x v="492"/>
    <x v="4"/>
    <x v="0"/>
    <x v="2"/>
    <x v="1"/>
    <x v="1"/>
  </r>
  <r>
    <x v="1059"/>
    <x v="2"/>
    <x v="3"/>
    <x v="240"/>
    <x v="64"/>
    <x v="1"/>
    <x v="0"/>
    <x v="3"/>
    <x v="3"/>
    <x v="3"/>
    <x v="3"/>
    <x v="0"/>
    <x v="2"/>
    <x v="2"/>
    <x v="0"/>
    <x v="2"/>
    <x v="227"/>
    <x v="339"/>
    <x v="4"/>
    <x v="0"/>
    <x v="4"/>
    <x v="0"/>
    <x v="0"/>
  </r>
  <r>
    <x v="1060"/>
    <x v="1"/>
    <x v="2"/>
    <x v="4"/>
    <x v="144"/>
    <x v="1"/>
    <x v="3"/>
    <x v="2"/>
    <x v="2"/>
    <x v="2"/>
    <x v="2"/>
    <x v="1"/>
    <x v="2"/>
    <x v="2"/>
    <x v="0"/>
    <x v="2"/>
    <x v="143"/>
    <x v="202"/>
    <x v="2"/>
    <x v="0"/>
    <x v="3"/>
    <x v="1"/>
    <x v="1"/>
  </r>
  <r>
    <x v="1061"/>
    <x v="0"/>
    <x v="4"/>
    <x v="241"/>
    <x v="354"/>
    <x v="1"/>
    <x v="17"/>
    <x v="0"/>
    <x v="4"/>
    <x v="4"/>
    <x v="4"/>
    <x v="1"/>
    <x v="0"/>
    <x v="0"/>
    <x v="0"/>
    <x v="0"/>
    <x v="275"/>
    <x v="451"/>
    <x v="0"/>
    <x v="0"/>
    <x v="2"/>
    <x v="2"/>
    <x v="2"/>
  </r>
  <r>
    <x v="1062"/>
    <x v="1"/>
    <x v="5"/>
    <x v="8"/>
    <x v="307"/>
    <x v="4"/>
    <x v="2"/>
    <x v="3"/>
    <x v="5"/>
    <x v="5"/>
    <x v="5"/>
    <x v="1"/>
    <x v="1"/>
    <x v="1"/>
    <x v="0"/>
    <x v="1"/>
    <x v="295"/>
    <x v="498"/>
    <x v="5"/>
    <x v="0"/>
    <x v="1"/>
    <x v="3"/>
    <x v="3"/>
  </r>
  <r>
    <x v="1063"/>
    <x v="2"/>
    <x v="4"/>
    <x v="242"/>
    <x v="168"/>
    <x v="1"/>
    <x v="7"/>
    <x v="3"/>
    <x v="4"/>
    <x v="4"/>
    <x v="4"/>
    <x v="1"/>
    <x v="0"/>
    <x v="0"/>
    <x v="0"/>
    <x v="0"/>
    <x v="173"/>
    <x v="243"/>
    <x v="1"/>
    <x v="0"/>
    <x v="0"/>
    <x v="2"/>
    <x v="2"/>
  </r>
  <r>
    <x v="1064"/>
    <x v="1"/>
    <x v="5"/>
    <x v="8"/>
    <x v="136"/>
    <x v="1"/>
    <x v="8"/>
    <x v="3"/>
    <x v="5"/>
    <x v="5"/>
    <x v="5"/>
    <x v="1"/>
    <x v="1"/>
    <x v="1"/>
    <x v="0"/>
    <x v="1"/>
    <x v="217"/>
    <x v="338"/>
    <x v="5"/>
    <x v="0"/>
    <x v="0"/>
    <x v="3"/>
    <x v="3"/>
  </r>
  <r>
    <x v="1065"/>
    <x v="1"/>
    <x v="4"/>
    <x v="9"/>
    <x v="334"/>
    <x v="4"/>
    <x v="2"/>
    <x v="2"/>
    <x v="4"/>
    <x v="4"/>
    <x v="4"/>
    <x v="1"/>
    <x v="0"/>
    <x v="0"/>
    <x v="0"/>
    <x v="0"/>
    <x v="153"/>
    <x v="443"/>
    <x v="5"/>
    <x v="0"/>
    <x v="4"/>
    <x v="2"/>
    <x v="2"/>
  </r>
  <r>
    <x v="1066"/>
    <x v="2"/>
    <x v="4"/>
    <x v="39"/>
    <x v="134"/>
    <x v="2"/>
    <x v="2"/>
    <x v="3"/>
    <x v="4"/>
    <x v="4"/>
    <x v="4"/>
    <x v="1"/>
    <x v="0"/>
    <x v="0"/>
    <x v="0"/>
    <x v="0"/>
    <x v="208"/>
    <x v="308"/>
    <x v="5"/>
    <x v="0"/>
    <x v="4"/>
    <x v="2"/>
    <x v="2"/>
  </r>
  <r>
    <x v="1067"/>
    <x v="1"/>
    <x v="2"/>
    <x v="4"/>
    <x v="5"/>
    <x v="1"/>
    <x v="20"/>
    <x v="2"/>
    <x v="2"/>
    <x v="2"/>
    <x v="2"/>
    <x v="1"/>
    <x v="2"/>
    <x v="2"/>
    <x v="0"/>
    <x v="2"/>
    <x v="68"/>
    <x v="218"/>
    <x v="0"/>
    <x v="0"/>
    <x v="1"/>
    <x v="1"/>
    <x v="1"/>
  </r>
  <r>
    <x v="1068"/>
    <x v="0"/>
    <x v="5"/>
    <x v="243"/>
    <x v="57"/>
    <x v="1"/>
    <x v="16"/>
    <x v="2"/>
    <x v="5"/>
    <x v="5"/>
    <x v="5"/>
    <x v="1"/>
    <x v="1"/>
    <x v="1"/>
    <x v="0"/>
    <x v="1"/>
    <x v="212"/>
    <x v="409"/>
    <x v="0"/>
    <x v="0"/>
    <x v="1"/>
    <x v="3"/>
    <x v="3"/>
  </r>
  <r>
    <x v="1069"/>
    <x v="1"/>
    <x v="0"/>
    <x v="2"/>
    <x v="272"/>
    <x v="3"/>
    <x v="2"/>
    <x v="0"/>
    <x v="0"/>
    <x v="0"/>
    <x v="0"/>
    <x v="0"/>
    <x v="0"/>
    <x v="0"/>
    <x v="0"/>
    <x v="0"/>
    <x v="36"/>
    <x v="494"/>
    <x v="0"/>
    <x v="0"/>
    <x v="2"/>
    <x v="0"/>
    <x v="0"/>
  </r>
  <r>
    <x v="1070"/>
    <x v="1"/>
    <x v="1"/>
    <x v="6"/>
    <x v="201"/>
    <x v="1"/>
    <x v="1"/>
    <x v="0"/>
    <x v="1"/>
    <x v="1"/>
    <x v="1"/>
    <x v="0"/>
    <x v="1"/>
    <x v="1"/>
    <x v="0"/>
    <x v="1"/>
    <x v="220"/>
    <x v="324"/>
    <x v="2"/>
    <x v="0"/>
    <x v="1"/>
    <x v="0"/>
    <x v="0"/>
  </r>
  <r>
    <x v="1071"/>
    <x v="0"/>
    <x v="2"/>
    <x v="244"/>
    <x v="333"/>
    <x v="4"/>
    <x v="2"/>
    <x v="1"/>
    <x v="2"/>
    <x v="2"/>
    <x v="2"/>
    <x v="1"/>
    <x v="2"/>
    <x v="2"/>
    <x v="0"/>
    <x v="2"/>
    <x v="185"/>
    <x v="466"/>
    <x v="0"/>
    <x v="0"/>
    <x v="4"/>
    <x v="1"/>
    <x v="1"/>
  </r>
  <r>
    <x v="1072"/>
    <x v="1"/>
    <x v="4"/>
    <x v="9"/>
    <x v="90"/>
    <x v="1"/>
    <x v="14"/>
    <x v="2"/>
    <x v="4"/>
    <x v="4"/>
    <x v="4"/>
    <x v="1"/>
    <x v="0"/>
    <x v="0"/>
    <x v="0"/>
    <x v="0"/>
    <x v="204"/>
    <x v="434"/>
    <x v="4"/>
    <x v="0"/>
    <x v="1"/>
    <x v="2"/>
    <x v="2"/>
  </r>
  <r>
    <x v="1073"/>
    <x v="1"/>
    <x v="4"/>
    <x v="9"/>
    <x v="2"/>
    <x v="1"/>
    <x v="9"/>
    <x v="2"/>
    <x v="4"/>
    <x v="4"/>
    <x v="4"/>
    <x v="1"/>
    <x v="0"/>
    <x v="0"/>
    <x v="0"/>
    <x v="0"/>
    <x v="112"/>
    <x v="499"/>
    <x v="3"/>
    <x v="0"/>
    <x v="2"/>
    <x v="2"/>
    <x v="2"/>
  </r>
  <r>
    <x v="1074"/>
    <x v="0"/>
    <x v="5"/>
    <x v="245"/>
    <x v="95"/>
    <x v="2"/>
    <x v="2"/>
    <x v="1"/>
    <x v="5"/>
    <x v="5"/>
    <x v="5"/>
    <x v="1"/>
    <x v="1"/>
    <x v="1"/>
    <x v="0"/>
    <x v="1"/>
    <x v="69"/>
    <x v="169"/>
    <x v="0"/>
    <x v="0"/>
    <x v="1"/>
    <x v="3"/>
    <x v="3"/>
  </r>
  <r>
    <x v="1075"/>
    <x v="1"/>
    <x v="3"/>
    <x v="5"/>
    <x v="187"/>
    <x v="3"/>
    <x v="2"/>
    <x v="0"/>
    <x v="3"/>
    <x v="3"/>
    <x v="3"/>
    <x v="0"/>
    <x v="2"/>
    <x v="2"/>
    <x v="0"/>
    <x v="2"/>
    <x v="232"/>
    <x v="348"/>
    <x v="0"/>
    <x v="0"/>
    <x v="1"/>
    <x v="0"/>
    <x v="0"/>
  </r>
  <r>
    <x v="1076"/>
    <x v="1"/>
    <x v="2"/>
    <x v="4"/>
    <x v="53"/>
    <x v="4"/>
    <x v="2"/>
    <x v="3"/>
    <x v="2"/>
    <x v="2"/>
    <x v="2"/>
    <x v="1"/>
    <x v="2"/>
    <x v="2"/>
    <x v="0"/>
    <x v="2"/>
    <x v="181"/>
    <x v="421"/>
    <x v="3"/>
    <x v="0"/>
    <x v="1"/>
    <x v="1"/>
    <x v="1"/>
  </r>
  <r>
    <x v="1077"/>
    <x v="1"/>
    <x v="4"/>
    <x v="9"/>
    <x v="342"/>
    <x v="1"/>
    <x v="7"/>
    <x v="0"/>
    <x v="4"/>
    <x v="4"/>
    <x v="4"/>
    <x v="1"/>
    <x v="0"/>
    <x v="0"/>
    <x v="0"/>
    <x v="0"/>
    <x v="242"/>
    <x v="365"/>
    <x v="0"/>
    <x v="0"/>
    <x v="1"/>
    <x v="2"/>
    <x v="2"/>
  </r>
  <r>
    <x v="1078"/>
    <x v="1"/>
    <x v="1"/>
    <x v="6"/>
    <x v="202"/>
    <x v="2"/>
    <x v="2"/>
    <x v="2"/>
    <x v="1"/>
    <x v="1"/>
    <x v="1"/>
    <x v="0"/>
    <x v="1"/>
    <x v="1"/>
    <x v="0"/>
    <x v="1"/>
    <x v="260"/>
    <x v="413"/>
    <x v="2"/>
    <x v="0"/>
    <x v="3"/>
    <x v="0"/>
    <x v="0"/>
  </r>
  <r>
    <x v="1079"/>
    <x v="0"/>
    <x v="3"/>
    <x v="246"/>
    <x v="240"/>
    <x v="4"/>
    <x v="2"/>
    <x v="1"/>
    <x v="3"/>
    <x v="3"/>
    <x v="3"/>
    <x v="0"/>
    <x v="2"/>
    <x v="2"/>
    <x v="0"/>
    <x v="2"/>
    <x v="296"/>
    <x v="500"/>
    <x v="0"/>
    <x v="0"/>
    <x v="1"/>
    <x v="0"/>
    <x v="0"/>
  </r>
  <r>
    <x v="1080"/>
    <x v="1"/>
    <x v="1"/>
    <x v="6"/>
    <x v="305"/>
    <x v="1"/>
    <x v="0"/>
    <x v="1"/>
    <x v="1"/>
    <x v="1"/>
    <x v="1"/>
    <x v="0"/>
    <x v="1"/>
    <x v="1"/>
    <x v="0"/>
    <x v="1"/>
    <x v="222"/>
    <x v="501"/>
    <x v="1"/>
    <x v="0"/>
    <x v="2"/>
    <x v="0"/>
    <x v="0"/>
  </r>
  <r>
    <x v="1081"/>
    <x v="1"/>
    <x v="4"/>
    <x v="9"/>
    <x v="97"/>
    <x v="4"/>
    <x v="2"/>
    <x v="1"/>
    <x v="4"/>
    <x v="4"/>
    <x v="4"/>
    <x v="1"/>
    <x v="0"/>
    <x v="0"/>
    <x v="0"/>
    <x v="0"/>
    <x v="297"/>
    <x v="502"/>
    <x v="2"/>
    <x v="0"/>
    <x v="0"/>
    <x v="2"/>
    <x v="2"/>
  </r>
  <r>
    <x v="1082"/>
    <x v="1"/>
    <x v="5"/>
    <x v="8"/>
    <x v="4"/>
    <x v="1"/>
    <x v="8"/>
    <x v="3"/>
    <x v="5"/>
    <x v="5"/>
    <x v="5"/>
    <x v="1"/>
    <x v="1"/>
    <x v="1"/>
    <x v="0"/>
    <x v="1"/>
    <x v="285"/>
    <x v="468"/>
    <x v="3"/>
    <x v="0"/>
    <x v="0"/>
    <x v="3"/>
    <x v="3"/>
  </r>
  <r>
    <x v="1083"/>
    <x v="1"/>
    <x v="4"/>
    <x v="9"/>
    <x v="119"/>
    <x v="1"/>
    <x v="7"/>
    <x v="2"/>
    <x v="4"/>
    <x v="4"/>
    <x v="4"/>
    <x v="1"/>
    <x v="0"/>
    <x v="0"/>
    <x v="0"/>
    <x v="0"/>
    <x v="171"/>
    <x v="241"/>
    <x v="3"/>
    <x v="0"/>
    <x v="2"/>
    <x v="2"/>
    <x v="2"/>
  </r>
  <r>
    <x v="1084"/>
    <x v="1"/>
    <x v="1"/>
    <x v="6"/>
    <x v="144"/>
    <x v="2"/>
    <x v="2"/>
    <x v="1"/>
    <x v="1"/>
    <x v="1"/>
    <x v="1"/>
    <x v="0"/>
    <x v="1"/>
    <x v="1"/>
    <x v="0"/>
    <x v="1"/>
    <x v="132"/>
    <x v="276"/>
    <x v="2"/>
    <x v="0"/>
    <x v="4"/>
    <x v="0"/>
    <x v="0"/>
  </r>
  <r>
    <x v="1085"/>
    <x v="0"/>
    <x v="0"/>
    <x v="247"/>
    <x v="91"/>
    <x v="3"/>
    <x v="2"/>
    <x v="0"/>
    <x v="0"/>
    <x v="0"/>
    <x v="0"/>
    <x v="0"/>
    <x v="0"/>
    <x v="0"/>
    <x v="0"/>
    <x v="0"/>
    <x v="297"/>
    <x v="502"/>
    <x v="2"/>
    <x v="0"/>
    <x v="0"/>
    <x v="0"/>
    <x v="0"/>
  </r>
  <r>
    <x v="1086"/>
    <x v="1"/>
    <x v="2"/>
    <x v="4"/>
    <x v="355"/>
    <x v="1"/>
    <x v="12"/>
    <x v="2"/>
    <x v="2"/>
    <x v="2"/>
    <x v="2"/>
    <x v="1"/>
    <x v="2"/>
    <x v="2"/>
    <x v="0"/>
    <x v="2"/>
    <x v="214"/>
    <x v="316"/>
    <x v="0"/>
    <x v="0"/>
    <x v="2"/>
    <x v="1"/>
    <x v="1"/>
  </r>
  <r>
    <x v="1087"/>
    <x v="1"/>
    <x v="1"/>
    <x v="6"/>
    <x v="106"/>
    <x v="2"/>
    <x v="2"/>
    <x v="0"/>
    <x v="1"/>
    <x v="1"/>
    <x v="1"/>
    <x v="0"/>
    <x v="1"/>
    <x v="1"/>
    <x v="0"/>
    <x v="1"/>
    <x v="177"/>
    <x v="252"/>
    <x v="4"/>
    <x v="0"/>
    <x v="2"/>
    <x v="0"/>
    <x v="0"/>
  </r>
  <r>
    <x v="1088"/>
    <x v="2"/>
    <x v="2"/>
    <x v="182"/>
    <x v="241"/>
    <x v="0"/>
    <x v="4"/>
    <x v="1"/>
    <x v="2"/>
    <x v="2"/>
    <x v="2"/>
    <x v="1"/>
    <x v="2"/>
    <x v="2"/>
    <x v="0"/>
    <x v="2"/>
    <x v="141"/>
    <x v="200"/>
    <x v="3"/>
    <x v="0"/>
    <x v="0"/>
    <x v="1"/>
    <x v="1"/>
  </r>
  <r>
    <x v="1089"/>
    <x v="0"/>
    <x v="5"/>
    <x v="248"/>
    <x v="157"/>
    <x v="1"/>
    <x v="16"/>
    <x v="3"/>
    <x v="5"/>
    <x v="5"/>
    <x v="5"/>
    <x v="1"/>
    <x v="1"/>
    <x v="1"/>
    <x v="0"/>
    <x v="1"/>
    <x v="134"/>
    <x v="301"/>
    <x v="0"/>
    <x v="0"/>
    <x v="3"/>
    <x v="3"/>
    <x v="3"/>
  </r>
  <r>
    <x v="1090"/>
    <x v="1"/>
    <x v="3"/>
    <x v="5"/>
    <x v="282"/>
    <x v="2"/>
    <x v="2"/>
    <x v="1"/>
    <x v="3"/>
    <x v="3"/>
    <x v="3"/>
    <x v="0"/>
    <x v="2"/>
    <x v="2"/>
    <x v="0"/>
    <x v="2"/>
    <x v="120"/>
    <x v="232"/>
    <x v="2"/>
    <x v="0"/>
    <x v="0"/>
    <x v="0"/>
    <x v="0"/>
  </r>
  <r>
    <x v="1091"/>
    <x v="2"/>
    <x v="5"/>
    <x v="249"/>
    <x v="231"/>
    <x v="1"/>
    <x v="8"/>
    <x v="1"/>
    <x v="5"/>
    <x v="5"/>
    <x v="5"/>
    <x v="1"/>
    <x v="1"/>
    <x v="1"/>
    <x v="0"/>
    <x v="1"/>
    <x v="298"/>
    <x v="503"/>
    <x v="3"/>
    <x v="0"/>
    <x v="2"/>
    <x v="3"/>
    <x v="3"/>
  </r>
  <r>
    <x v="1092"/>
    <x v="2"/>
    <x v="3"/>
    <x v="250"/>
    <x v="263"/>
    <x v="1"/>
    <x v="0"/>
    <x v="0"/>
    <x v="3"/>
    <x v="3"/>
    <x v="3"/>
    <x v="0"/>
    <x v="2"/>
    <x v="2"/>
    <x v="0"/>
    <x v="2"/>
    <x v="268"/>
    <x v="433"/>
    <x v="0"/>
    <x v="0"/>
    <x v="0"/>
    <x v="0"/>
    <x v="0"/>
  </r>
  <r>
    <x v="1093"/>
    <x v="0"/>
    <x v="1"/>
    <x v="251"/>
    <x v="327"/>
    <x v="1"/>
    <x v="1"/>
    <x v="1"/>
    <x v="1"/>
    <x v="1"/>
    <x v="1"/>
    <x v="0"/>
    <x v="1"/>
    <x v="1"/>
    <x v="0"/>
    <x v="1"/>
    <x v="188"/>
    <x v="269"/>
    <x v="5"/>
    <x v="0"/>
    <x v="2"/>
    <x v="0"/>
    <x v="0"/>
  </r>
  <r>
    <x v="1094"/>
    <x v="1"/>
    <x v="2"/>
    <x v="4"/>
    <x v="356"/>
    <x v="1"/>
    <x v="4"/>
    <x v="0"/>
    <x v="2"/>
    <x v="2"/>
    <x v="2"/>
    <x v="1"/>
    <x v="2"/>
    <x v="2"/>
    <x v="0"/>
    <x v="2"/>
    <x v="96"/>
    <x v="215"/>
    <x v="4"/>
    <x v="0"/>
    <x v="1"/>
    <x v="1"/>
    <x v="1"/>
  </r>
  <r>
    <x v="1095"/>
    <x v="1"/>
    <x v="0"/>
    <x v="2"/>
    <x v="346"/>
    <x v="2"/>
    <x v="2"/>
    <x v="2"/>
    <x v="0"/>
    <x v="0"/>
    <x v="0"/>
    <x v="0"/>
    <x v="0"/>
    <x v="0"/>
    <x v="0"/>
    <x v="0"/>
    <x v="19"/>
    <x v="273"/>
    <x v="3"/>
    <x v="0"/>
    <x v="0"/>
    <x v="0"/>
    <x v="0"/>
  </r>
  <r>
    <x v="1096"/>
    <x v="0"/>
    <x v="0"/>
    <x v="252"/>
    <x v="259"/>
    <x v="1"/>
    <x v="9"/>
    <x v="1"/>
    <x v="0"/>
    <x v="0"/>
    <x v="0"/>
    <x v="0"/>
    <x v="0"/>
    <x v="0"/>
    <x v="0"/>
    <x v="0"/>
    <x v="240"/>
    <x v="362"/>
    <x v="1"/>
    <x v="0"/>
    <x v="0"/>
    <x v="0"/>
    <x v="0"/>
  </r>
  <r>
    <x v="1097"/>
    <x v="2"/>
    <x v="0"/>
    <x v="253"/>
    <x v="77"/>
    <x v="1"/>
    <x v="1"/>
    <x v="1"/>
    <x v="0"/>
    <x v="0"/>
    <x v="0"/>
    <x v="0"/>
    <x v="0"/>
    <x v="0"/>
    <x v="0"/>
    <x v="0"/>
    <x v="251"/>
    <x v="427"/>
    <x v="3"/>
    <x v="0"/>
    <x v="4"/>
    <x v="0"/>
    <x v="0"/>
  </r>
  <r>
    <x v="1098"/>
    <x v="1"/>
    <x v="4"/>
    <x v="9"/>
    <x v="35"/>
    <x v="2"/>
    <x v="2"/>
    <x v="3"/>
    <x v="4"/>
    <x v="4"/>
    <x v="4"/>
    <x v="1"/>
    <x v="0"/>
    <x v="0"/>
    <x v="0"/>
    <x v="0"/>
    <x v="104"/>
    <x v="250"/>
    <x v="2"/>
    <x v="0"/>
    <x v="3"/>
    <x v="2"/>
    <x v="2"/>
  </r>
  <r>
    <x v="1099"/>
    <x v="1"/>
    <x v="1"/>
    <x v="6"/>
    <x v="200"/>
    <x v="1"/>
    <x v="7"/>
    <x v="1"/>
    <x v="1"/>
    <x v="1"/>
    <x v="1"/>
    <x v="0"/>
    <x v="1"/>
    <x v="1"/>
    <x v="0"/>
    <x v="1"/>
    <x v="13"/>
    <x v="453"/>
    <x v="3"/>
    <x v="0"/>
    <x v="0"/>
    <x v="0"/>
    <x v="0"/>
  </r>
  <r>
    <x v="1100"/>
    <x v="1"/>
    <x v="3"/>
    <x v="5"/>
    <x v="11"/>
    <x v="1"/>
    <x v="0"/>
    <x v="3"/>
    <x v="3"/>
    <x v="3"/>
    <x v="3"/>
    <x v="0"/>
    <x v="2"/>
    <x v="2"/>
    <x v="0"/>
    <x v="2"/>
    <x v="24"/>
    <x v="475"/>
    <x v="0"/>
    <x v="0"/>
    <x v="1"/>
    <x v="0"/>
    <x v="0"/>
  </r>
  <r>
    <x v="1101"/>
    <x v="2"/>
    <x v="3"/>
    <x v="254"/>
    <x v="231"/>
    <x v="4"/>
    <x v="2"/>
    <x v="2"/>
    <x v="3"/>
    <x v="3"/>
    <x v="3"/>
    <x v="0"/>
    <x v="2"/>
    <x v="2"/>
    <x v="0"/>
    <x v="2"/>
    <x v="159"/>
    <x v="407"/>
    <x v="1"/>
    <x v="0"/>
    <x v="2"/>
    <x v="0"/>
    <x v="0"/>
  </r>
  <r>
    <x v="1102"/>
    <x v="2"/>
    <x v="2"/>
    <x v="255"/>
    <x v="357"/>
    <x v="1"/>
    <x v="4"/>
    <x v="3"/>
    <x v="2"/>
    <x v="2"/>
    <x v="2"/>
    <x v="1"/>
    <x v="2"/>
    <x v="2"/>
    <x v="0"/>
    <x v="2"/>
    <x v="185"/>
    <x v="504"/>
    <x v="3"/>
    <x v="0"/>
    <x v="1"/>
    <x v="1"/>
    <x v="1"/>
  </r>
  <r>
    <x v="1103"/>
    <x v="0"/>
    <x v="4"/>
    <x v="256"/>
    <x v="271"/>
    <x v="1"/>
    <x v="14"/>
    <x v="0"/>
    <x v="4"/>
    <x v="4"/>
    <x v="4"/>
    <x v="1"/>
    <x v="0"/>
    <x v="0"/>
    <x v="0"/>
    <x v="0"/>
    <x v="153"/>
    <x v="214"/>
    <x v="5"/>
    <x v="0"/>
    <x v="4"/>
    <x v="2"/>
    <x v="2"/>
  </r>
  <r>
    <x v="1104"/>
    <x v="2"/>
    <x v="4"/>
    <x v="257"/>
    <x v="193"/>
    <x v="2"/>
    <x v="2"/>
    <x v="3"/>
    <x v="4"/>
    <x v="4"/>
    <x v="4"/>
    <x v="1"/>
    <x v="0"/>
    <x v="0"/>
    <x v="0"/>
    <x v="0"/>
    <x v="155"/>
    <x v="283"/>
    <x v="1"/>
    <x v="0"/>
    <x v="2"/>
    <x v="2"/>
    <x v="2"/>
  </r>
  <r>
    <x v="1105"/>
    <x v="2"/>
    <x v="2"/>
    <x v="258"/>
    <x v="327"/>
    <x v="4"/>
    <x v="2"/>
    <x v="3"/>
    <x v="2"/>
    <x v="2"/>
    <x v="2"/>
    <x v="1"/>
    <x v="2"/>
    <x v="2"/>
    <x v="0"/>
    <x v="2"/>
    <x v="236"/>
    <x v="505"/>
    <x v="1"/>
    <x v="0"/>
    <x v="2"/>
    <x v="1"/>
    <x v="1"/>
  </r>
  <r>
    <x v="1106"/>
    <x v="1"/>
    <x v="5"/>
    <x v="8"/>
    <x v="219"/>
    <x v="0"/>
    <x v="13"/>
    <x v="1"/>
    <x v="5"/>
    <x v="5"/>
    <x v="5"/>
    <x v="1"/>
    <x v="1"/>
    <x v="1"/>
    <x v="0"/>
    <x v="1"/>
    <x v="149"/>
    <x v="280"/>
    <x v="0"/>
    <x v="0"/>
    <x v="1"/>
    <x v="3"/>
    <x v="3"/>
  </r>
  <r>
    <x v="1107"/>
    <x v="1"/>
    <x v="1"/>
    <x v="6"/>
    <x v="312"/>
    <x v="4"/>
    <x v="2"/>
    <x v="1"/>
    <x v="1"/>
    <x v="1"/>
    <x v="1"/>
    <x v="0"/>
    <x v="1"/>
    <x v="1"/>
    <x v="0"/>
    <x v="1"/>
    <x v="221"/>
    <x v="325"/>
    <x v="3"/>
    <x v="0"/>
    <x v="3"/>
    <x v="0"/>
    <x v="0"/>
  </r>
  <r>
    <x v="1108"/>
    <x v="1"/>
    <x v="3"/>
    <x v="5"/>
    <x v="51"/>
    <x v="2"/>
    <x v="2"/>
    <x v="2"/>
    <x v="3"/>
    <x v="3"/>
    <x v="3"/>
    <x v="0"/>
    <x v="2"/>
    <x v="2"/>
    <x v="0"/>
    <x v="2"/>
    <x v="219"/>
    <x v="382"/>
    <x v="3"/>
    <x v="0"/>
    <x v="2"/>
    <x v="0"/>
    <x v="0"/>
  </r>
  <r>
    <x v="1109"/>
    <x v="1"/>
    <x v="2"/>
    <x v="4"/>
    <x v="130"/>
    <x v="1"/>
    <x v="3"/>
    <x v="0"/>
    <x v="2"/>
    <x v="2"/>
    <x v="2"/>
    <x v="1"/>
    <x v="2"/>
    <x v="2"/>
    <x v="0"/>
    <x v="2"/>
    <x v="189"/>
    <x v="506"/>
    <x v="0"/>
    <x v="0"/>
    <x v="1"/>
    <x v="1"/>
    <x v="1"/>
  </r>
  <r>
    <x v="1110"/>
    <x v="0"/>
    <x v="2"/>
    <x v="259"/>
    <x v="201"/>
    <x v="1"/>
    <x v="4"/>
    <x v="0"/>
    <x v="2"/>
    <x v="2"/>
    <x v="2"/>
    <x v="1"/>
    <x v="2"/>
    <x v="2"/>
    <x v="0"/>
    <x v="2"/>
    <x v="205"/>
    <x v="303"/>
    <x v="1"/>
    <x v="0"/>
    <x v="3"/>
    <x v="1"/>
    <x v="1"/>
  </r>
  <r>
    <x v="1111"/>
    <x v="1"/>
    <x v="2"/>
    <x v="4"/>
    <x v="326"/>
    <x v="1"/>
    <x v="3"/>
    <x v="3"/>
    <x v="2"/>
    <x v="2"/>
    <x v="2"/>
    <x v="1"/>
    <x v="2"/>
    <x v="2"/>
    <x v="0"/>
    <x v="2"/>
    <x v="71"/>
    <x v="355"/>
    <x v="4"/>
    <x v="0"/>
    <x v="1"/>
    <x v="1"/>
    <x v="1"/>
  </r>
  <r>
    <x v="1112"/>
    <x v="2"/>
    <x v="1"/>
    <x v="260"/>
    <x v="259"/>
    <x v="2"/>
    <x v="2"/>
    <x v="1"/>
    <x v="1"/>
    <x v="1"/>
    <x v="1"/>
    <x v="0"/>
    <x v="1"/>
    <x v="1"/>
    <x v="0"/>
    <x v="1"/>
    <x v="258"/>
    <x v="408"/>
    <x v="3"/>
    <x v="0"/>
    <x v="2"/>
    <x v="0"/>
    <x v="0"/>
  </r>
  <r>
    <x v="1113"/>
    <x v="1"/>
    <x v="1"/>
    <x v="6"/>
    <x v="2"/>
    <x v="1"/>
    <x v="9"/>
    <x v="0"/>
    <x v="1"/>
    <x v="1"/>
    <x v="1"/>
    <x v="0"/>
    <x v="1"/>
    <x v="1"/>
    <x v="0"/>
    <x v="1"/>
    <x v="268"/>
    <x v="433"/>
    <x v="0"/>
    <x v="0"/>
    <x v="0"/>
    <x v="0"/>
    <x v="0"/>
  </r>
  <r>
    <x v="1114"/>
    <x v="1"/>
    <x v="0"/>
    <x v="2"/>
    <x v="358"/>
    <x v="1"/>
    <x v="15"/>
    <x v="0"/>
    <x v="0"/>
    <x v="0"/>
    <x v="0"/>
    <x v="0"/>
    <x v="0"/>
    <x v="0"/>
    <x v="0"/>
    <x v="0"/>
    <x v="219"/>
    <x v="382"/>
    <x v="3"/>
    <x v="0"/>
    <x v="2"/>
    <x v="0"/>
    <x v="0"/>
  </r>
  <r>
    <x v="1115"/>
    <x v="0"/>
    <x v="5"/>
    <x v="261"/>
    <x v="108"/>
    <x v="1"/>
    <x v="13"/>
    <x v="2"/>
    <x v="5"/>
    <x v="5"/>
    <x v="5"/>
    <x v="1"/>
    <x v="1"/>
    <x v="1"/>
    <x v="0"/>
    <x v="1"/>
    <x v="4"/>
    <x v="207"/>
    <x v="3"/>
    <x v="0"/>
    <x v="4"/>
    <x v="3"/>
    <x v="3"/>
  </r>
  <r>
    <x v="1116"/>
    <x v="2"/>
    <x v="3"/>
    <x v="262"/>
    <x v="47"/>
    <x v="0"/>
    <x v="0"/>
    <x v="1"/>
    <x v="3"/>
    <x v="3"/>
    <x v="3"/>
    <x v="0"/>
    <x v="2"/>
    <x v="2"/>
    <x v="0"/>
    <x v="2"/>
    <x v="219"/>
    <x v="322"/>
    <x v="1"/>
    <x v="0"/>
    <x v="3"/>
    <x v="0"/>
    <x v="0"/>
  </r>
  <r>
    <x v="1117"/>
    <x v="2"/>
    <x v="3"/>
    <x v="263"/>
    <x v="359"/>
    <x v="1"/>
    <x v="1"/>
    <x v="3"/>
    <x v="3"/>
    <x v="3"/>
    <x v="3"/>
    <x v="0"/>
    <x v="2"/>
    <x v="2"/>
    <x v="0"/>
    <x v="2"/>
    <x v="209"/>
    <x v="309"/>
    <x v="5"/>
    <x v="0"/>
    <x v="0"/>
    <x v="0"/>
    <x v="0"/>
  </r>
  <r>
    <x v="1118"/>
    <x v="2"/>
    <x v="2"/>
    <x v="258"/>
    <x v="251"/>
    <x v="1"/>
    <x v="4"/>
    <x v="2"/>
    <x v="2"/>
    <x v="2"/>
    <x v="2"/>
    <x v="1"/>
    <x v="2"/>
    <x v="2"/>
    <x v="0"/>
    <x v="2"/>
    <x v="124"/>
    <x v="430"/>
    <x v="5"/>
    <x v="0"/>
    <x v="3"/>
    <x v="1"/>
    <x v="1"/>
  </r>
  <r>
    <x v="1119"/>
    <x v="1"/>
    <x v="3"/>
    <x v="5"/>
    <x v="251"/>
    <x v="2"/>
    <x v="2"/>
    <x v="2"/>
    <x v="3"/>
    <x v="3"/>
    <x v="3"/>
    <x v="0"/>
    <x v="2"/>
    <x v="2"/>
    <x v="0"/>
    <x v="2"/>
    <x v="286"/>
    <x v="472"/>
    <x v="1"/>
    <x v="0"/>
    <x v="3"/>
    <x v="0"/>
    <x v="0"/>
  </r>
  <r>
    <x v="1120"/>
    <x v="1"/>
    <x v="1"/>
    <x v="6"/>
    <x v="358"/>
    <x v="3"/>
    <x v="2"/>
    <x v="3"/>
    <x v="1"/>
    <x v="1"/>
    <x v="1"/>
    <x v="0"/>
    <x v="1"/>
    <x v="1"/>
    <x v="0"/>
    <x v="1"/>
    <x v="13"/>
    <x v="453"/>
    <x v="3"/>
    <x v="0"/>
    <x v="0"/>
    <x v="0"/>
    <x v="0"/>
  </r>
  <r>
    <x v="1121"/>
    <x v="0"/>
    <x v="5"/>
    <x v="101"/>
    <x v="330"/>
    <x v="1"/>
    <x v="4"/>
    <x v="2"/>
    <x v="5"/>
    <x v="5"/>
    <x v="5"/>
    <x v="1"/>
    <x v="1"/>
    <x v="1"/>
    <x v="0"/>
    <x v="1"/>
    <x v="114"/>
    <x v="428"/>
    <x v="1"/>
    <x v="0"/>
    <x v="0"/>
    <x v="3"/>
    <x v="3"/>
  </r>
  <r>
    <x v="1122"/>
    <x v="1"/>
    <x v="3"/>
    <x v="5"/>
    <x v="98"/>
    <x v="1"/>
    <x v="1"/>
    <x v="2"/>
    <x v="3"/>
    <x v="3"/>
    <x v="3"/>
    <x v="0"/>
    <x v="2"/>
    <x v="2"/>
    <x v="0"/>
    <x v="2"/>
    <x v="180"/>
    <x v="497"/>
    <x v="3"/>
    <x v="0"/>
    <x v="0"/>
    <x v="0"/>
    <x v="0"/>
  </r>
  <r>
    <x v="1123"/>
    <x v="1"/>
    <x v="3"/>
    <x v="5"/>
    <x v="11"/>
    <x v="1"/>
    <x v="0"/>
    <x v="3"/>
    <x v="3"/>
    <x v="3"/>
    <x v="3"/>
    <x v="0"/>
    <x v="2"/>
    <x v="2"/>
    <x v="0"/>
    <x v="2"/>
    <x v="212"/>
    <x v="409"/>
    <x v="0"/>
    <x v="0"/>
    <x v="1"/>
    <x v="0"/>
    <x v="0"/>
  </r>
  <r>
    <x v="1124"/>
    <x v="1"/>
    <x v="4"/>
    <x v="9"/>
    <x v="360"/>
    <x v="1"/>
    <x v="9"/>
    <x v="2"/>
    <x v="4"/>
    <x v="4"/>
    <x v="4"/>
    <x v="1"/>
    <x v="0"/>
    <x v="0"/>
    <x v="0"/>
    <x v="0"/>
    <x v="18"/>
    <x v="297"/>
    <x v="0"/>
    <x v="0"/>
    <x v="0"/>
    <x v="2"/>
    <x v="2"/>
  </r>
  <r>
    <x v="1125"/>
    <x v="1"/>
    <x v="3"/>
    <x v="5"/>
    <x v="130"/>
    <x v="3"/>
    <x v="2"/>
    <x v="2"/>
    <x v="3"/>
    <x v="3"/>
    <x v="3"/>
    <x v="0"/>
    <x v="2"/>
    <x v="2"/>
    <x v="0"/>
    <x v="2"/>
    <x v="200"/>
    <x v="293"/>
    <x v="5"/>
    <x v="0"/>
    <x v="4"/>
    <x v="0"/>
    <x v="0"/>
  </r>
  <r>
    <x v="1126"/>
    <x v="1"/>
    <x v="3"/>
    <x v="5"/>
    <x v="361"/>
    <x v="1"/>
    <x v="1"/>
    <x v="0"/>
    <x v="3"/>
    <x v="3"/>
    <x v="3"/>
    <x v="0"/>
    <x v="2"/>
    <x v="2"/>
    <x v="0"/>
    <x v="2"/>
    <x v="222"/>
    <x v="470"/>
    <x v="2"/>
    <x v="0"/>
    <x v="4"/>
    <x v="0"/>
    <x v="0"/>
  </r>
  <r>
    <x v="1127"/>
    <x v="1"/>
    <x v="5"/>
    <x v="8"/>
    <x v="321"/>
    <x v="3"/>
    <x v="2"/>
    <x v="3"/>
    <x v="5"/>
    <x v="5"/>
    <x v="5"/>
    <x v="1"/>
    <x v="1"/>
    <x v="1"/>
    <x v="0"/>
    <x v="1"/>
    <x v="38"/>
    <x v="456"/>
    <x v="3"/>
    <x v="0"/>
    <x v="3"/>
    <x v="3"/>
    <x v="3"/>
  </r>
  <r>
    <x v="1128"/>
    <x v="1"/>
    <x v="5"/>
    <x v="8"/>
    <x v="343"/>
    <x v="1"/>
    <x v="16"/>
    <x v="1"/>
    <x v="5"/>
    <x v="5"/>
    <x v="5"/>
    <x v="1"/>
    <x v="1"/>
    <x v="1"/>
    <x v="0"/>
    <x v="1"/>
    <x v="214"/>
    <x v="316"/>
    <x v="0"/>
    <x v="0"/>
    <x v="2"/>
    <x v="3"/>
    <x v="3"/>
  </r>
  <r>
    <x v="1129"/>
    <x v="1"/>
    <x v="2"/>
    <x v="4"/>
    <x v="84"/>
    <x v="0"/>
    <x v="11"/>
    <x v="3"/>
    <x v="2"/>
    <x v="2"/>
    <x v="2"/>
    <x v="1"/>
    <x v="2"/>
    <x v="2"/>
    <x v="0"/>
    <x v="2"/>
    <x v="24"/>
    <x v="475"/>
    <x v="0"/>
    <x v="0"/>
    <x v="1"/>
    <x v="1"/>
    <x v="1"/>
  </r>
  <r>
    <x v="1130"/>
    <x v="2"/>
    <x v="5"/>
    <x v="264"/>
    <x v="206"/>
    <x v="1"/>
    <x v="16"/>
    <x v="3"/>
    <x v="5"/>
    <x v="5"/>
    <x v="5"/>
    <x v="1"/>
    <x v="1"/>
    <x v="1"/>
    <x v="0"/>
    <x v="1"/>
    <x v="199"/>
    <x v="476"/>
    <x v="4"/>
    <x v="0"/>
    <x v="2"/>
    <x v="3"/>
    <x v="3"/>
  </r>
  <r>
    <x v="1131"/>
    <x v="1"/>
    <x v="1"/>
    <x v="6"/>
    <x v="180"/>
    <x v="3"/>
    <x v="2"/>
    <x v="1"/>
    <x v="1"/>
    <x v="1"/>
    <x v="1"/>
    <x v="0"/>
    <x v="1"/>
    <x v="1"/>
    <x v="0"/>
    <x v="1"/>
    <x v="50"/>
    <x v="254"/>
    <x v="0"/>
    <x v="0"/>
    <x v="2"/>
    <x v="0"/>
    <x v="0"/>
  </r>
  <r>
    <x v="1132"/>
    <x v="1"/>
    <x v="1"/>
    <x v="6"/>
    <x v="13"/>
    <x v="1"/>
    <x v="1"/>
    <x v="1"/>
    <x v="1"/>
    <x v="1"/>
    <x v="1"/>
    <x v="0"/>
    <x v="1"/>
    <x v="1"/>
    <x v="0"/>
    <x v="1"/>
    <x v="188"/>
    <x v="467"/>
    <x v="5"/>
    <x v="0"/>
    <x v="0"/>
    <x v="0"/>
    <x v="0"/>
  </r>
  <r>
    <x v="1133"/>
    <x v="1"/>
    <x v="4"/>
    <x v="9"/>
    <x v="66"/>
    <x v="0"/>
    <x v="17"/>
    <x v="2"/>
    <x v="4"/>
    <x v="4"/>
    <x v="4"/>
    <x v="1"/>
    <x v="0"/>
    <x v="0"/>
    <x v="0"/>
    <x v="0"/>
    <x v="193"/>
    <x v="277"/>
    <x v="0"/>
    <x v="0"/>
    <x v="3"/>
    <x v="2"/>
    <x v="2"/>
  </r>
  <r>
    <x v="1134"/>
    <x v="1"/>
    <x v="4"/>
    <x v="9"/>
    <x v="337"/>
    <x v="2"/>
    <x v="2"/>
    <x v="1"/>
    <x v="4"/>
    <x v="4"/>
    <x v="4"/>
    <x v="1"/>
    <x v="0"/>
    <x v="0"/>
    <x v="0"/>
    <x v="0"/>
    <x v="83"/>
    <x v="388"/>
    <x v="1"/>
    <x v="0"/>
    <x v="1"/>
    <x v="2"/>
    <x v="2"/>
  </r>
  <r>
    <x v="1135"/>
    <x v="2"/>
    <x v="3"/>
    <x v="265"/>
    <x v="139"/>
    <x v="1"/>
    <x v="1"/>
    <x v="2"/>
    <x v="3"/>
    <x v="3"/>
    <x v="3"/>
    <x v="0"/>
    <x v="2"/>
    <x v="2"/>
    <x v="0"/>
    <x v="2"/>
    <x v="155"/>
    <x v="217"/>
    <x v="2"/>
    <x v="0"/>
    <x v="1"/>
    <x v="0"/>
    <x v="0"/>
  </r>
  <r>
    <x v="1136"/>
    <x v="2"/>
    <x v="5"/>
    <x v="64"/>
    <x v="177"/>
    <x v="1"/>
    <x v="4"/>
    <x v="3"/>
    <x v="5"/>
    <x v="5"/>
    <x v="5"/>
    <x v="1"/>
    <x v="1"/>
    <x v="1"/>
    <x v="0"/>
    <x v="1"/>
    <x v="285"/>
    <x v="468"/>
    <x v="3"/>
    <x v="0"/>
    <x v="0"/>
    <x v="3"/>
    <x v="3"/>
  </r>
  <r>
    <x v="1137"/>
    <x v="1"/>
    <x v="0"/>
    <x v="2"/>
    <x v="138"/>
    <x v="2"/>
    <x v="2"/>
    <x v="0"/>
    <x v="0"/>
    <x v="0"/>
    <x v="0"/>
    <x v="0"/>
    <x v="0"/>
    <x v="0"/>
    <x v="0"/>
    <x v="0"/>
    <x v="224"/>
    <x v="330"/>
    <x v="3"/>
    <x v="0"/>
    <x v="2"/>
    <x v="0"/>
    <x v="0"/>
  </r>
  <r>
    <x v="1138"/>
    <x v="1"/>
    <x v="3"/>
    <x v="5"/>
    <x v="362"/>
    <x v="2"/>
    <x v="2"/>
    <x v="1"/>
    <x v="3"/>
    <x v="3"/>
    <x v="3"/>
    <x v="0"/>
    <x v="2"/>
    <x v="2"/>
    <x v="0"/>
    <x v="2"/>
    <x v="108"/>
    <x v="151"/>
    <x v="4"/>
    <x v="0"/>
    <x v="1"/>
    <x v="0"/>
    <x v="0"/>
  </r>
  <r>
    <x v="1139"/>
    <x v="2"/>
    <x v="4"/>
    <x v="7"/>
    <x v="21"/>
    <x v="1"/>
    <x v="7"/>
    <x v="1"/>
    <x v="4"/>
    <x v="4"/>
    <x v="4"/>
    <x v="1"/>
    <x v="0"/>
    <x v="0"/>
    <x v="0"/>
    <x v="0"/>
    <x v="51"/>
    <x v="507"/>
    <x v="0"/>
    <x v="0"/>
    <x v="0"/>
    <x v="2"/>
    <x v="2"/>
  </r>
  <r>
    <x v="1140"/>
    <x v="1"/>
    <x v="2"/>
    <x v="4"/>
    <x v="13"/>
    <x v="0"/>
    <x v="5"/>
    <x v="2"/>
    <x v="2"/>
    <x v="2"/>
    <x v="2"/>
    <x v="1"/>
    <x v="2"/>
    <x v="2"/>
    <x v="0"/>
    <x v="2"/>
    <x v="189"/>
    <x v="506"/>
    <x v="0"/>
    <x v="0"/>
    <x v="1"/>
    <x v="1"/>
    <x v="1"/>
  </r>
  <r>
    <x v="1141"/>
    <x v="1"/>
    <x v="0"/>
    <x v="2"/>
    <x v="40"/>
    <x v="3"/>
    <x v="2"/>
    <x v="1"/>
    <x v="0"/>
    <x v="0"/>
    <x v="0"/>
    <x v="0"/>
    <x v="0"/>
    <x v="0"/>
    <x v="0"/>
    <x v="0"/>
    <x v="241"/>
    <x v="364"/>
    <x v="5"/>
    <x v="0"/>
    <x v="1"/>
    <x v="0"/>
    <x v="0"/>
  </r>
  <r>
    <x v="1142"/>
    <x v="1"/>
    <x v="2"/>
    <x v="4"/>
    <x v="354"/>
    <x v="2"/>
    <x v="2"/>
    <x v="1"/>
    <x v="2"/>
    <x v="2"/>
    <x v="2"/>
    <x v="1"/>
    <x v="2"/>
    <x v="2"/>
    <x v="0"/>
    <x v="2"/>
    <x v="36"/>
    <x v="494"/>
    <x v="0"/>
    <x v="0"/>
    <x v="2"/>
    <x v="1"/>
    <x v="1"/>
  </r>
  <r>
    <x v="1143"/>
    <x v="0"/>
    <x v="1"/>
    <x v="266"/>
    <x v="198"/>
    <x v="1"/>
    <x v="0"/>
    <x v="0"/>
    <x v="1"/>
    <x v="1"/>
    <x v="1"/>
    <x v="0"/>
    <x v="1"/>
    <x v="1"/>
    <x v="0"/>
    <x v="1"/>
    <x v="163"/>
    <x v="479"/>
    <x v="5"/>
    <x v="0"/>
    <x v="4"/>
    <x v="0"/>
    <x v="0"/>
  </r>
  <r>
    <x v="1144"/>
    <x v="1"/>
    <x v="0"/>
    <x v="2"/>
    <x v="363"/>
    <x v="1"/>
    <x v="9"/>
    <x v="0"/>
    <x v="0"/>
    <x v="0"/>
    <x v="0"/>
    <x v="0"/>
    <x v="0"/>
    <x v="0"/>
    <x v="0"/>
    <x v="0"/>
    <x v="148"/>
    <x v="209"/>
    <x v="1"/>
    <x v="0"/>
    <x v="1"/>
    <x v="0"/>
    <x v="0"/>
  </r>
  <r>
    <x v="1145"/>
    <x v="1"/>
    <x v="4"/>
    <x v="9"/>
    <x v="72"/>
    <x v="1"/>
    <x v="8"/>
    <x v="1"/>
    <x v="4"/>
    <x v="4"/>
    <x v="4"/>
    <x v="1"/>
    <x v="0"/>
    <x v="0"/>
    <x v="0"/>
    <x v="0"/>
    <x v="284"/>
    <x v="465"/>
    <x v="3"/>
    <x v="0"/>
    <x v="1"/>
    <x v="2"/>
    <x v="2"/>
  </r>
  <r>
    <x v="1146"/>
    <x v="1"/>
    <x v="2"/>
    <x v="4"/>
    <x v="104"/>
    <x v="1"/>
    <x v="4"/>
    <x v="1"/>
    <x v="2"/>
    <x v="2"/>
    <x v="2"/>
    <x v="1"/>
    <x v="2"/>
    <x v="2"/>
    <x v="0"/>
    <x v="2"/>
    <x v="198"/>
    <x v="437"/>
    <x v="5"/>
    <x v="0"/>
    <x v="3"/>
    <x v="1"/>
    <x v="1"/>
  </r>
  <r>
    <x v="1147"/>
    <x v="1"/>
    <x v="4"/>
    <x v="9"/>
    <x v="61"/>
    <x v="0"/>
    <x v="7"/>
    <x v="0"/>
    <x v="4"/>
    <x v="4"/>
    <x v="4"/>
    <x v="1"/>
    <x v="0"/>
    <x v="0"/>
    <x v="0"/>
    <x v="0"/>
    <x v="97"/>
    <x v="157"/>
    <x v="5"/>
    <x v="0"/>
    <x v="1"/>
    <x v="2"/>
    <x v="2"/>
  </r>
  <r>
    <x v="1148"/>
    <x v="1"/>
    <x v="2"/>
    <x v="4"/>
    <x v="200"/>
    <x v="1"/>
    <x v="5"/>
    <x v="3"/>
    <x v="2"/>
    <x v="2"/>
    <x v="2"/>
    <x v="1"/>
    <x v="2"/>
    <x v="2"/>
    <x v="0"/>
    <x v="2"/>
    <x v="213"/>
    <x v="333"/>
    <x v="1"/>
    <x v="0"/>
    <x v="0"/>
    <x v="1"/>
    <x v="1"/>
  </r>
  <r>
    <x v="1149"/>
    <x v="1"/>
    <x v="0"/>
    <x v="2"/>
    <x v="339"/>
    <x v="1"/>
    <x v="1"/>
    <x v="1"/>
    <x v="0"/>
    <x v="0"/>
    <x v="0"/>
    <x v="0"/>
    <x v="0"/>
    <x v="0"/>
    <x v="0"/>
    <x v="0"/>
    <x v="177"/>
    <x v="508"/>
    <x v="3"/>
    <x v="0"/>
    <x v="2"/>
    <x v="0"/>
    <x v="0"/>
  </r>
  <r>
    <x v="1150"/>
    <x v="1"/>
    <x v="1"/>
    <x v="6"/>
    <x v="200"/>
    <x v="1"/>
    <x v="1"/>
    <x v="1"/>
    <x v="1"/>
    <x v="1"/>
    <x v="1"/>
    <x v="0"/>
    <x v="1"/>
    <x v="1"/>
    <x v="0"/>
    <x v="1"/>
    <x v="151"/>
    <x v="397"/>
    <x v="5"/>
    <x v="0"/>
    <x v="1"/>
    <x v="0"/>
    <x v="0"/>
  </r>
  <r>
    <x v="1151"/>
    <x v="1"/>
    <x v="1"/>
    <x v="6"/>
    <x v="185"/>
    <x v="0"/>
    <x v="1"/>
    <x v="1"/>
    <x v="1"/>
    <x v="1"/>
    <x v="1"/>
    <x v="0"/>
    <x v="1"/>
    <x v="1"/>
    <x v="0"/>
    <x v="1"/>
    <x v="211"/>
    <x v="311"/>
    <x v="5"/>
    <x v="0"/>
    <x v="2"/>
    <x v="0"/>
    <x v="0"/>
  </r>
  <r>
    <x v="1152"/>
    <x v="1"/>
    <x v="1"/>
    <x v="6"/>
    <x v="54"/>
    <x v="1"/>
    <x v="1"/>
    <x v="1"/>
    <x v="1"/>
    <x v="1"/>
    <x v="1"/>
    <x v="0"/>
    <x v="1"/>
    <x v="1"/>
    <x v="0"/>
    <x v="1"/>
    <x v="106"/>
    <x v="394"/>
    <x v="3"/>
    <x v="0"/>
    <x v="3"/>
    <x v="0"/>
    <x v="0"/>
  </r>
  <r>
    <x v="1153"/>
    <x v="0"/>
    <x v="2"/>
    <x v="267"/>
    <x v="364"/>
    <x v="1"/>
    <x v="5"/>
    <x v="1"/>
    <x v="2"/>
    <x v="2"/>
    <x v="2"/>
    <x v="1"/>
    <x v="2"/>
    <x v="2"/>
    <x v="0"/>
    <x v="2"/>
    <x v="155"/>
    <x v="244"/>
    <x v="5"/>
    <x v="0"/>
    <x v="1"/>
    <x v="1"/>
    <x v="1"/>
  </r>
  <r>
    <x v="1154"/>
    <x v="2"/>
    <x v="4"/>
    <x v="213"/>
    <x v="94"/>
    <x v="1"/>
    <x v="7"/>
    <x v="3"/>
    <x v="4"/>
    <x v="4"/>
    <x v="4"/>
    <x v="1"/>
    <x v="0"/>
    <x v="0"/>
    <x v="0"/>
    <x v="0"/>
    <x v="213"/>
    <x v="314"/>
    <x v="1"/>
    <x v="0"/>
    <x v="1"/>
    <x v="2"/>
    <x v="2"/>
  </r>
  <r>
    <x v="1155"/>
    <x v="1"/>
    <x v="1"/>
    <x v="6"/>
    <x v="155"/>
    <x v="1"/>
    <x v="0"/>
    <x v="0"/>
    <x v="1"/>
    <x v="1"/>
    <x v="1"/>
    <x v="0"/>
    <x v="1"/>
    <x v="1"/>
    <x v="0"/>
    <x v="1"/>
    <x v="276"/>
    <x v="509"/>
    <x v="5"/>
    <x v="0"/>
    <x v="4"/>
    <x v="0"/>
    <x v="0"/>
  </r>
  <r>
    <x v="1156"/>
    <x v="1"/>
    <x v="3"/>
    <x v="5"/>
    <x v="323"/>
    <x v="1"/>
    <x v="0"/>
    <x v="2"/>
    <x v="3"/>
    <x v="3"/>
    <x v="3"/>
    <x v="0"/>
    <x v="2"/>
    <x v="2"/>
    <x v="0"/>
    <x v="2"/>
    <x v="200"/>
    <x v="293"/>
    <x v="5"/>
    <x v="0"/>
    <x v="4"/>
    <x v="0"/>
    <x v="0"/>
  </r>
  <r>
    <x v="1157"/>
    <x v="1"/>
    <x v="4"/>
    <x v="9"/>
    <x v="108"/>
    <x v="1"/>
    <x v="7"/>
    <x v="2"/>
    <x v="4"/>
    <x v="4"/>
    <x v="4"/>
    <x v="1"/>
    <x v="0"/>
    <x v="0"/>
    <x v="0"/>
    <x v="0"/>
    <x v="13"/>
    <x v="453"/>
    <x v="3"/>
    <x v="0"/>
    <x v="0"/>
    <x v="2"/>
    <x v="2"/>
  </r>
  <r>
    <x v="1158"/>
    <x v="1"/>
    <x v="1"/>
    <x v="6"/>
    <x v="160"/>
    <x v="3"/>
    <x v="2"/>
    <x v="3"/>
    <x v="1"/>
    <x v="1"/>
    <x v="1"/>
    <x v="0"/>
    <x v="1"/>
    <x v="1"/>
    <x v="0"/>
    <x v="1"/>
    <x v="299"/>
    <x v="510"/>
    <x v="1"/>
    <x v="0"/>
    <x v="4"/>
    <x v="0"/>
    <x v="0"/>
  </r>
  <r>
    <x v="1159"/>
    <x v="2"/>
    <x v="2"/>
    <x v="268"/>
    <x v="66"/>
    <x v="1"/>
    <x v="11"/>
    <x v="1"/>
    <x v="2"/>
    <x v="2"/>
    <x v="2"/>
    <x v="1"/>
    <x v="2"/>
    <x v="2"/>
    <x v="0"/>
    <x v="2"/>
    <x v="246"/>
    <x v="378"/>
    <x v="0"/>
    <x v="0"/>
    <x v="2"/>
    <x v="1"/>
    <x v="1"/>
  </r>
  <r>
    <x v="1160"/>
    <x v="2"/>
    <x v="4"/>
    <x v="269"/>
    <x v="359"/>
    <x v="1"/>
    <x v="17"/>
    <x v="1"/>
    <x v="4"/>
    <x v="4"/>
    <x v="4"/>
    <x v="1"/>
    <x v="0"/>
    <x v="0"/>
    <x v="0"/>
    <x v="0"/>
    <x v="223"/>
    <x v="511"/>
    <x v="0"/>
    <x v="0"/>
    <x v="2"/>
    <x v="2"/>
    <x v="2"/>
  </r>
  <r>
    <x v="1161"/>
    <x v="1"/>
    <x v="5"/>
    <x v="8"/>
    <x v="365"/>
    <x v="3"/>
    <x v="2"/>
    <x v="1"/>
    <x v="5"/>
    <x v="5"/>
    <x v="5"/>
    <x v="1"/>
    <x v="1"/>
    <x v="1"/>
    <x v="0"/>
    <x v="1"/>
    <x v="101"/>
    <x v="143"/>
    <x v="2"/>
    <x v="0"/>
    <x v="4"/>
    <x v="3"/>
    <x v="3"/>
  </r>
  <r>
    <x v="1162"/>
    <x v="2"/>
    <x v="1"/>
    <x v="270"/>
    <x v="305"/>
    <x v="4"/>
    <x v="2"/>
    <x v="0"/>
    <x v="1"/>
    <x v="1"/>
    <x v="1"/>
    <x v="0"/>
    <x v="1"/>
    <x v="1"/>
    <x v="0"/>
    <x v="1"/>
    <x v="13"/>
    <x v="512"/>
    <x v="5"/>
    <x v="0"/>
    <x v="1"/>
    <x v="0"/>
    <x v="0"/>
  </r>
  <r>
    <x v="1163"/>
    <x v="1"/>
    <x v="1"/>
    <x v="6"/>
    <x v="11"/>
    <x v="1"/>
    <x v="0"/>
    <x v="1"/>
    <x v="1"/>
    <x v="1"/>
    <x v="1"/>
    <x v="0"/>
    <x v="1"/>
    <x v="1"/>
    <x v="0"/>
    <x v="1"/>
    <x v="222"/>
    <x v="470"/>
    <x v="2"/>
    <x v="0"/>
    <x v="4"/>
    <x v="0"/>
    <x v="0"/>
  </r>
  <r>
    <x v="1164"/>
    <x v="1"/>
    <x v="3"/>
    <x v="5"/>
    <x v="61"/>
    <x v="3"/>
    <x v="2"/>
    <x v="1"/>
    <x v="3"/>
    <x v="3"/>
    <x v="3"/>
    <x v="0"/>
    <x v="2"/>
    <x v="2"/>
    <x v="0"/>
    <x v="2"/>
    <x v="104"/>
    <x v="173"/>
    <x v="1"/>
    <x v="0"/>
    <x v="3"/>
    <x v="0"/>
    <x v="0"/>
  </r>
  <r>
    <x v="1165"/>
    <x v="2"/>
    <x v="5"/>
    <x v="271"/>
    <x v="261"/>
    <x v="1"/>
    <x v="6"/>
    <x v="1"/>
    <x v="5"/>
    <x v="5"/>
    <x v="5"/>
    <x v="1"/>
    <x v="1"/>
    <x v="1"/>
    <x v="0"/>
    <x v="1"/>
    <x v="71"/>
    <x v="220"/>
    <x v="2"/>
    <x v="0"/>
    <x v="1"/>
    <x v="3"/>
    <x v="3"/>
  </r>
  <r>
    <x v="1166"/>
    <x v="1"/>
    <x v="5"/>
    <x v="8"/>
    <x v="113"/>
    <x v="2"/>
    <x v="2"/>
    <x v="0"/>
    <x v="5"/>
    <x v="5"/>
    <x v="5"/>
    <x v="1"/>
    <x v="1"/>
    <x v="1"/>
    <x v="0"/>
    <x v="1"/>
    <x v="24"/>
    <x v="475"/>
    <x v="0"/>
    <x v="0"/>
    <x v="1"/>
    <x v="3"/>
    <x v="3"/>
  </r>
  <r>
    <x v="1167"/>
    <x v="1"/>
    <x v="5"/>
    <x v="8"/>
    <x v="366"/>
    <x v="0"/>
    <x v="19"/>
    <x v="1"/>
    <x v="5"/>
    <x v="5"/>
    <x v="5"/>
    <x v="1"/>
    <x v="1"/>
    <x v="1"/>
    <x v="0"/>
    <x v="1"/>
    <x v="24"/>
    <x v="475"/>
    <x v="0"/>
    <x v="0"/>
    <x v="1"/>
    <x v="3"/>
    <x v="3"/>
  </r>
  <r>
    <x v="1168"/>
    <x v="1"/>
    <x v="2"/>
    <x v="4"/>
    <x v="68"/>
    <x v="1"/>
    <x v="12"/>
    <x v="0"/>
    <x v="2"/>
    <x v="2"/>
    <x v="2"/>
    <x v="1"/>
    <x v="2"/>
    <x v="2"/>
    <x v="0"/>
    <x v="2"/>
    <x v="232"/>
    <x v="367"/>
    <x v="1"/>
    <x v="0"/>
    <x v="4"/>
    <x v="1"/>
    <x v="1"/>
  </r>
  <r>
    <x v="1169"/>
    <x v="1"/>
    <x v="4"/>
    <x v="9"/>
    <x v="313"/>
    <x v="1"/>
    <x v="17"/>
    <x v="1"/>
    <x v="4"/>
    <x v="4"/>
    <x v="4"/>
    <x v="1"/>
    <x v="0"/>
    <x v="0"/>
    <x v="0"/>
    <x v="0"/>
    <x v="185"/>
    <x v="264"/>
    <x v="5"/>
    <x v="0"/>
    <x v="2"/>
    <x v="2"/>
    <x v="2"/>
  </r>
  <r>
    <x v="1170"/>
    <x v="1"/>
    <x v="3"/>
    <x v="5"/>
    <x v="367"/>
    <x v="1"/>
    <x v="0"/>
    <x v="1"/>
    <x v="3"/>
    <x v="3"/>
    <x v="3"/>
    <x v="0"/>
    <x v="2"/>
    <x v="2"/>
    <x v="0"/>
    <x v="2"/>
    <x v="173"/>
    <x v="243"/>
    <x v="1"/>
    <x v="0"/>
    <x v="0"/>
    <x v="0"/>
    <x v="0"/>
  </r>
  <r>
    <x v="1171"/>
    <x v="1"/>
    <x v="2"/>
    <x v="4"/>
    <x v="341"/>
    <x v="1"/>
    <x v="5"/>
    <x v="2"/>
    <x v="2"/>
    <x v="2"/>
    <x v="2"/>
    <x v="1"/>
    <x v="2"/>
    <x v="2"/>
    <x v="0"/>
    <x v="2"/>
    <x v="220"/>
    <x v="324"/>
    <x v="2"/>
    <x v="0"/>
    <x v="1"/>
    <x v="1"/>
    <x v="1"/>
  </r>
  <r>
    <x v="1172"/>
    <x v="1"/>
    <x v="0"/>
    <x v="2"/>
    <x v="368"/>
    <x v="1"/>
    <x v="9"/>
    <x v="2"/>
    <x v="0"/>
    <x v="0"/>
    <x v="0"/>
    <x v="0"/>
    <x v="0"/>
    <x v="0"/>
    <x v="0"/>
    <x v="0"/>
    <x v="295"/>
    <x v="498"/>
    <x v="5"/>
    <x v="0"/>
    <x v="1"/>
    <x v="0"/>
    <x v="0"/>
  </r>
  <r>
    <x v="1173"/>
    <x v="2"/>
    <x v="5"/>
    <x v="272"/>
    <x v="369"/>
    <x v="1"/>
    <x v="5"/>
    <x v="2"/>
    <x v="5"/>
    <x v="5"/>
    <x v="5"/>
    <x v="1"/>
    <x v="1"/>
    <x v="1"/>
    <x v="0"/>
    <x v="1"/>
    <x v="144"/>
    <x v="313"/>
    <x v="2"/>
    <x v="0"/>
    <x v="2"/>
    <x v="3"/>
    <x v="3"/>
  </r>
  <r>
    <x v="1174"/>
    <x v="2"/>
    <x v="3"/>
    <x v="273"/>
    <x v="324"/>
    <x v="2"/>
    <x v="2"/>
    <x v="2"/>
    <x v="3"/>
    <x v="3"/>
    <x v="3"/>
    <x v="0"/>
    <x v="2"/>
    <x v="2"/>
    <x v="0"/>
    <x v="2"/>
    <x v="161"/>
    <x v="227"/>
    <x v="0"/>
    <x v="0"/>
    <x v="3"/>
    <x v="0"/>
    <x v="0"/>
  </r>
  <r>
    <x v="1175"/>
    <x v="1"/>
    <x v="3"/>
    <x v="5"/>
    <x v="295"/>
    <x v="3"/>
    <x v="2"/>
    <x v="2"/>
    <x v="3"/>
    <x v="3"/>
    <x v="3"/>
    <x v="0"/>
    <x v="2"/>
    <x v="2"/>
    <x v="0"/>
    <x v="2"/>
    <x v="300"/>
    <x v="513"/>
    <x v="1"/>
    <x v="0"/>
    <x v="3"/>
    <x v="0"/>
    <x v="0"/>
  </r>
  <r>
    <x v="1176"/>
    <x v="1"/>
    <x v="5"/>
    <x v="8"/>
    <x v="192"/>
    <x v="2"/>
    <x v="2"/>
    <x v="3"/>
    <x v="5"/>
    <x v="5"/>
    <x v="5"/>
    <x v="1"/>
    <x v="1"/>
    <x v="1"/>
    <x v="0"/>
    <x v="1"/>
    <x v="301"/>
    <x v="514"/>
    <x v="2"/>
    <x v="0"/>
    <x v="1"/>
    <x v="3"/>
    <x v="3"/>
  </r>
  <r>
    <x v="1177"/>
    <x v="2"/>
    <x v="4"/>
    <x v="274"/>
    <x v="44"/>
    <x v="1"/>
    <x v="17"/>
    <x v="2"/>
    <x v="4"/>
    <x v="4"/>
    <x v="4"/>
    <x v="1"/>
    <x v="0"/>
    <x v="0"/>
    <x v="0"/>
    <x v="0"/>
    <x v="198"/>
    <x v="437"/>
    <x v="5"/>
    <x v="0"/>
    <x v="3"/>
    <x v="2"/>
    <x v="2"/>
  </r>
  <r>
    <x v="1178"/>
    <x v="2"/>
    <x v="1"/>
    <x v="275"/>
    <x v="181"/>
    <x v="1"/>
    <x v="17"/>
    <x v="1"/>
    <x v="1"/>
    <x v="1"/>
    <x v="1"/>
    <x v="0"/>
    <x v="1"/>
    <x v="1"/>
    <x v="0"/>
    <x v="1"/>
    <x v="213"/>
    <x v="335"/>
    <x v="3"/>
    <x v="0"/>
    <x v="0"/>
    <x v="0"/>
    <x v="0"/>
  </r>
  <r>
    <x v="1179"/>
    <x v="1"/>
    <x v="4"/>
    <x v="9"/>
    <x v="234"/>
    <x v="4"/>
    <x v="2"/>
    <x v="1"/>
    <x v="4"/>
    <x v="4"/>
    <x v="4"/>
    <x v="1"/>
    <x v="0"/>
    <x v="0"/>
    <x v="0"/>
    <x v="0"/>
    <x v="29"/>
    <x v="153"/>
    <x v="3"/>
    <x v="0"/>
    <x v="0"/>
    <x v="2"/>
    <x v="2"/>
  </r>
  <r>
    <x v="1180"/>
    <x v="1"/>
    <x v="5"/>
    <x v="8"/>
    <x v="370"/>
    <x v="2"/>
    <x v="2"/>
    <x v="2"/>
    <x v="5"/>
    <x v="5"/>
    <x v="5"/>
    <x v="1"/>
    <x v="1"/>
    <x v="1"/>
    <x v="0"/>
    <x v="1"/>
    <x v="24"/>
    <x v="475"/>
    <x v="0"/>
    <x v="0"/>
    <x v="1"/>
    <x v="3"/>
    <x v="3"/>
  </r>
  <r>
    <x v="1181"/>
    <x v="1"/>
    <x v="0"/>
    <x v="2"/>
    <x v="57"/>
    <x v="1"/>
    <x v="1"/>
    <x v="0"/>
    <x v="0"/>
    <x v="0"/>
    <x v="0"/>
    <x v="0"/>
    <x v="0"/>
    <x v="0"/>
    <x v="0"/>
    <x v="0"/>
    <x v="71"/>
    <x v="220"/>
    <x v="2"/>
    <x v="0"/>
    <x v="1"/>
    <x v="0"/>
    <x v="0"/>
  </r>
  <r>
    <x v="1182"/>
    <x v="2"/>
    <x v="0"/>
    <x v="159"/>
    <x v="33"/>
    <x v="3"/>
    <x v="2"/>
    <x v="1"/>
    <x v="0"/>
    <x v="0"/>
    <x v="0"/>
    <x v="0"/>
    <x v="0"/>
    <x v="0"/>
    <x v="0"/>
    <x v="0"/>
    <x v="211"/>
    <x v="311"/>
    <x v="5"/>
    <x v="0"/>
    <x v="2"/>
    <x v="0"/>
    <x v="0"/>
  </r>
  <r>
    <x v="1183"/>
    <x v="1"/>
    <x v="1"/>
    <x v="6"/>
    <x v="79"/>
    <x v="1"/>
    <x v="0"/>
    <x v="2"/>
    <x v="1"/>
    <x v="1"/>
    <x v="1"/>
    <x v="0"/>
    <x v="1"/>
    <x v="1"/>
    <x v="0"/>
    <x v="1"/>
    <x v="230"/>
    <x v="346"/>
    <x v="0"/>
    <x v="0"/>
    <x v="3"/>
    <x v="0"/>
    <x v="0"/>
  </r>
  <r>
    <x v="1184"/>
    <x v="1"/>
    <x v="5"/>
    <x v="8"/>
    <x v="12"/>
    <x v="2"/>
    <x v="2"/>
    <x v="0"/>
    <x v="5"/>
    <x v="5"/>
    <x v="5"/>
    <x v="1"/>
    <x v="1"/>
    <x v="1"/>
    <x v="0"/>
    <x v="1"/>
    <x v="200"/>
    <x v="293"/>
    <x v="5"/>
    <x v="0"/>
    <x v="4"/>
    <x v="3"/>
    <x v="3"/>
  </r>
  <r>
    <x v="1185"/>
    <x v="2"/>
    <x v="3"/>
    <x v="276"/>
    <x v="199"/>
    <x v="1"/>
    <x v="1"/>
    <x v="2"/>
    <x v="3"/>
    <x v="3"/>
    <x v="3"/>
    <x v="0"/>
    <x v="2"/>
    <x v="2"/>
    <x v="0"/>
    <x v="2"/>
    <x v="180"/>
    <x v="497"/>
    <x v="3"/>
    <x v="0"/>
    <x v="0"/>
    <x v="0"/>
    <x v="0"/>
  </r>
  <r>
    <x v="1186"/>
    <x v="1"/>
    <x v="2"/>
    <x v="4"/>
    <x v="258"/>
    <x v="3"/>
    <x v="2"/>
    <x v="3"/>
    <x v="2"/>
    <x v="2"/>
    <x v="2"/>
    <x v="1"/>
    <x v="2"/>
    <x v="2"/>
    <x v="0"/>
    <x v="2"/>
    <x v="219"/>
    <x v="322"/>
    <x v="1"/>
    <x v="0"/>
    <x v="3"/>
    <x v="1"/>
    <x v="1"/>
  </r>
  <r>
    <x v="1187"/>
    <x v="1"/>
    <x v="1"/>
    <x v="6"/>
    <x v="163"/>
    <x v="1"/>
    <x v="17"/>
    <x v="1"/>
    <x v="1"/>
    <x v="1"/>
    <x v="1"/>
    <x v="0"/>
    <x v="1"/>
    <x v="1"/>
    <x v="0"/>
    <x v="1"/>
    <x v="77"/>
    <x v="246"/>
    <x v="5"/>
    <x v="0"/>
    <x v="0"/>
    <x v="0"/>
    <x v="0"/>
  </r>
  <r>
    <x v="1188"/>
    <x v="1"/>
    <x v="3"/>
    <x v="5"/>
    <x v="230"/>
    <x v="1"/>
    <x v="1"/>
    <x v="3"/>
    <x v="3"/>
    <x v="3"/>
    <x v="3"/>
    <x v="0"/>
    <x v="2"/>
    <x v="2"/>
    <x v="0"/>
    <x v="2"/>
    <x v="253"/>
    <x v="393"/>
    <x v="5"/>
    <x v="0"/>
    <x v="3"/>
    <x v="0"/>
    <x v="0"/>
  </r>
  <r>
    <x v="1189"/>
    <x v="2"/>
    <x v="0"/>
    <x v="223"/>
    <x v="262"/>
    <x v="1"/>
    <x v="1"/>
    <x v="2"/>
    <x v="0"/>
    <x v="0"/>
    <x v="0"/>
    <x v="0"/>
    <x v="0"/>
    <x v="0"/>
    <x v="0"/>
    <x v="0"/>
    <x v="199"/>
    <x v="292"/>
    <x v="1"/>
    <x v="0"/>
    <x v="4"/>
    <x v="0"/>
    <x v="0"/>
  </r>
  <r>
    <x v="1190"/>
    <x v="1"/>
    <x v="0"/>
    <x v="2"/>
    <x v="371"/>
    <x v="1"/>
    <x v="1"/>
    <x v="3"/>
    <x v="0"/>
    <x v="0"/>
    <x v="0"/>
    <x v="0"/>
    <x v="0"/>
    <x v="0"/>
    <x v="0"/>
    <x v="0"/>
    <x v="127"/>
    <x v="515"/>
    <x v="3"/>
    <x v="0"/>
    <x v="1"/>
    <x v="0"/>
    <x v="0"/>
  </r>
  <r>
    <x v="1191"/>
    <x v="0"/>
    <x v="4"/>
    <x v="241"/>
    <x v="336"/>
    <x v="3"/>
    <x v="2"/>
    <x v="0"/>
    <x v="4"/>
    <x v="4"/>
    <x v="4"/>
    <x v="1"/>
    <x v="0"/>
    <x v="0"/>
    <x v="0"/>
    <x v="0"/>
    <x v="105"/>
    <x v="148"/>
    <x v="0"/>
    <x v="0"/>
    <x v="4"/>
    <x v="2"/>
    <x v="2"/>
  </r>
  <r>
    <x v="1192"/>
    <x v="2"/>
    <x v="3"/>
    <x v="277"/>
    <x v="321"/>
    <x v="2"/>
    <x v="2"/>
    <x v="3"/>
    <x v="3"/>
    <x v="3"/>
    <x v="3"/>
    <x v="0"/>
    <x v="2"/>
    <x v="2"/>
    <x v="0"/>
    <x v="2"/>
    <x v="104"/>
    <x v="294"/>
    <x v="4"/>
    <x v="0"/>
    <x v="4"/>
    <x v="0"/>
    <x v="0"/>
  </r>
  <r>
    <x v="1193"/>
    <x v="1"/>
    <x v="1"/>
    <x v="6"/>
    <x v="292"/>
    <x v="1"/>
    <x v="0"/>
    <x v="2"/>
    <x v="1"/>
    <x v="1"/>
    <x v="1"/>
    <x v="0"/>
    <x v="1"/>
    <x v="1"/>
    <x v="0"/>
    <x v="1"/>
    <x v="302"/>
    <x v="516"/>
    <x v="1"/>
    <x v="0"/>
    <x v="0"/>
    <x v="0"/>
    <x v="0"/>
  </r>
  <r>
    <x v="1194"/>
    <x v="1"/>
    <x v="1"/>
    <x v="6"/>
    <x v="338"/>
    <x v="1"/>
    <x v="0"/>
    <x v="3"/>
    <x v="1"/>
    <x v="1"/>
    <x v="1"/>
    <x v="0"/>
    <x v="1"/>
    <x v="1"/>
    <x v="0"/>
    <x v="1"/>
    <x v="303"/>
    <x v="517"/>
    <x v="0"/>
    <x v="0"/>
    <x v="3"/>
    <x v="0"/>
    <x v="0"/>
  </r>
  <r>
    <x v="1195"/>
    <x v="1"/>
    <x v="1"/>
    <x v="6"/>
    <x v="281"/>
    <x v="2"/>
    <x v="2"/>
    <x v="0"/>
    <x v="1"/>
    <x v="1"/>
    <x v="1"/>
    <x v="0"/>
    <x v="1"/>
    <x v="1"/>
    <x v="0"/>
    <x v="1"/>
    <x v="204"/>
    <x v="434"/>
    <x v="4"/>
    <x v="0"/>
    <x v="1"/>
    <x v="0"/>
    <x v="0"/>
  </r>
  <r>
    <x v="1196"/>
    <x v="2"/>
    <x v="3"/>
    <x v="278"/>
    <x v="372"/>
    <x v="1"/>
    <x v="0"/>
    <x v="1"/>
    <x v="3"/>
    <x v="3"/>
    <x v="3"/>
    <x v="0"/>
    <x v="2"/>
    <x v="2"/>
    <x v="0"/>
    <x v="2"/>
    <x v="62"/>
    <x v="518"/>
    <x v="3"/>
    <x v="0"/>
    <x v="0"/>
    <x v="0"/>
    <x v="0"/>
  </r>
  <r>
    <x v="1197"/>
    <x v="1"/>
    <x v="1"/>
    <x v="6"/>
    <x v="180"/>
    <x v="1"/>
    <x v="0"/>
    <x v="3"/>
    <x v="1"/>
    <x v="1"/>
    <x v="1"/>
    <x v="0"/>
    <x v="1"/>
    <x v="1"/>
    <x v="0"/>
    <x v="1"/>
    <x v="190"/>
    <x v="318"/>
    <x v="2"/>
    <x v="0"/>
    <x v="4"/>
    <x v="0"/>
    <x v="0"/>
  </r>
  <r>
    <x v="1198"/>
    <x v="1"/>
    <x v="0"/>
    <x v="2"/>
    <x v="26"/>
    <x v="0"/>
    <x v="0"/>
    <x v="1"/>
    <x v="0"/>
    <x v="0"/>
    <x v="0"/>
    <x v="0"/>
    <x v="0"/>
    <x v="0"/>
    <x v="0"/>
    <x v="0"/>
    <x v="201"/>
    <x v="295"/>
    <x v="4"/>
    <x v="0"/>
    <x v="1"/>
    <x v="0"/>
    <x v="0"/>
  </r>
  <r>
    <x v="1199"/>
    <x v="1"/>
    <x v="2"/>
    <x v="4"/>
    <x v="10"/>
    <x v="1"/>
    <x v="19"/>
    <x v="2"/>
    <x v="2"/>
    <x v="2"/>
    <x v="2"/>
    <x v="1"/>
    <x v="2"/>
    <x v="2"/>
    <x v="0"/>
    <x v="2"/>
    <x v="18"/>
    <x v="519"/>
    <x v="0"/>
    <x v="0"/>
    <x v="0"/>
    <x v="1"/>
    <x v="1"/>
  </r>
  <r>
    <x v="1200"/>
    <x v="1"/>
    <x v="4"/>
    <x v="9"/>
    <x v="373"/>
    <x v="1"/>
    <x v="7"/>
    <x v="3"/>
    <x v="4"/>
    <x v="4"/>
    <x v="4"/>
    <x v="1"/>
    <x v="0"/>
    <x v="0"/>
    <x v="0"/>
    <x v="0"/>
    <x v="193"/>
    <x v="277"/>
    <x v="0"/>
    <x v="0"/>
    <x v="3"/>
    <x v="2"/>
    <x v="2"/>
  </r>
  <r>
    <x v="1201"/>
    <x v="1"/>
    <x v="2"/>
    <x v="4"/>
    <x v="190"/>
    <x v="1"/>
    <x v="3"/>
    <x v="0"/>
    <x v="2"/>
    <x v="2"/>
    <x v="2"/>
    <x v="1"/>
    <x v="2"/>
    <x v="2"/>
    <x v="0"/>
    <x v="2"/>
    <x v="162"/>
    <x v="520"/>
    <x v="0"/>
    <x v="0"/>
    <x v="2"/>
    <x v="1"/>
    <x v="1"/>
  </r>
  <r>
    <x v="1202"/>
    <x v="0"/>
    <x v="5"/>
    <x v="279"/>
    <x v="94"/>
    <x v="2"/>
    <x v="2"/>
    <x v="1"/>
    <x v="5"/>
    <x v="5"/>
    <x v="5"/>
    <x v="1"/>
    <x v="1"/>
    <x v="1"/>
    <x v="0"/>
    <x v="1"/>
    <x v="139"/>
    <x v="521"/>
    <x v="2"/>
    <x v="0"/>
    <x v="0"/>
    <x v="3"/>
    <x v="3"/>
  </r>
  <r>
    <x v="1203"/>
    <x v="2"/>
    <x v="3"/>
    <x v="280"/>
    <x v="280"/>
    <x v="1"/>
    <x v="7"/>
    <x v="0"/>
    <x v="3"/>
    <x v="3"/>
    <x v="3"/>
    <x v="0"/>
    <x v="2"/>
    <x v="2"/>
    <x v="0"/>
    <x v="2"/>
    <x v="286"/>
    <x v="472"/>
    <x v="1"/>
    <x v="0"/>
    <x v="3"/>
    <x v="0"/>
    <x v="0"/>
  </r>
  <r>
    <x v="1204"/>
    <x v="1"/>
    <x v="2"/>
    <x v="4"/>
    <x v="374"/>
    <x v="1"/>
    <x v="12"/>
    <x v="0"/>
    <x v="2"/>
    <x v="2"/>
    <x v="2"/>
    <x v="1"/>
    <x v="2"/>
    <x v="2"/>
    <x v="0"/>
    <x v="2"/>
    <x v="230"/>
    <x v="398"/>
    <x v="4"/>
    <x v="0"/>
    <x v="1"/>
    <x v="1"/>
    <x v="1"/>
  </r>
  <r>
    <x v="1205"/>
    <x v="1"/>
    <x v="5"/>
    <x v="8"/>
    <x v="179"/>
    <x v="1"/>
    <x v="11"/>
    <x v="0"/>
    <x v="5"/>
    <x v="5"/>
    <x v="5"/>
    <x v="1"/>
    <x v="1"/>
    <x v="1"/>
    <x v="0"/>
    <x v="1"/>
    <x v="122"/>
    <x v="174"/>
    <x v="3"/>
    <x v="0"/>
    <x v="1"/>
    <x v="3"/>
    <x v="3"/>
  </r>
  <r>
    <x v="1206"/>
    <x v="1"/>
    <x v="0"/>
    <x v="2"/>
    <x v="375"/>
    <x v="1"/>
    <x v="0"/>
    <x v="3"/>
    <x v="0"/>
    <x v="0"/>
    <x v="0"/>
    <x v="0"/>
    <x v="0"/>
    <x v="0"/>
    <x v="0"/>
    <x v="0"/>
    <x v="78"/>
    <x v="233"/>
    <x v="0"/>
    <x v="0"/>
    <x v="3"/>
    <x v="0"/>
    <x v="0"/>
  </r>
  <r>
    <x v="1207"/>
    <x v="2"/>
    <x v="1"/>
    <x v="281"/>
    <x v="376"/>
    <x v="2"/>
    <x v="2"/>
    <x v="2"/>
    <x v="1"/>
    <x v="1"/>
    <x v="1"/>
    <x v="0"/>
    <x v="1"/>
    <x v="1"/>
    <x v="0"/>
    <x v="1"/>
    <x v="133"/>
    <x v="188"/>
    <x v="0"/>
    <x v="0"/>
    <x v="0"/>
    <x v="0"/>
    <x v="0"/>
  </r>
  <r>
    <x v="1208"/>
    <x v="1"/>
    <x v="0"/>
    <x v="2"/>
    <x v="40"/>
    <x v="2"/>
    <x v="2"/>
    <x v="1"/>
    <x v="0"/>
    <x v="0"/>
    <x v="0"/>
    <x v="0"/>
    <x v="0"/>
    <x v="0"/>
    <x v="0"/>
    <x v="0"/>
    <x v="156"/>
    <x v="522"/>
    <x v="2"/>
    <x v="0"/>
    <x v="3"/>
    <x v="0"/>
    <x v="0"/>
  </r>
  <r>
    <x v="1209"/>
    <x v="0"/>
    <x v="2"/>
    <x v="244"/>
    <x v="172"/>
    <x v="4"/>
    <x v="2"/>
    <x v="1"/>
    <x v="2"/>
    <x v="2"/>
    <x v="2"/>
    <x v="1"/>
    <x v="2"/>
    <x v="2"/>
    <x v="0"/>
    <x v="2"/>
    <x v="222"/>
    <x v="501"/>
    <x v="1"/>
    <x v="0"/>
    <x v="2"/>
    <x v="1"/>
    <x v="1"/>
  </r>
  <r>
    <x v="1210"/>
    <x v="1"/>
    <x v="5"/>
    <x v="8"/>
    <x v="103"/>
    <x v="1"/>
    <x v="13"/>
    <x v="0"/>
    <x v="5"/>
    <x v="5"/>
    <x v="5"/>
    <x v="1"/>
    <x v="1"/>
    <x v="1"/>
    <x v="0"/>
    <x v="1"/>
    <x v="138"/>
    <x v="196"/>
    <x v="3"/>
    <x v="0"/>
    <x v="1"/>
    <x v="3"/>
    <x v="3"/>
  </r>
  <r>
    <x v="1211"/>
    <x v="1"/>
    <x v="3"/>
    <x v="5"/>
    <x v="76"/>
    <x v="1"/>
    <x v="1"/>
    <x v="0"/>
    <x v="3"/>
    <x v="3"/>
    <x v="3"/>
    <x v="0"/>
    <x v="2"/>
    <x v="2"/>
    <x v="0"/>
    <x v="2"/>
    <x v="269"/>
    <x v="438"/>
    <x v="2"/>
    <x v="0"/>
    <x v="3"/>
    <x v="0"/>
    <x v="0"/>
  </r>
  <r>
    <x v="1212"/>
    <x v="0"/>
    <x v="0"/>
    <x v="282"/>
    <x v="156"/>
    <x v="1"/>
    <x v="0"/>
    <x v="1"/>
    <x v="0"/>
    <x v="0"/>
    <x v="0"/>
    <x v="0"/>
    <x v="0"/>
    <x v="0"/>
    <x v="0"/>
    <x v="0"/>
    <x v="299"/>
    <x v="510"/>
    <x v="1"/>
    <x v="0"/>
    <x v="4"/>
    <x v="0"/>
    <x v="0"/>
  </r>
  <r>
    <x v="1213"/>
    <x v="2"/>
    <x v="5"/>
    <x v="283"/>
    <x v="174"/>
    <x v="1"/>
    <x v="13"/>
    <x v="0"/>
    <x v="5"/>
    <x v="5"/>
    <x v="5"/>
    <x v="1"/>
    <x v="1"/>
    <x v="1"/>
    <x v="0"/>
    <x v="1"/>
    <x v="123"/>
    <x v="187"/>
    <x v="5"/>
    <x v="0"/>
    <x v="3"/>
    <x v="3"/>
    <x v="3"/>
  </r>
  <r>
    <x v="1214"/>
    <x v="1"/>
    <x v="5"/>
    <x v="8"/>
    <x v="25"/>
    <x v="1"/>
    <x v="13"/>
    <x v="2"/>
    <x v="5"/>
    <x v="5"/>
    <x v="5"/>
    <x v="1"/>
    <x v="1"/>
    <x v="1"/>
    <x v="0"/>
    <x v="1"/>
    <x v="139"/>
    <x v="197"/>
    <x v="2"/>
    <x v="0"/>
    <x v="0"/>
    <x v="3"/>
    <x v="3"/>
  </r>
  <r>
    <x v="1215"/>
    <x v="1"/>
    <x v="1"/>
    <x v="6"/>
    <x v="172"/>
    <x v="1"/>
    <x v="0"/>
    <x v="0"/>
    <x v="1"/>
    <x v="1"/>
    <x v="1"/>
    <x v="0"/>
    <x v="1"/>
    <x v="1"/>
    <x v="0"/>
    <x v="1"/>
    <x v="277"/>
    <x v="454"/>
    <x v="0"/>
    <x v="0"/>
    <x v="2"/>
    <x v="0"/>
    <x v="0"/>
  </r>
  <r>
    <x v="1216"/>
    <x v="1"/>
    <x v="5"/>
    <x v="8"/>
    <x v="377"/>
    <x v="1"/>
    <x v="12"/>
    <x v="2"/>
    <x v="5"/>
    <x v="5"/>
    <x v="5"/>
    <x v="1"/>
    <x v="1"/>
    <x v="1"/>
    <x v="0"/>
    <x v="1"/>
    <x v="28"/>
    <x v="419"/>
    <x v="2"/>
    <x v="0"/>
    <x v="3"/>
    <x v="3"/>
    <x v="3"/>
  </r>
  <r>
    <x v="1217"/>
    <x v="1"/>
    <x v="1"/>
    <x v="6"/>
    <x v="279"/>
    <x v="1"/>
    <x v="1"/>
    <x v="3"/>
    <x v="1"/>
    <x v="1"/>
    <x v="1"/>
    <x v="0"/>
    <x v="1"/>
    <x v="1"/>
    <x v="0"/>
    <x v="1"/>
    <x v="103"/>
    <x v="145"/>
    <x v="4"/>
    <x v="0"/>
    <x v="2"/>
    <x v="0"/>
    <x v="0"/>
  </r>
  <r>
    <x v="1218"/>
    <x v="2"/>
    <x v="5"/>
    <x v="284"/>
    <x v="13"/>
    <x v="2"/>
    <x v="2"/>
    <x v="3"/>
    <x v="5"/>
    <x v="5"/>
    <x v="5"/>
    <x v="1"/>
    <x v="1"/>
    <x v="1"/>
    <x v="0"/>
    <x v="1"/>
    <x v="51"/>
    <x v="523"/>
    <x v="5"/>
    <x v="0"/>
    <x v="3"/>
    <x v="3"/>
    <x v="3"/>
  </r>
  <r>
    <x v="1219"/>
    <x v="1"/>
    <x v="5"/>
    <x v="8"/>
    <x v="126"/>
    <x v="2"/>
    <x v="2"/>
    <x v="3"/>
    <x v="5"/>
    <x v="5"/>
    <x v="5"/>
    <x v="1"/>
    <x v="1"/>
    <x v="1"/>
    <x v="0"/>
    <x v="1"/>
    <x v="104"/>
    <x v="294"/>
    <x v="4"/>
    <x v="0"/>
    <x v="4"/>
    <x v="3"/>
    <x v="3"/>
  </r>
  <r>
    <x v="1220"/>
    <x v="1"/>
    <x v="2"/>
    <x v="4"/>
    <x v="337"/>
    <x v="1"/>
    <x v="12"/>
    <x v="3"/>
    <x v="2"/>
    <x v="2"/>
    <x v="2"/>
    <x v="1"/>
    <x v="2"/>
    <x v="2"/>
    <x v="0"/>
    <x v="2"/>
    <x v="268"/>
    <x v="524"/>
    <x v="0"/>
    <x v="0"/>
    <x v="1"/>
    <x v="1"/>
    <x v="1"/>
  </r>
  <r>
    <x v="1221"/>
    <x v="1"/>
    <x v="3"/>
    <x v="5"/>
    <x v="146"/>
    <x v="1"/>
    <x v="0"/>
    <x v="0"/>
    <x v="3"/>
    <x v="3"/>
    <x v="3"/>
    <x v="0"/>
    <x v="2"/>
    <x v="2"/>
    <x v="0"/>
    <x v="2"/>
    <x v="28"/>
    <x v="419"/>
    <x v="2"/>
    <x v="0"/>
    <x v="3"/>
    <x v="0"/>
    <x v="0"/>
  </r>
  <r>
    <x v="1222"/>
    <x v="2"/>
    <x v="4"/>
    <x v="285"/>
    <x v="365"/>
    <x v="1"/>
    <x v="17"/>
    <x v="3"/>
    <x v="4"/>
    <x v="4"/>
    <x v="4"/>
    <x v="1"/>
    <x v="0"/>
    <x v="0"/>
    <x v="0"/>
    <x v="0"/>
    <x v="140"/>
    <x v="469"/>
    <x v="0"/>
    <x v="0"/>
    <x v="2"/>
    <x v="2"/>
    <x v="2"/>
  </r>
  <r>
    <x v="1223"/>
    <x v="1"/>
    <x v="2"/>
    <x v="4"/>
    <x v="95"/>
    <x v="3"/>
    <x v="2"/>
    <x v="1"/>
    <x v="2"/>
    <x v="2"/>
    <x v="2"/>
    <x v="1"/>
    <x v="2"/>
    <x v="2"/>
    <x v="0"/>
    <x v="2"/>
    <x v="110"/>
    <x v="158"/>
    <x v="2"/>
    <x v="0"/>
    <x v="0"/>
    <x v="1"/>
    <x v="1"/>
  </r>
  <r>
    <x v="1224"/>
    <x v="0"/>
    <x v="4"/>
    <x v="286"/>
    <x v="35"/>
    <x v="3"/>
    <x v="2"/>
    <x v="0"/>
    <x v="4"/>
    <x v="4"/>
    <x v="4"/>
    <x v="1"/>
    <x v="0"/>
    <x v="0"/>
    <x v="0"/>
    <x v="0"/>
    <x v="176"/>
    <x v="440"/>
    <x v="1"/>
    <x v="0"/>
    <x v="4"/>
    <x v="2"/>
    <x v="2"/>
  </r>
  <r>
    <x v="1225"/>
    <x v="1"/>
    <x v="2"/>
    <x v="4"/>
    <x v="15"/>
    <x v="1"/>
    <x v="19"/>
    <x v="3"/>
    <x v="2"/>
    <x v="2"/>
    <x v="2"/>
    <x v="1"/>
    <x v="2"/>
    <x v="2"/>
    <x v="0"/>
    <x v="2"/>
    <x v="4"/>
    <x v="207"/>
    <x v="3"/>
    <x v="0"/>
    <x v="4"/>
    <x v="1"/>
    <x v="1"/>
  </r>
  <r>
    <x v="1226"/>
    <x v="0"/>
    <x v="0"/>
    <x v="287"/>
    <x v="3"/>
    <x v="3"/>
    <x v="2"/>
    <x v="2"/>
    <x v="0"/>
    <x v="0"/>
    <x v="0"/>
    <x v="0"/>
    <x v="0"/>
    <x v="0"/>
    <x v="0"/>
    <x v="0"/>
    <x v="206"/>
    <x v="305"/>
    <x v="5"/>
    <x v="0"/>
    <x v="3"/>
    <x v="0"/>
    <x v="0"/>
  </r>
  <r>
    <x v="1227"/>
    <x v="2"/>
    <x v="4"/>
    <x v="288"/>
    <x v="378"/>
    <x v="1"/>
    <x v="14"/>
    <x v="0"/>
    <x v="4"/>
    <x v="4"/>
    <x v="4"/>
    <x v="1"/>
    <x v="0"/>
    <x v="0"/>
    <x v="0"/>
    <x v="0"/>
    <x v="264"/>
    <x v="444"/>
    <x v="4"/>
    <x v="0"/>
    <x v="0"/>
    <x v="2"/>
    <x v="2"/>
  </r>
  <r>
    <x v="1228"/>
    <x v="0"/>
    <x v="0"/>
    <x v="289"/>
    <x v="126"/>
    <x v="1"/>
    <x v="0"/>
    <x v="2"/>
    <x v="0"/>
    <x v="0"/>
    <x v="0"/>
    <x v="0"/>
    <x v="0"/>
    <x v="0"/>
    <x v="0"/>
    <x v="0"/>
    <x v="101"/>
    <x v="426"/>
    <x v="1"/>
    <x v="0"/>
    <x v="0"/>
    <x v="0"/>
    <x v="0"/>
  </r>
  <r>
    <x v="1229"/>
    <x v="1"/>
    <x v="5"/>
    <x v="8"/>
    <x v="269"/>
    <x v="3"/>
    <x v="2"/>
    <x v="2"/>
    <x v="5"/>
    <x v="5"/>
    <x v="5"/>
    <x v="1"/>
    <x v="1"/>
    <x v="1"/>
    <x v="0"/>
    <x v="1"/>
    <x v="97"/>
    <x v="157"/>
    <x v="5"/>
    <x v="0"/>
    <x v="1"/>
    <x v="3"/>
    <x v="3"/>
  </r>
  <r>
    <x v="1230"/>
    <x v="1"/>
    <x v="0"/>
    <x v="2"/>
    <x v="314"/>
    <x v="2"/>
    <x v="2"/>
    <x v="0"/>
    <x v="0"/>
    <x v="0"/>
    <x v="0"/>
    <x v="0"/>
    <x v="0"/>
    <x v="0"/>
    <x v="0"/>
    <x v="0"/>
    <x v="213"/>
    <x v="314"/>
    <x v="1"/>
    <x v="0"/>
    <x v="1"/>
    <x v="0"/>
    <x v="0"/>
  </r>
  <r>
    <x v="1231"/>
    <x v="1"/>
    <x v="5"/>
    <x v="8"/>
    <x v="379"/>
    <x v="4"/>
    <x v="2"/>
    <x v="0"/>
    <x v="5"/>
    <x v="5"/>
    <x v="5"/>
    <x v="1"/>
    <x v="1"/>
    <x v="1"/>
    <x v="0"/>
    <x v="1"/>
    <x v="262"/>
    <x v="416"/>
    <x v="0"/>
    <x v="0"/>
    <x v="2"/>
    <x v="3"/>
    <x v="3"/>
  </r>
  <r>
    <x v="1232"/>
    <x v="1"/>
    <x v="5"/>
    <x v="8"/>
    <x v="130"/>
    <x v="2"/>
    <x v="2"/>
    <x v="1"/>
    <x v="5"/>
    <x v="5"/>
    <x v="5"/>
    <x v="1"/>
    <x v="1"/>
    <x v="1"/>
    <x v="0"/>
    <x v="1"/>
    <x v="85"/>
    <x v="179"/>
    <x v="1"/>
    <x v="0"/>
    <x v="2"/>
    <x v="3"/>
    <x v="3"/>
  </r>
  <r>
    <x v="1233"/>
    <x v="2"/>
    <x v="1"/>
    <x v="290"/>
    <x v="380"/>
    <x v="1"/>
    <x v="0"/>
    <x v="0"/>
    <x v="1"/>
    <x v="1"/>
    <x v="1"/>
    <x v="0"/>
    <x v="1"/>
    <x v="1"/>
    <x v="0"/>
    <x v="1"/>
    <x v="300"/>
    <x v="513"/>
    <x v="1"/>
    <x v="0"/>
    <x v="3"/>
    <x v="0"/>
    <x v="0"/>
  </r>
  <r>
    <x v="1234"/>
    <x v="1"/>
    <x v="5"/>
    <x v="8"/>
    <x v="381"/>
    <x v="2"/>
    <x v="2"/>
    <x v="2"/>
    <x v="5"/>
    <x v="5"/>
    <x v="5"/>
    <x v="1"/>
    <x v="1"/>
    <x v="1"/>
    <x v="0"/>
    <x v="1"/>
    <x v="20"/>
    <x v="375"/>
    <x v="5"/>
    <x v="0"/>
    <x v="2"/>
    <x v="3"/>
    <x v="3"/>
  </r>
  <r>
    <x v="1235"/>
    <x v="0"/>
    <x v="5"/>
    <x v="154"/>
    <x v="217"/>
    <x v="3"/>
    <x v="2"/>
    <x v="2"/>
    <x v="5"/>
    <x v="5"/>
    <x v="5"/>
    <x v="1"/>
    <x v="1"/>
    <x v="1"/>
    <x v="0"/>
    <x v="1"/>
    <x v="41"/>
    <x v="525"/>
    <x v="1"/>
    <x v="0"/>
    <x v="0"/>
    <x v="3"/>
    <x v="3"/>
  </r>
  <r>
    <x v="1236"/>
    <x v="1"/>
    <x v="0"/>
    <x v="2"/>
    <x v="272"/>
    <x v="1"/>
    <x v="0"/>
    <x v="2"/>
    <x v="0"/>
    <x v="0"/>
    <x v="0"/>
    <x v="0"/>
    <x v="0"/>
    <x v="0"/>
    <x v="0"/>
    <x v="0"/>
    <x v="213"/>
    <x v="335"/>
    <x v="3"/>
    <x v="0"/>
    <x v="0"/>
    <x v="0"/>
    <x v="0"/>
  </r>
  <r>
    <x v="1237"/>
    <x v="1"/>
    <x v="4"/>
    <x v="9"/>
    <x v="282"/>
    <x v="0"/>
    <x v="9"/>
    <x v="2"/>
    <x v="4"/>
    <x v="4"/>
    <x v="4"/>
    <x v="1"/>
    <x v="0"/>
    <x v="0"/>
    <x v="0"/>
    <x v="0"/>
    <x v="13"/>
    <x v="453"/>
    <x v="3"/>
    <x v="0"/>
    <x v="0"/>
    <x v="2"/>
    <x v="2"/>
  </r>
  <r>
    <x v="1238"/>
    <x v="0"/>
    <x v="4"/>
    <x v="291"/>
    <x v="178"/>
    <x v="1"/>
    <x v="13"/>
    <x v="2"/>
    <x v="4"/>
    <x v="4"/>
    <x v="4"/>
    <x v="1"/>
    <x v="0"/>
    <x v="0"/>
    <x v="0"/>
    <x v="0"/>
    <x v="253"/>
    <x v="417"/>
    <x v="2"/>
    <x v="0"/>
    <x v="0"/>
    <x v="2"/>
    <x v="2"/>
  </r>
  <r>
    <x v="1239"/>
    <x v="1"/>
    <x v="0"/>
    <x v="2"/>
    <x v="345"/>
    <x v="0"/>
    <x v="0"/>
    <x v="2"/>
    <x v="0"/>
    <x v="0"/>
    <x v="0"/>
    <x v="0"/>
    <x v="0"/>
    <x v="0"/>
    <x v="0"/>
    <x v="0"/>
    <x v="162"/>
    <x v="228"/>
    <x v="5"/>
    <x v="0"/>
    <x v="0"/>
    <x v="0"/>
    <x v="0"/>
  </r>
  <r>
    <x v="1240"/>
    <x v="0"/>
    <x v="4"/>
    <x v="292"/>
    <x v="28"/>
    <x v="4"/>
    <x v="2"/>
    <x v="0"/>
    <x v="4"/>
    <x v="4"/>
    <x v="4"/>
    <x v="1"/>
    <x v="0"/>
    <x v="0"/>
    <x v="0"/>
    <x v="0"/>
    <x v="164"/>
    <x v="230"/>
    <x v="2"/>
    <x v="0"/>
    <x v="3"/>
    <x v="2"/>
    <x v="2"/>
  </r>
  <r>
    <x v="1241"/>
    <x v="2"/>
    <x v="5"/>
    <x v="293"/>
    <x v="382"/>
    <x v="4"/>
    <x v="2"/>
    <x v="0"/>
    <x v="5"/>
    <x v="5"/>
    <x v="5"/>
    <x v="1"/>
    <x v="1"/>
    <x v="1"/>
    <x v="0"/>
    <x v="1"/>
    <x v="120"/>
    <x v="232"/>
    <x v="2"/>
    <x v="0"/>
    <x v="0"/>
    <x v="3"/>
    <x v="3"/>
  </r>
  <r>
    <x v="1242"/>
    <x v="1"/>
    <x v="1"/>
    <x v="6"/>
    <x v="39"/>
    <x v="0"/>
    <x v="0"/>
    <x v="2"/>
    <x v="1"/>
    <x v="1"/>
    <x v="1"/>
    <x v="0"/>
    <x v="1"/>
    <x v="1"/>
    <x v="0"/>
    <x v="1"/>
    <x v="186"/>
    <x v="265"/>
    <x v="3"/>
    <x v="0"/>
    <x v="1"/>
    <x v="0"/>
    <x v="0"/>
  </r>
  <r>
    <x v="1243"/>
    <x v="1"/>
    <x v="2"/>
    <x v="4"/>
    <x v="60"/>
    <x v="1"/>
    <x v="19"/>
    <x v="3"/>
    <x v="2"/>
    <x v="2"/>
    <x v="2"/>
    <x v="1"/>
    <x v="2"/>
    <x v="2"/>
    <x v="0"/>
    <x v="2"/>
    <x v="252"/>
    <x v="390"/>
    <x v="3"/>
    <x v="0"/>
    <x v="0"/>
    <x v="1"/>
    <x v="1"/>
  </r>
  <r>
    <x v="1244"/>
    <x v="1"/>
    <x v="4"/>
    <x v="9"/>
    <x v="13"/>
    <x v="1"/>
    <x v="14"/>
    <x v="1"/>
    <x v="4"/>
    <x v="4"/>
    <x v="4"/>
    <x v="1"/>
    <x v="0"/>
    <x v="0"/>
    <x v="0"/>
    <x v="0"/>
    <x v="24"/>
    <x v="475"/>
    <x v="0"/>
    <x v="0"/>
    <x v="1"/>
    <x v="2"/>
    <x v="2"/>
  </r>
  <r>
    <x v="1245"/>
    <x v="1"/>
    <x v="2"/>
    <x v="4"/>
    <x v="256"/>
    <x v="1"/>
    <x v="19"/>
    <x v="3"/>
    <x v="2"/>
    <x v="2"/>
    <x v="2"/>
    <x v="1"/>
    <x v="2"/>
    <x v="2"/>
    <x v="0"/>
    <x v="2"/>
    <x v="19"/>
    <x v="495"/>
    <x v="3"/>
    <x v="0"/>
    <x v="3"/>
    <x v="1"/>
    <x v="1"/>
  </r>
  <r>
    <x v="1246"/>
    <x v="1"/>
    <x v="3"/>
    <x v="5"/>
    <x v="193"/>
    <x v="2"/>
    <x v="2"/>
    <x v="0"/>
    <x v="3"/>
    <x v="3"/>
    <x v="3"/>
    <x v="0"/>
    <x v="2"/>
    <x v="2"/>
    <x v="0"/>
    <x v="2"/>
    <x v="226"/>
    <x v="336"/>
    <x v="1"/>
    <x v="0"/>
    <x v="0"/>
    <x v="0"/>
    <x v="0"/>
  </r>
  <r>
    <x v="1247"/>
    <x v="1"/>
    <x v="4"/>
    <x v="9"/>
    <x v="127"/>
    <x v="1"/>
    <x v="6"/>
    <x v="1"/>
    <x v="4"/>
    <x v="4"/>
    <x v="4"/>
    <x v="1"/>
    <x v="0"/>
    <x v="0"/>
    <x v="0"/>
    <x v="0"/>
    <x v="196"/>
    <x v="286"/>
    <x v="3"/>
    <x v="0"/>
    <x v="3"/>
    <x v="2"/>
    <x v="2"/>
  </r>
  <r>
    <x v="1248"/>
    <x v="1"/>
    <x v="5"/>
    <x v="8"/>
    <x v="89"/>
    <x v="1"/>
    <x v="3"/>
    <x v="0"/>
    <x v="5"/>
    <x v="5"/>
    <x v="5"/>
    <x v="1"/>
    <x v="1"/>
    <x v="1"/>
    <x v="0"/>
    <x v="1"/>
    <x v="127"/>
    <x v="515"/>
    <x v="3"/>
    <x v="0"/>
    <x v="1"/>
    <x v="3"/>
    <x v="3"/>
  </r>
  <r>
    <x v="1249"/>
    <x v="1"/>
    <x v="1"/>
    <x v="6"/>
    <x v="107"/>
    <x v="1"/>
    <x v="1"/>
    <x v="3"/>
    <x v="1"/>
    <x v="1"/>
    <x v="1"/>
    <x v="0"/>
    <x v="1"/>
    <x v="1"/>
    <x v="0"/>
    <x v="1"/>
    <x v="155"/>
    <x v="349"/>
    <x v="4"/>
    <x v="0"/>
    <x v="4"/>
    <x v="0"/>
    <x v="0"/>
  </r>
  <r>
    <x v="1250"/>
    <x v="1"/>
    <x v="2"/>
    <x v="4"/>
    <x v="249"/>
    <x v="0"/>
    <x v="18"/>
    <x v="0"/>
    <x v="2"/>
    <x v="2"/>
    <x v="2"/>
    <x v="1"/>
    <x v="2"/>
    <x v="2"/>
    <x v="0"/>
    <x v="2"/>
    <x v="123"/>
    <x v="175"/>
    <x v="0"/>
    <x v="0"/>
    <x v="0"/>
    <x v="1"/>
    <x v="1"/>
  </r>
  <r>
    <x v="1251"/>
    <x v="1"/>
    <x v="0"/>
    <x v="2"/>
    <x v="198"/>
    <x v="1"/>
    <x v="0"/>
    <x v="0"/>
    <x v="0"/>
    <x v="0"/>
    <x v="0"/>
    <x v="0"/>
    <x v="0"/>
    <x v="0"/>
    <x v="0"/>
    <x v="0"/>
    <x v="176"/>
    <x v="278"/>
    <x v="2"/>
    <x v="0"/>
    <x v="1"/>
    <x v="0"/>
    <x v="0"/>
  </r>
  <r>
    <x v="1252"/>
    <x v="1"/>
    <x v="2"/>
    <x v="4"/>
    <x v="292"/>
    <x v="1"/>
    <x v="12"/>
    <x v="1"/>
    <x v="2"/>
    <x v="2"/>
    <x v="2"/>
    <x v="1"/>
    <x v="2"/>
    <x v="2"/>
    <x v="0"/>
    <x v="2"/>
    <x v="147"/>
    <x v="208"/>
    <x v="5"/>
    <x v="0"/>
    <x v="3"/>
    <x v="1"/>
    <x v="1"/>
  </r>
  <r>
    <x v="1253"/>
    <x v="1"/>
    <x v="0"/>
    <x v="2"/>
    <x v="138"/>
    <x v="3"/>
    <x v="2"/>
    <x v="2"/>
    <x v="0"/>
    <x v="0"/>
    <x v="0"/>
    <x v="0"/>
    <x v="0"/>
    <x v="0"/>
    <x v="0"/>
    <x v="0"/>
    <x v="163"/>
    <x v="479"/>
    <x v="5"/>
    <x v="0"/>
    <x v="4"/>
    <x v="0"/>
    <x v="0"/>
  </r>
  <r>
    <x v="1254"/>
    <x v="0"/>
    <x v="3"/>
    <x v="294"/>
    <x v="237"/>
    <x v="2"/>
    <x v="2"/>
    <x v="3"/>
    <x v="3"/>
    <x v="3"/>
    <x v="3"/>
    <x v="0"/>
    <x v="2"/>
    <x v="2"/>
    <x v="0"/>
    <x v="2"/>
    <x v="254"/>
    <x v="400"/>
    <x v="5"/>
    <x v="0"/>
    <x v="4"/>
    <x v="0"/>
    <x v="0"/>
  </r>
  <r>
    <x v="1255"/>
    <x v="1"/>
    <x v="3"/>
    <x v="5"/>
    <x v="383"/>
    <x v="1"/>
    <x v="0"/>
    <x v="1"/>
    <x v="3"/>
    <x v="3"/>
    <x v="3"/>
    <x v="0"/>
    <x v="2"/>
    <x v="2"/>
    <x v="0"/>
    <x v="2"/>
    <x v="75"/>
    <x v="256"/>
    <x v="2"/>
    <x v="0"/>
    <x v="2"/>
    <x v="0"/>
    <x v="0"/>
  </r>
  <r>
    <x v="1256"/>
    <x v="1"/>
    <x v="0"/>
    <x v="2"/>
    <x v="141"/>
    <x v="1"/>
    <x v="1"/>
    <x v="2"/>
    <x v="0"/>
    <x v="0"/>
    <x v="0"/>
    <x v="0"/>
    <x v="0"/>
    <x v="0"/>
    <x v="0"/>
    <x v="0"/>
    <x v="304"/>
    <x v="526"/>
    <x v="5"/>
    <x v="0"/>
    <x v="1"/>
    <x v="0"/>
    <x v="0"/>
  </r>
  <r>
    <x v="1257"/>
    <x v="0"/>
    <x v="1"/>
    <x v="295"/>
    <x v="65"/>
    <x v="4"/>
    <x v="2"/>
    <x v="0"/>
    <x v="1"/>
    <x v="1"/>
    <x v="1"/>
    <x v="0"/>
    <x v="1"/>
    <x v="1"/>
    <x v="0"/>
    <x v="1"/>
    <x v="189"/>
    <x v="506"/>
    <x v="0"/>
    <x v="0"/>
    <x v="1"/>
    <x v="0"/>
    <x v="0"/>
  </r>
  <r>
    <x v="1258"/>
    <x v="1"/>
    <x v="2"/>
    <x v="4"/>
    <x v="384"/>
    <x v="2"/>
    <x v="2"/>
    <x v="0"/>
    <x v="2"/>
    <x v="2"/>
    <x v="2"/>
    <x v="1"/>
    <x v="2"/>
    <x v="2"/>
    <x v="0"/>
    <x v="2"/>
    <x v="88"/>
    <x v="446"/>
    <x v="5"/>
    <x v="0"/>
    <x v="0"/>
    <x v="1"/>
    <x v="1"/>
  </r>
  <r>
    <x v="1259"/>
    <x v="1"/>
    <x v="3"/>
    <x v="5"/>
    <x v="11"/>
    <x v="1"/>
    <x v="1"/>
    <x v="0"/>
    <x v="3"/>
    <x v="3"/>
    <x v="3"/>
    <x v="0"/>
    <x v="2"/>
    <x v="2"/>
    <x v="0"/>
    <x v="2"/>
    <x v="115"/>
    <x v="164"/>
    <x v="1"/>
    <x v="0"/>
    <x v="2"/>
    <x v="0"/>
    <x v="0"/>
  </r>
  <r>
    <x v="1260"/>
    <x v="2"/>
    <x v="4"/>
    <x v="296"/>
    <x v="246"/>
    <x v="4"/>
    <x v="2"/>
    <x v="2"/>
    <x v="4"/>
    <x v="4"/>
    <x v="4"/>
    <x v="1"/>
    <x v="0"/>
    <x v="0"/>
    <x v="0"/>
    <x v="0"/>
    <x v="152"/>
    <x v="213"/>
    <x v="2"/>
    <x v="0"/>
    <x v="3"/>
    <x v="2"/>
    <x v="2"/>
  </r>
  <r>
    <x v="1261"/>
    <x v="1"/>
    <x v="3"/>
    <x v="5"/>
    <x v="119"/>
    <x v="1"/>
    <x v="0"/>
    <x v="1"/>
    <x v="3"/>
    <x v="3"/>
    <x v="3"/>
    <x v="0"/>
    <x v="2"/>
    <x v="2"/>
    <x v="0"/>
    <x v="2"/>
    <x v="18"/>
    <x v="519"/>
    <x v="0"/>
    <x v="0"/>
    <x v="0"/>
    <x v="0"/>
    <x v="0"/>
  </r>
  <r>
    <x v="1262"/>
    <x v="0"/>
    <x v="5"/>
    <x v="111"/>
    <x v="146"/>
    <x v="2"/>
    <x v="2"/>
    <x v="3"/>
    <x v="5"/>
    <x v="5"/>
    <x v="5"/>
    <x v="1"/>
    <x v="1"/>
    <x v="1"/>
    <x v="0"/>
    <x v="1"/>
    <x v="153"/>
    <x v="214"/>
    <x v="5"/>
    <x v="0"/>
    <x v="4"/>
    <x v="3"/>
    <x v="3"/>
  </r>
  <r>
    <x v="1263"/>
    <x v="2"/>
    <x v="5"/>
    <x v="297"/>
    <x v="251"/>
    <x v="0"/>
    <x v="5"/>
    <x v="1"/>
    <x v="5"/>
    <x v="5"/>
    <x v="5"/>
    <x v="1"/>
    <x v="1"/>
    <x v="1"/>
    <x v="0"/>
    <x v="1"/>
    <x v="65"/>
    <x v="263"/>
    <x v="3"/>
    <x v="0"/>
    <x v="1"/>
    <x v="3"/>
    <x v="3"/>
  </r>
  <r>
    <x v="1264"/>
    <x v="1"/>
    <x v="5"/>
    <x v="8"/>
    <x v="326"/>
    <x v="1"/>
    <x v="16"/>
    <x v="3"/>
    <x v="5"/>
    <x v="5"/>
    <x v="5"/>
    <x v="1"/>
    <x v="1"/>
    <x v="1"/>
    <x v="0"/>
    <x v="1"/>
    <x v="257"/>
    <x v="491"/>
    <x v="0"/>
    <x v="0"/>
    <x v="0"/>
    <x v="3"/>
    <x v="3"/>
  </r>
  <r>
    <x v="1265"/>
    <x v="1"/>
    <x v="1"/>
    <x v="6"/>
    <x v="385"/>
    <x v="1"/>
    <x v="1"/>
    <x v="3"/>
    <x v="1"/>
    <x v="1"/>
    <x v="1"/>
    <x v="0"/>
    <x v="1"/>
    <x v="1"/>
    <x v="0"/>
    <x v="1"/>
    <x v="20"/>
    <x v="375"/>
    <x v="5"/>
    <x v="0"/>
    <x v="2"/>
    <x v="0"/>
    <x v="0"/>
  </r>
  <r>
    <x v="1266"/>
    <x v="1"/>
    <x v="2"/>
    <x v="4"/>
    <x v="281"/>
    <x v="3"/>
    <x v="2"/>
    <x v="2"/>
    <x v="2"/>
    <x v="2"/>
    <x v="2"/>
    <x v="1"/>
    <x v="2"/>
    <x v="2"/>
    <x v="0"/>
    <x v="2"/>
    <x v="144"/>
    <x v="204"/>
    <x v="1"/>
    <x v="0"/>
    <x v="1"/>
    <x v="1"/>
    <x v="1"/>
  </r>
  <r>
    <x v="1267"/>
    <x v="1"/>
    <x v="0"/>
    <x v="2"/>
    <x v="386"/>
    <x v="1"/>
    <x v="1"/>
    <x v="2"/>
    <x v="0"/>
    <x v="0"/>
    <x v="0"/>
    <x v="0"/>
    <x v="0"/>
    <x v="0"/>
    <x v="0"/>
    <x v="0"/>
    <x v="286"/>
    <x v="472"/>
    <x v="1"/>
    <x v="0"/>
    <x v="3"/>
    <x v="0"/>
    <x v="0"/>
  </r>
  <r>
    <x v="1268"/>
    <x v="1"/>
    <x v="3"/>
    <x v="5"/>
    <x v="8"/>
    <x v="1"/>
    <x v="1"/>
    <x v="3"/>
    <x v="3"/>
    <x v="3"/>
    <x v="3"/>
    <x v="0"/>
    <x v="2"/>
    <x v="2"/>
    <x v="0"/>
    <x v="2"/>
    <x v="269"/>
    <x v="438"/>
    <x v="2"/>
    <x v="0"/>
    <x v="3"/>
    <x v="0"/>
    <x v="0"/>
  </r>
  <r>
    <x v="1269"/>
    <x v="1"/>
    <x v="3"/>
    <x v="5"/>
    <x v="165"/>
    <x v="1"/>
    <x v="0"/>
    <x v="3"/>
    <x v="3"/>
    <x v="3"/>
    <x v="3"/>
    <x v="0"/>
    <x v="2"/>
    <x v="2"/>
    <x v="0"/>
    <x v="2"/>
    <x v="81"/>
    <x v="358"/>
    <x v="5"/>
    <x v="0"/>
    <x v="1"/>
    <x v="0"/>
    <x v="0"/>
  </r>
  <r>
    <x v="1270"/>
    <x v="0"/>
    <x v="5"/>
    <x v="298"/>
    <x v="313"/>
    <x v="1"/>
    <x v="4"/>
    <x v="3"/>
    <x v="5"/>
    <x v="5"/>
    <x v="5"/>
    <x v="1"/>
    <x v="1"/>
    <x v="1"/>
    <x v="0"/>
    <x v="1"/>
    <x v="270"/>
    <x v="439"/>
    <x v="4"/>
    <x v="0"/>
    <x v="4"/>
    <x v="3"/>
    <x v="3"/>
  </r>
  <r>
    <x v="1271"/>
    <x v="1"/>
    <x v="1"/>
    <x v="6"/>
    <x v="5"/>
    <x v="1"/>
    <x v="15"/>
    <x v="0"/>
    <x v="1"/>
    <x v="1"/>
    <x v="1"/>
    <x v="0"/>
    <x v="1"/>
    <x v="1"/>
    <x v="0"/>
    <x v="1"/>
    <x v="114"/>
    <x v="428"/>
    <x v="1"/>
    <x v="0"/>
    <x v="0"/>
    <x v="0"/>
    <x v="0"/>
  </r>
  <r>
    <x v="1272"/>
    <x v="1"/>
    <x v="1"/>
    <x v="6"/>
    <x v="259"/>
    <x v="1"/>
    <x v="1"/>
    <x v="1"/>
    <x v="1"/>
    <x v="1"/>
    <x v="1"/>
    <x v="0"/>
    <x v="1"/>
    <x v="1"/>
    <x v="0"/>
    <x v="1"/>
    <x v="291"/>
    <x v="487"/>
    <x v="5"/>
    <x v="0"/>
    <x v="4"/>
    <x v="0"/>
    <x v="0"/>
  </r>
  <r>
    <x v="1273"/>
    <x v="2"/>
    <x v="1"/>
    <x v="113"/>
    <x v="131"/>
    <x v="1"/>
    <x v="1"/>
    <x v="2"/>
    <x v="1"/>
    <x v="1"/>
    <x v="1"/>
    <x v="0"/>
    <x v="1"/>
    <x v="1"/>
    <x v="0"/>
    <x v="1"/>
    <x v="42"/>
    <x v="198"/>
    <x v="0"/>
    <x v="0"/>
    <x v="2"/>
    <x v="0"/>
    <x v="0"/>
  </r>
  <r>
    <x v="1274"/>
    <x v="1"/>
    <x v="4"/>
    <x v="9"/>
    <x v="49"/>
    <x v="4"/>
    <x v="2"/>
    <x v="0"/>
    <x v="4"/>
    <x v="4"/>
    <x v="4"/>
    <x v="1"/>
    <x v="0"/>
    <x v="0"/>
    <x v="0"/>
    <x v="0"/>
    <x v="65"/>
    <x v="263"/>
    <x v="3"/>
    <x v="0"/>
    <x v="1"/>
    <x v="2"/>
    <x v="2"/>
  </r>
  <r>
    <x v="1275"/>
    <x v="2"/>
    <x v="5"/>
    <x v="109"/>
    <x v="218"/>
    <x v="2"/>
    <x v="2"/>
    <x v="2"/>
    <x v="5"/>
    <x v="5"/>
    <x v="5"/>
    <x v="1"/>
    <x v="1"/>
    <x v="1"/>
    <x v="0"/>
    <x v="1"/>
    <x v="305"/>
    <x v="527"/>
    <x v="3"/>
    <x v="0"/>
    <x v="4"/>
    <x v="3"/>
    <x v="3"/>
  </r>
  <r>
    <x v="1276"/>
    <x v="1"/>
    <x v="0"/>
    <x v="2"/>
    <x v="263"/>
    <x v="2"/>
    <x v="2"/>
    <x v="0"/>
    <x v="0"/>
    <x v="0"/>
    <x v="0"/>
    <x v="0"/>
    <x v="0"/>
    <x v="0"/>
    <x v="0"/>
    <x v="0"/>
    <x v="156"/>
    <x v="363"/>
    <x v="2"/>
    <x v="0"/>
    <x v="1"/>
    <x v="0"/>
    <x v="0"/>
  </r>
  <r>
    <x v="1277"/>
    <x v="0"/>
    <x v="1"/>
    <x v="299"/>
    <x v="51"/>
    <x v="4"/>
    <x v="2"/>
    <x v="0"/>
    <x v="1"/>
    <x v="1"/>
    <x v="1"/>
    <x v="0"/>
    <x v="1"/>
    <x v="1"/>
    <x v="0"/>
    <x v="1"/>
    <x v="210"/>
    <x v="310"/>
    <x v="0"/>
    <x v="0"/>
    <x v="2"/>
    <x v="0"/>
    <x v="0"/>
  </r>
  <r>
    <x v="1278"/>
    <x v="1"/>
    <x v="0"/>
    <x v="2"/>
    <x v="86"/>
    <x v="1"/>
    <x v="0"/>
    <x v="3"/>
    <x v="0"/>
    <x v="0"/>
    <x v="0"/>
    <x v="0"/>
    <x v="0"/>
    <x v="0"/>
    <x v="0"/>
    <x v="0"/>
    <x v="202"/>
    <x v="296"/>
    <x v="1"/>
    <x v="0"/>
    <x v="3"/>
    <x v="0"/>
    <x v="0"/>
  </r>
  <r>
    <x v="1279"/>
    <x v="1"/>
    <x v="5"/>
    <x v="8"/>
    <x v="174"/>
    <x v="4"/>
    <x v="2"/>
    <x v="1"/>
    <x v="5"/>
    <x v="5"/>
    <x v="5"/>
    <x v="1"/>
    <x v="1"/>
    <x v="1"/>
    <x v="0"/>
    <x v="1"/>
    <x v="239"/>
    <x v="384"/>
    <x v="5"/>
    <x v="0"/>
    <x v="0"/>
    <x v="3"/>
    <x v="3"/>
  </r>
  <r>
    <x v="1280"/>
    <x v="1"/>
    <x v="4"/>
    <x v="9"/>
    <x v="387"/>
    <x v="1"/>
    <x v="14"/>
    <x v="1"/>
    <x v="4"/>
    <x v="4"/>
    <x v="4"/>
    <x v="1"/>
    <x v="0"/>
    <x v="0"/>
    <x v="0"/>
    <x v="0"/>
    <x v="220"/>
    <x v="324"/>
    <x v="2"/>
    <x v="0"/>
    <x v="1"/>
    <x v="2"/>
    <x v="2"/>
  </r>
  <r>
    <x v="1281"/>
    <x v="1"/>
    <x v="2"/>
    <x v="4"/>
    <x v="68"/>
    <x v="1"/>
    <x v="5"/>
    <x v="1"/>
    <x v="2"/>
    <x v="2"/>
    <x v="2"/>
    <x v="1"/>
    <x v="2"/>
    <x v="2"/>
    <x v="0"/>
    <x v="2"/>
    <x v="120"/>
    <x v="232"/>
    <x v="2"/>
    <x v="0"/>
    <x v="0"/>
    <x v="1"/>
    <x v="1"/>
  </r>
  <r>
    <x v="1282"/>
    <x v="1"/>
    <x v="3"/>
    <x v="5"/>
    <x v="235"/>
    <x v="2"/>
    <x v="2"/>
    <x v="2"/>
    <x v="3"/>
    <x v="3"/>
    <x v="3"/>
    <x v="0"/>
    <x v="2"/>
    <x v="2"/>
    <x v="0"/>
    <x v="2"/>
    <x v="233"/>
    <x v="464"/>
    <x v="4"/>
    <x v="0"/>
    <x v="3"/>
    <x v="0"/>
    <x v="0"/>
  </r>
  <r>
    <x v="1283"/>
    <x v="1"/>
    <x v="1"/>
    <x v="6"/>
    <x v="54"/>
    <x v="1"/>
    <x v="1"/>
    <x v="2"/>
    <x v="1"/>
    <x v="1"/>
    <x v="1"/>
    <x v="0"/>
    <x v="1"/>
    <x v="1"/>
    <x v="0"/>
    <x v="1"/>
    <x v="51"/>
    <x v="507"/>
    <x v="0"/>
    <x v="0"/>
    <x v="0"/>
    <x v="0"/>
    <x v="0"/>
  </r>
  <r>
    <x v="1284"/>
    <x v="2"/>
    <x v="1"/>
    <x v="300"/>
    <x v="32"/>
    <x v="1"/>
    <x v="0"/>
    <x v="2"/>
    <x v="1"/>
    <x v="1"/>
    <x v="1"/>
    <x v="0"/>
    <x v="1"/>
    <x v="1"/>
    <x v="0"/>
    <x v="1"/>
    <x v="119"/>
    <x v="168"/>
    <x v="4"/>
    <x v="0"/>
    <x v="4"/>
    <x v="0"/>
    <x v="0"/>
  </r>
  <r>
    <x v="1285"/>
    <x v="1"/>
    <x v="2"/>
    <x v="4"/>
    <x v="264"/>
    <x v="2"/>
    <x v="2"/>
    <x v="0"/>
    <x v="2"/>
    <x v="2"/>
    <x v="2"/>
    <x v="1"/>
    <x v="2"/>
    <x v="2"/>
    <x v="0"/>
    <x v="2"/>
    <x v="262"/>
    <x v="528"/>
    <x v="6"/>
    <x v="0"/>
    <x v="3"/>
    <x v="1"/>
    <x v="1"/>
  </r>
  <r>
    <x v="1286"/>
    <x v="1"/>
    <x v="1"/>
    <x v="6"/>
    <x v="383"/>
    <x v="0"/>
    <x v="1"/>
    <x v="0"/>
    <x v="1"/>
    <x v="1"/>
    <x v="1"/>
    <x v="0"/>
    <x v="1"/>
    <x v="1"/>
    <x v="0"/>
    <x v="1"/>
    <x v="155"/>
    <x v="217"/>
    <x v="2"/>
    <x v="0"/>
    <x v="1"/>
    <x v="0"/>
    <x v="0"/>
  </r>
  <r>
    <x v="1287"/>
    <x v="1"/>
    <x v="3"/>
    <x v="5"/>
    <x v="97"/>
    <x v="2"/>
    <x v="2"/>
    <x v="3"/>
    <x v="3"/>
    <x v="3"/>
    <x v="3"/>
    <x v="0"/>
    <x v="2"/>
    <x v="2"/>
    <x v="0"/>
    <x v="2"/>
    <x v="142"/>
    <x v="201"/>
    <x v="5"/>
    <x v="0"/>
    <x v="4"/>
    <x v="0"/>
    <x v="0"/>
  </r>
  <r>
    <x v="1288"/>
    <x v="2"/>
    <x v="0"/>
    <x v="301"/>
    <x v="388"/>
    <x v="1"/>
    <x v="0"/>
    <x v="2"/>
    <x v="0"/>
    <x v="0"/>
    <x v="0"/>
    <x v="0"/>
    <x v="0"/>
    <x v="0"/>
    <x v="0"/>
    <x v="0"/>
    <x v="144"/>
    <x v="204"/>
    <x v="1"/>
    <x v="0"/>
    <x v="1"/>
    <x v="0"/>
    <x v="0"/>
  </r>
  <r>
    <x v="1289"/>
    <x v="2"/>
    <x v="0"/>
    <x v="10"/>
    <x v="233"/>
    <x v="2"/>
    <x v="2"/>
    <x v="3"/>
    <x v="0"/>
    <x v="0"/>
    <x v="0"/>
    <x v="0"/>
    <x v="0"/>
    <x v="0"/>
    <x v="0"/>
    <x v="0"/>
    <x v="226"/>
    <x v="336"/>
    <x v="1"/>
    <x v="0"/>
    <x v="0"/>
    <x v="0"/>
    <x v="0"/>
  </r>
  <r>
    <x v="1290"/>
    <x v="2"/>
    <x v="1"/>
    <x v="302"/>
    <x v="192"/>
    <x v="1"/>
    <x v="14"/>
    <x v="2"/>
    <x v="1"/>
    <x v="1"/>
    <x v="1"/>
    <x v="0"/>
    <x v="1"/>
    <x v="1"/>
    <x v="0"/>
    <x v="1"/>
    <x v="242"/>
    <x v="365"/>
    <x v="0"/>
    <x v="0"/>
    <x v="1"/>
    <x v="0"/>
    <x v="0"/>
  </r>
  <r>
    <x v="1291"/>
    <x v="1"/>
    <x v="3"/>
    <x v="5"/>
    <x v="389"/>
    <x v="2"/>
    <x v="2"/>
    <x v="2"/>
    <x v="3"/>
    <x v="3"/>
    <x v="3"/>
    <x v="0"/>
    <x v="2"/>
    <x v="2"/>
    <x v="0"/>
    <x v="2"/>
    <x v="261"/>
    <x v="415"/>
    <x v="4"/>
    <x v="0"/>
    <x v="4"/>
    <x v="0"/>
    <x v="0"/>
  </r>
  <r>
    <x v="1292"/>
    <x v="0"/>
    <x v="4"/>
    <x v="303"/>
    <x v="365"/>
    <x v="2"/>
    <x v="2"/>
    <x v="0"/>
    <x v="4"/>
    <x v="4"/>
    <x v="4"/>
    <x v="1"/>
    <x v="0"/>
    <x v="0"/>
    <x v="0"/>
    <x v="0"/>
    <x v="207"/>
    <x v="306"/>
    <x v="2"/>
    <x v="0"/>
    <x v="4"/>
    <x v="2"/>
    <x v="2"/>
  </r>
  <r>
    <x v="1293"/>
    <x v="1"/>
    <x v="1"/>
    <x v="6"/>
    <x v="100"/>
    <x v="1"/>
    <x v="1"/>
    <x v="2"/>
    <x v="1"/>
    <x v="1"/>
    <x v="1"/>
    <x v="0"/>
    <x v="1"/>
    <x v="1"/>
    <x v="0"/>
    <x v="1"/>
    <x v="39"/>
    <x v="387"/>
    <x v="2"/>
    <x v="0"/>
    <x v="0"/>
    <x v="0"/>
    <x v="0"/>
  </r>
  <r>
    <x v="1294"/>
    <x v="2"/>
    <x v="1"/>
    <x v="304"/>
    <x v="390"/>
    <x v="1"/>
    <x v="1"/>
    <x v="1"/>
    <x v="1"/>
    <x v="1"/>
    <x v="1"/>
    <x v="0"/>
    <x v="1"/>
    <x v="1"/>
    <x v="0"/>
    <x v="1"/>
    <x v="196"/>
    <x v="529"/>
    <x v="0"/>
    <x v="0"/>
    <x v="0"/>
    <x v="0"/>
    <x v="0"/>
  </r>
  <r>
    <x v="1295"/>
    <x v="1"/>
    <x v="5"/>
    <x v="8"/>
    <x v="34"/>
    <x v="2"/>
    <x v="2"/>
    <x v="2"/>
    <x v="5"/>
    <x v="5"/>
    <x v="5"/>
    <x v="1"/>
    <x v="1"/>
    <x v="1"/>
    <x v="0"/>
    <x v="1"/>
    <x v="257"/>
    <x v="405"/>
    <x v="2"/>
    <x v="0"/>
    <x v="3"/>
    <x v="3"/>
    <x v="3"/>
  </r>
  <r>
    <x v="1296"/>
    <x v="1"/>
    <x v="4"/>
    <x v="9"/>
    <x v="363"/>
    <x v="0"/>
    <x v="17"/>
    <x v="3"/>
    <x v="4"/>
    <x v="4"/>
    <x v="4"/>
    <x v="1"/>
    <x v="0"/>
    <x v="0"/>
    <x v="0"/>
    <x v="0"/>
    <x v="198"/>
    <x v="291"/>
    <x v="5"/>
    <x v="0"/>
    <x v="3"/>
    <x v="2"/>
    <x v="2"/>
  </r>
  <r>
    <x v="1297"/>
    <x v="1"/>
    <x v="0"/>
    <x v="2"/>
    <x v="157"/>
    <x v="1"/>
    <x v="0"/>
    <x v="0"/>
    <x v="0"/>
    <x v="0"/>
    <x v="0"/>
    <x v="0"/>
    <x v="0"/>
    <x v="0"/>
    <x v="0"/>
    <x v="0"/>
    <x v="26"/>
    <x v="203"/>
    <x v="5"/>
    <x v="0"/>
    <x v="3"/>
    <x v="0"/>
    <x v="0"/>
  </r>
  <r>
    <x v="1298"/>
    <x v="1"/>
    <x v="2"/>
    <x v="4"/>
    <x v="100"/>
    <x v="1"/>
    <x v="5"/>
    <x v="2"/>
    <x v="2"/>
    <x v="2"/>
    <x v="2"/>
    <x v="1"/>
    <x v="2"/>
    <x v="2"/>
    <x v="0"/>
    <x v="2"/>
    <x v="52"/>
    <x v="530"/>
    <x v="2"/>
    <x v="0"/>
    <x v="0"/>
    <x v="1"/>
    <x v="1"/>
  </r>
  <r>
    <x v="1299"/>
    <x v="2"/>
    <x v="2"/>
    <x v="305"/>
    <x v="53"/>
    <x v="1"/>
    <x v="3"/>
    <x v="1"/>
    <x v="2"/>
    <x v="2"/>
    <x v="2"/>
    <x v="1"/>
    <x v="2"/>
    <x v="2"/>
    <x v="0"/>
    <x v="2"/>
    <x v="151"/>
    <x v="212"/>
    <x v="3"/>
    <x v="0"/>
    <x v="4"/>
    <x v="1"/>
    <x v="1"/>
  </r>
  <r>
    <x v="1300"/>
    <x v="1"/>
    <x v="1"/>
    <x v="6"/>
    <x v="301"/>
    <x v="0"/>
    <x v="1"/>
    <x v="1"/>
    <x v="1"/>
    <x v="1"/>
    <x v="1"/>
    <x v="0"/>
    <x v="1"/>
    <x v="1"/>
    <x v="0"/>
    <x v="1"/>
    <x v="303"/>
    <x v="517"/>
    <x v="0"/>
    <x v="0"/>
    <x v="3"/>
    <x v="0"/>
    <x v="0"/>
  </r>
  <r>
    <x v="1301"/>
    <x v="1"/>
    <x v="1"/>
    <x v="6"/>
    <x v="391"/>
    <x v="3"/>
    <x v="2"/>
    <x v="0"/>
    <x v="1"/>
    <x v="1"/>
    <x v="1"/>
    <x v="0"/>
    <x v="1"/>
    <x v="1"/>
    <x v="0"/>
    <x v="1"/>
    <x v="181"/>
    <x v="421"/>
    <x v="3"/>
    <x v="0"/>
    <x v="1"/>
    <x v="0"/>
    <x v="0"/>
  </r>
  <r>
    <x v="1302"/>
    <x v="1"/>
    <x v="0"/>
    <x v="2"/>
    <x v="6"/>
    <x v="1"/>
    <x v="1"/>
    <x v="2"/>
    <x v="0"/>
    <x v="0"/>
    <x v="0"/>
    <x v="0"/>
    <x v="0"/>
    <x v="0"/>
    <x v="0"/>
    <x v="0"/>
    <x v="249"/>
    <x v="385"/>
    <x v="5"/>
    <x v="0"/>
    <x v="0"/>
    <x v="0"/>
    <x v="0"/>
  </r>
  <r>
    <x v="1303"/>
    <x v="1"/>
    <x v="2"/>
    <x v="4"/>
    <x v="178"/>
    <x v="1"/>
    <x v="5"/>
    <x v="1"/>
    <x v="2"/>
    <x v="2"/>
    <x v="2"/>
    <x v="1"/>
    <x v="2"/>
    <x v="2"/>
    <x v="0"/>
    <x v="2"/>
    <x v="74"/>
    <x v="372"/>
    <x v="5"/>
    <x v="0"/>
    <x v="1"/>
    <x v="1"/>
    <x v="1"/>
  </r>
  <r>
    <x v="1304"/>
    <x v="1"/>
    <x v="0"/>
    <x v="2"/>
    <x v="241"/>
    <x v="1"/>
    <x v="0"/>
    <x v="1"/>
    <x v="0"/>
    <x v="0"/>
    <x v="0"/>
    <x v="0"/>
    <x v="0"/>
    <x v="0"/>
    <x v="0"/>
    <x v="0"/>
    <x v="122"/>
    <x v="174"/>
    <x v="3"/>
    <x v="0"/>
    <x v="1"/>
    <x v="0"/>
    <x v="0"/>
  </r>
  <r>
    <x v="1305"/>
    <x v="1"/>
    <x v="2"/>
    <x v="4"/>
    <x v="347"/>
    <x v="1"/>
    <x v="12"/>
    <x v="2"/>
    <x v="2"/>
    <x v="2"/>
    <x v="2"/>
    <x v="1"/>
    <x v="2"/>
    <x v="2"/>
    <x v="0"/>
    <x v="2"/>
    <x v="161"/>
    <x v="227"/>
    <x v="0"/>
    <x v="0"/>
    <x v="3"/>
    <x v="1"/>
    <x v="1"/>
  </r>
  <r>
    <x v="1306"/>
    <x v="2"/>
    <x v="4"/>
    <x v="306"/>
    <x v="0"/>
    <x v="1"/>
    <x v="14"/>
    <x v="2"/>
    <x v="4"/>
    <x v="4"/>
    <x v="4"/>
    <x v="1"/>
    <x v="0"/>
    <x v="0"/>
    <x v="0"/>
    <x v="0"/>
    <x v="198"/>
    <x v="437"/>
    <x v="5"/>
    <x v="0"/>
    <x v="3"/>
    <x v="2"/>
    <x v="2"/>
  </r>
  <r>
    <x v="1307"/>
    <x v="1"/>
    <x v="1"/>
    <x v="6"/>
    <x v="94"/>
    <x v="1"/>
    <x v="0"/>
    <x v="0"/>
    <x v="1"/>
    <x v="1"/>
    <x v="1"/>
    <x v="0"/>
    <x v="1"/>
    <x v="1"/>
    <x v="0"/>
    <x v="1"/>
    <x v="297"/>
    <x v="502"/>
    <x v="2"/>
    <x v="0"/>
    <x v="0"/>
    <x v="0"/>
    <x v="0"/>
  </r>
  <r>
    <x v="1308"/>
    <x v="1"/>
    <x v="2"/>
    <x v="4"/>
    <x v="340"/>
    <x v="4"/>
    <x v="2"/>
    <x v="1"/>
    <x v="2"/>
    <x v="2"/>
    <x v="2"/>
    <x v="1"/>
    <x v="2"/>
    <x v="2"/>
    <x v="0"/>
    <x v="2"/>
    <x v="29"/>
    <x v="371"/>
    <x v="5"/>
    <x v="0"/>
    <x v="3"/>
    <x v="1"/>
    <x v="1"/>
  </r>
  <r>
    <x v="1309"/>
    <x v="1"/>
    <x v="5"/>
    <x v="8"/>
    <x v="227"/>
    <x v="1"/>
    <x v="8"/>
    <x v="0"/>
    <x v="5"/>
    <x v="5"/>
    <x v="5"/>
    <x v="1"/>
    <x v="1"/>
    <x v="1"/>
    <x v="0"/>
    <x v="1"/>
    <x v="124"/>
    <x v="430"/>
    <x v="5"/>
    <x v="0"/>
    <x v="3"/>
    <x v="3"/>
    <x v="3"/>
  </r>
  <r>
    <x v="1310"/>
    <x v="1"/>
    <x v="5"/>
    <x v="8"/>
    <x v="75"/>
    <x v="1"/>
    <x v="6"/>
    <x v="3"/>
    <x v="5"/>
    <x v="5"/>
    <x v="5"/>
    <x v="1"/>
    <x v="1"/>
    <x v="1"/>
    <x v="0"/>
    <x v="1"/>
    <x v="180"/>
    <x v="497"/>
    <x v="3"/>
    <x v="0"/>
    <x v="0"/>
    <x v="3"/>
    <x v="3"/>
  </r>
  <r>
    <x v="1311"/>
    <x v="1"/>
    <x v="4"/>
    <x v="9"/>
    <x v="303"/>
    <x v="2"/>
    <x v="2"/>
    <x v="0"/>
    <x v="4"/>
    <x v="4"/>
    <x v="4"/>
    <x v="1"/>
    <x v="0"/>
    <x v="0"/>
    <x v="0"/>
    <x v="0"/>
    <x v="112"/>
    <x v="499"/>
    <x v="3"/>
    <x v="0"/>
    <x v="2"/>
    <x v="2"/>
    <x v="2"/>
  </r>
  <r>
    <x v="1312"/>
    <x v="1"/>
    <x v="1"/>
    <x v="6"/>
    <x v="392"/>
    <x v="1"/>
    <x v="1"/>
    <x v="1"/>
    <x v="1"/>
    <x v="1"/>
    <x v="1"/>
    <x v="0"/>
    <x v="1"/>
    <x v="1"/>
    <x v="0"/>
    <x v="1"/>
    <x v="273"/>
    <x v="449"/>
    <x v="0"/>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76CAF-3359-43F3-893A-AC36BFA1206D}"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leievry ">
  <location ref="E12:F18" firstHeaderRow="1" firstDataRow="1" firstDataCol="1"/>
  <pivotFields count="23">
    <pivotField showAll="0"/>
    <pivotField showAll="0"/>
    <pivotField showAll="0"/>
    <pivotField dataField="1" showAll="0"/>
    <pivotField showAll="0"/>
    <pivotField axis="axisRow" showAll="0">
      <items count="6">
        <item x="3"/>
        <item x="0"/>
        <item x="2"/>
        <item x="1"/>
        <item x="4"/>
        <item t="default"/>
      </items>
    </pivotField>
    <pivotField showAll="0">
      <items count="25">
        <item x="2"/>
        <item x="0"/>
        <item x="1"/>
        <item x="15"/>
        <item x="14"/>
        <item x="17"/>
        <item x="7"/>
        <item x="9"/>
        <item x="21"/>
        <item x="13"/>
        <item x="8"/>
        <item x="6"/>
        <item x="16"/>
        <item x="10"/>
        <item x="4"/>
        <item x="12"/>
        <item x="19"/>
        <item x="11"/>
        <item x="3"/>
        <item x="5"/>
        <item x="20"/>
        <item x="23"/>
        <item x="18"/>
        <item x="22"/>
        <item t="default"/>
      </items>
    </pivotField>
    <pivotField showAll="0"/>
    <pivotField showAll="0"/>
    <pivotField showAll="0"/>
    <pivotField showAll="0"/>
    <pivotField showAll="0">
      <items count="4">
        <item x="2"/>
        <item x="1"/>
        <item x="0"/>
        <item t="default"/>
      </items>
    </pivotField>
    <pivotField showAll="0"/>
    <pivotField showAll="0"/>
    <pivotField showAll="0">
      <items count="2">
        <item x="0"/>
        <item t="default"/>
      </items>
    </pivotField>
    <pivotField numFmtId="14" showAll="0"/>
    <pivotField showAll="0"/>
    <pivotField showAll="0"/>
    <pivotField showAll="0"/>
    <pivotField showAll="0"/>
    <pivotField showAll="0"/>
    <pivotField showAll="0"/>
    <pivotField showAll="0">
      <items count="5">
        <item x="0"/>
        <item x="2"/>
        <item x="1"/>
        <item x="3"/>
        <item t="default"/>
      </items>
    </pivotField>
  </pivotFields>
  <rowFields count="1">
    <field x="5"/>
  </rowFields>
  <rowItems count="6">
    <i>
      <x/>
    </i>
    <i>
      <x v="1"/>
    </i>
    <i>
      <x v="2"/>
    </i>
    <i>
      <x v="3"/>
    </i>
    <i>
      <x v="4"/>
    </i>
    <i t="grand">
      <x/>
    </i>
  </rowItems>
  <colItems count="1">
    <i/>
  </colItems>
  <dataFields count="1">
    <dataField name="Sum of total_price" fld="3" baseField="0" baseItem="0"/>
  </dataFields>
  <chartFormats count="12">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 chart="7" format="10">
      <pivotArea type="data" outline="0" fieldPosition="0">
        <references count="2">
          <reference field="4294967294" count="1" selected="0">
            <x v="0"/>
          </reference>
          <reference field="5" count="1" selected="0">
            <x v="2"/>
          </reference>
        </references>
      </pivotArea>
    </chartFormat>
    <chartFormat chart="7" format="11">
      <pivotArea type="data" outline="0" fieldPosition="0">
        <references count="2">
          <reference field="4294967294" count="1" selected="0">
            <x v="0"/>
          </reference>
          <reference field="5" count="1" selected="0">
            <x v="3"/>
          </reference>
        </references>
      </pivotArea>
    </chartFormat>
    <chartFormat chart="7" format="12">
      <pivotArea type="data" outline="0" fieldPosition="0">
        <references count="2">
          <reference field="4294967294" count="1" selected="0">
            <x v="0"/>
          </reference>
          <reference field="5"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5" count="1" selected="0">
            <x v="0"/>
          </reference>
        </references>
      </pivotArea>
    </chartFormat>
    <chartFormat chart="10" format="21">
      <pivotArea type="data" outline="0" fieldPosition="0">
        <references count="2">
          <reference field="4294967294" count="1" selected="0">
            <x v="0"/>
          </reference>
          <reference field="5" count="1" selected="0">
            <x v="1"/>
          </reference>
        </references>
      </pivotArea>
    </chartFormat>
    <chartFormat chart="10" format="22">
      <pivotArea type="data" outline="0" fieldPosition="0">
        <references count="2">
          <reference field="4294967294" count="1" selected="0">
            <x v="0"/>
          </reference>
          <reference field="5" count="1" selected="0">
            <x v="2"/>
          </reference>
        </references>
      </pivotArea>
    </chartFormat>
    <chartFormat chart="10" format="23">
      <pivotArea type="data" outline="0" fieldPosition="0">
        <references count="2">
          <reference field="4294967294" count="1" selected="0">
            <x v="0"/>
          </reference>
          <reference field="5" count="1" selected="0">
            <x v="3"/>
          </reference>
        </references>
      </pivotArea>
    </chartFormat>
    <chartFormat chart="10" format="2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916E2D-D22C-436B-9C97-27E951B8FE2F}"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order date ">
  <location ref="A19:C413" firstHeaderRow="0" firstDataRow="1" firstDataCol="1"/>
  <pivotFields count="23">
    <pivotField showAll="0"/>
    <pivotField showAll="0"/>
    <pivotField showAll="0"/>
    <pivotField dataField="1" showAll="0">
      <items count="308">
        <item x="4"/>
        <item x="8"/>
        <item x="2"/>
        <item x="5"/>
        <item x="61"/>
        <item x="151"/>
        <item x="259"/>
        <item x="3"/>
        <item x="50"/>
        <item x="187"/>
        <item x="68"/>
        <item x="219"/>
        <item x="77"/>
        <item x="117"/>
        <item x="244"/>
        <item x="74"/>
        <item x="65"/>
        <item x="267"/>
        <item x="52"/>
        <item x="96"/>
        <item x="38"/>
        <item x="83"/>
        <item x="239"/>
        <item x="185"/>
        <item x="6"/>
        <item x="63"/>
        <item x="279"/>
        <item x="54"/>
        <item x="111"/>
        <item x="78"/>
        <item x="298"/>
        <item x="195"/>
        <item x="229"/>
        <item x="12"/>
        <item x="36"/>
        <item x="152"/>
        <item x="119"/>
        <item x="144"/>
        <item x="243"/>
        <item x="105"/>
        <item x="154"/>
        <item x="245"/>
        <item x="165"/>
        <item x="167"/>
        <item x="101"/>
        <item x="128"/>
        <item x="99"/>
        <item x="261"/>
        <item x="248"/>
        <item x="168"/>
        <item x="9"/>
        <item x="289"/>
        <item x="25"/>
        <item x="123"/>
        <item x="49"/>
        <item x="0"/>
        <item x="59"/>
        <item x="40"/>
        <item x="252"/>
        <item x="103"/>
        <item x="156"/>
        <item x="18"/>
        <item x="84"/>
        <item x="247"/>
        <item x="282"/>
        <item x="287"/>
        <item x="89"/>
        <item x="139"/>
        <item x="19"/>
        <item x="305"/>
        <item x="70"/>
        <item x="112"/>
        <item x="13"/>
        <item x="155"/>
        <item x="207"/>
        <item x="202"/>
        <item x="104"/>
        <item x="255"/>
        <item x="268"/>
        <item x="170"/>
        <item x="201"/>
        <item x="22"/>
        <item x="199"/>
        <item x="108"/>
        <item x="232"/>
        <item x="226"/>
        <item x="182"/>
        <item x="227"/>
        <item x="258"/>
        <item x="109"/>
        <item x="271"/>
        <item x="41"/>
        <item x="64"/>
        <item x="169"/>
        <item x="122"/>
        <item x="177"/>
        <item x="216"/>
        <item x="283"/>
        <item x="293"/>
        <item x="272"/>
        <item x="191"/>
        <item x="284"/>
        <item x="218"/>
        <item x="14"/>
        <item x="172"/>
        <item x="264"/>
        <item x="93"/>
        <item x="110"/>
        <item x="115"/>
        <item x="297"/>
        <item x="233"/>
        <item x="76"/>
        <item x="58"/>
        <item x="125"/>
        <item x="86"/>
        <item x="136"/>
        <item x="148"/>
        <item x="249"/>
        <item x="126"/>
        <item x="204"/>
        <item x="224"/>
        <item x="173"/>
        <item x="90"/>
        <item x="45"/>
        <item x="246"/>
        <item x="294"/>
        <item x="16"/>
        <item x="33"/>
        <item x="222"/>
        <item x="57"/>
        <item x="116"/>
        <item x="193"/>
        <item x="234"/>
        <item x="20"/>
        <item x="145"/>
        <item x="228"/>
        <item x="157"/>
        <item x="203"/>
        <item x="56"/>
        <item x="253"/>
        <item x="124"/>
        <item x="107"/>
        <item x="138"/>
        <item x="37"/>
        <item x="211"/>
        <item x="174"/>
        <item x="46"/>
        <item x="162"/>
        <item x="206"/>
        <item x="94"/>
        <item x="88"/>
        <item x="10"/>
        <item x="217"/>
        <item x="179"/>
        <item x="223"/>
        <item x="159"/>
        <item x="205"/>
        <item x="208"/>
        <item x="102"/>
        <item x="95"/>
        <item x="30"/>
        <item x="26"/>
        <item x="161"/>
        <item x="238"/>
        <item x="75"/>
        <item x="66"/>
        <item x="301"/>
        <item x="114"/>
        <item x="197"/>
        <item x="295"/>
        <item x="299"/>
        <item x="143"/>
        <item x="47"/>
        <item x="142"/>
        <item x="251"/>
        <item x="1"/>
        <item x="266"/>
        <item x="150"/>
        <item x="184"/>
        <item x="53"/>
        <item x="106"/>
        <item x="214"/>
        <item x="237"/>
        <item x="91"/>
        <item x="35"/>
        <item x="51"/>
        <item x="82"/>
        <item x="291"/>
        <item x="28"/>
        <item x="176"/>
        <item x="98"/>
        <item x="212"/>
        <item x="134"/>
        <item x="292"/>
        <item x="286"/>
        <item x="241"/>
        <item x="118"/>
        <item x="256"/>
        <item x="303"/>
        <item x="17"/>
        <item x="149"/>
        <item x="71"/>
        <item x="221"/>
        <item x="171"/>
        <item x="81"/>
        <item x="186"/>
        <item x="178"/>
        <item x="163"/>
        <item x="230"/>
        <item x="180"/>
        <item x="140"/>
        <item x="280"/>
        <item x="194"/>
        <item x="277"/>
        <item x="200"/>
        <item x="198"/>
        <item x="231"/>
        <item x="225"/>
        <item x="133"/>
        <item x="262"/>
        <item x="21"/>
        <item x="67"/>
        <item x="250"/>
        <item x="11"/>
        <item x="135"/>
        <item x="254"/>
        <item x="263"/>
        <item x="120"/>
        <item x="175"/>
        <item x="188"/>
        <item x="153"/>
        <item x="146"/>
        <item x="190"/>
        <item x="265"/>
        <item x="240"/>
        <item x="27"/>
        <item x="43"/>
        <item x="276"/>
        <item x="273"/>
        <item x="87"/>
        <item x="34"/>
        <item x="278"/>
        <item x="304"/>
        <item x="302"/>
        <item x="181"/>
        <item x="48"/>
        <item x="189"/>
        <item x="44"/>
        <item x="235"/>
        <item x="137"/>
        <item x="113"/>
        <item x="129"/>
        <item x="32"/>
        <item x="275"/>
        <item x="160"/>
        <item x="29"/>
        <item x="147"/>
        <item x="24"/>
        <item x="130"/>
        <item x="270"/>
        <item x="42"/>
        <item x="209"/>
        <item x="166"/>
        <item x="15"/>
        <item x="290"/>
        <item x="121"/>
        <item x="158"/>
        <item x="236"/>
        <item x="127"/>
        <item x="62"/>
        <item x="72"/>
        <item x="260"/>
        <item x="23"/>
        <item x="281"/>
        <item x="60"/>
        <item x="300"/>
        <item x="210"/>
        <item x="132"/>
        <item x="39"/>
        <item x="296"/>
        <item x="100"/>
        <item x="220"/>
        <item x="288"/>
        <item x="131"/>
        <item x="73"/>
        <item x="97"/>
        <item x="274"/>
        <item x="285"/>
        <item x="269"/>
        <item x="242"/>
        <item x="141"/>
        <item x="85"/>
        <item x="192"/>
        <item x="164"/>
        <item x="55"/>
        <item x="196"/>
        <item x="79"/>
        <item x="183"/>
        <item x="306"/>
        <item x="31"/>
        <item x="213"/>
        <item x="69"/>
        <item x="80"/>
        <item x="92"/>
        <item x="7"/>
        <item x="257"/>
        <item x="215"/>
        <item t="default"/>
      </items>
    </pivotField>
    <pivotField axis="axisRow" showAll="0">
      <items count="394">
        <item x="101"/>
        <item x="82"/>
        <item x="375"/>
        <item x="356"/>
        <item x="369"/>
        <item x="388"/>
        <item x="384"/>
        <item x="318"/>
        <item x="367"/>
        <item x="323"/>
        <item x="84"/>
        <item x="216"/>
        <item x="197"/>
        <item x="210"/>
        <item x="23"/>
        <item x="274"/>
        <item x="290"/>
        <item x="270"/>
        <item x="273"/>
        <item x="362"/>
        <item x="378"/>
        <item x="52"/>
        <item x="161"/>
        <item x="306"/>
        <item x="70"/>
        <item x="85"/>
        <item x="302"/>
        <item x="390"/>
        <item x="154"/>
        <item x="129"/>
        <item x="46"/>
        <item x="62"/>
        <item x="347"/>
        <item x="64"/>
        <item x="332"/>
        <item x="48"/>
        <item x="291"/>
        <item x="248"/>
        <item x="204"/>
        <item x="76"/>
        <item x="73"/>
        <item x="357"/>
        <item x="260"/>
        <item x="320"/>
        <item x="81"/>
        <item x="344"/>
        <item x="206"/>
        <item x="127"/>
        <item x="255"/>
        <item x="261"/>
        <item x="229"/>
        <item x="253"/>
        <item x="98"/>
        <item x="180"/>
        <item x="352"/>
        <item x="123"/>
        <item x="143"/>
        <item x="165"/>
        <item x="95"/>
        <item x="177"/>
        <item x="166"/>
        <item x="279"/>
        <item x="315"/>
        <item x="351"/>
        <item x="116"/>
        <item x="189"/>
        <item x="339"/>
        <item x="125"/>
        <item x="348"/>
        <item x="130"/>
        <item x="282"/>
        <item x="145"/>
        <item x="321"/>
        <item x="209"/>
        <item x="131"/>
        <item x="292"/>
        <item x="245"/>
        <item x="150"/>
        <item x="335"/>
        <item x="242"/>
        <item x="294"/>
        <item x="278"/>
        <item x="238"/>
        <item x="310"/>
        <item x="120"/>
        <item x="97"/>
        <item x="121"/>
        <item x="244"/>
        <item x="234"/>
        <item x="91"/>
        <item x="181"/>
        <item x="228"/>
        <item x="113"/>
        <item x="225"/>
        <item x="311"/>
        <item x="90"/>
        <item x="389"/>
        <item x="289"/>
        <item x="147"/>
        <item x="139"/>
        <item x="213"/>
        <item x="224"/>
        <item x="152"/>
        <item x="198"/>
        <item x="151"/>
        <item x="249"/>
        <item x="184"/>
        <item x="371"/>
        <item x="303"/>
        <item x="135"/>
        <item x="287"/>
        <item x="205"/>
        <item x="160"/>
        <item x="164"/>
        <item x="252"/>
        <item x="298"/>
        <item x="259"/>
        <item x="146"/>
        <item x="203"/>
        <item x="148"/>
        <item x="277"/>
        <item x="363"/>
        <item x="208"/>
        <item x="190"/>
        <item x="231"/>
        <item x="99"/>
        <item x="240"/>
        <item x="336"/>
        <item x="195"/>
        <item x="141"/>
        <item x="235"/>
        <item x="330"/>
        <item x="171"/>
        <item x="191"/>
        <item x="288"/>
        <item x="149"/>
        <item x="219"/>
        <item x="193"/>
        <item x="89"/>
        <item x="317"/>
        <item x="174"/>
        <item x="346"/>
        <item x="370"/>
        <item x="250"/>
        <item x="133"/>
        <item x="324"/>
        <item x="358"/>
        <item x="275"/>
        <item x="269"/>
        <item x="220"/>
        <item x="376"/>
        <item x="314"/>
        <item x="236"/>
        <item x="105"/>
        <item x="305"/>
        <item x="156"/>
        <item x="188"/>
        <item x="247"/>
        <item x="211"/>
        <item x="295"/>
        <item x="340"/>
        <item x="293"/>
        <item x="345"/>
        <item x="185"/>
        <item x="243"/>
        <item x="223"/>
        <item x="207"/>
        <item x="192"/>
        <item x="308"/>
        <item x="262"/>
        <item x="265"/>
        <item x="122"/>
        <item x="175"/>
        <item x="163"/>
        <item x="183"/>
        <item x="214"/>
        <item x="233"/>
        <item x="333"/>
        <item x="162"/>
        <item x="169"/>
        <item x="365"/>
        <item x="186"/>
        <item x="359"/>
        <item x="132"/>
        <item x="199"/>
        <item x="201"/>
        <item x="301"/>
        <item x="54"/>
        <item x="7"/>
        <item x="75"/>
        <item x="80"/>
        <item x="14"/>
        <item x="43"/>
        <item x="72"/>
        <item x="31"/>
        <item x="40"/>
        <item x="12"/>
        <item x="29"/>
        <item x="45"/>
        <item x="5"/>
        <item x="283"/>
        <item x="18"/>
        <item x="26"/>
        <item x="69"/>
        <item x="10"/>
        <item x="24"/>
        <item x="15"/>
        <item x="33"/>
        <item x="28"/>
        <item x="88"/>
        <item x="6"/>
        <item x="79"/>
        <item x="17"/>
        <item x="16"/>
        <item x="44"/>
        <item x="55"/>
        <item x="53"/>
        <item x="86"/>
        <item x="8"/>
        <item x="87"/>
        <item x="56"/>
        <item x="67"/>
        <item x="51"/>
        <item x="9"/>
        <item x="19"/>
        <item x="22"/>
        <item x="50"/>
        <item x="20"/>
        <item x="4"/>
        <item x="0"/>
        <item x="37"/>
        <item x="60"/>
        <item x="49"/>
        <item x="13"/>
        <item x="1"/>
        <item x="77"/>
        <item x="63"/>
        <item x="57"/>
        <item x="66"/>
        <item x="11"/>
        <item x="25"/>
        <item x="61"/>
        <item x="3"/>
        <item x="68"/>
        <item x="27"/>
        <item x="47"/>
        <item x="2"/>
        <item x="41"/>
        <item x="65"/>
        <item x="71"/>
        <item x="32"/>
        <item x="42"/>
        <item x="36"/>
        <item x="34"/>
        <item x="59"/>
        <item x="39"/>
        <item x="58"/>
        <item x="21"/>
        <item x="30"/>
        <item x="35"/>
        <item x="74"/>
        <item x="170"/>
        <item x="126"/>
        <item x="373"/>
        <item x="366"/>
        <item x="361"/>
        <item x="241"/>
        <item x="374"/>
        <item x="138"/>
        <item x="202"/>
        <item x="286"/>
        <item x="173"/>
        <item x="107"/>
        <item x="246"/>
        <item x="134"/>
        <item x="172"/>
        <item x="341"/>
        <item x="327"/>
        <item x="251"/>
        <item x="360"/>
        <item x="334"/>
        <item x="237"/>
        <item x="117"/>
        <item x="140"/>
        <item x="284"/>
        <item x="372"/>
        <item x="353"/>
        <item x="313"/>
        <item x="257"/>
        <item x="271"/>
        <item x="307"/>
        <item x="118"/>
        <item x="100"/>
        <item x="102"/>
        <item x="167"/>
        <item x="124"/>
        <item x="200"/>
        <item x="158"/>
        <item x="285"/>
        <item x="93"/>
        <item x="326"/>
        <item x="128"/>
        <item x="230"/>
        <item x="387"/>
        <item x="272"/>
        <item x="281"/>
        <item x="329"/>
        <item x="383"/>
        <item x="264"/>
        <item x="232"/>
        <item x="312"/>
        <item x="144"/>
        <item x="153"/>
        <item x="350"/>
        <item x="157"/>
        <item x="227"/>
        <item x="280"/>
        <item x="258"/>
        <item x="239"/>
        <item x="368"/>
        <item x="212"/>
        <item x="267"/>
        <item x="254"/>
        <item x="106"/>
        <item x="266"/>
        <item x="385"/>
        <item x="263"/>
        <item x="276"/>
        <item x="309"/>
        <item x="331"/>
        <item x="111"/>
        <item x="179"/>
        <item x="115"/>
        <item x="108"/>
        <item x="322"/>
        <item x="377"/>
        <item x="343"/>
        <item x="256"/>
        <item x="112"/>
        <item x="110"/>
        <item x="222"/>
        <item x="178"/>
        <item x="92"/>
        <item x="159"/>
        <item x="136"/>
        <item x="337"/>
        <item x="137"/>
        <item x="196"/>
        <item x="338"/>
        <item x="221"/>
        <item x="342"/>
        <item x="96"/>
        <item x="176"/>
        <item x="104"/>
        <item x="226"/>
        <item x="380"/>
        <item x="155"/>
        <item x="300"/>
        <item x="218"/>
        <item x="109"/>
        <item x="304"/>
        <item x="187"/>
        <item x="103"/>
        <item x="217"/>
        <item x="182"/>
        <item x="168"/>
        <item x="94"/>
        <item x="119"/>
        <item x="194"/>
        <item x="379"/>
        <item x="355"/>
        <item x="392"/>
        <item x="299"/>
        <item x="349"/>
        <item x="78"/>
        <item x="386"/>
        <item x="38"/>
        <item x="316"/>
        <item x="319"/>
        <item x="114"/>
        <item x="297"/>
        <item x="382"/>
        <item x="268"/>
        <item x="296"/>
        <item x="215"/>
        <item x="325"/>
        <item x="364"/>
        <item x="142"/>
        <item x="354"/>
        <item x="83"/>
        <item x="391"/>
        <item x="381"/>
        <item x="328"/>
        <item t="default"/>
      </items>
    </pivotField>
    <pivotField showAll="0"/>
    <pivotField showAll="0"/>
    <pivotField showAll="0"/>
    <pivotField showAll="0"/>
    <pivotField showAll="0"/>
    <pivotField dataField="1" showAll="0">
      <items count="7">
        <item x="2"/>
        <item x="5"/>
        <item x="0"/>
        <item x="3"/>
        <item x="1"/>
        <item x="4"/>
        <item t="default"/>
      </items>
    </pivotField>
    <pivotField showAll="0"/>
    <pivotField showAll="0"/>
    <pivotField showAll="0"/>
    <pivotField showAll="0">
      <items count="2">
        <item x="0"/>
        <item t="default"/>
      </items>
    </pivotField>
    <pivotField numFmtId="14" showAll="0"/>
    <pivotField showAll="0"/>
    <pivotField showAll="0"/>
    <pivotField showAll="0"/>
    <pivotField showAll="0"/>
    <pivotField showAll="0"/>
    <pivotField showAll="0"/>
    <pivotField showAll="0">
      <items count="5">
        <item x="0"/>
        <item x="2"/>
        <item x="1"/>
        <item x="3"/>
        <item t="default"/>
      </items>
    </pivotField>
  </pivotFields>
  <rowFields count="1">
    <field x="4"/>
  </rowFields>
  <rowItems count="3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t="grand">
      <x/>
    </i>
  </rowItems>
  <colFields count="1">
    <field x="-2"/>
  </colFields>
  <colItems count="2">
    <i>
      <x/>
    </i>
    <i i="1">
      <x v="1"/>
    </i>
  </colItems>
  <dataFields count="2">
    <dataField name="Sum of total_price" fld="3" baseField="0" baseItem="0"/>
    <dataField name="Sum of sale_price" fld="1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BE4204-E716-4EB7-8A05-AFDC4BCC3333}"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eement method ">
  <location ref="A3:B12" firstHeaderRow="1" firstDataRow="1" firstDataCol="1"/>
  <pivotFields count="23">
    <pivotField showAll="0">
      <items count="13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t="default"/>
      </items>
    </pivotField>
    <pivotField showAll="0">
      <items count="4">
        <item x="1"/>
        <item x="0"/>
        <item x="2"/>
        <item t="default"/>
      </items>
    </pivotField>
    <pivotField showAll="0">
      <items count="7">
        <item x="2"/>
        <item x="5"/>
        <item x="0"/>
        <item x="3"/>
        <item x="1"/>
        <item x="4"/>
        <item t="default"/>
      </items>
    </pivotField>
    <pivotField showAll="0">
      <items count="308">
        <item x="4"/>
        <item x="8"/>
        <item x="2"/>
        <item x="5"/>
        <item x="61"/>
        <item x="151"/>
        <item x="259"/>
        <item x="3"/>
        <item x="50"/>
        <item x="187"/>
        <item x="68"/>
        <item x="219"/>
        <item x="77"/>
        <item x="117"/>
        <item x="244"/>
        <item x="74"/>
        <item x="65"/>
        <item x="267"/>
        <item x="52"/>
        <item x="96"/>
        <item x="38"/>
        <item x="83"/>
        <item x="239"/>
        <item x="185"/>
        <item x="6"/>
        <item x="63"/>
        <item x="279"/>
        <item x="54"/>
        <item x="111"/>
        <item x="78"/>
        <item x="298"/>
        <item x="195"/>
        <item x="229"/>
        <item x="12"/>
        <item x="36"/>
        <item x="152"/>
        <item x="119"/>
        <item x="144"/>
        <item x="243"/>
        <item x="105"/>
        <item x="154"/>
        <item x="245"/>
        <item x="165"/>
        <item x="167"/>
        <item x="101"/>
        <item x="128"/>
        <item x="99"/>
        <item x="261"/>
        <item x="248"/>
        <item x="168"/>
        <item x="9"/>
        <item x="289"/>
        <item x="25"/>
        <item x="123"/>
        <item x="49"/>
        <item x="0"/>
        <item x="59"/>
        <item x="40"/>
        <item x="252"/>
        <item x="103"/>
        <item x="156"/>
        <item x="18"/>
        <item x="84"/>
        <item x="247"/>
        <item x="282"/>
        <item x="287"/>
        <item x="89"/>
        <item x="139"/>
        <item x="19"/>
        <item x="305"/>
        <item x="70"/>
        <item x="112"/>
        <item x="13"/>
        <item x="155"/>
        <item x="207"/>
        <item x="202"/>
        <item x="104"/>
        <item x="255"/>
        <item x="268"/>
        <item x="170"/>
        <item x="201"/>
        <item x="22"/>
        <item x="199"/>
        <item x="108"/>
        <item x="232"/>
        <item x="226"/>
        <item x="182"/>
        <item x="227"/>
        <item x="258"/>
        <item x="109"/>
        <item x="271"/>
        <item x="41"/>
        <item x="64"/>
        <item x="169"/>
        <item x="122"/>
        <item x="177"/>
        <item x="216"/>
        <item x="283"/>
        <item x="293"/>
        <item x="272"/>
        <item x="191"/>
        <item x="284"/>
        <item x="218"/>
        <item x="14"/>
        <item x="172"/>
        <item x="264"/>
        <item x="93"/>
        <item x="110"/>
        <item x="115"/>
        <item x="297"/>
        <item x="233"/>
        <item x="76"/>
        <item x="58"/>
        <item x="125"/>
        <item x="86"/>
        <item x="136"/>
        <item x="148"/>
        <item x="249"/>
        <item x="126"/>
        <item x="204"/>
        <item x="224"/>
        <item x="173"/>
        <item x="90"/>
        <item x="45"/>
        <item x="246"/>
        <item x="294"/>
        <item x="16"/>
        <item x="33"/>
        <item x="222"/>
        <item x="57"/>
        <item x="116"/>
        <item x="193"/>
        <item x="234"/>
        <item x="20"/>
        <item x="145"/>
        <item x="228"/>
        <item x="157"/>
        <item x="203"/>
        <item x="56"/>
        <item x="253"/>
        <item x="124"/>
        <item x="107"/>
        <item x="138"/>
        <item x="37"/>
        <item x="211"/>
        <item x="174"/>
        <item x="46"/>
        <item x="162"/>
        <item x="206"/>
        <item x="94"/>
        <item x="88"/>
        <item x="10"/>
        <item x="217"/>
        <item x="179"/>
        <item x="223"/>
        <item x="159"/>
        <item x="205"/>
        <item x="208"/>
        <item x="102"/>
        <item x="95"/>
        <item x="30"/>
        <item x="26"/>
        <item x="161"/>
        <item x="238"/>
        <item x="75"/>
        <item x="66"/>
        <item x="301"/>
        <item x="114"/>
        <item x="197"/>
        <item x="295"/>
        <item x="299"/>
        <item x="143"/>
        <item x="47"/>
        <item x="142"/>
        <item x="251"/>
        <item x="1"/>
        <item x="266"/>
        <item x="150"/>
        <item x="184"/>
        <item x="53"/>
        <item x="106"/>
        <item x="214"/>
        <item x="237"/>
        <item x="91"/>
        <item x="35"/>
        <item x="51"/>
        <item x="82"/>
        <item x="291"/>
        <item x="28"/>
        <item x="176"/>
        <item x="98"/>
        <item x="212"/>
        <item x="134"/>
        <item x="292"/>
        <item x="286"/>
        <item x="241"/>
        <item x="118"/>
        <item x="256"/>
        <item x="303"/>
        <item x="17"/>
        <item x="149"/>
        <item x="71"/>
        <item x="221"/>
        <item x="171"/>
        <item x="81"/>
        <item x="186"/>
        <item x="178"/>
        <item x="163"/>
        <item x="230"/>
        <item x="180"/>
        <item x="140"/>
        <item x="280"/>
        <item x="194"/>
        <item x="277"/>
        <item x="200"/>
        <item x="198"/>
        <item x="231"/>
        <item x="225"/>
        <item x="133"/>
        <item x="262"/>
        <item x="21"/>
        <item x="67"/>
        <item x="250"/>
        <item x="11"/>
        <item x="135"/>
        <item x="254"/>
        <item x="263"/>
        <item x="120"/>
        <item x="175"/>
        <item x="188"/>
        <item x="153"/>
        <item x="146"/>
        <item x="190"/>
        <item x="265"/>
        <item x="240"/>
        <item x="27"/>
        <item x="43"/>
        <item x="276"/>
        <item x="273"/>
        <item x="87"/>
        <item x="34"/>
        <item x="278"/>
        <item x="304"/>
        <item x="302"/>
        <item x="181"/>
        <item x="48"/>
        <item x="189"/>
        <item x="44"/>
        <item x="235"/>
        <item x="137"/>
        <item x="113"/>
        <item x="129"/>
        <item x="32"/>
        <item x="275"/>
        <item x="160"/>
        <item x="29"/>
        <item x="147"/>
        <item x="24"/>
        <item x="130"/>
        <item x="270"/>
        <item x="42"/>
        <item x="209"/>
        <item x="166"/>
        <item x="15"/>
        <item x="290"/>
        <item x="121"/>
        <item x="158"/>
        <item x="236"/>
        <item x="127"/>
        <item x="62"/>
        <item x="72"/>
        <item x="260"/>
        <item x="23"/>
        <item x="281"/>
        <item x="60"/>
        <item x="300"/>
        <item x="210"/>
        <item x="132"/>
        <item x="39"/>
        <item x="296"/>
        <item x="100"/>
        <item x="220"/>
        <item x="288"/>
        <item x="131"/>
        <item x="73"/>
        <item x="97"/>
        <item x="274"/>
        <item x="285"/>
        <item x="269"/>
        <item x="242"/>
        <item x="141"/>
        <item x="85"/>
        <item x="192"/>
        <item x="164"/>
        <item x="55"/>
        <item x="196"/>
        <item x="79"/>
        <item x="183"/>
        <item x="306"/>
        <item x="31"/>
        <item x="213"/>
        <item x="69"/>
        <item x="80"/>
        <item x="92"/>
        <item x="7"/>
        <item x="257"/>
        <item x="215"/>
        <item t="default"/>
      </items>
    </pivotField>
    <pivotField showAll="0">
      <items count="394">
        <item x="101"/>
        <item x="82"/>
        <item x="375"/>
        <item x="356"/>
        <item x="369"/>
        <item x="388"/>
        <item x="384"/>
        <item x="318"/>
        <item x="367"/>
        <item x="323"/>
        <item x="84"/>
        <item x="216"/>
        <item x="197"/>
        <item x="210"/>
        <item x="23"/>
        <item x="274"/>
        <item x="290"/>
        <item x="270"/>
        <item x="273"/>
        <item x="362"/>
        <item x="378"/>
        <item x="52"/>
        <item x="161"/>
        <item x="306"/>
        <item x="70"/>
        <item x="85"/>
        <item x="302"/>
        <item x="390"/>
        <item x="154"/>
        <item x="129"/>
        <item x="46"/>
        <item x="62"/>
        <item x="347"/>
        <item x="64"/>
        <item x="332"/>
        <item x="48"/>
        <item x="291"/>
        <item x="248"/>
        <item x="204"/>
        <item x="76"/>
        <item x="73"/>
        <item x="357"/>
        <item x="260"/>
        <item x="320"/>
        <item x="81"/>
        <item x="344"/>
        <item x="206"/>
        <item x="127"/>
        <item x="255"/>
        <item x="261"/>
        <item x="229"/>
        <item x="253"/>
        <item x="98"/>
        <item x="180"/>
        <item x="352"/>
        <item x="123"/>
        <item x="143"/>
        <item x="165"/>
        <item x="95"/>
        <item x="177"/>
        <item x="166"/>
        <item x="279"/>
        <item x="315"/>
        <item x="351"/>
        <item x="116"/>
        <item x="189"/>
        <item x="339"/>
        <item x="125"/>
        <item x="348"/>
        <item x="130"/>
        <item x="282"/>
        <item x="145"/>
        <item x="321"/>
        <item x="209"/>
        <item x="131"/>
        <item x="292"/>
        <item x="245"/>
        <item x="150"/>
        <item x="335"/>
        <item x="242"/>
        <item x="294"/>
        <item x="278"/>
        <item x="238"/>
        <item x="310"/>
        <item x="120"/>
        <item x="97"/>
        <item x="121"/>
        <item x="244"/>
        <item x="234"/>
        <item x="91"/>
        <item x="181"/>
        <item x="228"/>
        <item x="113"/>
        <item x="225"/>
        <item x="311"/>
        <item x="90"/>
        <item x="389"/>
        <item x="289"/>
        <item x="147"/>
        <item x="139"/>
        <item x="213"/>
        <item x="224"/>
        <item x="152"/>
        <item x="198"/>
        <item x="151"/>
        <item x="249"/>
        <item x="184"/>
        <item x="371"/>
        <item x="303"/>
        <item x="135"/>
        <item x="287"/>
        <item x="205"/>
        <item x="160"/>
        <item x="164"/>
        <item x="252"/>
        <item x="298"/>
        <item x="259"/>
        <item x="146"/>
        <item x="203"/>
        <item x="148"/>
        <item x="277"/>
        <item x="363"/>
        <item x="208"/>
        <item x="190"/>
        <item x="231"/>
        <item x="99"/>
        <item x="240"/>
        <item x="336"/>
        <item x="195"/>
        <item x="141"/>
        <item x="235"/>
        <item x="330"/>
        <item x="171"/>
        <item x="191"/>
        <item x="288"/>
        <item x="149"/>
        <item x="219"/>
        <item x="193"/>
        <item x="89"/>
        <item x="317"/>
        <item x="174"/>
        <item x="346"/>
        <item x="370"/>
        <item x="250"/>
        <item x="133"/>
        <item x="324"/>
        <item x="358"/>
        <item x="275"/>
        <item x="269"/>
        <item x="220"/>
        <item x="376"/>
        <item x="314"/>
        <item x="236"/>
        <item x="105"/>
        <item x="305"/>
        <item x="156"/>
        <item x="188"/>
        <item x="247"/>
        <item x="211"/>
        <item x="295"/>
        <item x="340"/>
        <item x="293"/>
        <item x="345"/>
        <item x="185"/>
        <item x="243"/>
        <item x="223"/>
        <item x="207"/>
        <item x="192"/>
        <item x="308"/>
        <item x="262"/>
        <item x="265"/>
        <item x="122"/>
        <item x="175"/>
        <item x="163"/>
        <item x="183"/>
        <item x="214"/>
        <item x="233"/>
        <item x="333"/>
        <item x="162"/>
        <item x="169"/>
        <item x="365"/>
        <item x="186"/>
        <item x="359"/>
        <item x="132"/>
        <item x="199"/>
        <item x="201"/>
        <item x="301"/>
        <item x="54"/>
        <item x="7"/>
        <item x="75"/>
        <item x="80"/>
        <item x="14"/>
        <item x="43"/>
        <item x="72"/>
        <item x="31"/>
        <item x="40"/>
        <item x="12"/>
        <item x="29"/>
        <item x="45"/>
        <item x="5"/>
        <item x="283"/>
        <item x="18"/>
        <item x="26"/>
        <item x="69"/>
        <item x="10"/>
        <item x="24"/>
        <item x="15"/>
        <item x="33"/>
        <item x="28"/>
        <item x="88"/>
        <item x="6"/>
        <item x="79"/>
        <item x="17"/>
        <item x="16"/>
        <item x="44"/>
        <item x="55"/>
        <item x="53"/>
        <item x="86"/>
        <item x="8"/>
        <item x="87"/>
        <item x="56"/>
        <item x="67"/>
        <item x="51"/>
        <item x="9"/>
        <item x="19"/>
        <item x="22"/>
        <item x="50"/>
        <item x="20"/>
        <item x="4"/>
        <item x="0"/>
        <item x="37"/>
        <item x="60"/>
        <item x="49"/>
        <item x="13"/>
        <item x="1"/>
        <item x="77"/>
        <item x="63"/>
        <item x="57"/>
        <item x="66"/>
        <item x="11"/>
        <item x="25"/>
        <item x="61"/>
        <item x="3"/>
        <item x="68"/>
        <item x="27"/>
        <item x="47"/>
        <item x="2"/>
        <item x="41"/>
        <item x="65"/>
        <item x="71"/>
        <item x="32"/>
        <item x="42"/>
        <item x="36"/>
        <item x="34"/>
        <item x="59"/>
        <item x="39"/>
        <item x="58"/>
        <item x="21"/>
        <item x="30"/>
        <item x="35"/>
        <item x="74"/>
        <item x="170"/>
        <item x="126"/>
        <item x="373"/>
        <item x="366"/>
        <item x="361"/>
        <item x="241"/>
        <item x="374"/>
        <item x="138"/>
        <item x="202"/>
        <item x="286"/>
        <item x="173"/>
        <item x="107"/>
        <item x="246"/>
        <item x="134"/>
        <item x="172"/>
        <item x="341"/>
        <item x="327"/>
        <item x="251"/>
        <item x="360"/>
        <item x="334"/>
        <item x="237"/>
        <item x="117"/>
        <item x="140"/>
        <item x="284"/>
        <item x="372"/>
        <item x="353"/>
        <item x="313"/>
        <item x="257"/>
        <item x="271"/>
        <item x="307"/>
        <item x="118"/>
        <item x="100"/>
        <item x="102"/>
        <item x="167"/>
        <item x="124"/>
        <item x="200"/>
        <item x="158"/>
        <item x="285"/>
        <item x="93"/>
        <item x="326"/>
        <item x="128"/>
        <item x="230"/>
        <item x="387"/>
        <item x="272"/>
        <item x="281"/>
        <item x="329"/>
        <item x="383"/>
        <item x="264"/>
        <item x="232"/>
        <item x="312"/>
        <item x="144"/>
        <item x="153"/>
        <item x="350"/>
        <item x="157"/>
        <item x="227"/>
        <item x="280"/>
        <item x="258"/>
        <item x="239"/>
        <item x="368"/>
        <item x="212"/>
        <item x="267"/>
        <item x="254"/>
        <item x="106"/>
        <item x="266"/>
        <item x="385"/>
        <item x="263"/>
        <item x="276"/>
        <item x="309"/>
        <item x="331"/>
        <item x="111"/>
        <item x="179"/>
        <item x="115"/>
        <item x="108"/>
        <item x="322"/>
        <item x="377"/>
        <item x="343"/>
        <item x="256"/>
        <item x="112"/>
        <item x="110"/>
        <item x="222"/>
        <item x="178"/>
        <item x="92"/>
        <item x="159"/>
        <item x="136"/>
        <item x="337"/>
        <item x="137"/>
        <item x="196"/>
        <item x="338"/>
        <item x="221"/>
        <item x="342"/>
        <item x="96"/>
        <item x="176"/>
        <item x="104"/>
        <item x="226"/>
        <item x="380"/>
        <item x="155"/>
        <item x="300"/>
        <item x="218"/>
        <item x="109"/>
        <item x="304"/>
        <item x="187"/>
        <item x="103"/>
        <item x="217"/>
        <item x="182"/>
        <item x="168"/>
        <item x="94"/>
        <item x="119"/>
        <item x="194"/>
        <item x="379"/>
        <item x="355"/>
        <item x="392"/>
        <item x="299"/>
        <item x="349"/>
        <item x="78"/>
        <item x="386"/>
        <item x="38"/>
        <item x="316"/>
        <item x="319"/>
        <item x="114"/>
        <item x="297"/>
        <item x="382"/>
        <item x="268"/>
        <item x="296"/>
        <item x="215"/>
        <item x="325"/>
        <item x="364"/>
        <item x="142"/>
        <item x="354"/>
        <item x="83"/>
        <item x="391"/>
        <item x="381"/>
        <item x="328"/>
        <item t="default"/>
      </items>
    </pivotField>
    <pivotField showAll="0">
      <items count="6">
        <item x="3"/>
        <item x="0"/>
        <item x="2"/>
        <item x="1"/>
        <item x="4"/>
        <item t="default"/>
      </items>
    </pivotField>
    <pivotField showAll="0">
      <items count="25">
        <item x="2"/>
        <item x="0"/>
        <item x="1"/>
        <item x="15"/>
        <item x="14"/>
        <item x="17"/>
        <item x="7"/>
        <item x="9"/>
        <item x="21"/>
        <item x="13"/>
        <item x="8"/>
        <item x="6"/>
        <item x="16"/>
        <item x="10"/>
        <item x="4"/>
        <item x="12"/>
        <item x="19"/>
        <item x="11"/>
        <item x="3"/>
        <item x="5"/>
        <item x="20"/>
        <item x="23"/>
        <item x="18"/>
        <item x="22"/>
        <item t="default"/>
      </items>
    </pivotField>
    <pivotField axis="axisRow" showAll="0">
      <items count="5">
        <item x="0"/>
        <item x="2"/>
        <item x="1"/>
        <item x="3"/>
        <item t="default"/>
      </items>
    </pivotField>
    <pivotField showAll="0">
      <items count="7">
        <item x="1"/>
        <item x="0"/>
        <item x="2"/>
        <item x="4"/>
        <item x="5"/>
        <item x="3"/>
        <item t="default"/>
      </items>
    </pivotField>
    <pivotField showAll="0">
      <items count="7">
        <item x="2"/>
        <item x="5"/>
        <item x="0"/>
        <item x="3"/>
        <item x="1"/>
        <item x="4"/>
        <item t="default"/>
      </items>
    </pivotField>
    <pivotField dataField="1" showAll="0">
      <items count="7">
        <item x="2"/>
        <item x="5"/>
        <item x="0"/>
        <item x="3"/>
        <item x="1"/>
        <item x="4"/>
        <item t="default"/>
      </items>
    </pivotField>
    <pivotField showAll="0">
      <items count="4">
        <item x="2"/>
        <item x="1"/>
        <item x="0"/>
        <item t="default"/>
      </items>
    </pivotField>
    <pivotField showAll="0">
      <items count="4">
        <item x="0"/>
        <item x="2"/>
        <item x="1"/>
        <item t="default"/>
      </items>
    </pivotField>
    <pivotField showAll="0">
      <items count="4">
        <item x="2"/>
        <item x="0"/>
        <item x="1"/>
        <item t="default"/>
      </items>
    </pivotField>
    <pivotField axis="axisRow" showAll="0">
      <items count="2">
        <item x="0"/>
        <item t="default"/>
      </items>
    </pivotField>
    <pivotField numFmtId="14" showAll="0">
      <items count="4">
        <item x="2"/>
        <item x="0"/>
        <item x="1"/>
        <item t="default"/>
      </items>
    </pivotField>
    <pivotField showAll="0">
      <items count="307">
        <item x="86"/>
        <item x="96"/>
        <item x="109"/>
        <item x="289"/>
        <item x="217"/>
        <item x="112"/>
        <item x="288"/>
        <item x="37"/>
        <item x="185"/>
        <item x="46"/>
        <item x="129"/>
        <item x="58"/>
        <item x="77"/>
        <item x="99"/>
        <item x="143"/>
        <item x="59"/>
        <item x="259"/>
        <item x="165"/>
        <item x="173"/>
        <item x="16"/>
        <item x="82"/>
        <item x="34"/>
        <item x="199"/>
        <item x="285"/>
        <item x="214"/>
        <item x="195"/>
        <item x="253"/>
        <item x="163"/>
        <item x="197"/>
        <item x="28"/>
        <item x="161"/>
        <item x="225"/>
        <item x="220"/>
        <item x="18"/>
        <item x="128"/>
        <item x="209"/>
        <item x="264"/>
        <item x="14"/>
        <item x="43"/>
        <item x="13"/>
        <item x="47"/>
        <item x="56"/>
        <item x="283"/>
        <item x="236"/>
        <item x="294"/>
        <item x="79"/>
        <item x="284"/>
        <item x="231"/>
        <item x="273"/>
        <item x="67"/>
        <item x="248"/>
        <item x="159"/>
        <item x="122"/>
        <item x="213"/>
        <item x="233"/>
        <item x="267"/>
        <item x="183"/>
        <item x="191"/>
        <item x="219"/>
        <item x="118"/>
        <item x="60"/>
        <item x="85"/>
        <item x="29"/>
        <item x="238"/>
        <item x="32"/>
        <item x="265"/>
        <item x="270"/>
        <item x="44"/>
        <item x="26"/>
        <item x="87"/>
        <item x="2"/>
        <item x="89"/>
        <item x="68"/>
        <item x="5"/>
        <item x="107"/>
        <item x="1"/>
        <item x="252"/>
        <item x="9"/>
        <item x="90"/>
        <item x="19"/>
        <item x="39"/>
        <item x="212"/>
        <item x="254"/>
        <item x="27"/>
        <item x="63"/>
        <item x="205"/>
        <item x="272"/>
        <item x="169"/>
        <item x="144"/>
        <item x="250"/>
        <item x="4"/>
        <item x="42"/>
        <item x="21"/>
        <item x="278"/>
        <item x="83"/>
        <item x="277"/>
        <item x="295"/>
        <item x="124"/>
        <item x="105"/>
        <item x="116"/>
        <item x="190"/>
        <item x="167"/>
        <item x="142"/>
        <item x="262"/>
        <item x="176"/>
        <item x="234"/>
        <item x="271"/>
        <item x="211"/>
        <item x="245"/>
        <item x="140"/>
        <item x="155"/>
        <item x="102"/>
        <item x="266"/>
        <item x="150"/>
        <item x="132"/>
        <item x="172"/>
        <item x="141"/>
        <item x="48"/>
        <item x="8"/>
        <item x="256"/>
        <item x="134"/>
        <item x="193"/>
        <item x="171"/>
        <item x="222"/>
        <item x="282"/>
        <item x="279"/>
        <item x="73"/>
        <item x="7"/>
        <item x="17"/>
        <item x="184"/>
        <item x="281"/>
        <item x="120"/>
        <item x="298"/>
        <item x="110"/>
        <item x="50"/>
        <item x="299"/>
        <item x="174"/>
        <item x="71"/>
        <item x="62"/>
        <item x="84"/>
        <item x="137"/>
        <item x="242"/>
        <item x="290"/>
        <item x="53"/>
        <item x="206"/>
        <item x="130"/>
        <item x="121"/>
        <item x="151"/>
        <item x="91"/>
        <item x="22"/>
        <item x="40"/>
        <item x="156"/>
        <item x="257"/>
        <item x="247"/>
        <item x="261"/>
        <item x="179"/>
        <item x="114"/>
        <item x="136"/>
        <item x="227"/>
        <item x="302"/>
        <item x="181"/>
        <item x="15"/>
        <item x="0"/>
        <item x="239"/>
        <item x="6"/>
        <item x="178"/>
        <item x="202"/>
        <item x="3"/>
        <item x="275"/>
        <item x="72"/>
        <item x="260"/>
        <item x="108"/>
        <item x="303"/>
        <item x="263"/>
        <item x="139"/>
        <item x="157"/>
        <item x="126"/>
        <item x="235"/>
        <item x="216"/>
        <item x="224"/>
        <item x="305"/>
        <item x="125"/>
        <item x="296"/>
        <item x="88"/>
        <item x="106"/>
        <item x="286"/>
        <item x="115"/>
        <item x="100"/>
        <item x="146"/>
        <item x="218"/>
        <item x="30"/>
        <item x="228"/>
        <item x="182"/>
        <item x="210"/>
        <item x="36"/>
        <item x="287"/>
        <item x="194"/>
        <item x="97"/>
        <item x="152"/>
        <item x="94"/>
        <item x="49"/>
        <item x="31"/>
        <item x="158"/>
        <item x="10"/>
        <item x="66"/>
        <item x="117"/>
        <item x="162"/>
        <item x="170"/>
        <item x="301"/>
        <item x="249"/>
        <item x="38"/>
        <item x="251"/>
        <item x="24"/>
        <item x="20"/>
        <item x="23"/>
        <item x="274"/>
        <item x="149"/>
        <item x="127"/>
        <item x="101"/>
        <item x="92"/>
        <item x="61"/>
        <item x="168"/>
        <item x="75"/>
        <item x="201"/>
        <item x="186"/>
        <item x="147"/>
        <item x="297"/>
        <item x="189"/>
        <item x="160"/>
        <item x="164"/>
        <item x="221"/>
        <item x="204"/>
        <item x="188"/>
        <item x="123"/>
        <item x="237"/>
        <item x="12"/>
        <item x="98"/>
        <item x="208"/>
        <item x="223"/>
        <item x="133"/>
        <item x="187"/>
        <item x="268"/>
        <item x="76"/>
        <item x="138"/>
        <item x="25"/>
        <item x="57"/>
        <item x="291"/>
        <item x="175"/>
        <item x="135"/>
        <item x="196"/>
        <item x="255"/>
        <item x="119"/>
        <item x="241"/>
        <item x="113"/>
        <item x="276"/>
        <item x="292"/>
        <item x="111"/>
        <item x="180"/>
        <item x="69"/>
        <item x="41"/>
        <item x="258"/>
        <item x="304"/>
        <item x="11"/>
        <item x="93"/>
        <item x="33"/>
        <item x="103"/>
        <item x="203"/>
        <item x="246"/>
        <item x="230"/>
        <item x="293"/>
        <item x="54"/>
        <item x="45"/>
        <item x="207"/>
        <item x="95"/>
        <item x="131"/>
        <item x="244"/>
        <item x="192"/>
        <item x="198"/>
        <item x="64"/>
        <item x="153"/>
        <item x="215"/>
        <item x="70"/>
        <item x="52"/>
        <item x="232"/>
        <item x="78"/>
        <item x="80"/>
        <item x="81"/>
        <item x="145"/>
        <item x="280"/>
        <item x="35"/>
        <item x="74"/>
        <item x="65"/>
        <item x="51"/>
        <item x="55"/>
        <item x="177"/>
        <item x="148"/>
        <item x="229"/>
        <item x="104"/>
        <item x="243"/>
        <item x="240"/>
        <item x="200"/>
        <item x="300"/>
        <item x="154"/>
        <item x="166"/>
        <item x="226"/>
        <item x="269"/>
        <item t="default"/>
      </items>
    </pivotField>
    <pivotField showAll="0">
      <items count="532">
        <item x="114"/>
        <item x="134"/>
        <item x="215"/>
        <item x="155"/>
        <item x="395"/>
        <item x="481"/>
        <item x="338"/>
        <item x="320"/>
        <item x="412"/>
        <item x="499"/>
        <item x="161"/>
        <item x="478"/>
        <item x="40"/>
        <item x="466"/>
        <item x="504"/>
        <item x="264"/>
        <item x="156"/>
        <item x="131"/>
        <item x="50"/>
        <item x="182"/>
        <item x="63"/>
        <item x="246"/>
        <item x="92"/>
        <item x="141"/>
        <item x="202"/>
        <item x="88"/>
        <item x="64"/>
        <item x="411"/>
        <item x="234"/>
        <item x="399"/>
        <item x="243"/>
        <item x="16"/>
        <item x="102"/>
        <item x="37"/>
        <item x="292"/>
        <item x="476"/>
        <item x="496"/>
        <item x="468"/>
        <item x="316"/>
        <item x="392"/>
        <item x="343"/>
        <item x="285"/>
        <item x="393"/>
        <item x="417"/>
        <item x="479"/>
        <item x="229"/>
        <item x="406"/>
        <item x="287"/>
        <item x="29"/>
        <item x="70"/>
        <item x="419"/>
        <item x="227"/>
        <item x="432"/>
        <item x="331"/>
        <item x="324"/>
        <item x="519"/>
        <item x="297"/>
        <item x="18"/>
        <item x="304"/>
        <item x="181"/>
        <item x="309"/>
        <item x="444"/>
        <item x="420"/>
        <item x="14"/>
        <item x="47"/>
        <item x="453"/>
        <item x="13"/>
        <item x="152"/>
        <item x="512"/>
        <item x="68"/>
        <item x="51"/>
        <item x="61"/>
        <item x="463"/>
        <item x="354"/>
        <item x="505"/>
        <item x="493"/>
        <item x="96"/>
        <item x="465"/>
        <item x="347"/>
        <item x="485"/>
        <item x="449"/>
        <item x="75"/>
        <item x="380"/>
        <item x="225"/>
        <item x="407"/>
        <item x="174"/>
        <item x="314"/>
        <item x="333"/>
        <item x="335"/>
        <item x="464"/>
        <item x="350"/>
        <item x="447"/>
        <item x="431"/>
        <item x="261"/>
        <item x="272"/>
        <item x="322"/>
        <item x="382"/>
        <item x="167"/>
        <item x="65"/>
        <item x="471"/>
        <item x="179"/>
        <item x="113"/>
        <item x="371"/>
        <item x="153"/>
        <item x="31"/>
        <item x="359"/>
        <item x="35"/>
        <item x="189"/>
        <item x="186"/>
        <item x="425"/>
        <item x="439"/>
        <item x="48"/>
        <item x="27"/>
        <item x="203"/>
        <item x="115"/>
        <item x="2"/>
        <item x="119"/>
        <item x="77"/>
        <item x="218"/>
        <item x="5"/>
        <item x="20"/>
        <item x="85"/>
        <item x="150"/>
        <item x="1"/>
        <item x="109"/>
        <item x="390"/>
        <item x="9"/>
        <item x="122"/>
        <item x="19"/>
        <item x="495"/>
        <item x="273"/>
        <item x="80"/>
        <item x="387"/>
        <item x="43"/>
        <item x="120"/>
        <item x="409"/>
        <item x="312"/>
        <item x="400"/>
        <item x="28"/>
        <item x="129"/>
        <item x="139"/>
        <item x="69"/>
        <item x="303"/>
        <item x="448"/>
        <item x="239"/>
        <item x="313"/>
        <item x="204"/>
        <item x="386"/>
        <item x="410"/>
        <item x="95"/>
        <item x="4"/>
        <item x="207"/>
        <item x="46"/>
        <item x="198"/>
        <item x="22"/>
        <item x="307"/>
        <item x="457"/>
        <item x="388"/>
        <item x="104"/>
        <item x="136"/>
        <item x="454"/>
        <item x="498"/>
        <item x="176"/>
        <item x="430"/>
        <item x="148"/>
        <item x="165"/>
        <item x="268"/>
        <item x="271"/>
        <item x="391"/>
        <item x="318"/>
        <item x="284"/>
        <item x="236"/>
        <item x="201"/>
        <item x="480"/>
        <item x="266"/>
        <item x="528"/>
        <item x="416"/>
        <item x="251"/>
        <item x="440"/>
        <item x="278"/>
        <item x="351"/>
        <item x="441"/>
        <item x="311"/>
        <item x="376"/>
        <item x="199"/>
        <item x="469"/>
        <item x="349"/>
        <item x="381"/>
        <item x="244"/>
        <item x="283"/>
        <item x="217"/>
        <item x="144"/>
        <item x="429"/>
        <item x="211"/>
        <item x="185"/>
        <item x="276"/>
        <item x="242"/>
        <item x="200"/>
        <item x="290"/>
        <item x="170"/>
        <item x="274"/>
        <item x="53"/>
        <item x="8"/>
        <item x="237"/>
        <item x="403"/>
        <item x="191"/>
        <item x="301"/>
        <item x="326"/>
        <item x="277"/>
        <item x="377"/>
        <item x="241"/>
        <item x="470"/>
        <item x="501"/>
        <item x="327"/>
        <item x="462"/>
        <item x="458"/>
        <item x="86"/>
        <item x="107"/>
        <item x="7"/>
        <item x="255"/>
        <item x="17"/>
        <item x="160"/>
        <item x="488"/>
        <item x="262"/>
        <item x="461"/>
        <item x="190"/>
        <item x="232"/>
        <item x="171"/>
        <item x="473"/>
        <item x="503"/>
        <item x="158"/>
        <item x="254"/>
        <item x="55"/>
        <item x="108"/>
        <item x="510"/>
        <item x="247"/>
        <item x="355"/>
        <item x="81"/>
        <item x="112"/>
        <item x="220"/>
        <item x="518"/>
        <item x="127"/>
        <item x="67"/>
        <item x="340"/>
        <item x="111"/>
        <item x="289"/>
        <item x="195"/>
        <item x="219"/>
        <item x="365"/>
        <item x="486"/>
        <item x="58"/>
        <item x="305"/>
        <item x="183"/>
        <item x="345"/>
        <item x="172"/>
        <item x="212"/>
        <item x="397"/>
        <item x="123"/>
        <item x="23"/>
        <item x="44"/>
        <item x="193"/>
        <item x="522"/>
        <item x="363"/>
        <item x="221"/>
        <item x="405"/>
        <item x="491"/>
        <item x="379"/>
        <item x="415"/>
        <item x="257"/>
        <item x="163"/>
        <item x="428"/>
        <item x="194"/>
        <item x="339"/>
        <item x="516"/>
        <item x="421"/>
        <item x="259"/>
        <item x="15"/>
        <item x="0"/>
        <item x="384"/>
        <item x="361"/>
        <item x="6"/>
        <item x="41"/>
        <item x="288"/>
        <item x="253"/>
        <item x="296"/>
        <item x="76"/>
        <item x="422"/>
        <item x="140"/>
        <item x="396"/>
        <item x="147"/>
        <item x="3"/>
        <item x="451"/>
        <item x="82"/>
        <item x="413"/>
        <item x="151"/>
        <item x="517"/>
        <item x="418"/>
        <item x="402"/>
        <item x="521"/>
        <item x="197"/>
        <item x="222"/>
        <item x="178"/>
        <item x="455"/>
        <item x="353"/>
        <item x="352"/>
        <item x="319"/>
        <item x="330"/>
        <item x="527"/>
        <item x="177"/>
        <item x="500"/>
        <item x="117"/>
        <item x="414"/>
        <item x="282"/>
        <item x="446"/>
        <item x="394"/>
        <item x="149"/>
        <item x="472"/>
        <item x="164"/>
        <item x="142"/>
        <item x="206"/>
        <item x="321"/>
        <item x="224"/>
        <item x="32"/>
        <item x="341"/>
        <item x="260"/>
        <item x="310"/>
        <item x="494"/>
        <item x="39"/>
        <item x="474"/>
        <item x="279"/>
        <item x="157"/>
        <item x="137"/>
        <item x="357"/>
        <item x="213"/>
        <item x="130"/>
        <item x="54"/>
        <item x="103"/>
        <item x="337"/>
        <item x="436"/>
        <item x="33"/>
        <item x="223"/>
        <item x="482"/>
        <item x="34"/>
        <item x="10"/>
        <item x="74"/>
        <item x="166"/>
        <item x="445"/>
        <item x="423"/>
        <item x="302"/>
        <item x="228"/>
        <item x="520"/>
        <item x="240"/>
        <item x="514"/>
        <item x="385"/>
        <item x="110"/>
        <item x="424"/>
        <item x="73"/>
        <item x="42"/>
        <item x="456"/>
        <item x="389"/>
        <item x="427"/>
        <item x="483"/>
        <item x="477"/>
        <item x="30"/>
        <item x="475"/>
        <item x="105"/>
        <item x="25"/>
        <item x="83"/>
        <item x="154"/>
        <item x="21"/>
        <item x="375"/>
        <item x="24"/>
        <item x="450"/>
        <item x="280"/>
        <item x="210"/>
        <item x="180"/>
        <item x="515"/>
        <item x="328"/>
        <item x="143"/>
        <item x="426"/>
        <item x="484"/>
        <item x="125"/>
        <item x="94"/>
        <item x="66"/>
        <item x="238"/>
        <item x="90"/>
        <item x="256"/>
        <item x="89"/>
        <item x="295"/>
        <item x="265"/>
        <item x="208"/>
        <item x="502"/>
        <item x="492"/>
        <item x="506"/>
        <item x="270"/>
        <item x="226"/>
        <item x="230"/>
        <item x="383"/>
        <item x="325"/>
        <item x="374"/>
        <item x="434"/>
        <item x="299"/>
        <item x="467"/>
        <item x="269"/>
        <item x="175"/>
        <item x="187"/>
        <item x="356"/>
        <item x="12"/>
        <item x="84"/>
        <item x="138"/>
        <item x="308"/>
        <item x="329"/>
        <item x="511"/>
        <item x="245"/>
        <item x="188"/>
        <item x="267"/>
        <item x="524"/>
        <item x="433"/>
        <item x="342"/>
        <item x="91"/>
        <item x="132"/>
        <item x="334"/>
        <item x="196"/>
        <item x="121"/>
        <item x="26"/>
        <item x="116"/>
        <item x="62"/>
        <item x="487"/>
        <item x="248"/>
        <item x="460"/>
        <item x="192"/>
        <item x="366"/>
        <item x="529"/>
        <item x="286"/>
        <item x="401"/>
        <item x="168"/>
        <item x="231"/>
        <item x="364"/>
        <item x="162"/>
        <item x="452"/>
        <item x="509"/>
        <item x="489"/>
        <item x="159"/>
        <item x="258"/>
        <item x="497"/>
        <item x="135"/>
        <item x="300"/>
        <item x="118"/>
        <item x="78"/>
        <item x="169"/>
        <item x="370"/>
        <item x="525"/>
        <item x="45"/>
        <item x="408"/>
        <item x="526"/>
        <item x="404"/>
        <item x="11"/>
        <item x="315"/>
        <item x="126"/>
        <item x="281"/>
        <item x="36"/>
        <item x="360"/>
        <item x="145"/>
        <item x="298"/>
        <item x="378"/>
        <item x="398"/>
        <item x="346"/>
        <item x="490"/>
        <item x="59"/>
        <item x="368"/>
        <item x="124"/>
        <item x="49"/>
        <item x="306"/>
        <item x="133"/>
        <item x="184"/>
        <item x="373"/>
        <item x="275"/>
        <item x="291"/>
        <item x="437"/>
        <item x="71"/>
        <item x="106"/>
        <item x="214"/>
        <item x="443"/>
        <item x="442"/>
        <item x="317"/>
        <item x="99"/>
        <item x="128"/>
        <item x="79"/>
        <item x="530"/>
        <item x="57"/>
        <item x="367"/>
        <item x="348"/>
        <item x="93"/>
        <item x="233"/>
        <item x="97"/>
        <item x="98"/>
        <item x="249"/>
        <item x="358"/>
        <item x="205"/>
        <item x="332"/>
        <item x="459"/>
        <item x="101"/>
        <item x="100"/>
        <item x="52"/>
        <item x="38"/>
        <item x="372"/>
        <item x="87"/>
        <item x="323"/>
        <item x="263"/>
        <item x="72"/>
        <item x="56"/>
        <item x="523"/>
        <item x="507"/>
        <item x="60"/>
        <item x="252"/>
        <item x="435"/>
        <item x="508"/>
        <item x="209"/>
        <item x="344"/>
        <item x="173"/>
        <item x="146"/>
        <item x="250"/>
        <item x="294"/>
        <item x="369"/>
        <item x="362"/>
        <item x="293"/>
        <item x="513"/>
        <item x="216"/>
        <item x="235"/>
        <item x="336"/>
        <item x="438"/>
        <item t="default"/>
      </items>
    </pivotField>
    <pivotField showAll="0">
      <items count="8">
        <item x="6"/>
        <item x="1"/>
        <item x="3"/>
        <item x="4"/>
        <item x="5"/>
        <item x="2"/>
        <item x="0"/>
        <item t="default"/>
      </items>
    </pivotField>
    <pivotField showAll="0">
      <items count="2">
        <item x="0"/>
        <item t="default"/>
      </items>
    </pivotField>
    <pivotField showAll="0">
      <items count="6">
        <item x="2"/>
        <item x="0"/>
        <item x="3"/>
        <item x="4"/>
        <item x="1"/>
        <item t="default"/>
      </items>
    </pivotField>
    <pivotField showAll="0">
      <items count="5">
        <item x="1"/>
        <item x="0"/>
        <item x="3"/>
        <item x="2"/>
        <item t="default"/>
      </items>
    </pivotField>
    <pivotField showAll="0">
      <items count="5">
        <item x="0"/>
        <item x="2"/>
        <item x="1"/>
        <item x="3"/>
        <item t="default"/>
      </items>
    </pivotField>
  </pivotFields>
  <rowFields count="2">
    <field x="7"/>
    <field x="14"/>
  </rowFields>
  <rowItems count="9">
    <i>
      <x/>
    </i>
    <i r="1">
      <x/>
    </i>
    <i>
      <x v="1"/>
    </i>
    <i r="1">
      <x/>
    </i>
    <i>
      <x v="2"/>
    </i>
    <i r="1">
      <x/>
    </i>
    <i>
      <x v="3"/>
    </i>
    <i r="1">
      <x/>
    </i>
    <i t="grand">
      <x/>
    </i>
  </rowItems>
  <colItems count="1">
    <i/>
  </colItems>
  <dataFields count="1">
    <dataField name="Sum of sale_price" fld="1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7E8CC8-8DCE-4A51-84FB-25F040DDEB6F}" autoFormatId="16" applyNumberFormats="0" applyBorderFormats="0" applyFontFormats="0" applyPatternFormats="0" applyAlignmentFormats="0" applyWidthHeightFormats="0">
  <queryTableRefresh nextId="24">
    <queryTableFields count="23">
      <queryTableField id="1" name="order_id" tableColumnId="1"/>
      <queryTableField id="2" name="quantity" tableColumnId="2"/>
      <queryTableField id="3" name="unit_price" tableColumnId="3"/>
      <queryTableField id="4" name="total_price" tableColumnId="4"/>
      <queryTableField id="5" name="order_date" tableColumnId="5"/>
      <queryTableField id="6" name="status" tableColumnId="6"/>
      <queryTableField id="7" name="delivery_days" tableColumnId="7"/>
      <queryTableField id="8" name="payment_method" tableColumnId="8"/>
      <queryTableField id="9" name="product_name" tableColumnId="9"/>
      <queryTableField id="10" name="cost_price" tableColumnId="10"/>
      <queryTableField id="11" name="sale_price" tableColumnId="11"/>
      <queryTableField id="12" name="fulfillment_type" tableColumnId="12"/>
      <queryTableField id="13" name="store_name" tableColumnId="13"/>
      <queryTableField id="14" name="niche" tableColumnId="14"/>
      <queryTableField id="15" name="platform" tableColumnId="15"/>
      <queryTableField id="16" name="launch_date" tableColumnId="16"/>
      <queryTableField id="17" name="customer_name" tableColumnId="17"/>
      <queryTableField id="18" name="email" tableColumnId="18"/>
      <queryTableField id="19" name="city" tableColumnId="19"/>
      <queryTableField id="20" name="country" tableColumnId="20"/>
      <queryTableField id="21" name="acquisition_channel" tableColumnId="21"/>
      <queryTableField id="22" name="supplier_info" tableColumnId="22"/>
      <queryTableField id="23" name="shipping_cost"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34A9E2F-F27C-45FD-B279-4328BD6134C0}" autoFormatId="16" applyNumberFormats="0" applyBorderFormats="0" applyFontFormats="0" applyPatternFormats="0" applyAlignmentFormats="0" applyWidthHeightFormats="0">
  <queryTableRefresh nextId="26" unboundColumnsRight="2">
    <queryTableFields count="25">
      <queryTableField id="1" name="order_id" tableColumnId="1"/>
      <queryTableField id="2" name="quantity" tableColumnId="2"/>
      <queryTableField id="3" name="unit_price" tableColumnId="3"/>
      <queryTableField id="4" name="total_price" tableColumnId="4"/>
      <queryTableField id="5" name="order_date" tableColumnId="5"/>
      <queryTableField id="6" name="status" tableColumnId="6"/>
      <queryTableField id="7" name="delivery_days" tableColumnId="7"/>
      <queryTableField id="8" name="payment_method" tableColumnId="8"/>
      <queryTableField id="9" name="product_name" tableColumnId="9"/>
      <queryTableField id="10" name="cost_price" tableColumnId="10"/>
      <queryTableField id="11" name="sale_price" tableColumnId="11"/>
      <queryTableField id="12" name="fulfillment_type" tableColumnId="12"/>
      <queryTableField id="13" name="store_name" tableColumnId="13"/>
      <queryTableField id="14" name="niche" tableColumnId="14"/>
      <queryTableField id="15" name="platform" tableColumnId="15"/>
      <queryTableField id="16" name="launch_date" tableColumnId="16"/>
      <queryTableField id="17" name="customer_name" tableColumnId="17"/>
      <queryTableField id="18" name="email" tableColumnId="18"/>
      <queryTableField id="19" name="city" tableColumnId="19"/>
      <queryTableField id="20" name="country" tableColumnId="20"/>
      <queryTableField id="21" name="acquisition_channel" tableColumnId="21"/>
      <queryTableField id="22" name="supplier_info" tableColumnId="22"/>
      <queryTableField id="23" name="shipping_cost" tableColumnId="23"/>
      <queryTableField id="24" dataBound="0" tableColumnId="24"/>
      <queryTableField id="25" dataBound="0" tableColumnId="2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B3748A35-E04B-4CD9-BA67-2AEA6BE85625}" autoFormatId="16" applyNumberFormats="0" applyBorderFormats="0" applyFontFormats="0" applyPatternFormats="0" applyAlignmentFormats="0" applyWidthHeightFormats="0">
  <queryTableRefresh nextId="32" unboundColumnsRight="6">
    <queryTableFields count="29">
      <queryTableField id="1" name="order_id" tableColumnId="1"/>
      <queryTableField id="2" name="quantity" tableColumnId="2"/>
      <queryTableField id="3" name="unit_price" tableColumnId="3"/>
      <queryTableField id="4" name="total_price" tableColumnId="4"/>
      <queryTableField id="5" name="order_date" tableColumnId="5"/>
      <queryTableField id="6" name="status" tableColumnId="6"/>
      <queryTableField id="7" name="delivery_days" tableColumnId="7"/>
      <queryTableField id="8" name="payment_method" tableColumnId="8"/>
      <queryTableField id="9" name="product_name" tableColumnId="9"/>
      <queryTableField id="10" name="cost_price" tableColumnId="10"/>
      <queryTableField id="11" name="sale_price" tableColumnId="11"/>
      <queryTableField id="12" name="fulfillment_type" tableColumnId="12"/>
      <queryTableField id="13" name="store_name" tableColumnId="13"/>
      <queryTableField id="14" name="niche" tableColumnId="14"/>
      <queryTableField id="15" name="platform" tableColumnId="15"/>
      <queryTableField id="16" name="launch_date" tableColumnId="16"/>
      <queryTableField id="17" name="customer_name" tableColumnId="17"/>
      <queryTableField id="18" name="email" tableColumnId="18"/>
      <queryTableField id="19" name="city" tableColumnId="19"/>
      <queryTableField id="20" name="country" tableColumnId="20"/>
      <queryTableField id="21" name="acquisition_channel" tableColumnId="21"/>
      <queryTableField id="22" name="supplier_info" tableColumnId="22"/>
      <queryTableField id="23" name="shipping_cost" tableColumnId="23"/>
      <queryTableField id="24" dataBound="0" tableColumnId="24"/>
      <queryTableField id="25" dataBound="0" tableColumnId="25"/>
      <queryTableField id="26" dataBound="0" tableColumnId="26"/>
      <queryTableField id="27" dataBound="0" tableColumnId="27"/>
      <queryTableField id="29" dataBound="0" tableColumnId="29"/>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3CCF353-AB08-4DCC-AED8-07B6DE2B4471}" sourceName="status">
  <pivotTables>
    <pivotTable tabId="4" name="PivotTable1"/>
  </pivotTables>
  <data>
    <tabular pivotCacheId="1300190459">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price" xr10:uid="{D28F346F-48E8-4EBD-9923-8ECB8E4B5199}" sourceName="total_price">
  <pivotTables>
    <pivotTable tabId="4" name="PivotTable2"/>
  </pivotTables>
  <data>
    <tabular pivotCacheId="1300190459">
      <items count="307">
        <i x="4" s="1"/>
        <i x="8" s="1"/>
        <i x="2" s="1"/>
        <i x="5" s="1"/>
        <i x="61" s="1"/>
        <i x="151" s="1"/>
        <i x="259" s="1"/>
        <i x="3" s="1"/>
        <i x="50" s="1"/>
        <i x="187" s="1"/>
        <i x="68" s="1"/>
        <i x="219" s="1"/>
        <i x="77" s="1"/>
        <i x="117" s="1"/>
        <i x="244" s="1"/>
        <i x="74" s="1"/>
        <i x="65" s="1"/>
        <i x="267" s="1"/>
        <i x="52" s="1"/>
        <i x="96" s="1"/>
        <i x="38" s="1"/>
        <i x="83" s="1"/>
        <i x="239" s="1"/>
        <i x="185" s="1"/>
        <i x="6" s="1"/>
        <i x="63" s="1"/>
        <i x="279" s="1"/>
        <i x="54" s="1"/>
        <i x="111" s="1"/>
        <i x="78" s="1"/>
        <i x="298" s="1"/>
        <i x="195" s="1"/>
        <i x="229" s="1"/>
        <i x="12" s="1"/>
        <i x="36" s="1"/>
        <i x="152" s="1"/>
        <i x="119" s="1"/>
        <i x="144" s="1"/>
        <i x="243" s="1"/>
        <i x="105" s="1"/>
        <i x="154" s="1"/>
        <i x="245" s="1"/>
        <i x="165" s="1"/>
        <i x="167" s="1"/>
        <i x="101" s="1"/>
        <i x="128" s="1"/>
        <i x="99" s="1"/>
        <i x="261" s="1"/>
        <i x="248" s="1"/>
        <i x="168" s="1"/>
        <i x="9" s="1"/>
        <i x="289" s="1"/>
        <i x="25" s="1"/>
        <i x="123" s="1"/>
        <i x="49" s="1"/>
        <i x="0" s="1"/>
        <i x="59" s="1"/>
        <i x="40" s="1"/>
        <i x="252" s="1"/>
        <i x="103" s="1"/>
        <i x="156" s="1"/>
        <i x="18" s="1"/>
        <i x="84" s="1"/>
        <i x="247" s="1"/>
        <i x="282" s="1"/>
        <i x="287" s="1"/>
        <i x="89" s="1"/>
        <i x="139" s="1"/>
        <i x="19" s="1"/>
        <i x="305" s="1"/>
        <i x="70" s="1"/>
        <i x="112" s="1"/>
        <i x="13" s="1"/>
        <i x="155" s="1"/>
        <i x="207" s="1"/>
        <i x="202" s="1"/>
        <i x="104" s="1"/>
        <i x="255" s="1"/>
        <i x="268" s="1"/>
        <i x="170" s="1"/>
        <i x="201" s="1"/>
        <i x="22" s="1"/>
        <i x="199" s="1"/>
        <i x="108" s="1"/>
        <i x="232" s="1"/>
        <i x="226" s="1"/>
        <i x="182" s="1"/>
        <i x="227" s="1"/>
        <i x="258" s="1"/>
        <i x="109" s="1"/>
        <i x="271" s="1"/>
        <i x="41" s="1"/>
        <i x="64" s="1"/>
        <i x="169" s="1"/>
        <i x="122" s="1"/>
        <i x="177" s="1"/>
        <i x="216" s="1"/>
        <i x="283" s="1"/>
        <i x="293" s="1"/>
        <i x="272" s="1"/>
        <i x="191" s="1"/>
        <i x="284" s="1"/>
        <i x="218" s="1"/>
        <i x="14" s="1"/>
        <i x="172" s="1"/>
        <i x="264" s="1"/>
        <i x="93" s="1"/>
        <i x="110" s="1"/>
        <i x="115" s="1"/>
        <i x="297" s="1"/>
        <i x="233" s="1"/>
        <i x="76" s="1"/>
        <i x="58" s="1"/>
        <i x="125" s="1"/>
        <i x="86" s="1"/>
        <i x="136" s="1"/>
        <i x="148" s="1"/>
        <i x="249" s="1"/>
        <i x="126" s="1"/>
        <i x="204" s="1"/>
        <i x="224" s="1"/>
        <i x="173" s="1"/>
        <i x="90" s="1"/>
        <i x="45" s="1"/>
        <i x="246" s="1"/>
        <i x="294" s="1"/>
        <i x="16" s="1"/>
        <i x="33" s="1"/>
        <i x="222" s="1"/>
        <i x="57" s="1"/>
        <i x="116" s="1"/>
        <i x="193" s="1"/>
        <i x="234" s="1"/>
        <i x="20" s="1"/>
        <i x="145" s="1"/>
        <i x="228" s="1"/>
        <i x="157" s="1"/>
        <i x="203" s="1"/>
        <i x="56" s="1"/>
        <i x="253" s="1"/>
        <i x="124" s="1"/>
        <i x="107" s="1"/>
        <i x="138" s="1"/>
        <i x="37" s="1"/>
        <i x="211" s="1"/>
        <i x="174" s="1"/>
        <i x="46" s="1"/>
        <i x="162" s="1"/>
        <i x="206" s="1"/>
        <i x="94" s="1"/>
        <i x="88" s="1"/>
        <i x="10" s="1"/>
        <i x="217" s="1"/>
        <i x="179" s="1"/>
        <i x="223" s="1"/>
        <i x="159" s="1"/>
        <i x="205" s="1"/>
        <i x="208" s="1"/>
        <i x="102" s="1"/>
        <i x="95" s="1"/>
        <i x="30" s="1"/>
        <i x="26" s="1"/>
        <i x="161" s="1"/>
        <i x="238" s="1"/>
        <i x="75" s="1"/>
        <i x="66" s="1"/>
        <i x="301" s="1"/>
        <i x="114" s="1"/>
        <i x="197" s="1"/>
        <i x="295" s="1"/>
        <i x="299" s="1"/>
        <i x="143" s="1"/>
        <i x="47" s="1"/>
        <i x="142" s="1"/>
        <i x="251" s="1"/>
        <i x="1" s="1"/>
        <i x="266" s="1"/>
        <i x="150" s="1"/>
        <i x="184" s="1"/>
        <i x="53" s="1"/>
        <i x="106" s="1"/>
        <i x="214" s="1"/>
        <i x="237" s="1"/>
        <i x="91" s="1"/>
        <i x="35" s="1"/>
        <i x="51" s="1"/>
        <i x="82" s="1"/>
        <i x="291" s="1"/>
        <i x="28" s="1"/>
        <i x="176" s="1"/>
        <i x="98" s="1"/>
        <i x="212" s="1"/>
        <i x="134" s="1"/>
        <i x="292" s="1"/>
        <i x="286" s="1"/>
        <i x="241" s="1"/>
        <i x="118" s="1"/>
        <i x="256" s="1"/>
        <i x="303" s="1"/>
        <i x="17" s="1"/>
        <i x="149" s="1"/>
        <i x="71" s="1"/>
        <i x="221" s="1"/>
        <i x="171" s="1"/>
        <i x="81" s="1"/>
        <i x="186" s="1"/>
        <i x="178" s="1"/>
        <i x="163" s="1"/>
        <i x="230" s="1"/>
        <i x="180" s="1"/>
        <i x="140" s="1"/>
        <i x="280" s="1"/>
        <i x="194" s="1"/>
        <i x="277" s="1"/>
        <i x="200" s="1"/>
        <i x="198" s="1"/>
        <i x="231" s="1"/>
        <i x="225" s="1"/>
        <i x="133" s="1"/>
        <i x="262" s="1"/>
        <i x="21" s="1"/>
        <i x="67" s="1"/>
        <i x="250" s="1"/>
        <i x="11" s="1"/>
        <i x="135" s="1"/>
        <i x="254" s="1"/>
        <i x="263" s="1"/>
        <i x="120" s="1"/>
        <i x="175" s="1"/>
        <i x="188" s="1"/>
        <i x="153" s="1"/>
        <i x="146" s="1"/>
        <i x="190" s="1"/>
        <i x="265" s="1"/>
        <i x="240" s="1"/>
        <i x="27" s="1"/>
        <i x="43" s="1"/>
        <i x="276" s="1"/>
        <i x="273" s="1"/>
        <i x="87" s="1"/>
        <i x="34" s="1"/>
        <i x="278" s="1"/>
        <i x="304" s="1"/>
        <i x="302" s="1"/>
        <i x="181" s="1"/>
        <i x="48" s="1"/>
        <i x="189" s="1"/>
        <i x="44" s="1"/>
        <i x="235" s="1"/>
        <i x="137" s="1"/>
        <i x="113" s="1"/>
        <i x="129" s="1"/>
        <i x="32" s="1"/>
        <i x="275" s="1"/>
        <i x="160" s="1"/>
        <i x="29" s="1"/>
        <i x="147" s="1"/>
        <i x="24" s="1"/>
        <i x="130" s="1"/>
        <i x="270" s="1"/>
        <i x="42" s="1"/>
        <i x="209" s="1"/>
        <i x="166" s="1"/>
        <i x="15" s="1"/>
        <i x="290" s="1"/>
        <i x="121" s="1"/>
        <i x="158" s="1"/>
        <i x="236" s="1"/>
        <i x="127" s="1"/>
        <i x="62" s="1"/>
        <i x="72" s="1"/>
        <i x="260" s="1"/>
        <i x="23" s="1"/>
        <i x="281" s="1"/>
        <i x="60" s="1"/>
        <i x="300" s="1"/>
        <i x="210" s="1"/>
        <i x="132" s="1"/>
        <i x="39" s="1"/>
        <i x="296" s="1"/>
        <i x="100" s="1"/>
        <i x="220" s="1"/>
        <i x="288" s="1"/>
        <i x="131" s="1"/>
        <i x="73" s="1"/>
        <i x="97" s="1"/>
        <i x="274" s="1"/>
        <i x="285" s="1"/>
        <i x="269" s="1"/>
        <i x="242" s="1"/>
        <i x="141" s="1"/>
        <i x="85" s="1"/>
        <i x="192" s="1"/>
        <i x="164" s="1"/>
        <i x="55" s="1"/>
        <i x="196" s="1"/>
        <i x="79" s="1"/>
        <i x="183" s="1"/>
        <i x="306" s="1"/>
        <i x="31" s="1"/>
        <i x="213" s="1"/>
        <i x="69" s="1"/>
        <i x="80" s="1"/>
        <i x="92" s="1"/>
        <i x="7" s="1"/>
        <i x="257" s="1"/>
        <i x="2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2358AFE-7ABE-45EA-AA9D-9E90BB566F94}" sourceName="order_date">
  <pivotTables>
    <pivotTable tabId="4" name="PivotTable2"/>
  </pivotTables>
  <data>
    <tabular pivotCacheId="1300190459">
      <items count="393">
        <i x="101" s="1"/>
        <i x="82" s="1"/>
        <i x="375" s="1"/>
        <i x="356" s="1"/>
        <i x="369" s="1"/>
        <i x="388" s="1"/>
        <i x="384" s="1"/>
        <i x="318" s="1"/>
        <i x="367" s="1"/>
        <i x="323" s="1"/>
        <i x="84" s="1"/>
        <i x="216" s="1"/>
        <i x="197" s="1"/>
        <i x="210" s="1"/>
        <i x="23" s="1"/>
        <i x="274" s="1"/>
        <i x="290" s="1"/>
        <i x="270" s="1"/>
        <i x="273" s="1"/>
        <i x="362" s="1"/>
        <i x="378" s="1"/>
        <i x="52" s="1"/>
        <i x="161" s="1"/>
        <i x="306" s="1"/>
        <i x="70" s="1"/>
        <i x="85" s="1"/>
        <i x="302" s="1"/>
        <i x="390" s="1"/>
        <i x="154" s="1"/>
        <i x="129" s="1"/>
        <i x="46" s="1"/>
        <i x="62" s="1"/>
        <i x="347" s="1"/>
        <i x="64" s="1"/>
        <i x="332" s="1"/>
        <i x="48" s="1"/>
        <i x="291" s="1"/>
        <i x="248" s="1"/>
        <i x="204" s="1"/>
        <i x="76" s="1"/>
        <i x="73" s="1"/>
        <i x="357" s="1"/>
        <i x="260" s="1"/>
        <i x="320" s="1"/>
        <i x="81" s="1"/>
        <i x="344" s="1"/>
        <i x="206" s="1"/>
        <i x="127" s="1"/>
        <i x="255" s="1"/>
        <i x="261" s="1"/>
        <i x="229" s="1"/>
        <i x="253" s="1"/>
        <i x="98" s="1"/>
        <i x="180" s="1"/>
        <i x="352" s="1"/>
        <i x="123" s="1"/>
        <i x="143" s="1"/>
        <i x="165" s="1"/>
        <i x="95" s="1"/>
        <i x="177" s="1"/>
        <i x="166" s="1"/>
        <i x="279" s="1"/>
        <i x="315" s="1"/>
        <i x="351" s="1"/>
        <i x="116" s="1"/>
        <i x="189" s="1"/>
        <i x="339" s="1"/>
        <i x="125" s="1"/>
        <i x="348" s="1"/>
        <i x="130" s="1"/>
        <i x="282" s="1"/>
        <i x="145" s="1"/>
        <i x="321" s="1"/>
        <i x="209" s="1"/>
        <i x="131" s="1"/>
        <i x="292" s="1"/>
        <i x="245" s="1"/>
        <i x="150" s="1"/>
        <i x="335" s="1"/>
        <i x="242" s="1"/>
        <i x="294" s="1"/>
        <i x="278" s="1"/>
        <i x="238" s="1"/>
        <i x="310" s="1"/>
        <i x="120" s="1"/>
        <i x="97" s="1"/>
        <i x="121" s="1"/>
        <i x="244" s="1"/>
        <i x="234" s="1"/>
        <i x="91" s="1"/>
        <i x="181" s="1"/>
        <i x="228" s="1"/>
        <i x="113" s="1"/>
        <i x="225" s="1"/>
        <i x="311" s="1"/>
        <i x="90" s="1"/>
        <i x="389" s="1"/>
        <i x="289" s="1"/>
        <i x="147" s="1"/>
        <i x="139" s="1"/>
        <i x="213" s="1"/>
        <i x="224" s="1"/>
        <i x="152" s="1"/>
        <i x="198" s="1"/>
        <i x="151" s="1"/>
        <i x="249" s="1"/>
        <i x="184" s="1"/>
        <i x="371" s="1"/>
        <i x="303" s="1"/>
        <i x="135" s="1"/>
        <i x="287" s="1"/>
        <i x="205" s="1"/>
        <i x="160" s="1"/>
        <i x="164" s="1"/>
        <i x="252" s="1"/>
        <i x="298" s="1"/>
        <i x="259" s="1"/>
        <i x="146" s="1"/>
        <i x="203" s="1"/>
        <i x="148" s="1"/>
        <i x="277" s="1"/>
        <i x="363" s="1"/>
        <i x="208" s="1"/>
        <i x="190" s="1"/>
        <i x="231" s="1"/>
        <i x="99" s="1"/>
        <i x="240" s="1"/>
        <i x="336" s="1"/>
        <i x="195" s="1"/>
        <i x="141" s="1"/>
        <i x="235" s="1"/>
        <i x="330" s="1"/>
        <i x="171" s="1"/>
        <i x="191" s="1"/>
        <i x="288" s="1"/>
        <i x="149" s="1"/>
        <i x="219" s="1"/>
        <i x="193" s="1"/>
        <i x="89" s="1"/>
        <i x="317" s="1"/>
        <i x="174" s="1"/>
        <i x="346" s="1"/>
        <i x="370" s="1"/>
        <i x="250" s="1"/>
        <i x="133" s="1"/>
        <i x="324" s="1"/>
        <i x="358" s="1"/>
        <i x="275" s="1"/>
        <i x="269" s="1"/>
        <i x="220" s="1"/>
        <i x="376" s="1"/>
        <i x="314" s="1"/>
        <i x="236" s="1"/>
        <i x="105" s="1"/>
        <i x="305" s="1"/>
        <i x="156" s="1"/>
        <i x="188" s="1"/>
        <i x="247" s="1"/>
        <i x="211" s="1"/>
        <i x="295" s="1"/>
        <i x="340" s="1"/>
        <i x="293" s="1"/>
        <i x="345" s="1"/>
        <i x="185" s="1"/>
        <i x="243" s="1"/>
        <i x="223" s="1"/>
        <i x="207" s="1"/>
        <i x="192" s="1"/>
        <i x="308" s="1"/>
        <i x="262" s="1"/>
        <i x="265" s="1"/>
        <i x="122" s="1"/>
        <i x="175" s="1"/>
        <i x="163" s="1"/>
        <i x="183" s="1"/>
        <i x="214" s="1"/>
        <i x="233" s="1"/>
        <i x="333" s="1"/>
        <i x="162" s="1"/>
        <i x="169" s="1"/>
        <i x="365" s="1"/>
        <i x="186" s="1"/>
        <i x="359" s="1"/>
        <i x="132" s="1"/>
        <i x="199" s="1"/>
        <i x="201" s="1"/>
        <i x="301" s="1"/>
        <i x="54" s="1"/>
        <i x="7" s="1"/>
        <i x="75" s="1"/>
        <i x="80" s="1"/>
        <i x="14" s="1"/>
        <i x="43" s="1"/>
        <i x="72" s="1"/>
        <i x="31" s="1"/>
        <i x="40" s="1"/>
        <i x="12" s="1"/>
        <i x="29" s="1"/>
        <i x="45" s="1"/>
        <i x="5" s="1"/>
        <i x="283" s="1"/>
        <i x="18" s="1"/>
        <i x="26" s="1"/>
        <i x="69" s="1"/>
        <i x="10" s="1"/>
        <i x="24" s="1"/>
        <i x="15" s="1"/>
        <i x="33" s="1"/>
        <i x="28" s="1"/>
        <i x="88" s="1"/>
        <i x="6" s="1"/>
        <i x="79" s="1"/>
        <i x="17" s="1"/>
        <i x="16" s="1"/>
        <i x="44" s="1"/>
        <i x="55" s="1"/>
        <i x="53" s="1"/>
        <i x="86" s="1"/>
        <i x="8" s="1"/>
        <i x="87" s="1"/>
        <i x="56" s="1"/>
        <i x="67" s="1"/>
        <i x="51" s="1"/>
        <i x="9" s="1"/>
        <i x="19" s="1"/>
        <i x="22" s="1"/>
        <i x="50" s="1"/>
        <i x="20" s="1"/>
        <i x="4" s="1"/>
        <i x="0" s="1"/>
        <i x="37" s="1"/>
        <i x="60" s="1"/>
        <i x="49" s="1"/>
        <i x="13" s="1"/>
        <i x="1" s="1"/>
        <i x="77" s="1"/>
        <i x="63" s="1"/>
        <i x="57" s="1"/>
        <i x="66" s="1"/>
        <i x="11" s="1"/>
        <i x="25" s="1"/>
        <i x="61" s="1"/>
        <i x="3" s="1"/>
        <i x="68" s="1"/>
        <i x="27" s="1"/>
        <i x="47" s="1"/>
        <i x="2" s="1"/>
        <i x="41" s="1"/>
        <i x="65" s="1"/>
        <i x="71" s="1"/>
        <i x="32" s="1"/>
        <i x="42" s="1"/>
        <i x="36" s="1"/>
        <i x="34" s="1"/>
        <i x="59" s="1"/>
        <i x="39" s="1"/>
        <i x="58" s="1"/>
        <i x="21" s="1"/>
        <i x="30" s="1"/>
        <i x="35" s="1"/>
        <i x="74" s="1"/>
        <i x="170" s="1"/>
        <i x="126" s="1"/>
        <i x="373" s="1"/>
        <i x="366" s="1"/>
        <i x="361" s="1"/>
        <i x="241" s="1"/>
        <i x="374" s="1"/>
        <i x="138" s="1"/>
        <i x="202" s="1"/>
        <i x="286" s="1"/>
        <i x="173" s="1"/>
        <i x="107" s="1"/>
        <i x="246" s="1"/>
        <i x="134" s="1"/>
        <i x="172" s="1"/>
        <i x="341" s="1"/>
        <i x="327" s="1"/>
        <i x="251" s="1"/>
        <i x="360" s="1"/>
        <i x="334" s="1"/>
        <i x="237" s="1"/>
        <i x="117" s="1"/>
        <i x="140" s="1"/>
        <i x="284" s="1"/>
        <i x="372" s="1"/>
        <i x="353" s="1"/>
        <i x="313" s="1"/>
        <i x="257" s="1"/>
        <i x="271" s="1"/>
        <i x="307" s="1"/>
        <i x="118" s="1"/>
        <i x="100" s="1"/>
        <i x="102" s="1"/>
        <i x="167" s="1"/>
        <i x="124" s="1"/>
        <i x="200" s="1"/>
        <i x="158" s="1"/>
        <i x="285" s="1"/>
        <i x="93" s="1"/>
        <i x="326" s="1"/>
        <i x="128" s="1"/>
        <i x="230" s="1"/>
        <i x="387" s="1"/>
        <i x="272" s="1"/>
        <i x="281" s="1"/>
        <i x="329" s="1"/>
        <i x="383" s="1"/>
        <i x="264" s="1"/>
        <i x="232" s="1"/>
        <i x="312" s="1"/>
        <i x="144" s="1"/>
        <i x="153" s="1"/>
        <i x="350" s="1"/>
        <i x="157" s="1"/>
        <i x="227" s="1"/>
        <i x="280" s="1"/>
        <i x="258" s="1"/>
        <i x="239" s="1"/>
        <i x="368" s="1"/>
        <i x="212" s="1"/>
        <i x="267" s="1"/>
        <i x="254" s="1"/>
        <i x="106" s="1"/>
        <i x="266" s="1"/>
        <i x="385" s="1"/>
        <i x="263" s="1"/>
        <i x="276" s="1"/>
        <i x="309" s="1"/>
        <i x="331" s="1"/>
        <i x="111" s="1"/>
        <i x="179" s="1"/>
        <i x="115" s="1"/>
        <i x="108" s="1"/>
        <i x="322" s="1"/>
        <i x="377" s="1"/>
        <i x="343" s="1"/>
        <i x="256" s="1"/>
        <i x="112" s="1"/>
        <i x="110" s="1"/>
        <i x="222" s="1"/>
        <i x="178" s="1"/>
        <i x="92" s="1"/>
        <i x="159" s="1"/>
        <i x="136" s="1"/>
        <i x="337" s="1"/>
        <i x="137" s="1"/>
        <i x="196" s="1"/>
        <i x="338" s="1"/>
        <i x="221" s="1"/>
        <i x="342" s="1"/>
        <i x="96" s="1"/>
        <i x="176" s="1"/>
        <i x="104" s="1"/>
        <i x="226" s="1"/>
        <i x="380" s="1"/>
        <i x="155" s="1"/>
        <i x="300" s="1"/>
        <i x="218" s="1"/>
        <i x="109" s="1"/>
        <i x="304" s="1"/>
        <i x="187" s="1"/>
        <i x="103" s="1"/>
        <i x="217" s="1"/>
        <i x="182" s="1"/>
        <i x="168" s="1"/>
        <i x="94" s="1"/>
        <i x="119" s="1"/>
        <i x="194" s="1"/>
        <i x="379" s="1"/>
        <i x="355" s="1"/>
        <i x="392" s="1"/>
        <i x="299" s="1"/>
        <i x="349" s="1"/>
        <i x="78" s="1"/>
        <i x="386" s="1"/>
        <i x="38" s="1"/>
        <i x="316" s="1"/>
        <i x="319" s="1"/>
        <i x="114" s="1"/>
        <i x="297" s="1"/>
        <i x="382" s="1"/>
        <i x="268" s="1"/>
        <i x="296" s="1"/>
        <i x="215" s="1"/>
        <i x="325" s="1"/>
        <i x="364" s="1"/>
        <i x="142" s="1"/>
        <i x="354" s="1"/>
        <i x="83" s="1"/>
        <i x="391" s="1"/>
        <i x="381" s="1"/>
        <i x="32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price" xr10:uid="{E2599A7E-23F2-4935-BEA7-FDE5381F305F}" sourceName="sale_price">
  <pivotTables>
    <pivotTable tabId="4" name="PivotTable2"/>
  </pivotTables>
  <data>
    <tabular pivotCacheId="1300190459">
      <items count="6">
        <i x="2" s="1"/>
        <i x="5"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price" xr10:uid="{72642872-AA01-456C-83A0-AA6FFBB6AE91}" cache="Slicer_total_price" caption="total_price" rowHeight="234950"/>
  <slicer name="order_date" xr10:uid="{5CC28804-690B-4D33-8FBB-36829C3A5993}" cache="Slicer_order_date" caption="order_date" rowHeight="234950"/>
  <slicer name="sale_price" xr10:uid="{69010691-E338-4AD4-AD5D-018371779D9D}" cache="Slicer_sale_price" caption="sale_pri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D63734DC-5CD0-4ACB-B74F-37883E32C6B0}" cache="Slicer_status" caption="status" rowHeight="234950"/>
  <slicer name="order_date 1" xr10:uid="{3CD99689-22A2-4131-A757-0604C6C2CC08}" cache="Slicer_order_date" caption="order_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1CB1D9-6DDC-481C-AFA1-0CE3AC95EFAC}" name="orders_desnormalizado_prueba" displayName="orders_desnormalizado_prueba" ref="A1:W1314" tableType="queryTable" totalsRowShown="0">
  <autoFilter ref="A1:W1314" xr:uid="{151CB1D9-6DDC-481C-AFA1-0CE3AC95EFAC}"/>
  <tableColumns count="23">
    <tableColumn id="1" xr3:uid="{5418E430-683C-40F7-B9B6-7F9FDA09AC9E}" uniqueName="1" name="order_id" queryTableFieldId="1" dataDxfId="55"/>
    <tableColumn id="2" xr3:uid="{9D82FF54-2B9B-4B19-B29B-353784DAF276}" uniqueName="2" name="quantity" queryTableFieldId="2"/>
    <tableColumn id="3" xr3:uid="{14D2FFB6-6C3F-404D-963C-DB020985C606}" uniqueName="3" name="unit_price" queryTableFieldId="3"/>
    <tableColumn id="4" xr3:uid="{4460ECEF-1B6D-4DFB-91CA-C20AF249BB28}" uniqueName="4" name="total_price" queryTableFieldId="4"/>
    <tableColumn id="5" xr3:uid="{3BE20FDF-CB35-4A04-A251-DFDA755148AB}" uniqueName="5" name="order_date" queryTableFieldId="5" dataDxfId="54"/>
    <tableColumn id="6" xr3:uid="{AA869A98-4BE6-45E5-A029-662458D9123D}" uniqueName="6" name="status" queryTableFieldId="6" dataDxfId="53"/>
    <tableColumn id="7" xr3:uid="{24A2318F-6ADB-44DF-A59D-7FFC1048DA0A}" uniqueName="7" name="delivery_days" queryTableFieldId="7"/>
    <tableColumn id="8" xr3:uid="{8D8BE1AA-3335-46CE-BBA4-66EFDC23C6DF}" uniqueName="8" name="payment_method" queryTableFieldId="8" dataDxfId="52"/>
    <tableColumn id="9" xr3:uid="{BB080BC1-45F6-49AB-8DFA-4076CEB74A18}" uniqueName="9" name="product_name" queryTableFieldId="9" dataDxfId="51"/>
    <tableColumn id="10" xr3:uid="{4AAC15F5-2263-4F0B-B2DE-28C4E792FB74}" uniqueName="10" name="cost_price" queryTableFieldId="10"/>
    <tableColumn id="11" xr3:uid="{5FF40587-7D99-44EE-BC66-BADDBA3CB58F}" uniqueName="11" name="sale_price" queryTableFieldId="11"/>
    <tableColumn id="12" xr3:uid="{BCE7E108-0180-459A-B7EA-3D528E4580AE}" uniqueName="12" name="fulfillment_type" queryTableFieldId="12" dataDxfId="50"/>
    <tableColumn id="13" xr3:uid="{20566095-BCBF-4010-A7DE-F92DDFDAF0D9}" uniqueName="13" name="store_name" queryTableFieldId="13" dataDxfId="49"/>
    <tableColumn id="14" xr3:uid="{4BF5855E-F866-441E-9CD0-0AB4FFDE37FA}" uniqueName="14" name="niche" queryTableFieldId="14" dataDxfId="48"/>
    <tableColumn id="15" xr3:uid="{284BFBA5-C062-4838-B63E-923B94897D60}" uniqueName="15" name="platform" queryTableFieldId="15" dataDxfId="47"/>
    <tableColumn id="16" xr3:uid="{2CC7CEC6-130B-4554-8B92-C23427DA0EAE}" uniqueName="16" name="launch_date" queryTableFieldId="16" dataDxfId="46"/>
    <tableColumn id="17" xr3:uid="{190A004A-CE36-49DD-825F-8932CAB13B5B}" uniqueName="17" name="customer_name" queryTableFieldId="17" dataDxfId="45"/>
    <tableColumn id="18" xr3:uid="{4211524F-0AF6-483A-B908-BA41BE9EC3AF}" uniqueName="18" name="email" queryTableFieldId="18" dataDxfId="44"/>
    <tableColumn id="19" xr3:uid="{8296210E-6A00-40AE-94DC-3773525B30EC}" uniqueName="19" name="city" queryTableFieldId="19" dataDxfId="43"/>
    <tableColumn id="20" xr3:uid="{E60C2914-D5E7-4319-BD04-142DA74A025A}" uniqueName="20" name="country" queryTableFieldId="20" dataDxfId="42"/>
    <tableColumn id="21" xr3:uid="{A2B406BB-24A3-4510-89B8-E291772EDC96}" uniqueName="21" name="acquisition_channel" queryTableFieldId="21" dataDxfId="41"/>
    <tableColumn id="22" xr3:uid="{C80A69E0-6518-4E2D-9979-69335DBA1E8A}" uniqueName="22" name="supplier_info" queryTableFieldId="22" dataDxfId="40"/>
    <tableColumn id="23" xr3:uid="{E1F1135B-57FE-4D4F-8AFD-2EAA0DA03890}" uniqueName="23" name="shipping_cost" queryTableField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5F2E5C-20E4-43F0-9624-8D09358661E8}" name="orders_desnormalizado_prueba4" displayName="orders_desnormalizado_prueba4" ref="A1:Y1314" tableType="queryTable" totalsRowShown="0">
  <autoFilter ref="A1:Y1314" xr:uid="{7F5F2E5C-20E4-43F0-9624-8D09358661E8}"/>
  <tableColumns count="25">
    <tableColumn id="1" xr3:uid="{20742F3A-00C4-4103-A627-EC44A9CB1875}" uniqueName="1" name="order_id" queryTableFieldId="1" dataDxfId="19"/>
    <tableColumn id="2" xr3:uid="{1F219BB7-7647-43DD-8A61-79B1CFBEC431}" uniqueName="2" name="quantity" queryTableFieldId="2"/>
    <tableColumn id="3" xr3:uid="{8A988E71-5AEA-43C1-9FF1-A30C47F7B7C6}" uniqueName="3" name="unit_price" queryTableFieldId="3"/>
    <tableColumn id="4" xr3:uid="{D5838C04-422C-4B95-8292-9AF3DB7F9FB9}" uniqueName="4" name="total_price" queryTableFieldId="4"/>
    <tableColumn id="5" xr3:uid="{D2D6F44C-12BA-4330-901E-7C908F35D20C}" uniqueName="5" name="order_date" queryTableFieldId="5" dataDxfId="18"/>
    <tableColumn id="6" xr3:uid="{A42D99B6-F016-4AE6-B8D6-D149D40DB76D}" uniqueName="6" name="status" queryTableFieldId="6" dataDxfId="17"/>
    <tableColumn id="7" xr3:uid="{43E7BDF8-8816-4B68-910A-D4F37E83127B}" uniqueName="7" name="delivery_days" queryTableFieldId="7"/>
    <tableColumn id="8" xr3:uid="{1E31636C-F2CE-4B40-9331-537667C7AF90}" uniqueName="8" name="payment_method" queryTableFieldId="8" dataDxfId="16"/>
    <tableColumn id="9" xr3:uid="{B2837470-2182-4F16-A0EA-04AA833C561C}" uniqueName="9" name="product_name" queryTableFieldId="9" dataDxfId="15"/>
    <tableColumn id="10" xr3:uid="{5289C5AC-D679-4044-ACFB-A2C018816CC0}" uniqueName="10" name="cost_price" queryTableFieldId="10"/>
    <tableColumn id="11" xr3:uid="{CB826240-3316-4E02-8515-6F8D6F3F111A}" uniqueName="11" name="sale_price" queryTableFieldId="11"/>
    <tableColumn id="12" xr3:uid="{AEABB11C-4444-4B02-8207-4A94EBD6EE05}" uniqueName="12" name="fulfillment_type" queryTableFieldId="12" dataDxfId="14"/>
    <tableColumn id="13" xr3:uid="{56E41ED6-3729-4523-B0C5-26FDCF64DCB0}" uniqueName="13" name="store_name" queryTableFieldId="13" dataDxfId="13"/>
    <tableColumn id="14" xr3:uid="{4B93EDEF-F2CA-4FCF-9ED1-8EB2AEC3683C}" uniqueName="14" name="niche" queryTableFieldId="14" dataDxfId="12"/>
    <tableColumn id="15" xr3:uid="{D80A64C8-9A98-4FE0-9151-9B28A88A03C0}" uniqueName="15" name="platform" queryTableFieldId="15" dataDxfId="11"/>
    <tableColumn id="16" xr3:uid="{2059F8DD-3BA2-4829-B42A-DDDB8BBC7435}" uniqueName="16" name="launch_date" queryTableFieldId="16" dataDxfId="10"/>
    <tableColumn id="17" xr3:uid="{42FF7462-1ACD-4B97-8996-F52E82846547}" uniqueName="17" name="customer_name" queryTableFieldId="17" dataDxfId="9"/>
    <tableColumn id="18" xr3:uid="{D44F4E99-006A-4C94-A14B-8791D0055504}" uniqueName="18" name="email" queryTableFieldId="18" dataDxfId="8"/>
    <tableColumn id="19" xr3:uid="{BABFE175-CBCF-4F31-9E8B-235D9EAB93C6}" uniqueName="19" name="city" queryTableFieldId="19" dataDxfId="7"/>
    <tableColumn id="20" xr3:uid="{EA740794-C1A3-4DE6-BCFE-C305BFD91050}" uniqueName="20" name="country" queryTableFieldId="20" dataDxfId="6"/>
    <tableColumn id="21" xr3:uid="{FBBB9B17-352A-4509-9B13-18485D20EEE4}" uniqueName="21" name="acquisition_channel" queryTableFieldId="21" dataDxfId="5"/>
    <tableColumn id="22" xr3:uid="{189A0C22-DACE-4E10-B962-5E3CF5EED447}" uniqueName="22" name="supplier_info" queryTableFieldId="22" dataDxfId="4"/>
    <tableColumn id="23" xr3:uid="{5ABB436A-77D2-46A8-B924-1721572D82AB}" uniqueName="23" name="shipping_cost" queryTableFieldId="23"/>
    <tableColumn id="24" xr3:uid="{EBD287AE-D110-4936-A77A-9715FBF9F32C}" uniqueName="24" name="SUMIF " queryTableFieldId="24" dataDxfId="1">
      <calculatedColumnFormula>SUMIF(H:H,H2,K:K)</calculatedColumnFormula>
    </tableColumn>
    <tableColumn id="25" xr3:uid="{1B611C50-A9B1-4432-9C2A-75F8214B50EF}" uniqueName="25" name="sumif 2" queryTableFieldId="25" dataDxfId="0">
      <calculatedColumnFormula>SUMIF(U:U,U2,K:K)</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5757C7-30A0-4BA7-96CB-3EE31BD7ABB6}" name="orders_desnormalizado_prueba3" displayName="orders_desnormalizado_prueba3" ref="A1:AC1314" tableType="queryTable" totalsRowShown="0">
  <autoFilter ref="A1:AC1314" xr:uid="{325757C7-30A0-4BA7-96CB-3EE31BD7ABB6}"/>
  <tableColumns count="29">
    <tableColumn id="1" xr3:uid="{249E1093-20D6-4138-B357-89D46D26E3A6}" uniqueName="1" name="order_id" queryTableFieldId="1" dataDxfId="39"/>
    <tableColumn id="2" xr3:uid="{0293A605-C6EB-4EDE-B5D1-E2B6E86045D2}" uniqueName="2" name="quantity" queryTableFieldId="2"/>
    <tableColumn id="3" xr3:uid="{5C8B170A-A2E0-4CC5-A667-051B4855DE43}" uniqueName="3" name="unit_price" queryTableFieldId="3"/>
    <tableColumn id="4" xr3:uid="{C939B565-A650-4A07-B8F6-C83CDC20353D}" uniqueName="4" name="total_price" queryTableFieldId="4"/>
    <tableColumn id="5" xr3:uid="{B71EEF36-4924-426E-92B3-DB8D91344979}" uniqueName="5" name="order_date" queryTableFieldId="5" dataDxfId="38"/>
    <tableColumn id="6" xr3:uid="{6DF87634-E6D6-4C0D-8627-8799DF20FDE4}" uniqueName="6" name="status" queryTableFieldId="6" dataDxfId="37"/>
    <tableColumn id="7" xr3:uid="{3C40A00F-1EA3-4627-B5AE-4D894D47BBF1}" uniqueName="7" name="delivery_days" queryTableFieldId="7"/>
    <tableColumn id="8" xr3:uid="{135F78FF-6035-4956-AE9A-3B8C30E3B7E2}" uniqueName="8" name="payment_method" queryTableFieldId="8" dataDxfId="36"/>
    <tableColumn id="9" xr3:uid="{415170B5-9F22-480C-924D-670FA27DAF6D}" uniqueName="9" name="product_name" queryTableFieldId="9" dataDxfId="35"/>
    <tableColumn id="10" xr3:uid="{7BE9BC55-6EAB-49D3-8AE3-4A1F4DF3FF49}" uniqueName="10" name="cost_price" queryTableFieldId="10"/>
    <tableColumn id="11" xr3:uid="{57EBE56B-C285-447B-AA44-6B764C6DF2DA}" uniqueName="11" name="sale_price" queryTableFieldId="11"/>
    <tableColumn id="12" xr3:uid="{53BDCAE3-8BEF-4D3E-9C0C-0F55ACDEEA7C}" uniqueName="12" name="fulfillment_type" queryTableFieldId="12" dataDxfId="34"/>
    <tableColumn id="13" xr3:uid="{ADC114BA-51FC-4861-BB2B-DC74533C52B4}" uniqueName="13" name="store_name" queryTableFieldId="13" dataDxfId="33"/>
    <tableColumn id="14" xr3:uid="{6ED35EB8-F70B-4756-9910-FFA30C7919AD}" uniqueName="14" name="niche" queryTableFieldId="14" dataDxfId="32"/>
    <tableColumn id="15" xr3:uid="{EDEB142D-3024-4560-A688-F4FE80243519}" uniqueName="15" name="platform" queryTableFieldId="15" dataDxfId="31"/>
    <tableColumn id="16" xr3:uid="{7E211704-704A-487C-BFA4-E4BDAAFDEEE8}" uniqueName="16" name="launch_date" queryTableFieldId="16" dataDxfId="30"/>
    <tableColumn id="17" xr3:uid="{5515BAD9-B55A-44C4-B04F-3CD6C0F7D894}" uniqueName="17" name="customer_name" queryTableFieldId="17" dataDxfId="29"/>
    <tableColumn id="18" xr3:uid="{53684112-04EB-4923-9903-321CA26CFD3E}" uniqueName="18" name="email" queryTableFieldId="18" dataDxfId="28"/>
    <tableColumn id="19" xr3:uid="{11F501C6-0C5D-4738-868E-D89576DBEA0E}" uniqueName="19" name="city" queryTableFieldId="19" dataDxfId="27"/>
    <tableColumn id="20" xr3:uid="{8BBB5C1A-A9E8-46C8-95C5-B71814B25321}" uniqueName="20" name="country" queryTableFieldId="20" dataDxfId="26"/>
    <tableColumn id="21" xr3:uid="{696D90AD-A969-44F6-973D-9EAF39060001}" uniqueName="21" name="acquisition_channel" queryTableFieldId="21" dataDxfId="25"/>
    <tableColumn id="22" xr3:uid="{E660B59C-CEB7-4CE5-9061-33EBA68A7BE5}" uniqueName="22" name="supplier_info" queryTableFieldId="22" dataDxfId="24"/>
    <tableColumn id="23" xr3:uid="{760BD085-D40B-47EE-9520-B75B0B8D0ED5}" uniqueName="23" name="shipping_cost" queryTableFieldId="23"/>
    <tableColumn id="24" xr3:uid="{74637C45-8E92-4154-856A-07E87694C65D}" uniqueName="24" name="index match " queryTableFieldId="24" dataDxfId="23">
      <calculatedColumnFormula>INDEX(R:R,MATCH(Q2,Q:Q,0))</calculatedColumnFormula>
    </tableColumn>
    <tableColumn id="25" xr3:uid="{5BC453DE-5F19-47BD-A5E9-CC19F288B684}" uniqueName="25" name="index match 2" queryTableFieldId="25" dataDxfId="22">
      <calculatedColumnFormula>INDEX(V:V,MATCH(orders_desnormalizado_prueba3[[#This Row],[acquisition_channel]],U:U,0))</calculatedColumnFormula>
    </tableColumn>
    <tableColumn id="26" xr3:uid="{025600C2-6EC4-44D6-B8C5-65AE34A530C3}" uniqueName="26" name="index match 3" queryTableFieldId="26" dataDxfId="21">
      <calculatedColumnFormula>INDEX(T:T,MATCH(orders_desnormalizado_prueba3[[#This Row],[shipping_cost]],W:W,0))</calculatedColumnFormula>
    </tableColumn>
    <tableColumn id="27" xr3:uid="{7607182E-AD5F-4118-9E53-FB4B63124879}" uniqueName="27" name="index " queryTableFieldId="27" dataDxfId="20">
      <calculatedColumnFormula>INDEX(S:S,MATCH(G2,G:G,0))</calculatedColumnFormula>
    </tableColumn>
    <tableColumn id="29" xr3:uid="{BDB58C57-78D6-4DA8-8646-8732CF7520D6}" uniqueName="29" name="email2" queryTableFieldId="29" dataDxfId="3"/>
    <tableColumn id="31" xr3:uid="{6863EB85-83B5-41BD-AB1E-F0433597807A}" uniqueName="31" name="SUPPLIER " queryTableFieldId="31" dataDxfId="2">
      <calculatedColumnFormula>IFERROR(INDEX($V:$V,MATCH(AB2,$R:$R,0)), "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mailto:david.martinez142@mail.com" TargetMode="Externa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D9F8-43E4-4BA9-AA64-002277E81A81}">
  <dimension ref="A1:W1314"/>
  <sheetViews>
    <sheetView topLeftCell="A2" workbookViewId="0">
      <selection sqref="A1:XFD1314"/>
    </sheetView>
  </sheetViews>
  <sheetFormatPr defaultRowHeight="14.4" x14ac:dyDescent="0.3"/>
  <cols>
    <col min="1" max="2" width="10.33203125" bestFit="1" customWidth="1"/>
    <col min="3" max="3" width="11.6640625" bestFit="1" customWidth="1"/>
    <col min="4" max="4" width="12.21875" bestFit="1" customWidth="1"/>
    <col min="5" max="5" width="12.5546875" bestFit="1" customWidth="1"/>
    <col min="6" max="6" width="10.5546875" bestFit="1" customWidth="1"/>
    <col min="7" max="7" width="14.77734375" bestFit="1" customWidth="1"/>
    <col min="8" max="8" width="18.5546875" bestFit="1" customWidth="1"/>
    <col min="9" max="9" width="29.88671875" bestFit="1" customWidth="1"/>
    <col min="10" max="10" width="11.77734375" bestFit="1" customWidth="1"/>
    <col min="11" max="11" width="11.5546875" bestFit="1" customWidth="1"/>
    <col min="12" max="12" width="16.77734375" bestFit="1" customWidth="1"/>
    <col min="13" max="13" width="13.21875" bestFit="1" customWidth="1"/>
    <col min="14" max="14" width="16" bestFit="1" customWidth="1"/>
    <col min="15" max="15" width="18" bestFit="1" customWidth="1"/>
    <col min="16" max="16" width="13.6640625" bestFit="1" customWidth="1"/>
    <col min="17" max="17" width="18.109375" bestFit="1" customWidth="1"/>
    <col min="18" max="18" width="30.5546875" bestFit="1" customWidth="1"/>
    <col min="19" max="19" width="12.109375" bestFit="1" customWidth="1"/>
    <col min="20" max="20" width="9.77734375" bestFit="1" customWidth="1"/>
    <col min="21" max="21" width="20.21875" bestFit="1" customWidth="1"/>
    <col min="22" max="22" width="32" bestFit="1" customWidth="1"/>
    <col min="23" max="23" width="14.777343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s="1" t="s">
        <v>23</v>
      </c>
      <c r="B2">
        <v>2</v>
      </c>
      <c r="C2">
        <v>21.99</v>
      </c>
      <c r="D2">
        <v>37.979999999999997</v>
      </c>
      <c r="E2" s="1" t="s">
        <v>24</v>
      </c>
      <c r="F2" s="1" t="s">
        <v>25</v>
      </c>
      <c r="G2">
        <v>2</v>
      </c>
      <c r="H2" s="1" t="s">
        <v>26</v>
      </c>
      <c r="I2" s="1" t="s">
        <v>27</v>
      </c>
      <c r="J2">
        <v>7</v>
      </c>
      <c r="K2">
        <v>21.99</v>
      </c>
      <c r="L2" s="1" t="s">
        <v>28</v>
      </c>
      <c r="M2" s="1" t="s">
        <v>29</v>
      </c>
      <c r="N2" s="1" t="s">
        <v>30</v>
      </c>
      <c r="O2" s="1" t="s">
        <v>31</v>
      </c>
      <c r="P2" s="2">
        <v>45778</v>
      </c>
      <c r="Q2" s="1" t="s">
        <v>32</v>
      </c>
      <c r="R2" s="1" t="s">
        <v>33</v>
      </c>
      <c r="S2" s="1" t="s">
        <v>34</v>
      </c>
      <c r="T2" s="1" t="s">
        <v>35</v>
      </c>
      <c r="U2" s="1" t="s">
        <v>36</v>
      </c>
      <c r="V2" s="1" t="s">
        <v>37</v>
      </c>
      <c r="W2">
        <v>2</v>
      </c>
    </row>
    <row r="3" spans="1:23" x14ac:dyDescent="0.3">
      <c r="A3" s="1" t="s">
        <v>38</v>
      </c>
      <c r="B3">
        <v>2</v>
      </c>
      <c r="C3">
        <v>30.99</v>
      </c>
      <c r="D3">
        <v>53.78</v>
      </c>
      <c r="E3" s="1" t="s">
        <v>39</v>
      </c>
      <c r="F3" s="1" t="s">
        <v>40</v>
      </c>
      <c r="G3">
        <v>3</v>
      </c>
      <c r="H3" s="1" t="s">
        <v>41</v>
      </c>
      <c r="I3" s="1" t="s">
        <v>42</v>
      </c>
      <c r="J3">
        <v>10.5</v>
      </c>
      <c r="K3">
        <v>30.99</v>
      </c>
      <c r="L3" s="1" t="s">
        <v>28</v>
      </c>
      <c r="M3" s="1" t="s">
        <v>43</v>
      </c>
      <c r="N3" s="1" t="s">
        <v>44</v>
      </c>
      <c r="O3" s="1" t="s">
        <v>31</v>
      </c>
      <c r="P3" s="2">
        <v>45823</v>
      </c>
      <c r="Q3" s="1" t="s">
        <v>45</v>
      </c>
      <c r="R3" s="1" t="s">
        <v>46</v>
      </c>
      <c r="S3" s="1" t="s">
        <v>47</v>
      </c>
      <c r="T3" s="1" t="s">
        <v>35</v>
      </c>
      <c r="U3" s="1" t="s">
        <v>48</v>
      </c>
      <c r="V3" s="1" t="s">
        <v>37</v>
      </c>
      <c r="W3">
        <v>2</v>
      </c>
    </row>
    <row r="4" spans="1:23" x14ac:dyDescent="0.3">
      <c r="A4" s="1" t="s">
        <v>49</v>
      </c>
      <c r="B4">
        <v>1</v>
      </c>
      <c r="C4">
        <v>21.99</v>
      </c>
      <c r="D4">
        <v>21.99</v>
      </c>
      <c r="E4" s="1" t="s">
        <v>50</v>
      </c>
      <c r="F4" s="1" t="s">
        <v>51</v>
      </c>
      <c r="G4">
        <v>0</v>
      </c>
      <c r="H4" s="1" t="s">
        <v>41</v>
      </c>
      <c r="I4" s="1" t="s">
        <v>27</v>
      </c>
      <c r="J4">
        <v>7</v>
      </c>
      <c r="K4">
        <v>21.99</v>
      </c>
      <c r="L4" s="1" t="s">
        <v>28</v>
      </c>
      <c r="M4" s="1" t="s">
        <v>29</v>
      </c>
      <c r="N4" s="1" t="s">
        <v>30</v>
      </c>
      <c r="O4" s="1" t="s">
        <v>31</v>
      </c>
      <c r="P4" s="2">
        <v>45778</v>
      </c>
      <c r="Q4" s="1" t="s">
        <v>52</v>
      </c>
      <c r="R4" s="1" t="s">
        <v>53</v>
      </c>
      <c r="S4" s="1" t="s">
        <v>54</v>
      </c>
      <c r="T4" s="1" t="s">
        <v>35</v>
      </c>
      <c r="U4" s="1" t="s">
        <v>55</v>
      </c>
      <c r="V4" s="1" t="s">
        <v>37</v>
      </c>
      <c r="W4">
        <v>2</v>
      </c>
    </row>
    <row r="5" spans="1:23" x14ac:dyDescent="0.3">
      <c r="A5" s="1" t="s">
        <v>56</v>
      </c>
      <c r="B5">
        <v>2</v>
      </c>
      <c r="C5">
        <v>16.989999999999998</v>
      </c>
      <c r="D5">
        <v>29.18</v>
      </c>
      <c r="E5" s="1" t="s">
        <v>57</v>
      </c>
      <c r="F5" s="1" t="s">
        <v>40</v>
      </c>
      <c r="G5">
        <v>19</v>
      </c>
      <c r="H5" s="1" t="s">
        <v>58</v>
      </c>
      <c r="I5" s="1" t="s">
        <v>59</v>
      </c>
      <c r="J5">
        <v>5</v>
      </c>
      <c r="K5">
        <v>16.989999999999998</v>
      </c>
      <c r="L5" s="1" t="s">
        <v>60</v>
      </c>
      <c r="M5" s="1" t="s">
        <v>61</v>
      </c>
      <c r="N5" s="1" t="s">
        <v>62</v>
      </c>
      <c r="O5" s="1" t="s">
        <v>31</v>
      </c>
      <c r="P5" s="2">
        <v>45726</v>
      </c>
      <c r="Q5" s="1" t="s">
        <v>63</v>
      </c>
      <c r="R5" s="1" t="s">
        <v>64</v>
      </c>
      <c r="S5" s="1" t="s">
        <v>65</v>
      </c>
      <c r="T5" s="1" t="s">
        <v>35</v>
      </c>
      <c r="U5" s="1" t="s">
        <v>66</v>
      </c>
      <c r="V5" s="1" t="s">
        <v>67</v>
      </c>
      <c r="W5">
        <v>3</v>
      </c>
    </row>
    <row r="6" spans="1:23" x14ac:dyDescent="0.3">
      <c r="A6" s="1" t="s">
        <v>68</v>
      </c>
      <c r="B6">
        <v>1</v>
      </c>
      <c r="C6">
        <v>16.989999999999998</v>
      </c>
      <c r="D6">
        <v>16.989999999999998</v>
      </c>
      <c r="E6" s="1" t="s">
        <v>69</v>
      </c>
      <c r="F6" s="1" t="s">
        <v>70</v>
      </c>
      <c r="G6">
        <v>0</v>
      </c>
      <c r="H6" s="1" t="s">
        <v>58</v>
      </c>
      <c r="I6" s="1" t="s">
        <v>59</v>
      </c>
      <c r="J6">
        <v>5</v>
      </c>
      <c r="K6">
        <v>16.989999999999998</v>
      </c>
      <c r="L6" s="1" t="s">
        <v>60</v>
      </c>
      <c r="M6" s="1" t="s">
        <v>61</v>
      </c>
      <c r="N6" s="1" t="s">
        <v>62</v>
      </c>
      <c r="O6" s="1" t="s">
        <v>31</v>
      </c>
      <c r="P6" s="2">
        <v>45726</v>
      </c>
      <c r="Q6" s="1" t="s">
        <v>71</v>
      </c>
      <c r="R6" s="1" t="s">
        <v>72</v>
      </c>
      <c r="S6" s="1" t="s">
        <v>47</v>
      </c>
      <c r="T6" s="1" t="s">
        <v>35</v>
      </c>
      <c r="U6" s="1" t="s">
        <v>36</v>
      </c>
      <c r="V6" s="1" t="s">
        <v>67</v>
      </c>
      <c r="W6">
        <v>3</v>
      </c>
    </row>
    <row r="7" spans="1:23" x14ac:dyDescent="0.3">
      <c r="A7" s="1" t="s">
        <v>73</v>
      </c>
      <c r="B7">
        <v>1</v>
      </c>
      <c r="C7">
        <v>27.99</v>
      </c>
      <c r="D7">
        <v>27.99</v>
      </c>
      <c r="E7" s="1" t="s">
        <v>74</v>
      </c>
      <c r="F7" s="1" t="s">
        <v>40</v>
      </c>
      <c r="G7">
        <v>3</v>
      </c>
      <c r="H7" s="1" t="s">
        <v>26</v>
      </c>
      <c r="I7" s="1" t="s">
        <v>75</v>
      </c>
      <c r="J7">
        <v>9</v>
      </c>
      <c r="K7">
        <v>27.99</v>
      </c>
      <c r="L7" s="1" t="s">
        <v>28</v>
      </c>
      <c r="M7" s="1" t="s">
        <v>61</v>
      </c>
      <c r="N7" s="1" t="s">
        <v>62</v>
      </c>
      <c r="O7" s="1" t="s">
        <v>31</v>
      </c>
      <c r="P7" s="2">
        <v>45726</v>
      </c>
      <c r="Q7" s="1" t="s">
        <v>76</v>
      </c>
      <c r="R7" s="1" t="s">
        <v>77</v>
      </c>
      <c r="S7" s="1" t="s">
        <v>34</v>
      </c>
      <c r="T7" s="1" t="s">
        <v>35</v>
      </c>
      <c r="U7" s="1" t="s">
        <v>36</v>
      </c>
      <c r="V7" s="1" t="s">
        <v>37</v>
      </c>
      <c r="W7">
        <v>2</v>
      </c>
    </row>
    <row r="8" spans="1:23" x14ac:dyDescent="0.3">
      <c r="A8" s="1" t="s">
        <v>78</v>
      </c>
      <c r="B8">
        <v>1</v>
      </c>
      <c r="C8">
        <v>30.99</v>
      </c>
      <c r="D8">
        <v>30.99</v>
      </c>
      <c r="E8" s="1" t="s">
        <v>79</v>
      </c>
      <c r="F8" s="1" t="s">
        <v>40</v>
      </c>
      <c r="G8">
        <v>2</v>
      </c>
      <c r="H8" s="1" t="s">
        <v>41</v>
      </c>
      <c r="I8" s="1" t="s">
        <v>42</v>
      </c>
      <c r="J8">
        <v>10.5</v>
      </c>
      <c r="K8">
        <v>30.99</v>
      </c>
      <c r="L8" s="1" t="s">
        <v>28</v>
      </c>
      <c r="M8" s="1" t="s">
        <v>43</v>
      </c>
      <c r="N8" s="1" t="s">
        <v>44</v>
      </c>
      <c r="O8" s="1" t="s">
        <v>31</v>
      </c>
      <c r="P8" s="2">
        <v>45823</v>
      </c>
      <c r="Q8" s="1" t="s">
        <v>80</v>
      </c>
      <c r="R8" s="1" t="s">
        <v>81</v>
      </c>
      <c r="S8" s="1" t="s">
        <v>34</v>
      </c>
      <c r="T8" s="1" t="s">
        <v>35</v>
      </c>
      <c r="U8" s="1" t="s">
        <v>82</v>
      </c>
      <c r="V8" s="1" t="s">
        <v>37</v>
      </c>
      <c r="W8">
        <v>2</v>
      </c>
    </row>
    <row r="9" spans="1:23" x14ac:dyDescent="0.3">
      <c r="A9" s="1" t="s">
        <v>83</v>
      </c>
      <c r="B9">
        <v>3</v>
      </c>
      <c r="C9">
        <v>34.99</v>
      </c>
      <c r="D9">
        <v>84.73</v>
      </c>
      <c r="E9" s="1" t="s">
        <v>84</v>
      </c>
      <c r="F9" s="1" t="s">
        <v>70</v>
      </c>
      <c r="G9">
        <v>0</v>
      </c>
      <c r="H9" s="1" t="s">
        <v>26</v>
      </c>
      <c r="I9" s="1" t="s">
        <v>85</v>
      </c>
      <c r="J9">
        <v>12.5</v>
      </c>
      <c r="K9">
        <v>34.99</v>
      </c>
      <c r="L9" s="1" t="s">
        <v>60</v>
      </c>
      <c r="M9" s="1" t="s">
        <v>29</v>
      </c>
      <c r="N9" s="1" t="s">
        <v>30</v>
      </c>
      <c r="O9" s="1" t="s">
        <v>31</v>
      </c>
      <c r="P9" s="2">
        <v>45778</v>
      </c>
      <c r="Q9" s="1" t="s">
        <v>86</v>
      </c>
      <c r="R9" s="1" t="s">
        <v>87</v>
      </c>
      <c r="S9" s="1" t="s">
        <v>88</v>
      </c>
      <c r="T9" s="1" t="s">
        <v>35</v>
      </c>
      <c r="U9" s="1" t="s">
        <v>36</v>
      </c>
      <c r="V9" s="1" t="s">
        <v>89</v>
      </c>
      <c r="W9">
        <v>2.4</v>
      </c>
    </row>
    <row r="10" spans="1:23" x14ac:dyDescent="0.3">
      <c r="A10" s="1" t="s">
        <v>90</v>
      </c>
      <c r="B10">
        <v>1</v>
      </c>
      <c r="C10">
        <v>21.99</v>
      </c>
      <c r="D10">
        <v>21.99</v>
      </c>
      <c r="E10" s="1" t="s">
        <v>91</v>
      </c>
      <c r="F10" s="1" t="s">
        <v>40</v>
      </c>
      <c r="G10">
        <v>3</v>
      </c>
      <c r="H10" s="1" t="s">
        <v>58</v>
      </c>
      <c r="I10" s="1" t="s">
        <v>27</v>
      </c>
      <c r="J10">
        <v>7</v>
      </c>
      <c r="K10">
        <v>21.99</v>
      </c>
      <c r="L10" s="1" t="s">
        <v>28</v>
      </c>
      <c r="M10" s="1" t="s">
        <v>29</v>
      </c>
      <c r="N10" s="1" t="s">
        <v>30</v>
      </c>
      <c r="O10" s="1" t="s">
        <v>31</v>
      </c>
      <c r="P10" s="2">
        <v>45778</v>
      </c>
      <c r="Q10" s="1" t="s">
        <v>92</v>
      </c>
      <c r="R10" s="1" t="s">
        <v>93</v>
      </c>
      <c r="S10" s="1" t="s">
        <v>65</v>
      </c>
      <c r="T10" s="1" t="s">
        <v>35</v>
      </c>
      <c r="U10" s="1" t="s">
        <v>82</v>
      </c>
      <c r="V10" s="1" t="s">
        <v>37</v>
      </c>
      <c r="W10">
        <v>2</v>
      </c>
    </row>
    <row r="11" spans="1:23" x14ac:dyDescent="0.3">
      <c r="A11" s="1" t="s">
        <v>94</v>
      </c>
      <c r="B11">
        <v>1</v>
      </c>
      <c r="C11">
        <v>18.989999999999998</v>
      </c>
      <c r="D11">
        <v>18.989999999999998</v>
      </c>
      <c r="E11" s="1" t="s">
        <v>95</v>
      </c>
      <c r="F11" s="1" t="s">
        <v>40</v>
      </c>
      <c r="G11">
        <v>15</v>
      </c>
      <c r="H11" s="1" t="s">
        <v>96</v>
      </c>
      <c r="I11" s="1" t="s">
        <v>97</v>
      </c>
      <c r="J11">
        <v>6</v>
      </c>
      <c r="K11">
        <v>18.989999999999998</v>
      </c>
      <c r="L11" s="1" t="s">
        <v>60</v>
      </c>
      <c r="M11" s="1" t="s">
        <v>43</v>
      </c>
      <c r="N11" s="1" t="s">
        <v>44</v>
      </c>
      <c r="O11" s="1" t="s">
        <v>31</v>
      </c>
      <c r="P11" s="2">
        <v>45823</v>
      </c>
      <c r="Q11" s="1" t="s">
        <v>98</v>
      </c>
      <c r="R11" s="1" t="s">
        <v>99</v>
      </c>
      <c r="S11" s="1" t="s">
        <v>47</v>
      </c>
      <c r="T11" s="1" t="s">
        <v>35</v>
      </c>
      <c r="U11" s="1" t="s">
        <v>66</v>
      </c>
      <c r="V11" s="1" t="s">
        <v>100</v>
      </c>
      <c r="W11">
        <v>3.2</v>
      </c>
    </row>
    <row r="12" spans="1:23" x14ac:dyDescent="0.3">
      <c r="A12" s="1" t="s">
        <v>101</v>
      </c>
      <c r="B12">
        <v>1</v>
      </c>
      <c r="C12">
        <v>34.99</v>
      </c>
      <c r="D12">
        <v>34.99</v>
      </c>
      <c r="E12" s="1" t="s">
        <v>102</v>
      </c>
      <c r="F12" s="1" t="s">
        <v>51</v>
      </c>
      <c r="G12">
        <v>0</v>
      </c>
      <c r="H12" s="1" t="s">
        <v>58</v>
      </c>
      <c r="I12" s="1" t="s">
        <v>85</v>
      </c>
      <c r="J12">
        <v>12.5</v>
      </c>
      <c r="K12">
        <v>34.99</v>
      </c>
      <c r="L12" s="1" t="s">
        <v>60</v>
      </c>
      <c r="M12" s="1" t="s">
        <v>29</v>
      </c>
      <c r="N12" s="1" t="s">
        <v>30</v>
      </c>
      <c r="O12" s="1" t="s">
        <v>31</v>
      </c>
      <c r="P12" s="2">
        <v>45778</v>
      </c>
      <c r="Q12" s="1" t="s">
        <v>103</v>
      </c>
      <c r="R12" s="1" t="s">
        <v>104</v>
      </c>
      <c r="S12" s="1" t="s">
        <v>105</v>
      </c>
      <c r="T12" s="1" t="s">
        <v>35</v>
      </c>
      <c r="U12" s="1" t="s">
        <v>55</v>
      </c>
      <c r="V12" s="1" t="s">
        <v>89</v>
      </c>
      <c r="W12">
        <v>2.4</v>
      </c>
    </row>
    <row r="13" spans="1:23" x14ac:dyDescent="0.3">
      <c r="A13" s="1" t="s">
        <v>106</v>
      </c>
      <c r="B13">
        <v>3</v>
      </c>
      <c r="C13">
        <v>21.99</v>
      </c>
      <c r="D13">
        <v>52.48</v>
      </c>
      <c r="E13" s="1" t="s">
        <v>107</v>
      </c>
      <c r="F13" s="1" t="s">
        <v>40</v>
      </c>
      <c r="G13">
        <v>3</v>
      </c>
      <c r="H13" s="1" t="s">
        <v>26</v>
      </c>
      <c r="I13" s="1" t="s">
        <v>27</v>
      </c>
      <c r="J13">
        <v>7</v>
      </c>
      <c r="K13">
        <v>21.99</v>
      </c>
      <c r="L13" s="1" t="s">
        <v>28</v>
      </c>
      <c r="M13" s="1" t="s">
        <v>29</v>
      </c>
      <c r="N13" s="1" t="s">
        <v>30</v>
      </c>
      <c r="O13" s="1" t="s">
        <v>31</v>
      </c>
      <c r="P13" s="2">
        <v>45778</v>
      </c>
      <c r="Q13" s="1" t="s">
        <v>98</v>
      </c>
      <c r="R13" s="1" t="s">
        <v>99</v>
      </c>
      <c r="S13" s="1" t="s">
        <v>47</v>
      </c>
      <c r="T13" s="1" t="s">
        <v>35</v>
      </c>
      <c r="U13" s="1" t="s">
        <v>66</v>
      </c>
      <c r="V13" s="1" t="s">
        <v>37</v>
      </c>
      <c r="W13">
        <v>2</v>
      </c>
    </row>
    <row r="14" spans="1:23" x14ac:dyDescent="0.3">
      <c r="A14" s="1" t="s">
        <v>108</v>
      </c>
      <c r="B14">
        <v>3</v>
      </c>
      <c r="C14">
        <v>21.99</v>
      </c>
      <c r="D14">
        <v>52.48</v>
      </c>
      <c r="E14" s="1" t="s">
        <v>109</v>
      </c>
      <c r="F14" s="1" t="s">
        <v>40</v>
      </c>
      <c r="G14">
        <v>3</v>
      </c>
      <c r="H14" s="1" t="s">
        <v>58</v>
      </c>
      <c r="I14" s="1" t="s">
        <v>27</v>
      </c>
      <c r="J14">
        <v>7</v>
      </c>
      <c r="K14">
        <v>21.99</v>
      </c>
      <c r="L14" s="1" t="s">
        <v>28</v>
      </c>
      <c r="M14" s="1" t="s">
        <v>29</v>
      </c>
      <c r="N14" s="1" t="s">
        <v>30</v>
      </c>
      <c r="O14" s="1" t="s">
        <v>31</v>
      </c>
      <c r="P14" s="2">
        <v>45778</v>
      </c>
      <c r="Q14" s="1" t="s">
        <v>110</v>
      </c>
      <c r="R14" s="1" t="s">
        <v>111</v>
      </c>
      <c r="S14" s="1" t="s">
        <v>47</v>
      </c>
      <c r="T14" s="1" t="s">
        <v>35</v>
      </c>
      <c r="U14" s="1" t="s">
        <v>36</v>
      </c>
      <c r="V14" s="1" t="s">
        <v>37</v>
      </c>
      <c r="W14">
        <v>2</v>
      </c>
    </row>
    <row r="15" spans="1:23" x14ac:dyDescent="0.3">
      <c r="A15" s="1" t="s">
        <v>112</v>
      </c>
      <c r="B15">
        <v>3</v>
      </c>
      <c r="C15">
        <v>21.99</v>
      </c>
      <c r="D15">
        <v>52.48</v>
      </c>
      <c r="E15" s="1" t="s">
        <v>113</v>
      </c>
      <c r="F15" s="1" t="s">
        <v>40</v>
      </c>
      <c r="G15">
        <v>2</v>
      </c>
      <c r="H15" s="1" t="s">
        <v>26</v>
      </c>
      <c r="I15" s="1" t="s">
        <v>27</v>
      </c>
      <c r="J15">
        <v>7</v>
      </c>
      <c r="K15">
        <v>21.99</v>
      </c>
      <c r="L15" s="1" t="s">
        <v>28</v>
      </c>
      <c r="M15" s="1" t="s">
        <v>29</v>
      </c>
      <c r="N15" s="1" t="s">
        <v>30</v>
      </c>
      <c r="O15" s="1" t="s">
        <v>31</v>
      </c>
      <c r="P15" s="2">
        <v>45778</v>
      </c>
      <c r="Q15" s="1" t="s">
        <v>114</v>
      </c>
      <c r="R15" s="1" t="s">
        <v>115</v>
      </c>
      <c r="S15" s="1" t="s">
        <v>54</v>
      </c>
      <c r="T15" s="1" t="s">
        <v>35</v>
      </c>
      <c r="U15" s="1" t="s">
        <v>82</v>
      </c>
      <c r="V15" s="1" t="s">
        <v>37</v>
      </c>
      <c r="W15">
        <v>2</v>
      </c>
    </row>
    <row r="16" spans="1:23" x14ac:dyDescent="0.3">
      <c r="A16" s="1" t="s">
        <v>116</v>
      </c>
      <c r="B16">
        <v>3</v>
      </c>
      <c r="C16">
        <v>27.99</v>
      </c>
      <c r="D16">
        <v>66.88</v>
      </c>
      <c r="E16" s="1" t="s">
        <v>117</v>
      </c>
      <c r="F16" s="1" t="s">
        <v>40</v>
      </c>
      <c r="G16">
        <v>3</v>
      </c>
      <c r="H16" s="1" t="s">
        <v>41</v>
      </c>
      <c r="I16" s="1" t="s">
        <v>75</v>
      </c>
      <c r="J16">
        <v>9</v>
      </c>
      <c r="K16">
        <v>27.99</v>
      </c>
      <c r="L16" s="1" t="s">
        <v>28</v>
      </c>
      <c r="M16" s="1" t="s">
        <v>61</v>
      </c>
      <c r="N16" s="1" t="s">
        <v>62</v>
      </c>
      <c r="O16" s="1" t="s">
        <v>31</v>
      </c>
      <c r="P16" s="2">
        <v>45726</v>
      </c>
      <c r="Q16" s="1" t="s">
        <v>118</v>
      </c>
      <c r="R16" s="1" t="s">
        <v>119</v>
      </c>
      <c r="S16" s="1" t="s">
        <v>105</v>
      </c>
      <c r="T16" s="1" t="s">
        <v>35</v>
      </c>
      <c r="U16" s="1" t="s">
        <v>66</v>
      </c>
      <c r="V16" s="1" t="s">
        <v>37</v>
      </c>
      <c r="W16">
        <v>2</v>
      </c>
    </row>
    <row r="17" spans="1:23" x14ac:dyDescent="0.3">
      <c r="A17" s="1" t="s">
        <v>120</v>
      </c>
      <c r="B17">
        <v>2</v>
      </c>
      <c r="C17">
        <v>30.99</v>
      </c>
      <c r="D17">
        <v>53.78</v>
      </c>
      <c r="E17" s="1" t="s">
        <v>121</v>
      </c>
      <c r="F17" s="1" t="s">
        <v>70</v>
      </c>
      <c r="G17">
        <v>0</v>
      </c>
      <c r="H17" s="1" t="s">
        <v>58</v>
      </c>
      <c r="I17" s="1" t="s">
        <v>42</v>
      </c>
      <c r="J17">
        <v>10.5</v>
      </c>
      <c r="K17">
        <v>30.99</v>
      </c>
      <c r="L17" s="1" t="s">
        <v>28</v>
      </c>
      <c r="M17" s="1" t="s">
        <v>43</v>
      </c>
      <c r="N17" s="1" t="s">
        <v>44</v>
      </c>
      <c r="O17" s="1" t="s">
        <v>31</v>
      </c>
      <c r="P17" s="2">
        <v>45823</v>
      </c>
      <c r="Q17" s="1" t="s">
        <v>122</v>
      </c>
      <c r="R17" s="1" t="s">
        <v>123</v>
      </c>
      <c r="S17" s="1" t="s">
        <v>65</v>
      </c>
      <c r="T17" s="1" t="s">
        <v>35</v>
      </c>
      <c r="U17" s="1" t="s">
        <v>82</v>
      </c>
      <c r="V17" s="1" t="s">
        <v>37</v>
      </c>
      <c r="W17">
        <v>2</v>
      </c>
    </row>
    <row r="18" spans="1:23" x14ac:dyDescent="0.3">
      <c r="A18" s="1" t="s">
        <v>124</v>
      </c>
      <c r="B18">
        <v>1</v>
      </c>
      <c r="C18">
        <v>16.989999999999998</v>
      </c>
      <c r="D18">
        <v>16.989999999999998</v>
      </c>
      <c r="E18" s="1" t="s">
        <v>113</v>
      </c>
      <c r="F18" s="1" t="s">
        <v>40</v>
      </c>
      <c r="G18">
        <v>20</v>
      </c>
      <c r="H18" s="1" t="s">
        <v>26</v>
      </c>
      <c r="I18" s="1" t="s">
        <v>59</v>
      </c>
      <c r="J18">
        <v>5</v>
      </c>
      <c r="K18">
        <v>16.989999999999998</v>
      </c>
      <c r="L18" s="1" t="s">
        <v>60</v>
      </c>
      <c r="M18" s="1" t="s">
        <v>61</v>
      </c>
      <c r="N18" s="1" t="s">
        <v>62</v>
      </c>
      <c r="O18" s="1" t="s">
        <v>31</v>
      </c>
      <c r="P18" s="2">
        <v>45726</v>
      </c>
      <c r="Q18" s="1" t="s">
        <v>125</v>
      </c>
      <c r="R18" s="1" t="s">
        <v>126</v>
      </c>
      <c r="S18" s="1" t="s">
        <v>88</v>
      </c>
      <c r="T18" s="1" t="s">
        <v>35</v>
      </c>
      <c r="U18" s="1" t="s">
        <v>48</v>
      </c>
      <c r="V18" s="1" t="s">
        <v>67</v>
      </c>
      <c r="W18">
        <v>3</v>
      </c>
    </row>
    <row r="19" spans="1:23" x14ac:dyDescent="0.3">
      <c r="A19" s="1" t="s">
        <v>127</v>
      </c>
      <c r="B19">
        <v>1</v>
      </c>
      <c r="C19">
        <v>18.989999999999998</v>
      </c>
      <c r="D19">
        <v>18.989999999999998</v>
      </c>
      <c r="E19" s="1" t="s">
        <v>128</v>
      </c>
      <c r="F19" s="1" t="s">
        <v>51</v>
      </c>
      <c r="G19">
        <v>0</v>
      </c>
      <c r="H19" s="1" t="s">
        <v>26</v>
      </c>
      <c r="I19" s="1" t="s">
        <v>97</v>
      </c>
      <c r="J19">
        <v>6</v>
      </c>
      <c r="K19">
        <v>18.989999999999998</v>
      </c>
      <c r="L19" s="1" t="s">
        <v>60</v>
      </c>
      <c r="M19" s="1" t="s">
        <v>43</v>
      </c>
      <c r="N19" s="1" t="s">
        <v>44</v>
      </c>
      <c r="O19" s="1" t="s">
        <v>31</v>
      </c>
      <c r="P19" s="2">
        <v>45823</v>
      </c>
      <c r="Q19" s="1" t="s">
        <v>129</v>
      </c>
      <c r="R19" s="1" t="s">
        <v>130</v>
      </c>
      <c r="S19" s="1" t="s">
        <v>34</v>
      </c>
      <c r="T19" s="1" t="s">
        <v>35</v>
      </c>
      <c r="U19" s="1" t="s">
        <v>55</v>
      </c>
      <c r="V19" s="1" t="s">
        <v>100</v>
      </c>
      <c r="W19">
        <v>3.2</v>
      </c>
    </row>
    <row r="20" spans="1:23" x14ac:dyDescent="0.3">
      <c r="A20" s="1" t="s">
        <v>131</v>
      </c>
      <c r="B20">
        <v>2</v>
      </c>
      <c r="C20">
        <v>18.989999999999998</v>
      </c>
      <c r="D20">
        <v>32.78</v>
      </c>
      <c r="E20" s="1" t="s">
        <v>132</v>
      </c>
      <c r="F20" s="1" t="s">
        <v>51</v>
      </c>
      <c r="G20">
        <v>0</v>
      </c>
      <c r="H20" s="1" t="s">
        <v>96</v>
      </c>
      <c r="I20" s="1" t="s">
        <v>97</v>
      </c>
      <c r="J20">
        <v>6</v>
      </c>
      <c r="K20">
        <v>18.989999999999998</v>
      </c>
      <c r="L20" s="1" t="s">
        <v>60</v>
      </c>
      <c r="M20" s="1" t="s">
        <v>43</v>
      </c>
      <c r="N20" s="1" t="s">
        <v>44</v>
      </c>
      <c r="O20" s="1" t="s">
        <v>31</v>
      </c>
      <c r="P20" s="2">
        <v>45823</v>
      </c>
      <c r="Q20" s="1" t="s">
        <v>133</v>
      </c>
      <c r="R20" s="1" t="s">
        <v>134</v>
      </c>
      <c r="S20" s="1" t="s">
        <v>65</v>
      </c>
      <c r="T20" s="1" t="s">
        <v>35</v>
      </c>
      <c r="U20" s="1" t="s">
        <v>66</v>
      </c>
      <c r="V20" s="1" t="s">
        <v>100</v>
      </c>
      <c r="W20">
        <v>3.2</v>
      </c>
    </row>
    <row r="21" spans="1:23" x14ac:dyDescent="0.3">
      <c r="A21" s="1" t="s">
        <v>135</v>
      </c>
      <c r="B21">
        <v>1</v>
      </c>
      <c r="C21">
        <v>27.99</v>
      </c>
      <c r="D21">
        <v>27.99</v>
      </c>
      <c r="E21" s="1" t="s">
        <v>136</v>
      </c>
      <c r="F21" s="1" t="s">
        <v>51</v>
      </c>
      <c r="G21">
        <v>0</v>
      </c>
      <c r="H21" s="1" t="s">
        <v>41</v>
      </c>
      <c r="I21" s="1" t="s">
        <v>75</v>
      </c>
      <c r="J21">
        <v>9</v>
      </c>
      <c r="K21">
        <v>27.99</v>
      </c>
      <c r="L21" s="1" t="s">
        <v>28</v>
      </c>
      <c r="M21" s="1" t="s">
        <v>61</v>
      </c>
      <c r="N21" s="1" t="s">
        <v>62</v>
      </c>
      <c r="O21" s="1" t="s">
        <v>31</v>
      </c>
      <c r="P21" s="2">
        <v>45726</v>
      </c>
      <c r="Q21" s="1" t="s">
        <v>137</v>
      </c>
      <c r="R21" s="1" t="s">
        <v>138</v>
      </c>
      <c r="S21" s="1" t="s">
        <v>34</v>
      </c>
      <c r="T21" s="1" t="s">
        <v>35</v>
      </c>
      <c r="U21" s="1" t="s">
        <v>82</v>
      </c>
      <c r="V21" s="1" t="s">
        <v>37</v>
      </c>
      <c r="W21">
        <v>2</v>
      </c>
    </row>
    <row r="22" spans="1:23" x14ac:dyDescent="0.3">
      <c r="A22" s="1" t="s">
        <v>139</v>
      </c>
      <c r="B22">
        <v>1</v>
      </c>
      <c r="C22">
        <v>18.989999999999998</v>
      </c>
      <c r="D22">
        <v>18.989999999999998</v>
      </c>
      <c r="E22" s="1" t="s">
        <v>107</v>
      </c>
      <c r="F22" s="1" t="s">
        <v>40</v>
      </c>
      <c r="G22">
        <v>12</v>
      </c>
      <c r="H22" s="1" t="s">
        <v>96</v>
      </c>
      <c r="I22" s="1" t="s">
        <v>97</v>
      </c>
      <c r="J22">
        <v>6</v>
      </c>
      <c r="K22">
        <v>18.989999999999998</v>
      </c>
      <c r="L22" s="1" t="s">
        <v>60</v>
      </c>
      <c r="M22" s="1" t="s">
        <v>43</v>
      </c>
      <c r="N22" s="1" t="s">
        <v>44</v>
      </c>
      <c r="O22" s="1" t="s">
        <v>31</v>
      </c>
      <c r="P22" s="2">
        <v>45823</v>
      </c>
      <c r="Q22" s="1" t="s">
        <v>140</v>
      </c>
      <c r="R22" s="1" t="s">
        <v>141</v>
      </c>
      <c r="S22" s="1" t="s">
        <v>54</v>
      </c>
      <c r="T22" s="1" t="s">
        <v>35</v>
      </c>
      <c r="U22" s="1" t="s">
        <v>55</v>
      </c>
      <c r="V22" s="1" t="s">
        <v>100</v>
      </c>
      <c r="W22">
        <v>3.2</v>
      </c>
    </row>
    <row r="23" spans="1:23" x14ac:dyDescent="0.3">
      <c r="A23" s="1" t="s">
        <v>142</v>
      </c>
      <c r="B23">
        <v>1</v>
      </c>
      <c r="C23">
        <v>30.99</v>
      </c>
      <c r="D23">
        <v>30.99</v>
      </c>
      <c r="E23" s="1" t="s">
        <v>143</v>
      </c>
      <c r="F23" s="1" t="s">
        <v>40</v>
      </c>
      <c r="G23">
        <v>2</v>
      </c>
      <c r="H23" s="1" t="s">
        <v>58</v>
      </c>
      <c r="I23" s="1" t="s">
        <v>42</v>
      </c>
      <c r="J23">
        <v>10.5</v>
      </c>
      <c r="K23">
        <v>30.99</v>
      </c>
      <c r="L23" s="1" t="s">
        <v>28</v>
      </c>
      <c r="M23" s="1" t="s">
        <v>43</v>
      </c>
      <c r="N23" s="1" t="s">
        <v>44</v>
      </c>
      <c r="O23" s="1" t="s">
        <v>31</v>
      </c>
      <c r="P23" s="2">
        <v>45823</v>
      </c>
      <c r="Q23" s="1" t="s">
        <v>76</v>
      </c>
      <c r="R23" s="1" t="s">
        <v>144</v>
      </c>
      <c r="S23" s="1" t="s">
        <v>34</v>
      </c>
      <c r="T23" s="1" t="s">
        <v>35</v>
      </c>
      <c r="U23" s="1" t="s">
        <v>66</v>
      </c>
      <c r="V23" s="1" t="s">
        <v>37</v>
      </c>
      <c r="W23">
        <v>2</v>
      </c>
    </row>
    <row r="24" spans="1:23" x14ac:dyDescent="0.3">
      <c r="A24" s="1" t="s">
        <v>145</v>
      </c>
      <c r="B24">
        <v>3</v>
      </c>
      <c r="C24">
        <v>16.989999999999998</v>
      </c>
      <c r="D24">
        <v>40.18</v>
      </c>
      <c r="E24" s="1" t="s">
        <v>146</v>
      </c>
      <c r="F24" s="1" t="s">
        <v>51</v>
      </c>
      <c r="G24">
        <v>0</v>
      </c>
      <c r="H24" s="1" t="s">
        <v>26</v>
      </c>
      <c r="I24" s="1" t="s">
        <v>59</v>
      </c>
      <c r="J24">
        <v>5</v>
      </c>
      <c r="K24">
        <v>16.989999999999998</v>
      </c>
      <c r="L24" s="1" t="s">
        <v>60</v>
      </c>
      <c r="M24" s="1" t="s">
        <v>61</v>
      </c>
      <c r="N24" s="1" t="s">
        <v>62</v>
      </c>
      <c r="O24" s="1" t="s">
        <v>31</v>
      </c>
      <c r="P24" s="2">
        <v>45726</v>
      </c>
      <c r="Q24" s="1" t="s">
        <v>147</v>
      </c>
      <c r="R24" s="1" t="s">
        <v>148</v>
      </c>
      <c r="S24" s="1" t="s">
        <v>65</v>
      </c>
      <c r="T24" s="1" t="s">
        <v>35</v>
      </c>
      <c r="U24" s="1" t="s">
        <v>48</v>
      </c>
      <c r="V24" s="1" t="s">
        <v>67</v>
      </c>
      <c r="W24">
        <v>3</v>
      </c>
    </row>
    <row r="25" spans="1:23" x14ac:dyDescent="0.3">
      <c r="A25" s="1" t="s">
        <v>149</v>
      </c>
      <c r="B25">
        <v>1</v>
      </c>
      <c r="C25">
        <v>27.99</v>
      </c>
      <c r="D25">
        <v>27.99</v>
      </c>
      <c r="E25" s="1" t="s">
        <v>136</v>
      </c>
      <c r="F25" s="1" t="s">
        <v>70</v>
      </c>
      <c r="G25">
        <v>0</v>
      </c>
      <c r="H25" s="1" t="s">
        <v>41</v>
      </c>
      <c r="I25" s="1" t="s">
        <v>75</v>
      </c>
      <c r="J25">
        <v>9</v>
      </c>
      <c r="K25">
        <v>27.99</v>
      </c>
      <c r="L25" s="1" t="s">
        <v>28</v>
      </c>
      <c r="M25" s="1" t="s">
        <v>61</v>
      </c>
      <c r="N25" s="1" t="s">
        <v>62</v>
      </c>
      <c r="O25" s="1" t="s">
        <v>31</v>
      </c>
      <c r="P25" s="2">
        <v>45726</v>
      </c>
      <c r="Q25" s="1" t="s">
        <v>150</v>
      </c>
      <c r="R25" s="1" t="s">
        <v>151</v>
      </c>
      <c r="S25" s="1" t="s">
        <v>105</v>
      </c>
      <c r="T25" s="1" t="s">
        <v>35</v>
      </c>
      <c r="U25" s="1" t="s">
        <v>55</v>
      </c>
      <c r="V25" s="1" t="s">
        <v>37</v>
      </c>
      <c r="W25">
        <v>2</v>
      </c>
    </row>
    <row r="26" spans="1:23" x14ac:dyDescent="0.3">
      <c r="A26" s="1" t="s">
        <v>152</v>
      </c>
      <c r="B26">
        <v>3</v>
      </c>
      <c r="C26">
        <v>21.99</v>
      </c>
      <c r="D26">
        <v>52.48</v>
      </c>
      <c r="E26" s="1" t="s">
        <v>74</v>
      </c>
      <c r="F26" s="1" t="s">
        <v>40</v>
      </c>
      <c r="G26">
        <v>3</v>
      </c>
      <c r="H26" s="1" t="s">
        <v>41</v>
      </c>
      <c r="I26" s="1" t="s">
        <v>27</v>
      </c>
      <c r="J26">
        <v>7</v>
      </c>
      <c r="K26">
        <v>21.99</v>
      </c>
      <c r="L26" s="1" t="s">
        <v>28</v>
      </c>
      <c r="M26" s="1" t="s">
        <v>29</v>
      </c>
      <c r="N26" s="1" t="s">
        <v>30</v>
      </c>
      <c r="O26" s="1" t="s">
        <v>31</v>
      </c>
      <c r="P26" s="2">
        <v>45778</v>
      </c>
      <c r="Q26" s="1" t="s">
        <v>153</v>
      </c>
      <c r="R26" s="1" t="s">
        <v>154</v>
      </c>
      <c r="S26" s="1" t="s">
        <v>105</v>
      </c>
      <c r="T26" s="1" t="s">
        <v>35</v>
      </c>
      <c r="U26" s="1" t="s">
        <v>48</v>
      </c>
      <c r="V26" s="1" t="s">
        <v>37</v>
      </c>
      <c r="W26">
        <v>2</v>
      </c>
    </row>
    <row r="27" spans="1:23" x14ac:dyDescent="0.3">
      <c r="A27" s="1" t="s">
        <v>155</v>
      </c>
      <c r="B27">
        <v>1</v>
      </c>
      <c r="C27">
        <v>16.989999999999998</v>
      </c>
      <c r="D27">
        <v>16.989999999999998</v>
      </c>
      <c r="E27" s="1" t="s">
        <v>156</v>
      </c>
      <c r="F27" s="1" t="s">
        <v>40</v>
      </c>
      <c r="G27">
        <v>20</v>
      </c>
      <c r="H27" s="1" t="s">
        <v>96</v>
      </c>
      <c r="I27" s="1" t="s">
        <v>59</v>
      </c>
      <c r="J27">
        <v>5</v>
      </c>
      <c r="K27">
        <v>16.989999999999998</v>
      </c>
      <c r="L27" s="1" t="s">
        <v>60</v>
      </c>
      <c r="M27" s="1" t="s">
        <v>61</v>
      </c>
      <c r="N27" s="1" t="s">
        <v>62</v>
      </c>
      <c r="O27" s="1" t="s">
        <v>31</v>
      </c>
      <c r="P27" s="2">
        <v>45726</v>
      </c>
      <c r="Q27" s="1" t="s">
        <v>157</v>
      </c>
      <c r="R27" s="1" t="s">
        <v>158</v>
      </c>
      <c r="S27" s="1" t="s">
        <v>34</v>
      </c>
      <c r="T27" s="1" t="s">
        <v>35</v>
      </c>
      <c r="U27" s="1" t="s">
        <v>82</v>
      </c>
      <c r="V27" s="1" t="s">
        <v>67</v>
      </c>
      <c r="W27">
        <v>3</v>
      </c>
    </row>
    <row r="28" spans="1:23" x14ac:dyDescent="0.3">
      <c r="A28" s="1" t="s">
        <v>159</v>
      </c>
      <c r="B28">
        <v>1</v>
      </c>
      <c r="C28">
        <v>18.989999999999998</v>
      </c>
      <c r="D28">
        <v>18.989999999999998</v>
      </c>
      <c r="E28" s="1" t="s">
        <v>160</v>
      </c>
      <c r="F28" s="1" t="s">
        <v>40</v>
      </c>
      <c r="G28">
        <v>12</v>
      </c>
      <c r="H28" s="1" t="s">
        <v>58</v>
      </c>
      <c r="I28" s="1" t="s">
        <v>97</v>
      </c>
      <c r="J28">
        <v>6</v>
      </c>
      <c r="K28">
        <v>18.989999999999998</v>
      </c>
      <c r="L28" s="1" t="s">
        <v>60</v>
      </c>
      <c r="M28" s="1" t="s">
        <v>43</v>
      </c>
      <c r="N28" s="1" t="s">
        <v>44</v>
      </c>
      <c r="O28" s="1" t="s">
        <v>31</v>
      </c>
      <c r="P28" s="2">
        <v>45823</v>
      </c>
      <c r="Q28" s="1" t="s">
        <v>161</v>
      </c>
      <c r="R28" s="1" t="s">
        <v>162</v>
      </c>
      <c r="S28" s="1" t="s">
        <v>54</v>
      </c>
      <c r="T28" s="1" t="s">
        <v>35</v>
      </c>
      <c r="U28" s="1" t="s">
        <v>36</v>
      </c>
      <c r="V28" s="1" t="s">
        <v>100</v>
      </c>
      <c r="W28">
        <v>3.2</v>
      </c>
    </row>
    <row r="29" spans="1:23" x14ac:dyDescent="0.3">
      <c r="A29" s="1" t="s">
        <v>163</v>
      </c>
      <c r="B29">
        <v>3</v>
      </c>
      <c r="C29">
        <v>16.989999999999998</v>
      </c>
      <c r="D29">
        <v>40.18</v>
      </c>
      <c r="E29" s="1" t="s">
        <v>164</v>
      </c>
      <c r="F29" s="1" t="s">
        <v>51</v>
      </c>
      <c r="G29">
        <v>0</v>
      </c>
      <c r="H29" s="1" t="s">
        <v>96</v>
      </c>
      <c r="I29" s="1" t="s">
        <v>59</v>
      </c>
      <c r="J29">
        <v>5</v>
      </c>
      <c r="K29">
        <v>16.989999999999998</v>
      </c>
      <c r="L29" s="1" t="s">
        <v>60</v>
      </c>
      <c r="M29" s="1" t="s">
        <v>61</v>
      </c>
      <c r="N29" s="1" t="s">
        <v>62</v>
      </c>
      <c r="O29" s="1" t="s">
        <v>31</v>
      </c>
      <c r="P29" s="2">
        <v>45726</v>
      </c>
      <c r="Q29" s="1" t="s">
        <v>165</v>
      </c>
      <c r="R29" s="1" t="s">
        <v>166</v>
      </c>
      <c r="S29" s="1" t="s">
        <v>88</v>
      </c>
      <c r="T29" s="1" t="s">
        <v>35</v>
      </c>
      <c r="U29" s="1" t="s">
        <v>66</v>
      </c>
      <c r="V29" s="1" t="s">
        <v>67</v>
      </c>
      <c r="W29">
        <v>3</v>
      </c>
    </row>
    <row r="30" spans="1:23" x14ac:dyDescent="0.3">
      <c r="A30" s="1" t="s">
        <v>167</v>
      </c>
      <c r="B30">
        <v>1</v>
      </c>
      <c r="C30">
        <v>27.99</v>
      </c>
      <c r="D30">
        <v>27.99</v>
      </c>
      <c r="E30" s="1" t="s">
        <v>168</v>
      </c>
      <c r="F30" s="1" t="s">
        <v>51</v>
      </c>
      <c r="G30">
        <v>0</v>
      </c>
      <c r="H30" s="1" t="s">
        <v>96</v>
      </c>
      <c r="I30" s="1" t="s">
        <v>75</v>
      </c>
      <c r="J30">
        <v>9</v>
      </c>
      <c r="K30">
        <v>27.99</v>
      </c>
      <c r="L30" s="1" t="s">
        <v>28</v>
      </c>
      <c r="M30" s="1" t="s">
        <v>61</v>
      </c>
      <c r="N30" s="1" t="s">
        <v>62</v>
      </c>
      <c r="O30" s="1" t="s">
        <v>31</v>
      </c>
      <c r="P30" s="2">
        <v>45726</v>
      </c>
      <c r="Q30" s="1" t="s">
        <v>169</v>
      </c>
      <c r="R30" s="1" t="s">
        <v>170</v>
      </c>
      <c r="S30" s="1" t="s">
        <v>54</v>
      </c>
      <c r="T30" s="1" t="s">
        <v>35</v>
      </c>
      <c r="U30" s="1" t="s">
        <v>66</v>
      </c>
      <c r="V30" s="1" t="s">
        <v>37</v>
      </c>
      <c r="W30">
        <v>2</v>
      </c>
    </row>
    <row r="31" spans="1:23" x14ac:dyDescent="0.3">
      <c r="A31" s="1" t="s">
        <v>171</v>
      </c>
      <c r="B31">
        <v>1</v>
      </c>
      <c r="C31">
        <v>16.989999999999998</v>
      </c>
      <c r="D31">
        <v>16.989999999999998</v>
      </c>
      <c r="E31" s="1" t="s">
        <v>113</v>
      </c>
      <c r="F31" s="1" t="s">
        <v>40</v>
      </c>
      <c r="G31">
        <v>19</v>
      </c>
      <c r="H31" s="1" t="s">
        <v>96</v>
      </c>
      <c r="I31" s="1" t="s">
        <v>59</v>
      </c>
      <c r="J31">
        <v>5</v>
      </c>
      <c r="K31">
        <v>16.989999999999998</v>
      </c>
      <c r="L31" s="1" t="s">
        <v>60</v>
      </c>
      <c r="M31" s="1" t="s">
        <v>61</v>
      </c>
      <c r="N31" s="1" t="s">
        <v>62</v>
      </c>
      <c r="O31" s="1" t="s">
        <v>31</v>
      </c>
      <c r="P31" s="2">
        <v>45726</v>
      </c>
      <c r="Q31" s="1" t="s">
        <v>172</v>
      </c>
      <c r="R31" s="1" t="s">
        <v>173</v>
      </c>
      <c r="S31" s="1" t="s">
        <v>88</v>
      </c>
      <c r="T31" s="1" t="s">
        <v>35</v>
      </c>
      <c r="U31" s="1" t="s">
        <v>82</v>
      </c>
      <c r="V31" s="1" t="s">
        <v>67</v>
      </c>
      <c r="W31">
        <v>3</v>
      </c>
    </row>
    <row r="32" spans="1:23" x14ac:dyDescent="0.3">
      <c r="A32" s="1" t="s">
        <v>174</v>
      </c>
      <c r="B32">
        <v>1</v>
      </c>
      <c r="C32">
        <v>30.99</v>
      </c>
      <c r="D32">
        <v>30.99</v>
      </c>
      <c r="E32" s="1" t="s">
        <v>175</v>
      </c>
      <c r="F32" s="1" t="s">
        <v>40</v>
      </c>
      <c r="G32">
        <v>7</v>
      </c>
      <c r="H32" s="1" t="s">
        <v>96</v>
      </c>
      <c r="I32" s="1" t="s">
        <v>42</v>
      </c>
      <c r="J32">
        <v>10.5</v>
      </c>
      <c r="K32">
        <v>30.99</v>
      </c>
      <c r="L32" s="1" t="s">
        <v>28</v>
      </c>
      <c r="M32" s="1" t="s">
        <v>43</v>
      </c>
      <c r="N32" s="1" t="s">
        <v>44</v>
      </c>
      <c r="O32" s="1" t="s">
        <v>31</v>
      </c>
      <c r="P32" s="2">
        <v>45823</v>
      </c>
      <c r="Q32" s="1" t="s">
        <v>176</v>
      </c>
      <c r="R32" s="1" t="s">
        <v>177</v>
      </c>
      <c r="S32" s="1" t="s">
        <v>65</v>
      </c>
      <c r="T32" s="1" t="s">
        <v>35</v>
      </c>
      <c r="U32" s="1" t="s">
        <v>82</v>
      </c>
      <c r="V32" s="1" t="s">
        <v>37</v>
      </c>
      <c r="W32">
        <v>2</v>
      </c>
    </row>
    <row r="33" spans="1:23" x14ac:dyDescent="0.3">
      <c r="A33" s="1" t="s">
        <v>178</v>
      </c>
      <c r="B33">
        <v>3</v>
      </c>
      <c r="C33">
        <v>18.989999999999998</v>
      </c>
      <c r="D33">
        <v>45.28</v>
      </c>
      <c r="E33" s="1" t="s">
        <v>160</v>
      </c>
      <c r="F33" s="1" t="s">
        <v>40</v>
      </c>
      <c r="G33">
        <v>11</v>
      </c>
      <c r="H33" s="1" t="s">
        <v>96</v>
      </c>
      <c r="I33" s="1" t="s">
        <v>97</v>
      </c>
      <c r="J33">
        <v>6</v>
      </c>
      <c r="K33">
        <v>18.989999999999998</v>
      </c>
      <c r="L33" s="1" t="s">
        <v>60</v>
      </c>
      <c r="M33" s="1" t="s">
        <v>43</v>
      </c>
      <c r="N33" s="1" t="s">
        <v>44</v>
      </c>
      <c r="O33" s="1" t="s">
        <v>31</v>
      </c>
      <c r="P33" s="2">
        <v>45823</v>
      </c>
      <c r="Q33" s="1" t="s">
        <v>161</v>
      </c>
      <c r="R33" s="1" t="s">
        <v>179</v>
      </c>
      <c r="S33" s="1" t="s">
        <v>105</v>
      </c>
      <c r="T33" s="1" t="s">
        <v>35</v>
      </c>
      <c r="U33" s="1" t="s">
        <v>82</v>
      </c>
      <c r="V33" s="1" t="s">
        <v>100</v>
      </c>
      <c r="W33">
        <v>3.2</v>
      </c>
    </row>
    <row r="34" spans="1:23" x14ac:dyDescent="0.3">
      <c r="A34" s="1" t="s">
        <v>180</v>
      </c>
      <c r="B34">
        <v>1</v>
      </c>
      <c r="C34">
        <v>34.99</v>
      </c>
      <c r="D34">
        <v>34.99</v>
      </c>
      <c r="E34" s="1" t="s">
        <v>181</v>
      </c>
      <c r="F34" s="1" t="s">
        <v>40</v>
      </c>
      <c r="G34">
        <v>8</v>
      </c>
      <c r="H34" s="1" t="s">
        <v>41</v>
      </c>
      <c r="I34" s="1" t="s">
        <v>85</v>
      </c>
      <c r="J34">
        <v>12.5</v>
      </c>
      <c r="K34">
        <v>34.99</v>
      </c>
      <c r="L34" s="1" t="s">
        <v>60</v>
      </c>
      <c r="M34" s="1" t="s">
        <v>29</v>
      </c>
      <c r="N34" s="1" t="s">
        <v>30</v>
      </c>
      <c r="O34" s="1" t="s">
        <v>31</v>
      </c>
      <c r="P34" s="2">
        <v>45778</v>
      </c>
      <c r="Q34" s="1" t="s">
        <v>182</v>
      </c>
      <c r="R34" s="1" t="s">
        <v>183</v>
      </c>
      <c r="S34" s="1" t="s">
        <v>47</v>
      </c>
      <c r="T34" s="1" t="s">
        <v>35</v>
      </c>
      <c r="U34" s="1" t="s">
        <v>48</v>
      </c>
      <c r="V34" s="1" t="s">
        <v>89</v>
      </c>
      <c r="W34">
        <v>2.4</v>
      </c>
    </row>
    <row r="35" spans="1:23" x14ac:dyDescent="0.3">
      <c r="A35" s="1" t="s">
        <v>184</v>
      </c>
      <c r="B35">
        <v>1</v>
      </c>
      <c r="C35">
        <v>16.989999999999998</v>
      </c>
      <c r="D35">
        <v>16.989999999999998</v>
      </c>
      <c r="E35" s="1" t="s">
        <v>185</v>
      </c>
      <c r="F35" s="1" t="s">
        <v>70</v>
      </c>
      <c r="G35">
        <v>0</v>
      </c>
      <c r="H35" s="1" t="s">
        <v>58</v>
      </c>
      <c r="I35" s="1" t="s">
        <v>59</v>
      </c>
      <c r="J35">
        <v>5</v>
      </c>
      <c r="K35">
        <v>16.989999999999998</v>
      </c>
      <c r="L35" s="1" t="s">
        <v>60</v>
      </c>
      <c r="M35" s="1" t="s">
        <v>61</v>
      </c>
      <c r="N35" s="1" t="s">
        <v>62</v>
      </c>
      <c r="O35" s="1" t="s">
        <v>31</v>
      </c>
      <c r="P35" s="2">
        <v>45726</v>
      </c>
      <c r="Q35" s="1" t="s">
        <v>76</v>
      </c>
      <c r="R35" s="1" t="s">
        <v>77</v>
      </c>
      <c r="S35" s="1" t="s">
        <v>34</v>
      </c>
      <c r="T35" s="1" t="s">
        <v>35</v>
      </c>
      <c r="U35" s="1" t="s">
        <v>36</v>
      </c>
      <c r="V35" s="1" t="s">
        <v>67</v>
      </c>
      <c r="W35">
        <v>3</v>
      </c>
    </row>
    <row r="36" spans="1:23" x14ac:dyDescent="0.3">
      <c r="A36" s="1" t="s">
        <v>186</v>
      </c>
      <c r="B36">
        <v>3</v>
      </c>
      <c r="C36">
        <v>34.99</v>
      </c>
      <c r="D36">
        <v>84.73</v>
      </c>
      <c r="E36" s="1" t="s">
        <v>187</v>
      </c>
      <c r="F36" s="1" t="s">
        <v>188</v>
      </c>
      <c r="G36">
        <v>0</v>
      </c>
      <c r="H36" s="1" t="s">
        <v>26</v>
      </c>
      <c r="I36" s="1" t="s">
        <v>85</v>
      </c>
      <c r="J36">
        <v>12.5</v>
      </c>
      <c r="K36">
        <v>34.99</v>
      </c>
      <c r="L36" s="1" t="s">
        <v>60</v>
      </c>
      <c r="M36" s="1" t="s">
        <v>29</v>
      </c>
      <c r="N36" s="1" t="s">
        <v>30</v>
      </c>
      <c r="O36" s="1" t="s">
        <v>31</v>
      </c>
      <c r="P36" s="2">
        <v>45778</v>
      </c>
      <c r="Q36" s="1" t="s">
        <v>189</v>
      </c>
      <c r="R36" s="1" t="s">
        <v>190</v>
      </c>
      <c r="S36" s="1" t="s">
        <v>65</v>
      </c>
      <c r="T36" s="1" t="s">
        <v>35</v>
      </c>
      <c r="U36" s="1" t="s">
        <v>48</v>
      </c>
      <c r="V36" s="1" t="s">
        <v>89</v>
      </c>
      <c r="W36">
        <v>2.4</v>
      </c>
    </row>
    <row r="37" spans="1:23" x14ac:dyDescent="0.3">
      <c r="A37" s="1" t="s">
        <v>191</v>
      </c>
      <c r="B37">
        <v>3</v>
      </c>
      <c r="C37">
        <v>30.99</v>
      </c>
      <c r="D37">
        <v>74.53</v>
      </c>
      <c r="E37" s="1" t="s">
        <v>192</v>
      </c>
      <c r="F37" s="1" t="s">
        <v>40</v>
      </c>
      <c r="G37">
        <v>3</v>
      </c>
      <c r="H37" s="1" t="s">
        <v>26</v>
      </c>
      <c r="I37" s="1" t="s">
        <v>42</v>
      </c>
      <c r="J37">
        <v>10.5</v>
      </c>
      <c r="K37">
        <v>30.99</v>
      </c>
      <c r="L37" s="1" t="s">
        <v>28</v>
      </c>
      <c r="M37" s="1" t="s">
        <v>43</v>
      </c>
      <c r="N37" s="1" t="s">
        <v>44</v>
      </c>
      <c r="O37" s="1" t="s">
        <v>31</v>
      </c>
      <c r="P37" s="2">
        <v>45823</v>
      </c>
      <c r="Q37" s="1" t="s">
        <v>153</v>
      </c>
      <c r="R37" s="1" t="s">
        <v>154</v>
      </c>
      <c r="S37" s="1" t="s">
        <v>105</v>
      </c>
      <c r="T37" s="1" t="s">
        <v>35</v>
      </c>
      <c r="U37" s="1" t="s">
        <v>48</v>
      </c>
      <c r="V37" s="1" t="s">
        <v>37</v>
      </c>
      <c r="W37">
        <v>2</v>
      </c>
    </row>
    <row r="38" spans="1:23" x14ac:dyDescent="0.3">
      <c r="A38" s="1" t="s">
        <v>193</v>
      </c>
      <c r="B38">
        <v>1</v>
      </c>
      <c r="C38">
        <v>30.99</v>
      </c>
      <c r="D38">
        <v>30.99</v>
      </c>
      <c r="E38" s="1" t="s">
        <v>168</v>
      </c>
      <c r="F38" s="1" t="s">
        <v>40</v>
      </c>
      <c r="G38">
        <v>3</v>
      </c>
      <c r="H38" s="1" t="s">
        <v>41</v>
      </c>
      <c r="I38" s="1" t="s">
        <v>42</v>
      </c>
      <c r="J38">
        <v>10.5</v>
      </c>
      <c r="K38">
        <v>30.99</v>
      </c>
      <c r="L38" s="1" t="s">
        <v>28</v>
      </c>
      <c r="M38" s="1" t="s">
        <v>43</v>
      </c>
      <c r="N38" s="1" t="s">
        <v>44</v>
      </c>
      <c r="O38" s="1" t="s">
        <v>31</v>
      </c>
      <c r="P38" s="2">
        <v>45823</v>
      </c>
      <c r="Q38" s="1" t="s">
        <v>194</v>
      </c>
      <c r="R38" s="1" t="s">
        <v>195</v>
      </c>
      <c r="S38" s="1" t="s">
        <v>88</v>
      </c>
      <c r="T38" s="1" t="s">
        <v>35</v>
      </c>
      <c r="U38" s="1" t="s">
        <v>48</v>
      </c>
      <c r="V38" s="1" t="s">
        <v>37</v>
      </c>
      <c r="W38">
        <v>2</v>
      </c>
    </row>
    <row r="39" spans="1:23" x14ac:dyDescent="0.3">
      <c r="A39" s="1" t="s">
        <v>196</v>
      </c>
      <c r="B39">
        <v>1</v>
      </c>
      <c r="C39">
        <v>21.99</v>
      </c>
      <c r="D39">
        <v>21.99</v>
      </c>
      <c r="E39" s="1" t="s">
        <v>197</v>
      </c>
      <c r="F39" s="1" t="s">
        <v>51</v>
      </c>
      <c r="G39">
        <v>0</v>
      </c>
      <c r="H39" s="1" t="s">
        <v>26</v>
      </c>
      <c r="I39" s="1" t="s">
        <v>27</v>
      </c>
      <c r="J39">
        <v>7</v>
      </c>
      <c r="K39">
        <v>21.99</v>
      </c>
      <c r="L39" s="1" t="s">
        <v>28</v>
      </c>
      <c r="M39" s="1" t="s">
        <v>29</v>
      </c>
      <c r="N39" s="1" t="s">
        <v>30</v>
      </c>
      <c r="O39" s="1" t="s">
        <v>31</v>
      </c>
      <c r="P39" s="2">
        <v>45778</v>
      </c>
      <c r="Q39" s="1" t="s">
        <v>103</v>
      </c>
      <c r="R39" s="1" t="s">
        <v>198</v>
      </c>
      <c r="S39" s="1" t="s">
        <v>54</v>
      </c>
      <c r="T39" s="1" t="s">
        <v>35</v>
      </c>
      <c r="U39" s="1" t="s">
        <v>82</v>
      </c>
      <c r="V39" s="1" t="s">
        <v>37</v>
      </c>
      <c r="W39">
        <v>2</v>
      </c>
    </row>
    <row r="40" spans="1:23" x14ac:dyDescent="0.3">
      <c r="A40" s="1" t="s">
        <v>199</v>
      </c>
      <c r="B40">
        <v>1</v>
      </c>
      <c r="C40">
        <v>30.99</v>
      </c>
      <c r="D40">
        <v>30.99</v>
      </c>
      <c r="E40" s="1" t="s">
        <v>200</v>
      </c>
      <c r="F40" s="1" t="s">
        <v>40</v>
      </c>
      <c r="G40">
        <v>3</v>
      </c>
      <c r="H40" s="1" t="s">
        <v>96</v>
      </c>
      <c r="I40" s="1" t="s">
        <v>42</v>
      </c>
      <c r="J40">
        <v>10.5</v>
      </c>
      <c r="K40">
        <v>30.99</v>
      </c>
      <c r="L40" s="1" t="s">
        <v>28</v>
      </c>
      <c r="M40" s="1" t="s">
        <v>43</v>
      </c>
      <c r="N40" s="1" t="s">
        <v>44</v>
      </c>
      <c r="O40" s="1" t="s">
        <v>31</v>
      </c>
      <c r="P40" s="2">
        <v>45823</v>
      </c>
      <c r="Q40" s="1" t="s">
        <v>32</v>
      </c>
      <c r="R40" s="1" t="s">
        <v>33</v>
      </c>
      <c r="S40" s="1" t="s">
        <v>34</v>
      </c>
      <c r="T40" s="1" t="s">
        <v>35</v>
      </c>
      <c r="U40" s="1" t="s">
        <v>36</v>
      </c>
      <c r="V40" s="1" t="s">
        <v>37</v>
      </c>
      <c r="W40">
        <v>2</v>
      </c>
    </row>
    <row r="41" spans="1:23" x14ac:dyDescent="0.3">
      <c r="A41" s="1" t="s">
        <v>201</v>
      </c>
      <c r="B41">
        <v>1</v>
      </c>
      <c r="C41">
        <v>18.989999999999998</v>
      </c>
      <c r="D41">
        <v>18.989999999999998</v>
      </c>
      <c r="E41" s="1" t="s">
        <v>202</v>
      </c>
      <c r="F41" s="1" t="s">
        <v>40</v>
      </c>
      <c r="G41">
        <v>14</v>
      </c>
      <c r="H41" s="1" t="s">
        <v>96</v>
      </c>
      <c r="I41" s="1" t="s">
        <v>97</v>
      </c>
      <c r="J41">
        <v>6</v>
      </c>
      <c r="K41">
        <v>18.989999999999998</v>
      </c>
      <c r="L41" s="1" t="s">
        <v>60</v>
      </c>
      <c r="M41" s="1" t="s">
        <v>43</v>
      </c>
      <c r="N41" s="1" t="s">
        <v>44</v>
      </c>
      <c r="O41" s="1" t="s">
        <v>31</v>
      </c>
      <c r="P41" s="2">
        <v>45823</v>
      </c>
      <c r="Q41" s="1" t="s">
        <v>203</v>
      </c>
      <c r="R41" s="1" t="s">
        <v>204</v>
      </c>
      <c r="S41" s="1" t="s">
        <v>65</v>
      </c>
      <c r="T41" s="1" t="s">
        <v>35</v>
      </c>
      <c r="U41" s="1" t="s">
        <v>66</v>
      </c>
      <c r="V41" s="1" t="s">
        <v>100</v>
      </c>
      <c r="W41">
        <v>3.2</v>
      </c>
    </row>
    <row r="42" spans="1:23" x14ac:dyDescent="0.3">
      <c r="A42" s="1" t="s">
        <v>205</v>
      </c>
      <c r="B42">
        <v>1</v>
      </c>
      <c r="C42">
        <v>27.99</v>
      </c>
      <c r="D42">
        <v>27.99</v>
      </c>
      <c r="E42" s="1" t="s">
        <v>200</v>
      </c>
      <c r="F42" s="1" t="s">
        <v>40</v>
      </c>
      <c r="G42">
        <v>3</v>
      </c>
      <c r="H42" s="1" t="s">
        <v>41</v>
      </c>
      <c r="I42" s="1" t="s">
        <v>75</v>
      </c>
      <c r="J42">
        <v>9</v>
      </c>
      <c r="K42">
        <v>27.99</v>
      </c>
      <c r="L42" s="1" t="s">
        <v>28</v>
      </c>
      <c r="M42" s="1" t="s">
        <v>61</v>
      </c>
      <c r="N42" s="1" t="s">
        <v>62</v>
      </c>
      <c r="O42" s="1" t="s">
        <v>31</v>
      </c>
      <c r="P42" s="2">
        <v>45726</v>
      </c>
      <c r="Q42" s="1" t="s">
        <v>206</v>
      </c>
      <c r="R42" s="1" t="s">
        <v>207</v>
      </c>
      <c r="S42" s="1" t="s">
        <v>34</v>
      </c>
      <c r="T42" s="1" t="s">
        <v>35</v>
      </c>
      <c r="U42" s="1" t="s">
        <v>66</v>
      </c>
      <c r="V42" s="1" t="s">
        <v>37</v>
      </c>
      <c r="W42">
        <v>2</v>
      </c>
    </row>
    <row r="43" spans="1:23" x14ac:dyDescent="0.3">
      <c r="A43" s="1" t="s">
        <v>208</v>
      </c>
      <c r="B43">
        <v>1</v>
      </c>
      <c r="C43">
        <v>18.989999999999998</v>
      </c>
      <c r="D43">
        <v>18.989999999999998</v>
      </c>
      <c r="E43" s="1" t="s">
        <v>209</v>
      </c>
      <c r="F43" s="1" t="s">
        <v>40</v>
      </c>
      <c r="G43">
        <v>18</v>
      </c>
      <c r="H43" s="1" t="s">
        <v>96</v>
      </c>
      <c r="I43" s="1" t="s">
        <v>97</v>
      </c>
      <c r="J43">
        <v>6</v>
      </c>
      <c r="K43">
        <v>18.989999999999998</v>
      </c>
      <c r="L43" s="1" t="s">
        <v>60</v>
      </c>
      <c r="M43" s="1" t="s">
        <v>43</v>
      </c>
      <c r="N43" s="1" t="s">
        <v>44</v>
      </c>
      <c r="O43" s="1" t="s">
        <v>31</v>
      </c>
      <c r="P43" s="2">
        <v>45823</v>
      </c>
      <c r="Q43" s="1" t="s">
        <v>210</v>
      </c>
      <c r="R43" s="1" t="s">
        <v>211</v>
      </c>
      <c r="S43" s="1" t="s">
        <v>34</v>
      </c>
      <c r="T43" s="1" t="s">
        <v>35</v>
      </c>
      <c r="U43" s="1" t="s">
        <v>48</v>
      </c>
      <c r="V43" s="1" t="s">
        <v>100</v>
      </c>
      <c r="W43">
        <v>3.2</v>
      </c>
    </row>
    <row r="44" spans="1:23" x14ac:dyDescent="0.3">
      <c r="A44" s="1" t="s">
        <v>212</v>
      </c>
      <c r="B44">
        <v>1</v>
      </c>
      <c r="C44">
        <v>18.989999999999998</v>
      </c>
      <c r="D44">
        <v>18.989999999999998</v>
      </c>
      <c r="E44" s="1" t="s">
        <v>121</v>
      </c>
      <c r="F44" s="1" t="s">
        <v>40</v>
      </c>
      <c r="G44">
        <v>11</v>
      </c>
      <c r="H44" s="1" t="s">
        <v>26</v>
      </c>
      <c r="I44" s="1" t="s">
        <v>97</v>
      </c>
      <c r="J44">
        <v>6</v>
      </c>
      <c r="K44">
        <v>18.989999999999998</v>
      </c>
      <c r="L44" s="1" t="s">
        <v>60</v>
      </c>
      <c r="M44" s="1" t="s">
        <v>43</v>
      </c>
      <c r="N44" s="1" t="s">
        <v>44</v>
      </c>
      <c r="O44" s="1" t="s">
        <v>31</v>
      </c>
      <c r="P44" s="2">
        <v>45823</v>
      </c>
      <c r="Q44" s="1" t="s">
        <v>137</v>
      </c>
      <c r="R44" s="1" t="s">
        <v>138</v>
      </c>
      <c r="S44" s="1" t="s">
        <v>34</v>
      </c>
      <c r="T44" s="1" t="s">
        <v>35</v>
      </c>
      <c r="U44" s="1" t="s">
        <v>82</v>
      </c>
      <c r="V44" s="1" t="s">
        <v>100</v>
      </c>
      <c r="W44">
        <v>3.2</v>
      </c>
    </row>
    <row r="45" spans="1:23" x14ac:dyDescent="0.3">
      <c r="A45" s="1" t="s">
        <v>213</v>
      </c>
      <c r="B45">
        <v>1</v>
      </c>
      <c r="C45">
        <v>18.989999999999998</v>
      </c>
      <c r="D45">
        <v>18.989999999999998</v>
      </c>
      <c r="E45" s="1" t="s">
        <v>214</v>
      </c>
      <c r="F45" s="1" t="s">
        <v>40</v>
      </c>
      <c r="G45">
        <v>20</v>
      </c>
      <c r="H45" s="1" t="s">
        <v>26</v>
      </c>
      <c r="I45" s="1" t="s">
        <v>97</v>
      </c>
      <c r="J45">
        <v>6</v>
      </c>
      <c r="K45">
        <v>18.989999999999998</v>
      </c>
      <c r="L45" s="1" t="s">
        <v>60</v>
      </c>
      <c r="M45" s="1" t="s">
        <v>43</v>
      </c>
      <c r="N45" s="1" t="s">
        <v>44</v>
      </c>
      <c r="O45" s="1" t="s">
        <v>31</v>
      </c>
      <c r="P45" s="2">
        <v>45823</v>
      </c>
      <c r="Q45" s="1" t="s">
        <v>140</v>
      </c>
      <c r="R45" s="1" t="s">
        <v>141</v>
      </c>
      <c r="S45" s="1" t="s">
        <v>54</v>
      </c>
      <c r="T45" s="1" t="s">
        <v>35</v>
      </c>
      <c r="U45" s="1" t="s">
        <v>55</v>
      </c>
      <c r="V45" s="1" t="s">
        <v>100</v>
      </c>
      <c r="W45">
        <v>3.2</v>
      </c>
    </row>
    <row r="46" spans="1:23" x14ac:dyDescent="0.3">
      <c r="A46" s="1" t="s">
        <v>215</v>
      </c>
      <c r="B46">
        <v>1</v>
      </c>
      <c r="C46">
        <v>16.989999999999998</v>
      </c>
      <c r="D46">
        <v>16.989999999999998</v>
      </c>
      <c r="E46" s="1" t="s">
        <v>102</v>
      </c>
      <c r="F46" s="1" t="s">
        <v>40</v>
      </c>
      <c r="G46">
        <v>16</v>
      </c>
      <c r="H46" s="1" t="s">
        <v>96</v>
      </c>
      <c r="I46" s="1" t="s">
        <v>59</v>
      </c>
      <c r="J46">
        <v>5</v>
      </c>
      <c r="K46">
        <v>16.989999999999998</v>
      </c>
      <c r="L46" s="1" t="s">
        <v>60</v>
      </c>
      <c r="M46" s="1" t="s">
        <v>61</v>
      </c>
      <c r="N46" s="1" t="s">
        <v>62</v>
      </c>
      <c r="O46" s="1" t="s">
        <v>31</v>
      </c>
      <c r="P46" s="2">
        <v>45726</v>
      </c>
      <c r="Q46" s="1" t="s">
        <v>216</v>
      </c>
      <c r="R46" s="1" t="s">
        <v>217</v>
      </c>
      <c r="S46" s="1" t="s">
        <v>65</v>
      </c>
      <c r="T46" s="1" t="s">
        <v>35</v>
      </c>
      <c r="U46" s="1" t="s">
        <v>82</v>
      </c>
      <c r="V46" s="1" t="s">
        <v>67</v>
      </c>
      <c r="W46">
        <v>3</v>
      </c>
    </row>
    <row r="47" spans="1:23" x14ac:dyDescent="0.3">
      <c r="A47" s="1" t="s">
        <v>218</v>
      </c>
      <c r="B47">
        <v>1</v>
      </c>
      <c r="C47">
        <v>18.989999999999998</v>
      </c>
      <c r="D47">
        <v>18.989999999999998</v>
      </c>
      <c r="E47" s="1" t="s">
        <v>57</v>
      </c>
      <c r="F47" s="1" t="s">
        <v>40</v>
      </c>
      <c r="G47">
        <v>14</v>
      </c>
      <c r="H47" s="1" t="s">
        <v>58</v>
      </c>
      <c r="I47" s="1" t="s">
        <v>97</v>
      </c>
      <c r="J47">
        <v>6</v>
      </c>
      <c r="K47">
        <v>18.989999999999998</v>
      </c>
      <c r="L47" s="1" t="s">
        <v>60</v>
      </c>
      <c r="M47" s="1" t="s">
        <v>43</v>
      </c>
      <c r="N47" s="1" t="s">
        <v>44</v>
      </c>
      <c r="O47" s="1" t="s">
        <v>31</v>
      </c>
      <c r="P47" s="2">
        <v>45823</v>
      </c>
      <c r="Q47" s="1" t="s">
        <v>219</v>
      </c>
      <c r="R47" s="1" t="s">
        <v>220</v>
      </c>
      <c r="S47" s="1" t="s">
        <v>54</v>
      </c>
      <c r="T47" s="1" t="s">
        <v>35</v>
      </c>
      <c r="U47" s="1" t="s">
        <v>55</v>
      </c>
      <c r="V47" s="1" t="s">
        <v>100</v>
      </c>
      <c r="W47">
        <v>3.2</v>
      </c>
    </row>
    <row r="48" spans="1:23" x14ac:dyDescent="0.3">
      <c r="A48" s="1" t="s">
        <v>221</v>
      </c>
      <c r="B48">
        <v>1</v>
      </c>
      <c r="C48">
        <v>21.99</v>
      </c>
      <c r="D48">
        <v>21.99</v>
      </c>
      <c r="E48" s="1" t="s">
        <v>222</v>
      </c>
      <c r="F48" s="1" t="s">
        <v>25</v>
      </c>
      <c r="G48">
        <v>2</v>
      </c>
      <c r="H48" s="1" t="s">
        <v>58</v>
      </c>
      <c r="I48" s="1" t="s">
        <v>27</v>
      </c>
      <c r="J48">
        <v>7</v>
      </c>
      <c r="K48">
        <v>21.99</v>
      </c>
      <c r="L48" s="1" t="s">
        <v>28</v>
      </c>
      <c r="M48" s="1" t="s">
        <v>29</v>
      </c>
      <c r="N48" s="1" t="s">
        <v>30</v>
      </c>
      <c r="O48" s="1" t="s">
        <v>31</v>
      </c>
      <c r="P48" s="2">
        <v>45778</v>
      </c>
      <c r="Q48" s="1" t="s">
        <v>216</v>
      </c>
      <c r="R48" s="1" t="s">
        <v>217</v>
      </c>
      <c r="S48" s="1" t="s">
        <v>65</v>
      </c>
      <c r="T48" s="1" t="s">
        <v>35</v>
      </c>
      <c r="U48" s="1" t="s">
        <v>82</v>
      </c>
      <c r="V48" s="1" t="s">
        <v>37</v>
      </c>
      <c r="W48">
        <v>2</v>
      </c>
    </row>
    <row r="49" spans="1:23" x14ac:dyDescent="0.3">
      <c r="A49" s="1" t="s">
        <v>223</v>
      </c>
      <c r="B49">
        <v>2</v>
      </c>
      <c r="C49">
        <v>30.99</v>
      </c>
      <c r="D49">
        <v>53.78</v>
      </c>
      <c r="E49" s="1" t="s">
        <v>224</v>
      </c>
      <c r="F49" s="1" t="s">
        <v>70</v>
      </c>
      <c r="G49">
        <v>0</v>
      </c>
      <c r="H49" s="1" t="s">
        <v>41</v>
      </c>
      <c r="I49" s="1" t="s">
        <v>42</v>
      </c>
      <c r="J49">
        <v>10.5</v>
      </c>
      <c r="K49">
        <v>30.99</v>
      </c>
      <c r="L49" s="1" t="s">
        <v>28</v>
      </c>
      <c r="M49" s="1" t="s">
        <v>43</v>
      </c>
      <c r="N49" s="1" t="s">
        <v>44</v>
      </c>
      <c r="O49" s="1" t="s">
        <v>31</v>
      </c>
      <c r="P49" s="2">
        <v>45823</v>
      </c>
      <c r="Q49" s="1" t="s">
        <v>225</v>
      </c>
      <c r="R49" s="1" t="s">
        <v>226</v>
      </c>
      <c r="S49" s="1" t="s">
        <v>105</v>
      </c>
      <c r="T49" s="1" t="s">
        <v>35</v>
      </c>
      <c r="U49" s="1" t="s">
        <v>36</v>
      </c>
      <c r="V49" s="1" t="s">
        <v>37</v>
      </c>
      <c r="W49">
        <v>2</v>
      </c>
    </row>
    <row r="50" spans="1:23" x14ac:dyDescent="0.3">
      <c r="A50" s="1" t="s">
        <v>227</v>
      </c>
      <c r="B50">
        <v>2</v>
      </c>
      <c r="C50">
        <v>21.99</v>
      </c>
      <c r="D50">
        <v>37.979999999999997</v>
      </c>
      <c r="E50" s="1" t="s">
        <v>228</v>
      </c>
      <c r="F50" s="1" t="s">
        <v>25</v>
      </c>
      <c r="G50">
        <v>3</v>
      </c>
      <c r="H50" s="1" t="s">
        <v>26</v>
      </c>
      <c r="I50" s="1" t="s">
        <v>27</v>
      </c>
      <c r="J50">
        <v>7</v>
      </c>
      <c r="K50">
        <v>21.99</v>
      </c>
      <c r="L50" s="1" t="s">
        <v>28</v>
      </c>
      <c r="M50" s="1" t="s">
        <v>29</v>
      </c>
      <c r="N50" s="1" t="s">
        <v>30</v>
      </c>
      <c r="O50" s="1" t="s">
        <v>31</v>
      </c>
      <c r="P50" s="2">
        <v>45778</v>
      </c>
      <c r="Q50" s="1" t="s">
        <v>80</v>
      </c>
      <c r="R50" s="1" t="s">
        <v>229</v>
      </c>
      <c r="S50" s="1" t="s">
        <v>34</v>
      </c>
      <c r="T50" s="1" t="s">
        <v>35</v>
      </c>
      <c r="U50" s="1" t="s">
        <v>36</v>
      </c>
      <c r="V50" s="1" t="s">
        <v>37</v>
      </c>
      <c r="W50">
        <v>2</v>
      </c>
    </row>
    <row r="51" spans="1:23" x14ac:dyDescent="0.3">
      <c r="A51" s="1" t="s">
        <v>230</v>
      </c>
      <c r="B51">
        <v>2</v>
      </c>
      <c r="C51">
        <v>16.989999999999998</v>
      </c>
      <c r="D51">
        <v>29.18</v>
      </c>
      <c r="E51" s="1" t="s">
        <v>69</v>
      </c>
      <c r="F51" s="1" t="s">
        <v>188</v>
      </c>
      <c r="G51">
        <v>0</v>
      </c>
      <c r="H51" s="1" t="s">
        <v>58</v>
      </c>
      <c r="I51" s="1" t="s">
        <v>59</v>
      </c>
      <c r="J51">
        <v>5</v>
      </c>
      <c r="K51">
        <v>16.989999999999998</v>
      </c>
      <c r="L51" s="1" t="s">
        <v>60</v>
      </c>
      <c r="M51" s="1" t="s">
        <v>61</v>
      </c>
      <c r="N51" s="1" t="s">
        <v>62</v>
      </c>
      <c r="O51" s="1" t="s">
        <v>31</v>
      </c>
      <c r="P51" s="2">
        <v>45726</v>
      </c>
      <c r="Q51" s="1" t="s">
        <v>231</v>
      </c>
      <c r="R51" s="1" t="s">
        <v>232</v>
      </c>
      <c r="S51" s="1" t="s">
        <v>105</v>
      </c>
      <c r="T51" s="1" t="s">
        <v>35</v>
      </c>
      <c r="U51" s="1" t="s">
        <v>36</v>
      </c>
      <c r="V51" s="1" t="s">
        <v>67</v>
      </c>
      <c r="W51">
        <v>3</v>
      </c>
    </row>
    <row r="52" spans="1:23" x14ac:dyDescent="0.3">
      <c r="A52" s="1" t="s">
        <v>233</v>
      </c>
      <c r="B52">
        <v>1</v>
      </c>
      <c r="C52">
        <v>34.99</v>
      </c>
      <c r="D52">
        <v>34.99</v>
      </c>
      <c r="E52" s="1" t="s">
        <v>128</v>
      </c>
      <c r="F52" s="1" t="s">
        <v>188</v>
      </c>
      <c r="G52">
        <v>0</v>
      </c>
      <c r="H52" s="1" t="s">
        <v>58</v>
      </c>
      <c r="I52" s="1" t="s">
        <v>85</v>
      </c>
      <c r="J52">
        <v>12.5</v>
      </c>
      <c r="K52">
        <v>34.99</v>
      </c>
      <c r="L52" s="1" t="s">
        <v>60</v>
      </c>
      <c r="M52" s="1" t="s">
        <v>29</v>
      </c>
      <c r="N52" s="1" t="s">
        <v>30</v>
      </c>
      <c r="O52" s="1" t="s">
        <v>31</v>
      </c>
      <c r="P52" s="2">
        <v>45778</v>
      </c>
      <c r="Q52" s="1" t="s">
        <v>234</v>
      </c>
      <c r="R52" s="1" t="s">
        <v>235</v>
      </c>
      <c r="S52" s="1" t="s">
        <v>105</v>
      </c>
      <c r="T52" s="1" t="s">
        <v>35</v>
      </c>
      <c r="U52" s="1" t="s">
        <v>48</v>
      </c>
      <c r="V52" s="1" t="s">
        <v>89</v>
      </c>
      <c r="W52">
        <v>2.4</v>
      </c>
    </row>
    <row r="53" spans="1:23" x14ac:dyDescent="0.3">
      <c r="A53" s="1" t="s">
        <v>236</v>
      </c>
      <c r="B53">
        <v>1</v>
      </c>
      <c r="C53">
        <v>16.989999999999998</v>
      </c>
      <c r="D53">
        <v>16.989999999999998</v>
      </c>
      <c r="E53" s="1" t="s">
        <v>237</v>
      </c>
      <c r="F53" s="1" t="s">
        <v>51</v>
      </c>
      <c r="G53">
        <v>0</v>
      </c>
      <c r="H53" s="1" t="s">
        <v>58</v>
      </c>
      <c r="I53" s="1" t="s">
        <v>59</v>
      </c>
      <c r="J53">
        <v>5</v>
      </c>
      <c r="K53">
        <v>16.989999999999998</v>
      </c>
      <c r="L53" s="1" t="s">
        <v>60</v>
      </c>
      <c r="M53" s="1" t="s">
        <v>61</v>
      </c>
      <c r="N53" s="1" t="s">
        <v>62</v>
      </c>
      <c r="O53" s="1" t="s">
        <v>31</v>
      </c>
      <c r="P53" s="2">
        <v>45726</v>
      </c>
      <c r="Q53" s="1" t="s">
        <v>238</v>
      </c>
      <c r="R53" s="1" t="s">
        <v>239</v>
      </c>
      <c r="S53" s="1" t="s">
        <v>65</v>
      </c>
      <c r="T53" s="1" t="s">
        <v>35</v>
      </c>
      <c r="U53" s="1" t="s">
        <v>66</v>
      </c>
      <c r="V53" s="1" t="s">
        <v>67</v>
      </c>
      <c r="W53">
        <v>3</v>
      </c>
    </row>
    <row r="54" spans="1:23" x14ac:dyDescent="0.3">
      <c r="A54" s="1" t="s">
        <v>240</v>
      </c>
      <c r="B54">
        <v>3</v>
      </c>
      <c r="C54">
        <v>18.989999999999998</v>
      </c>
      <c r="D54">
        <v>45.28</v>
      </c>
      <c r="E54" s="1" t="s">
        <v>168</v>
      </c>
      <c r="F54" s="1" t="s">
        <v>40</v>
      </c>
      <c r="G54">
        <v>10</v>
      </c>
      <c r="H54" s="1" t="s">
        <v>58</v>
      </c>
      <c r="I54" s="1" t="s">
        <v>97</v>
      </c>
      <c r="J54">
        <v>6</v>
      </c>
      <c r="K54">
        <v>18.989999999999998</v>
      </c>
      <c r="L54" s="1" t="s">
        <v>60</v>
      </c>
      <c r="M54" s="1" t="s">
        <v>43</v>
      </c>
      <c r="N54" s="1" t="s">
        <v>44</v>
      </c>
      <c r="O54" s="1" t="s">
        <v>31</v>
      </c>
      <c r="P54" s="2">
        <v>45823</v>
      </c>
      <c r="Q54" s="1" t="s">
        <v>241</v>
      </c>
      <c r="R54" s="1" t="s">
        <v>242</v>
      </c>
      <c r="S54" s="1" t="s">
        <v>65</v>
      </c>
      <c r="T54" s="1" t="s">
        <v>35</v>
      </c>
      <c r="U54" s="1" t="s">
        <v>55</v>
      </c>
      <c r="V54" s="1" t="s">
        <v>100</v>
      </c>
      <c r="W54">
        <v>3.2</v>
      </c>
    </row>
    <row r="55" spans="1:23" x14ac:dyDescent="0.3">
      <c r="A55" s="1" t="s">
        <v>243</v>
      </c>
      <c r="B55">
        <v>1</v>
      </c>
      <c r="C55">
        <v>18.989999999999998</v>
      </c>
      <c r="D55">
        <v>18.989999999999998</v>
      </c>
      <c r="E55" s="1" t="s">
        <v>244</v>
      </c>
      <c r="F55" s="1" t="s">
        <v>40</v>
      </c>
      <c r="G55">
        <v>14</v>
      </c>
      <c r="H55" s="1" t="s">
        <v>58</v>
      </c>
      <c r="I55" s="1" t="s">
        <v>97</v>
      </c>
      <c r="J55">
        <v>6</v>
      </c>
      <c r="K55">
        <v>18.989999999999998</v>
      </c>
      <c r="L55" s="1" t="s">
        <v>60</v>
      </c>
      <c r="M55" s="1" t="s">
        <v>43</v>
      </c>
      <c r="N55" s="1" t="s">
        <v>44</v>
      </c>
      <c r="O55" s="1" t="s">
        <v>31</v>
      </c>
      <c r="P55" s="2">
        <v>45823</v>
      </c>
      <c r="Q55" s="1" t="s">
        <v>133</v>
      </c>
      <c r="R55" s="1" t="s">
        <v>134</v>
      </c>
      <c r="S55" s="1" t="s">
        <v>65</v>
      </c>
      <c r="T55" s="1" t="s">
        <v>35</v>
      </c>
      <c r="U55" s="1" t="s">
        <v>66</v>
      </c>
      <c r="V55" s="1" t="s">
        <v>100</v>
      </c>
      <c r="W55">
        <v>3.2</v>
      </c>
    </row>
    <row r="56" spans="1:23" x14ac:dyDescent="0.3">
      <c r="A56" s="1" t="s">
        <v>245</v>
      </c>
      <c r="B56">
        <v>1</v>
      </c>
      <c r="C56">
        <v>21.99</v>
      </c>
      <c r="D56">
        <v>21.99</v>
      </c>
      <c r="E56" s="1" t="s">
        <v>246</v>
      </c>
      <c r="F56" s="1" t="s">
        <v>40</v>
      </c>
      <c r="G56">
        <v>2</v>
      </c>
      <c r="H56" s="1" t="s">
        <v>26</v>
      </c>
      <c r="I56" s="1" t="s">
        <v>27</v>
      </c>
      <c r="J56">
        <v>7</v>
      </c>
      <c r="K56">
        <v>21.99</v>
      </c>
      <c r="L56" s="1" t="s">
        <v>28</v>
      </c>
      <c r="M56" s="1" t="s">
        <v>29</v>
      </c>
      <c r="N56" s="1" t="s">
        <v>30</v>
      </c>
      <c r="O56" s="1" t="s">
        <v>31</v>
      </c>
      <c r="P56" s="2">
        <v>45778</v>
      </c>
      <c r="Q56" s="1" t="s">
        <v>234</v>
      </c>
      <c r="R56" s="1" t="s">
        <v>235</v>
      </c>
      <c r="S56" s="1" t="s">
        <v>105</v>
      </c>
      <c r="T56" s="1" t="s">
        <v>35</v>
      </c>
      <c r="U56" s="1" t="s">
        <v>48</v>
      </c>
      <c r="V56" s="1" t="s">
        <v>37</v>
      </c>
      <c r="W56">
        <v>2</v>
      </c>
    </row>
    <row r="57" spans="1:23" x14ac:dyDescent="0.3">
      <c r="A57" s="1" t="s">
        <v>247</v>
      </c>
      <c r="B57">
        <v>1</v>
      </c>
      <c r="C57">
        <v>34.99</v>
      </c>
      <c r="D57">
        <v>34.99</v>
      </c>
      <c r="E57" s="1" t="s">
        <v>248</v>
      </c>
      <c r="F57" s="1" t="s">
        <v>51</v>
      </c>
      <c r="G57">
        <v>0</v>
      </c>
      <c r="H57" s="1" t="s">
        <v>96</v>
      </c>
      <c r="I57" s="1" t="s">
        <v>85</v>
      </c>
      <c r="J57">
        <v>12.5</v>
      </c>
      <c r="K57">
        <v>34.99</v>
      </c>
      <c r="L57" s="1" t="s">
        <v>60</v>
      </c>
      <c r="M57" s="1" t="s">
        <v>29</v>
      </c>
      <c r="N57" s="1" t="s">
        <v>30</v>
      </c>
      <c r="O57" s="1" t="s">
        <v>31</v>
      </c>
      <c r="P57" s="2">
        <v>45778</v>
      </c>
      <c r="Q57" s="1" t="s">
        <v>249</v>
      </c>
      <c r="R57" s="1" t="s">
        <v>250</v>
      </c>
      <c r="S57" s="1" t="s">
        <v>47</v>
      </c>
      <c r="T57" s="1" t="s">
        <v>35</v>
      </c>
      <c r="U57" s="1" t="s">
        <v>82</v>
      </c>
      <c r="V57" s="1" t="s">
        <v>89</v>
      </c>
      <c r="W57">
        <v>2.4</v>
      </c>
    </row>
    <row r="58" spans="1:23" x14ac:dyDescent="0.3">
      <c r="A58" s="1" t="s">
        <v>251</v>
      </c>
      <c r="B58">
        <v>1</v>
      </c>
      <c r="C58">
        <v>34.99</v>
      </c>
      <c r="D58">
        <v>34.99</v>
      </c>
      <c r="E58" s="1" t="s">
        <v>252</v>
      </c>
      <c r="F58" s="1" t="s">
        <v>40</v>
      </c>
      <c r="G58">
        <v>5</v>
      </c>
      <c r="H58" s="1" t="s">
        <v>41</v>
      </c>
      <c r="I58" s="1" t="s">
        <v>85</v>
      </c>
      <c r="J58">
        <v>12.5</v>
      </c>
      <c r="K58">
        <v>34.99</v>
      </c>
      <c r="L58" s="1" t="s">
        <v>60</v>
      </c>
      <c r="M58" s="1" t="s">
        <v>29</v>
      </c>
      <c r="N58" s="1" t="s">
        <v>30</v>
      </c>
      <c r="O58" s="1" t="s">
        <v>31</v>
      </c>
      <c r="P58" s="2">
        <v>45778</v>
      </c>
      <c r="Q58" s="1" t="s">
        <v>253</v>
      </c>
      <c r="R58" s="1" t="s">
        <v>254</v>
      </c>
      <c r="S58" s="1" t="s">
        <v>105</v>
      </c>
      <c r="T58" s="1" t="s">
        <v>35</v>
      </c>
      <c r="U58" s="1" t="s">
        <v>48</v>
      </c>
      <c r="V58" s="1" t="s">
        <v>89</v>
      </c>
      <c r="W58">
        <v>2.4</v>
      </c>
    </row>
    <row r="59" spans="1:23" x14ac:dyDescent="0.3">
      <c r="A59" s="1" t="s">
        <v>255</v>
      </c>
      <c r="B59">
        <v>2</v>
      </c>
      <c r="C59">
        <v>27.99</v>
      </c>
      <c r="D59">
        <v>48.38</v>
      </c>
      <c r="E59" s="1" t="s">
        <v>113</v>
      </c>
      <c r="F59" s="1" t="s">
        <v>40</v>
      </c>
      <c r="G59">
        <v>3</v>
      </c>
      <c r="H59" s="1" t="s">
        <v>26</v>
      </c>
      <c r="I59" s="1" t="s">
        <v>75</v>
      </c>
      <c r="J59">
        <v>9</v>
      </c>
      <c r="K59">
        <v>27.99</v>
      </c>
      <c r="L59" s="1" t="s">
        <v>28</v>
      </c>
      <c r="M59" s="1" t="s">
        <v>61</v>
      </c>
      <c r="N59" s="1" t="s">
        <v>62</v>
      </c>
      <c r="O59" s="1" t="s">
        <v>31</v>
      </c>
      <c r="P59" s="2">
        <v>45726</v>
      </c>
      <c r="Q59" s="1" t="s">
        <v>256</v>
      </c>
      <c r="R59" s="1" t="s">
        <v>257</v>
      </c>
      <c r="S59" s="1" t="s">
        <v>105</v>
      </c>
      <c r="T59" s="1" t="s">
        <v>35</v>
      </c>
      <c r="U59" s="1" t="s">
        <v>48</v>
      </c>
      <c r="V59" s="1" t="s">
        <v>37</v>
      </c>
      <c r="W59">
        <v>2</v>
      </c>
    </row>
    <row r="60" spans="1:23" x14ac:dyDescent="0.3">
      <c r="A60" s="1" t="s">
        <v>258</v>
      </c>
      <c r="B60">
        <v>1</v>
      </c>
      <c r="C60">
        <v>30.99</v>
      </c>
      <c r="D60">
        <v>30.99</v>
      </c>
      <c r="E60" s="1" t="s">
        <v>79</v>
      </c>
      <c r="F60" s="1" t="s">
        <v>40</v>
      </c>
      <c r="G60">
        <v>2</v>
      </c>
      <c r="H60" s="1" t="s">
        <v>26</v>
      </c>
      <c r="I60" s="1" t="s">
        <v>42</v>
      </c>
      <c r="J60">
        <v>10.5</v>
      </c>
      <c r="K60">
        <v>30.99</v>
      </c>
      <c r="L60" s="1" t="s">
        <v>28</v>
      </c>
      <c r="M60" s="1" t="s">
        <v>43</v>
      </c>
      <c r="N60" s="1" t="s">
        <v>44</v>
      </c>
      <c r="O60" s="1" t="s">
        <v>31</v>
      </c>
      <c r="P60" s="2">
        <v>45823</v>
      </c>
      <c r="Q60" s="1" t="s">
        <v>150</v>
      </c>
      <c r="R60" s="1" t="s">
        <v>151</v>
      </c>
      <c r="S60" s="1" t="s">
        <v>105</v>
      </c>
      <c r="T60" s="1" t="s">
        <v>35</v>
      </c>
      <c r="U60" s="1" t="s">
        <v>55</v>
      </c>
      <c r="V60" s="1" t="s">
        <v>37</v>
      </c>
      <c r="W60">
        <v>2</v>
      </c>
    </row>
    <row r="61" spans="1:23" x14ac:dyDescent="0.3">
      <c r="A61" s="1" t="s">
        <v>259</v>
      </c>
      <c r="B61">
        <v>2</v>
      </c>
      <c r="C61">
        <v>34.99</v>
      </c>
      <c r="D61">
        <v>60.98</v>
      </c>
      <c r="E61" s="1" t="s">
        <v>260</v>
      </c>
      <c r="F61" s="1" t="s">
        <v>51</v>
      </c>
      <c r="G61">
        <v>0</v>
      </c>
      <c r="H61" s="1" t="s">
        <v>26</v>
      </c>
      <c r="I61" s="1" t="s">
        <v>85</v>
      </c>
      <c r="J61">
        <v>12.5</v>
      </c>
      <c r="K61">
        <v>34.99</v>
      </c>
      <c r="L61" s="1" t="s">
        <v>60</v>
      </c>
      <c r="M61" s="1" t="s">
        <v>29</v>
      </c>
      <c r="N61" s="1" t="s">
        <v>30</v>
      </c>
      <c r="O61" s="1" t="s">
        <v>31</v>
      </c>
      <c r="P61" s="2">
        <v>45778</v>
      </c>
      <c r="Q61" s="1" t="s">
        <v>194</v>
      </c>
      <c r="R61" s="1" t="s">
        <v>195</v>
      </c>
      <c r="S61" s="1" t="s">
        <v>88</v>
      </c>
      <c r="T61" s="1" t="s">
        <v>35</v>
      </c>
      <c r="U61" s="1" t="s">
        <v>48</v>
      </c>
      <c r="V61" s="1" t="s">
        <v>89</v>
      </c>
      <c r="W61">
        <v>2.4</v>
      </c>
    </row>
    <row r="62" spans="1:23" x14ac:dyDescent="0.3">
      <c r="A62" s="1" t="s">
        <v>261</v>
      </c>
      <c r="B62">
        <v>1</v>
      </c>
      <c r="C62">
        <v>27.99</v>
      </c>
      <c r="D62">
        <v>27.99</v>
      </c>
      <c r="E62" s="1" t="s">
        <v>57</v>
      </c>
      <c r="F62" s="1" t="s">
        <v>40</v>
      </c>
      <c r="G62">
        <v>2</v>
      </c>
      <c r="H62" s="1" t="s">
        <v>26</v>
      </c>
      <c r="I62" s="1" t="s">
        <v>75</v>
      </c>
      <c r="J62">
        <v>9</v>
      </c>
      <c r="K62">
        <v>27.99</v>
      </c>
      <c r="L62" s="1" t="s">
        <v>28</v>
      </c>
      <c r="M62" s="1" t="s">
        <v>61</v>
      </c>
      <c r="N62" s="1" t="s">
        <v>62</v>
      </c>
      <c r="O62" s="1" t="s">
        <v>31</v>
      </c>
      <c r="P62" s="2">
        <v>45726</v>
      </c>
      <c r="Q62" s="1" t="s">
        <v>262</v>
      </c>
      <c r="R62" s="1" t="s">
        <v>263</v>
      </c>
      <c r="S62" s="1" t="s">
        <v>105</v>
      </c>
      <c r="T62" s="1" t="s">
        <v>35</v>
      </c>
      <c r="U62" s="1" t="s">
        <v>82</v>
      </c>
      <c r="V62" s="1" t="s">
        <v>37</v>
      </c>
      <c r="W62">
        <v>2</v>
      </c>
    </row>
    <row r="63" spans="1:23" x14ac:dyDescent="0.3">
      <c r="A63" s="1" t="s">
        <v>264</v>
      </c>
      <c r="B63">
        <v>1</v>
      </c>
      <c r="C63">
        <v>34.99</v>
      </c>
      <c r="D63">
        <v>34.99</v>
      </c>
      <c r="E63" s="1" t="s">
        <v>57</v>
      </c>
      <c r="F63" s="1" t="s">
        <v>188</v>
      </c>
      <c r="G63">
        <v>0</v>
      </c>
      <c r="H63" s="1" t="s">
        <v>26</v>
      </c>
      <c r="I63" s="1" t="s">
        <v>85</v>
      </c>
      <c r="J63">
        <v>12.5</v>
      </c>
      <c r="K63">
        <v>34.99</v>
      </c>
      <c r="L63" s="1" t="s">
        <v>60</v>
      </c>
      <c r="M63" s="1" t="s">
        <v>29</v>
      </c>
      <c r="N63" s="1" t="s">
        <v>30</v>
      </c>
      <c r="O63" s="1" t="s">
        <v>31</v>
      </c>
      <c r="P63" s="2">
        <v>45778</v>
      </c>
      <c r="Q63" s="1" t="s">
        <v>165</v>
      </c>
      <c r="R63" s="1" t="s">
        <v>166</v>
      </c>
      <c r="S63" s="1" t="s">
        <v>88</v>
      </c>
      <c r="T63" s="1" t="s">
        <v>35</v>
      </c>
      <c r="U63" s="1" t="s">
        <v>66</v>
      </c>
      <c r="V63" s="1" t="s">
        <v>89</v>
      </c>
      <c r="W63">
        <v>2.4</v>
      </c>
    </row>
    <row r="64" spans="1:23" x14ac:dyDescent="0.3">
      <c r="A64" s="1" t="s">
        <v>265</v>
      </c>
      <c r="B64">
        <v>1</v>
      </c>
      <c r="C64">
        <v>30.99</v>
      </c>
      <c r="D64">
        <v>30.99</v>
      </c>
      <c r="E64" s="1" t="s">
        <v>79</v>
      </c>
      <c r="F64" s="1" t="s">
        <v>40</v>
      </c>
      <c r="G64">
        <v>4</v>
      </c>
      <c r="H64" s="1" t="s">
        <v>26</v>
      </c>
      <c r="I64" s="1" t="s">
        <v>42</v>
      </c>
      <c r="J64">
        <v>10.5</v>
      </c>
      <c r="K64">
        <v>30.99</v>
      </c>
      <c r="L64" s="1" t="s">
        <v>28</v>
      </c>
      <c r="M64" s="1" t="s">
        <v>43</v>
      </c>
      <c r="N64" s="1" t="s">
        <v>44</v>
      </c>
      <c r="O64" s="1" t="s">
        <v>31</v>
      </c>
      <c r="P64" s="2">
        <v>45823</v>
      </c>
      <c r="Q64" s="1" t="s">
        <v>266</v>
      </c>
      <c r="R64" s="1" t="s">
        <v>267</v>
      </c>
      <c r="S64" s="1" t="s">
        <v>47</v>
      </c>
      <c r="T64" s="1" t="s">
        <v>35</v>
      </c>
      <c r="U64" s="1" t="s">
        <v>36</v>
      </c>
      <c r="V64" s="1" t="s">
        <v>37</v>
      </c>
      <c r="W64">
        <v>2</v>
      </c>
    </row>
    <row r="65" spans="1:23" x14ac:dyDescent="0.3">
      <c r="A65" s="1" t="s">
        <v>268</v>
      </c>
      <c r="B65">
        <v>1</v>
      </c>
      <c r="C65">
        <v>27.99</v>
      </c>
      <c r="D65">
        <v>27.99</v>
      </c>
      <c r="E65" s="1" t="s">
        <v>102</v>
      </c>
      <c r="F65" s="1" t="s">
        <v>70</v>
      </c>
      <c r="G65">
        <v>0</v>
      </c>
      <c r="H65" s="1" t="s">
        <v>58</v>
      </c>
      <c r="I65" s="1" t="s">
        <v>75</v>
      </c>
      <c r="J65">
        <v>9</v>
      </c>
      <c r="K65">
        <v>27.99</v>
      </c>
      <c r="L65" s="1" t="s">
        <v>28</v>
      </c>
      <c r="M65" s="1" t="s">
        <v>61</v>
      </c>
      <c r="N65" s="1" t="s">
        <v>62</v>
      </c>
      <c r="O65" s="1" t="s">
        <v>31</v>
      </c>
      <c r="P65" s="2">
        <v>45726</v>
      </c>
      <c r="Q65" s="1" t="s">
        <v>269</v>
      </c>
      <c r="R65" s="1" t="s">
        <v>270</v>
      </c>
      <c r="S65" s="1" t="s">
        <v>88</v>
      </c>
      <c r="T65" s="1" t="s">
        <v>35</v>
      </c>
      <c r="U65" s="1" t="s">
        <v>55</v>
      </c>
      <c r="V65" s="1" t="s">
        <v>37</v>
      </c>
      <c r="W65">
        <v>2</v>
      </c>
    </row>
    <row r="66" spans="1:23" x14ac:dyDescent="0.3">
      <c r="A66" s="1" t="s">
        <v>271</v>
      </c>
      <c r="B66">
        <v>1</v>
      </c>
      <c r="C66">
        <v>18.989999999999998</v>
      </c>
      <c r="D66">
        <v>18.989999999999998</v>
      </c>
      <c r="E66" s="1" t="s">
        <v>272</v>
      </c>
      <c r="F66" s="1" t="s">
        <v>40</v>
      </c>
      <c r="G66">
        <v>14</v>
      </c>
      <c r="H66" s="1" t="s">
        <v>58</v>
      </c>
      <c r="I66" s="1" t="s">
        <v>97</v>
      </c>
      <c r="J66">
        <v>6</v>
      </c>
      <c r="K66">
        <v>18.989999999999998</v>
      </c>
      <c r="L66" s="1" t="s">
        <v>60</v>
      </c>
      <c r="M66" s="1" t="s">
        <v>43</v>
      </c>
      <c r="N66" s="1" t="s">
        <v>44</v>
      </c>
      <c r="O66" s="1" t="s">
        <v>31</v>
      </c>
      <c r="P66" s="2">
        <v>45823</v>
      </c>
      <c r="Q66" s="1" t="s">
        <v>125</v>
      </c>
      <c r="R66" s="1" t="s">
        <v>126</v>
      </c>
      <c r="S66" s="1" t="s">
        <v>88</v>
      </c>
      <c r="T66" s="1" t="s">
        <v>35</v>
      </c>
      <c r="U66" s="1" t="s">
        <v>48</v>
      </c>
      <c r="V66" s="1" t="s">
        <v>100</v>
      </c>
      <c r="W66">
        <v>3.2</v>
      </c>
    </row>
    <row r="67" spans="1:23" x14ac:dyDescent="0.3">
      <c r="A67" s="1" t="s">
        <v>273</v>
      </c>
      <c r="B67">
        <v>1</v>
      </c>
      <c r="C67">
        <v>18.989999999999998</v>
      </c>
      <c r="D67">
        <v>18.989999999999998</v>
      </c>
      <c r="E67" s="1" t="s">
        <v>274</v>
      </c>
      <c r="F67" s="1" t="s">
        <v>40</v>
      </c>
      <c r="G67">
        <v>11</v>
      </c>
      <c r="H67" s="1" t="s">
        <v>58</v>
      </c>
      <c r="I67" s="1" t="s">
        <v>97</v>
      </c>
      <c r="J67">
        <v>6</v>
      </c>
      <c r="K67">
        <v>18.989999999999998</v>
      </c>
      <c r="L67" s="1" t="s">
        <v>60</v>
      </c>
      <c r="M67" s="1" t="s">
        <v>43</v>
      </c>
      <c r="N67" s="1" t="s">
        <v>44</v>
      </c>
      <c r="O67" s="1" t="s">
        <v>31</v>
      </c>
      <c r="P67" s="2">
        <v>45823</v>
      </c>
      <c r="Q67" s="1" t="s">
        <v>216</v>
      </c>
      <c r="R67" s="1" t="s">
        <v>275</v>
      </c>
      <c r="S67" s="1" t="s">
        <v>105</v>
      </c>
      <c r="T67" s="1" t="s">
        <v>35</v>
      </c>
      <c r="U67" s="1" t="s">
        <v>82</v>
      </c>
      <c r="V67" s="1" t="s">
        <v>100</v>
      </c>
      <c r="W67">
        <v>3.2</v>
      </c>
    </row>
    <row r="68" spans="1:23" x14ac:dyDescent="0.3">
      <c r="A68" s="1" t="s">
        <v>276</v>
      </c>
      <c r="B68">
        <v>2</v>
      </c>
      <c r="C68">
        <v>21.99</v>
      </c>
      <c r="D68">
        <v>37.979999999999997</v>
      </c>
      <c r="E68" s="1" t="s">
        <v>109</v>
      </c>
      <c r="F68" s="1" t="s">
        <v>40</v>
      </c>
      <c r="G68">
        <v>3</v>
      </c>
      <c r="H68" s="1" t="s">
        <v>41</v>
      </c>
      <c r="I68" s="1" t="s">
        <v>27</v>
      </c>
      <c r="J68">
        <v>7</v>
      </c>
      <c r="K68">
        <v>21.99</v>
      </c>
      <c r="L68" s="1" t="s">
        <v>28</v>
      </c>
      <c r="M68" s="1" t="s">
        <v>29</v>
      </c>
      <c r="N68" s="1" t="s">
        <v>30</v>
      </c>
      <c r="O68" s="1" t="s">
        <v>31</v>
      </c>
      <c r="P68" s="2">
        <v>45778</v>
      </c>
      <c r="Q68" s="1" t="s">
        <v>140</v>
      </c>
      <c r="R68" s="1" t="s">
        <v>141</v>
      </c>
      <c r="S68" s="1" t="s">
        <v>54</v>
      </c>
      <c r="T68" s="1" t="s">
        <v>35</v>
      </c>
      <c r="U68" s="1" t="s">
        <v>55</v>
      </c>
      <c r="V68" s="1" t="s">
        <v>37</v>
      </c>
      <c r="W68">
        <v>2</v>
      </c>
    </row>
    <row r="69" spans="1:23" x14ac:dyDescent="0.3">
      <c r="A69" s="1" t="s">
        <v>277</v>
      </c>
      <c r="B69">
        <v>1</v>
      </c>
      <c r="C69">
        <v>21.99</v>
      </c>
      <c r="D69">
        <v>21.99</v>
      </c>
      <c r="E69" s="1" t="s">
        <v>187</v>
      </c>
      <c r="F69" s="1" t="s">
        <v>40</v>
      </c>
      <c r="G69">
        <v>2</v>
      </c>
      <c r="H69" s="1" t="s">
        <v>26</v>
      </c>
      <c r="I69" s="1" t="s">
        <v>27</v>
      </c>
      <c r="J69">
        <v>7</v>
      </c>
      <c r="K69">
        <v>21.99</v>
      </c>
      <c r="L69" s="1" t="s">
        <v>28</v>
      </c>
      <c r="M69" s="1" t="s">
        <v>29</v>
      </c>
      <c r="N69" s="1" t="s">
        <v>30</v>
      </c>
      <c r="O69" s="1" t="s">
        <v>31</v>
      </c>
      <c r="P69" s="2">
        <v>45778</v>
      </c>
      <c r="Q69" s="1" t="s">
        <v>278</v>
      </c>
      <c r="R69" s="1" t="s">
        <v>279</v>
      </c>
      <c r="S69" s="1" t="s">
        <v>54</v>
      </c>
      <c r="T69" s="1" t="s">
        <v>35</v>
      </c>
      <c r="U69" s="1" t="s">
        <v>36</v>
      </c>
      <c r="V69" s="1" t="s">
        <v>37</v>
      </c>
      <c r="W69">
        <v>2</v>
      </c>
    </row>
    <row r="70" spans="1:23" x14ac:dyDescent="0.3">
      <c r="A70" s="1" t="s">
        <v>280</v>
      </c>
      <c r="B70">
        <v>3</v>
      </c>
      <c r="C70">
        <v>30.99</v>
      </c>
      <c r="D70">
        <v>74.53</v>
      </c>
      <c r="E70" s="1" t="s">
        <v>281</v>
      </c>
      <c r="F70" s="1" t="s">
        <v>40</v>
      </c>
      <c r="G70">
        <v>2</v>
      </c>
      <c r="H70" s="1" t="s">
        <v>41</v>
      </c>
      <c r="I70" s="1" t="s">
        <v>42</v>
      </c>
      <c r="J70">
        <v>10.5</v>
      </c>
      <c r="K70">
        <v>30.99</v>
      </c>
      <c r="L70" s="1" t="s">
        <v>28</v>
      </c>
      <c r="M70" s="1" t="s">
        <v>43</v>
      </c>
      <c r="N70" s="1" t="s">
        <v>44</v>
      </c>
      <c r="O70" s="1" t="s">
        <v>31</v>
      </c>
      <c r="P70" s="2">
        <v>45823</v>
      </c>
      <c r="Q70" s="1" t="s">
        <v>203</v>
      </c>
      <c r="R70" s="1" t="s">
        <v>204</v>
      </c>
      <c r="S70" s="1" t="s">
        <v>65</v>
      </c>
      <c r="T70" s="1" t="s">
        <v>35</v>
      </c>
      <c r="U70" s="1" t="s">
        <v>66</v>
      </c>
      <c r="V70" s="1" t="s">
        <v>37</v>
      </c>
      <c r="W70">
        <v>2</v>
      </c>
    </row>
    <row r="71" spans="1:23" x14ac:dyDescent="0.3">
      <c r="A71" s="1" t="s">
        <v>282</v>
      </c>
      <c r="B71">
        <v>3</v>
      </c>
      <c r="C71">
        <v>27.99</v>
      </c>
      <c r="D71">
        <v>66.88</v>
      </c>
      <c r="E71" s="1" t="s">
        <v>192</v>
      </c>
      <c r="F71" s="1" t="s">
        <v>40</v>
      </c>
      <c r="G71">
        <v>2</v>
      </c>
      <c r="H71" s="1" t="s">
        <v>41</v>
      </c>
      <c r="I71" s="1" t="s">
        <v>75</v>
      </c>
      <c r="J71">
        <v>9</v>
      </c>
      <c r="K71">
        <v>27.99</v>
      </c>
      <c r="L71" s="1" t="s">
        <v>28</v>
      </c>
      <c r="M71" s="1" t="s">
        <v>61</v>
      </c>
      <c r="N71" s="1" t="s">
        <v>62</v>
      </c>
      <c r="O71" s="1" t="s">
        <v>31</v>
      </c>
      <c r="P71" s="2">
        <v>45726</v>
      </c>
      <c r="Q71" s="1" t="s">
        <v>283</v>
      </c>
      <c r="R71" s="1" t="s">
        <v>284</v>
      </c>
      <c r="S71" s="1" t="s">
        <v>105</v>
      </c>
      <c r="T71" s="1" t="s">
        <v>35</v>
      </c>
      <c r="U71" s="1" t="s">
        <v>55</v>
      </c>
      <c r="V71" s="1" t="s">
        <v>37</v>
      </c>
      <c r="W71">
        <v>2</v>
      </c>
    </row>
    <row r="72" spans="1:23" x14ac:dyDescent="0.3">
      <c r="A72" s="1" t="s">
        <v>285</v>
      </c>
      <c r="B72">
        <v>1</v>
      </c>
      <c r="C72">
        <v>18.989999999999998</v>
      </c>
      <c r="D72">
        <v>18.989999999999998</v>
      </c>
      <c r="E72" s="1" t="s">
        <v>143</v>
      </c>
      <c r="F72" s="1" t="s">
        <v>40</v>
      </c>
      <c r="G72">
        <v>13</v>
      </c>
      <c r="H72" s="1" t="s">
        <v>96</v>
      </c>
      <c r="I72" s="1" t="s">
        <v>97</v>
      </c>
      <c r="J72">
        <v>6</v>
      </c>
      <c r="K72">
        <v>18.989999999999998</v>
      </c>
      <c r="L72" s="1" t="s">
        <v>60</v>
      </c>
      <c r="M72" s="1" t="s">
        <v>43</v>
      </c>
      <c r="N72" s="1" t="s">
        <v>44</v>
      </c>
      <c r="O72" s="1" t="s">
        <v>31</v>
      </c>
      <c r="P72" s="2">
        <v>45823</v>
      </c>
      <c r="Q72" s="1" t="s">
        <v>182</v>
      </c>
      <c r="R72" s="1" t="s">
        <v>183</v>
      </c>
      <c r="S72" s="1" t="s">
        <v>47</v>
      </c>
      <c r="T72" s="1" t="s">
        <v>35</v>
      </c>
      <c r="U72" s="1" t="s">
        <v>48</v>
      </c>
      <c r="V72" s="1" t="s">
        <v>100</v>
      </c>
      <c r="W72">
        <v>3.2</v>
      </c>
    </row>
    <row r="73" spans="1:23" x14ac:dyDescent="0.3">
      <c r="A73" s="1" t="s">
        <v>286</v>
      </c>
      <c r="B73">
        <v>2</v>
      </c>
      <c r="C73">
        <v>30.99</v>
      </c>
      <c r="D73">
        <v>53.78</v>
      </c>
      <c r="E73" s="1" t="s">
        <v>168</v>
      </c>
      <c r="F73" s="1" t="s">
        <v>40</v>
      </c>
      <c r="G73">
        <v>3</v>
      </c>
      <c r="H73" s="1" t="s">
        <v>58</v>
      </c>
      <c r="I73" s="1" t="s">
        <v>42</v>
      </c>
      <c r="J73">
        <v>10.5</v>
      </c>
      <c r="K73">
        <v>30.99</v>
      </c>
      <c r="L73" s="1" t="s">
        <v>28</v>
      </c>
      <c r="M73" s="1" t="s">
        <v>43</v>
      </c>
      <c r="N73" s="1" t="s">
        <v>44</v>
      </c>
      <c r="O73" s="1" t="s">
        <v>31</v>
      </c>
      <c r="P73" s="2">
        <v>45823</v>
      </c>
      <c r="Q73" s="1" t="s">
        <v>172</v>
      </c>
      <c r="R73" s="1" t="s">
        <v>173</v>
      </c>
      <c r="S73" s="1" t="s">
        <v>88</v>
      </c>
      <c r="T73" s="1" t="s">
        <v>35</v>
      </c>
      <c r="U73" s="1" t="s">
        <v>82</v>
      </c>
      <c r="V73" s="1" t="s">
        <v>37</v>
      </c>
      <c r="W73">
        <v>2</v>
      </c>
    </row>
    <row r="74" spans="1:23" x14ac:dyDescent="0.3">
      <c r="A74" s="1" t="s">
        <v>287</v>
      </c>
      <c r="B74">
        <v>1</v>
      </c>
      <c r="C74">
        <v>16.989999999999998</v>
      </c>
      <c r="D74">
        <v>16.989999999999998</v>
      </c>
      <c r="E74" s="1" t="s">
        <v>288</v>
      </c>
      <c r="F74" s="1" t="s">
        <v>40</v>
      </c>
      <c r="G74">
        <v>20</v>
      </c>
      <c r="H74" s="1" t="s">
        <v>96</v>
      </c>
      <c r="I74" s="1" t="s">
        <v>59</v>
      </c>
      <c r="J74">
        <v>5</v>
      </c>
      <c r="K74">
        <v>16.989999999999998</v>
      </c>
      <c r="L74" s="1" t="s">
        <v>60</v>
      </c>
      <c r="M74" s="1" t="s">
        <v>61</v>
      </c>
      <c r="N74" s="1" t="s">
        <v>62</v>
      </c>
      <c r="O74" s="1" t="s">
        <v>31</v>
      </c>
      <c r="P74" s="2">
        <v>45726</v>
      </c>
      <c r="Q74" s="1" t="s">
        <v>231</v>
      </c>
      <c r="R74" s="1" t="s">
        <v>232</v>
      </c>
      <c r="S74" s="1" t="s">
        <v>105</v>
      </c>
      <c r="T74" s="1" t="s">
        <v>35</v>
      </c>
      <c r="U74" s="1" t="s">
        <v>36</v>
      </c>
      <c r="V74" s="1" t="s">
        <v>67</v>
      </c>
      <c r="W74">
        <v>3</v>
      </c>
    </row>
    <row r="75" spans="1:23" x14ac:dyDescent="0.3">
      <c r="A75" s="1" t="s">
        <v>289</v>
      </c>
      <c r="B75">
        <v>1</v>
      </c>
      <c r="C75">
        <v>16.989999999999998</v>
      </c>
      <c r="D75">
        <v>16.989999999999998</v>
      </c>
      <c r="E75" s="1" t="s">
        <v>146</v>
      </c>
      <c r="F75" s="1" t="s">
        <v>25</v>
      </c>
      <c r="G75">
        <v>18</v>
      </c>
      <c r="H75" s="1" t="s">
        <v>58</v>
      </c>
      <c r="I75" s="1" t="s">
        <v>59</v>
      </c>
      <c r="J75">
        <v>5</v>
      </c>
      <c r="K75">
        <v>16.989999999999998</v>
      </c>
      <c r="L75" s="1" t="s">
        <v>60</v>
      </c>
      <c r="M75" s="1" t="s">
        <v>61</v>
      </c>
      <c r="N75" s="1" t="s">
        <v>62</v>
      </c>
      <c r="O75" s="1" t="s">
        <v>31</v>
      </c>
      <c r="P75" s="2">
        <v>45726</v>
      </c>
      <c r="Q75" s="1" t="s">
        <v>290</v>
      </c>
      <c r="R75" s="1" t="s">
        <v>291</v>
      </c>
      <c r="S75" s="1" t="s">
        <v>65</v>
      </c>
      <c r="T75" s="1" t="s">
        <v>35</v>
      </c>
      <c r="U75" s="1" t="s">
        <v>82</v>
      </c>
      <c r="V75" s="1" t="s">
        <v>67</v>
      </c>
      <c r="W75">
        <v>3</v>
      </c>
    </row>
    <row r="76" spans="1:23" x14ac:dyDescent="0.3">
      <c r="A76" s="1" t="s">
        <v>292</v>
      </c>
      <c r="B76">
        <v>2</v>
      </c>
      <c r="C76">
        <v>18.989999999999998</v>
      </c>
      <c r="D76">
        <v>32.78</v>
      </c>
      <c r="E76" s="1" t="s">
        <v>293</v>
      </c>
      <c r="F76" s="1" t="s">
        <v>40</v>
      </c>
      <c r="G76">
        <v>12</v>
      </c>
      <c r="H76" s="1" t="s">
        <v>58</v>
      </c>
      <c r="I76" s="1" t="s">
        <v>97</v>
      </c>
      <c r="J76">
        <v>6</v>
      </c>
      <c r="K76">
        <v>18.989999999999998</v>
      </c>
      <c r="L76" s="1" t="s">
        <v>60</v>
      </c>
      <c r="M76" s="1" t="s">
        <v>43</v>
      </c>
      <c r="N76" s="1" t="s">
        <v>44</v>
      </c>
      <c r="O76" s="1" t="s">
        <v>31</v>
      </c>
      <c r="P76" s="2">
        <v>45823</v>
      </c>
      <c r="Q76" s="1" t="s">
        <v>294</v>
      </c>
      <c r="R76" s="1" t="s">
        <v>295</v>
      </c>
      <c r="S76" s="1" t="s">
        <v>47</v>
      </c>
      <c r="T76" s="1" t="s">
        <v>35</v>
      </c>
      <c r="U76" s="1" t="s">
        <v>55</v>
      </c>
      <c r="V76" s="1" t="s">
        <v>100</v>
      </c>
      <c r="W76">
        <v>3.2</v>
      </c>
    </row>
    <row r="77" spans="1:23" x14ac:dyDescent="0.3">
      <c r="A77" s="1" t="s">
        <v>296</v>
      </c>
      <c r="B77">
        <v>3</v>
      </c>
      <c r="C77">
        <v>34.99</v>
      </c>
      <c r="D77">
        <v>84.73</v>
      </c>
      <c r="E77" s="1" t="s">
        <v>297</v>
      </c>
      <c r="F77" s="1" t="s">
        <v>188</v>
      </c>
      <c r="G77">
        <v>0</v>
      </c>
      <c r="H77" s="1" t="s">
        <v>96</v>
      </c>
      <c r="I77" s="1" t="s">
        <v>85</v>
      </c>
      <c r="J77">
        <v>12.5</v>
      </c>
      <c r="K77">
        <v>34.99</v>
      </c>
      <c r="L77" s="1" t="s">
        <v>60</v>
      </c>
      <c r="M77" s="1" t="s">
        <v>29</v>
      </c>
      <c r="N77" s="1" t="s">
        <v>30</v>
      </c>
      <c r="O77" s="1" t="s">
        <v>31</v>
      </c>
      <c r="P77" s="2">
        <v>45778</v>
      </c>
      <c r="Q77" s="1" t="s">
        <v>298</v>
      </c>
      <c r="R77" s="1" t="s">
        <v>299</v>
      </c>
      <c r="S77" s="1" t="s">
        <v>65</v>
      </c>
      <c r="T77" s="1" t="s">
        <v>35</v>
      </c>
      <c r="U77" s="1" t="s">
        <v>82</v>
      </c>
      <c r="V77" s="1" t="s">
        <v>89</v>
      </c>
      <c r="W77">
        <v>2.4</v>
      </c>
    </row>
    <row r="78" spans="1:23" x14ac:dyDescent="0.3">
      <c r="A78" s="1" t="s">
        <v>300</v>
      </c>
      <c r="B78">
        <v>1</v>
      </c>
      <c r="C78">
        <v>21.99</v>
      </c>
      <c r="D78">
        <v>21.99</v>
      </c>
      <c r="E78" s="1" t="s">
        <v>202</v>
      </c>
      <c r="F78" s="1" t="s">
        <v>40</v>
      </c>
      <c r="G78">
        <v>2</v>
      </c>
      <c r="H78" s="1" t="s">
        <v>96</v>
      </c>
      <c r="I78" s="1" t="s">
        <v>27</v>
      </c>
      <c r="J78">
        <v>7</v>
      </c>
      <c r="K78">
        <v>21.99</v>
      </c>
      <c r="L78" s="1" t="s">
        <v>28</v>
      </c>
      <c r="M78" s="1" t="s">
        <v>29</v>
      </c>
      <c r="N78" s="1" t="s">
        <v>30</v>
      </c>
      <c r="O78" s="1" t="s">
        <v>31</v>
      </c>
      <c r="P78" s="2">
        <v>45778</v>
      </c>
      <c r="Q78" s="1" t="s">
        <v>147</v>
      </c>
      <c r="R78" s="1" t="s">
        <v>148</v>
      </c>
      <c r="S78" s="1" t="s">
        <v>65</v>
      </c>
      <c r="T78" s="1" t="s">
        <v>35</v>
      </c>
      <c r="U78" s="1" t="s">
        <v>48</v>
      </c>
      <c r="V78" s="1" t="s">
        <v>37</v>
      </c>
      <c r="W78">
        <v>2</v>
      </c>
    </row>
    <row r="79" spans="1:23" x14ac:dyDescent="0.3">
      <c r="A79" s="1" t="s">
        <v>301</v>
      </c>
      <c r="B79">
        <v>1</v>
      </c>
      <c r="C79">
        <v>21.99</v>
      </c>
      <c r="D79">
        <v>21.99</v>
      </c>
      <c r="E79" s="1" t="s">
        <v>168</v>
      </c>
      <c r="F79" s="1" t="s">
        <v>40</v>
      </c>
      <c r="G79">
        <v>2</v>
      </c>
      <c r="H79" s="1" t="s">
        <v>96</v>
      </c>
      <c r="I79" s="1" t="s">
        <v>27</v>
      </c>
      <c r="J79">
        <v>7</v>
      </c>
      <c r="K79">
        <v>21.99</v>
      </c>
      <c r="L79" s="1" t="s">
        <v>28</v>
      </c>
      <c r="M79" s="1" t="s">
        <v>29</v>
      </c>
      <c r="N79" s="1" t="s">
        <v>30</v>
      </c>
      <c r="O79" s="1" t="s">
        <v>31</v>
      </c>
      <c r="P79" s="2">
        <v>45778</v>
      </c>
      <c r="Q79" s="1" t="s">
        <v>302</v>
      </c>
      <c r="R79" s="1" t="s">
        <v>303</v>
      </c>
      <c r="S79" s="1" t="s">
        <v>105</v>
      </c>
      <c r="T79" s="1" t="s">
        <v>35</v>
      </c>
      <c r="U79" s="1" t="s">
        <v>55</v>
      </c>
      <c r="V79" s="1" t="s">
        <v>37</v>
      </c>
      <c r="W79">
        <v>2</v>
      </c>
    </row>
    <row r="80" spans="1:23" x14ac:dyDescent="0.3">
      <c r="A80" s="1" t="s">
        <v>304</v>
      </c>
      <c r="B80">
        <v>1</v>
      </c>
      <c r="C80">
        <v>27.99</v>
      </c>
      <c r="D80">
        <v>27.99</v>
      </c>
      <c r="E80" s="1" t="s">
        <v>252</v>
      </c>
      <c r="F80" s="1" t="s">
        <v>40</v>
      </c>
      <c r="G80">
        <v>2</v>
      </c>
      <c r="H80" s="1" t="s">
        <v>26</v>
      </c>
      <c r="I80" s="1" t="s">
        <v>75</v>
      </c>
      <c r="J80">
        <v>9</v>
      </c>
      <c r="K80">
        <v>27.99</v>
      </c>
      <c r="L80" s="1" t="s">
        <v>28</v>
      </c>
      <c r="M80" s="1" t="s">
        <v>61</v>
      </c>
      <c r="N80" s="1" t="s">
        <v>62</v>
      </c>
      <c r="O80" s="1" t="s">
        <v>31</v>
      </c>
      <c r="P80" s="2">
        <v>45726</v>
      </c>
      <c r="Q80" s="1" t="s">
        <v>305</v>
      </c>
      <c r="R80" s="1" t="s">
        <v>306</v>
      </c>
      <c r="S80" s="1" t="s">
        <v>47</v>
      </c>
      <c r="T80" s="1" t="s">
        <v>35</v>
      </c>
      <c r="U80" s="1" t="s">
        <v>66</v>
      </c>
      <c r="V80" s="1" t="s">
        <v>37</v>
      </c>
      <c r="W80">
        <v>2</v>
      </c>
    </row>
    <row r="81" spans="1:23" x14ac:dyDescent="0.3">
      <c r="A81" s="1" t="s">
        <v>307</v>
      </c>
      <c r="B81">
        <v>2</v>
      </c>
      <c r="C81">
        <v>16.989999999999998</v>
      </c>
      <c r="D81">
        <v>29.18</v>
      </c>
      <c r="E81" s="1" t="s">
        <v>113</v>
      </c>
      <c r="F81" s="1" t="s">
        <v>40</v>
      </c>
      <c r="G81">
        <v>20</v>
      </c>
      <c r="H81" s="1" t="s">
        <v>26</v>
      </c>
      <c r="I81" s="1" t="s">
        <v>59</v>
      </c>
      <c r="J81">
        <v>5</v>
      </c>
      <c r="K81">
        <v>16.989999999999998</v>
      </c>
      <c r="L81" s="1" t="s">
        <v>60</v>
      </c>
      <c r="M81" s="1" t="s">
        <v>61</v>
      </c>
      <c r="N81" s="1" t="s">
        <v>62</v>
      </c>
      <c r="O81" s="1" t="s">
        <v>31</v>
      </c>
      <c r="P81" s="2">
        <v>45726</v>
      </c>
      <c r="Q81" s="1" t="s">
        <v>308</v>
      </c>
      <c r="R81" s="1" t="s">
        <v>309</v>
      </c>
      <c r="S81" s="1" t="s">
        <v>47</v>
      </c>
      <c r="T81" s="1" t="s">
        <v>35</v>
      </c>
      <c r="U81" s="1" t="s">
        <v>82</v>
      </c>
      <c r="V81" s="1" t="s">
        <v>67</v>
      </c>
      <c r="W81">
        <v>3</v>
      </c>
    </row>
    <row r="82" spans="1:23" x14ac:dyDescent="0.3">
      <c r="A82" s="1" t="s">
        <v>310</v>
      </c>
      <c r="B82">
        <v>1</v>
      </c>
      <c r="C82">
        <v>21.99</v>
      </c>
      <c r="D82">
        <v>21.99</v>
      </c>
      <c r="E82" s="1" t="s">
        <v>187</v>
      </c>
      <c r="F82" s="1" t="s">
        <v>40</v>
      </c>
      <c r="G82">
        <v>2</v>
      </c>
      <c r="H82" s="1" t="s">
        <v>41</v>
      </c>
      <c r="I82" s="1" t="s">
        <v>27</v>
      </c>
      <c r="J82">
        <v>7</v>
      </c>
      <c r="K82">
        <v>21.99</v>
      </c>
      <c r="L82" s="1" t="s">
        <v>28</v>
      </c>
      <c r="M82" s="1" t="s">
        <v>29</v>
      </c>
      <c r="N82" s="1" t="s">
        <v>30</v>
      </c>
      <c r="O82" s="1" t="s">
        <v>31</v>
      </c>
      <c r="P82" s="2">
        <v>45778</v>
      </c>
      <c r="Q82" s="1" t="s">
        <v>114</v>
      </c>
      <c r="R82" s="1" t="s">
        <v>115</v>
      </c>
      <c r="S82" s="1" t="s">
        <v>54</v>
      </c>
      <c r="T82" s="1" t="s">
        <v>35</v>
      </c>
      <c r="U82" s="1" t="s">
        <v>82</v>
      </c>
      <c r="V82" s="1" t="s">
        <v>37</v>
      </c>
      <c r="W82">
        <v>2</v>
      </c>
    </row>
    <row r="83" spans="1:23" x14ac:dyDescent="0.3">
      <c r="A83" s="1" t="s">
        <v>311</v>
      </c>
      <c r="B83">
        <v>1</v>
      </c>
      <c r="C83">
        <v>34.99</v>
      </c>
      <c r="D83">
        <v>34.99</v>
      </c>
      <c r="E83" s="1" t="s">
        <v>121</v>
      </c>
      <c r="F83" s="1" t="s">
        <v>40</v>
      </c>
      <c r="G83">
        <v>10</v>
      </c>
      <c r="H83" s="1" t="s">
        <v>58</v>
      </c>
      <c r="I83" s="1" t="s">
        <v>85</v>
      </c>
      <c r="J83">
        <v>12.5</v>
      </c>
      <c r="K83">
        <v>34.99</v>
      </c>
      <c r="L83" s="1" t="s">
        <v>60</v>
      </c>
      <c r="M83" s="1" t="s">
        <v>29</v>
      </c>
      <c r="N83" s="1" t="s">
        <v>30</v>
      </c>
      <c r="O83" s="1" t="s">
        <v>31</v>
      </c>
      <c r="P83" s="2">
        <v>45778</v>
      </c>
      <c r="Q83" s="1" t="s">
        <v>253</v>
      </c>
      <c r="R83" s="1" t="s">
        <v>254</v>
      </c>
      <c r="S83" s="1" t="s">
        <v>105</v>
      </c>
      <c r="T83" s="1" t="s">
        <v>35</v>
      </c>
      <c r="U83" s="1" t="s">
        <v>48</v>
      </c>
      <c r="V83" s="1" t="s">
        <v>89</v>
      </c>
      <c r="W83">
        <v>2.4</v>
      </c>
    </row>
    <row r="84" spans="1:23" x14ac:dyDescent="0.3">
      <c r="A84" s="1" t="s">
        <v>312</v>
      </c>
      <c r="B84">
        <v>1</v>
      </c>
      <c r="C84">
        <v>21.99</v>
      </c>
      <c r="D84">
        <v>21.99</v>
      </c>
      <c r="E84" s="1" t="s">
        <v>313</v>
      </c>
      <c r="F84" s="1" t="s">
        <v>25</v>
      </c>
      <c r="G84">
        <v>3</v>
      </c>
      <c r="H84" s="1" t="s">
        <v>26</v>
      </c>
      <c r="I84" s="1" t="s">
        <v>27</v>
      </c>
      <c r="J84">
        <v>7</v>
      </c>
      <c r="K84">
        <v>21.99</v>
      </c>
      <c r="L84" s="1" t="s">
        <v>28</v>
      </c>
      <c r="M84" s="1" t="s">
        <v>29</v>
      </c>
      <c r="N84" s="1" t="s">
        <v>30</v>
      </c>
      <c r="O84" s="1" t="s">
        <v>31</v>
      </c>
      <c r="P84" s="2">
        <v>45778</v>
      </c>
      <c r="Q84" s="1" t="s">
        <v>314</v>
      </c>
      <c r="R84" s="1" t="s">
        <v>315</v>
      </c>
      <c r="S84" s="1" t="s">
        <v>34</v>
      </c>
      <c r="T84" s="1" t="s">
        <v>35</v>
      </c>
      <c r="U84" s="1" t="s">
        <v>82</v>
      </c>
      <c r="V84" s="1" t="s">
        <v>37</v>
      </c>
      <c r="W84">
        <v>2</v>
      </c>
    </row>
    <row r="85" spans="1:23" x14ac:dyDescent="0.3">
      <c r="A85" s="1" t="s">
        <v>316</v>
      </c>
      <c r="B85">
        <v>1</v>
      </c>
      <c r="C85">
        <v>34.99</v>
      </c>
      <c r="D85">
        <v>34.99</v>
      </c>
      <c r="E85" s="1" t="s">
        <v>317</v>
      </c>
      <c r="F85" s="1" t="s">
        <v>51</v>
      </c>
      <c r="G85">
        <v>0</v>
      </c>
      <c r="H85" s="1" t="s">
        <v>26</v>
      </c>
      <c r="I85" s="1" t="s">
        <v>85</v>
      </c>
      <c r="J85">
        <v>12.5</v>
      </c>
      <c r="K85">
        <v>34.99</v>
      </c>
      <c r="L85" s="1" t="s">
        <v>60</v>
      </c>
      <c r="M85" s="1" t="s">
        <v>29</v>
      </c>
      <c r="N85" s="1" t="s">
        <v>30</v>
      </c>
      <c r="O85" s="1" t="s">
        <v>31</v>
      </c>
      <c r="P85" s="2">
        <v>45778</v>
      </c>
      <c r="Q85" s="1" t="s">
        <v>318</v>
      </c>
      <c r="R85" s="1" t="s">
        <v>319</v>
      </c>
      <c r="S85" s="1" t="s">
        <v>54</v>
      </c>
      <c r="T85" s="1" t="s">
        <v>35</v>
      </c>
      <c r="U85" s="1" t="s">
        <v>55</v>
      </c>
      <c r="V85" s="1" t="s">
        <v>89</v>
      </c>
      <c r="W85">
        <v>2.4</v>
      </c>
    </row>
    <row r="86" spans="1:23" x14ac:dyDescent="0.3">
      <c r="A86" s="1" t="s">
        <v>320</v>
      </c>
      <c r="B86">
        <v>1</v>
      </c>
      <c r="C86">
        <v>27.99</v>
      </c>
      <c r="D86">
        <v>27.99</v>
      </c>
      <c r="E86" s="1" t="s">
        <v>321</v>
      </c>
      <c r="F86" s="1" t="s">
        <v>40</v>
      </c>
      <c r="G86">
        <v>2</v>
      </c>
      <c r="H86" s="1" t="s">
        <v>26</v>
      </c>
      <c r="I86" s="1" t="s">
        <v>75</v>
      </c>
      <c r="J86">
        <v>9</v>
      </c>
      <c r="K86">
        <v>27.99</v>
      </c>
      <c r="L86" s="1" t="s">
        <v>28</v>
      </c>
      <c r="M86" s="1" t="s">
        <v>61</v>
      </c>
      <c r="N86" s="1" t="s">
        <v>62</v>
      </c>
      <c r="O86" s="1" t="s">
        <v>31</v>
      </c>
      <c r="P86" s="2">
        <v>45726</v>
      </c>
      <c r="Q86" s="1" t="s">
        <v>322</v>
      </c>
      <c r="R86" s="1" t="s">
        <v>323</v>
      </c>
      <c r="S86" s="1" t="s">
        <v>88</v>
      </c>
      <c r="T86" s="1" t="s">
        <v>35</v>
      </c>
      <c r="U86" s="1" t="s">
        <v>55</v>
      </c>
      <c r="V86" s="1" t="s">
        <v>37</v>
      </c>
      <c r="W86">
        <v>2</v>
      </c>
    </row>
    <row r="87" spans="1:23" x14ac:dyDescent="0.3">
      <c r="A87" s="1" t="s">
        <v>324</v>
      </c>
      <c r="B87">
        <v>3</v>
      </c>
      <c r="C87">
        <v>16.989999999999998</v>
      </c>
      <c r="D87">
        <v>40.18</v>
      </c>
      <c r="E87" s="1" t="s">
        <v>325</v>
      </c>
      <c r="F87" s="1" t="s">
        <v>40</v>
      </c>
      <c r="G87">
        <v>20</v>
      </c>
      <c r="H87" s="1" t="s">
        <v>96</v>
      </c>
      <c r="I87" s="1" t="s">
        <v>59</v>
      </c>
      <c r="J87">
        <v>5</v>
      </c>
      <c r="K87">
        <v>16.989999999999998</v>
      </c>
      <c r="L87" s="1" t="s">
        <v>60</v>
      </c>
      <c r="M87" s="1" t="s">
        <v>61</v>
      </c>
      <c r="N87" s="1" t="s">
        <v>62</v>
      </c>
      <c r="O87" s="1" t="s">
        <v>31</v>
      </c>
      <c r="P87" s="2">
        <v>45726</v>
      </c>
      <c r="Q87" s="1" t="s">
        <v>118</v>
      </c>
      <c r="R87" s="1" t="s">
        <v>119</v>
      </c>
      <c r="S87" s="1" t="s">
        <v>105</v>
      </c>
      <c r="T87" s="1" t="s">
        <v>35</v>
      </c>
      <c r="U87" s="1" t="s">
        <v>66</v>
      </c>
      <c r="V87" s="1" t="s">
        <v>67</v>
      </c>
      <c r="W87">
        <v>3</v>
      </c>
    </row>
    <row r="88" spans="1:23" x14ac:dyDescent="0.3">
      <c r="A88" s="1" t="s">
        <v>326</v>
      </c>
      <c r="B88">
        <v>1</v>
      </c>
      <c r="C88">
        <v>16.989999999999998</v>
      </c>
      <c r="D88">
        <v>16.989999999999998</v>
      </c>
      <c r="E88" s="1" t="s">
        <v>327</v>
      </c>
      <c r="F88" s="1" t="s">
        <v>25</v>
      </c>
      <c r="G88">
        <v>19</v>
      </c>
      <c r="H88" s="1" t="s">
        <v>58</v>
      </c>
      <c r="I88" s="1" t="s">
        <v>59</v>
      </c>
      <c r="J88">
        <v>5</v>
      </c>
      <c r="K88">
        <v>16.989999999999998</v>
      </c>
      <c r="L88" s="1" t="s">
        <v>60</v>
      </c>
      <c r="M88" s="1" t="s">
        <v>61</v>
      </c>
      <c r="N88" s="1" t="s">
        <v>62</v>
      </c>
      <c r="O88" s="1" t="s">
        <v>31</v>
      </c>
      <c r="P88" s="2">
        <v>45726</v>
      </c>
      <c r="Q88" s="1" t="s">
        <v>328</v>
      </c>
      <c r="R88" s="1" t="s">
        <v>329</v>
      </c>
      <c r="S88" s="1" t="s">
        <v>47</v>
      </c>
      <c r="T88" s="1" t="s">
        <v>35</v>
      </c>
      <c r="U88" s="1" t="s">
        <v>48</v>
      </c>
      <c r="V88" s="1" t="s">
        <v>67</v>
      </c>
      <c r="W88">
        <v>3</v>
      </c>
    </row>
    <row r="89" spans="1:23" x14ac:dyDescent="0.3">
      <c r="A89" s="1" t="s">
        <v>330</v>
      </c>
      <c r="B89">
        <v>1</v>
      </c>
      <c r="C89">
        <v>18.989999999999998</v>
      </c>
      <c r="D89">
        <v>18.989999999999998</v>
      </c>
      <c r="E89" s="1" t="s">
        <v>331</v>
      </c>
      <c r="F89" s="1" t="s">
        <v>40</v>
      </c>
      <c r="G89">
        <v>10</v>
      </c>
      <c r="H89" s="1" t="s">
        <v>58</v>
      </c>
      <c r="I89" s="1" t="s">
        <v>97</v>
      </c>
      <c r="J89">
        <v>6</v>
      </c>
      <c r="K89">
        <v>18.989999999999998</v>
      </c>
      <c r="L89" s="1" t="s">
        <v>60</v>
      </c>
      <c r="M89" s="1" t="s">
        <v>43</v>
      </c>
      <c r="N89" s="1" t="s">
        <v>44</v>
      </c>
      <c r="O89" s="1" t="s">
        <v>31</v>
      </c>
      <c r="P89" s="2">
        <v>45823</v>
      </c>
      <c r="Q89" s="1" t="s">
        <v>71</v>
      </c>
      <c r="R89" s="1" t="s">
        <v>72</v>
      </c>
      <c r="S89" s="1" t="s">
        <v>47</v>
      </c>
      <c r="T89" s="1" t="s">
        <v>35</v>
      </c>
      <c r="U89" s="1" t="s">
        <v>36</v>
      </c>
      <c r="V89" s="1" t="s">
        <v>100</v>
      </c>
      <c r="W89">
        <v>3.2</v>
      </c>
    </row>
    <row r="90" spans="1:23" x14ac:dyDescent="0.3">
      <c r="A90" s="1" t="s">
        <v>332</v>
      </c>
      <c r="B90">
        <v>1</v>
      </c>
      <c r="C90">
        <v>16.989999999999998</v>
      </c>
      <c r="D90">
        <v>16.989999999999998</v>
      </c>
      <c r="E90" s="1" t="s">
        <v>84</v>
      </c>
      <c r="F90" s="1" t="s">
        <v>40</v>
      </c>
      <c r="G90">
        <v>15</v>
      </c>
      <c r="H90" s="1" t="s">
        <v>26</v>
      </c>
      <c r="I90" s="1" t="s">
        <v>59</v>
      </c>
      <c r="J90">
        <v>5</v>
      </c>
      <c r="K90">
        <v>16.989999999999998</v>
      </c>
      <c r="L90" s="1" t="s">
        <v>60</v>
      </c>
      <c r="M90" s="1" t="s">
        <v>61</v>
      </c>
      <c r="N90" s="1" t="s">
        <v>62</v>
      </c>
      <c r="O90" s="1" t="s">
        <v>31</v>
      </c>
      <c r="P90" s="2">
        <v>45726</v>
      </c>
      <c r="Q90" s="1" t="s">
        <v>182</v>
      </c>
      <c r="R90" s="1" t="s">
        <v>183</v>
      </c>
      <c r="S90" s="1" t="s">
        <v>47</v>
      </c>
      <c r="T90" s="1" t="s">
        <v>35</v>
      </c>
      <c r="U90" s="1" t="s">
        <v>48</v>
      </c>
      <c r="V90" s="1" t="s">
        <v>67</v>
      </c>
      <c r="W90">
        <v>3</v>
      </c>
    </row>
    <row r="91" spans="1:23" x14ac:dyDescent="0.3">
      <c r="A91" s="1" t="s">
        <v>333</v>
      </c>
      <c r="B91">
        <v>3</v>
      </c>
      <c r="C91">
        <v>34.99</v>
      </c>
      <c r="D91">
        <v>84.73</v>
      </c>
      <c r="E91" s="1" t="s">
        <v>334</v>
      </c>
      <c r="F91" s="1" t="s">
        <v>40</v>
      </c>
      <c r="G91">
        <v>5</v>
      </c>
      <c r="H91" s="1" t="s">
        <v>58</v>
      </c>
      <c r="I91" s="1" t="s">
        <v>85</v>
      </c>
      <c r="J91">
        <v>12.5</v>
      </c>
      <c r="K91">
        <v>34.99</v>
      </c>
      <c r="L91" s="1" t="s">
        <v>60</v>
      </c>
      <c r="M91" s="1" t="s">
        <v>29</v>
      </c>
      <c r="N91" s="1" t="s">
        <v>30</v>
      </c>
      <c r="O91" s="1" t="s">
        <v>31</v>
      </c>
      <c r="P91" s="2">
        <v>45778</v>
      </c>
      <c r="Q91" s="1" t="s">
        <v>335</v>
      </c>
      <c r="R91" s="1" t="s">
        <v>336</v>
      </c>
      <c r="S91" s="1" t="s">
        <v>34</v>
      </c>
      <c r="T91" s="1" t="s">
        <v>35</v>
      </c>
      <c r="U91" s="1" t="s">
        <v>48</v>
      </c>
      <c r="V91" s="1" t="s">
        <v>89</v>
      </c>
      <c r="W91">
        <v>2.4</v>
      </c>
    </row>
    <row r="92" spans="1:23" x14ac:dyDescent="0.3">
      <c r="A92" s="1" t="s">
        <v>337</v>
      </c>
      <c r="B92">
        <v>2</v>
      </c>
      <c r="C92">
        <v>30.99</v>
      </c>
      <c r="D92">
        <v>53.78</v>
      </c>
      <c r="E92" s="1" t="s">
        <v>338</v>
      </c>
      <c r="F92" s="1" t="s">
        <v>188</v>
      </c>
      <c r="G92">
        <v>0</v>
      </c>
      <c r="H92" s="1" t="s">
        <v>58</v>
      </c>
      <c r="I92" s="1" t="s">
        <v>42</v>
      </c>
      <c r="J92">
        <v>10.5</v>
      </c>
      <c r="K92">
        <v>30.99</v>
      </c>
      <c r="L92" s="1" t="s">
        <v>28</v>
      </c>
      <c r="M92" s="1" t="s">
        <v>43</v>
      </c>
      <c r="N92" s="1" t="s">
        <v>44</v>
      </c>
      <c r="O92" s="1" t="s">
        <v>31</v>
      </c>
      <c r="P92" s="2">
        <v>45823</v>
      </c>
      <c r="Q92" s="1" t="s">
        <v>339</v>
      </c>
      <c r="R92" s="1" t="s">
        <v>340</v>
      </c>
      <c r="S92" s="1" t="s">
        <v>65</v>
      </c>
      <c r="T92" s="1" t="s">
        <v>35</v>
      </c>
      <c r="U92" s="1" t="s">
        <v>66</v>
      </c>
      <c r="V92" s="1" t="s">
        <v>37</v>
      </c>
      <c r="W92">
        <v>2</v>
      </c>
    </row>
    <row r="93" spans="1:23" x14ac:dyDescent="0.3">
      <c r="A93" s="1" t="s">
        <v>341</v>
      </c>
      <c r="B93">
        <v>1</v>
      </c>
      <c r="C93">
        <v>34.99</v>
      </c>
      <c r="D93">
        <v>34.99</v>
      </c>
      <c r="E93" s="1" t="s">
        <v>334</v>
      </c>
      <c r="F93" s="1" t="s">
        <v>25</v>
      </c>
      <c r="G93">
        <v>6</v>
      </c>
      <c r="H93" s="1" t="s">
        <v>96</v>
      </c>
      <c r="I93" s="1" t="s">
        <v>85</v>
      </c>
      <c r="J93">
        <v>12.5</v>
      </c>
      <c r="K93">
        <v>34.99</v>
      </c>
      <c r="L93" s="1" t="s">
        <v>60</v>
      </c>
      <c r="M93" s="1" t="s">
        <v>29</v>
      </c>
      <c r="N93" s="1" t="s">
        <v>30</v>
      </c>
      <c r="O93" s="1" t="s">
        <v>31</v>
      </c>
      <c r="P93" s="2">
        <v>45778</v>
      </c>
      <c r="Q93" s="1" t="s">
        <v>342</v>
      </c>
      <c r="R93" s="1" t="s">
        <v>343</v>
      </c>
      <c r="S93" s="1" t="s">
        <v>34</v>
      </c>
      <c r="T93" s="1" t="s">
        <v>35</v>
      </c>
      <c r="U93" s="1" t="s">
        <v>66</v>
      </c>
      <c r="V93" s="1" t="s">
        <v>89</v>
      </c>
      <c r="W93">
        <v>2.4</v>
      </c>
    </row>
    <row r="94" spans="1:23" x14ac:dyDescent="0.3">
      <c r="A94" s="1" t="s">
        <v>344</v>
      </c>
      <c r="B94">
        <v>1</v>
      </c>
      <c r="C94">
        <v>16.989999999999998</v>
      </c>
      <c r="D94">
        <v>16.989999999999998</v>
      </c>
      <c r="E94" s="1" t="s">
        <v>288</v>
      </c>
      <c r="F94" s="1" t="s">
        <v>40</v>
      </c>
      <c r="G94">
        <v>19</v>
      </c>
      <c r="H94" s="1" t="s">
        <v>26</v>
      </c>
      <c r="I94" s="1" t="s">
        <v>59</v>
      </c>
      <c r="J94">
        <v>5</v>
      </c>
      <c r="K94">
        <v>16.989999999999998</v>
      </c>
      <c r="L94" s="1" t="s">
        <v>60</v>
      </c>
      <c r="M94" s="1" t="s">
        <v>61</v>
      </c>
      <c r="N94" s="1" t="s">
        <v>62</v>
      </c>
      <c r="O94" s="1" t="s">
        <v>31</v>
      </c>
      <c r="P94" s="2">
        <v>45726</v>
      </c>
      <c r="Q94" s="1" t="s">
        <v>269</v>
      </c>
      <c r="R94" s="1" t="s">
        <v>345</v>
      </c>
      <c r="S94" s="1" t="s">
        <v>47</v>
      </c>
      <c r="T94" s="1" t="s">
        <v>35</v>
      </c>
      <c r="U94" s="1" t="s">
        <v>36</v>
      </c>
      <c r="V94" s="1" t="s">
        <v>67</v>
      </c>
      <c r="W94">
        <v>3</v>
      </c>
    </row>
    <row r="95" spans="1:23" x14ac:dyDescent="0.3">
      <c r="A95" s="1" t="s">
        <v>346</v>
      </c>
      <c r="B95">
        <v>1</v>
      </c>
      <c r="C95">
        <v>21.99</v>
      </c>
      <c r="D95">
        <v>21.99</v>
      </c>
      <c r="E95" s="1" t="s">
        <v>113</v>
      </c>
      <c r="F95" s="1" t="s">
        <v>40</v>
      </c>
      <c r="G95">
        <v>2</v>
      </c>
      <c r="H95" s="1" t="s">
        <v>41</v>
      </c>
      <c r="I95" s="1" t="s">
        <v>27</v>
      </c>
      <c r="J95">
        <v>7</v>
      </c>
      <c r="K95">
        <v>21.99</v>
      </c>
      <c r="L95" s="1" t="s">
        <v>28</v>
      </c>
      <c r="M95" s="1" t="s">
        <v>29</v>
      </c>
      <c r="N95" s="1" t="s">
        <v>30</v>
      </c>
      <c r="O95" s="1" t="s">
        <v>31</v>
      </c>
      <c r="P95" s="2">
        <v>45778</v>
      </c>
      <c r="Q95" s="1" t="s">
        <v>278</v>
      </c>
      <c r="R95" s="1" t="s">
        <v>279</v>
      </c>
      <c r="S95" s="1" t="s">
        <v>54</v>
      </c>
      <c r="T95" s="1" t="s">
        <v>35</v>
      </c>
      <c r="U95" s="1" t="s">
        <v>36</v>
      </c>
      <c r="V95" s="1" t="s">
        <v>37</v>
      </c>
      <c r="W95">
        <v>2</v>
      </c>
    </row>
    <row r="96" spans="1:23" x14ac:dyDescent="0.3">
      <c r="A96" s="1" t="s">
        <v>347</v>
      </c>
      <c r="B96">
        <v>1</v>
      </c>
      <c r="C96">
        <v>16.989999999999998</v>
      </c>
      <c r="D96">
        <v>16.989999999999998</v>
      </c>
      <c r="E96" s="1" t="s">
        <v>348</v>
      </c>
      <c r="F96" s="1" t="s">
        <v>70</v>
      </c>
      <c r="G96">
        <v>0</v>
      </c>
      <c r="H96" s="1" t="s">
        <v>41</v>
      </c>
      <c r="I96" s="1" t="s">
        <v>59</v>
      </c>
      <c r="J96">
        <v>5</v>
      </c>
      <c r="K96">
        <v>16.989999999999998</v>
      </c>
      <c r="L96" s="1" t="s">
        <v>60</v>
      </c>
      <c r="M96" s="1" t="s">
        <v>61</v>
      </c>
      <c r="N96" s="1" t="s">
        <v>62</v>
      </c>
      <c r="O96" s="1" t="s">
        <v>31</v>
      </c>
      <c r="P96" s="2">
        <v>45726</v>
      </c>
      <c r="Q96" s="1" t="s">
        <v>349</v>
      </c>
      <c r="R96" s="1" t="s">
        <v>350</v>
      </c>
      <c r="S96" s="1" t="s">
        <v>47</v>
      </c>
      <c r="T96" s="1" t="s">
        <v>35</v>
      </c>
      <c r="U96" s="1" t="s">
        <v>55</v>
      </c>
      <c r="V96" s="1" t="s">
        <v>67</v>
      </c>
      <c r="W96">
        <v>3</v>
      </c>
    </row>
    <row r="97" spans="1:23" x14ac:dyDescent="0.3">
      <c r="A97" s="1" t="s">
        <v>351</v>
      </c>
      <c r="B97">
        <v>3</v>
      </c>
      <c r="C97">
        <v>21.99</v>
      </c>
      <c r="D97">
        <v>52.48</v>
      </c>
      <c r="E97" s="1" t="s">
        <v>274</v>
      </c>
      <c r="F97" s="1" t="s">
        <v>70</v>
      </c>
      <c r="G97">
        <v>0</v>
      </c>
      <c r="H97" s="1" t="s">
        <v>96</v>
      </c>
      <c r="I97" s="1" t="s">
        <v>27</v>
      </c>
      <c r="J97">
        <v>7</v>
      </c>
      <c r="K97">
        <v>21.99</v>
      </c>
      <c r="L97" s="1" t="s">
        <v>28</v>
      </c>
      <c r="M97" s="1" t="s">
        <v>29</v>
      </c>
      <c r="N97" s="1" t="s">
        <v>30</v>
      </c>
      <c r="O97" s="1" t="s">
        <v>31</v>
      </c>
      <c r="P97" s="2">
        <v>45778</v>
      </c>
      <c r="Q97" s="1" t="s">
        <v>114</v>
      </c>
      <c r="R97" s="1" t="s">
        <v>115</v>
      </c>
      <c r="S97" s="1" t="s">
        <v>54</v>
      </c>
      <c r="T97" s="1" t="s">
        <v>35</v>
      </c>
      <c r="U97" s="1" t="s">
        <v>82</v>
      </c>
      <c r="V97" s="1" t="s">
        <v>37</v>
      </c>
      <c r="W97">
        <v>2</v>
      </c>
    </row>
    <row r="98" spans="1:23" x14ac:dyDescent="0.3">
      <c r="A98" s="1" t="s">
        <v>352</v>
      </c>
      <c r="B98">
        <v>1</v>
      </c>
      <c r="C98">
        <v>34.99</v>
      </c>
      <c r="D98">
        <v>34.99</v>
      </c>
      <c r="E98" s="1" t="s">
        <v>160</v>
      </c>
      <c r="F98" s="1" t="s">
        <v>51</v>
      </c>
      <c r="G98">
        <v>0</v>
      </c>
      <c r="H98" s="1" t="s">
        <v>41</v>
      </c>
      <c r="I98" s="1" t="s">
        <v>85</v>
      </c>
      <c r="J98">
        <v>12.5</v>
      </c>
      <c r="K98">
        <v>34.99</v>
      </c>
      <c r="L98" s="1" t="s">
        <v>60</v>
      </c>
      <c r="M98" s="1" t="s">
        <v>29</v>
      </c>
      <c r="N98" s="1" t="s">
        <v>30</v>
      </c>
      <c r="O98" s="1" t="s">
        <v>31</v>
      </c>
      <c r="P98" s="2">
        <v>45778</v>
      </c>
      <c r="Q98" s="1" t="s">
        <v>176</v>
      </c>
      <c r="R98" s="1" t="s">
        <v>353</v>
      </c>
      <c r="S98" s="1" t="s">
        <v>105</v>
      </c>
      <c r="T98" s="1" t="s">
        <v>35</v>
      </c>
      <c r="U98" s="1" t="s">
        <v>82</v>
      </c>
      <c r="V98" s="1" t="s">
        <v>89</v>
      </c>
      <c r="W98">
        <v>2.4</v>
      </c>
    </row>
    <row r="99" spans="1:23" x14ac:dyDescent="0.3">
      <c r="A99" s="1" t="s">
        <v>354</v>
      </c>
      <c r="B99">
        <v>1</v>
      </c>
      <c r="C99">
        <v>16.989999999999998</v>
      </c>
      <c r="D99">
        <v>16.989999999999998</v>
      </c>
      <c r="E99" s="1" t="s">
        <v>246</v>
      </c>
      <c r="F99" s="1" t="s">
        <v>25</v>
      </c>
      <c r="G99">
        <v>16</v>
      </c>
      <c r="H99" s="1" t="s">
        <v>41</v>
      </c>
      <c r="I99" s="1" t="s">
        <v>59</v>
      </c>
      <c r="J99">
        <v>5</v>
      </c>
      <c r="K99">
        <v>16.989999999999998</v>
      </c>
      <c r="L99" s="1" t="s">
        <v>60</v>
      </c>
      <c r="M99" s="1" t="s">
        <v>61</v>
      </c>
      <c r="N99" s="1" t="s">
        <v>62</v>
      </c>
      <c r="O99" s="1" t="s">
        <v>31</v>
      </c>
      <c r="P99" s="2">
        <v>45726</v>
      </c>
      <c r="Q99" s="1" t="s">
        <v>355</v>
      </c>
      <c r="R99" s="1" t="s">
        <v>356</v>
      </c>
      <c r="S99" s="1" t="s">
        <v>34</v>
      </c>
      <c r="T99" s="1" t="s">
        <v>35</v>
      </c>
      <c r="U99" s="1" t="s">
        <v>48</v>
      </c>
      <c r="V99" s="1" t="s">
        <v>67</v>
      </c>
      <c r="W99">
        <v>3</v>
      </c>
    </row>
    <row r="100" spans="1:23" x14ac:dyDescent="0.3">
      <c r="A100" s="1" t="s">
        <v>357</v>
      </c>
      <c r="B100">
        <v>3</v>
      </c>
      <c r="C100">
        <v>27.99</v>
      </c>
      <c r="D100">
        <v>66.88</v>
      </c>
      <c r="E100" s="1" t="s">
        <v>244</v>
      </c>
      <c r="F100" s="1" t="s">
        <v>40</v>
      </c>
      <c r="G100">
        <v>2</v>
      </c>
      <c r="H100" s="1" t="s">
        <v>58</v>
      </c>
      <c r="I100" s="1" t="s">
        <v>75</v>
      </c>
      <c r="J100">
        <v>9</v>
      </c>
      <c r="K100">
        <v>27.99</v>
      </c>
      <c r="L100" s="1" t="s">
        <v>28</v>
      </c>
      <c r="M100" s="1" t="s">
        <v>61</v>
      </c>
      <c r="N100" s="1" t="s">
        <v>62</v>
      </c>
      <c r="O100" s="1" t="s">
        <v>31</v>
      </c>
      <c r="P100" s="2">
        <v>45726</v>
      </c>
      <c r="Q100" s="1" t="s">
        <v>358</v>
      </c>
      <c r="R100" s="1" t="s">
        <v>359</v>
      </c>
      <c r="S100" s="1" t="s">
        <v>34</v>
      </c>
      <c r="T100" s="1" t="s">
        <v>35</v>
      </c>
      <c r="U100" s="1" t="s">
        <v>66</v>
      </c>
      <c r="V100" s="1" t="s">
        <v>37</v>
      </c>
      <c r="W100">
        <v>2</v>
      </c>
    </row>
    <row r="101" spans="1:23" x14ac:dyDescent="0.3">
      <c r="A101" s="1" t="s">
        <v>360</v>
      </c>
      <c r="B101">
        <v>1</v>
      </c>
      <c r="C101">
        <v>21.99</v>
      </c>
      <c r="D101">
        <v>21.99</v>
      </c>
      <c r="E101" s="1" t="s">
        <v>244</v>
      </c>
      <c r="F101" s="1" t="s">
        <v>40</v>
      </c>
      <c r="G101">
        <v>2</v>
      </c>
      <c r="H101" s="1" t="s">
        <v>58</v>
      </c>
      <c r="I101" s="1" t="s">
        <v>27</v>
      </c>
      <c r="J101">
        <v>7</v>
      </c>
      <c r="K101">
        <v>21.99</v>
      </c>
      <c r="L101" s="1" t="s">
        <v>28</v>
      </c>
      <c r="M101" s="1" t="s">
        <v>29</v>
      </c>
      <c r="N101" s="1" t="s">
        <v>30</v>
      </c>
      <c r="O101" s="1" t="s">
        <v>31</v>
      </c>
      <c r="P101" s="2">
        <v>45778</v>
      </c>
      <c r="Q101" s="1" t="s">
        <v>231</v>
      </c>
      <c r="R101" s="1" t="s">
        <v>361</v>
      </c>
      <c r="S101" s="1" t="s">
        <v>47</v>
      </c>
      <c r="T101" s="1" t="s">
        <v>35</v>
      </c>
      <c r="U101" s="1" t="s">
        <v>66</v>
      </c>
      <c r="V101" s="1" t="s">
        <v>37</v>
      </c>
      <c r="W101">
        <v>2</v>
      </c>
    </row>
    <row r="102" spans="1:23" x14ac:dyDescent="0.3">
      <c r="A102" s="1" t="s">
        <v>362</v>
      </c>
      <c r="B102">
        <v>1</v>
      </c>
      <c r="C102">
        <v>30.99</v>
      </c>
      <c r="D102">
        <v>30.99</v>
      </c>
      <c r="E102" s="1" t="s">
        <v>107</v>
      </c>
      <c r="F102" s="1" t="s">
        <v>51</v>
      </c>
      <c r="G102">
        <v>0</v>
      </c>
      <c r="H102" s="1" t="s">
        <v>96</v>
      </c>
      <c r="I102" s="1" t="s">
        <v>42</v>
      </c>
      <c r="J102">
        <v>10.5</v>
      </c>
      <c r="K102">
        <v>30.99</v>
      </c>
      <c r="L102" s="1" t="s">
        <v>28</v>
      </c>
      <c r="M102" s="1" t="s">
        <v>43</v>
      </c>
      <c r="N102" s="1" t="s">
        <v>44</v>
      </c>
      <c r="O102" s="1" t="s">
        <v>31</v>
      </c>
      <c r="P102" s="2">
        <v>45823</v>
      </c>
      <c r="Q102" s="1" t="s">
        <v>363</v>
      </c>
      <c r="R102" s="1" t="s">
        <v>364</v>
      </c>
      <c r="S102" s="1" t="s">
        <v>54</v>
      </c>
      <c r="T102" s="1" t="s">
        <v>35</v>
      </c>
      <c r="U102" s="1" t="s">
        <v>55</v>
      </c>
      <c r="V102" s="1" t="s">
        <v>37</v>
      </c>
      <c r="W102">
        <v>2</v>
      </c>
    </row>
    <row r="103" spans="1:23" x14ac:dyDescent="0.3">
      <c r="A103" s="1" t="s">
        <v>365</v>
      </c>
      <c r="B103">
        <v>1</v>
      </c>
      <c r="C103">
        <v>18.989999999999998</v>
      </c>
      <c r="D103">
        <v>18.989999999999998</v>
      </c>
      <c r="E103" s="1" t="s">
        <v>260</v>
      </c>
      <c r="F103" s="1" t="s">
        <v>40</v>
      </c>
      <c r="G103">
        <v>11</v>
      </c>
      <c r="H103" s="1" t="s">
        <v>41</v>
      </c>
      <c r="I103" s="1" t="s">
        <v>97</v>
      </c>
      <c r="J103">
        <v>6</v>
      </c>
      <c r="K103">
        <v>18.989999999999998</v>
      </c>
      <c r="L103" s="1" t="s">
        <v>60</v>
      </c>
      <c r="M103" s="1" t="s">
        <v>43</v>
      </c>
      <c r="N103" s="1" t="s">
        <v>44</v>
      </c>
      <c r="O103" s="1" t="s">
        <v>31</v>
      </c>
      <c r="P103" s="2">
        <v>45823</v>
      </c>
      <c r="Q103" s="1" t="s">
        <v>366</v>
      </c>
      <c r="R103" s="1" t="s">
        <v>367</v>
      </c>
      <c r="S103" s="1" t="s">
        <v>105</v>
      </c>
      <c r="T103" s="1" t="s">
        <v>35</v>
      </c>
      <c r="U103" s="1" t="s">
        <v>48</v>
      </c>
      <c r="V103" s="1" t="s">
        <v>100</v>
      </c>
      <c r="W103">
        <v>3.2</v>
      </c>
    </row>
    <row r="104" spans="1:23" x14ac:dyDescent="0.3">
      <c r="A104" s="1" t="s">
        <v>368</v>
      </c>
      <c r="B104">
        <v>1</v>
      </c>
      <c r="C104">
        <v>30.99</v>
      </c>
      <c r="D104">
        <v>30.99</v>
      </c>
      <c r="E104" s="1" t="s">
        <v>146</v>
      </c>
      <c r="F104" s="1" t="s">
        <v>40</v>
      </c>
      <c r="G104">
        <v>3</v>
      </c>
      <c r="H104" s="1" t="s">
        <v>41</v>
      </c>
      <c r="I104" s="1" t="s">
        <v>42</v>
      </c>
      <c r="J104">
        <v>10.5</v>
      </c>
      <c r="K104">
        <v>30.99</v>
      </c>
      <c r="L104" s="1" t="s">
        <v>28</v>
      </c>
      <c r="M104" s="1" t="s">
        <v>43</v>
      </c>
      <c r="N104" s="1" t="s">
        <v>44</v>
      </c>
      <c r="O104" s="1" t="s">
        <v>31</v>
      </c>
      <c r="P104" s="2">
        <v>45823</v>
      </c>
      <c r="Q104" s="1" t="s">
        <v>231</v>
      </c>
      <c r="R104" s="1" t="s">
        <v>232</v>
      </c>
      <c r="S104" s="1" t="s">
        <v>105</v>
      </c>
      <c r="T104" s="1" t="s">
        <v>35</v>
      </c>
      <c r="U104" s="1" t="s">
        <v>36</v>
      </c>
      <c r="V104" s="1" t="s">
        <v>37</v>
      </c>
      <c r="W104">
        <v>2</v>
      </c>
    </row>
    <row r="105" spans="1:23" x14ac:dyDescent="0.3">
      <c r="A105" s="1" t="s">
        <v>369</v>
      </c>
      <c r="B105">
        <v>1</v>
      </c>
      <c r="C105">
        <v>30.99</v>
      </c>
      <c r="D105">
        <v>30.99</v>
      </c>
      <c r="E105" s="1" t="s">
        <v>175</v>
      </c>
      <c r="F105" s="1" t="s">
        <v>51</v>
      </c>
      <c r="G105">
        <v>0</v>
      </c>
      <c r="H105" s="1" t="s">
        <v>58</v>
      </c>
      <c r="I105" s="1" t="s">
        <v>42</v>
      </c>
      <c r="J105">
        <v>10.5</v>
      </c>
      <c r="K105">
        <v>30.99</v>
      </c>
      <c r="L105" s="1" t="s">
        <v>28</v>
      </c>
      <c r="M105" s="1" t="s">
        <v>43</v>
      </c>
      <c r="N105" s="1" t="s">
        <v>44</v>
      </c>
      <c r="O105" s="1" t="s">
        <v>31</v>
      </c>
      <c r="P105" s="2">
        <v>45823</v>
      </c>
      <c r="Q105" s="1" t="s">
        <v>339</v>
      </c>
      <c r="R105" s="1" t="s">
        <v>340</v>
      </c>
      <c r="S105" s="1" t="s">
        <v>65</v>
      </c>
      <c r="T105" s="1" t="s">
        <v>35</v>
      </c>
      <c r="U105" s="1" t="s">
        <v>66</v>
      </c>
      <c r="V105" s="1" t="s">
        <v>37</v>
      </c>
      <c r="W105">
        <v>2</v>
      </c>
    </row>
    <row r="106" spans="1:23" x14ac:dyDescent="0.3">
      <c r="A106" s="1" t="s">
        <v>370</v>
      </c>
      <c r="B106">
        <v>1</v>
      </c>
      <c r="C106">
        <v>34.99</v>
      </c>
      <c r="D106">
        <v>34.99</v>
      </c>
      <c r="E106" s="1" t="s">
        <v>325</v>
      </c>
      <c r="F106" s="1" t="s">
        <v>188</v>
      </c>
      <c r="G106">
        <v>0</v>
      </c>
      <c r="H106" s="1" t="s">
        <v>41</v>
      </c>
      <c r="I106" s="1" t="s">
        <v>85</v>
      </c>
      <c r="J106">
        <v>12.5</v>
      </c>
      <c r="K106">
        <v>34.99</v>
      </c>
      <c r="L106" s="1" t="s">
        <v>60</v>
      </c>
      <c r="M106" s="1" t="s">
        <v>29</v>
      </c>
      <c r="N106" s="1" t="s">
        <v>30</v>
      </c>
      <c r="O106" s="1" t="s">
        <v>31</v>
      </c>
      <c r="P106" s="2">
        <v>45778</v>
      </c>
      <c r="Q106" s="1" t="s">
        <v>63</v>
      </c>
      <c r="R106" s="1" t="s">
        <v>371</v>
      </c>
      <c r="S106" s="1" t="s">
        <v>88</v>
      </c>
      <c r="T106" s="1" t="s">
        <v>35</v>
      </c>
      <c r="U106" s="1" t="s">
        <v>36</v>
      </c>
      <c r="V106" s="1" t="s">
        <v>89</v>
      </c>
      <c r="W106">
        <v>2.4</v>
      </c>
    </row>
    <row r="107" spans="1:23" x14ac:dyDescent="0.3">
      <c r="A107" s="1" t="s">
        <v>372</v>
      </c>
      <c r="B107">
        <v>1</v>
      </c>
      <c r="C107">
        <v>27.99</v>
      </c>
      <c r="D107">
        <v>27.99</v>
      </c>
      <c r="E107" s="1" t="s">
        <v>91</v>
      </c>
      <c r="F107" s="1" t="s">
        <v>40</v>
      </c>
      <c r="G107">
        <v>3</v>
      </c>
      <c r="H107" s="1" t="s">
        <v>26</v>
      </c>
      <c r="I107" s="1" t="s">
        <v>75</v>
      </c>
      <c r="J107">
        <v>9</v>
      </c>
      <c r="K107">
        <v>27.99</v>
      </c>
      <c r="L107" s="1" t="s">
        <v>28</v>
      </c>
      <c r="M107" s="1" t="s">
        <v>61</v>
      </c>
      <c r="N107" s="1" t="s">
        <v>62</v>
      </c>
      <c r="O107" s="1" t="s">
        <v>31</v>
      </c>
      <c r="P107" s="2">
        <v>45726</v>
      </c>
      <c r="Q107" s="1" t="s">
        <v>373</v>
      </c>
      <c r="R107" s="1" t="s">
        <v>374</v>
      </c>
      <c r="S107" s="1" t="s">
        <v>65</v>
      </c>
      <c r="T107" s="1" t="s">
        <v>35</v>
      </c>
      <c r="U107" s="1" t="s">
        <v>82</v>
      </c>
      <c r="V107" s="1" t="s">
        <v>37</v>
      </c>
      <c r="W107">
        <v>2</v>
      </c>
    </row>
    <row r="108" spans="1:23" x14ac:dyDescent="0.3">
      <c r="A108" s="1" t="s">
        <v>375</v>
      </c>
      <c r="B108">
        <v>1</v>
      </c>
      <c r="C108">
        <v>18.989999999999998</v>
      </c>
      <c r="D108">
        <v>18.989999999999998</v>
      </c>
      <c r="E108" s="1" t="s">
        <v>260</v>
      </c>
      <c r="F108" s="1" t="s">
        <v>70</v>
      </c>
      <c r="G108">
        <v>0</v>
      </c>
      <c r="H108" s="1" t="s">
        <v>41</v>
      </c>
      <c r="I108" s="1" t="s">
        <v>97</v>
      </c>
      <c r="J108">
        <v>6</v>
      </c>
      <c r="K108">
        <v>18.989999999999998</v>
      </c>
      <c r="L108" s="1" t="s">
        <v>60</v>
      </c>
      <c r="M108" s="1" t="s">
        <v>43</v>
      </c>
      <c r="N108" s="1" t="s">
        <v>44</v>
      </c>
      <c r="O108" s="1" t="s">
        <v>31</v>
      </c>
      <c r="P108" s="2">
        <v>45823</v>
      </c>
      <c r="Q108" s="1" t="s">
        <v>376</v>
      </c>
      <c r="R108" s="1" t="s">
        <v>377</v>
      </c>
      <c r="S108" s="1" t="s">
        <v>65</v>
      </c>
      <c r="T108" s="1" t="s">
        <v>35</v>
      </c>
      <c r="U108" s="1" t="s">
        <v>66</v>
      </c>
      <c r="V108" s="1" t="s">
        <v>100</v>
      </c>
      <c r="W108">
        <v>3.2</v>
      </c>
    </row>
    <row r="109" spans="1:23" x14ac:dyDescent="0.3">
      <c r="A109" s="1" t="s">
        <v>378</v>
      </c>
      <c r="B109">
        <v>1</v>
      </c>
      <c r="C109">
        <v>27.99</v>
      </c>
      <c r="D109">
        <v>27.99</v>
      </c>
      <c r="E109" s="1" t="s">
        <v>181</v>
      </c>
      <c r="F109" s="1" t="s">
        <v>188</v>
      </c>
      <c r="G109">
        <v>0</v>
      </c>
      <c r="H109" s="1" t="s">
        <v>41</v>
      </c>
      <c r="I109" s="1" t="s">
        <v>75</v>
      </c>
      <c r="J109">
        <v>9</v>
      </c>
      <c r="K109">
        <v>27.99</v>
      </c>
      <c r="L109" s="1" t="s">
        <v>28</v>
      </c>
      <c r="M109" s="1" t="s">
        <v>61</v>
      </c>
      <c r="N109" s="1" t="s">
        <v>62</v>
      </c>
      <c r="O109" s="1" t="s">
        <v>31</v>
      </c>
      <c r="P109" s="2">
        <v>45726</v>
      </c>
      <c r="Q109" s="1" t="s">
        <v>379</v>
      </c>
      <c r="R109" s="1" t="s">
        <v>380</v>
      </c>
      <c r="S109" s="1" t="s">
        <v>34</v>
      </c>
      <c r="T109" s="1" t="s">
        <v>35</v>
      </c>
      <c r="U109" s="1" t="s">
        <v>55</v>
      </c>
      <c r="V109" s="1" t="s">
        <v>37</v>
      </c>
      <c r="W109">
        <v>2</v>
      </c>
    </row>
    <row r="110" spans="1:23" x14ac:dyDescent="0.3">
      <c r="A110" s="1" t="s">
        <v>381</v>
      </c>
      <c r="B110">
        <v>1</v>
      </c>
      <c r="C110">
        <v>34.99</v>
      </c>
      <c r="D110">
        <v>34.99</v>
      </c>
      <c r="E110" s="1" t="s">
        <v>382</v>
      </c>
      <c r="F110" s="1" t="s">
        <v>51</v>
      </c>
      <c r="G110">
        <v>0</v>
      </c>
      <c r="H110" s="1" t="s">
        <v>58</v>
      </c>
      <c r="I110" s="1" t="s">
        <v>85</v>
      </c>
      <c r="J110">
        <v>12.5</v>
      </c>
      <c r="K110">
        <v>34.99</v>
      </c>
      <c r="L110" s="1" t="s">
        <v>60</v>
      </c>
      <c r="M110" s="1" t="s">
        <v>29</v>
      </c>
      <c r="N110" s="1" t="s">
        <v>30</v>
      </c>
      <c r="O110" s="1" t="s">
        <v>31</v>
      </c>
      <c r="P110" s="2">
        <v>45778</v>
      </c>
      <c r="Q110" s="1" t="s">
        <v>140</v>
      </c>
      <c r="R110" s="1" t="s">
        <v>383</v>
      </c>
      <c r="S110" s="1" t="s">
        <v>65</v>
      </c>
      <c r="T110" s="1" t="s">
        <v>35</v>
      </c>
      <c r="U110" s="1" t="s">
        <v>82</v>
      </c>
      <c r="V110" s="1" t="s">
        <v>89</v>
      </c>
      <c r="W110">
        <v>2.4</v>
      </c>
    </row>
    <row r="111" spans="1:23" x14ac:dyDescent="0.3">
      <c r="A111" s="1" t="s">
        <v>384</v>
      </c>
      <c r="B111">
        <v>1</v>
      </c>
      <c r="C111">
        <v>21.99</v>
      </c>
      <c r="D111">
        <v>21.99</v>
      </c>
      <c r="E111" s="1" t="s">
        <v>313</v>
      </c>
      <c r="F111" s="1" t="s">
        <v>40</v>
      </c>
      <c r="G111">
        <v>2</v>
      </c>
      <c r="H111" s="1" t="s">
        <v>41</v>
      </c>
      <c r="I111" s="1" t="s">
        <v>27</v>
      </c>
      <c r="J111">
        <v>7</v>
      </c>
      <c r="K111">
        <v>21.99</v>
      </c>
      <c r="L111" s="1" t="s">
        <v>28</v>
      </c>
      <c r="M111" s="1" t="s">
        <v>29</v>
      </c>
      <c r="N111" s="1" t="s">
        <v>30</v>
      </c>
      <c r="O111" s="1" t="s">
        <v>31</v>
      </c>
      <c r="P111" s="2">
        <v>45778</v>
      </c>
      <c r="Q111" s="1" t="s">
        <v>385</v>
      </c>
      <c r="R111" s="1" t="s">
        <v>386</v>
      </c>
      <c r="S111" s="1" t="s">
        <v>47</v>
      </c>
      <c r="T111" s="1" t="s">
        <v>35</v>
      </c>
      <c r="U111" s="1" t="s">
        <v>48</v>
      </c>
      <c r="V111" s="1" t="s">
        <v>37</v>
      </c>
      <c r="W111">
        <v>2</v>
      </c>
    </row>
    <row r="112" spans="1:23" x14ac:dyDescent="0.3">
      <c r="A112" s="1" t="s">
        <v>387</v>
      </c>
      <c r="B112">
        <v>1</v>
      </c>
      <c r="C112">
        <v>16.989999999999998</v>
      </c>
      <c r="D112">
        <v>16.989999999999998</v>
      </c>
      <c r="E112" s="1" t="s">
        <v>39</v>
      </c>
      <c r="F112" s="1" t="s">
        <v>51</v>
      </c>
      <c r="G112">
        <v>0</v>
      </c>
      <c r="H112" s="1" t="s">
        <v>26</v>
      </c>
      <c r="I112" s="1" t="s">
        <v>59</v>
      </c>
      <c r="J112">
        <v>5</v>
      </c>
      <c r="K112">
        <v>16.989999999999998</v>
      </c>
      <c r="L112" s="1" t="s">
        <v>60</v>
      </c>
      <c r="M112" s="1" t="s">
        <v>61</v>
      </c>
      <c r="N112" s="1" t="s">
        <v>62</v>
      </c>
      <c r="O112" s="1" t="s">
        <v>31</v>
      </c>
      <c r="P112" s="2">
        <v>45726</v>
      </c>
      <c r="Q112" s="1" t="s">
        <v>63</v>
      </c>
      <c r="R112" s="1" t="s">
        <v>64</v>
      </c>
      <c r="S112" s="1" t="s">
        <v>65</v>
      </c>
      <c r="T112" s="1" t="s">
        <v>35</v>
      </c>
      <c r="U112" s="1" t="s">
        <v>66</v>
      </c>
      <c r="V112" s="1" t="s">
        <v>67</v>
      </c>
      <c r="W112">
        <v>3</v>
      </c>
    </row>
    <row r="113" spans="1:23" x14ac:dyDescent="0.3">
      <c r="A113" s="1" t="s">
        <v>388</v>
      </c>
      <c r="B113">
        <v>1</v>
      </c>
      <c r="C113">
        <v>27.99</v>
      </c>
      <c r="D113">
        <v>27.99</v>
      </c>
      <c r="E113" s="1" t="s">
        <v>389</v>
      </c>
      <c r="F113" s="1" t="s">
        <v>40</v>
      </c>
      <c r="G113">
        <v>3</v>
      </c>
      <c r="H113" s="1" t="s">
        <v>96</v>
      </c>
      <c r="I113" s="1" t="s">
        <v>75</v>
      </c>
      <c r="J113">
        <v>9</v>
      </c>
      <c r="K113">
        <v>27.99</v>
      </c>
      <c r="L113" s="1" t="s">
        <v>28</v>
      </c>
      <c r="M113" s="1" t="s">
        <v>61</v>
      </c>
      <c r="N113" s="1" t="s">
        <v>62</v>
      </c>
      <c r="O113" s="1" t="s">
        <v>31</v>
      </c>
      <c r="P113" s="2">
        <v>45726</v>
      </c>
      <c r="Q113" s="1" t="s">
        <v>86</v>
      </c>
      <c r="R113" s="1" t="s">
        <v>87</v>
      </c>
      <c r="S113" s="1" t="s">
        <v>88</v>
      </c>
      <c r="T113" s="1" t="s">
        <v>35</v>
      </c>
      <c r="U113" s="1" t="s">
        <v>36</v>
      </c>
      <c r="V113" s="1" t="s">
        <v>37</v>
      </c>
      <c r="W113">
        <v>2</v>
      </c>
    </row>
    <row r="114" spans="1:23" x14ac:dyDescent="0.3">
      <c r="A114" s="1" t="s">
        <v>390</v>
      </c>
      <c r="B114">
        <v>2</v>
      </c>
      <c r="C114">
        <v>21.99</v>
      </c>
      <c r="D114">
        <v>37.979999999999997</v>
      </c>
      <c r="E114" s="1" t="s">
        <v>102</v>
      </c>
      <c r="F114" s="1" t="s">
        <v>188</v>
      </c>
      <c r="G114">
        <v>0</v>
      </c>
      <c r="H114" s="1" t="s">
        <v>41</v>
      </c>
      <c r="I114" s="1" t="s">
        <v>27</v>
      </c>
      <c r="J114">
        <v>7</v>
      </c>
      <c r="K114">
        <v>21.99</v>
      </c>
      <c r="L114" s="1" t="s">
        <v>28</v>
      </c>
      <c r="M114" s="1" t="s">
        <v>29</v>
      </c>
      <c r="N114" s="1" t="s">
        <v>30</v>
      </c>
      <c r="O114" s="1" t="s">
        <v>31</v>
      </c>
      <c r="P114" s="2">
        <v>45778</v>
      </c>
      <c r="Q114" s="1" t="s">
        <v>169</v>
      </c>
      <c r="R114" s="1" t="s">
        <v>170</v>
      </c>
      <c r="S114" s="1" t="s">
        <v>54</v>
      </c>
      <c r="T114" s="1" t="s">
        <v>35</v>
      </c>
      <c r="U114" s="1" t="s">
        <v>66</v>
      </c>
      <c r="V114" s="1" t="s">
        <v>37</v>
      </c>
      <c r="W114">
        <v>2</v>
      </c>
    </row>
    <row r="115" spans="1:23" x14ac:dyDescent="0.3">
      <c r="A115" s="1" t="s">
        <v>391</v>
      </c>
      <c r="B115">
        <v>3</v>
      </c>
      <c r="C115">
        <v>30.99</v>
      </c>
      <c r="D115">
        <v>74.53</v>
      </c>
      <c r="E115" s="1" t="s">
        <v>248</v>
      </c>
      <c r="F115" s="1" t="s">
        <v>51</v>
      </c>
      <c r="G115">
        <v>0</v>
      </c>
      <c r="H115" s="1" t="s">
        <v>58</v>
      </c>
      <c r="I115" s="1" t="s">
        <v>42</v>
      </c>
      <c r="J115">
        <v>10.5</v>
      </c>
      <c r="K115">
        <v>30.99</v>
      </c>
      <c r="L115" s="1" t="s">
        <v>28</v>
      </c>
      <c r="M115" s="1" t="s">
        <v>43</v>
      </c>
      <c r="N115" s="1" t="s">
        <v>44</v>
      </c>
      <c r="O115" s="1" t="s">
        <v>31</v>
      </c>
      <c r="P115" s="2">
        <v>45823</v>
      </c>
      <c r="Q115" s="1" t="s">
        <v>92</v>
      </c>
      <c r="R115" s="1" t="s">
        <v>93</v>
      </c>
      <c r="S115" s="1" t="s">
        <v>65</v>
      </c>
      <c r="T115" s="1" t="s">
        <v>35</v>
      </c>
      <c r="U115" s="1" t="s">
        <v>82</v>
      </c>
      <c r="V115" s="1" t="s">
        <v>37</v>
      </c>
      <c r="W115">
        <v>2</v>
      </c>
    </row>
    <row r="116" spans="1:23" x14ac:dyDescent="0.3">
      <c r="A116" s="1" t="s">
        <v>392</v>
      </c>
      <c r="B116">
        <v>1</v>
      </c>
      <c r="C116">
        <v>18.989999999999998</v>
      </c>
      <c r="D116">
        <v>18.989999999999998</v>
      </c>
      <c r="E116" s="1" t="s">
        <v>393</v>
      </c>
      <c r="F116" s="1" t="s">
        <v>188</v>
      </c>
      <c r="G116">
        <v>0</v>
      </c>
      <c r="H116" s="1" t="s">
        <v>96</v>
      </c>
      <c r="I116" s="1" t="s">
        <v>97</v>
      </c>
      <c r="J116">
        <v>6</v>
      </c>
      <c r="K116">
        <v>18.989999999999998</v>
      </c>
      <c r="L116" s="1" t="s">
        <v>60</v>
      </c>
      <c r="M116" s="1" t="s">
        <v>43</v>
      </c>
      <c r="N116" s="1" t="s">
        <v>44</v>
      </c>
      <c r="O116" s="1" t="s">
        <v>31</v>
      </c>
      <c r="P116" s="2">
        <v>45823</v>
      </c>
      <c r="Q116" s="1" t="s">
        <v>234</v>
      </c>
      <c r="R116" s="1" t="s">
        <v>235</v>
      </c>
      <c r="S116" s="1" t="s">
        <v>105</v>
      </c>
      <c r="T116" s="1" t="s">
        <v>35</v>
      </c>
      <c r="U116" s="1" t="s">
        <v>48</v>
      </c>
      <c r="V116" s="1" t="s">
        <v>100</v>
      </c>
      <c r="W116">
        <v>3.2</v>
      </c>
    </row>
    <row r="117" spans="1:23" x14ac:dyDescent="0.3">
      <c r="A117" s="1" t="s">
        <v>394</v>
      </c>
      <c r="B117">
        <v>1</v>
      </c>
      <c r="C117">
        <v>21.99</v>
      </c>
      <c r="D117">
        <v>21.99</v>
      </c>
      <c r="E117" s="1" t="s">
        <v>334</v>
      </c>
      <c r="F117" s="1" t="s">
        <v>188</v>
      </c>
      <c r="G117">
        <v>0</v>
      </c>
      <c r="H117" s="1" t="s">
        <v>58</v>
      </c>
      <c r="I117" s="1" t="s">
        <v>27</v>
      </c>
      <c r="J117">
        <v>7</v>
      </c>
      <c r="K117">
        <v>21.99</v>
      </c>
      <c r="L117" s="1" t="s">
        <v>28</v>
      </c>
      <c r="M117" s="1" t="s">
        <v>29</v>
      </c>
      <c r="N117" s="1" t="s">
        <v>30</v>
      </c>
      <c r="O117" s="1" t="s">
        <v>31</v>
      </c>
      <c r="P117" s="2">
        <v>45778</v>
      </c>
      <c r="Q117" s="1" t="s">
        <v>137</v>
      </c>
      <c r="R117" s="1" t="s">
        <v>138</v>
      </c>
      <c r="S117" s="1" t="s">
        <v>34</v>
      </c>
      <c r="T117" s="1" t="s">
        <v>35</v>
      </c>
      <c r="U117" s="1" t="s">
        <v>82</v>
      </c>
      <c r="V117" s="1" t="s">
        <v>37</v>
      </c>
      <c r="W117">
        <v>2</v>
      </c>
    </row>
    <row r="118" spans="1:23" x14ac:dyDescent="0.3">
      <c r="A118" s="1" t="s">
        <v>395</v>
      </c>
      <c r="B118">
        <v>1</v>
      </c>
      <c r="C118">
        <v>30.99</v>
      </c>
      <c r="D118">
        <v>30.99</v>
      </c>
      <c r="E118" s="1" t="s">
        <v>117</v>
      </c>
      <c r="F118" s="1" t="s">
        <v>40</v>
      </c>
      <c r="G118">
        <v>3</v>
      </c>
      <c r="H118" s="1" t="s">
        <v>96</v>
      </c>
      <c r="I118" s="1" t="s">
        <v>42</v>
      </c>
      <c r="J118">
        <v>10.5</v>
      </c>
      <c r="K118">
        <v>30.99</v>
      </c>
      <c r="L118" s="1" t="s">
        <v>28</v>
      </c>
      <c r="M118" s="1" t="s">
        <v>43</v>
      </c>
      <c r="N118" s="1" t="s">
        <v>44</v>
      </c>
      <c r="O118" s="1" t="s">
        <v>31</v>
      </c>
      <c r="P118" s="2">
        <v>45823</v>
      </c>
      <c r="Q118" s="1" t="s">
        <v>396</v>
      </c>
      <c r="R118" s="1" t="s">
        <v>397</v>
      </c>
      <c r="S118" s="1" t="s">
        <v>34</v>
      </c>
      <c r="T118" s="1" t="s">
        <v>35</v>
      </c>
      <c r="U118" s="1" t="s">
        <v>82</v>
      </c>
      <c r="V118" s="1" t="s">
        <v>37</v>
      </c>
      <c r="W118">
        <v>2</v>
      </c>
    </row>
    <row r="119" spans="1:23" x14ac:dyDescent="0.3">
      <c r="A119" s="1" t="s">
        <v>398</v>
      </c>
      <c r="B119">
        <v>1</v>
      </c>
      <c r="C119">
        <v>16.989999999999998</v>
      </c>
      <c r="D119">
        <v>16.989999999999998</v>
      </c>
      <c r="E119" s="1" t="s">
        <v>214</v>
      </c>
      <c r="F119" s="1" t="s">
        <v>70</v>
      </c>
      <c r="G119">
        <v>0</v>
      </c>
      <c r="H119" s="1" t="s">
        <v>58</v>
      </c>
      <c r="I119" s="1" t="s">
        <v>59</v>
      </c>
      <c r="J119">
        <v>5</v>
      </c>
      <c r="K119">
        <v>16.989999999999998</v>
      </c>
      <c r="L119" s="1" t="s">
        <v>60</v>
      </c>
      <c r="M119" s="1" t="s">
        <v>61</v>
      </c>
      <c r="N119" s="1" t="s">
        <v>62</v>
      </c>
      <c r="O119" s="1" t="s">
        <v>31</v>
      </c>
      <c r="P119" s="2">
        <v>45726</v>
      </c>
      <c r="Q119" s="1" t="s">
        <v>80</v>
      </c>
      <c r="R119" s="1" t="s">
        <v>81</v>
      </c>
      <c r="S119" s="1" t="s">
        <v>34</v>
      </c>
      <c r="T119" s="1" t="s">
        <v>35</v>
      </c>
      <c r="U119" s="1" t="s">
        <v>82</v>
      </c>
      <c r="V119" s="1" t="s">
        <v>67</v>
      </c>
      <c r="W119">
        <v>3</v>
      </c>
    </row>
    <row r="120" spans="1:23" x14ac:dyDescent="0.3">
      <c r="A120" s="1" t="s">
        <v>399</v>
      </c>
      <c r="B120">
        <v>1</v>
      </c>
      <c r="C120">
        <v>30.99</v>
      </c>
      <c r="D120">
        <v>30.99</v>
      </c>
      <c r="E120" s="1" t="s">
        <v>117</v>
      </c>
      <c r="F120" s="1" t="s">
        <v>40</v>
      </c>
      <c r="G120">
        <v>3</v>
      </c>
      <c r="H120" s="1" t="s">
        <v>41</v>
      </c>
      <c r="I120" s="1" t="s">
        <v>42</v>
      </c>
      <c r="J120">
        <v>10.5</v>
      </c>
      <c r="K120">
        <v>30.99</v>
      </c>
      <c r="L120" s="1" t="s">
        <v>28</v>
      </c>
      <c r="M120" s="1" t="s">
        <v>43</v>
      </c>
      <c r="N120" s="1" t="s">
        <v>44</v>
      </c>
      <c r="O120" s="1" t="s">
        <v>31</v>
      </c>
      <c r="P120" s="2">
        <v>45823</v>
      </c>
      <c r="Q120" s="1" t="s">
        <v>147</v>
      </c>
      <c r="R120" s="1" t="s">
        <v>400</v>
      </c>
      <c r="S120" s="1" t="s">
        <v>47</v>
      </c>
      <c r="T120" s="1" t="s">
        <v>35</v>
      </c>
      <c r="U120" s="1" t="s">
        <v>36</v>
      </c>
      <c r="V120" s="1" t="s">
        <v>37</v>
      </c>
      <c r="W120">
        <v>2</v>
      </c>
    </row>
    <row r="121" spans="1:23" x14ac:dyDescent="0.3">
      <c r="A121" s="1" t="s">
        <v>401</v>
      </c>
      <c r="B121">
        <v>1</v>
      </c>
      <c r="C121">
        <v>30.99</v>
      </c>
      <c r="D121">
        <v>30.99</v>
      </c>
      <c r="E121" s="1" t="s">
        <v>69</v>
      </c>
      <c r="F121" s="1" t="s">
        <v>40</v>
      </c>
      <c r="G121">
        <v>2</v>
      </c>
      <c r="H121" s="1" t="s">
        <v>96</v>
      </c>
      <c r="I121" s="1" t="s">
        <v>42</v>
      </c>
      <c r="J121">
        <v>10.5</v>
      </c>
      <c r="K121">
        <v>30.99</v>
      </c>
      <c r="L121" s="1" t="s">
        <v>28</v>
      </c>
      <c r="M121" s="1" t="s">
        <v>43</v>
      </c>
      <c r="N121" s="1" t="s">
        <v>44</v>
      </c>
      <c r="O121" s="1" t="s">
        <v>31</v>
      </c>
      <c r="P121" s="2">
        <v>45823</v>
      </c>
      <c r="Q121" s="1" t="s">
        <v>114</v>
      </c>
      <c r="R121" s="1" t="s">
        <v>402</v>
      </c>
      <c r="S121" s="1" t="s">
        <v>88</v>
      </c>
      <c r="T121" s="1" t="s">
        <v>35</v>
      </c>
      <c r="U121" s="1" t="s">
        <v>48</v>
      </c>
      <c r="V121" s="1" t="s">
        <v>37</v>
      </c>
      <c r="W121">
        <v>2</v>
      </c>
    </row>
    <row r="122" spans="1:23" x14ac:dyDescent="0.3">
      <c r="A122" s="1" t="s">
        <v>403</v>
      </c>
      <c r="B122">
        <v>1</v>
      </c>
      <c r="C122">
        <v>27.99</v>
      </c>
      <c r="D122">
        <v>27.99</v>
      </c>
      <c r="E122" s="1" t="s">
        <v>24</v>
      </c>
      <c r="F122" s="1" t="s">
        <v>51</v>
      </c>
      <c r="G122">
        <v>0</v>
      </c>
      <c r="H122" s="1" t="s">
        <v>26</v>
      </c>
      <c r="I122" s="1" t="s">
        <v>75</v>
      </c>
      <c r="J122">
        <v>9</v>
      </c>
      <c r="K122">
        <v>27.99</v>
      </c>
      <c r="L122" s="1" t="s">
        <v>28</v>
      </c>
      <c r="M122" s="1" t="s">
        <v>61</v>
      </c>
      <c r="N122" s="1" t="s">
        <v>62</v>
      </c>
      <c r="O122" s="1" t="s">
        <v>31</v>
      </c>
      <c r="P122" s="2">
        <v>45726</v>
      </c>
      <c r="Q122" s="1" t="s">
        <v>76</v>
      </c>
      <c r="R122" s="1" t="s">
        <v>404</v>
      </c>
      <c r="S122" s="1" t="s">
        <v>54</v>
      </c>
      <c r="T122" s="1" t="s">
        <v>35</v>
      </c>
      <c r="U122" s="1" t="s">
        <v>48</v>
      </c>
      <c r="V122" s="1" t="s">
        <v>37</v>
      </c>
      <c r="W122">
        <v>2</v>
      </c>
    </row>
    <row r="123" spans="1:23" x14ac:dyDescent="0.3">
      <c r="A123" s="1" t="s">
        <v>405</v>
      </c>
      <c r="B123">
        <v>1</v>
      </c>
      <c r="C123">
        <v>16.989999999999998</v>
      </c>
      <c r="D123">
        <v>16.989999999999998</v>
      </c>
      <c r="E123" s="1" t="s">
        <v>389</v>
      </c>
      <c r="F123" s="1" t="s">
        <v>51</v>
      </c>
      <c r="G123">
        <v>0</v>
      </c>
      <c r="H123" s="1" t="s">
        <v>58</v>
      </c>
      <c r="I123" s="1" t="s">
        <v>59</v>
      </c>
      <c r="J123">
        <v>5</v>
      </c>
      <c r="K123">
        <v>16.989999999999998</v>
      </c>
      <c r="L123" s="1" t="s">
        <v>60</v>
      </c>
      <c r="M123" s="1" t="s">
        <v>61</v>
      </c>
      <c r="N123" s="1" t="s">
        <v>62</v>
      </c>
      <c r="O123" s="1" t="s">
        <v>31</v>
      </c>
      <c r="P123" s="2">
        <v>45726</v>
      </c>
      <c r="Q123" s="1" t="s">
        <v>406</v>
      </c>
      <c r="R123" s="1" t="s">
        <v>407</v>
      </c>
      <c r="S123" s="1" t="s">
        <v>65</v>
      </c>
      <c r="T123" s="1" t="s">
        <v>35</v>
      </c>
      <c r="U123" s="1" t="s">
        <v>55</v>
      </c>
      <c r="V123" s="1" t="s">
        <v>67</v>
      </c>
      <c r="W123">
        <v>3</v>
      </c>
    </row>
    <row r="124" spans="1:23" x14ac:dyDescent="0.3">
      <c r="A124" s="1" t="s">
        <v>408</v>
      </c>
      <c r="B124">
        <v>1</v>
      </c>
      <c r="C124">
        <v>21.99</v>
      </c>
      <c r="D124">
        <v>21.99</v>
      </c>
      <c r="E124" s="1" t="s">
        <v>121</v>
      </c>
      <c r="F124" s="1" t="s">
        <v>40</v>
      </c>
      <c r="G124">
        <v>7</v>
      </c>
      <c r="H124" s="1" t="s">
        <v>26</v>
      </c>
      <c r="I124" s="1" t="s">
        <v>27</v>
      </c>
      <c r="J124">
        <v>7</v>
      </c>
      <c r="K124">
        <v>21.99</v>
      </c>
      <c r="L124" s="1" t="s">
        <v>28</v>
      </c>
      <c r="M124" s="1" t="s">
        <v>29</v>
      </c>
      <c r="N124" s="1" t="s">
        <v>30</v>
      </c>
      <c r="O124" s="1" t="s">
        <v>31</v>
      </c>
      <c r="P124" s="2">
        <v>45778</v>
      </c>
      <c r="Q124" s="1" t="s">
        <v>409</v>
      </c>
      <c r="R124" s="1" t="s">
        <v>410</v>
      </c>
      <c r="S124" s="1" t="s">
        <v>411</v>
      </c>
      <c r="T124" s="1" t="s">
        <v>35</v>
      </c>
      <c r="U124" s="1" t="s">
        <v>48</v>
      </c>
      <c r="V124" s="1" t="s">
        <v>37</v>
      </c>
      <c r="W124">
        <v>2</v>
      </c>
    </row>
    <row r="125" spans="1:23" x14ac:dyDescent="0.3">
      <c r="A125" s="1" t="s">
        <v>412</v>
      </c>
      <c r="B125">
        <v>1</v>
      </c>
      <c r="C125">
        <v>34.99</v>
      </c>
      <c r="D125">
        <v>34.99</v>
      </c>
      <c r="E125" s="1" t="s">
        <v>334</v>
      </c>
      <c r="F125" s="1" t="s">
        <v>40</v>
      </c>
      <c r="G125">
        <v>5</v>
      </c>
      <c r="H125" s="1" t="s">
        <v>58</v>
      </c>
      <c r="I125" s="1" t="s">
        <v>85</v>
      </c>
      <c r="J125">
        <v>12.5</v>
      </c>
      <c r="K125">
        <v>34.99</v>
      </c>
      <c r="L125" s="1" t="s">
        <v>60</v>
      </c>
      <c r="M125" s="1" t="s">
        <v>29</v>
      </c>
      <c r="N125" s="1" t="s">
        <v>30</v>
      </c>
      <c r="O125" s="1" t="s">
        <v>31</v>
      </c>
      <c r="P125" s="2">
        <v>45778</v>
      </c>
      <c r="Q125" s="1" t="s">
        <v>176</v>
      </c>
      <c r="R125" s="1" t="s">
        <v>177</v>
      </c>
      <c r="S125" s="1" t="s">
        <v>65</v>
      </c>
      <c r="T125" s="1" t="s">
        <v>35</v>
      </c>
      <c r="U125" s="1" t="s">
        <v>82</v>
      </c>
      <c r="V125" s="1" t="s">
        <v>89</v>
      </c>
      <c r="W125">
        <v>2.4</v>
      </c>
    </row>
    <row r="126" spans="1:23" x14ac:dyDescent="0.3">
      <c r="A126" s="1" t="s">
        <v>413</v>
      </c>
      <c r="B126">
        <v>3</v>
      </c>
      <c r="C126">
        <v>30.99</v>
      </c>
      <c r="D126">
        <v>74.53</v>
      </c>
      <c r="E126" s="1" t="s">
        <v>414</v>
      </c>
      <c r="F126" s="1" t="s">
        <v>70</v>
      </c>
      <c r="G126">
        <v>0</v>
      </c>
      <c r="H126" s="1" t="s">
        <v>58</v>
      </c>
      <c r="I126" s="1" t="s">
        <v>42</v>
      </c>
      <c r="J126">
        <v>10.5</v>
      </c>
      <c r="K126">
        <v>30.99</v>
      </c>
      <c r="L126" s="1" t="s">
        <v>28</v>
      </c>
      <c r="M126" s="1" t="s">
        <v>43</v>
      </c>
      <c r="N126" s="1" t="s">
        <v>44</v>
      </c>
      <c r="O126" s="1" t="s">
        <v>31</v>
      </c>
      <c r="P126" s="2">
        <v>45823</v>
      </c>
      <c r="Q126" s="1" t="s">
        <v>328</v>
      </c>
      <c r="R126" s="1" t="s">
        <v>415</v>
      </c>
      <c r="S126" s="1" t="s">
        <v>65</v>
      </c>
      <c r="T126" s="1" t="s">
        <v>35</v>
      </c>
      <c r="U126" s="1" t="s">
        <v>55</v>
      </c>
      <c r="V126" s="1" t="s">
        <v>37</v>
      </c>
      <c r="W126">
        <v>2</v>
      </c>
    </row>
    <row r="127" spans="1:23" x14ac:dyDescent="0.3">
      <c r="A127" s="1" t="s">
        <v>416</v>
      </c>
      <c r="B127">
        <v>1</v>
      </c>
      <c r="C127">
        <v>18.989999999999998</v>
      </c>
      <c r="D127">
        <v>18.989999999999998</v>
      </c>
      <c r="E127" s="1" t="s">
        <v>224</v>
      </c>
      <c r="F127" s="1" t="s">
        <v>40</v>
      </c>
      <c r="G127">
        <v>16</v>
      </c>
      <c r="H127" s="1" t="s">
        <v>26</v>
      </c>
      <c r="I127" s="1" t="s">
        <v>97</v>
      </c>
      <c r="J127">
        <v>6</v>
      </c>
      <c r="K127">
        <v>18.989999999999998</v>
      </c>
      <c r="L127" s="1" t="s">
        <v>60</v>
      </c>
      <c r="M127" s="1" t="s">
        <v>43</v>
      </c>
      <c r="N127" s="1" t="s">
        <v>44</v>
      </c>
      <c r="O127" s="1" t="s">
        <v>31</v>
      </c>
      <c r="P127" s="2">
        <v>45823</v>
      </c>
      <c r="Q127" s="1" t="s">
        <v>366</v>
      </c>
      <c r="R127" s="1" t="s">
        <v>367</v>
      </c>
      <c r="S127" s="1" t="s">
        <v>105</v>
      </c>
      <c r="T127" s="1" t="s">
        <v>35</v>
      </c>
      <c r="U127" s="1" t="s">
        <v>48</v>
      </c>
      <c r="V127" s="1" t="s">
        <v>100</v>
      </c>
      <c r="W127">
        <v>3.2</v>
      </c>
    </row>
    <row r="128" spans="1:23" x14ac:dyDescent="0.3">
      <c r="A128" s="1" t="s">
        <v>417</v>
      </c>
      <c r="B128">
        <v>2</v>
      </c>
      <c r="C128">
        <v>34.99</v>
      </c>
      <c r="D128">
        <v>60.98</v>
      </c>
      <c r="E128" s="1" t="s">
        <v>143</v>
      </c>
      <c r="F128" s="1" t="s">
        <v>40</v>
      </c>
      <c r="G128">
        <v>7</v>
      </c>
      <c r="H128" s="1" t="s">
        <v>58</v>
      </c>
      <c r="I128" s="1" t="s">
        <v>85</v>
      </c>
      <c r="J128">
        <v>12.5</v>
      </c>
      <c r="K128">
        <v>34.99</v>
      </c>
      <c r="L128" s="1" t="s">
        <v>60</v>
      </c>
      <c r="M128" s="1" t="s">
        <v>29</v>
      </c>
      <c r="N128" s="1" t="s">
        <v>30</v>
      </c>
      <c r="O128" s="1" t="s">
        <v>31</v>
      </c>
      <c r="P128" s="2">
        <v>45778</v>
      </c>
      <c r="Q128" s="1" t="s">
        <v>32</v>
      </c>
      <c r="R128" s="1" t="s">
        <v>33</v>
      </c>
      <c r="S128" s="1" t="s">
        <v>34</v>
      </c>
      <c r="T128" s="1" t="s">
        <v>35</v>
      </c>
      <c r="U128" s="1" t="s">
        <v>36</v>
      </c>
      <c r="V128" s="1" t="s">
        <v>89</v>
      </c>
      <c r="W128">
        <v>2.4</v>
      </c>
    </row>
    <row r="129" spans="1:23" x14ac:dyDescent="0.3">
      <c r="A129" s="1" t="s">
        <v>418</v>
      </c>
      <c r="B129">
        <v>1</v>
      </c>
      <c r="C129">
        <v>27.99</v>
      </c>
      <c r="D129">
        <v>27.99</v>
      </c>
      <c r="E129" s="1" t="s">
        <v>419</v>
      </c>
      <c r="F129" s="1" t="s">
        <v>40</v>
      </c>
      <c r="G129">
        <v>8</v>
      </c>
      <c r="H129" s="1" t="s">
        <v>58</v>
      </c>
      <c r="I129" s="1" t="s">
        <v>75</v>
      </c>
      <c r="J129">
        <v>9</v>
      </c>
      <c r="K129">
        <v>27.99</v>
      </c>
      <c r="L129" s="1" t="s">
        <v>28</v>
      </c>
      <c r="M129" s="1" t="s">
        <v>61</v>
      </c>
      <c r="N129" s="1" t="s">
        <v>62</v>
      </c>
      <c r="O129" s="1" t="s">
        <v>31</v>
      </c>
      <c r="P129" s="2">
        <v>45726</v>
      </c>
      <c r="Q129" s="1" t="s">
        <v>420</v>
      </c>
      <c r="R129" s="1" t="s">
        <v>421</v>
      </c>
      <c r="S129" s="1" t="s">
        <v>34</v>
      </c>
      <c r="T129" s="1" t="s">
        <v>35</v>
      </c>
      <c r="U129" s="1" t="s">
        <v>82</v>
      </c>
      <c r="V129" s="1" t="s">
        <v>37</v>
      </c>
      <c r="W129">
        <v>2</v>
      </c>
    </row>
    <row r="130" spans="1:23" x14ac:dyDescent="0.3">
      <c r="A130" s="1" t="s">
        <v>422</v>
      </c>
      <c r="B130">
        <v>2</v>
      </c>
      <c r="C130">
        <v>16.989999999999998</v>
      </c>
      <c r="D130">
        <v>29.18</v>
      </c>
      <c r="E130" s="1" t="s">
        <v>248</v>
      </c>
      <c r="F130" s="1" t="s">
        <v>40</v>
      </c>
      <c r="G130">
        <v>24</v>
      </c>
      <c r="H130" s="1" t="s">
        <v>58</v>
      </c>
      <c r="I130" s="1" t="s">
        <v>59</v>
      </c>
      <c r="J130">
        <v>5</v>
      </c>
      <c r="K130">
        <v>16.989999999999998</v>
      </c>
      <c r="L130" s="1" t="s">
        <v>60</v>
      </c>
      <c r="M130" s="1" t="s">
        <v>61</v>
      </c>
      <c r="N130" s="1" t="s">
        <v>62</v>
      </c>
      <c r="O130" s="1" t="s">
        <v>31</v>
      </c>
      <c r="P130" s="2">
        <v>45726</v>
      </c>
      <c r="Q130" s="1" t="s">
        <v>420</v>
      </c>
      <c r="R130" s="1" t="s">
        <v>423</v>
      </c>
      <c r="S130" s="1" t="s">
        <v>105</v>
      </c>
      <c r="T130" s="1" t="s">
        <v>35</v>
      </c>
      <c r="U130" s="1" t="s">
        <v>82</v>
      </c>
      <c r="V130" s="1" t="s">
        <v>67</v>
      </c>
      <c r="W130">
        <v>3</v>
      </c>
    </row>
    <row r="131" spans="1:23" x14ac:dyDescent="0.3">
      <c r="A131" s="1" t="s">
        <v>424</v>
      </c>
      <c r="B131">
        <v>2</v>
      </c>
      <c r="C131">
        <v>18.989999999999998</v>
      </c>
      <c r="D131">
        <v>32.78</v>
      </c>
      <c r="E131" s="1" t="s">
        <v>348</v>
      </c>
      <c r="F131" s="1" t="s">
        <v>40</v>
      </c>
      <c r="G131">
        <v>13</v>
      </c>
      <c r="H131" s="1" t="s">
        <v>58</v>
      </c>
      <c r="I131" s="1" t="s">
        <v>97</v>
      </c>
      <c r="J131">
        <v>6</v>
      </c>
      <c r="K131">
        <v>18.989999999999998</v>
      </c>
      <c r="L131" s="1" t="s">
        <v>60</v>
      </c>
      <c r="M131" s="1" t="s">
        <v>43</v>
      </c>
      <c r="N131" s="1" t="s">
        <v>44</v>
      </c>
      <c r="O131" s="1" t="s">
        <v>31</v>
      </c>
      <c r="P131" s="2">
        <v>45823</v>
      </c>
      <c r="Q131" s="1" t="s">
        <v>425</v>
      </c>
      <c r="R131" s="1" t="s">
        <v>426</v>
      </c>
      <c r="S131" s="1" t="s">
        <v>47</v>
      </c>
      <c r="T131" s="1" t="s">
        <v>35</v>
      </c>
      <c r="U131" s="1" t="s">
        <v>55</v>
      </c>
      <c r="V131" s="1" t="s">
        <v>100</v>
      </c>
      <c r="W131">
        <v>3.2</v>
      </c>
    </row>
    <row r="132" spans="1:23" x14ac:dyDescent="0.3">
      <c r="A132" s="1" t="s">
        <v>427</v>
      </c>
      <c r="B132">
        <v>3</v>
      </c>
      <c r="C132">
        <v>34.99</v>
      </c>
      <c r="D132">
        <v>84.73</v>
      </c>
      <c r="E132" s="1" t="s">
        <v>325</v>
      </c>
      <c r="F132" s="1" t="s">
        <v>40</v>
      </c>
      <c r="G132">
        <v>6</v>
      </c>
      <c r="H132" s="1" t="s">
        <v>96</v>
      </c>
      <c r="I132" s="1" t="s">
        <v>85</v>
      </c>
      <c r="J132">
        <v>12.5</v>
      </c>
      <c r="K132">
        <v>34.99</v>
      </c>
      <c r="L132" s="1" t="s">
        <v>60</v>
      </c>
      <c r="M132" s="1" t="s">
        <v>29</v>
      </c>
      <c r="N132" s="1" t="s">
        <v>30</v>
      </c>
      <c r="O132" s="1" t="s">
        <v>31</v>
      </c>
      <c r="P132" s="2">
        <v>45778</v>
      </c>
      <c r="Q132" s="1" t="s">
        <v>428</v>
      </c>
      <c r="R132" s="1" t="s">
        <v>429</v>
      </c>
      <c r="S132" s="1" t="s">
        <v>47</v>
      </c>
      <c r="T132" s="1" t="s">
        <v>35</v>
      </c>
      <c r="U132" s="1" t="s">
        <v>66</v>
      </c>
      <c r="V132" s="1" t="s">
        <v>89</v>
      </c>
      <c r="W132">
        <v>2.4</v>
      </c>
    </row>
    <row r="133" spans="1:23" x14ac:dyDescent="0.3">
      <c r="A133" s="1" t="s">
        <v>430</v>
      </c>
      <c r="B133">
        <v>2</v>
      </c>
      <c r="C133">
        <v>18.989999999999998</v>
      </c>
      <c r="D133">
        <v>32.78</v>
      </c>
      <c r="E133" s="1" t="s">
        <v>107</v>
      </c>
      <c r="F133" s="1" t="s">
        <v>40</v>
      </c>
      <c r="G133">
        <v>13</v>
      </c>
      <c r="H133" s="1" t="s">
        <v>96</v>
      </c>
      <c r="I133" s="1" t="s">
        <v>97</v>
      </c>
      <c r="J133">
        <v>6</v>
      </c>
      <c r="K133">
        <v>18.989999999999998</v>
      </c>
      <c r="L133" s="1" t="s">
        <v>60</v>
      </c>
      <c r="M133" s="1" t="s">
        <v>43</v>
      </c>
      <c r="N133" s="1" t="s">
        <v>44</v>
      </c>
      <c r="O133" s="1" t="s">
        <v>31</v>
      </c>
      <c r="P133" s="2">
        <v>45823</v>
      </c>
      <c r="Q133" s="1" t="s">
        <v>335</v>
      </c>
      <c r="R133" s="1" t="s">
        <v>336</v>
      </c>
      <c r="S133" s="1" t="s">
        <v>34</v>
      </c>
      <c r="T133" s="1" t="s">
        <v>35</v>
      </c>
      <c r="U133" s="1" t="s">
        <v>48</v>
      </c>
      <c r="V133" s="1" t="s">
        <v>100</v>
      </c>
      <c r="W133">
        <v>3.2</v>
      </c>
    </row>
    <row r="134" spans="1:23" x14ac:dyDescent="0.3">
      <c r="A134" s="1" t="s">
        <v>431</v>
      </c>
      <c r="B134">
        <v>2</v>
      </c>
      <c r="C134">
        <v>30.99</v>
      </c>
      <c r="D134">
        <v>53.78</v>
      </c>
      <c r="E134" s="1" t="s">
        <v>260</v>
      </c>
      <c r="F134" s="1" t="s">
        <v>51</v>
      </c>
      <c r="G134">
        <v>0</v>
      </c>
      <c r="H134" s="1" t="s">
        <v>26</v>
      </c>
      <c r="I134" s="1" t="s">
        <v>42</v>
      </c>
      <c r="J134">
        <v>10.5</v>
      </c>
      <c r="K134">
        <v>30.99</v>
      </c>
      <c r="L134" s="1" t="s">
        <v>28</v>
      </c>
      <c r="M134" s="1" t="s">
        <v>43</v>
      </c>
      <c r="N134" s="1" t="s">
        <v>44</v>
      </c>
      <c r="O134" s="1" t="s">
        <v>31</v>
      </c>
      <c r="P134" s="2">
        <v>45823</v>
      </c>
      <c r="Q134" s="1" t="s">
        <v>219</v>
      </c>
      <c r="R134" s="1" t="s">
        <v>220</v>
      </c>
      <c r="S134" s="1" t="s">
        <v>54</v>
      </c>
      <c r="T134" s="1" t="s">
        <v>35</v>
      </c>
      <c r="U134" s="1" t="s">
        <v>55</v>
      </c>
      <c r="V134" s="1" t="s">
        <v>37</v>
      </c>
      <c r="W134">
        <v>2</v>
      </c>
    </row>
    <row r="135" spans="1:23" x14ac:dyDescent="0.3">
      <c r="A135" s="1" t="s">
        <v>432</v>
      </c>
      <c r="B135">
        <v>1</v>
      </c>
      <c r="C135">
        <v>21.99</v>
      </c>
      <c r="D135">
        <v>21.99</v>
      </c>
      <c r="E135" s="1" t="s">
        <v>113</v>
      </c>
      <c r="F135" s="1" t="s">
        <v>40</v>
      </c>
      <c r="G135">
        <v>3</v>
      </c>
      <c r="H135" s="1" t="s">
        <v>26</v>
      </c>
      <c r="I135" s="1" t="s">
        <v>27</v>
      </c>
      <c r="J135">
        <v>7</v>
      </c>
      <c r="K135">
        <v>21.99</v>
      </c>
      <c r="L135" s="1" t="s">
        <v>28</v>
      </c>
      <c r="M135" s="1" t="s">
        <v>29</v>
      </c>
      <c r="N135" s="1" t="s">
        <v>30</v>
      </c>
      <c r="O135" s="1" t="s">
        <v>31</v>
      </c>
      <c r="P135" s="2">
        <v>45778</v>
      </c>
      <c r="Q135" s="1" t="s">
        <v>80</v>
      </c>
      <c r="R135" s="1" t="s">
        <v>229</v>
      </c>
      <c r="S135" s="1" t="s">
        <v>34</v>
      </c>
      <c r="T135" s="1" t="s">
        <v>35</v>
      </c>
      <c r="U135" s="1" t="s">
        <v>36</v>
      </c>
      <c r="V135" s="1" t="s">
        <v>37</v>
      </c>
      <c r="W135">
        <v>2</v>
      </c>
    </row>
    <row r="136" spans="1:23" x14ac:dyDescent="0.3">
      <c r="A136" s="1" t="s">
        <v>433</v>
      </c>
      <c r="B136">
        <v>2</v>
      </c>
      <c r="C136">
        <v>27.99</v>
      </c>
      <c r="D136">
        <v>48.38</v>
      </c>
      <c r="E136" s="1" t="s">
        <v>224</v>
      </c>
      <c r="F136" s="1" t="s">
        <v>40</v>
      </c>
      <c r="G136">
        <v>3</v>
      </c>
      <c r="H136" s="1" t="s">
        <v>58</v>
      </c>
      <c r="I136" s="1" t="s">
        <v>75</v>
      </c>
      <c r="J136">
        <v>9</v>
      </c>
      <c r="K136">
        <v>27.99</v>
      </c>
      <c r="L136" s="1" t="s">
        <v>28</v>
      </c>
      <c r="M136" s="1" t="s">
        <v>61</v>
      </c>
      <c r="N136" s="1" t="s">
        <v>62</v>
      </c>
      <c r="O136" s="1" t="s">
        <v>31</v>
      </c>
      <c r="P136" s="2">
        <v>45726</v>
      </c>
      <c r="Q136" s="1" t="s">
        <v>305</v>
      </c>
      <c r="R136" s="1" t="s">
        <v>306</v>
      </c>
      <c r="S136" s="1" t="s">
        <v>47</v>
      </c>
      <c r="T136" s="1" t="s">
        <v>35</v>
      </c>
      <c r="U136" s="1" t="s">
        <v>66</v>
      </c>
      <c r="V136" s="1" t="s">
        <v>37</v>
      </c>
      <c r="W136">
        <v>2</v>
      </c>
    </row>
    <row r="137" spans="1:23" x14ac:dyDescent="0.3">
      <c r="A137" s="1" t="s">
        <v>434</v>
      </c>
      <c r="B137">
        <v>1</v>
      </c>
      <c r="C137">
        <v>34.99</v>
      </c>
      <c r="D137">
        <v>34.99</v>
      </c>
      <c r="E137" s="1" t="s">
        <v>435</v>
      </c>
      <c r="F137" s="1" t="s">
        <v>51</v>
      </c>
      <c r="G137">
        <v>0</v>
      </c>
      <c r="H137" s="1" t="s">
        <v>41</v>
      </c>
      <c r="I137" s="1" t="s">
        <v>85</v>
      </c>
      <c r="J137">
        <v>12.5</v>
      </c>
      <c r="K137">
        <v>34.99</v>
      </c>
      <c r="L137" s="1" t="s">
        <v>60</v>
      </c>
      <c r="M137" s="1" t="s">
        <v>29</v>
      </c>
      <c r="N137" s="1" t="s">
        <v>30</v>
      </c>
      <c r="O137" s="1" t="s">
        <v>31</v>
      </c>
      <c r="P137" s="2">
        <v>45778</v>
      </c>
      <c r="Q137" s="1" t="s">
        <v>189</v>
      </c>
      <c r="R137" s="1" t="s">
        <v>190</v>
      </c>
      <c r="S137" s="1" t="s">
        <v>65</v>
      </c>
      <c r="T137" s="1" t="s">
        <v>35</v>
      </c>
      <c r="U137" s="1" t="s">
        <v>48</v>
      </c>
      <c r="V137" s="1" t="s">
        <v>89</v>
      </c>
      <c r="W137">
        <v>2.4</v>
      </c>
    </row>
    <row r="138" spans="1:23" x14ac:dyDescent="0.3">
      <c r="A138" s="1" t="s">
        <v>436</v>
      </c>
      <c r="B138">
        <v>1</v>
      </c>
      <c r="C138">
        <v>16.989999999999998</v>
      </c>
      <c r="D138">
        <v>16.989999999999998</v>
      </c>
      <c r="E138" s="1" t="s">
        <v>338</v>
      </c>
      <c r="F138" s="1" t="s">
        <v>51</v>
      </c>
      <c r="G138">
        <v>0</v>
      </c>
      <c r="H138" s="1" t="s">
        <v>58</v>
      </c>
      <c r="I138" s="1" t="s">
        <v>59</v>
      </c>
      <c r="J138">
        <v>5</v>
      </c>
      <c r="K138">
        <v>16.989999999999998</v>
      </c>
      <c r="L138" s="1" t="s">
        <v>60</v>
      </c>
      <c r="M138" s="1" t="s">
        <v>61</v>
      </c>
      <c r="N138" s="1" t="s">
        <v>62</v>
      </c>
      <c r="O138" s="1" t="s">
        <v>31</v>
      </c>
      <c r="P138" s="2">
        <v>45726</v>
      </c>
      <c r="Q138" s="1" t="s">
        <v>437</v>
      </c>
      <c r="R138" s="1" t="s">
        <v>438</v>
      </c>
      <c r="S138" s="1" t="s">
        <v>88</v>
      </c>
      <c r="T138" s="1" t="s">
        <v>35</v>
      </c>
      <c r="U138" s="1" t="s">
        <v>36</v>
      </c>
      <c r="V138" s="1" t="s">
        <v>67</v>
      </c>
      <c r="W138">
        <v>3</v>
      </c>
    </row>
    <row r="139" spans="1:23" x14ac:dyDescent="0.3">
      <c r="A139" s="1" t="s">
        <v>439</v>
      </c>
      <c r="B139">
        <v>1</v>
      </c>
      <c r="C139">
        <v>27.99</v>
      </c>
      <c r="D139">
        <v>27.99</v>
      </c>
      <c r="E139" s="1" t="s">
        <v>128</v>
      </c>
      <c r="F139" s="1" t="s">
        <v>40</v>
      </c>
      <c r="G139">
        <v>3</v>
      </c>
      <c r="H139" s="1" t="s">
        <v>41</v>
      </c>
      <c r="I139" s="1" t="s">
        <v>75</v>
      </c>
      <c r="J139">
        <v>9</v>
      </c>
      <c r="K139">
        <v>27.99</v>
      </c>
      <c r="L139" s="1" t="s">
        <v>28</v>
      </c>
      <c r="M139" s="1" t="s">
        <v>61</v>
      </c>
      <c r="N139" s="1" t="s">
        <v>62</v>
      </c>
      <c r="O139" s="1" t="s">
        <v>31</v>
      </c>
      <c r="P139" s="2">
        <v>45726</v>
      </c>
      <c r="Q139" s="1" t="s">
        <v>373</v>
      </c>
      <c r="R139" s="1" t="s">
        <v>374</v>
      </c>
      <c r="S139" s="1" t="s">
        <v>65</v>
      </c>
      <c r="T139" s="1" t="s">
        <v>35</v>
      </c>
      <c r="U139" s="1" t="s">
        <v>82</v>
      </c>
      <c r="V139" s="1" t="s">
        <v>37</v>
      </c>
      <c r="W139">
        <v>2</v>
      </c>
    </row>
    <row r="140" spans="1:23" x14ac:dyDescent="0.3">
      <c r="A140" s="1" t="s">
        <v>440</v>
      </c>
      <c r="B140">
        <v>3</v>
      </c>
      <c r="C140">
        <v>21.99</v>
      </c>
      <c r="D140">
        <v>52.48</v>
      </c>
      <c r="E140" s="1" t="s">
        <v>214</v>
      </c>
      <c r="F140" s="1" t="s">
        <v>25</v>
      </c>
      <c r="G140">
        <v>2</v>
      </c>
      <c r="H140" s="1" t="s">
        <v>58</v>
      </c>
      <c r="I140" s="1" t="s">
        <v>27</v>
      </c>
      <c r="J140">
        <v>7</v>
      </c>
      <c r="K140">
        <v>21.99</v>
      </c>
      <c r="L140" s="1" t="s">
        <v>28</v>
      </c>
      <c r="M140" s="1" t="s">
        <v>29</v>
      </c>
      <c r="N140" s="1" t="s">
        <v>30</v>
      </c>
      <c r="O140" s="1" t="s">
        <v>31</v>
      </c>
      <c r="P140" s="2">
        <v>45778</v>
      </c>
      <c r="Q140" s="1" t="s">
        <v>339</v>
      </c>
      <c r="R140" s="1" t="s">
        <v>441</v>
      </c>
      <c r="S140" s="1" t="s">
        <v>105</v>
      </c>
      <c r="T140" s="1" t="s">
        <v>35</v>
      </c>
      <c r="U140" s="1" t="s">
        <v>82</v>
      </c>
      <c r="V140" s="1" t="s">
        <v>37</v>
      </c>
      <c r="W140">
        <v>2</v>
      </c>
    </row>
    <row r="141" spans="1:23" x14ac:dyDescent="0.3">
      <c r="A141" s="1" t="s">
        <v>442</v>
      </c>
      <c r="B141">
        <v>1</v>
      </c>
      <c r="C141">
        <v>27.99</v>
      </c>
      <c r="D141">
        <v>27.99</v>
      </c>
      <c r="E141" s="1" t="s">
        <v>143</v>
      </c>
      <c r="F141" s="1" t="s">
        <v>70</v>
      </c>
      <c r="G141">
        <v>0</v>
      </c>
      <c r="H141" s="1" t="s">
        <v>41</v>
      </c>
      <c r="I141" s="1" t="s">
        <v>75</v>
      </c>
      <c r="J141">
        <v>9</v>
      </c>
      <c r="K141">
        <v>27.99</v>
      </c>
      <c r="L141" s="1" t="s">
        <v>28</v>
      </c>
      <c r="M141" s="1" t="s">
        <v>61</v>
      </c>
      <c r="N141" s="1" t="s">
        <v>62</v>
      </c>
      <c r="O141" s="1" t="s">
        <v>31</v>
      </c>
      <c r="P141" s="2">
        <v>45726</v>
      </c>
      <c r="Q141" s="1" t="s">
        <v>103</v>
      </c>
      <c r="R141" s="1" t="s">
        <v>104</v>
      </c>
      <c r="S141" s="1" t="s">
        <v>105</v>
      </c>
      <c r="T141" s="1" t="s">
        <v>35</v>
      </c>
      <c r="U141" s="1" t="s">
        <v>55</v>
      </c>
      <c r="V141" s="1" t="s">
        <v>37</v>
      </c>
      <c r="W141">
        <v>2</v>
      </c>
    </row>
    <row r="142" spans="1:23" x14ac:dyDescent="0.3">
      <c r="A142" s="1" t="s">
        <v>443</v>
      </c>
      <c r="B142">
        <v>1</v>
      </c>
      <c r="C142">
        <v>30.99</v>
      </c>
      <c r="D142">
        <v>30.99</v>
      </c>
      <c r="E142" s="1" t="s">
        <v>168</v>
      </c>
      <c r="F142" s="1" t="s">
        <v>40</v>
      </c>
      <c r="G142">
        <v>3</v>
      </c>
      <c r="H142" s="1" t="s">
        <v>58</v>
      </c>
      <c r="I142" s="1" t="s">
        <v>42</v>
      </c>
      <c r="J142">
        <v>10.5</v>
      </c>
      <c r="K142">
        <v>30.99</v>
      </c>
      <c r="L142" s="1" t="s">
        <v>28</v>
      </c>
      <c r="M142" s="1" t="s">
        <v>43</v>
      </c>
      <c r="N142" s="1" t="s">
        <v>44</v>
      </c>
      <c r="O142" s="1" t="s">
        <v>31</v>
      </c>
      <c r="P142" s="2">
        <v>45823</v>
      </c>
      <c r="Q142" s="1" t="s">
        <v>157</v>
      </c>
      <c r="R142" s="1" t="s">
        <v>158</v>
      </c>
      <c r="S142" s="1" t="s">
        <v>34</v>
      </c>
      <c r="T142" s="1" t="s">
        <v>35</v>
      </c>
      <c r="U142" s="1" t="s">
        <v>82</v>
      </c>
      <c r="V142" s="1" t="s">
        <v>37</v>
      </c>
      <c r="W142">
        <v>2</v>
      </c>
    </row>
    <row r="143" spans="1:23" x14ac:dyDescent="0.3">
      <c r="A143" s="1" t="s">
        <v>444</v>
      </c>
      <c r="B143">
        <v>1</v>
      </c>
      <c r="C143">
        <v>27.99</v>
      </c>
      <c r="D143">
        <v>27.99</v>
      </c>
      <c r="E143" s="1" t="s">
        <v>445</v>
      </c>
      <c r="F143" s="1" t="s">
        <v>40</v>
      </c>
      <c r="G143">
        <v>3</v>
      </c>
      <c r="H143" s="1" t="s">
        <v>96</v>
      </c>
      <c r="I143" s="1" t="s">
        <v>75</v>
      </c>
      <c r="J143">
        <v>9</v>
      </c>
      <c r="K143">
        <v>27.99</v>
      </c>
      <c r="L143" s="1" t="s">
        <v>28</v>
      </c>
      <c r="M143" s="1" t="s">
        <v>61</v>
      </c>
      <c r="N143" s="1" t="s">
        <v>62</v>
      </c>
      <c r="O143" s="1" t="s">
        <v>31</v>
      </c>
      <c r="P143" s="2">
        <v>45726</v>
      </c>
      <c r="Q143" s="1" t="s">
        <v>302</v>
      </c>
      <c r="R143" s="1" t="s">
        <v>303</v>
      </c>
      <c r="S143" s="1" t="s">
        <v>105</v>
      </c>
      <c r="T143" s="1" t="s">
        <v>35</v>
      </c>
      <c r="U143" s="1" t="s">
        <v>55</v>
      </c>
      <c r="V143" s="1" t="s">
        <v>37</v>
      </c>
      <c r="W143">
        <v>2</v>
      </c>
    </row>
    <row r="144" spans="1:23" x14ac:dyDescent="0.3">
      <c r="A144" s="1" t="s">
        <v>446</v>
      </c>
      <c r="B144">
        <v>1</v>
      </c>
      <c r="C144">
        <v>34.99</v>
      </c>
      <c r="D144">
        <v>34.99</v>
      </c>
      <c r="E144" s="1" t="s">
        <v>447</v>
      </c>
      <c r="F144" s="1" t="s">
        <v>51</v>
      </c>
      <c r="G144">
        <v>0</v>
      </c>
      <c r="H144" s="1" t="s">
        <v>58</v>
      </c>
      <c r="I144" s="1" t="s">
        <v>85</v>
      </c>
      <c r="J144">
        <v>12.5</v>
      </c>
      <c r="K144">
        <v>34.99</v>
      </c>
      <c r="L144" s="1" t="s">
        <v>60</v>
      </c>
      <c r="M144" s="1" t="s">
        <v>29</v>
      </c>
      <c r="N144" s="1" t="s">
        <v>30</v>
      </c>
      <c r="O144" s="1" t="s">
        <v>31</v>
      </c>
      <c r="P144" s="2">
        <v>45778</v>
      </c>
      <c r="Q144" s="1" t="s">
        <v>396</v>
      </c>
      <c r="R144" s="1" t="s">
        <v>397</v>
      </c>
      <c r="S144" s="1" t="s">
        <v>34</v>
      </c>
      <c r="T144" s="1" t="s">
        <v>35</v>
      </c>
      <c r="U144" s="1" t="s">
        <v>82</v>
      </c>
      <c r="V144" s="1" t="s">
        <v>89</v>
      </c>
      <c r="W144">
        <v>2.4</v>
      </c>
    </row>
    <row r="145" spans="1:23" x14ac:dyDescent="0.3">
      <c r="A145" s="1" t="s">
        <v>448</v>
      </c>
      <c r="B145">
        <v>1</v>
      </c>
      <c r="C145">
        <v>16.989999999999998</v>
      </c>
      <c r="D145">
        <v>16.989999999999998</v>
      </c>
      <c r="E145" s="1" t="s">
        <v>449</v>
      </c>
      <c r="F145" s="1" t="s">
        <v>40</v>
      </c>
      <c r="G145">
        <v>16</v>
      </c>
      <c r="H145" s="1" t="s">
        <v>58</v>
      </c>
      <c r="I145" s="1" t="s">
        <v>59</v>
      </c>
      <c r="J145">
        <v>5</v>
      </c>
      <c r="K145">
        <v>16.989999999999998</v>
      </c>
      <c r="L145" s="1" t="s">
        <v>60</v>
      </c>
      <c r="M145" s="1" t="s">
        <v>61</v>
      </c>
      <c r="N145" s="1" t="s">
        <v>62</v>
      </c>
      <c r="O145" s="1" t="s">
        <v>31</v>
      </c>
      <c r="P145" s="2">
        <v>45726</v>
      </c>
      <c r="Q145" s="1" t="s">
        <v>182</v>
      </c>
      <c r="R145" s="1" t="s">
        <v>183</v>
      </c>
      <c r="S145" s="1" t="s">
        <v>47</v>
      </c>
      <c r="T145" s="1" t="s">
        <v>35</v>
      </c>
      <c r="U145" s="1" t="s">
        <v>48</v>
      </c>
      <c r="V145" s="1" t="s">
        <v>67</v>
      </c>
      <c r="W145">
        <v>3</v>
      </c>
    </row>
    <row r="146" spans="1:23" x14ac:dyDescent="0.3">
      <c r="A146" s="1" t="s">
        <v>450</v>
      </c>
      <c r="B146">
        <v>1</v>
      </c>
      <c r="C146">
        <v>34.99</v>
      </c>
      <c r="D146">
        <v>34.99</v>
      </c>
      <c r="E146" s="1" t="s">
        <v>244</v>
      </c>
      <c r="F146" s="1" t="s">
        <v>188</v>
      </c>
      <c r="G146">
        <v>0</v>
      </c>
      <c r="H146" s="1" t="s">
        <v>58</v>
      </c>
      <c r="I146" s="1" t="s">
        <v>85</v>
      </c>
      <c r="J146">
        <v>12.5</v>
      </c>
      <c r="K146">
        <v>34.99</v>
      </c>
      <c r="L146" s="1" t="s">
        <v>60</v>
      </c>
      <c r="M146" s="1" t="s">
        <v>29</v>
      </c>
      <c r="N146" s="1" t="s">
        <v>30</v>
      </c>
      <c r="O146" s="1" t="s">
        <v>31</v>
      </c>
      <c r="P146" s="2">
        <v>45778</v>
      </c>
      <c r="Q146" s="1" t="s">
        <v>147</v>
      </c>
      <c r="R146" s="1" t="s">
        <v>400</v>
      </c>
      <c r="S146" s="1" t="s">
        <v>47</v>
      </c>
      <c r="T146" s="1" t="s">
        <v>35</v>
      </c>
      <c r="U146" s="1" t="s">
        <v>36</v>
      </c>
      <c r="V146" s="1" t="s">
        <v>89</v>
      </c>
      <c r="W146">
        <v>2.4</v>
      </c>
    </row>
    <row r="147" spans="1:23" x14ac:dyDescent="0.3">
      <c r="A147" s="1" t="s">
        <v>451</v>
      </c>
      <c r="B147">
        <v>1</v>
      </c>
      <c r="C147">
        <v>16.989999999999998</v>
      </c>
      <c r="D147">
        <v>16.989999999999998</v>
      </c>
      <c r="E147" s="1" t="s">
        <v>452</v>
      </c>
      <c r="F147" s="1" t="s">
        <v>40</v>
      </c>
      <c r="G147">
        <v>17</v>
      </c>
      <c r="H147" s="1" t="s">
        <v>41</v>
      </c>
      <c r="I147" s="1" t="s">
        <v>59</v>
      </c>
      <c r="J147">
        <v>5</v>
      </c>
      <c r="K147">
        <v>16.989999999999998</v>
      </c>
      <c r="L147" s="1" t="s">
        <v>60</v>
      </c>
      <c r="M147" s="1" t="s">
        <v>61</v>
      </c>
      <c r="N147" s="1" t="s">
        <v>62</v>
      </c>
      <c r="O147" s="1" t="s">
        <v>31</v>
      </c>
      <c r="P147" s="2">
        <v>45726</v>
      </c>
      <c r="Q147" s="1" t="s">
        <v>231</v>
      </c>
      <c r="R147" s="1" t="s">
        <v>361</v>
      </c>
      <c r="S147" s="1" t="s">
        <v>47</v>
      </c>
      <c r="T147" s="1" t="s">
        <v>35</v>
      </c>
      <c r="U147" s="1" t="s">
        <v>66</v>
      </c>
      <c r="V147" s="1" t="s">
        <v>67</v>
      </c>
      <c r="W147">
        <v>3</v>
      </c>
    </row>
    <row r="148" spans="1:23" x14ac:dyDescent="0.3">
      <c r="A148" s="1" t="s">
        <v>453</v>
      </c>
      <c r="B148">
        <v>1</v>
      </c>
      <c r="C148">
        <v>21.99</v>
      </c>
      <c r="D148">
        <v>21.99</v>
      </c>
      <c r="E148" s="1" t="s">
        <v>187</v>
      </c>
      <c r="F148" s="1" t="s">
        <v>51</v>
      </c>
      <c r="G148">
        <v>0</v>
      </c>
      <c r="H148" s="1" t="s">
        <v>26</v>
      </c>
      <c r="I148" s="1" t="s">
        <v>27</v>
      </c>
      <c r="J148">
        <v>7</v>
      </c>
      <c r="K148">
        <v>21.99</v>
      </c>
      <c r="L148" s="1" t="s">
        <v>28</v>
      </c>
      <c r="M148" s="1" t="s">
        <v>29</v>
      </c>
      <c r="N148" s="1" t="s">
        <v>30</v>
      </c>
      <c r="O148" s="1" t="s">
        <v>31</v>
      </c>
      <c r="P148" s="2">
        <v>45778</v>
      </c>
      <c r="Q148" s="1" t="s">
        <v>71</v>
      </c>
      <c r="R148" s="1" t="s">
        <v>454</v>
      </c>
      <c r="S148" s="1" t="s">
        <v>47</v>
      </c>
      <c r="T148" s="1" t="s">
        <v>35</v>
      </c>
      <c r="U148" s="1" t="s">
        <v>55</v>
      </c>
      <c r="V148" s="1" t="s">
        <v>37</v>
      </c>
      <c r="W148">
        <v>2</v>
      </c>
    </row>
    <row r="149" spans="1:23" x14ac:dyDescent="0.3">
      <c r="A149" s="1" t="s">
        <v>455</v>
      </c>
      <c r="B149">
        <v>1</v>
      </c>
      <c r="C149">
        <v>30.99</v>
      </c>
      <c r="D149">
        <v>30.99</v>
      </c>
      <c r="E149" s="1" t="s">
        <v>334</v>
      </c>
      <c r="F149" s="1" t="s">
        <v>25</v>
      </c>
      <c r="G149">
        <v>2</v>
      </c>
      <c r="H149" s="1" t="s">
        <v>96</v>
      </c>
      <c r="I149" s="1" t="s">
        <v>42</v>
      </c>
      <c r="J149">
        <v>10.5</v>
      </c>
      <c r="K149">
        <v>30.99</v>
      </c>
      <c r="L149" s="1" t="s">
        <v>28</v>
      </c>
      <c r="M149" s="1" t="s">
        <v>43</v>
      </c>
      <c r="N149" s="1" t="s">
        <v>44</v>
      </c>
      <c r="O149" s="1" t="s">
        <v>31</v>
      </c>
      <c r="P149" s="2">
        <v>45823</v>
      </c>
      <c r="Q149" s="1" t="s">
        <v>182</v>
      </c>
      <c r="R149" s="1" t="s">
        <v>183</v>
      </c>
      <c r="S149" s="1" t="s">
        <v>47</v>
      </c>
      <c r="T149" s="1" t="s">
        <v>35</v>
      </c>
      <c r="U149" s="1" t="s">
        <v>48</v>
      </c>
      <c r="V149" s="1" t="s">
        <v>37</v>
      </c>
      <c r="W149">
        <v>2</v>
      </c>
    </row>
    <row r="150" spans="1:23" x14ac:dyDescent="0.3">
      <c r="A150" s="1" t="s">
        <v>456</v>
      </c>
      <c r="B150">
        <v>1</v>
      </c>
      <c r="C150">
        <v>16.989999999999998</v>
      </c>
      <c r="D150">
        <v>16.989999999999998</v>
      </c>
      <c r="E150" s="1" t="s">
        <v>457</v>
      </c>
      <c r="F150" s="1" t="s">
        <v>40</v>
      </c>
      <c r="G150">
        <v>16</v>
      </c>
      <c r="H150" s="1" t="s">
        <v>58</v>
      </c>
      <c r="I150" s="1" t="s">
        <v>59</v>
      </c>
      <c r="J150">
        <v>5</v>
      </c>
      <c r="K150">
        <v>16.989999999999998</v>
      </c>
      <c r="L150" s="1" t="s">
        <v>60</v>
      </c>
      <c r="M150" s="1" t="s">
        <v>61</v>
      </c>
      <c r="N150" s="1" t="s">
        <v>62</v>
      </c>
      <c r="O150" s="1" t="s">
        <v>31</v>
      </c>
      <c r="P150" s="2">
        <v>45726</v>
      </c>
      <c r="Q150" s="1" t="s">
        <v>396</v>
      </c>
      <c r="R150" s="1" t="s">
        <v>397</v>
      </c>
      <c r="S150" s="1" t="s">
        <v>34</v>
      </c>
      <c r="T150" s="1" t="s">
        <v>35</v>
      </c>
      <c r="U150" s="1" t="s">
        <v>82</v>
      </c>
      <c r="V150" s="1" t="s">
        <v>67</v>
      </c>
      <c r="W150">
        <v>3</v>
      </c>
    </row>
    <row r="151" spans="1:23" x14ac:dyDescent="0.3">
      <c r="A151" s="1" t="s">
        <v>458</v>
      </c>
      <c r="B151">
        <v>1</v>
      </c>
      <c r="C151">
        <v>16.989999999999998</v>
      </c>
      <c r="D151">
        <v>16.989999999999998</v>
      </c>
      <c r="E151" s="1" t="s">
        <v>281</v>
      </c>
      <c r="F151" s="1" t="s">
        <v>40</v>
      </c>
      <c r="G151">
        <v>20</v>
      </c>
      <c r="H151" s="1" t="s">
        <v>58</v>
      </c>
      <c r="I151" s="1" t="s">
        <v>59</v>
      </c>
      <c r="J151">
        <v>5</v>
      </c>
      <c r="K151">
        <v>16.989999999999998</v>
      </c>
      <c r="L151" s="1" t="s">
        <v>60</v>
      </c>
      <c r="M151" s="1" t="s">
        <v>61</v>
      </c>
      <c r="N151" s="1" t="s">
        <v>62</v>
      </c>
      <c r="O151" s="1" t="s">
        <v>31</v>
      </c>
      <c r="P151" s="2">
        <v>45726</v>
      </c>
      <c r="Q151" s="1" t="s">
        <v>459</v>
      </c>
      <c r="R151" s="1" t="s">
        <v>460</v>
      </c>
      <c r="S151" s="1" t="s">
        <v>88</v>
      </c>
      <c r="T151" s="1" t="s">
        <v>35</v>
      </c>
      <c r="U151" s="1" t="s">
        <v>55</v>
      </c>
      <c r="V151" s="1" t="s">
        <v>67</v>
      </c>
      <c r="W151">
        <v>3</v>
      </c>
    </row>
    <row r="152" spans="1:23" x14ac:dyDescent="0.3">
      <c r="A152" s="1" t="s">
        <v>461</v>
      </c>
      <c r="B152">
        <v>1</v>
      </c>
      <c r="C152">
        <v>18.989999999999998</v>
      </c>
      <c r="D152">
        <v>18.989999999999998</v>
      </c>
      <c r="E152" s="1" t="s">
        <v>419</v>
      </c>
      <c r="F152" s="1" t="s">
        <v>40</v>
      </c>
      <c r="G152">
        <v>13</v>
      </c>
      <c r="H152" s="1" t="s">
        <v>26</v>
      </c>
      <c r="I152" s="1" t="s">
        <v>97</v>
      </c>
      <c r="J152">
        <v>6</v>
      </c>
      <c r="K152">
        <v>18.989999999999998</v>
      </c>
      <c r="L152" s="1" t="s">
        <v>60</v>
      </c>
      <c r="M152" s="1" t="s">
        <v>43</v>
      </c>
      <c r="N152" s="1" t="s">
        <v>44</v>
      </c>
      <c r="O152" s="1" t="s">
        <v>31</v>
      </c>
      <c r="P152" s="2">
        <v>45823</v>
      </c>
      <c r="Q152" s="1" t="s">
        <v>462</v>
      </c>
      <c r="R152" s="1" t="s">
        <v>463</v>
      </c>
      <c r="S152" s="1" t="s">
        <v>54</v>
      </c>
      <c r="T152" s="1" t="s">
        <v>35</v>
      </c>
      <c r="U152" s="1" t="s">
        <v>36</v>
      </c>
      <c r="V152" s="1" t="s">
        <v>100</v>
      </c>
      <c r="W152">
        <v>3.2</v>
      </c>
    </row>
    <row r="153" spans="1:23" x14ac:dyDescent="0.3">
      <c r="A153" s="1" t="s">
        <v>464</v>
      </c>
      <c r="B153">
        <v>1</v>
      </c>
      <c r="C153">
        <v>18.989999999999998</v>
      </c>
      <c r="D153">
        <v>18.989999999999998</v>
      </c>
      <c r="E153" s="1" t="s">
        <v>445</v>
      </c>
      <c r="F153" s="1" t="s">
        <v>188</v>
      </c>
      <c r="G153">
        <v>0</v>
      </c>
      <c r="H153" s="1" t="s">
        <v>96</v>
      </c>
      <c r="I153" s="1" t="s">
        <v>97</v>
      </c>
      <c r="J153">
        <v>6</v>
      </c>
      <c r="K153">
        <v>18.989999999999998</v>
      </c>
      <c r="L153" s="1" t="s">
        <v>60</v>
      </c>
      <c r="M153" s="1" t="s">
        <v>43</v>
      </c>
      <c r="N153" s="1" t="s">
        <v>44</v>
      </c>
      <c r="O153" s="1" t="s">
        <v>31</v>
      </c>
      <c r="P153" s="2">
        <v>45823</v>
      </c>
      <c r="Q153" s="1" t="s">
        <v>216</v>
      </c>
      <c r="R153" s="1" t="s">
        <v>275</v>
      </c>
      <c r="S153" s="1" t="s">
        <v>105</v>
      </c>
      <c r="T153" s="1" t="s">
        <v>35</v>
      </c>
      <c r="U153" s="1" t="s">
        <v>82</v>
      </c>
      <c r="V153" s="1" t="s">
        <v>100</v>
      </c>
      <c r="W153">
        <v>3.2</v>
      </c>
    </row>
    <row r="154" spans="1:23" x14ac:dyDescent="0.3">
      <c r="A154" s="1" t="s">
        <v>465</v>
      </c>
      <c r="B154">
        <v>1</v>
      </c>
      <c r="C154">
        <v>34.99</v>
      </c>
      <c r="D154">
        <v>34.99</v>
      </c>
      <c r="E154" s="1" t="s">
        <v>327</v>
      </c>
      <c r="F154" s="1" t="s">
        <v>25</v>
      </c>
      <c r="G154">
        <v>8</v>
      </c>
      <c r="H154" s="1" t="s">
        <v>41</v>
      </c>
      <c r="I154" s="1" t="s">
        <v>85</v>
      </c>
      <c r="J154">
        <v>12.5</v>
      </c>
      <c r="K154">
        <v>34.99</v>
      </c>
      <c r="L154" s="1" t="s">
        <v>60</v>
      </c>
      <c r="M154" s="1" t="s">
        <v>29</v>
      </c>
      <c r="N154" s="1" t="s">
        <v>30</v>
      </c>
      <c r="O154" s="1" t="s">
        <v>31</v>
      </c>
      <c r="P154" s="2">
        <v>45778</v>
      </c>
      <c r="Q154" s="1" t="s">
        <v>466</v>
      </c>
      <c r="R154" s="1" t="s">
        <v>467</v>
      </c>
      <c r="S154" s="1" t="s">
        <v>65</v>
      </c>
      <c r="T154" s="1" t="s">
        <v>35</v>
      </c>
      <c r="U154" s="1" t="s">
        <v>36</v>
      </c>
      <c r="V154" s="1" t="s">
        <v>89</v>
      </c>
      <c r="W154">
        <v>2.4</v>
      </c>
    </row>
    <row r="155" spans="1:23" x14ac:dyDescent="0.3">
      <c r="A155" s="1" t="s">
        <v>468</v>
      </c>
      <c r="B155">
        <v>3</v>
      </c>
      <c r="C155">
        <v>16.989999999999998</v>
      </c>
      <c r="D155">
        <v>40.18</v>
      </c>
      <c r="E155" s="1" t="s">
        <v>113</v>
      </c>
      <c r="F155" s="1" t="s">
        <v>51</v>
      </c>
      <c r="G155">
        <v>0</v>
      </c>
      <c r="H155" s="1" t="s">
        <v>26</v>
      </c>
      <c r="I155" s="1" t="s">
        <v>59</v>
      </c>
      <c r="J155">
        <v>5</v>
      </c>
      <c r="K155">
        <v>16.989999999999998</v>
      </c>
      <c r="L155" s="1" t="s">
        <v>60</v>
      </c>
      <c r="M155" s="1" t="s">
        <v>61</v>
      </c>
      <c r="N155" s="1" t="s">
        <v>62</v>
      </c>
      <c r="O155" s="1" t="s">
        <v>31</v>
      </c>
      <c r="P155" s="2">
        <v>45726</v>
      </c>
      <c r="Q155" s="1" t="s">
        <v>137</v>
      </c>
      <c r="R155" s="1" t="s">
        <v>138</v>
      </c>
      <c r="S155" s="1" t="s">
        <v>34</v>
      </c>
      <c r="T155" s="1" t="s">
        <v>35</v>
      </c>
      <c r="U155" s="1" t="s">
        <v>82</v>
      </c>
      <c r="V155" s="1" t="s">
        <v>67</v>
      </c>
      <c r="W155">
        <v>3</v>
      </c>
    </row>
    <row r="156" spans="1:23" x14ac:dyDescent="0.3">
      <c r="A156" s="1" t="s">
        <v>469</v>
      </c>
      <c r="B156">
        <v>3</v>
      </c>
      <c r="C156">
        <v>27.99</v>
      </c>
      <c r="D156">
        <v>66.88</v>
      </c>
      <c r="E156" s="1" t="s">
        <v>272</v>
      </c>
      <c r="F156" s="1" t="s">
        <v>40</v>
      </c>
      <c r="G156">
        <v>7</v>
      </c>
      <c r="H156" s="1" t="s">
        <v>26</v>
      </c>
      <c r="I156" s="1" t="s">
        <v>75</v>
      </c>
      <c r="J156">
        <v>9</v>
      </c>
      <c r="K156">
        <v>27.99</v>
      </c>
      <c r="L156" s="1" t="s">
        <v>28</v>
      </c>
      <c r="M156" s="1" t="s">
        <v>61</v>
      </c>
      <c r="N156" s="1" t="s">
        <v>62</v>
      </c>
      <c r="O156" s="1" t="s">
        <v>31</v>
      </c>
      <c r="P156" s="2">
        <v>45726</v>
      </c>
      <c r="Q156" s="1" t="s">
        <v>379</v>
      </c>
      <c r="R156" s="1" t="s">
        <v>470</v>
      </c>
      <c r="S156" s="1" t="s">
        <v>88</v>
      </c>
      <c r="T156" s="1" t="s">
        <v>35</v>
      </c>
      <c r="U156" s="1" t="s">
        <v>66</v>
      </c>
      <c r="V156" s="1" t="s">
        <v>37</v>
      </c>
      <c r="W156">
        <v>2</v>
      </c>
    </row>
    <row r="157" spans="1:23" x14ac:dyDescent="0.3">
      <c r="A157" s="1" t="s">
        <v>471</v>
      </c>
      <c r="B157">
        <v>1</v>
      </c>
      <c r="C157">
        <v>27.99</v>
      </c>
      <c r="D157">
        <v>27.99</v>
      </c>
      <c r="E157" s="1" t="s">
        <v>313</v>
      </c>
      <c r="F157" s="1" t="s">
        <v>40</v>
      </c>
      <c r="G157">
        <v>2</v>
      </c>
      <c r="H157" s="1" t="s">
        <v>41</v>
      </c>
      <c r="I157" s="1" t="s">
        <v>75</v>
      </c>
      <c r="J157">
        <v>9</v>
      </c>
      <c r="K157">
        <v>27.99</v>
      </c>
      <c r="L157" s="1" t="s">
        <v>28</v>
      </c>
      <c r="M157" s="1" t="s">
        <v>61</v>
      </c>
      <c r="N157" s="1" t="s">
        <v>62</v>
      </c>
      <c r="O157" s="1" t="s">
        <v>31</v>
      </c>
      <c r="P157" s="2">
        <v>45726</v>
      </c>
      <c r="Q157" s="1" t="s">
        <v>225</v>
      </c>
      <c r="R157" s="1" t="s">
        <v>226</v>
      </c>
      <c r="S157" s="1" t="s">
        <v>105</v>
      </c>
      <c r="T157" s="1" t="s">
        <v>35</v>
      </c>
      <c r="U157" s="1" t="s">
        <v>36</v>
      </c>
      <c r="V157" s="1" t="s">
        <v>37</v>
      </c>
      <c r="W157">
        <v>2</v>
      </c>
    </row>
    <row r="158" spans="1:23" x14ac:dyDescent="0.3">
      <c r="A158" s="1" t="s">
        <v>472</v>
      </c>
      <c r="B158">
        <v>1</v>
      </c>
      <c r="C158">
        <v>34.99</v>
      </c>
      <c r="D158">
        <v>34.99</v>
      </c>
      <c r="E158" s="1" t="s">
        <v>128</v>
      </c>
      <c r="F158" s="1" t="s">
        <v>51</v>
      </c>
      <c r="G158">
        <v>0</v>
      </c>
      <c r="H158" s="1" t="s">
        <v>58</v>
      </c>
      <c r="I158" s="1" t="s">
        <v>85</v>
      </c>
      <c r="J158">
        <v>12.5</v>
      </c>
      <c r="K158">
        <v>34.99</v>
      </c>
      <c r="L158" s="1" t="s">
        <v>60</v>
      </c>
      <c r="M158" s="1" t="s">
        <v>29</v>
      </c>
      <c r="N158" s="1" t="s">
        <v>30</v>
      </c>
      <c r="O158" s="1" t="s">
        <v>31</v>
      </c>
      <c r="P158" s="2">
        <v>45778</v>
      </c>
      <c r="Q158" s="1" t="s">
        <v>466</v>
      </c>
      <c r="R158" s="1" t="s">
        <v>467</v>
      </c>
      <c r="S158" s="1" t="s">
        <v>65</v>
      </c>
      <c r="T158" s="1" t="s">
        <v>35</v>
      </c>
      <c r="U158" s="1" t="s">
        <v>36</v>
      </c>
      <c r="V158" s="1" t="s">
        <v>89</v>
      </c>
      <c r="W158">
        <v>2.4</v>
      </c>
    </row>
    <row r="159" spans="1:23" x14ac:dyDescent="0.3">
      <c r="A159" s="1" t="s">
        <v>473</v>
      </c>
      <c r="B159">
        <v>1</v>
      </c>
      <c r="C159">
        <v>34.99</v>
      </c>
      <c r="D159">
        <v>34.99</v>
      </c>
      <c r="E159" s="1" t="s">
        <v>313</v>
      </c>
      <c r="F159" s="1" t="s">
        <v>188</v>
      </c>
      <c r="G159">
        <v>0</v>
      </c>
      <c r="H159" s="1" t="s">
        <v>96</v>
      </c>
      <c r="I159" s="1" t="s">
        <v>85</v>
      </c>
      <c r="J159">
        <v>12.5</v>
      </c>
      <c r="K159">
        <v>34.99</v>
      </c>
      <c r="L159" s="1" t="s">
        <v>60</v>
      </c>
      <c r="M159" s="1" t="s">
        <v>29</v>
      </c>
      <c r="N159" s="1" t="s">
        <v>30</v>
      </c>
      <c r="O159" s="1" t="s">
        <v>31</v>
      </c>
      <c r="P159" s="2">
        <v>45778</v>
      </c>
      <c r="Q159" s="1" t="s">
        <v>194</v>
      </c>
      <c r="R159" s="1" t="s">
        <v>195</v>
      </c>
      <c r="S159" s="1" t="s">
        <v>88</v>
      </c>
      <c r="T159" s="1" t="s">
        <v>35</v>
      </c>
      <c r="U159" s="1" t="s">
        <v>48</v>
      </c>
      <c r="V159" s="1" t="s">
        <v>89</v>
      </c>
      <c r="W159">
        <v>2.4</v>
      </c>
    </row>
    <row r="160" spans="1:23" x14ac:dyDescent="0.3">
      <c r="A160" s="1" t="s">
        <v>474</v>
      </c>
      <c r="B160">
        <v>2</v>
      </c>
      <c r="C160">
        <v>34.99</v>
      </c>
      <c r="D160">
        <v>60.98</v>
      </c>
      <c r="E160" s="1" t="s">
        <v>132</v>
      </c>
      <c r="F160" s="1" t="s">
        <v>40</v>
      </c>
      <c r="G160">
        <v>12</v>
      </c>
      <c r="H160" s="1" t="s">
        <v>26</v>
      </c>
      <c r="I160" s="1" t="s">
        <v>85</v>
      </c>
      <c r="J160">
        <v>12.5</v>
      </c>
      <c r="K160">
        <v>34.99</v>
      </c>
      <c r="L160" s="1" t="s">
        <v>60</v>
      </c>
      <c r="M160" s="1" t="s">
        <v>29</v>
      </c>
      <c r="N160" s="1" t="s">
        <v>30</v>
      </c>
      <c r="O160" s="1" t="s">
        <v>31</v>
      </c>
      <c r="P160" s="2">
        <v>45778</v>
      </c>
      <c r="Q160" s="1" t="s">
        <v>76</v>
      </c>
      <c r="R160" s="1" t="s">
        <v>144</v>
      </c>
      <c r="S160" s="1" t="s">
        <v>34</v>
      </c>
      <c r="T160" s="1" t="s">
        <v>35</v>
      </c>
      <c r="U160" s="1" t="s">
        <v>66</v>
      </c>
      <c r="V160" s="1" t="s">
        <v>89</v>
      </c>
      <c r="W160">
        <v>2.4</v>
      </c>
    </row>
    <row r="161" spans="1:23" x14ac:dyDescent="0.3">
      <c r="A161" s="1" t="s">
        <v>475</v>
      </c>
      <c r="B161">
        <v>1</v>
      </c>
      <c r="C161">
        <v>18.989999999999998</v>
      </c>
      <c r="D161">
        <v>18.989999999999998</v>
      </c>
      <c r="E161" s="1" t="s">
        <v>84</v>
      </c>
      <c r="F161" s="1" t="s">
        <v>25</v>
      </c>
      <c r="G161">
        <v>11</v>
      </c>
      <c r="H161" s="1" t="s">
        <v>58</v>
      </c>
      <c r="I161" s="1" t="s">
        <v>97</v>
      </c>
      <c r="J161">
        <v>6</v>
      </c>
      <c r="K161">
        <v>18.989999999999998</v>
      </c>
      <c r="L161" s="1" t="s">
        <v>60</v>
      </c>
      <c r="M161" s="1" t="s">
        <v>43</v>
      </c>
      <c r="N161" s="1" t="s">
        <v>44</v>
      </c>
      <c r="O161" s="1" t="s">
        <v>31</v>
      </c>
      <c r="P161" s="2">
        <v>45823</v>
      </c>
      <c r="Q161" s="1" t="s">
        <v>147</v>
      </c>
      <c r="R161" s="1" t="s">
        <v>148</v>
      </c>
      <c r="S161" s="1" t="s">
        <v>65</v>
      </c>
      <c r="T161" s="1" t="s">
        <v>35</v>
      </c>
      <c r="U161" s="1" t="s">
        <v>48</v>
      </c>
      <c r="V161" s="1" t="s">
        <v>100</v>
      </c>
      <c r="W161">
        <v>3.2</v>
      </c>
    </row>
    <row r="162" spans="1:23" x14ac:dyDescent="0.3">
      <c r="A162" s="1" t="s">
        <v>476</v>
      </c>
      <c r="B162">
        <v>3</v>
      </c>
      <c r="C162">
        <v>30.99</v>
      </c>
      <c r="D162">
        <v>74.53</v>
      </c>
      <c r="E162" s="1" t="s">
        <v>246</v>
      </c>
      <c r="F162" s="1" t="s">
        <v>40</v>
      </c>
      <c r="G162">
        <v>3</v>
      </c>
      <c r="H162" s="1" t="s">
        <v>58</v>
      </c>
      <c r="I162" s="1" t="s">
        <v>42</v>
      </c>
      <c r="J162">
        <v>10.5</v>
      </c>
      <c r="K162">
        <v>30.99</v>
      </c>
      <c r="L162" s="1" t="s">
        <v>28</v>
      </c>
      <c r="M162" s="1" t="s">
        <v>43</v>
      </c>
      <c r="N162" s="1" t="s">
        <v>44</v>
      </c>
      <c r="O162" s="1" t="s">
        <v>31</v>
      </c>
      <c r="P162" s="2">
        <v>45823</v>
      </c>
      <c r="Q162" s="1" t="s">
        <v>234</v>
      </c>
      <c r="R162" s="1" t="s">
        <v>235</v>
      </c>
      <c r="S162" s="1" t="s">
        <v>105</v>
      </c>
      <c r="T162" s="1" t="s">
        <v>35</v>
      </c>
      <c r="U162" s="1" t="s">
        <v>48</v>
      </c>
      <c r="V162" s="1" t="s">
        <v>37</v>
      </c>
      <c r="W162">
        <v>2</v>
      </c>
    </row>
    <row r="163" spans="1:23" x14ac:dyDescent="0.3">
      <c r="A163" s="1" t="s">
        <v>477</v>
      </c>
      <c r="B163">
        <v>1</v>
      </c>
      <c r="C163">
        <v>30.99</v>
      </c>
      <c r="D163">
        <v>30.99</v>
      </c>
      <c r="E163" s="1" t="s">
        <v>382</v>
      </c>
      <c r="F163" s="1" t="s">
        <v>40</v>
      </c>
      <c r="G163">
        <v>8</v>
      </c>
      <c r="H163" s="1" t="s">
        <v>96</v>
      </c>
      <c r="I163" s="1" t="s">
        <v>42</v>
      </c>
      <c r="J163">
        <v>10.5</v>
      </c>
      <c r="K163">
        <v>30.99</v>
      </c>
      <c r="L163" s="1" t="s">
        <v>28</v>
      </c>
      <c r="M163" s="1" t="s">
        <v>43</v>
      </c>
      <c r="N163" s="1" t="s">
        <v>44</v>
      </c>
      <c r="O163" s="1" t="s">
        <v>31</v>
      </c>
      <c r="P163" s="2">
        <v>45823</v>
      </c>
      <c r="Q163" s="1" t="s">
        <v>409</v>
      </c>
      <c r="R163" s="1" t="s">
        <v>410</v>
      </c>
      <c r="S163" s="1" t="s">
        <v>411</v>
      </c>
      <c r="T163" s="1" t="s">
        <v>35</v>
      </c>
      <c r="U163" s="1" t="s">
        <v>48</v>
      </c>
      <c r="V163" s="1" t="s">
        <v>37</v>
      </c>
      <c r="W163">
        <v>2</v>
      </c>
    </row>
    <row r="164" spans="1:23" x14ac:dyDescent="0.3">
      <c r="A164" s="1" t="s">
        <v>478</v>
      </c>
      <c r="B164">
        <v>1</v>
      </c>
      <c r="C164">
        <v>21.99</v>
      </c>
      <c r="D164">
        <v>21.99</v>
      </c>
      <c r="E164" s="1" t="s">
        <v>419</v>
      </c>
      <c r="F164" s="1" t="s">
        <v>51</v>
      </c>
      <c r="G164">
        <v>0</v>
      </c>
      <c r="H164" s="1" t="s">
        <v>26</v>
      </c>
      <c r="I164" s="1" t="s">
        <v>27</v>
      </c>
      <c r="J164">
        <v>7</v>
      </c>
      <c r="K164">
        <v>21.99</v>
      </c>
      <c r="L164" s="1" t="s">
        <v>28</v>
      </c>
      <c r="M164" s="1" t="s">
        <v>29</v>
      </c>
      <c r="N164" s="1" t="s">
        <v>30</v>
      </c>
      <c r="O164" s="1" t="s">
        <v>31</v>
      </c>
      <c r="P164" s="2">
        <v>45778</v>
      </c>
      <c r="Q164" s="1" t="s">
        <v>63</v>
      </c>
      <c r="R164" s="1" t="s">
        <v>371</v>
      </c>
      <c r="S164" s="1" t="s">
        <v>88</v>
      </c>
      <c r="T164" s="1" t="s">
        <v>35</v>
      </c>
      <c r="U164" s="1" t="s">
        <v>36</v>
      </c>
      <c r="V164" s="1" t="s">
        <v>37</v>
      </c>
      <c r="W164">
        <v>2</v>
      </c>
    </row>
    <row r="165" spans="1:23" x14ac:dyDescent="0.3">
      <c r="A165" s="1" t="s">
        <v>479</v>
      </c>
      <c r="B165">
        <v>1</v>
      </c>
      <c r="C165">
        <v>27.99</v>
      </c>
      <c r="D165">
        <v>27.99</v>
      </c>
      <c r="E165" s="1" t="s">
        <v>480</v>
      </c>
      <c r="F165" s="1" t="s">
        <v>51</v>
      </c>
      <c r="G165">
        <v>0</v>
      </c>
      <c r="H165" s="1" t="s">
        <v>41</v>
      </c>
      <c r="I165" s="1" t="s">
        <v>75</v>
      </c>
      <c r="J165">
        <v>9</v>
      </c>
      <c r="K165">
        <v>27.99</v>
      </c>
      <c r="L165" s="1" t="s">
        <v>28</v>
      </c>
      <c r="M165" s="1" t="s">
        <v>61</v>
      </c>
      <c r="N165" s="1" t="s">
        <v>62</v>
      </c>
      <c r="O165" s="1" t="s">
        <v>31</v>
      </c>
      <c r="P165" s="2">
        <v>45726</v>
      </c>
      <c r="Q165" s="1" t="s">
        <v>216</v>
      </c>
      <c r="R165" s="1" t="s">
        <v>481</v>
      </c>
      <c r="S165" s="1" t="s">
        <v>88</v>
      </c>
      <c r="T165" s="1" t="s">
        <v>35</v>
      </c>
      <c r="U165" s="1" t="s">
        <v>48</v>
      </c>
      <c r="V165" s="1" t="s">
        <v>37</v>
      </c>
      <c r="W165">
        <v>2</v>
      </c>
    </row>
    <row r="166" spans="1:23" x14ac:dyDescent="0.3">
      <c r="A166" s="1" t="s">
        <v>482</v>
      </c>
      <c r="B166">
        <v>3</v>
      </c>
      <c r="C166">
        <v>21.99</v>
      </c>
      <c r="D166">
        <v>52.48</v>
      </c>
      <c r="E166" s="1" t="s">
        <v>457</v>
      </c>
      <c r="F166" s="1" t="s">
        <v>188</v>
      </c>
      <c r="G166">
        <v>0</v>
      </c>
      <c r="H166" s="1" t="s">
        <v>96</v>
      </c>
      <c r="I166" s="1" t="s">
        <v>27</v>
      </c>
      <c r="J166">
        <v>7</v>
      </c>
      <c r="K166">
        <v>21.99</v>
      </c>
      <c r="L166" s="1" t="s">
        <v>28</v>
      </c>
      <c r="M166" s="1" t="s">
        <v>29</v>
      </c>
      <c r="N166" s="1" t="s">
        <v>30</v>
      </c>
      <c r="O166" s="1" t="s">
        <v>31</v>
      </c>
      <c r="P166" s="2">
        <v>45778</v>
      </c>
      <c r="Q166" s="1" t="s">
        <v>219</v>
      </c>
      <c r="R166" s="1" t="s">
        <v>220</v>
      </c>
      <c r="S166" s="1" t="s">
        <v>54</v>
      </c>
      <c r="T166" s="1" t="s">
        <v>35</v>
      </c>
      <c r="U166" s="1" t="s">
        <v>55</v>
      </c>
      <c r="V166" s="1" t="s">
        <v>37</v>
      </c>
      <c r="W166">
        <v>2</v>
      </c>
    </row>
    <row r="167" spans="1:23" x14ac:dyDescent="0.3">
      <c r="A167" s="1" t="s">
        <v>483</v>
      </c>
      <c r="B167">
        <v>1</v>
      </c>
      <c r="C167">
        <v>18.989999999999998</v>
      </c>
      <c r="D167">
        <v>18.989999999999998</v>
      </c>
      <c r="E167" s="1" t="s">
        <v>109</v>
      </c>
      <c r="F167" s="1" t="s">
        <v>40</v>
      </c>
      <c r="G167">
        <v>11</v>
      </c>
      <c r="H167" s="1" t="s">
        <v>41</v>
      </c>
      <c r="I167" s="1" t="s">
        <v>97</v>
      </c>
      <c r="J167">
        <v>6</v>
      </c>
      <c r="K167">
        <v>18.989999999999998</v>
      </c>
      <c r="L167" s="1" t="s">
        <v>60</v>
      </c>
      <c r="M167" s="1" t="s">
        <v>43</v>
      </c>
      <c r="N167" s="1" t="s">
        <v>44</v>
      </c>
      <c r="O167" s="1" t="s">
        <v>31</v>
      </c>
      <c r="P167" s="2">
        <v>45823</v>
      </c>
      <c r="Q167" s="1" t="s">
        <v>216</v>
      </c>
      <c r="R167" s="1" t="s">
        <v>484</v>
      </c>
      <c r="S167" s="1" t="s">
        <v>105</v>
      </c>
      <c r="T167" s="1" t="s">
        <v>35</v>
      </c>
      <c r="U167" s="1" t="s">
        <v>48</v>
      </c>
      <c r="V167" s="1" t="s">
        <v>100</v>
      </c>
      <c r="W167">
        <v>3.2</v>
      </c>
    </row>
    <row r="168" spans="1:23" x14ac:dyDescent="0.3">
      <c r="A168" s="1" t="s">
        <v>485</v>
      </c>
      <c r="B168">
        <v>1</v>
      </c>
      <c r="C168">
        <v>30.99</v>
      </c>
      <c r="D168">
        <v>30.99</v>
      </c>
      <c r="E168" s="1" t="s">
        <v>136</v>
      </c>
      <c r="F168" s="1" t="s">
        <v>40</v>
      </c>
      <c r="G168">
        <v>3</v>
      </c>
      <c r="H168" s="1" t="s">
        <v>41</v>
      </c>
      <c r="I168" s="1" t="s">
        <v>42</v>
      </c>
      <c r="J168">
        <v>10.5</v>
      </c>
      <c r="K168">
        <v>30.99</v>
      </c>
      <c r="L168" s="1" t="s">
        <v>28</v>
      </c>
      <c r="M168" s="1" t="s">
        <v>43</v>
      </c>
      <c r="N168" s="1" t="s">
        <v>44</v>
      </c>
      <c r="O168" s="1" t="s">
        <v>31</v>
      </c>
      <c r="P168" s="2">
        <v>45823</v>
      </c>
      <c r="Q168" s="1" t="s">
        <v>376</v>
      </c>
      <c r="R168" s="1" t="s">
        <v>377</v>
      </c>
      <c r="S168" s="1" t="s">
        <v>65</v>
      </c>
      <c r="T168" s="1" t="s">
        <v>35</v>
      </c>
      <c r="U168" s="1" t="s">
        <v>66</v>
      </c>
      <c r="V168" s="1" t="s">
        <v>37</v>
      </c>
      <c r="W168">
        <v>2</v>
      </c>
    </row>
    <row r="169" spans="1:23" x14ac:dyDescent="0.3">
      <c r="A169" s="1" t="s">
        <v>486</v>
      </c>
      <c r="B169">
        <v>3</v>
      </c>
      <c r="C169">
        <v>16.989999999999998</v>
      </c>
      <c r="D169">
        <v>40.18</v>
      </c>
      <c r="E169" s="1" t="s">
        <v>348</v>
      </c>
      <c r="F169" s="1" t="s">
        <v>188</v>
      </c>
      <c r="G169">
        <v>0</v>
      </c>
      <c r="H169" s="1" t="s">
        <v>58</v>
      </c>
      <c r="I169" s="1" t="s">
        <v>59</v>
      </c>
      <c r="J169">
        <v>5</v>
      </c>
      <c r="K169">
        <v>16.989999999999998</v>
      </c>
      <c r="L169" s="1" t="s">
        <v>60</v>
      </c>
      <c r="M169" s="1" t="s">
        <v>61</v>
      </c>
      <c r="N169" s="1" t="s">
        <v>62</v>
      </c>
      <c r="O169" s="1" t="s">
        <v>31</v>
      </c>
      <c r="P169" s="2">
        <v>45726</v>
      </c>
      <c r="Q169" s="1" t="s">
        <v>487</v>
      </c>
      <c r="R169" s="1" t="s">
        <v>488</v>
      </c>
      <c r="S169" s="1" t="s">
        <v>88</v>
      </c>
      <c r="T169" s="1" t="s">
        <v>35</v>
      </c>
      <c r="U169" s="1" t="s">
        <v>66</v>
      </c>
      <c r="V169" s="1" t="s">
        <v>67</v>
      </c>
      <c r="W169">
        <v>3</v>
      </c>
    </row>
    <row r="170" spans="1:23" x14ac:dyDescent="0.3">
      <c r="A170" s="1" t="s">
        <v>489</v>
      </c>
      <c r="B170">
        <v>1</v>
      </c>
      <c r="C170">
        <v>16.989999999999998</v>
      </c>
      <c r="D170">
        <v>16.989999999999998</v>
      </c>
      <c r="E170" s="1" t="s">
        <v>222</v>
      </c>
      <c r="F170" s="1" t="s">
        <v>40</v>
      </c>
      <c r="G170">
        <v>18</v>
      </c>
      <c r="H170" s="1" t="s">
        <v>41</v>
      </c>
      <c r="I170" s="1" t="s">
        <v>59</v>
      </c>
      <c r="J170">
        <v>5</v>
      </c>
      <c r="K170">
        <v>16.989999999999998</v>
      </c>
      <c r="L170" s="1" t="s">
        <v>60</v>
      </c>
      <c r="M170" s="1" t="s">
        <v>61</v>
      </c>
      <c r="N170" s="1" t="s">
        <v>62</v>
      </c>
      <c r="O170" s="1" t="s">
        <v>31</v>
      </c>
      <c r="P170" s="2">
        <v>45726</v>
      </c>
      <c r="Q170" s="1" t="s">
        <v>256</v>
      </c>
      <c r="R170" s="1" t="s">
        <v>257</v>
      </c>
      <c r="S170" s="1" t="s">
        <v>105</v>
      </c>
      <c r="T170" s="1" t="s">
        <v>35</v>
      </c>
      <c r="U170" s="1" t="s">
        <v>48</v>
      </c>
      <c r="V170" s="1" t="s">
        <v>67</v>
      </c>
      <c r="W170">
        <v>3</v>
      </c>
    </row>
    <row r="171" spans="1:23" x14ac:dyDescent="0.3">
      <c r="A171" s="1" t="s">
        <v>490</v>
      </c>
      <c r="B171">
        <v>1</v>
      </c>
      <c r="C171">
        <v>34.99</v>
      </c>
      <c r="D171">
        <v>34.99</v>
      </c>
      <c r="E171" s="1" t="s">
        <v>160</v>
      </c>
      <c r="F171" s="1" t="s">
        <v>40</v>
      </c>
      <c r="G171">
        <v>8</v>
      </c>
      <c r="H171" s="1" t="s">
        <v>41</v>
      </c>
      <c r="I171" s="1" t="s">
        <v>85</v>
      </c>
      <c r="J171">
        <v>12.5</v>
      </c>
      <c r="K171">
        <v>34.99</v>
      </c>
      <c r="L171" s="1" t="s">
        <v>60</v>
      </c>
      <c r="M171" s="1" t="s">
        <v>29</v>
      </c>
      <c r="N171" s="1" t="s">
        <v>30</v>
      </c>
      <c r="O171" s="1" t="s">
        <v>31</v>
      </c>
      <c r="P171" s="2">
        <v>45778</v>
      </c>
      <c r="Q171" s="1" t="s">
        <v>283</v>
      </c>
      <c r="R171" s="1" t="s">
        <v>491</v>
      </c>
      <c r="S171" s="1" t="s">
        <v>54</v>
      </c>
      <c r="T171" s="1" t="s">
        <v>35</v>
      </c>
      <c r="U171" s="1" t="s">
        <v>55</v>
      </c>
      <c r="V171" s="1" t="s">
        <v>89</v>
      </c>
      <c r="W171">
        <v>2.4</v>
      </c>
    </row>
    <row r="172" spans="1:23" x14ac:dyDescent="0.3">
      <c r="A172" s="1" t="s">
        <v>492</v>
      </c>
      <c r="B172">
        <v>1</v>
      </c>
      <c r="C172">
        <v>34.99</v>
      </c>
      <c r="D172">
        <v>34.99</v>
      </c>
      <c r="E172" s="1" t="s">
        <v>493</v>
      </c>
      <c r="F172" s="1" t="s">
        <v>25</v>
      </c>
      <c r="G172">
        <v>8</v>
      </c>
      <c r="H172" s="1" t="s">
        <v>41</v>
      </c>
      <c r="I172" s="1" t="s">
        <v>85</v>
      </c>
      <c r="J172">
        <v>12.5</v>
      </c>
      <c r="K172">
        <v>34.99</v>
      </c>
      <c r="L172" s="1" t="s">
        <v>60</v>
      </c>
      <c r="M172" s="1" t="s">
        <v>29</v>
      </c>
      <c r="N172" s="1" t="s">
        <v>30</v>
      </c>
      <c r="O172" s="1" t="s">
        <v>31</v>
      </c>
      <c r="P172" s="2">
        <v>45778</v>
      </c>
      <c r="Q172" s="1" t="s">
        <v>437</v>
      </c>
      <c r="R172" s="1" t="s">
        <v>438</v>
      </c>
      <c r="S172" s="1" t="s">
        <v>88</v>
      </c>
      <c r="T172" s="1" t="s">
        <v>35</v>
      </c>
      <c r="U172" s="1" t="s">
        <v>36</v>
      </c>
      <c r="V172" s="1" t="s">
        <v>89</v>
      </c>
      <c r="W172">
        <v>2.4</v>
      </c>
    </row>
    <row r="173" spans="1:23" x14ac:dyDescent="0.3">
      <c r="A173" s="1" t="s">
        <v>494</v>
      </c>
      <c r="B173">
        <v>3</v>
      </c>
      <c r="C173">
        <v>30.99</v>
      </c>
      <c r="D173">
        <v>74.53</v>
      </c>
      <c r="E173" s="1" t="s">
        <v>84</v>
      </c>
      <c r="F173" s="1" t="s">
        <v>25</v>
      </c>
      <c r="G173">
        <v>3</v>
      </c>
      <c r="H173" s="1" t="s">
        <v>26</v>
      </c>
      <c r="I173" s="1" t="s">
        <v>42</v>
      </c>
      <c r="J173">
        <v>10.5</v>
      </c>
      <c r="K173">
        <v>30.99</v>
      </c>
      <c r="L173" s="1" t="s">
        <v>28</v>
      </c>
      <c r="M173" s="1" t="s">
        <v>43</v>
      </c>
      <c r="N173" s="1" t="s">
        <v>44</v>
      </c>
      <c r="O173" s="1" t="s">
        <v>31</v>
      </c>
      <c r="P173" s="2">
        <v>45823</v>
      </c>
      <c r="Q173" s="1" t="s">
        <v>322</v>
      </c>
      <c r="R173" s="1" t="s">
        <v>323</v>
      </c>
      <c r="S173" s="1" t="s">
        <v>88</v>
      </c>
      <c r="T173" s="1" t="s">
        <v>35</v>
      </c>
      <c r="U173" s="1" t="s">
        <v>55</v>
      </c>
      <c r="V173" s="1" t="s">
        <v>37</v>
      </c>
      <c r="W173">
        <v>2</v>
      </c>
    </row>
    <row r="174" spans="1:23" x14ac:dyDescent="0.3">
      <c r="A174" s="1" t="s">
        <v>495</v>
      </c>
      <c r="B174">
        <v>1</v>
      </c>
      <c r="C174">
        <v>18.989999999999998</v>
      </c>
      <c r="D174">
        <v>18.989999999999998</v>
      </c>
      <c r="E174" s="1" t="s">
        <v>449</v>
      </c>
      <c r="F174" s="1" t="s">
        <v>40</v>
      </c>
      <c r="G174">
        <v>13</v>
      </c>
      <c r="H174" s="1" t="s">
        <v>58</v>
      </c>
      <c r="I174" s="1" t="s">
        <v>97</v>
      </c>
      <c r="J174">
        <v>6</v>
      </c>
      <c r="K174">
        <v>18.989999999999998</v>
      </c>
      <c r="L174" s="1" t="s">
        <v>60</v>
      </c>
      <c r="M174" s="1" t="s">
        <v>43</v>
      </c>
      <c r="N174" s="1" t="s">
        <v>44</v>
      </c>
      <c r="O174" s="1" t="s">
        <v>31</v>
      </c>
      <c r="P174" s="2">
        <v>45823</v>
      </c>
      <c r="Q174" s="1" t="s">
        <v>496</v>
      </c>
      <c r="R174" s="1" t="s">
        <v>497</v>
      </c>
      <c r="S174" s="1" t="s">
        <v>105</v>
      </c>
      <c r="T174" s="1" t="s">
        <v>35</v>
      </c>
      <c r="U174" s="1" t="s">
        <v>36</v>
      </c>
      <c r="V174" s="1" t="s">
        <v>100</v>
      </c>
      <c r="W174">
        <v>3.2</v>
      </c>
    </row>
    <row r="175" spans="1:23" x14ac:dyDescent="0.3">
      <c r="A175" s="1" t="s">
        <v>498</v>
      </c>
      <c r="B175">
        <v>2</v>
      </c>
      <c r="C175">
        <v>18.989999999999998</v>
      </c>
      <c r="D175">
        <v>32.78</v>
      </c>
      <c r="E175" s="1" t="s">
        <v>419</v>
      </c>
      <c r="F175" s="1" t="s">
        <v>40</v>
      </c>
      <c r="G175">
        <v>15</v>
      </c>
      <c r="H175" s="1" t="s">
        <v>41</v>
      </c>
      <c r="I175" s="1" t="s">
        <v>97</v>
      </c>
      <c r="J175">
        <v>6</v>
      </c>
      <c r="K175">
        <v>18.989999999999998</v>
      </c>
      <c r="L175" s="1" t="s">
        <v>60</v>
      </c>
      <c r="M175" s="1" t="s">
        <v>43</v>
      </c>
      <c r="N175" s="1" t="s">
        <v>44</v>
      </c>
      <c r="O175" s="1" t="s">
        <v>31</v>
      </c>
      <c r="P175" s="2">
        <v>45823</v>
      </c>
      <c r="Q175" s="1" t="s">
        <v>298</v>
      </c>
      <c r="R175" s="1" t="s">
        <v>299</v>
      </c>
      <c r="S175" s="1" t="s">
        <v>65</v>
      </c>
      <c r="T175" s="1" t="s">
        <v>35</v>
      </c>
      <c r="U175" s="1" t="s">
        <v>82</v>
      </c>
      <c r="V175" s="1" t="s">
        <v>100</v>
      </c>
      <c r="W175">
        <v>3.2</v>
      </c>
    </row>
    <row r="176" spans="1:23" x14ac:dyDescent="0.3">
      <c r="A176" s="1" t="s">
        <v>499</v>
      </c>
      <c r="B176">
        <v>1</v>
      </c>
      <c r="C176">
        <v>18.989999999999998</v>
      </c>
      <c r="D176">
        <v>18.989999999999998</v>
      </c>
      <c r="E176" s="1" t="s">
        <v>146</v>
      </c>
      <c r="F176" s="1" t="s">
        <v>40</v>
      </c>
      <c r="G176">
        <v>11</v>
      </c>
      <c r="H176" s="1" t="s">
        <v>41</v>
      </c>
      <c r="I176" s="1" t="s">
        <v>97</v>
      </c>
      <c r="J176">
        <v>6</v>
      </c>
      <c r="K176">
        <v>18.989999999999998</v>
      </c>
      <c r="L176" s="1" t="s">
        <v>60</v>
      </c>
      <c r="M176" s="1" t="s">
        <v>43</v>
      </c>
      <c r="N176" s="1" t="s">
        <v>44</v>
      </c>
      <c r="O176" s="1" t="s">
        <v>31</v>
      </c>
      <c r="P176" s="2">
        <v>45823</v>
      </c>
      <c r="Q176" s="1" t="s">
        <v>161</v>
      </c>
      <c r="R176" s="1" t="s">
        <v>500</v>
      </c>
      <c r="S176" s="1" t="s">
        <v>65</v>
      </c>
      <c r="T176" s="1" t="s">
        <v>35</v>
      </c>
      <c r="U176" s="1" t="s">
        <v>55</v>
      </c>
      <c r="V176" s="1" t="s">
        <v>100</v>
      </c>
      <c r="W176">
        <v>3.2</v>
      </c>
    </row>
    <row r="177" spans="1:23" x14ac:dyDescent="0.3">
      <c r="A177" s="1" t="s">
        <v>501</v>
      </c>
      <c r="B177">
        <v>3</v>
      </c>
      <c r="C177">
        <v>18.989999999999998</v>
      </c>
      <c r="D177">
        <v>45.28</v>
      </c>
      <c r="E177" s="1" t="s">
        <v>293</v>
      </c>
      <c r="F177" s="1" t="s">
        <v>25</v>
      </c>
      <c r="G177">
        <v>12</v>
      </c>
      <c r="H177" s="1" t="s">
        <v>26</v>
      </c>
      <c r="I177" s="1" t="s">
        <v>97</v>
      </c>
      <c r="J177">
        <v>6</v>
      </c>
      <c r="K177">
        <v>18.989999999999998</v>
      </c>
      <c r="L177" s="1" t="s">
        <v>60</v>
      </c>
      <c r="M177" s="1" t="s">
        <v>43</v>
      </c>
      <c r="N177" s="1" t="s">
        <v>44</v>
      </c>
      <c r="O177" s="1" t="s">
        <v>31</v>
      </c>
      <c r="P177" s="2">
        <v>45823</v>
      </c>
      <c r="Q177" s="1" t="s">
        <v>355</v>
      </c>
      <c r="R177" s="1" t="s">
        <v>502</v>
      </c>
      <c r="S177" s="1" t="s">
        <v>65</v>
      </c>
      <c r="T177" s="1" t="s">
        <v>35</v>
      </c>
      <c r="U177" s="1" t="s">
        <v>82</v>
      </c>
      <c r="V177" s="1" t="s">
        <v>100</v>
      </c>
      <c r="W177">
        <v>3.2</v>
      </c>
    </row>
    <row r="178" spans="1:23" x14ac:dyDescent="0.3">
      <c r="A178" s="1" t="s">
        <v>503</v>
      </c>
      <c r="B178">
        <v>3</v>
      </c>
      <c r="C178">
        <v>27.99</v>
      </c>
      <c r="D178">
        <v>66.88</v>
      </c>
      <c r="E178" s="1" t="s">
        <v>146</v>
      </c>
      <c r="F178" s="1" t="s">
        <v>40</v>
      </c>
      <c r="G178">
        <v>3</v>
      </c>
      <c r="H178" s="1" t="s">
        <v>96</v>
      </c>
      <c r="I178" s="1" t="s">
        <v>75</v>
      </c>
      <c r="J178">
        <v>9</v>
      </c>
      <c r="K178">
        <v>27.99</v>
      </c>
      <c r="L178" s="1" t="s">
        <v>28</v>
      </c>
      <c r="M178" s="1" t="s">
        <v>61</v>
      </c>
      <c r="N178" s="1" t="s">
        <v>62</v>
      </c>
      <c r="O178" s="1" t="s">
        <v>31</v>
      </c>
      <c r="P178" s="2">
        <v>45726</v>
      </c>
      <c r="Q178" s="1" t="s">
        <v>283</v>
      </c>
      <c r="R178" s="1" t="s">
        <v>284</v>
      </c>
      <c r="S178" s="1" t="s">
        <v>105</v>
      </c>
      <c r="T178" s="1" t="s">
        <v>35</v>
      </c>
      <c r="U178" s="1" t="s">
        <v>55</v>
      </c>
      <c r="V178" s="1" t="s">
        <v>37</v>
      </c>
      <c r="W178">
        <v>2</v>
      </c>
    </row>
    <row r="179" spans="1:23" x14ac:dyDescent="0.3">
      <c r="A179" s="1" t="s">
        <v>504</v>
      </c>
      <c r="B179">
        <v>1</v>
      </c>
      <c r="C179">
        <v>18.989999999999998</v>
      </c>
      <c r="D179">
        <v>18.989999999999998</v>
      </c>
      <c r="E179" s="1" t="s">
        <v>348</v>
      </c>
      <c r="F179" s="1" t="s">
        <v>40</v>
      </c>
      <c r="G179">
        <v>11</v>
      </c>
      <c r="H179" s="1" t="s">
        <v>96</v>
      </c>
      <c r="I179" s="1" t="s">
        <v>97</v>
      </c>
      <c r="J179">
        <v>6</v>
      </c>
      <c r="K179">
        <v>18.989999999999998</v>
      </c>
      <c r="L179" s="1" t="s">
        <v>60</v>
      </c>
      <c r="M179" s="1" t="s">
        <v>43</v>
      </c>
      <c r="N179" s="1" t="s">
        <v>44</v>
      </c>
      <c r="O179" s="1" t="s">
        <v>31</v>
      </c>
      <c r="P179" s="2">
        <v>45823</v>
      </c>
      <c r="Q179" s="1" t="s">
        <v>302</v>
      </c>
      <c r="R179" s="1" t="s">
        <v>303</v>
      </c>
      <c r="S179" s="1" t="s">
        <v>105</v>
      </c>
      <c r="T179" s="1" t="s">
        <v>35</v>
      </c>
      <c r="U179" s="1" t="s">
        <v>55</v>
      </c>
      <c r="V179" s="1" t="s">
        <v>100</v>
      </c>
      <c r="W179">
        <v>3.2</v>
      </c>
    </row>
    <row r="180" spans="1:23" x14ac:dyDescent="0.3">
      <c r="A180" s="1" t="s">
        <v>505</v>
      </c>
      <c r="B180">
        <v>2</v>
      </c>
      <c r="C180">
        <v>30.99</v>
      </c>
      <c r="D180">
        <v>53.78</v>
      </c>
      <c r="E180" s="1" t="s">
        <v>192</v>
      </c>
      <c r="F180" s="1" t="s">
        <v>51</v>
      </c>
      <c r="G180">
        <v>0</v>
      </c>
      <c r="H180" s="1" t="s">
        <v>96</v>
      </c>
      <c r="I180" s="1" t="s">
        <v>42</v>
      </c>
      <c r="J180">
        <v>10.5</v>
      </c>
      <c r="K180">
        <v>30.99</v>
      </c>
      <c r="L180" s="1" t="s">
        <v>28</v>
      </c>
      <c r="M180" s="1" t="s">
        <v>43</v>
      </c>
      <c r="N180" s="1" t="s">
        <v>44</v>
      </c>
      <c r="O180" s="1" t="s">
        <v>31</v>
      </c>
      <c r="P180" s="2">
        <v>45823</v>
      </c>
      <c r="Q180" s="1" t="s">
        <v>157</v>
      </c>
      <c r="R180" s="1" t="s">
        <v>158</v>
      </c>
      <c r="S180" s="1" t="s">
        <v>34</v>
      </c>
      <c r="T180" s="1" t="s">
        <v>35</v>
      </c>
      <c r="U180" s="1" t="s">
        <v>82</v>
      </c>
      <c r="V180" s="1" t="s">
        <v>37</v>
      </c>
      <c r="W180">
        <v>2</v>
      </c>
    </row>
    <row r="181" spans="1:23" x14ac:dyDescent="0.3">
      <c r="A181" s="1" t="s">
        <v>506</v>
      </c>
      <c r="B181">
        <v>3</v>
      </c>
      <c r="C181">
        <v>16.989999999999998</v>
      </c>
      <c r="D181">
        <v>40.18</v>
      </c>
      <c r="E181" s="1" t="s">
        <v>222</v>
      </c>
      <c r="F181" s="1" t="s">
        <v>40</v>
      </c>
      <c r="G181">
        <v>18</v>
      </c>
      <c r="H181" s="1" t="s">
        <v>58</v>
      </c>
      <c r="I181" s="1" t="s">
        <v>59</v>
      </c>
      <c r="J181">
        <v>5</v>
      </c>
      <c r="K181">
        <v>16.989999999999998</v>
      </c>
      <c r="L181" s="1" t="s">
        <v>60</v>
      </c>
      <c r="M181" s="1" t="s">
        <v>61</v>
      </c>
      <c r="N181" s="1" t="s">
        <v>62</v>
      </c>
      <c r="O181" s="1" t="s">
        <v>31</v>
      </c>
      <c r="P181" s="2">
        <v>45726</v>
      </c>
      <c r="Q181" s="1" t="s">
        <v>238</v>
      </c>
      <c r="R181" s="1" t="s">
        <v>239</v>
      </c>
      <c r="S181" s="1" t="s">
        <v>65</v>
      </c>
      <c r="T181" s="1" t="s">
        <v>35</v>
      </c>
      <c r="U181" s="1" t="s">
        <v>66</v>
      </c>
      <c r="V181" s="1" t="s">
        <v>67</v>
      </c>
      <c r="W181">
        <v>3</v>
      </c>
    </row>
    <row r="182" spans="1:23" x14ac:dyDescent="0.3">
      <c r="A182" s="1" t="s">
        <v>507</v>
      </c>
      <c r="B182">
        <v>2</v>
      </c>
      <c r="C182">
        <v>21.99</v>
      </c>
      <c r="D182">
        <v>37.979999999999997</v>
      </c>
      <c r="E182" s="1" t="s">
        <v>121</v>
      </c>
      <c r="F182" s="1" t="s">
        <v>40</v>
      </c>
      <c r="G182">
        <v>2</v>
      </c>
      <c r="H182" s="1" t="s">
        <v>26</v>
      </c>
      <c r="I182" s="1" t="s">
        <v>27</v>
      </c>
      <c r="J182">
        <v>7</v>
      </c>
      <c r="K182">
        <v>21.99</v>
      </c>
      <c r="L182" s="1" t="s">
        <v>28</v>
      </c>
      <c r="M182" s="1" t="s">
        <v>29</v>
      </c>
      <c r="N182" s="1" t="s">
        <v>30</v>
      </c>
      <c r="O182" s="1" t="s">
        <v>31</v>
      </c>
      <c r="P182" s="2">
        <v>45778</v>
      </c>
      <c r="Q182" s="1" t="s">
        <v>406</v>
      </c>
      <c r="R182" s="1" t="s">
        <v>508</v>
      </c>
      <c r="S182" s="1" t="s">
        <v>411</v>
      </c>
      <c r="T182" s="1" t="s">
        <v>35</v>
      </c>
      <c r="U182" s="1" t="s">
        <v>48</v>
      </c>
      <c r="V182" s="1" t="s">
        <v>37</v>
      </c>
      <c r="W182">
        <v>2</v>
      </c>
    </row>
    <row r="183" spans="1:23" x14ac:dyDescent="0.3">
      <c r="A183" s="1" t="s">
        <v>509</v>
      </c>
      <c r="B183">
        <v>1</v>
      </c>
      <c r="C183">
        <v>27.99</v>
      </c>
      <c r="D183">
        <v>27.99</v>
      </c>
      <c r="E183" s="1" t="s">
        <v>107</v>
      </c>
      <c r="F183" s="1" t="s">
        <v>40</v>
      </c>
      <c r="G183">
        <v>6</v>
      </c>
      <c r="H183" s="1" t="s">
        <v>96</v>
      </c>
      <c r="I183" s="1" t="s">
        <v>75</v>
      </c>
      <c r="J183">
        <v>9</v>
      </c>
      <c r="K183">
        <v>27.99</v>
      </c>
      <c r="L183" s="1" t="s">
        <v>28</v>
      </c>
      <c r="M183" s="1" t="s">
        <v>61</v>
      </c>
      <c r="N183" s="1" t="s">
        <v>62</v>
      </c>
      <c r="O183" s="1" t="s">
        <v>31</v>
      </c>
      <c r="P183" s="2">
        <v>45726</v>
      </c>
      <c r="Q183" s="1" t="s">
        <v>290</v>
      </c>
      <c r="R183" s="1" t="s">
        <v>510</v>
      </c>
      <c r="S183" s="1" t="s">
        <v>105</v>
      </c>
      <c r="T183" s="1" t="s">
        <v>35</v>
      </c>
      <c r="U183" s="1" t="s">
        <v>66</v>
      </c>
      <c r="V183" s="1" t="s">
        <v>37</v>
      </c>
      <c r="W183">
        <v>2</v>
      </c>
    </row>
    <row r="184" spans="1:23" x14ac:dyDescent="0.3">
      <c r="A184" s="1" t="s">
        <v>511</v>
      </c>
      <c r="B184">
        <v>1</v>
      </c>
      <c r="C184">
        <v>16.989999999999998</v>
      </c>
      <c r="D184">
        <v>16.989999999999998</v>
      </c>
      <c r="E184" s="1" t="s">
        <v>313</v>
      </c>
      <c r="F184" s="1" t="s">
        <v>51</v>
      </c>
      <c r="G184">
        <v>0</v>
      </c>
      <c r="H184" s="1" t="s">
        <v>96</v>
      </c>
      <c r="I184" s="1" t="s">
        <v>59</v>
      </c>
      <c r="J184">
        <v>5</v>
      </c>
      <c r="K184">
        <v>16.989999999999998</v>
      </c>
      <c r="L184" s="1" t="s">
        <v>60</v>
      </c>
      <c r="M184" s="1" t="s">
        <v>61</v>
      </c>
      <c r="N184" s="1" t="s">
        <v>62</v>
      </c>
      <c r="O184" s="1" t="s">
        <v>31</v>
      </c>
      <c r="P184" s="2">
        <v>45726</v>
      </c>
      <c r="Q184" s="1" t="s">
        <v>425</v>
      </c>
      <c r="R184" s="1" t="s">
        <v>426</v>
      </c>
      <c r="S184" s="1" t="s">
        <v>47</v>
      </c>
      <c r="T184" s="1" t="s">
        <v>35</v>
      </c>
      <c r="U184" s="1" t="s">
        <v>55</v>
      </c>
      <c r="V184" s="1" t="s">
        <v>67</v>
      </c>
      <c r="W184">
        <v>3</v>
      </c>
    </row>
    <row r="185" spans="1:23" x14ac:dyDescent="0.3">
      <c r="A185" s="1" t="s">
        <v>512</v>
      </c>
      <c r="B185">
        <v>1</v>
      </c>
      <c r="C185">
        <v>27.99</v>
      </c>
      <c r="D185">
        <v>27.99</v>
      </c>
      <c r="E185" s="1" t="s">
        <v>325</v>
      </c>
      <c r="F185" s="1" t="s">
        <v>40</v>
      </c>
      <c r="G185">
        <v>2</v>
      </c>
      <c r="H185" s="1" t="s">
        <v>58</v>
      </c>
      <c r="I185" s="1" t="s">
        <v>75</v>
      </c>
      <c r="J185">
        <v>9</v>
      </c>
      <c r="K185">
        <v>27.99</v>
      </c>
      <c r="L185" s="1" t="s">
        <v>28</v>
      </c>
      <c r="M185" s="1" t="s">
        <v>61</v>
      </c>
      <c r="N185" s="1" t="s">
        <v>62</v>
      </c>
      <c r="O185" s="1" t="s">
        <v>31</v>
      </c>
      <c r="P185" s="2">
        <v>45726</v>
      </c>
      <c r="Q185" s="1" t="s">
        <v>45</v>
      </c>
      <c r="R185" s="1" t="s">
        <v>513</v>
      </c>
      <c r="S185" s="1" t="s">
        <v>54</v>
      </c>
      <c r="T185" s="1" t="s">
        <v>35</v>
      </c>
      <c r="U185" s="1" t="s">
        <v>48</v>
      </c>
      <c r="V185" s="1" t="s">
        <v>37</v>
      </c>
      <c r="W185">
        <v>2</v>
      </c>
    </row>
    <row r="186" spans="1:23" x14ac:dyDescent="0.3">
      <c r="A186" s="1" t="s">
        <v>514</v>
      </c>
      <c r="B186">
        <v>1</v>
      </c>
      <c r="C186">
        <v>18.989999999999998</v>
      </c>
      <c r="D186">
        <v>18.989999999999998</v>
      </c>
      <c r="E186" s="1" t="s">
        <v>389</v>
      </c>
      <c r="F186" s="1" t="s">
        <v>70</v>
      </c>
      <c r="G186">
        <v>0</v>
      </c>
      <c r="H186" s="1" t="s">
        <v>26</v>
      </c>
      <c r="I186" s="1" t="s">
        <v>97</v>
      </c>
      <c r="J186">
        <v>6</v>
      </c>
      <c r="K186">
        <v>18.989999999999998</v>
      </c>
      <c r="L186" s="1" t="s">
        <v>60</v>
      </c>
      <c r="M186" s="1" t="s">
        <v>43</v>
      </c>
      <c r="N186" s="1" t="s">
        <v>44</v>
      </c>
      <c r="O186" s="1" t="s">
        <v>31</v>
      </c>
      <c r="P186" s="2">
        <v>45823</v>
      </c>
      <c r="Q186" s="1" t="s">
        <v>231</v>
      </c>
      <c r="R186" s="1" t="s">
        <v>232</v>
      </c>
      <c r="S186" s="1" t="s">
        <v>105</v>
      </c>
      <c r="T186" s="1" t="s">
        <v>35</v>
      </c>
      <c r="U186" s="1" t="s">
        <v>36</v>
      </c>
      <c r="V186" s="1" t="s">
        <v>100</v>
      </c>
      <c r="W186">
        <v>3.2</v>
      </c>
    </row>
    <row r="187" spans="1:23" x14ac:dyDescent="0.3">
      <c r="A187" s="1" t="s">
        <v>515</v>
      </c>
      <c r="B187">
        <v>1</v>
      </c>
      <c r="C187">
        <v>27.99</v>
      </c>
      <c r="D187">
        <v>27.99</v>
      </c>
      <c r="E187" s="1" t="s">
        <v>272</v>
      </c>
      <c r="F187" s="1" t="s">
        <v>40</v>
      </c>
      <c r="G187">
        <v>2</v>
      </c>
      <c r="H187" s="1" t="s">
        <v>41</v>
      </c>
      <c r="I187" s="1" t="s">
        <v>75</v>
      </c>
      <c r="J187">
        <v>9</v>
      </c>
      <c r="K187">
        <v>27.99</v>
      </c>
      <c r="L187" s="1" t="s">
        <v>28</v>
      </c>
      <c r="M187" s="1" t="s">
        <v>61</v>
      </c>
      <c r="N187" s="1" t="s">
        <v>62</v>
      </c>
      <c r="O187" s="1" t="s">
        <v>31</v>
      </c>
      <c r="P187" s="2">
        <v>45726</v>
      </c>
      <c r="Q187" s="1" t="s">
        <v>231</v>
      </c>
      <c r="R187" s="1" t="s">
        <v>516</v>
      </c>
      <c r="S187" s="1" t="s">
        <v>47</v>
      </c>
      <c r="T187" s="1" t="s">
        <v>35</v>
      </c>
      <c r="U187" s="1" t="s">
        <v>66</v>
      </c>
      <c r="V187" s="1" t="s">
        <v>37</v>
      </c>
      <c r="W187">
        <v>2</v>
      </c>
    </row>
    <row r="188" spans="1:23" x14ac:dyDescent="0.3">
      <c r="A188" s="1" t="s">
        <v>517</v>
      </c>
      <c r="B188">
        <v>1</v>
      </c>
      <c r="C188">
        <v>18.989999999999998</v>
      </c>
      <c r="D188">
        <v>18.989999999999998</v>
      </c>
      <c r="E188" s="1" t="s">
        <v>168</v>
      </c>
      <c r="F188" s="1" t="s">
        <v>188</v>
      </c>
      <c r="G188">
        <v>0</v>
      </c>
      <c r="H188" s="1" t="s">
        <v>96</v>
      </c>
      <c r="I188" s="1" t="s">
        <v>97</v>
      </c>
      <c r="J188">
        <v>6</v>
      </c>
      <c r="K188">
        <v>18.989999999999998</v>
      </c>
      <c r="L188" s="1" t="s">
        <v>60</v>
      </c>
      <c r="M188" s="1" t="s">
        <v>43</v>
      </c>
      <c r="N188" s="1" t="s">
        <v>44</v>
      </c>
      <c r="O188" s="1" t="s">
        <v>31</v>
      </c>
      <c r="P188" s="2">
        <v>45823</v>
      </c>
      <c r="Q188" s="1" t="s">
        <v>518</v>
      </c>
      <c r="R188" s="1" t="s">
        <v>519</v>
      </c>
      <c r="S188" s="1" t="s">
        <v>54</v>
      </c>
      <c r="T188" s="1" t="s">
        <v>35</v>
      </c>
      <c r="U188" s="1" t="s">
        <v>55</v>
      </c>
      <c r="V188" s="1" t="s">
        <v>100</v>
      </c>
      <c r="W188">
        <v>3.2</v>
      </c>
    </row>
    <row r="189" spans="1:23" x14ac:dyDescent="0.3">
      <c r="A189" s="1" t="s">
        <v>520</v>
      </c>
      <c r="B189">
        <v>1</v>
      </c>
      <c r="C189">
        <v>21.99</v>
      </c>
      <c r="D189">
        <v>21.99</v>
      </c>
      <c r="E189" s="1" t="s">
        <v>102</v>
      </c>
      <c r="F189" s="1" t="s">
        <v>25</v>
      </c>
      <c r="G189">
        <v>2</v>
      </c>
      <c r="H189" s="1" t="s">
        <v>26</v>
      </c>
      <c r="I189" s="1" t="s">
        <v>27</v>
      </c>
      <c r="J189">
        <v>7</v>
      </c>
      <c r="K189">
        <v>21.99</v>
      </c>
      <c r="L189" s="1" t="s">
        <v>28</v>
      </c>
      <c r="M189" s="1" t="s">
        <v>29</v>
      </c>
      <c r="N189" s="1" t="s">
        <v>30</v>
      </c>
      <c r="O189" s="1" t="s">
        <v>31</v>
      </c>
      <c r="P189" s="2">
        <v>45778</v>
      </c>
      <c r="Q189" s="1" t="s">
        <v>420</v>
      </c>
      <c r="R189" s="1" t="s">
        <v>421</v>
      </c>
      <c r="S189" s="1" t="s">
        <v>34</v>
      </c>
      <c r="T189" s="1" t="s">
        <v>35</v>
      </c>
      <c r="U189" s="1" t="s">
        <v>82</v>
      </c>
      <c r="V189" s="1" t="s">
        <v>37</v>
      </c>
      <c r="W189">
        <v>2</v>
      </c>
    </row>
    <row r="190" spans="1:23" x14ac:dyDescent="0.3">
      <c r="A190" s="1" t="s">
        <v>521</v>
      </c>
      <c r="B190">
        <v>1</v>
      </c>
      <c r="C190">
        <v>34.99</v>
      </c>
      <c r="D190">
        <v>34.99</v>
      </c>
      <c r="E190" s="1" t="s">
        <v>160</v>
      </c>
      <c r="F190" s="1" t="s">
        <v>188</v>
      </c>
      <c r="G190">
        <v>0</v>
      </c>
      <c r="H190" s="1" t="s">
        <v>96</v>
      </c>
      <c r="I190" s="1" t="s">
        <v>85</v>
      </c>
      <c r="J190">
        <v>12.5</v>
      </c>
      <c r="K190">
        <v>34.99</v>
      </c>
      <c r="L190" s="1" t="s">
        <v>60</v>
      </c>
      <c r="M190" s="1" t="s">
        <v>29</v>
      </c>
      <c r="N190" s="1" t="s">
        <v>30</v>
      </c>
      <c r="O190" s="1" t="s">
        <v>31</v>
      </c>
      <c r="P190" s="2">
        <v>45778</v>
      </c>
      <c r="Q190" s="1" t="s">
        <v>339</v>
      </c>
      <c r="R190" s="1" t="s">
        <v>340</v>
      </c>
      <c r="S190" s="1" t="s">
        <v>65</v>
      </c>
      <c r="T190" s="1" t="s">
        <v>35</v>
      </c>
      <c r="U190" s="1" t="s">
        <v>66</v>
      </c>
      <c r="V190" s="1" t="s">
        <v>89</v>
      </c>
      <c r="W190">
        <v>2.4</v>
      </c>
    </row>
    <row r="191" spans="1:23" x14ac:dyDescent="0.3">
      <c r="A191" s="1" t="s">
        <v>522</v>
      </c>
      <c r="B191">
        <v>1</v>
      </c>
      <c r="C191">
        <v>21.99</v>
      </c>
      <c r="D191">
        <v>21.99</v>
      </c>
      <c r="E191" s="1" t="s">
        <v>168</v>
      </c>
      <c r="F191" s="1" t="s">
        <v>40</v>
      </c>
      <c r="G191">
        <v>3</v>
      </c>
      <c r="H191" s="1" t="s">
        <v>41</v>
      </c>
      <c r="I191" s="1" t="s">
        <v>27</v>
      </c>
      <c r="J191">
        <v>7</v>
      </c>
      <c r="K191">
        <v>21.99</v>
      </c>
      <c r="L191" s="1" t="s">
        <v>28</v>
      </c>
      <c r="M191" s="1" t="s">
        <v>29</v>
      </c>
      <c r="N191" s="1" t="s">
        <v>30</v>
      </c>
      <c r="O191" s="1" t="s">
        <v>31</v>
      </c>
      <c r="P191" s="2">
        <v>45778</v>
      </c>
      <c r="Q191" s="1" t="s">
        <v>225</v>
      </c>
      <c r="R191" s="1" t="s">
        <v>226</v>
      </c>
      <c r="S191" s="1" t="s">
        <v>105</v>
      </c>
      <c r="T191" s="1" t="s">
        <v>35</v>
      </c>
      <c r="U191" s="1" t="s">
        <v>36</v>
      </c>
      <c r="V191" s="1" t="s">
        <v>37</v>
      </c>
      <c r="W191">
        <v>2</v>
      </c>
    </row>
    <row r="192" spans="1:23" x14ac:dyDescent="0.3">
      <c r="A192" s="1" t="s">
        <v>523</v>
      </c>
      <c r="B192">
        <v>3</v>
      </c>
      <c r="C192">
        <v>27.99</v>
      </c>
      <c r="D192">
        <v>66.88</v>
      </c>
      <c r="E192" s="1" t="s">
        <v>246</v>
      </c>
      <c r="F192" s="1" t="s">
        <v>40</v>
      </c>
      <c r="G192">
        <v>3</v>
      </c>
      <c r="H192" s="1" t="s">
        <v>58</v>
      </c>
      <c r="I192" s="1" t="s">
        <v>75</v>
      </c>
      <c r="J192">
        <v>9</v>
      </c>
      <c r="K192">
        <v>27.99</v>
      </c>
      <c r="L192" s="1" t="s">
        <v>28</v>
      </c>
      <c r="M192" s="1" t="s">
        <v>61</v>
      </c>
      <c r="N192" s="1" t="s">
        <v>62</v>
      </c>
      <c r="O192" s="1" t="s">
        <v>31</v>
      </c>
      <c r="P192" s="2">
        <v>45726</v>
      </c>
      <c r="Q192" s="1" t="s">
        <v>385</v>
      </c>
      <c r="R192" s="1" t="s">
        <v>524</v>
      </c>
      <c r="S192" s="1" t="s">
        <v>65</v>
      </c>
      <c r="T192" s="1" t="s">
        <v>35</v>
      </c>
      <c r="U192" s="1" t="s">
        <v>66</v>
      </c>
      <c r="V192" s="1" t="s">
        <v>37</v>
      </c>
      <c r="W192">
        <v>2</v>
      </c>
    </row>
    <row r="193" spans="1:23" x14ac:dyDescent="0.3">
      <c r="A193" s="1" t="s">
        <v>525</v>
      </c>
      <c r="B193">
        <v>3</v>
      </c>
      <c r="C193">
        <v>21.99</v>
      </c>
      <c r="D193">
        <v>52.48</v>
      </c>
      <c r="E193" s="1" t="s">
        <v>228</v>
      </c>
      <c r="F193" s="1" t="s">
        <v>40</v>
      </c>
      <c r="G193">
        <v>3</v>
      </c>
      <c r="H193" s="1" t="s">
        <v>41</v>
      </c>
      <c r="I193" s="1" t="s">
        <v>27</v>
      </c>
      <c r="J193">
        <v>7</v>
      </c>
      <c r="K193">
        <v>21.99</v>
      </c>
      <c r="L193" s="1" t="s">
        <v>28</v>
      </c>
      <c r="M193" s="1" t="s">
        <v>29</v>
      </c>
      <c r="N193" s="1" t="s">
        <v>30</v>
      </c>
      <c r="O193" s="1" t="s">
        <v>31</v>
      </c>
      <c r="P193" s="2">
        <v>45778</v>
      </c>
      <c r="Q193" s="1" t="s">
        <v>526</v>
      </c>
      <c r="R193" s="1" t="s">
        <v>527</v>
      </c>
      <c r="S193" s="1" t="s">
        <v>105</v>
      </c>
      <c r="T193" s="1" t="s">
        <v>35</v>
      </c>
      <c r="U193" s="1" t="s">
        <v>48</v>
      </c>
      <c r="V193" s="1" t="s">
        <v>37</v>
      </c>
      <c r="W193">
        <v>2</v>
      </c>
    </row>
    <row r="194" spans="1:23" x14ac:dyDescent="0.3">
      <c r="A194" s="1" t="s">
        <v>528</v>
      </c>
      <c r="B194">
        <v>1</v>
      </c>
      <c r="C194">
        <v>27.99</v>
      </c>
      <c r="D194">
        <v>27.99</v>
      </c>
      <c r="E194" s="1" t="s">
        <v>313</v>
      </c>
      <c r="F194" s="1" t="s">
        <v>40</v>
      </c>
      <c r="G194">
        <v>3</v>
      </c>
      <c r="H194" s="1" t="s">
        <v>58</v>
      </c>
      <c r="I194" s="1" t="s">
        <v>75</v>
      </c>
      <c r="J194">
        <v>9</v>
      </c>
      <c r="K194">
        <v>27.99</v>
      </c>
      <c r="L194" s="1" t="s">
        <v>28</v>
      </c>
      <c r="M194" s="1" t="s">
        <v>61</v>
      </c>
      <c r="N194" s="1" t="s">
        <v>62</v>
      </c>
      <c r="O194" s="1" t="s">
        <v>31</v>
      </c>
      <c r="P194" s="2">
        <v>45726</v>
      </c>
      <c r="Q194" s="1" t="s">
        <v>98</v>
      </c>
      <c r="R194" s="1" t="s">
        <v>99</v>
      </c>
      <c r="S194" s="1" t="s">
        <v>47</v>
      </c>
      <c r="T194" s="1" t="s">
        <v>35</v>
      </c>
      <c r="U194" s="1" t="s">
        <v>66</v>
      </c>
      <c r="V194" s="1" t="s">
        <v>37</v>
      </c>
      <c r="W194">
        <v>2</v>
      </c>
    </row>
    <row r="195" spans="1:23" x14ac:dyDescent="0.3">
      <c r="A195" s="1" t="s">
        <v>529</v>
      </c>
      <c r="B195">
        <v>1</v>
      </c>
      <c r="C195">
        <v>18.989999999999998</v>
      </c>
      <c r="D195">
        <v>18.989999999999998</v>
      </c>
      <c r="E195" s="1" t="s">
        <v>248</v>
      </c>
      <c r="F195" s="1" t="s">
        <v>51</v>
      </c>
      <c r="G195">
        <v>0</v>
      </c>
      <c r="H195" s="1" t="s">
        <v>58</v>
      </c>
      <c r="I195" s="1" t="s">
        <v>97</v>
      </c>
      <c r="J195">
        <v>6</v>
      </c>
      <c r="K195">
        <v>18.989999999999998</v>
      </c>
      <c r="L195" s="1" t="s">
        <v>60</v>
      </c>
      <c r="M195" s="1" t="s">
        <v>43</v>
      </c>
      <c r="N195" s="1" t="s">
        <v>44</v>
      </c>
      <c r="O195" s="1" t="s">
        <v>31</v>
      </c>
      <c r="P195" s="2">
        <v>45823</v>
      </c>
      <c r="Q195" s="1" t="s">
        <v>530</v>
      </c>
      <c r="R195" s="1" t="s">
        <v>531</v>
      </c>
      <c r="S195" s="1" t="s">
        <v>47</v>
      </c>
      <c r="T195" s="1" t="s">
        <v>35</v>
      </c>
      <c r="U195" s="1" t="s">
        <v>82</v>
      </c>
      <c r="V195" s="1" t="s">
        <v>100</v>
      </c>
      <c r="W195">
        <v>3.2</v>
      </c>
    </row>
    <row r="196" spans="1:23" x14ac:dyDescent="0.3">
      <c r="A196" s="1" t="s">
        <v>532</v>
      </c>
      <c r="B196">
        <v>2</v>
      </c>
      <c r="C196">
        <v>30.99</v>
      </c>
      <c r="D196">
        <v>53.78</v>
      </c>
      <c r="E196" s="1" t="s">
        <v>348</v>
      </c>
      <c r="F196" s="1" t="s">
        <v>51</v>
      </c>
      <c r="G196">
        <v>0</v>
      </c>
      <c r="H196" s="1" t="s">
        <v>26</v>
      </c>
      <c r="I196" s="1" t="s">
        <v>42</v>
      </c>
      <c r="J196">
        <v>10.5</v>
      </c>
      <c r="K196">
        <v>30.99</v>
      </c>
      <c r="L196" s="1" t="s">
        <v>28</v>
      </c>
      <c r="M196" s="1" t="s">
        <v>43</v>
      </c>
      <c r="N196" s="1" t="s">
        <v>44</v>
      </c>
      <c r="O196" s="1" t="s">
        <v>31</v>
      </c>
      <c r="P196" s="2">
        <v>45823</v>
      </c>
      <c r="Q196" s="1" t="s">
        <v>533</v>
      </c>
      <c r="R196" s="1" t="s">
        <v>534</v>
      </c>
      <c r="S196" s="1" t="s">
        <v>105</v>
      </c>
      <c r="T196" s="1" t="s">
        <v>35</v>
      </c>
      <c r="U196" s="1" t="s">
        <v>66</v>
      </c>
      <c r="V196" s="1" t="s">
        <v>37</v>
      </c>
      <c r="W196">
        <v>2</v>
      </c>
    </row>
    <row r="197" spans="1:23" x14ac:dyDescent="0.3">
      <c r="A197" s="1" t="s">
        <v>535</v>
      </c>
      <c r="B197">
        <v>1</v>
      </c>
      <c r="C197">
        <v>16.989999999999998</v>
      </c>
      <c r="D197">
        <v>16.989999999999998</v>
      </c>
      <c r="E197" s="1" t="s">
        <v>536</v>
      </c>
      <c r="F197" s="1" t="s">
        <v>40</v>
      </c>
      <c r="G197">
        <v>15</v>
      </c>
      <c r="H197" s="1" t="s">
        <v>58</v>
      </c>
      <c r="I197" s="1" t="s">
        <v>59</v>
      </c>
      <c r="J197">
        <v>5</v>
      </c>
      <c r="K197">
        <v>16.989999999999998</v>
      </c>
      <c r="L197" s="1" t="s">
        <v>60</v>
      </c>
      <c r="M197" s="1" t="s">
        <v>61</v>
      </c>
      <c r="N197" s="1" t="s">
        <v>62</v>
      </c>
      <c r="O197" s="1" t="s">
        <v>31</v>
      </c>
      <c r="P197" s="2">
        <v>45726</v>
      </c>
      <c r="Q197" s="1" t="s">
        <v>406</v>
      </c>
      <c r="R197" s="1" t="s">
        <v>407</v>
      </c>
      <c r="S197" s="1" t="s">
        <v>65</v>
      </c>
      <c r="T197" s="1" t="s">
        <v>35</v>
      </c>
      <c r="U197" s="1" t="s">
        <v>55</v>
      </c>
      <c r="V197" s="1" t="s">
        <v>67</v>
      </c>
      <c r="W197">
        <v>3</v>
      </c>
    </row>
    <row r="198" spans="1:23" x14ac:dyDescent="0.3">
      <c r="A198" s="1" t="s">
        <v>537</v>
      </c>
      <c r="B198">
        <v>1</v>
      </c>
      <c r="C198">
        <v>34.99</v>
      </c>
      <c r="D198">
        <v>34.99</v>
      </c>
      <c r="E198" s="1" t="s">
        <v>136</v>
      </c>
      <c r="F198" s="1" t="s">
        <v>40</v>
      </c>
      <c r="G198">
        <v>5</v>
      </c>
      <c r="H198" s="1" t="s">
        <v>26</v>
      </c>
      <c r="I198" s="1" t="s">
        <v>85</v>
      </c>
      <c r="J198">
        <v>12.5</v>
      </c>
      <c r="K198">
        <v>34.99</v>
      </c>
      <c r="L198" s="1" t="s">
        <v>60</v>
      </c>
      <c r="M198" s="1" t="s">
        <v>29</v>
      </c>
      <c r="N198" s="1" t="s">
        <v>30</v>
      </c>
      <c r="O198" s="1" t="s">
        <v>31</v>
      </c>
      <c r="P198" s="2">
        <v>45778</v>
      </c>
      <c r="Q198" s="1" t="s">
        <v>318</v>
      </c>
      <c r="R198" s="1" t="s">
        <v>538</v>
      </c>
      <c r="S198" s="1" t="s">
        <v>65</v>
      </c>
      <c r="T198" s="1" t="s">
        <v>35</v>
      </c>
      <c r="U198" s="1" t="s">
        <v>36</v>
      </c>
      <c r="V198" s="1" t="s">
        <v>89</v>
      </c>
      <c r="W198">
        <v>2.4</v>
      </c>
    </row>
    <row r="199" spans="1:23" x14ac:dyDescent="0.3">
      <c r="A199" s="1" t="s">
        <v>539</v>
      </c>
      <c r="B199">
        <v>1</v>
      </c>
      <c r="C199">
        <v>16.989999999999998</v>
      </c>
      <c r="D199">
        <v>16.989999999999998</v>
      </c>
      <c r="E199" s="1" t="s">
        <v>452</v>
      </c>
      <c r="F199" s="1" t="s">
        <v>40</v>
      </c>
      <c r="G199">
        <v>22</v>
      </c>
      <c r="H199" s="1" t="s">
        <v>26</v>
      </c>
      <c r="I199" s="1" t="s">
        <v>59</v>
      </c>
      <c r="J199">
        <v>5</v>
      </c>
      <c r="K199">
        <v>16.989999999999998</v>
      </c>
      <c r="L199" s="1" t="s">
        <v>60</v>
      </c>
      <c r="M199" s="1" t="s">
        <v>61</v>
      </c>
      <c r="N199" s="1" t="s">
        <v>62</v>
      </c>
      <c r="O199" s="1" t="s">
        <v>31</v>
      </c>
      <c r="P199" s="2">
        <v>45726</v>
      </c>
      <c r="Q199" s="1" t="s">
        <v>165</v>
      </c>
      <c r="R199" s="1" t="s">
        <v>166</v>
      </c>
      <c r="S199" s="1" t="s">
        <v>88</v>
      </c>
      <c r="T199" s="1" t="s">
        <v>35</v>
      </c>
      <c r="U199" s="1" t="s">
        <v>66</v>
      </c>
      <c r="V199" s="1" t="s">
        <v>67</v>
      </c>
      <c r="W199">
        <v>3</v>
      </c>
    </row>
    <row r="200" spans="1:23" x14ac:dyDescent="0.3">
      <c r="A200" s="1" t="s">
        <v>540</v>
      </c>
      <c r="B200">
        <v>1</v>
      </c>
      <c r="C200">
        <v>18.989999999999998</v>
      </c>
      <c r="D200">
        <v>18.989999999999998</v>
      </c>
      <c r="E200" s="1" t="s">
        <v>228</v>
      </c>
      <c r="F200" s="1" t="s">
        <v>188</v>
      </c>
      <c r="G200">
        <v>0</v>
      </c>
      <c r="H200" s="1" t="s">
        <v>41</v>
      </c>
      <c r="I200" s="1" t="s">
        <v>97</v>
      </c>
      <c r="J200">
        <v>6</v>
      </c>
      <c r="K200">
        <v>18.989999999999998</v>
      </c>
      <c r="L200" s="1" t="s">
        <v>60</v>
      </c>
      <c r="M200" s="1" t="s">
        <v>43</v>
      </c>
      <c r="N200" s="1" t="s">
        <v>44</v>
      </c>
      <c r="O200" s="1" t="s">
        <v>31</v>
      </c>
      <c r="P200" s="2">
        <v>45823</v>
      </c>
      <c r="Q200" s="1" t="s">
        <v>409</v>
      </c>
      <c r="R200" s="1" t="s">
        <v>410</v>
      </c>
      <c r="S200" s="1" t="s">
        <v>411</v>
      </c>
      <c r="T200" s="1" t="s">
        <v>35</v>
      </c>
      <c r="U200" s="1" t="s">
        <v>48</v>
      </c>
      <c r="V200" s="1" t="s">
        <v>100</v>
      </c>
      <c r="W200">
        <v>3.2</v>
      </c>
    </row>
    <row r="201" spans="1:23" x14ac:dyDescent="0.3">
      <c r="A201" s="1" t="s">
        <v>541</v>
      </c>
      <c r="B201">
        <v>1</v>
      </c>
      <c r="C201">
        <v>30.99</v>
      </c>
      <c r="D201">
        <v>30.99</v>
      </c>
      <c r="E201" s="1" t="s">
        <v>50</v>
      </c>
      <c r="F201" s="1" t="s">
        <v>51</v>
      </c>
      <c r="G201">
        <v>0</v>
      </c>
      <c r="H201" s="1" t="s">
        <v>58</v>
      </c>
      <c r="I201" s="1" t="s">
        <v>42</v>
      </c>
      <c r="J201">
        <v>10.5</v>
      </c>
      <c r="K201">
        <v>30.99</v>
      </c>
      <c r="L201" s="1" t="s">
        <v>28</v>
      </c>
      <c r="M201" s="1" t="s">
        <v>43</v>
      </c>
      <c r="N201" s="1" t="s">
        <v>44</v>
      </c>
      <c r="O201" s="1" t="s">
        <v>31</v>
      </c>
      <c r="P201" s="2">
        <v>45823</v>
      </c>
      <c r="Q201" s="1" t="s">
        <v>63</v>
      </c>
      <c r="R201" s="1" t="s">
        <v>371</v>
      </c>
      <c r="S201" s="1" t="s">
        <v>88</v>
      </c>
      <c r="T201" s="1" t="s">
        <v>35</v>
      </c>
      <c r="U201" s="1" t="s">
        <v>36</v>
      </c>
      <c r="V201" s="1" t="s">
        <v>37</v>
      </c>
      <c r="W201">
        <v>2</v>
      </c>
    </row>
    <row r="202" spans="1:23" x14ac:dyDescent="0.3">
      <c r="A202" s="1" t="s">
        <v>542</v>
      </c>
      <c r="B202">
        <v>2</v>
      </c>
      <c r="C202">
        <v>16.989999999999998</v>
      </c>
      <c r="D202">
        <v>29.18</v>
      </c>
      <c r="E202" s="1" t="s">
        <v>128</v>
      </c>
      <c r="F202" s="1" t="s">
        <v>188</v>
      </c>
      <c r="G202">
        <v>0</v>
      </c>
      <c r="H202" s="1" t="s">
        <v>96</v>
      </c>
      <c r="I202" s="1" t="s">
        <v>59</v>
      </c>
      <c r="J202">
        <v>5</v>
      </c>
      <c r="K202">
        <v>16.989999999999998</v>
      </c>
      <c r="L202" s="1" t="s">
        <v>60</v>
      </c>
      <c r="M202" s="1" t="s">
        <v>61</v>
      </c>
      <c r="N202" s="1" t="s">
        <v>62</v>
      </c>
      <c r="O202" s="1" t="s">
        <v>31</v>
      </c>
      <c r="P202" s="2">
        <v>45726</v>
      </c>
      <c r="Q202" s="1" t="s">
        <v>339</v>
      </c>
      <c r="R202" s="1" t="s">
        <v>340</v>
      </c>
      <c r="S202" s="1" t="s">
        <v>65</v>
      </c>
      <c r="T202" s="1" t="s">
        <v>35</v>
      </c>
      <c r="U202" s="1" t="s">
        <v>66</v>
      </c>
      <c r="V202" s="1" t="s">
        <v>67</v>
      </c>
      <c r="W202">
        <v>3</v>
      </c>
    </row>
    <row r="203" spans="1:23" x14ac:dyDescent="0.3">
      <c r="A203" s="1" t="s">
        <v>543</v>
      </c>
      <c r="B203">
        <v>1</v>
      </c>
      <c r="C203">
        <v>18.989999999999998</v>
      </c>
      <c r="D203">
        <v>18.989999999999998</v>
      </c>
      <c r="E203" s="1" t="s">
        <v>146</v>
      </c>
      <c r="F203" s="1" t="s">
        <v>70</v>
      </c>
      <c r="G203">
        <v>0</v>
      </c>
      <c r="H203" s="1" t="s">
        <v>96</v>
      </c>
      <c r="I203" s="1" t="s">
        <v>97</v>
      </c>
      <c r="J203">
        <v>6</v>
      </c>
      <c r="K203">
        <v>18.989999999999998</v>
      </c>
      <c r="L203" s="1" t="s">
        <v>60</v>
      </c>
      <c r="M203" s="1" t="s">
        <v>43</v>
      </c>
      <c r="N203" s="1" t="s">
        <v>44</v>
      </c>
      <c r="O203" s="1" t="s">
        <v>31</v>
      </c>
      <c r="P203" s="2">
        <v>45823</v>
      </c>
      <c r="Q203" s="1" t="s">
        <v>544</v>
      </c>
      <c r="R203" s="1" t="s">
        <v>545</v>
      </c>
      <c r="S203" s="1" t="s">
        <v>411</v>
      </c>
      <c r="T203" s="1" t="s">
        <v>35</v>
      </c>
      <c r="U203" s="1" t="s">
        <v>66</v>
      </c>
      <c r="V203" s="1" t="s">
        <v>100</v>
      </c>
      <c r="W203">
        <v>3.2</v>
      </c>
    </row>
    <row r="204" spans="1:23" x14ac:dyDescent="0.3">
      <c r="A204" s="1" t="s">
        <v>546</v>
      </c>
      <c r="B204">
        <v>1</v>
      </c>
      <c r="C204">
        <v>16.989999999999998</v>
      </c>
      <c r="D204">
        <v>16.989999999999998</v>
      </c>
      <c r="E204" s="1" t="s">
        <v>197</v>
      </c>
      <c r="F204" s="1" t="s">
        <v>188</v>
      </c>
      <c r="G204">
        <v>0</v>
      </c>
      <c r="H204" s="1" t="s">
        <v>26</v>
      </c>
      <c r="I204" s="1" t="s">
        <v>59</v>
      </c>
      <c r="J204">
        <v>5</v>
      </c>
      <c r="K204">
        <v>16.989999999999998</v>
      </c>
      <c r="L204" s="1" t="s">
        <v>60</v>
      </c>
      <c r="M204" s="1" t="s">
        <v>61</v>
      </c>
      <c r="N204" s="1" t="s">
        <v>62</v>
      </c>
      <c r="O204" s="1" t="s">
        <v>31</v>
      </c>
      <c r="P204" s="2">
        <v>45726</v>
      </c>
      <c r="Q204" s="1" t="s">
        <v>45</v>
      </c>
      <c r="R204" s="1" t="s">
        <v>513</v>
      </c>
      <c r="S204" s="1" t="s">
        <v>54</v>
      </c>
      <c r="T204" s="1" t="s">
        <v>35</v>
      </c>
      <c r="U204" s="1" t="s">
        <v>48</v>
      </c>
      <c r="V204" s="1" t="s">
        <v>67</v>
      </c>
      <c r="W204">
        <v>3</v>
      </c>
    </row>
    <row r="205" spans="1:23" x14ac:dyDescent="0.3">
      <c r="A205" s="1" t="s">
        <v>547</v>
      </c>
      <c r="B205">
        <v>2</v>
      </c>
      <c r="C205">
        <v>34.99</v>
      </c>
      <c r="D205">
        <v>60.98</v>
      </c>
      <c r="E205" s="1" t="s">
        <v>338</v>
      </c>
      <c r="F205" s="1" t="s">
        <v>40</v>
      </c>
      <c r="G205">
        <v>8</v>
      </c>
      <c r="H205" s="1" t="s">
        <v>96</v>
      </c>
      <c r="I205" s="1" t="s">
        <v>85</v>
      </c>
      <c r="J205">
        <v>12.5</v>
      </c>
      <c r="K205">
        <v>34.99</v>
      </c>
      <c r="L205" s="1" t="s">
        <v>60</v>
      </c>
      <c r="M205" s="1" t="s">
        <v>29</v>
      </c>
      <c r="N205" s="1" t="s">
        <v>30</v>
      </c>
      <c r="O205" s="1" t="s">
        <v>31</v>
      </c>
      <c r="P205" s="2">
        <v>45778</v>
      </c>
      <c r="Q205" s="1" t="s">
        <v>339</v>
      </c>
      <c r="R205" s="1" t="s">
        <v>340</v>
      </c>
      <c r="S205" s="1" t="s">
        <v>65</v>
      </c>
      <c r="T205" s="1" t="s">
        <v>35</v>
      </c>
      <c r="U205" s="1" t="s">
        <v>66</v>
      </c>
      <c r="V205" s="1" t="s">
        <v>89</v>
      </c>
      <c r="W205">
        <v>2.4</v>
      </c>
    </row>
    <row r="206" spans="1:23" x14ac:dyDescent="0.3">
      <c r="A206" s="1" t="s">
        <v>548</v>
      </c>
      <c r="B206">
        <v>2</v>
      </c>
      <c r="C206">
        <v>34.99</v>
      </c>
      <c r="D206">
        <v>60.98</v>
      </c>
      <c r="E206" s="1" t="s">
        <v>549</v>
      </c>
      <c r="F206" s="1" t="s">
        <v>40</v>
      </c>
      <c r="G206">
        <v>8</v>
      </c>
      <c r="H206" s="1" t="s">
        <v>96</v>
      </c>
      <c r="I206" s="1" t="s">
        <v>85</v>
      </c>
      <c r="J206">
        <v>12.5</v>
      </c>
      <c r="K206">
        <v>34.99</v>
      </c>
      <c r="L206" s="1" t="s">
        <v>60</v>
      </c>
      <c r="M206" s="1" t="s">
        <v>29</v>
      </c>
      <c r="N206" s="1" t="s">
        <v>30</v>
      </c>
      <c r="O206" s="1" t="s">
        <v>31</v>
      </c>
      <c r="P206" s="2">
        <v>45778</v>
      </c>
      <c r="Q206" s="1" t="s">
        <v>308</v>
      </c>
      <c r="R206" s="1" t="s">
        <v>309</v>
      </c>
      <c r="S206" s="1" t="s">
        <v>47</v>
      </c>
      <c r="T206" s="1" t="s">
        <v>35</v>
      </c>
      <c r="U206" s="1" t="s">
        <v>82</v>
      </c>
      <c r="V206" s="1" t="s">
        <v>89</v>
      </c>
      <c r="W206">
        <v>2.4</v>
      </c>
    </row>
    <row r="207" spans="1:23" x14ac:dyDescent="0.3">
      <c r="A207" s="1" t="s">
        <v>550</v>
      </c>
      <c r="B207">
        <v>1</v>
      </c>
      <c r="C207">
        <v>18.989999999999998</v>
      </c>
      <c r="D207">
        <v>18.989999999999998</v>
      </c>
      <c r="E207" s="1" t="s">
        <v>274</v>
      </c>
      <c r="F207" s="1" t="s">
        <v>40</v>
      </c>
      <c r="G207">
        <v>11</v>
      </c>
      <c r="H207" s="1" t="s">
        <v>58</v>
      </c>
      <c r="I207" s="1" t="s">
        <v>97</v>
      </c>
      <c r="J207">
        <v>6</v>
      </c>
      <c r="K207">
        <v>18.989999999999998</v>
      </c>
      <c r="L207" s="1" t="s">
        <v>60</v>
      </c>
      <c r="M207" s="1" t="s">
        <v>43</v>
      </c>
      <c r="N207" s="1" t="s">
        <v>44</v>
      </c>
      <c r="O207" s="1" t="s">
        <v>31</v>
      </c>
      <c r="P207" s="2">
        <v>45823</v>
      </c>
      <c r="Q207" s="1" t="s">
        <v>376</v>
      </c>
      <c r="R207" s="1" t="s">
        <v>551</v>
      </c>
      <c r="S207" s="1" t="s">
        <v>34</v>
      </c>
      <c r="T207" s="1" t="s">
        <v>35</v>
      </c>
      <c r="U207" s="1" t="s">
        <v>82</v>
      </c>
      <c r="V207" s="1" t="s">
        <v>100</v>
      </c>
      <c r="W207">
        <v>3.2</v>
      </c>
    </row>
    <row r="208" spans="1:23" x14ac:dyDescent="0.3">
      <c r="A208" s="1" t="s">
        <v>552</v>
      </c>
      <c r="B208">
        <v>1</v>
      </c>
      <c r="C208">
        <v>27.99</v>
      </c>
      <c r="D208">
        <v>27.99</v>
      </c>
      <c r="E208" s="1" t="s">
        <v>214</v>
      </c>
      <c r="F208" s="1" t="s">
        <v>70</v>
      </c>
      <c r="G208">
        <v>0</v>
      </c>
      <c r="H208" s="1" t="s">
        <v>41</v>
      </c>
      <c r="I208" s="1" t="s">
        <v>75</v>
      </c>
      <c r="J208">
        <v>9</v>
      </c>
      <c r="K208">
        <v>27.99</v>
      </c>
      <c r="L208" s="1" t="s">
        <v>28</v>
      </c>
      <c r="M208" s="1" t="s">
        <v>61</v>
      </c>
      <c r="N208" s="1" t="s">
        <v>62</v>
      </c>
      <c r="O208" s="1" t="s">
        <v>31</v>
      </c>
      <c r="P208" s="2">
        <v>45726</v>
      </c>
      <c r="Q208" s="1" t="s">
        <v>553</v>
      </c>
      <c r="R208" s="1" t="s">
        <v>554</v>
      </c>
      <c r="S208" s="1" t="s">
        <v>105</v>
      </c>
      <c r="T208" s="1" t="s">
        <v>35</v>
      </c>
      <c r="U208" s="1" t="s">
        <v>36</v>
      </c>
      <c r="V208" s="1" t="s">
        <v>37</v>
      </c>
      <c r="W208">
        <v>2</v>
      </c>
    </row>
    <row r="209" spans="1:23" x14ac:dyDescent="0.3">
      <c r="A209" s="1" t="s">
        <v>555</v>
      </c>
      <c r="B209">
        <v>1</v>
      </c>
      <c r="C209">
        <v>21.99</v>
      </c>
      <c r="D209">
        <v>21.99</v>
      </c>
      <c r="E209" s="1" t="s">
        <v>113</v>
      </c>
      <c r="F209" s="1" t="s">
        <v>188</v>
      </c>
      <c r="G209">
        <v>0</v>
      </c>
      <c r="H209" s="1" t="s">
        <v>96</v>
      </c>
      <c r="I209" s="1" t="s">
        <v>27</v>
      </c>
      <c r="J209">
        <v>7</v>
      </c>
      <c r="K209">
        <v>21.99</v>
      </c>
      <c r="L209" s="1" t="s">
        <v>28</v>
      </c>
      <c r="M209" s="1" t="s">
        <v>29</v>
      </c>
      <c r="N209" s="1" t="s">
        <v>30</v>
      </c>
      <c r="O209" s="1" t="s">
        <v>31</v>
      </c>
      <c r="P209" s="2">
        <v>45778</v>
      </c>
      <c r="Q209" s="1" t="s">
        <v>234</v>
      </c>
      <c r="R209" s="1" t="s">
        <v>556</v>
      </c>
      <c r="S209" s="1" t="s">
        <v>88</v>
      </c>
      <c r="T209" s="1" t="s">
        <v>35</v>
      </c>
      <c r="U209" s="1" t="s">
        <v>48</v>
      </c>
      <c r="V209" s="1" t="s">
        <v>37</v>
      </c>
      <c r="W209">
        <v>2</v>
      </c>
    </row>
    <row r="210" spans="1:23" x14ac:dyDescent="0.3">
      <c r="A210" s="1" t="s">
        <v>557</v>
      </c>
      <c r="B210">
        <v>1</v>
      </c>
      <c r="C210">
        <v>18.989999999999998</v>
      </c>
      <c r="D210">
        <v>18.989999999999998</v>
      </c>
      <c r="E210" s="1" t="s">
        <v>228</v>
      </c>
      <c r="F210" s="1" t="s">
        <v>40</v>
      </c>
      <c r="G210">
        <v>10</v>
      </c>
      <c r="H210" s="1" t="s">
        <v>96</v>
      </c>
      <c r="I210" s="1" t="s">
        <v>97</v>
      </c>
      <c r="J210">
        <v>6</v>
      </c>
      <c r="K210">
        <v>18.989999999999998</v>
      </c>
      <c r="L210" s="1" t="s">
        <v>60</v>
      </c>
      <c r="M210" s="1" t="s">
        <v>43</v>
      </c>
      <c r="N210" s="1" t="s">
        <v>44</v>
      </c>
      <c r="O210" s="1" t="s">
        <v>31</v>
      </c>
      <c r="P210" s="2">
        <v>45823</v>
      </c>
      <c r="Q210" s="1" t="s">
        <v>518</v>
      </c>
      <c r="R210" s="1" t="s">
        <v>519</v>
      </c>
      <c r="S210" s="1" t="s">
        <v>54</v>
      </c>
      <c r="T210" s="1" t="s">
        <v>35</v>
      </c>
      <c r="U210" s="1" t="s">
        <v>55</v>
      </c>
      <c r="V210" s="1" t="s">
        <v>100</v>
      </c>
      <c r="W210">
        <v>3.2</v>
      </c>
    </row>
    <row r="211" spans="1:23" x14ac:dyDescent="0.3">
      <c r="A211" s="1" t="s">
        <v>558</v>
      </c>
      <c r="B211">
        <v>1</v>
      </c>
      <c r="C211">
        <v>27.99</v>
      </c>
      <c r="D211">
        <v>27.99</v>
      </c>
      <c r="E211" s="1" t="s">
        <v>272</v>
      </c>
      <c r="F211" s="1" t="s">
        <v>51</v>
      </c>
      <c r="G211">
        <v>0</v>
      </c>
      <c r="H211" s="1" t="s">
        <v>96</v>
      </c>
      <c r="I211" s="1" t="s">
        <v>75</v>
      </c>
      <c r="J211">
        <v>9</v>
      </c>
      <c r="K211">
        <v>27.99</v>
      </c>
      <c r="L211" s="1" t="s">
        <v>28</v>
      </c>
      <c r="M211" s="1" t="s">
        <v>61</v>
      </c>
      <c r="N211" s="1" t="s">
        <v>62</v>
      </c>
      <c r="O211" s="1" t="s">
        <v>31</v>
      </c>
      <c r="P211" s="2">
        <v>45726</v>
      </c>
      <c r="Q211" s="1" t="s">
        <v>379</v>
      </c>
      <c r="R211" s="1" t="s">
        <v>380</v>
      </c>
      <c r="S211" s="1" t="s">
        <v>34</v>
      </c>
      <c r="T211" s="1" t="s">
        <v>35</v>
      </c>
      <c r="U211" s="1" t="s">
        <v>55</v>
      </c>
      <c r="V211" s="1" t="s">
        <v>37</v>
      </c>
      <c r="W211">
        <v>2</v>
      </c>
    </row>
    <row r="212" spans="1:23" x14ac:dyDescent="0.3">
      <c r="A212" s="1" t="s">
        <v>559</v>
      </c>
      <c r="B212">
        <v>3</v>
      </c>
      <c r="C212">
        <v>21.99</v>
      </c>
      <c r="D212">
        <v>52.48</v>
      </c>
      <c r="E212" s="1" t="s">
        <v>160</v>
      </c>
      <c r="F212" s="1" t="s">
        <v>51</v>
      </c>
      <c r="G212">
        <v>0</v>
      </c>
      <c r="H212" s="1" t="s">
        <v>26</v>
      </c>
      <c r="I212" s="1" t="s">
        <v>27</v>
      </c>
      <c r="J212">
        <v>7</v>
      </c>
      <c r="K212">
        <v>21.99</v>
      </c>
      <c r="L212" s="1" t="s">
        <v>28</v>
      </c>
      <c r="M212" s="1" t="s">
        <v>29</v>
      </c>
      <c r="N212" s="1" t="s">
        <v>30</v>
      </c>
      <c r="O212" s="1" t="s">
        <v>31</v>
      </c>
      <c r="P212" s="2">
        <v>45778</v>
      </c>
      <c r="Q212" s="1" t="s">
        <v>318</v>
      </c>
      <c r="R212" s="1" t="s">
        <v>319</v>
      </c>
      <c r="S212" s="1" t="s">
        <v>54</v>
      </c>
      <c r="T212" s="1" t="s">
        <v>35</v>
      </c>
      <c r="U212" s="1" t="s">
        <v>55</v>
      </c>
      <c r="V212" s="1" t="s">
        <v>37</v>
      </c>
      <c r="W212">
        <v>2</v>
      </c>
    </row>
    <row r="213" spans="1:23" x14ac:dyDescent="0.3">
      <c r="A213" s="1" t="s">
        <v>560</v>
      </c>
      <c r="B213">
        <v>1</v>
      </c>
      <c r="C213">
        <v>34.99</v>
      </c>
      <c r="D213">
        <v>34.99</v>
      </c>
      <c r="E213" s="1" t="s">
        <v>561</v>
      </c>
      <c r="F213" s="1" t="s">
        <v>40</v>
      </c>
      <c r="G213">
        <v>5</v>
      </c>
      <c r="H213" s="1" t="s">
        <v>26</v>
      </c>
      <c r="I213" s="1" t="s">
        <v>85</v>
      </c>
      <c r="J213">
        <v>12.5</v>
      </c>
      <c r="K213">
        <v>34.99</v>
      </c>
      <c r="L213" s="1" t="s">
        <v>60</v>
      </c>
      <c r="M213" s="1" t="s">
        <v>29</v>
      </c>
      <c r="N213" s="1" t="s">
        <v>30</v>
      </c>
      <c r="O213" s="1" t="s">
        <v>31</v>
      </c>
      <c r="P213" s="2">
        <v>45778</v>
      </c>
      <c r="Q213" s="1" t="s">
        <v>165</v>
      </c>
      <c r="R213" s="1" t="s">
        <v>562</v>
      </c>
      <c r="S213" s="1" t="s">
        <v>34</v>
      </c>
      <c r="T213" s="1" t="s">
        <v>35</v>
      </c>
      <c r="U213" s="1" t="s">
        <v>48</v>
      </c>
      <c r="V213" s="1" t="s">
        <v>89</v>
      </c>
      <c r="W213">
        <v>2.4</v>
      </c>
    </row>
    <row r="214" spans="1:23" x14ac:dyDescent="0.3">
      <c r="A214" s="1" t="s">
        <v>563</v>
      </c>
      <c r="B214">
        <v>1</v>
      </c>
      <c r="C214">
        <v>30.99</v>
      </c>
      <c r="D214">
        <v>30.99</v>
      </c>
      <c r="E214" s="1" t="s">
        <v>146</v>
      </c>
      <c r="F214" s="1" t="s">
        <v>70</v>
      </c>
      <c r="G214">
        <v>0</v>
      </c>
      <c r="H214" s="1" t="s">
        <v>26</v>
      </c>
      <c r="I214" s="1" t="s">
        <v>42</v>
      </c>
      <c r="J214">
        <v>10.5</v>
      </c>
      <c r="K214">
        <v>30.99</v>
      </c>
      <c r="L214" s="1" t="s">
        <v>28</v>
      </c>
      <c r="M214" s="1" t="s">
        <v>43</v>
      </c>
      <c r="N214" s="1" t="s">
        <v>44</v>
      </c>
      <c r="O214" s="1" t="s">
        <v>31</v>
      </c>
      <c r="P214" s="2">
        <v>45823</v>
      </c>
      <c r="Q214" s="1" t="s">
        <v>32</v>
      </c>
      <c r="R214" s="1" t="s">
        <v>33</v>
      </c>
      <c r="S214" s="1" t="s">
        <v>34</v>
      </c>
      <c r="T214" s="1" t="s">
        <v>35</v>
      </c>
      <c r="U214" s="1" t="s">
        <v>36</v>
      </c>
      <c r="V214" s="1" t="s">
        <v>37</v>
      </c>
      <c r="W214">
        <v>2</v>
      </c>
    </row>
    <row r="215" spans="1:23" x14ac:dyDescent="0.3">
      <c r="A215" s="1" t="s">
        <v>564</v>
      </c>
      <c r="B215">
        <v>2</v>
      </c>
      <c r="C215">
        <v>18.989999999999998</v>
      </c>
      <c r="D215">
        <v>32.78</v>
      </c>
      <c r="E215" s="1" t="s">
        <v>313</v>
      </c>
      <c r="F215" s="1" t="s">
        <v>51</v>
      </c>
      <c r="G215">
        <v>0</v>
      </c>
      <c r="H215" s="1" t="s">
        <v>26</v>
      </c>
      <c r="I215" s="1" t="s">
        <v>97</v>
      </c>
      <c r="J215">
        <v>6</v>
      </c>
      <c r="K215">
        <v>18.989999999999998</v>
      </c>
      <c r="L215" s="1" t="s">
        <v>60</v>
      </c>
      <c r="M215" s="1" t="s">
        <v>43</v>
      </c>
      <c r="N215" s="1" t="s">
        <v>44</v>
      </c>
      <c r="O215" s="1" t="s">
        <v>31</v>
      </c>
      <c r="P215" s="2">
        <v>45823</v>
      </c>
      <c r="Q215" s="1" t="s">
        <v>553</v>
      </c>
      <c r="R215" s="1" t="s">
        <v>554</v>
      </c>
      <c r="S215" s="1" t="s">
        <v>105</v>
      </c>
      <c r="T215" s="1" t="s">
        <v>35</v>
      </c>
      <c r="U215" s="1" t="s">
        <v>36</v>
      </c>
      <c r="V215" s="1" t="s">
        <v>100</v>
      </c>
      <c r="W215">
        <v>3.2</v>
      </c>
    </row>
    <row r="216" spans="1:23" x14ac:dyDescent="0.3">
      <c r="A216" s="1" t="s">
        <v>565</v>
      </c>
      <c r="B216">
        <v>1</v>
      </c>
      <c r="C216">
        <v>30.99</v>
      </c>
      <c r="D216">
        <v>30.99</v>
      </c>
      <c r="E216" s="1" t="s">
        <v>50</v>
      </c>
      <c r="F216" s="1" t="s">
        <v>70</v>
      </c>
      <c r="G216">
        <v>0</v>
      </c>
      <c r="H216" s="1" t="s">
        <v>26</v>
      </c>
      <c r="I216" s="1" t="s">
        <v>42</v>
      </c>
      <c r="J216">
        <v>10.5</v>
      </c>
      <c r="K216">
        <v>30.99</v>
      </c>
      <c r="L216" s="1" t="s">
        <v>28</v>
      </c>
      <c r="M216" s="1" t="s">
        <v>43</v>
      </c>
      <c r="N216" s="1" t="s">
        <v>44</v>
      </c>
      <c r="O216" s="1" t="s">
        <v>31</v>
      </c>
      <c r="P216" s="2">
        <v>45823</v>
      </c>
      <c r="Q216" s="1" t="s">
        <v>249</v>
      </c>
      <c r="R216" s="1" t="s">
        <v>250</v>
      </c>
      <c r="S216" s="1" t="s">
        <v>47</v>
      </c>
      <c r="T216" s="1" t="s">
        <v>35</v>
      </c>
      <c r="U216" s="1" t="s">
        <v>82</v>
      </c>
      <c r="V216" s="1" t="s">
        <v>37</v>
      </c>
      <c r="W216">
        <v>2</v>
      </c>
    </row>
    <row r="217" spans="1:23" x14ac:dyDescent="0.3">
      <c r="A217" s="1" t="s">
        <v>566</v>
      </c>
      <c r="B217">
        <v>3</v>
      </c>
      <c r="C217">
        <v>30.99</v>
      </c>
      <c r="D217">
        <v>74.53</v>
      </c>
      <c r="E217" s="1" t="s">
        <v>69</v>
      </c>
      <c r="F217" s="1" t="s">
        <v>51</v>
      </c>
      <c r="G217">
        <v>0</v>
      </c>
      <c r="H217" s="1" t="s">
        <v>26</v>
      </c>
      <c r="I217" s="1" t="s">
        <v>42</v>
      </c>
      <c r="J217">
        <v>10.5</v>
      </c>
      <c r="K217">
        <v>30.99</v>
      </c>
      <c r="L217" s="1" t="s">
        <v>28</v>
      </c>
      <c r="M217" s="1" t="s">
        <v>43</v>
      </c>
      <c r="N217" s="1" t="s">
        <v>44</v>
      </c>
      <c r="O217" s="1" t="s">
        <v>31</v>
      </c>
      <c r="P217" s="2">
        <v>45823</v>
      </c>
      <c r="Q217" s="1" t="s">
        <v>425</v>
      </c>
      <c r="R217" s="1" t="s">
        <v>426</v>
      </c>
      <c r="S217" s="1" t="s">
        <v>47</v>
      </c>
      <c r="T217" s="1" t="s">
        <v>35</v>
      </c>
      <c r="U217" s="1" t="s">
        <v>55</v>
      </c>
      <c r="V217" s="1" t="s">
        <v>37</v>
      </c>
      <c r="W217">
        <v>2</v>
      </c>
    </row>
    <row r="218" spans="1:23" x14ac:dyDescent="0.3">
      <c r="A218" s="1" t="s">
        <v>567</v>
      </c>
      <c r="B218">
        <v>3</v>
      </c>
      <c r="C218">
        <v>21.99</v>
      </c>
      <c r="D218">
        <v>52.48</v>
      </c>
      <c r="E218" s="1" t="s">
        <v>181</v>
      </c>
      <c r="F218" s="1" t="s">
        <v>40</v>
      </c>
      <c r="G218">
        <v>3</v>
      </c>
      <c r="H218" s="1" t="s">
        <v>96</v>
      </c>
      <c r="I218" s="1" t="s">
        <v>27</v>
      </c>
      <c r="J218">
        <v>7</v>
      </c>
      <c r="K218">
        <v>21.99</v>
      </c>
      <c r="L218" s="1" t="s">
        <v>28</v>
      </c>
      <c r="M218" s="1" t="s">
        <v>29</v>
      </c>
      <c r="N218" s="1" t="s">
        <v>30</v>
      </c>
      <c r="O218" s="1" t="s">
        <v>31</v>
      </c>
      <c r="P218" s="2">
        <v>45778</v>
      </c>
      <c r="Q218" s="1" t="s">
        <v>98</v>
      </c>
      <c r="R218" s="1" t="s">
        <v>99</v>
      </c>
      <c r="S218" s="1" t="s">
        <v>47</v>
      </c>
      <c r="T218" s="1" t="s">
        <v>35</v>
      </c>
      <c r="U218" s="1" t="s">
        <v>66</v>
      </c>
      <c r="V218" s="1" t="s">
        <v>37</v>
      </c>
      <c r="W218">
        <v>2</v>
      </c>
    </row>
    <row r="219" spans="1:23" x14ac:dyDescent="0.3">
      <c r="A219" s="1" t="s">
        <v>568</v>
      </c>
      <c r="B219">
        <v>1</v>
      </c>
      <c r="C219">
        <v>34.99</v>
      </c>
      <c r="D219">
        <v>34.99</v>
      </c>
      <c r="E219" s="1" t="s">
        <v>447</v>
      </c>
      <c r="F219" s="1" t="s">
        <v>40</v>
      </c>
      <c r="G219">
        <v>8</v>
      </c>
      <c r="H219" s="1" t="s">
        <v>26</v>
      </c>
      <c r="I219" s="1" t="s">
        <v>85</v>
      </c>
      <c r="J219">
        <v>12.5</v>
      </c>
      <c r="K219">
        <v>34.99</v>
      </c>
      <c r="L219" s="1" t="s">
        <v>60</v>
      </c>
      <c r="M219" s="1" t="s">
        <v>29</v>
      </c>
      <c r="N219" s="1" t="s">
        <v>30</v>
      </c>
      <c r="O219" s="1" t="s">
        <v>31</v>
      </c>
      <c r="P219" s="2">
        <v>45778</v>
      </c>
      <c r="Q219" s="1" t="s">
        <v>569</v>
      </c>
      <c r="R219" s="1" t="s">
        <v>570</v>
      </c>
      <c r="S219" s="1" t="s">
        <v>105</v>
      </c>
      <c r="T219" s="1" t="s">
        <v>35</v>
      </c>
      <c r="U219" s="1" t="s">
        <v>66</v>
      </c>
      <c r="V219" s="1" t="s">
        <v>89</v>
      </c>
      <c r="W219">
        <v>2.4</v>
      </c>
    </row>
    <row r="220" spans="1:23" x14ac:dyDescent="0.3">
      <c r="A220" s="1" t="s">
        <v>571</v>
      </c>
      <c r="B220">
        <v>1</v>
      </c>
      <c r="C220">
        <v>34.99</v>
      </c>
      <c r="D220">
        <v>34.99</v>
      </c>
      <c r="E220" s="1" t="s">
        <v>69</v>
      </c>
      <c r="F220" s="1" t="s">
        <v>51</v>
      </c>
      <c r="G220">
        <v>0</v>
      </c>
      <c r="H220" s="1" t="s">
        <v>96</v>
      </c>
      <c r="I220" s="1" t="s">
        <v>85</v>
      </c>
      <c r="J220">
        <v>12.5</v>
      </c>
      <c r="K220">
        <v>34.99</v>
      </c>
      <c r="L220" s="1" t="s">
        <v>60</v>
      </c>
      <c r="M220" s="1" t="s">
        <v>29</v>
      </c>
      <c r="N220" s="1" t="s">
        <v>30</v>
      </c>
      <c r="O220" s="1" t="s">
        <v>31</v>
      </c>
      <c r="P220" s="2">
        <v>45778</v>
      </c>
      <c r="Q220" s="1" t="s">
        <v>318</v>
      </c>
      <c r="R220" s="1" t="s">
        <v>538</v>
      </c>
      <c r="S220" s="1" t="s">
        <v>65</v>
      </c>
      <c r="T220" s="1" t="s">
        <v>35</v>
      </c>
      <c r="U220" s="1" t="s">
        <v>36</v>
      </c>
      <c r="V220" s="1" t="s">
        <v>89</v>
      </c>
      <c r="W220">
        <v>2.4</v>
      </c>
    </row>
    <row r="221" spans="1:23" x14ac:dyDescent="0.3">
      <c r="A221" s="1" t="s">
        <v>572</v>
      </c>
      <c r="B221">
        <v>2</v>
      </c>
      <c r="C221">
        <v>16.989999999999998</v>
      </c>
      <c r="D221">
        <v>29.18</v>
      </c>
      <c r="E221" s="1" t="s">
        <v>445</v>
      </c>
      <c r="F221" s="1" t="s">
        <v>188</v>
      </c>
      <c r="G221">
        <v>0</v>
      </c>
      <c r="H221" s="1" t="s">
        <v>58</v>
      </c>
      <c r="I221" s="1" t="s">
        <v>59</v>
      </c>
      <c r="J221">
        <v>5</v>
      </c>
      <c r="K221">
        <v>16.989999999999998</v>
      </c>
      <c r="L221" s="1" t="s">
        <v>60</v>
      </c>
      <c r="M221" s="1" t="s">
        <v>61</v>
      </c>
      <c r="N221" s="1" t="s">
        <v>62</v>
      </c>
      <c r="O221" s="1" t="s">
        <v>31</v>
      </c>
      <c r="P221" s="2">
        <v>45726</v>
      </c>
      <c r="Q221" s="1" t="s">
        <v>216</v>
      </c>
      <c r="R221" s="1" t="s">
        <v>484</v>
      </c>
      <c r="S221" s="1" t="s">
        <v>105</v>
      </c>
      <c r="T221" s="1" t="s">
        <v>35</v>
      </c>
      <c r="U221" s="1" t="s">
        <v>48</v>
      </c>
      <c r="V221" s="1" t="s">
        <v>67</v>
      </c>
      <c r="W221">
        <v>3</v>
      </c>
    </row>
    <row r="222" spans="1:23" x14ac:dyDescent="0.3">
      <c r="A222" s="1" t="s">
        <v>573</v>
      </c>
      <c r="B222">
        <v>2</v>
      </c>
      <c r="C222">
        <v>18.989999999999998</v>
      </c>
      <c r="D222">
        <v>32.78</v>
      </c>
      <c r="E222" s="1" t="s">
        <v>113</v>
      </c>
      <c r="F222" s="1" t="s">
        <v>25</v>
      </c>
      <c r="G222">
        <v>10</v>
      </c>
      <c r="H222" s="1" t="s">
        <v>41</v>
      </c>
      <c r="I222" s="1" t="s">
        <v>97</v>
      </c>
      <c r="J222">
        <v>6</v>
      </c>
      <c r="K222">
        <v>18.989999999999998</v>
      </c>
      <c r="L222" s="1" t="s">
        <v>60</v>
      </c>
      <c r="M222" s="1" t="s">
        <v>43</v>
      </c>
      <c r="N222" s="1" t="s">
        <v>44</v>
      </c>
      <c r="O222" s="1" t="s">
        <v>31</v>
      </c>
      <c r="P222" s="2">
        <v>45823</v>
      </c>
      <c r="Q222" s="1" t="s">
        <v>269</v>
      </c>
      <c r="R222" s="1" t="s">
        <v>270</v>
      </c>
      <c r="S222" s="1" t="s">
        <v>88</v>
      </c>
      <c r="T222" s="1" t="s">
        <v>35</v>
      </c>
      <c r="U222" s="1" t="s">
        <v>55</v>
      </c>
      <c r="V222" s="1" t="s">
        <v>100</v>
      </c>
      <c r="W222">
        <v>3.2</v>
      </c>
    </row>
    <row r="223" spans="1:23" x14ac:dyDescent="0.3">
      <c r="A223" s="1" t="s">
        <v>574</v>
      </c>
      <c r="B223">
        <v>3</v>
      </c>
      <c r="C223">
        <v>30.99</v>
      </c>
      <c r="D223">
        <v>74.53</v>
      </c>
      <c r="E223" s="1" t="s">
        <v>228</v>
      </c>
      <c r="F223" s="1" t="s">
        <v>40</v>
      </c>
      <c r="G223">
        <v>2</v>
      </c>
      <c r="H223" s="1" t="s">
        <v>26</v>
      </c>
      <c r="I223" s="1" t="s">
        <v>42</v>
      </c>
      <c r="J223">
        <v>10.5</v>
      </c>
      <c r="K223">
        <v>30.99</v>
      </c>
      <c r="L223" s="1" t="s">
        <v>28</v>
      </c>
      <c r="M223" s="1" t="s">
        <v>43</v>
      </c>
      <c r="N223" s="1" t="s">
        <v>44</v>
      </c>
      <c r="O223" s="1" t="s">
        <v>31</v>
      </c>
      <c r="P223" s="2">
        <v>45823</v>
      </c>
      <c r="Q223" s="1" t="s">
        <v>318</v>
      </c>
      <c r="R223" s="1" t="s">
        <v>319</v>
      </c>
      <c r="S223" s="1" t="s">
        <v>54</v>
      </c>
      <c r="T223" s="1" t="s">
        <v>35</v>
      </c>
      <c r="U223" s="1" t="s">
        <v>55</v>
      </c>
      <c r="V223" s="1" t="s">
        <v>37</v>
      </c>
      <c r="W223">
        <v>2</v>
      </c>
    </row>
    <row r="224" spans="1:23" x14ac:dyDescent="0.3">
      <c r="A224" s="1" t="s">
        <v>575</v>
      </c>
      <c r="B224">
        <v>1</v>
      </c>
      <c r="C224">
        <v>18.989999999999998</v>
      </c>
      <c r="D224">
        <v>18.989999999999998</v>
      </c>
      <c r="E224" s="1" t="s">
        <v>224</v>
      </c>
      <c r="F224" s="1" t="s">
        <v>51</v>
      </c>
      <c r="G224">
        <v>0</v>
      </c>
      <c r="H224" s="1" t="s">
        <v>41</v>
      </c>
      <c r="I224" s="1" t="s">
        <v>97</v>
      </c>
      <c r="J224">
        <v>6</v>
      </c>
      <c r="K224">
        <v>18.989999999999998</v>
      </c>
      <c r="L224" s="1" t="s">
        <v>60</v>
      </c>
      <c r="M224" s="1" t="s">
        <v>43</v>
      </c>
      <c r="N224" s="1" t="s">
        <v>44</v>
      </c>
      <c r="O224" s="1" t="s">
        <v>31</v>
      </c>
      <c r="P224" s="2">
        <v>45823</v>
      </c>
      <c r="Q224" s="1" t="s">
        <v>305</v>
      </c>
      <c r="R224" s="1" t="s">
        <v>306</v>
      </c>
      <c r="S224" s="1" t="s">
        <v>47</v>
      </c>
      <c r="T224" s="1" t="s">
        <v>35</v>
      </c>
      <c r="U224" s="1" t="s">
        <v>66</v>
      </c>
      <c r="V224" s="1" t="s">
        <v>100</v>
      </c>
      <c r="W224">
        <v>3.2</v>
      </c>
    </row>
    <row r="225" spans="1:23" x14ac:dyDescent="0.3">
      <c r="A225" s="1" t="s">
        <v>576</v>
      </c>
      <c r="B225">
        <v>3</v>
      </c>
      <c r="C225">
        <v>21.99</v>
      </c>
      <c r="D225">
        <v>52.48</v>
      </c>
      <c r="E225" s="1" t="s">
        <v>577</v>
      </c>
      <c r="F225" s="1" t="s">
        <v>40</v>
      </c>
      <c r="G225">
        <v>2</v>
      </c>
      <c r="H225" s="1" t="s">
        <v>41</v>
      </c>
      <c r="I225" s="1" t="s">
        <v>27</v>
      </c>
      <c r="J225">
        <v>7</v>
      </c>
      <c r="K225">
        <v>21.99</v>
      </c>
      <c r="L225" s="1" t="s">
        <v>28</v>
      </c>
      <c r="M225" s="1" t="s">
        <v>29</v>
      </c>
      <c r="N225" s="1" t="s">
        <v>30</v>
      </c>
      <c r="O225" s="1" t="s">
        <v>31</v>
      </c>
      <c r="P225" s="2">
        <v>45778</v>
      </c>
      <c r="Q225" s="1" t="s">
        <v>219</v>
      </c>
      <c r="R225" s="1" t="s">
        <v>220</v>
      </c>
      <c r="S225" s="1" t="s">
        <v>54</v>
      </c>
      <c r="T225" s="1" t="s">
        <v>35</v>
      </c>
      <c r="U225" s="1" t="s">
        <v>55</v>
      </c>
      <c r="V225" s="1" t="s">
        <v>37</v>
      </c>
      <c r="W225">
        <v>2</v>
      </c>
    </row>
    <row r="226" spans="1:23" x14ac:dyDescent="0.3">
      <c r="A226" s="1" t="s">
        <v>578</v>
      </c>
      <c r="B226">
        <v>1</v>
      </c>
      <c r="C226">
        <v>30.99</v>
      </c>
      <c r="D226">
        <v>30.99</v>
      </c>
      <c r="E226" s="1" t="s">
        <v>536</v>
      </c>
      <c r="F226" s="1" t="s">
        <v>51</v>
      </c>
      <c r="G226">
        <v>0</v>
      </c>
      <c r="H226" s="1" t="s">
        <v>96</v>
      </c>
      <c r="I226" s="1" t="s">
        <v>42</v>
      </c>
      <c r="J226">
        <v>10.5</v>
      </c>
      <c r="K226">
        <v>30.99</v>
      </c>
      <c r="L226" s="1" t="s">
        <v>28</v>
      </c>
      <c r="M226" s="1" t="s">
        <v>43</v>
      </c>
      <c r="N226" s="1" t="s">
        <v>44</v>
      </c>
      <c r="O226" s="1" t="s">
        <v>31</v>
      </c>
      <c r="P226" s="2">
        <v>45823</v>
      </c>
      <c r="Q226" s="1" t="s">
        <v>579</v>
      </c>
      <c r="R226" s="1" t="s">
        <v>580</v>
      </c>
      <c r="S226" s="1" t="s">
        <v>88</v>
      </c>
      <c r="T226" s="1" t="s">
        <v>35</v>
      </c>
      <c r="U226" s="1" t="s">
        <v>36</v>
      </c>
      <c r="V226" s="1" t="s">
        <v>37</v>
      </c>
      <c r="W226">
        <v>2</v>
      </c>
    </row>
    <row r="227" spans="1:23" x14ac:dyDescent="0.3">
      <c r="A227" s="1" t="s">
        <v>581</v>
      </c>
      <c r="B227">
        <v>1</v>
      </c>
      <c r="C227">
        <v>18.989999999999998</v>
      </c>
      <c r="D227">
        <v>18.989999999999998</v>
      </c>
      <c r="E227" s="1" t="s">
        <v>91</v>
      </c>
      <c r="F227" s="1" t="s">
        <v>40</v>
      </c>
      <c r="G227">
        <v>13</v>
      </c>
      <c r="H227" s="1" t="s">
        <v>96</v>
      </c>
      <c r="I227" s="1" t="s">
        <v>97</v>
      </c>
      <c r="J227">
        <v>6</v>
      </c>
      <c r="K227">
        <v>18.989999999999998</v>
      </c>
      <c r="L227" s="1" t="s">
        <v>60</v>
      </c>
      <c r="M227" s="1" t="s">
        <v>43</v>
      </c>
      <c r="N227" s="1" t="s">
        <v>44</v>
      </c>
      <c r="O227" s="1" t="s">
        <v>31</v>
      </c>
      <c r="P227" s="2">
        <v>45823</v>
      </c>
      <c r="Q227" s="1" t="s">
        <v>305</v>
      </c>
      <c r="R227" s="1" t="s">
        <v>582</v>
      </c>
      <c r="S227" s="1" t="s">
        <v>47</v>
      </c>
      <c r="T227" s="1" t="s">
        <v>35</v>
      </c>
      <c r="U227" s="1" t="s">
        <v>82</v>
      </c>
      <c r="V227" s="1" t="s">
        <v>100</v>
      </c>
      <c r="W227">
        <v>3.2</v>
      </c>
    </row>
    <row r="228" spans="1:23" x14ac:dyDescent="0.3">
      <c r="A228" s="1" t="s">
        <v>583</v>
      </c>
      <c r="B228">
        <v>1</v>
      </c>
      <c r="C228">
        <v>18.989999999999998</v>
      </c>
      <c r="D228">
        <v>18.989999999999998</v>
      </c>
      <c r="E228" s="1" t="s">
        <v>584</v>
      </c>
      <c r="F228" s="1" t="s">
        <v>40</v>
      </c>
      <c r="G228">
        <v>18</v>
      </c>
      <c r="H228" s="1" t="s">
        <v>96</v>
      </c>
      <c r="I228" s="1" t="s">
        <v>97</v>
      </c>
      <c r="J228">
        <v>6</v>
      </c>
      <c r="K228">
        <v>18.989999999999998</v>
      </c>
      <c r="L228" s="1" t="s">
        <v>60</v>
      </c>
      <c r="M228" s="1" t="s">
        <v>43</v>
      </c>
      <c r="N228" s="1" t="s">
        <v>44</v>
      </c>
      <c r="O228" s="1" t="s">
        <v>31</v>
      </c>
      <c r="P228" s="2">
        <v>45823</v>
      </c>
      <c r="Q228" s="1" t="s">
        <v>165</v>
      </c>
      <c r="R228" s="1" t="s">
        <v>562</v>
      </c>
      <c r="S228" s="1" t="s">
        <v>34</v>
      </c>
      <c r="T228" s="1" t="s">
        <v>35</v>
      </c>
      <c r="U228" s="1" t="s">
        <v>48</v>
      </c>
      <c r="V228" s="1" t="s">
        <v>100</v>
      </c>
      <c r="W228">
        <v>3.2</v>
      </c>
    </row>
    <row r="229" spans="1:23" x14ac:dyDescent="0.3">
      <c r="A229" s="1" t="s">
        <v>585</v>
      </c>
      <c r="B229">
        <v>1</v>
      </c>
      <c r="C229">
        <v>21.99</v>
      </c>
      <c r="D229">
        <v>21.99</v>
      </c>
      <c r="E229" s="1" t="s">
        <v>224</v>
      </c>
      <c r="F229" s="1" t="s">
        <v>25</v>
      </c>
      <c r="G229">
        <v>3</v>
      </c>
      <c r="H229" s="1" t="s">
        <v>41</v>
      </c>
      <c r="I229" s="1" t="s">
        <v>27</v>
      </c>
      <c r="J229">
        <v>7</v>
      </c>
      <c r="K229">
        <v>21.99</v>
      </c>
      <c r="L229" s="1" t="s">
        <v>28</v>
      </c>
      <c r="M229" s="1" t="s">
        <v>29</v>
      </c>
      <c r="N229" s="1" t="s">
        <v>30</v>
      </c>
      <c r="O229" s="1" t="s">
        <v>31</v>
      </c>
      <c r="P229" s="2">
        <v>45778</v>
      </c>
      <c r="Q229" s="1" t="s">
        <v>269</v>
      </c>
      <c r="R229" s="1" t="s">
        <v>270</v>
      </c>
      <c r="S229" s="1" t="s">
        <v>88</v>
      </c>
      <c r="T229" s="1" t="s">
        <v>35</v>
      </c>
      <c r="U229" s="1" t="s">
        <v>55</v>
      </c>
      <c r="V229" s="1" t="s">
        <v>37</v>
      </c>
      <c r="W229">
        <v>2</v>
      </c>
    </row>
    <row r="230" spans="1:23" x14ac:dyDescent="0.3">
      <c r="A230" s="1" t="s">
        <v>586</v>
      </c>
      <c r="B230">
        <v>1</v>
      </c>
      <c r="C230">
        <v>27.99</v>
      </c>
      <c r="D230">
        <v>27.99</v>
      </c>
      <c r="E230" s="1" t="s">
        <v>327</v>
      </c>
      <c r="F230" s="1" t="s">
        <v>40</v>
      </c>
      <c r="G230">
        <v>2</v>
      </c>
      <c r="H230" s="1" t="s">
        <v>58</v>
      </c>
      <c r="I230" s="1" t="s">
        <v>75</v>
      </c>
      <c r="J230">
        <v>9</v>
      </c>
      <c r="K230">
        <v>27.99</v>
      </c>
      <c r="L230" s="1" t="s">
        <v>28</v>
      </c>
      <c r="M230" s="1" t="s">
        <v>61</v>
      </c>
      <c r="N230" s="1" t="s">
        <v>62</v>
      </c>
      <c r="O230" s="1" t="s">
        <v>31</v>
      </c>
      <c r="P230" s="2">
        <v>45726</v>
      </c>
      <c r="Q230" s="1" t="s">
        <v>63</v>
      </c>
      <c r="R230" s="1" t="s">
        <v>64</v>
      </c>
      <c r="S230" s="1" t="s">
        <v>65</v>
      </c>
      <c r="T230" s="1" t="s">
        <v>35</v>
      </c>
      <c r="U230" s="1" t="s">
        <v>66</v>
      </c>
      <c r="V230" s="1" t="s">
        <v>37</v>
      </c>
      <c r="W230">
        <v>2</v>
      </c>
    </row>
    <row r="231" spans="1:23" x14ac:dyDescent="0.3">
      <c r="A231" s="1" t="s">
        <v>587</v>
      </c>
      <c r="B231">
        <v>1</v>
      </c>
      <c r="C231">
        <v>21.99</v>
      </c>
      <c r="D231">
        <v>21.99</v>
      </c>
      <c r="E231" s="1" t="s">
        <v>331</v>
      </c>
      <c r="F231" s="1" t="s">
        <v>40</v>
      </c>
      <c r="G231">
        <v>2</v>
      </c>
      <c r="H231" s="1" t="s">
        <v>96</v>
      </c>
      <c r="I231" s="1" t="s">
        <v>27</v>
      </c>
      <c r="J231">
        <v>7</v>
      </c>
      <c r="K231">
        <v>21.99</v>
      </c>
      <c r="L231" s="1" t="s">
        <v>28</v>
      </c>
      <c r="M231" s="1" t="s">
        <v>29</v>
      </c>
      <c r="N231" s="1" t="s">
        <v>30</v>
      </c>
      <c r="O231" s="1" t="s">
        <v>31</v>
      </c>
      <c r="P231" s="2">
        <v>45778</v>
      </c>
      <c r="Q231" s="1" t="s">
        <v>45</v>
      </c>
      <c r="R231" s="1" t="s">
        <v>513</v>
      </c>
      <c r="S231" s="1" t="s">
        <v>54</v>
      </c>
      <c r="T231" s="1" t="s">
        <v>35</v>
      </c>
      <c r="U231" s="1" t="s">
        <v>48</v>
      </c>
      <c r="V231" s="1" t="s">
        <v>37</v>
      </c>
      <c r="W231">
        <v>2</v>
      </c>
    </row>
    <row r="232" spans="1:23" x14ac:dyDescent="0.3">
      <c r="A232" s="1" t="s">
        <v>588</v>
      </c>
      <c r="B232">
        <v>3</v>
      </c>
      <c r="C232">
        <v>27.99</v>
      </c>
      <c r="D232">
        <v>66.88</v>
      </c>
      <c r="E232" s="1" t="s">
        <v>84</v>
      </c>
      <c r="F232" s="1" t="s">
        <v>70</v>
      </c>
      <c r="G232">
        <v>0</v>
      </c>
      <c r="H232" s="1" t="s">
        <v>41</v>
      </c>
      <c r="I232" s="1" t="s">
        <v>75</v>
      </c>
      <c r="J232">
        <v>9</v>
      </c>
      <c r="K232">
        <v>27.99</v>
      </c>
      <c r="L232" s="1" t="s">
        <v>28</v>
      </c>
      <c r="M232" s="1" t="s">
        <v>61</v>
      </c>
      <c r="N232" s="1" t="s">
        <v>62</v>
      </c>
      <c r="O232" s="1" t="s">
        <v>31</v>
      </c>
      <c r="P232" s="2">
        <v>45726</v>
      </c>
      <c r="Q232" s="1" t="s">
        <v>589</v>
      </c>
      <c r="R232" s="1" t="s">
        <v>590</v>
      </c>
      <c r="S232" s="1" t="s">
        <v>105</v>
      </c>
      <c r="T232" s="1" t="s">
        <v>35</v>
      </c>
      <c r="U232" s="1" t="s">
        <v>36</v>
      </c>
      <c r="V232" s="1" t="s">
        <v>37</v>
      </c>
      <c r="W232">
        <v>2</v>
      </c>
    </row>
    <row r="233" spans="1:23" x14ac:dyDescent="0.3">
      <c r="A233" s="1" t="s">
        <v>591</v>
      </c>
      <c r="B233">
        <v>1</v>
      </c>
      <c r="C233">
        <v>21.99</v>
      </c>
      <c r="D233">
        <v>21.99</v>
      </c>
      <c r="E233" s="1" t="s">
        <v>24</v>
      </c>
      <c r="F233" s="1" t="s">
        <v>40</v>
      </c>
      <c r="G233">
        <v>3</v>
      </c>
      <c r="H233" s="1" t="s">
        <v>26</v>
      </c>
      <c r="I233" s="1" t="s">
        <v>27</v>
      </c>
      <c r="J233">
        <v>7</v>
      </c>
      <c r="K233">
        <v>21.99</v>
      </c>
      <c r="L233" s="1" t="s">
        <v>28</v>
      </c>
      <c r="M233" s="1" t="s">
        <v>29</v>
      </c>
      <c r="N233" s="1" t="s">
        <v>30</v>
      </c>
      <c r="O233" s="1" t="s">
        <v>31</v>
      </c>
      <c r="P233" s="2">
        <v>45778</v>
      </c>
      <c r="Q233" s="1" t="s">
        <v>129</v>
      </c>
      <c r="R233" s="1" t="s">
        <v>130</v>
      </c>
      <c r="S233" s="1" t="s">
        <v>34</v>
      </c>
      <c r="T233" s="1" t="s">
        <v>35</v>
      </c>
      <c r="U233" s="1" t="s">
        <v>55</v>
      </c>
      <c r="V233" s="1" t="s">
        <v>37</v>
      </c>
      <c r="W233">
        <v>2</v>
      </c>
    </row>
    <row r="234" spans="1:23" x14ac:dyDescent="0.3">
      <c r="A234" s="1" t="s">
        <v>592</v>
      </c>
      <c r="B234">
        <v>1</v>
      </c>
      <c r="C234">
        <v>16.989999999999998</v>
      </c>
      <c r="D234">
        <v>16.989999999999998</v>
      </c>
      <c r="E234" s="1" t="s">
        <v>107</v>
      </c>
      <c r="F234" s="1" t="s">
        <v>70</v>
      </c>
      <c r="G234">
        <v>0</v>
      </c>
      <c r="H234" s="1" t="s">
        <v>58</v>
      </c>
      <c r="I234" s="1" t="s">
        <v>59</v>
      </c>
      <c r="J234">
        <v>5</v>
      </c>
      <c r="K234">
        <v>16.989999999999998</v>
      </c>
      <c r="L234" s="1" t="s">
        <v>60</v>
      </c>
      <c r="M234" s="1" t="s">
        <v>61</v>
      </c>
      <c r="N234" s="1" t="s">
        <v>62</v>
      </c>
      <c r="O234" s="1" t="s">
        <v>31</v>
      </c>
      <c r="P234" s="2">
        <v>45726</v>
      </c>
      <c r="Q234" s="1" t="s">
        <v>593</v>
      </c>
      <c r="R234" s="1" t="s">
        <v>594</v>
      </c>
      <c r="S234" s="1" t="s">
        <v>65</v>
      </c>
      <c r="T234" s="1" t="s">
        <v>35</v>
      </c>
      <c r="U234" s="1" t="s">
        <v>55</v>
      </c>
      <c r="V234" s="1" t="s">
        <v>67</v>
      </c>
      <c r="W234">
        <v>3</v>
      </c>
    </row>
    <row r="235" spans="1:23" x14ac:dyDescent="0.3">
      <c r="A235" s="1" t="s">
        <v>595</v>
      </c>
      <c r="B235">
        <v>1</v>
      </c>
      <c r="C235">
        <v>18.989999999999998</v>
      </c>
      <c r="D235">
        <v>18.989999999999998</v>
      </c>
      <c r="E235" s="1" t="s">
        <v>457</v>
      </c>
      <c r="F235" s="1" t="s">
        <v>40</v>
      </c>
      <c r="G235">
        <v>19</v>
      </c>
      <c r="H235" s="1" t="s">
        <v>58</v>
      </c>
      <c r="I235" s="1" t="s">
        <v>97</v>
      </c>
      <c r="J235">
        <v>6</v>
      </c>
      <c r="K235">
        <v>18.989999999999998</v>
      </c>
      <c r="L235" s="1" t="s">
        <v>60</v>
      </c>
      <c r="M235" s="1" t="s">
        <v>43</v>
      </c>
      <c r="N235" s="1" t="s">
        <v>44</v>
      </c>
      <c r="O235" s="1" t="s">
        <v>31</v>
      </c>
      <c r="P235" s="2">
        <v>45823</v>
      </c>
      <c r="Q235" s="1" t="s">
        <v>262</v>
      </c>
      <c r="R235" s="1" t="s">
        <v>263</v>
      </c>
      <c r="S235" s="1" t="s">
        <v>105</v>
      </c>
      <c r="T235" s="1" t="s">
        <v>35</v>
      </c>
      <c r="U235" s="1" t="s">
        <v>82</v>
      </c>
      <c r="V235" s="1" t="s">
        <v>100</v>
      </c>
      <c r="W235">
        <v>3.2</v>
      </c>
    </row>
    <row r="236" spans="1:23" x14ac:dyDescent="0.3">
      <c r="A236" s="1" t="s">
        <v>596</v>
      </c>
      <c r="B236">
        <v>1</v>
      </c>
      <c r="C236">
        <v>30.99</v>
      </c>
      <c r="D236">
        <v>30.99</v>
      </c>
      <c r="E236" s="1" t="s">
        <v>222</v>
      </c>
      <c r="F236" s="1" t="s">
        <v>51</v>
      </c>
      <c r="G236">
        <v>0</v>
      </c>
      <c r="H236" s="1" t="s">
        <v>26</v>
      </c>
      <c r="I236" s="1" t="s">
        <v>42</v>
      </c>
      <c r="J236">
        <v>10.5</v>
      </c>
      <c r="K236">
        <v>30.99</v>
      </c>
      <c r="L236" s="1" t="s">
        <v>28</v>
      </c>
      <c r="M236" s="1" t="s">
        <v>43</v>
      </c>
      <c r="N236" s="1" t="s">
        <v>44</v>
      </c>
      <c r="O236" s="1" t="s">
        <v>31</v>
      </c>
      <c r="P236" s="2">
        <v>45823</v>
      </c>
      <c r="Q236" s="1" t="s">
        <v>114</v>
      </c>
      <c r="R236" s="1" t="s">
        <v>402</v>
      </c>
      <c r="S236" s="1" t="s">
        <v>88</v>
      </c>
      <c r="T236" s="1" t="s">
        <v>35</v>
      </c>
      <c r="U236" s="1" t="s">
        <v>48</v>
      </c>
      <c r="V236" s="1" t="s">
        <v>37</v>
      </c>
      <c r="W236">
        <v>2</v>
      </c>
    </row>
    <row r="237" spans="1:23" x14ac:dyDescent="0.3">
      <c r="A237" s="1" t="s">
        <v>597</v>
      </c>
      <c r="B237">
        <v>3</v>
      </c>
      <c r="C237">
        <v>34.99</v>
      </c>
      <c r="D237">
        <v>84.73</v>
      </c>
      <c r="E237" s="1" t="s">
        <v>598</v>
      </c>
      <c r="F237" s="1" t="s">
        <v>40</v>
      </c>
      <c r="G237">
        <v>6</v>
      </c>
      <c r="H237" s="1" t="s">
        <v>96</v>
      </c>
      <c r="I237" s="1" t="s">
        <v>85</v>
      </c>
      <c r="J237">
        <v>12.5</v>
      </c>
      <c r="K237">
        <v>34.99</v>
      </c>
      <c r="L237" s="1" t="s">
        <v>60</v>
      </c>
      <c r="M237" s="1" t="s">
        <v>29</v>
      </c>
      <c r="N237" s="1" t="s">
        <v>30</v>
      </c>
      <c r="O237" s="1" t="s">
        <v>31</v>
      </c>
      <c r="P237" s="2">
        <v>45778</v>
      </c>
      <c r="Q237" s="1" t="s">
        <v>342</v>
      </c>
      <c r="R237" s="1" t="s">
        <v>599</v>
      </c>
      <c r="S237" s="1" t="s">
        <v>54</v>
      </c>
      <c r="T237" s="1" t="s">
        <v>35</v>
      </c>
      <c r="U237" s="1" t="s">
        <v>66</v>
      </c>
      <c r="V237" s="1" t="s">
        <v>89</v>
      </c>
      <c r="W237">
        <v>2.4</v>
      </c>
    </row>
    <row r="238" spans="1:23" x14ac:dyDescent="0.3">
      <c r="A238" s="1" t="s">
        <v>600</v>
      </c>
      <c r="B238">
        <v>2</v>
      </c>
      <c r="C238">
        <v>16.989999999999998</v>
      </c>
      <c r="D238">
        <v>29.18</v>
      </c>
      <c r="E238" s="1" t="s">
        <v>109</v>
      </c>
      <c r="F238" s="1" t="s">
        <v>188</v>
      </c>
      <c r="G238">
        <v>0</v>
      </c>
      <c r="H238" s="1" t="s">
        <v>26</v>
      </c>
      <c r="I238" s="1" t="s">
        <v>59</v>
      </c>
      <c r="J238">
        <v>5</v>
      </c>
      <c r="K238">
        <v>16.989999999999998</v>
      </c>
      <c r="L238" s="1" t="s">
        <v>60</v>
      </c>
      <c r="M238" s="1" t="s">
        <v>61</v>
      </c>
      <c r="N238" s="1" t="s">
        <v>62</v>
      </c>
      <c r="O238" s="1" t="s">
        <v>31</v>
      </c>
      <c r="P238" s="2">
        <v>45726</v>
      </c>
      <c r="Q238" s="1" t="s">
        <v>526</v>
      </c>
      <c r="R238" s="1" t="s">
        <v>527</v>
      </c>
      <c r="S238" s="1" t="s">
        <v>105</v>
      </c>
      <c r="T238" s="1" t="s">
        <v>35</v>
      </c>
      <c r="U238" s="1" t="s">
        <v>48</v>
      </c>
      <c r="V238" s="1" t="s">
        <v>67</v>
      </c>
      <c r="W238">
        <v>3</v>
      </c>
    </row>
    <row r="239" spans="1:23" x14ac:dyDescent="0.3">
      <c r="A239" s="1" t="s">
        <v>601</v>
      </c>
      <c r="B239">
        <v>1</v>
      </c>
      <c r="C239">
        <v>27.99</v>
      </c>
      <c r="D239">
        <v>27.99</v>
      </c>
      <c r="E239" s="1" t="s">
        <v>192</v>
      </c>
      <c r="F239" s="1" t="s">
        <v>40</v>
      </c>
      <c r="G239">
        <v>3</v>
      </c>
      <c r="H239" s="1" t="s">
        <v>58</v>
      </c>
      <c r="I239" s="1" t="s">
        <v>75</v>
      </c>
      <c r="J239">
        <v>9</v>
      </c>
      <c r="K239">
        <v>27.99</v>
      </c>
      <c r="L239" s="1" t="s">
        <v>28</v>
      </c>
      <c r="M239" s="1" t="s">
        <v>61</v>
      </c>
      <c r="N239" s="1" t="s">
        <v>62</v>
      </c>
      <c r="O239" s="1" t="s">
        <v>31</v>
      </c>
      <c r="P239" s="2">
        <v>45726</v>
      </c>
      <c r="Q239" s="1" t="s">
        <v>553</v>
      </c>
      <c r="R239" s="1" t="s">
        <v>554</v>
      </c>
      <c r="S239" s="1" t="s">
        <v>105</v>
      </c>
      <c r="T239" s="1" t="s">
        <v>35</v>
      </c>
      <c r="U239" s="1" t="s">
        <v>36</v>
      </c>
      <c r="V239" s="1" t="s">
        <v>37</v>
      </c>
      <c r="W239">
        <v>2</v>
      </c>
    </row>
    <row r="240" spans="1:23" x14ac:dyDescent="0.3">
      <c r="A240" s="1" t="s">
        <v>602</v>
      </c>
      <c r="B240">
        <v>3</v>
      </c>
      <c r="C240">
        <v>34.99</v>
      </c>
      <c r="D240">
        <v>84.73</v>
      </c>
      <c r="E240" s="1" t="s">
        <v>603</v>
      </c>
      <c r="F240" s="1" t="s">
        <v>40</v>
      </c>
      <c r="G240">
        <v>8</v>
      </c>
      <c r="H240" s="1" t="s">
        <v>26</v>
      </c>
      <c r="I240" s="1" t="s">
        <v>85</v>
      </c>
      <c r="J240">
        <v>12.5</v>
      </c>
      <c r="K240">
        <v>34.99</v>
      </c>
      <c r="L240" s="1" t="s">
        <v>60</v>
      </c>
      <c r="M240" s="1" t="s">
        <v>29</v>
      </c>
      <c r="N240" s="1" t="s">
        <v>30</v>
      </c>
      <c r="O240" s="1" t="s">
        <v>31</v>
      </c>
      <c r="P240" s="2">
        <v>45778</v>
      </c>
      <c r="Q240" s="1" t="s">
        <v>225</v>
      </c>
      <c r="R240" s="1" t="s">
        <v>226</v>
      </c>
      <c r="S240" s="1" t="s">
        <v>105</v>
      </c>
      <c r="T240" s="1" t="s">
        <v>35</v>
      </c>
      <c r="U240" s="1" t="s">
        <v>36</v>
      </c>
      <c r="V240" s="1" t="s">
        <v>89</v>
      </c>
      <c r="W240">
        <v>2.4</v>
      </c>
    </row>
    <row r="241" spans="1:23" x14ac:dyDescent="0.3">
      <c r="A241" s="1" t="s">
        <v>604</v>
      </c>
      <c r="B241">
        <v>3</v>
      </c>
      <c r="C241">
        <v>34.99</v>
      </c>
      <c r="D241">
        <v>84.73</v>
      </c>
      <c r="E241" s="1" t="s">
        <v>69</v>
      </c>
      <c r="F241" s="1" t="s">
        <v>51</v>
      </c>
      <c r="G241">
        <v>0</v>
      </c>
      <c r="H241" s="1" t="s">
        <v>26</v>
      </c>
      <c r="I241" s="1" t="s">
        <v>85</v>
      </c>
      <c r="J241">
        <v>12.5</v>
      </c>
      <c r="K241">
        <v>34.99</v>
      </c>
      <c r="L241" s="1" t="s">
        <v>60</v>
      </c>
      <c r="M241" s="1" t="s">
        <v>29</v>
      </c>
      <c r="N241" s="1" t="s">
        <v>30</v>
      </c>
      <c r="O241" s="1" t="s">
        <v>31</v>
      </c>
      <c r="P241" s="2">
        <v>45778</v>
      </c>
      <c r="Q241" s="1" t="s">
        <v>318</v>
      </c>
      <c r="R241" s="1" t="s">
        <v>319</v>
      </c>
      <c r="S241" s="1" t="s">
        <v>54</v>
      </c>
      <c r="T241" s="1" t="s">
        <v>35</v>
      </c>
      <c r="U241" s="1" t="s">
        <v>55</v>
      </c>
      <c r="V241" s="1" t="s">
        <v>89</v>
      </c>
      <c r="W241">
        <v>2.4</v>
      </c>
    </row>
    <row r="242" spans="1:23" x14ac:dyDescent="0.3">
      <c r="A242" s="1" t="s">
        <v>605</v>
      </c>
      <c r="B242">
        <v>1</v>
      </c>
      <c r="C242">
        <v>34.99</v>
      </c>
      <c r="D242">
        <v>34.99</v>
      </c>
      <c r="E242" s="1" t="s">
        <v>348</v>
      </c>
      <c r="F242" s="1" t="s">
        <v>40</v>
      </c>
      <c r="G242">
        <v>10</v>
      </c>
      <c r="H242" s="1" t="s">
        <v>58</v>
      </c>
      <c r="I242" s="1" t="s">
        <v>85</v>
      </c>
      <c r="J242">
        <v>12.5</v>
      </c>
      <c r="K242">
        <v>34.99</v>
      </c>
      <c r="L242" s="1" t="s">
        <v>60</v>
      </c>
      <c r="M242" s="1" t="s">
        <v>29</v>
      </c>
      <c r="N242" s="1" t="s">
        <v>30</v>
      </c>
      <c r="O242" s="1" t="s">
        <v>31</v>
      </c>
      <c r="P242" s="2">
        <v>45778</v>
      </c>
      <c r="Q242" s="1" t="s">
        <v>428</v>
      </c>
      <c r="R242" s="1" t="s">
        <v>429</v>
      </c>
      <c r="S242" s="1" t="s">
        <v>47</v>
      </c>
      <c r="T242" s="1" t="s">
        <v>35</v>
      </c>
      <c r="U242" s="1" t="s">
        <v>66</v>
      </c>
      <c r="V242" s="1" t="s">
        <v>89</v>
      </c>
      <c r="W242">
        <v>2.4</v>
      </c>
    </row>
    <row r="243" spans="1:23" x14ac:dyDescent="0.3">
      <c r="A243" s="1" t="s">
        <v>606</v>
      </c>
      <c r="B243">
        <v>3</v>
      </c>
      <c r="C243">
        <v>27.99</v>
      </c>
      <c r="D243">
        <v>66.88</v>
      </c>
      <c r="E243" s="1" t="s">
        <v>181</v>
      </c>
      <c r="F243" s="1" t="s">
        <v>25</v>
      </c>
      <c r="G243">
        <v>3</v>
      </c>
      <c r="H243" s="1" t="s">
        <v>26</v>
      </c>
      <c r="I243" s="1" t="s">
        <v>75</v>
      </c>
      <c r="J243">
        <v>9</v>
      </c>
      <c r="K243">
        <v>27.99</v>
      </c>
      <c r="L243" s="1" t="s">
        <v>28</v>
      </c>
      <c r="M243" s="1" t="s">
        <v>61</v>
      </c>
      <c r="N243" s="1" t="s">
        <v>62</v>
      </c>
      <c r="O243" s="1" t="s">
        <v>31</v>
      </c>
      <c r="P243" s="2">
        <v>45726</v>
      </c>
      <c r="Q243" s="1" t="s">
        <v>234</v>
      </c>
      <c r="R243" s="1" t="s">
        <v>556</v>
      </c>
      <c r="S243" s="1" t="s">
        <v>88</v>
      </c>
      <c r="T243" s="1" t="s">
        <v>35</v>
      </c>
      <c r="U243" s="1" t="s">
        <v>48</v>
      </c>
      <c r="V243" s="1" t="s">
        <v>37</v>
      </c>
      <c r="W243">
        <v>2</v>
      </c>
    </row>
    <row r="244" spans="1:23" x14ac:dyDescent="0.3">
      <c r="A244" s="1" t="s">
        <v>607</v>
      </c>
      <c r="B244">
        <v>1</v>
      </c>
      <c r="C244">
        <v>21.99</v>
      </c>
      <c r="D244">
        <v>21.99</v>
      </c>
      <c r="E244" s="1" t="s">
        <v>185</v>
      </c>
      <c r="F244" s="1" t="s">
        <v>51</v>
      </c>
      <c r="G244">
        <v>0</v>
      </c>
      <c r="H244" s="1" t="s">
        <v>96</v>
      </c>
      <c r="I244" s="1" t="s">
        <v>27</v>
      </c>
      <c r="J244">
        <v>7</v>
      </c>
      <c r="K244">
        <v>21.99</v>
      </c>
      <c r="L244" s="1" t="s">
        <v>28</v>
      </c>
      <c r="M244" s="1" t="s">
        <v>29</v>
      </c>
      <c r="N244" s="1" t="s">
        <v>30</v>
      </c>
      <c r="O244" s="1" t="s">
        <v>31</v>
      </c>
      <c r="P244" s="2">
        <v>45778</v>
      </c>
      <c r="Q244" s="1" t="s">
        <v>305</v>
      </c>
      <c r="R244" s="1" t="s">
        <v>582</v>
      </c>
      <c r="S244" s="1" t="s">
        <v>47</v>
      </c>
      <c r="T244" s="1" t="s">
        <v>35</v>
      </c>
      <c r="U244" s="1" t="s">
        <v>82</v>
      </c>
      <c r="V244" s="1" t="s">
        <v>37</v>
      </c>
      <c r="W244">
        <v>2</v>
      </c>
    </row>
    <row r="245" spans="1:23" x14ac:dyDescent="0.3">
      <c r="A245" s="1" t="s">
        <v>608</v>
      </c>
      <c r="B245">
        <v>2</v>
      </c>
      <c r="C245">
        <v>34.99</v>
      </c>
      <c r="D245">
        <v>60.98</v>
      </c>
      <c r="E245" s="1" t="s">
        <v>252</v>
      </c>
      <c r="F245" s="1" t="s">
        <v>188</v>
      </c>
      <c r="G245">
        <v>0</v>
      </c>
      <c r="H245" s="1" t="s">
        <v>41</v>
      </c>
      <c r="I245" s="1" t="s">
        <v>85</v>
      </c>
      <c r="J245">
        <v>12.5</v>
      </c>
      <c r="K245">
        <v>34.99</v>
      </c>
      <c r="L245" s="1" t="s">
        <v>60</v>
      </c>
      <c r="M245" s="1" t="s">
        <v>29</v>
      </c>
      <c r="N245" s="1" t="s">
        <v>30</v>
      </c>
      <c r="O245" s="1" t="s">
        <v>31</v>
      </c>
      <c r="P245" s="2">
        <v>45778</v>
      </c>
      <c r="Q245" s="1" t="s">
        <v>114</v>
      </c>
      <c r="R245" s="1" t="s">
        <v>115</v>
      </c>
      <c r="S245" s="1" t="s">
        <v>54</v>
      </c>
      <c r="T245" s="1" t="s">
        <v>35</v>
      </c>
      <c r="U245" s="1" t="s">
        <v>82</v>
      </c>
      <c r="V245" s="1" t="s">
        <v>89</v>
      </c>
      <c r="W245">
        <v>2.4</v>
      </c>
    </row>
    <row r="246" spans="1:23" x14ac:dyDescent="0.3">
      <c r="A246" s="1" t="s">
        <v>609</v>
      </c>
      <c r="B246">
        <v>1</v>
      </c>
      <c r="C246">
        <v>21.99</v>
      </c>
      <c r="D246">
        <v>21.99</v>
      </c>
      <c r="E246" s="1" t="s">
        <v>107</v>
      </c>
      <c r="F246" s="1" t="s">
        <v>25</v>
      </c>
      <c r="G246">
        <v>2</v>
      </c>
      <c r="H246" s="1" t="s">
        <v>26</v>
      </c>
      <c r="I246" s="1" t="s">
        <v>27</v>
      </c>
      <c r="J246">
        <v>7</v>
      </c>
      <c r="K246">
        <v>21.99</v>
      </c>
      <c r="L246" s="1" t="s">
        <v>28</v>
      </c>
      <c r="M246" s="1" t="s">
        <v>29</v>
      </c>
      <c r="N246" s="1" t="s">
        <v>30</v>
      </c>
      <c r="O246" s="1" t="s">
        <v>31</v>
      </c>
      <c r="P246" s="2">
        <v>45778</v>
      </c>
      <c r="Q246" s="1" t="s">
        <v>335</v>
      </c>
      <c r="R246" s="1" t="s">
        <v>336</v>
      </c>
      <c r="S246" s="1" t="s">
        <v>34</v>
      </c>
      <c r="T246" s="1" t="s">
        <v>35</v>
      </c>
      <c r="U246" s="1" t="s">
        <v>48</v>
      </c>
      <c r="V246" s="1" t="s">
        <v>37</v>
      </c>
      <c r="W246">
        <v>2</v>
      </c>
    </row>
    <row r="247" spans="1:23" x14ac:dyDescent="0.3">
      <c r="A247" s="1" t="s">
        <v>610</v>
      </c>
      <c r="B247">
        <v>1</v>
      </c>
      <c r="C247">
        <v>18.989999999999998</v>
      </c>
      <c r="D247">
        <v>18.989999999999998</v>
      </c>
      <c r="E247" s="1" t="s">
        <v>252</v>
      </c>
      <c r="F247" s="1" t="s">
        <v>40</v>
      </c>
      <c r="G247">
        <v>17</v>
      </c>
      <c r="H247" s="1" t="s">
        <v>41</v>
      </c>
      <c r="I247" s="1" t="s">
        <v>97</v>
      </c>
      <c r="J247">
        <v>6</v>
      </c>
      <c r="K247">
        <v>18.989999999999998</v>
      </c>
      <c r="L247" s="1" t="s">
        <v>60</v>
      </c>
      <c r="M247" s="1" t="s">
        <v>43</v>
      </c>
      <c r="N247" s="1" t="s">
        <v>44</v>
      </c>
      <c r="O247" s="1" t="s">
        <v>31</v>
      </c>
      <c r="P247" s="2">
        <v>45823</v>
      </c>
      <c r="Q247" s="1" t="s">
        <v>161</v>
      </c>
      <c r="R247" s="1" t="s">
        <v>500</v>
      </c>
      <c r="S247" s="1" t="s">
        <v>65</v>
      </c>
      <c r="T247" s="1" t="s">
        <v>35</v>
      </c>
      <c r="U247" s="1" t="s">
        <v>55</v>
      </c>
      <c r="V247" s="1" t="s">
        <v>100</v>
      </c>
      <c r="W247">
        <v>3.2</v>
      </c>
    </row>
    <row r="248" spans="1:23" x14ac:dyDescent="0.3">
      <c r="A248" s="1" t="s">
        <v>611</v>
      </c>
      <c r="B248">
        <v>1</v>
      </c>
      <c r="C248">
        <v>27.99</v>
      </c>
      <c r="D248">
        <v>27.99</v>
      </c>
      <c r="E248" s="1" t="s">
        <v>202</v>
      </c>
      <c r="F248" s="1" t="s">
        <v>40</v>
      </c>
      <c r="G248">
        <v>3</v>
      </c>
      <c r="H248" s="1" t="s">
        <v>26</v>
      </c>
      <c r="I248" s="1" t="s">
        <v>75</v>
      </c>
      <c r="J248">
        <v>9</v>
      </c>
      <c r="K248">
        <v>27.99</v>
      </c>
      <c r="L248" s="1" t="s">
        <v>28</v>
      </c>
      <c r="M248" s="1" t="s">
        <v>61</v>
      </c>
      <c r="N248" s="1" t="s">
        <v>62</v>
      </c>
      <c r="O248" s="1" t="s">
        <v>31</v>
      </c>
      <c r="P248" s="2">
        <v>45726</v>
      </c>
      <c r="Q248" s="1" t="s">
        <v>71</v>
      </c>
      <c r="R248" s="1" t="s">
        <v>72</v>
      </c>
      <c r="S248" s="1" t="s">
        <v>47</v>
      </c>
      <c r="T248" s="1" t="s">
        <v>35</v>
      </c>
      <c r="U248" s="1" t="s">
        <v>36</v>
      </c>
      <c r="V248" s="1" t="s">
        <v>37</v>
      </c>
      <c r="W248">
        <v>2</v>
      </c>
    </row>
    <row r="249" spans="1:23" x14ac:dyDescent="0.3">
      <c r="A249" s="1" t="s">
        <v>612</v>
      </c>
      <c r="B249">
        <v>2</v>
      </c>
      <c r="C249">
        <v>21.99</v>
      </c>
      <c r="D249">
        <v>37.979999999999997</v>
      </c>
      <c r="E249" s="1" t="s">
        <v>84</v>
      </c>
      <c r="F249" s="1" t="s">
        <v>40</v>
      </c>
      <c r="G249">
        <v>3</v>
      </c>
      <c r="H249" s="1" t="s">
        <v>96</v>
      </c>
      <c r="I249" s="1" t="s">
        <v>27</v>
      </c>
      <c r="J249">
        <v>7</v>
      </c>
      <c r="K249">
        <v>21.99</v>
      </c>
      <c r="L249" s="1" t="s">
        <v>28</v>
      </c>
      <c r="M249" s="1" t="s">
        <v>29</v>
      </c>
      <c r="N249" s="1" t="s">
        <v>30</v>
      </c>
      <c r="O249" s="1" t="s">
        <v>31</v>
      </c>
      <c r="P249" s="2">
        <v>45778</v>
      </c>
      <c r="Q249" s="1" t="s">
        <v>161</v>
      </c>
      <c r="R249" s="1" t="s">
        <v>162</v>
      </c>
      <c r="S249" s="1" t="s">
        <v>54</v>
      </c>
      <c r="T249" s="1" t="s">
        <v>35</v>
      </c>
      <c r="U249" s="1" t="s">
        <v>36</v>
      </c>
      <c r="V249" s="1" t="s">
        <v>37</v>
      </c>
      <c r="W249">
        <v>2</v>
      </c>
    </row>
    <row r="250" spans="1:23" x14ac:dyDescent="0.3">
      <c r="A250" s="1" t="s">
        <v>613</v>
      </c>
      <c r="B250">
        <v>1</v>
      </c>
      <c r="C250">
        <v>16.989999999999998</v>
      </c>
      <c r="D250">
        <v>16.989999999999998</v>
      </c>
      <c r="E250" s="1" t="s">
        <v>95</v>
      </c>
      <c r="F250" s="1" t="s">
        <v>40</v>
      </c>
      <c r="G250">
        <v>17</v>
      </c>
      <c r="H250" s="1" t="s">
        <v>96</v>
      </c>
      <c r="I250" s="1" t="s">
        <v>59</v>
      </c>
      <c r="J250">
        <v>5</v>
      </c>
      <c r="K250">
        <v>16.989999999999998</v>
      </c>
      <c r="L250" s="1" t="s">
        <v>60</v>
      </c>
      <c r="M250" s="1" t="s">
        <v>61</v>
      </c>
      <c r="N250" s="1" t="s">
        <v>62</v>
      </c>
      <c r="O250" s="1" t="s">
        <v>31</v>
      </c>
      <c r="P250" s="2">
        <v>45726</v>
      </c>
      <c r="Q250" s="1" t="s">
        <v>379</v>
      </c>
      <c r="R250" s="1" t="s">
        <v>614</v>
      </c>
      <c r="S250" s="1" t="s">
        <v>47</v>
      </c>
      <c r="T250" s="1" t="s">
        <v>35</v>
      </c>
      <c r="U250" s="1" t="s">
        <v>48</v>
      </c>
      <c r="V250" s="1" t="s">
        <v>67</v>
      </c>
      <c r="W250">
        <v>3</v>
      </c>
    </row>
    <row r="251" spans="1:23" x14ac:dyDescent="0.3">
      <c r="A251" s="1" t="s">
        <v>615</v>
      </c>
      <c r="B251">
        <v>1</v>
      </c>
      <c r="C251">
        <v>18.989999999999998</v>
      </c>
      <c r="D251">
        <v>18.989999999999998</v>
      </c>
      <c r="E251" s="1" t="s">
        <v>536</v>
      </c>
      <c r="F251" s="1" t="s">
        <v>70</v>
      </c>
      <c r="G251">
        <v>0</v>
      </c>
      <c r="H251" s="1" t="s">
        <v>26</v>
      </c>
      <c r="I251" s="1" t="s">
        <v>97</v>
      </c>
      <c r="J251">
        <v>6</v>
      </c>
      <c r="K251">
        <v>18.989999999999998</v>
      </c>
      <c r="L251" s="1" t="s">
        <v>60</v>
      </c>
      <c r="M251" s="1" t="s">
        <v>43</v>
      </c>
      <c r="N251" s="1" t="s">
        <v>44</v>
      </c>
      <c r="O251" s="1" t="s">
        <v>31</v>
      </c>
      <c r="P251" s="2">
        <v>45823</v>
      </c>
      <c r="Q251" s="1" t="s">
        <v>420</v>
      </c>
      <c r="R251" s="1" t="s">
        <v>423</v>
      </c>
      <c r="S251" s="1" t="s">
        <v>105</v>
      </c>
      <c r="T251" s="1" t="s">
        <v>35</v>
      </c>
      <c r="U251" s="1" t="s">
        <v>82</v>
      </c>
      <c r="V251" s="1" t="s">
        <v>100</v>
      </c>
      <c r="W251">
        <v>3.2</v>
      </c>
    </row>
    <row r="252" spans="1:23" x14ac:dyDescent="0.3">
      <c r="A252" s="1" t="s">
        <v>616</v>
      </c>
      <c r="B252">
        <v>1</v>
      </c>
      <c r="C252">
        <v>18.989999999999998</v>
      </c>
      <c r="D252">
        <v>18.989999999999998</v>
      </c>
      <c r="E252" s="1" t="s">
        <v>617</v>
      </c>
      <c r="F252" s="1" t="s">
        <v>188</v>
      </c>
      <c r="G252">
        <v>0</v>
      </c>
      <c r="H252" s="1" t="s">
        <v>58</v>
      </c>
      <c r="I252" s="1" t="s">
        <v>97</v>
      </c>
      <c r="J252">
        <v>6</v>
      </c>
      <c r="K252">
        <v>18.989999999999998</v>
      </c>
      <c r="L252" s="1" t="s">
        <v>60</v>
      </c>
      <c r="M252" s="1" t="s">
        <v>43</v>
      </c>
      <c r="N252" s="1" t="s">
        <v>44</v>
      </c>
      <c r="O252" s="1" t="s">
        <v>31</v>
      </c>
      <c r="P252" s="2">
        <v>45823</v>
      </c>
      <c r="Q252" s="1" t="s">
        <v>518</v>
      </c>
      <c r="R252" s="1" t="s">
        <v>519</v>
      </c>
      <c r="S252" s="1" t="s">
        <v>54</v>
      </c>
      <c r="T252" s="1" t="s">
        <v>35</v>
      </c>
      <c r="U252" s="1" t="s">
        <v>55</v>
      </c>
      <c r="V252" s="1" t="s">
        <v>100</v>
      </c>
      <c r="W252">
        <v>3.2</v>
      </c>
    </row>
    <row r="253" spans="1:23" x14ac:dyDescent="0.3">
      <c r="A253" s="1" t="s">
        <v>618</v>
      </c>
      <c r="B253">
        <v>3</v>
      </c>
      <c r="C253">
        <v>16.989999999999998</v>
      </c>
      <c r="D253">
        <v>40.18</v>
      </c>
      <c r="E253" s="1" t="s">
        <v>39</v>
      </c>
      <c r="F253" s="1" t="s">
        <v>40</v>
      </c>
      <c r="G253">
        <v>19</v>
      </c>
      <c r="H253" s="1" t="s">
        <v>41</v>
      </c>
      <c r="I253" s="1" t="s">
        <v>59</v>
      </c>
      <c r="J253">
        <v>5</v>
      </c>
      <c r="K253">
        <v>16.989999999999998</v>
      </c>
      <c r="L253" s="1" t="s">
        <v>60</v>
      </c>
      <c r="M253" s="1" t="s">
        <v>61</v>
      </c>
      <c r="N253" s="1" t="s">
        <v>62</v>
      </c>
      <c r="O253" s="1" t="s">
        <v>31</v>
      </c>
      <c r="P253" s="2">
        <v>45726</v>
      </c>
      <c r="Q253" s="1" t="s">
        <v>349</v>
      </c>
      <c r="R253" s="1" t="s">
        <v>619</v>
      </c>
      <c r="S253" s="1" t="s">
        <v>65</v>
      </c>
      <c r="T253" s="1" t="s">
        <v>35</v>
      </c>
      <c r="U253" s="1" t="s">
        <v>82</v>
      </c>
      <c r="V253" s="1" t="s">
        <v>67</v>
      </c>
      <c r="W253">
        <v>3</v>
      </c>
    </row>
    <row r="254" spans="1:23" x14ac:dyDescent="0.3">
      <c r="A254" s="1" t="s">
        <v>620</v>
      </c>
      <c r="B254">
        <v>1</v>
      </c>
      <c r="C254">
        <v>16.989999999999998</v>
      </c>
      <c r="D254">
        <v>16.989999999999998</v>
      </c>
      <c r="E254" s="1" t="s">
        <v>121</v>
      </c>
      <c r="F254" s="1" t="s">
        <v>70</v>
      </c>
      <c r="G254">
        <v>0</v>
      </c>
      <c r="H254" s="1" t="s">
        <v>26</v>
      </c>
      <c r="I254" s="1" t="s">
        <v>59</v>
      </c>
      <c r="J254">
        <v>5</v>
      </c>
      <c r="K254">
        <v>16.989999999999998</v>
      </c>
      <c r="L254" s="1" t="s">
        <v>60</v>
      </c>
      <c r="M254" s="1" t="s">
        <v>61</v>
      </c>
      <c r="N254" s="1" t="s">
        <v>62</v>
      </c>
      <c r="O254" s="1" t="s">
        <v>31</v>
      </c>
      <c r="P254" s="2">
        <v>45726</v>
      </c>
      <c r="Q254" s="1" t="s">
        <v>278</v>
      </c>
      <c r="R254" s="1" t="s">
        <v>279</v>
      </c>
      <c r="S254" s="1" t="s">
        <v>54</v>
      </c>
      <c r="T254" s="1" t="s">
        <v>35</v>
      </c>
      <c r="U254" s="1" t="s">
        <v>36</v>
      </c>
      <c r="V254" s="1" t="s">
        <v>67</v>
      </c>
      <c r="W254">
        <v>3</v>
      </c>
    </row>
    <row r="255" spans="1:23" x14ac:dyDescent="0.3">
      <c r="A255" s="1" t="s">
        <v>621</v>
      </c>
      <c r="B255">
        <v>3</v>
      </c>
      <c r="C255">
        <v>16.989999999999998</v>
      </c>
      <c r="D255">
        <v>40.18</v>
      </c>
      <c r="E255" s="1" t="s">
        <v>79</v>
      </c>
      <c r="F255" s="1" t="s">
        <v>40</v>
      </c>
      <c r="G255">
        <v>19</v>
      </c>
      <c r="H255" s="1" t="s">
        <v>58</v>
      </c>
      <c r="I255" s="1" t="s">
        <v>59</v>
      </c>
      <c r="J255">
        <v>5</v>
      </c>
      <c r="K255">
        <v>16.989999999999998</v>
      </c>
      <c r="L255" s="1" t="s">
        <v>60</v>
      </c>
      <c r="M255" s="1" t="s">
        <v>61</v>
      </c>
      <c r="N255" s="1" t="s">
        <v>62</v>
      </c>
      <c r="O255" s="1" t="s">
        <v>31</v>
      </c>
      <c r="P255" s="2">
        <v>45726</v>
      </c>
      <c r="Q255" s="1" t="s">
        <v>314</v>
      </c>
      <c r="R255" s="1" t="s">
        <v>315</v>
      </c>
      <c r="S255" s="1" t="s">
        <v>34</v>
      </c>
      <c r="T255" s="1" t="s">
        <v>35</v>
      </c>
      <c r="U255" s="1" t="s">
        <v>82</v>
      </c>
      <c r="V255" s="1" t="s">
        <v>67</v>
      </c>
      <c r="W255">
        <v>3</v>
      </c>
    </row>
    <row r="256" spans="1:23" x14ac:dyDescent="0.3">
      <c r="A256" s="1" t="s">
        <v>622</v>
      </c>
      <c r="B256">
        <v>1</v>
      </c>
      <c r="C256">
        <v>34.99</v>
      </c>
      <c r="D256">
        <v>34.99</v>
      </c>
      <c r="E256" s="1" t="s">
        <v>95</v>
      </c>
      <c r="F256" s="1" t="s">
        <v>40</v>
      </c>
      <c r="G256">
        <v>9</v>
      </c>
      <c r="H256" s="1" t="s">
        <v>96</v>
      </c>
      <c r="I256" s="1" t="s">
        <v>85</v>
      </c>
      <c r="J256">
        <v>12.5</v>
      </c>
      <c r="K256">
        <v>34.99</v>
      </c>
      <c r="L256" s="1" t="s">
        <v>60</v>
      </c>
      <c r="M256" s="1" t="s">
        <v>29</v>
      </c>
      <c r="N256" s="1" t="s">
        <v>30</v>
      </c>
      <c r="O256" s="1" t="s">
        <v>31</v>
      </c>
      <c r="P256" s="2">
        <v>45778</v>
      </c>
      <c r="Q256" s="1" t="s">
        <v>63</v>
      </c>
      <c r="R256" s="1" t="s">
        <v>64</v>
      </c>
      <c r="S256" s="1" t="s">
        <v>65</v>
      </c>
      <c r="T256" s="1" t="s">
        <v>35</v>
      </c>
      <c r="U256" s="1" t="s">
        <v>66</v>
      </c>
      <c r="V256" s="1" t="s">
        <v>89</v>
      </c>
      <c r="W256">
        <v>2.4</v>
      </c>
    </row>
    <row r="257" spans="1:23" x14ac:dyDescent="0.3">
      <c r="A257" s="1" t="s">
        <v>623</v>
      </c>
      <c r="B257">
        <v>1</v>
      </c>
      <c r="C257">
        <v>27.99</v>
      </c>
      <c r="D257">
        <v>27.99</v>
      </c>
      <c r="E257" s="1" t="s">
        <v>260</v>
      </c>
      <c r="F257" s="1" t="s">
        <v>51</v>
      </c>
      <c r="G257">
        <v>0</v>
      </c>
      <c r="H257" s="1" t="s">
        <v>58</v>
      </c>
      <c r="I257" s="1" t="s">
        <v>75</v>
      </c>
      <c r="J257">
        <v>9</v>
      </c>
      <c r="K257">
        <v>27.99</v>
      </c>
      <c r="L257" s="1" t="s">
        <v>624</v>
      </c>
      <c r="M257" s="1" t="s">
        <v>61</v>
      </c>
      <c r="N257" s="1" t="s">
        <v>62</v>
      </c>
      <c r="O257" s="1" t="s">
        <v>31</v>
      </c>
      <c r="P257" s="2">
        <v>45726</v>
      </c>
      <c r="Q257" s="1" t="s">
        <v>165</v>
      </c>
      <c r="R257" s="1" t="s">
        <v>562</v>
      </c>
      <c r="S257" s="1" t="s">
        <v>34</v>
      </c>
      <c r="T257" s="1" t="s">
        <v>35</v>
      </c>
      <c r="U257" s="1" t="s">
        <v>48</v>
      </c>
      <c r="V257" s="1" t="s">
        <v>37</v>
      </c>
      <c r="W257">
        <v>2</v>
      </c>
    </row>
    <row r="258" spans="1:23" x14ac:dyDescent="0.3">
      <c r="A258" s="1" t="s">
        <v>625</v>
      </c>
      <c r="B258">
        <v>1</v>
      </c>
      <c r="C258">
        <v>30.99</v>
      </c>
      <c r="D258">
        <v>30.99</v>
      </c>
      <c r="E258" s="1" t="s">
        <v>252</v>
      </c>
      <c r="F258" s="1" t="s">
        <v>40</v>
      </c>
      <c r="G258">
        <v>2</v>
      </c>
      <c r="H258" s="1" t="s">
        <v>41</v>
      </c>
      <c r="I258" s="1" t="s">
        <v>42</v>
      </c>
      <c r="J258">
        <v>10.5</v>
      </c>
      <c r="K258">
        <v>30.99</v>
      </c>
      <c r="L258" s="1" t="s">
        <v>28</v>
      </c>
      <c r="M258" s="1" t="s">
        <v>43</v>
      </c>
      <c r="N258" s="1" t="s">
        <v>44</v>
      </c>
      <c r="O258" s="1" t="s">
        <v>31</v>
      </c>
      <c r="P258" s="2">
        <v>45823</v>
      </c>
      <c r="Q258" s="1" t="s">
        <v>157</v>
      </c>
      <c r="R258" s="1" t="s">
        <v>158</v>
      </c>
      <c r="S258" s="1" t="s">
        <v>34</v>
      </c>
      <c r="T258" s="1" t="s">
        <v>35</v>
      </c>
      <c r="U258" s="1" t="s">
        <v>82</v>
      </c>
      <c r="V258" s="1" t="s">
        <v>37</v>
      </c>
      <c r="W258">
        <v>2</v>
      </c>
    </row>
    <row r="259" spans="1:23" x14ac:dyDescent="0.3">
      <c r="A259" s="1" t="s">
        <v>626</v>
      </c>
      <c r="B259">
        <v>1</v>
      </c>
      <c r="C259">
        <v>30.99</v>
      </c>
      <c r="D259">
        <v>30.99</v>
      </c>
      <c r="E259" s="1" t="s">
        <v>327</v>
      </c>
      <c r="F259" s="1" t="s">
        <v>51</v>
      </c>
      <c r="G259">
        <v>0</v>
      </c>
      <c r="H259" s="1" t="s">
        <v>58</v>
      </c>
      <c r="I259" s="1" t="s">
        <v>42</v>
      </c>
      <c r="J259">
        <v>10.5</v>
      </c>
      <c r="K259">
        <v>30.99</v>
      </c>
      <c r="L259" s="1" t="s">
        <v>28</v>
      </c>
      <c r="M259" s="1" t="s">
        <v>43</v>
      </c>
      <c r="N259" s="1" t="s">
        <v>44</v>
      </c>
      <c r="O259" s="1" t="s">
        <v>31</v>
      </c>
      <c r="P259" s="2">
        <v>45823</v>
      </c>
      <c r="Q259" s="1" t="s">
        <v>63</v>
      </c>
      <c r="R259" s="1" t="s">
        <v>371</v>
      </c>
      <c r="S259" s="1" t="s">
        <v>88</v>
      </c>
      <c r="T259" s="1" t="s">
        <v>35</v>
      </c>
      <c r="U259" s="1" t="s">
        <v>36</v>
      </c>
      <c r="V259" s="1" t="s">
        <v>37</v>
      </c>
      <c r="W259">
        <v>2</v>
      </c>
    </row>
    <row r="260" spans="1:23" x14ac:dyDescent="0.3">
      <c r="A260" s="1" t="s">
        <v>627</v>
      </c>
      <c r="B260">
        <v>1</v>
      </c>
      <c r="C260">
        <v>27.99</v>
      </c>
      <c r="D260">
        <v>27.99</v>
      </c>
      <c r="E260" s="1" t="s">
        <v>628</v>
      </c>
      <c r="F260" s="1" t="s">
        <v>40</v>
      </c>
      <c r="G260">
        <v>3</v>
      </c>
      <c r="H260" s="1" t="s">
        <v>96</v>
      </c>
      <c r="I260" s="1" t="s">
        <v>75</v>
      </c>
      <c r="J260">
        <v>9</v>
      </c>
      <c r="K260">
        <v>27.99</v>
      </c>
      <c r="L260" s="1" t="s">
        <v>28</v>
      </c>
      <c r="M260" s="1" t="s">
        <v>61</v>
      </c>
      <c r="N260" s="1" t="s">
        <v>62</v>
      </c>
      <c r="O260" s="1" t="s">
        <v>31</v>
      </c>
      <c r="P260" s="2">
        <v>45726</v>
      </c>
      <c r="Q260" s="1" t="s">
        <v>249</v>
      </c>
      <c r="R260" s="1" t="s">
        <v>250</v>
      </c>
      <c r="S260" s="1" t="s">
        <v>47</v>
      </c>
      <c r="T260" s="1" t="s">
        <v>35</v>
      </c>
      <c r="U260" s="1" t="s">
        <v>82</v>
      </c>
      <c r="V260" s="1" t="s">
        <v>37</v>
      </c>
      <c r="W260">
        <v>2</v>
      </c>
    </row>
    <row r="261" spans="1:23" x14ac:dyDescent="0.3">
      <c r="A261" s="1" t="s">
        <v>629</v>
      </c>
      <c r="B261">
        <v>3</v>
      </c>
      <c r="C261">
        <v>34.99</v>
      </c>
      <c r="D261">
        <v>84.73</v>
      </c>
      <c r="E261" s="1" t="s">
        <v>447</v>
      </c>
      <c r="F261" s="1" t="s">
        <v>40</v>
      </c>
      <c r="G261">
        <v>6</v>
      </c>
      <c r="H261" s="1" t="s">
        <v>96</v>
      </c>
      <c r="I261" s="1" t="s">
        <v>85</v>
      </c>
      <c r="J261">
        <v>12.5</v>
      </c>
      <c r="K261">
        <v>34.99</v>
      </c>
      <c r="L261" s="1" t="s">
        <v>60</v>
      </c>
      <c r="M261" s="1" t="s">
        <v>29</v>
      </c>
      <c r="N261" s="1" t="s">
        <v>30</v>
      </c>
      <c r="O261" s="1" t="s">
        <v>31</v>
      </c>
      <c r="P261" s="2">
        <v>45778</v>
      </c>
      <c r="Q261" s="1" t="s">
        <v>630</v>
      </c>
      <c r="R261" s="1" t="s">
        <v>631</v>
      </c>
      <c r="S261" s="1" t="s">
        <v>88</v>
      </c>
      <c r="T261" s="1" t="s">
        <v>35</v>
      </c>
      <c r="U261" s="1" t="s">
        <v>36</v>
      </c>
      <c r="V261" s="1" t="s">
        <v>89</v>
      </c>
      <c r="W261">
        <v>2.4</v>
      </c>
    </row>
    <row r="262" spans="1:23" x14ac:dyDescent="0.3">
      <c r="A262" s="1" t="s">
        <v>632</v>
      </c>
      <c r="B262">
        <v>1</v>
      </c>
      <c r="C262">
        <v>18.989999999999998</v>
      </c>
      <c r="D262">
        <v>18.989999999999998</v>
      </c>
      <c r="E262" s="1" t="s">
        <v>561</v>
      </c>
      <c r="F262" s="1" t="s">
        <v>40</v>
      </c>
      <c r="G262">
        <v>13</v>
      </c>
      <c r="H262" s="1" t="s">
        <v>96</v>
      </c>
      <c r="I262" s="1" t="s">
        <v>97</v>
      </c>
      <c r="J262">
        <v>6</v>
      </c>
      <c r="K262">
        <v>18.989999999999998</v>
      </c>
      <c r="L262" s="1" t="s">
        <v>60</v>
      </c>
      <c r="M262" s="1" t="s">
        <v>43</v>
      </c>
      <c r="N262" s="1" t="s">
        <v>44</v>
      </c>
      <c r="O262" s="1" t="s">
        <v>31</v>
      </c>
      <c r="P262" s="2">
        <v>45823</v>
      </c>
      <c r="Q262" s="1" t="s">
        <v>462</v>
      </c>
      <c r="R262" s="1" t="s">
        <v>463</v>
      </c>
      <c r="S262" s="1" t="s">
        <v>54</v>
      </c>
      <c r="T262" s="1" t="s">
        <v>35</v>
      </c>
      <c r="U262" s="1" t="s">
        <v>36</v>
      </c>
      <c r="V262" s="1" t="s">
        <v>100</v>
      </c>
      <c r="W262">
        <v>3.2</v>
      </c>
    </row>
    <row r="263" spans="1:23" x14ac:dyDescent="0.3">
      <c r="A263" s="1" t="s">
        <v>633</v>
      </c>
      <c r="B263">
        <v>3</v>
      </c>
      <c r="C263">
        <v>21.99</v>
      </c>
      <c r="D263">
        <v>52.48</v>
      </c>
      <c r="E263" s="1" t="s">
        <v>419</v>
      </c>
      <c r="F263" s="1" t="s">
        <v>188</v>
      </c>
      <c r="G263">
        <v>0</v>
      </c>
      <c r="H263" s="1" t="s">
        <v>41</v>
      </c>
      <c r="I263" s="1" t="s">
        <v>27</v>
      </c>
      <c r="J263">
        <v>7</v>
      </c>
      <c r="K263">
        <v>21.99</v>
      </c>
      <c r="L263" s="1" t="s">
        <v>28</v>
      </c>
      <c r="M263" s="1" t="s">
        <v>29</v>
      </c>
      <c r="N263" s="1" t="s">
        <v>30</v>
      </c>
      <c r="O263" s="1" t="s">
        <v>31</v>
      </c>
      <c r="P263" s="2">
        <v>45778</v>
      </c>
      <c r="Q263" s="1" t="s">
        <v>466</v>
      </c>
      <c r="R263" s="1" t="s">
        <v>467</v>
      </c>
      <c r="S263" s="1" t="s">
        <v>65</v>
      </c>
      <c r="T263" s="1" t="s">
        <v>35</v>
      </c>
      <c r="U263" s="1" t="s">
        <v>36</v>
      </c>
      <c r="V263" s="1" t="s">
        <v>37</v>
      </c>
      <c r="W263">
        <v>2</v>
      </c>
    </row>
    <row r="264" spans="1:23" x14ac:dyDescent="0.3">
      <c r="A264" s="1" t="s">
        <v>634</v>
      </c>
      <c r="B264">
        <v>1</v>
      </c>
      <c r="C264">
        <v>18.989999999999998</v>
      </c>
      <c r="D264">
        <v>18.989999999999998</v>
      </c>
      <c r="E264" s="1" t="s">
        <v>168</v>
      </c>
      <c r="F264" s="1" t="s">
        <v>40</v>
      </c>
      <c r="G264">
        <v>13</v>
      </c>
      <c r="H264" s="1" t="s">
        <v>41</v>
      </c>
      <c r="I264" s="1" t="s">
        <v>97</v>
      </c>
      <c r="J264">
        <v>6</v>
      </c>
      <c r="K264">
        <v>18.989999999999998</v>
      </c>
      <c r="L264" s="1" t="s">
        <v>60</v>
      </c>
      <c r="M264" s="1" t="s">
        <v>43</v>
      </c>
      <c r="N264" s="1" t="s">
        <v>44</v>
      </c>
      <c r="O264" s="1" t="s">
        <v>31</v>
      </c>
      <c r="P264" s="2">
        <v>45823</v>
      </c>
      <c r="Q264" s="1" t="s">
        <v>98</v>
      </c>
      <c r="R264" s="1" t="s">
        <v>99</v>
      </c>
      <c r="S264" s="1" t="s">
        <v>47</v>
      </c>
      <c r="T264" s="1" t="s">
        <v>35</v>
      </c>
      <c r="U264" s="1" t="s">
        <v>66</v>
      </c>
      <c r="V264" s="1" t="s">
        <v>100</v>
      </c>
      <c r="W264">
        <v>3.2</v>
      </c>
    </row>
    <row r="265" spans="1:23" x14ac:dyDescent="0.3">
      <c r="A265" s="1" t="s">
        <v>635</v>
      </c>
      <c r="B265">
        <v>2</v>
      </c>
      <c r="C265">
        <v>18.989999999999998</v>
      </c>
      <c r="D265">
        <v>32.78</v>
      </c>
      <c r="E265" s="1" t="s">
        <v>192</v>
      </c>
      <c r="F265" s="1" t="s">
        <v>40</v>
      </c>
      <c r="G265">
        <v>13</v>
      </c>
      <c r="H265" s="1" t="s">
        <v>41</v>
      </c>
      <c r="I265" s="1" t="s">
        <v>97</v>
      </c>
      <c r="J265">
        <v>6</v>
      </c>
      <c r="K265">
        <v>18.989999999999998</v>
      </c>
      <c r="L265" s="1" t="s">
        <v>60</v>
      </c>
      <c r="M265" s="1" t="s">
        <v>43</v>
      </c>
      <c r="N265" s="1" t="s">
        <v>44</v>
      </c>
      <c r="O265" s="1" t="s">
        <v>31</v>
      </c>
      <c r="P265" s="2">
        <v>45823</v>
      </c>
      <c r="Q265" s="1" t="s">
        <v>63</v>
      </c>
      <c r="R265" s="1" t="s">
        <v>371</v>
      </c>
      <c r="S265" s="1" t="s">
        <v>88</v>
      </c>
      <c r="T265" s="1" t="s">
        <v>35</v>
      </c>
      <c r="U265" s="1" t="s">
        <v>36</v>
      </c>
      <c r="V265" s="1" t="s">
        <v>100</v>
      </c>
      <c r="W265">
        <v>3.2</v>
      </c>
    </row>
    <row r="266" spans="1:23" x14ac:dyDescent="0.3">
      <c r="A266" s="1" t="s">
        <v>636</v>
      </c>
      <c r="B266">
        <v>2</v>
      </c>
      <c r="C266">
        <v>27.99</v>
      </c>
      <c r="D266">
        <v>48.38</v>
      </c>
      <c r="E266" s="1" t="s">
        <v>79</v>
      </c>
      <c r="F266" s="1" t="s">
        <v>51</v>
      </c>
      <c r="G266">
        <v>0</v>
      </c>
      <c r="H266" s="1" t="s">
        <v>58</v>
      </c>
      <c r="I266" s="1" t="s">
        <v>75</v>
      </c>
      <c r="J266">
        <v>9</v>
      </c>
      <c r="K266">
        <v>27.99</v>
      </c>
      <c r="L266" s="1" t="s">
        <v>28</v>
      </c>
      <c r="M266" s="1" t="s">
        <v>61</v>
      </c>
      <c r="N266" s="1" t="s">
        <v>62</v>
      </c>
      <c r="O266" s="1" t="s">
        <v>31</v>
      </c>
      <c r="P266" s="2">
        <v>45726</v>
      </c>
      <c r="Q266" s="1" t="s">
        <v>216</v>
      </c>
      <c r="R266" s="1" t="s">
        <v>217</v>
      </c>
      <c r="S266" s="1" t="s">
        <v>65</v>
      </c>
      <c r="T266" s="1" t="s">
        <v>35</v>
      </c>
      <c r="U266" s="1" t="s">
        <v>82</v>
      </c>
      <c r="V266" s="1" t="s">
        <v>37</v>
      </c>
      <c r="W266">
        <v>2</v>
      </c>
    </row>
    <row r="267" spans="1:23" x14ac:dyDescent="0.3">
      <c r="A267" s="1" t="s">
        <v>637</v>
      </c>
      <c r="B267">
        <v>2</v>
      </c>
      <c r="C267">
        <v>21.99</v>
      </c>
      <c r="D267">
        <v>37.979999999999997</v>
      </c>
      <c r="E267" s="1" t="s">
        <v>389</v>
      </c>
      <c r="F267" s="1" t="s">
        <v>40</v>
      </c>
      <c r="G267">
        <v>3</v>
      </c>
      <c r="H267" s="1" t="s">
        <v>96</v>
      </c>
      <c r="I267" s="1" t="s">
        <v>27</v>
      </c>
      <c r="J267">
        <v>7</v>
      </c>
      <c r="K267">
        <v>21.99</v>
      </c>
      <c r="L267" s="1" t="s">
        <v>28</v>
      </c>
      <c r="M267" s="1" t="s">
        <v>29</v>
      </c>
      <c r="N267" s="1" t="s">
        <v>30</v>
      </c>
      <c r="O267" s="1" t="s">
        <v>31</v>
      </c>
      <c r="P267" s="2">
        <v>45778</v>
      </c>
      <c r="Q267" s="1" t="s">
        <v>161</v>
      </c>
      <c r="R267" s="1" t="s">
        <v>179</v>
      </c>
      <c r="S267" s="1" t="s">
        <v>105</v>
      </c>
      <c r="T267" s="1" t="s">
        <v>35</v>
      </c>
      <c r="U267" s="1" t="s">
        <v>82</v>
      </c>
      <c r="V267" s="1" t="s">
        <v>37</v>
      </c>
      <c r="W267">
        <v>2</v>
      </c>
    </row>
    <row r="268" spans="1:23" x14ac:dyDescent="0.3">
      <c r="A268" s="1" t="s">
        <v>638</v>
      </c>
      <c r="B268">
        <v>1</v>
      </c>
      <c r="C268">
        <v>34.99</v>
      </c>
      <c r="D268">
        <v>34.99</v>
      </c>
      <c r="E268" s="1" t="s">
        <v>187</v>
      </c>
      <c r="F268" s="1" t="s">
        <v>40</v>
      </c>
      <c r="G268">
        <v>6</v>
      </c>
      <c r="H268" s="1" t="s">
        <v>58</v>
      </c>
      <c r="I268" s="1" t="s">
        <v>85</v>
      </c>
      <c r="J268">
        <v>12.5</v>
      </c>
      <c r="K268">
        <v>34.99</v>
      </c>
      <c r="L268" s="1" t="s">
        <v>60</v>
      </c>
      <c r="M268" s="1" t="s">
        <v>29</v>
      </c>
      <c r="N268" s="1" t="s">
        <v>30</v>
      </c>
      <c r="O268" s="1" t="s">
        <v>31</v>
      </c>
      <c r="P268" s="2">
        <v>45778</v>
      </c>
      <c r="Q268" s="1" t="s">
        <v>253</v>
      </c>
      <c r="R268" s="1" t="s">
        <v>254</v>
      </c>
      <c r="S268" s="1" t="s">
        <v>105</v>
      </c>
      <c r="T268" s="1" t="s">
        <v>35</v>
      </c>
      <c r="U268" s="1" t="s">
        <v>48</v>
      </c>
      <c r="V268" s="1" t="s">
        <v>89</v>
      </c>
      <c r="W268">
        <v>2.4</v>
      </c>
    </row>
    <row r="269" spans="1:23" x14ac:dyDescent="0.3">
      <c r="A269" s="1" t="s">
        <v>639</v>
      </c>
      <c r="B269">
        <v>2</v>
      </c>
      <c r="C269">
        <v>34.99</v>
      </c>
      <c r="D269">
        <v>60.98</v>
      </c>
      <c r="E269" s="1" t="s">
        <v>452</v>
      </c>
      <c r="F269" s="1" t="s">
        <v>40</v>
      </c>
      <c r="G269">
        <v>8</v>
      </c>
      <c r="H269" s="1" t="s">
        <v>41</v>
      </c>
      <c r="I269" s="1" t="s">
        <v>85</v>
      </c>
      <c r="J269">
        <v>12.5</v>
      </c>
      <c r="K269">
        <v>34.99</v>
      </c>
      <c r="L269" s="1" t="s">
        <v>60</v>
      </c>
      <c r="M269" s="1" t="s">
        <v>29</v>
      </c>
      <c r="N269" s="1" t="s">
        <v>30</v>
      </c>
      <c r="O269" s="1" t="s">
        <v>31</v>
      </c>
      <c r="P269" s="2">
        <v>45778</v>
      </c>
      <c r="Q269" s="1" t="s">
        <v>266</v>
      </c>
      <c r="R269" s="1" t="s">
        <v>640</v>
      </c>
      <c r="S269" s="1" t="s">
        <v>34</v>
      </c>
      <c r="T269" s="1" t="s">
        <v>35</v>
      </c>
      <c r="U269" s="1" t="s">
        <v>82</v>
      </c>
      <c r="V269" s="1" t="s">
        <v>89</v>
      </c>
      <c r="W269">
        <v>2.4</v>
      </c>
    </row>
    <row r="270" spans="1:23" x14ac:dyDescent="0.3">
      <c r="A270" s="1" t="s">
        <v>641</v>
      </c>
      <c r="B270">
        <v>1</v>
      </c>
      <c r="C270">
        <v>18.989999999999998</v>
      </c>
      <c r="D270">
        <v>18.989999999999998</v>
      </c>
      <c r="E270" s="1" t="s">
        <v>109</v>
      </c>
      <c r="F270" s="1" t="s">
        <v>51</v>
      </c>
      <c r="G270">
        <v>0</v>
      </c>
      <c r="H270" s="1" t="s">
        <v>96</v>
      </c>
      <c r="I270" s="1" t="s">
        <v>97</v>
      </c>
      <c r="J270">
        <v>6</v>
      </c>
      <c r="K270">
        <v>18.989999999999998</v>
      </c>
      <c r="L270" s="1" t="s">
        <v>60</v>
      </c>
      <c r="M270" s="1" t="s">
        <v>43</v>
      </c>
      <c r="N270" s="1" t="s">
        <v>44</v>
      </c>
      <c r="O270" s="1" t="s">
        <v>31</v>
      </c>
      <c r="P270" s="2">
        <v>45823</v>
      </c>
      <c r="Q270" s="1" t="s">
        <v>425</v>
      </c>
      <c r="R270" s="1" t="s">
        <v>642</v>
      </c>
      <c r="S270" s="1" t="s">
        <v>65</v>
      </c>
      <c r="T270" s="1" t="s">
        <v>35</v>
      </c>
      <c r="U270" s="1" t="s">
        <v>36</v>
      </c>
      <c r="V270" s="1" t="s">
        <v>100</v>
      </c>
      <c r="W270">
        <v>3.2</v>
      </c>
    </row>
    <row r="271" spans="1:23" x14ac:dyDescent="0.3">
      <c r="A271" s="1" t="s">
        <v>643</v>
      </c>
      <c r="B271">
        <v>1</v>
      </c>
      <c r="C271">
        <v>34.99</v>
      </c>
      <c r="D271">
        <v>34.99</v>
      </c>
      <c r="E271" s="1" t="s">
        <v>644</v>
      </c>
      <c r="F271" s="1" t="s">
        <v>40</v>
      </c>
      <c r="G271">
        <v>5</v>
      </c>
      <c r="H271" s="1" t="s">
        <v>26</v>
      </c>
      <c r="I271" s="1" t="s">
        <v>85</v>
      </c>
      <c r="J271">
        <v>12.5</v>
      </c>
      <c r="K271">
        <v>34.99</v>
      </c>
      <c r="L271" s="1" t="s">
        <v>60</v>
      </c>
      <c r="M271" s="1" t="s">
        <v>29</v>
      </c>
      <c r="N271" s="1" t="s">
        <v>30</v>
      </c>
      <c r="O271" s="1" t="s">
        <v>31</v>
      </c>
      <c r="P271" s="2">
        <v>45778</v>
      </c>
      <c r="Q271" s="1" t="s">
        <v>355</v>
      </c>
      <c r="R271" s="1" t="s">
        <v>356</v>
      </c>
      <c r="S271" s="1" t="s">
        <v>34</v>
      </c>
      <c r="T271" s="1" t="s">
        <v>35</v>
      </c>
      <c r="U271" s="1" t="s">
        <v>48</v>
      </c>
      <c r="V271" s="1" t="s">
        <v>89</v>
      </c>
      <c r="W271">
        <v>2.4</v>
      </c>
    </row>
    <row r="272" spans="1:23" x14ac:dyDescent="0.3">
      <c r="A272" s="1" t="s">
        <v>645</v>
      </c>
      <c r="B272">
        <v>1</v>
      </c>
      <c r="C272">
        <v>30.99</v>
      </c>
      <c r="D272">
        <v>30.99</v>
      </c>
      <c r="E272" s="1" t="s">
        <v>646</v>
      </c>
      <c r="F272" s="1" t="s">
        <v>188</v>
      </c>
      <c r="G272">
        <v>0</v>
      </c>
      <c r="H272" s="1" t="s">
        <v>41</v>
      </c>
      <c r="I272" s="1" t="s">
        <v>42</v>
      </c>
      <c r="J272">
        <v>10.5</v>
      </c>
      <c r="K272">
        <v>30.99</v>
      </c>
      <c r="L272" s="1" t="s">
        <v>28</v>
      </c>
      <c r="M272" s="1" t="s">
        <v>43</v>
      </c>
      <c r="N272" s="1" t="s">
        <v>44</v>
      </c>
      <c r="O272" s="1" t="s">
        <v>31</v>
      </c>
      <c r="P272" s="2">
        <v>45823</v>
      </c>
      <c r="Q272" s="1" t="s">
        <v>647</v>
      </c>
      <c r="R272" s="1" t="s">
        <v>648</v>
      </c>
      <c r="S272" s="1" t="s">
        <v>88</v>
      </c>
      <c r="T272" s="1" t="s">
        <v>35</v>
      </c>
      <c r="U272" s="1" t="s">
        <v>82</v>
      </c>
      <c r="V272" s="1" t="s">
        <v>37</v>
      </c>
      <c r="W272">
        <v>2</v>
      </c>
    </row>
    <row r="273" spans="1:23" x14ac:dyDescent="0.3">
      <c r="A273" s="1" t="s">
        <v>649</v>
      </c>
      <c r="B273">
        <v>1</v>
      </c>
      <c r="C273">
        <v>34.99</v>
      </c>
      <c r="D273">
        <v>34.99</v>
      </c>
      <c r="E273" s="1" t="s">
        <v>260</v>
      </c>
      <c r="F273" s="1" t="s">
        <v>40</v>
      </c>
      <c r="G273">
        <v>7</v>
      </c>
      <c r="H273" s="1" t="s">
        <v>26</v>
      </c>
      <c r="I273" s="1" t="s">
        <v>85</v>
      </c>
      <c r="J273">
        <v>12.5</v>
      </c>
      <c r="K273">
        <v>34.99</v>
      </c>
      <c r="L273" s="1" t="s">
        <v>60</v>
      </c>
      <c r="M273" s="1" t="s">
        <v>29</v>
      </c>
      <c r="N273" s="1" t="s">
        <v>30</v>
      </c>
      <c r="O273" s="1" t="s">
        <v>31</v>
      </c>
      <c r="P273" s="2">
        <v>45778</v>
      </c>
      <c r="Q273" s="1" t="s">
        <v>342</v>
      </c>
      <c r="R273" s="1" t="s">
        <v>599</v>
      </c>
      <c r="S273" s="1" t="s">
        <v>54</v>
      </c>
      <c r="T273" s="1" t="s">
        <v>35</v>
      </c>
      <c r="U273" s="1" t="s">
        <v>66</v>
      </c>
      <c r="V273" s="1" t="s">
        <v>89</v>
      </c>
      <c r="W273">
        <v>2.4</v>
      </c>
    </row>
    <row r="274" spans="1:23" x14ac:dyDescent="0.3">
      <c r="A274" s="1" t="s">
        <v>650</v>
      </c>
      <c r="B274">
        <v>3</v>
      </c>
      <c r="C274">
        <v>34.99</v>
      </c>
      <c r="D274">
        <v>84.73</v>
      </c>
      <c r="E274" s="1" t="s">
        <v>651</v>
      </c>
      <c r="F274" s="1" t="s">
        <v>70</v>
      </c>
      <c r="G274">
        <v>0</v>
      </c>
      <c r="H274" s="1" t="s">
        <v>26</v>
      </c>
      <c r="I274" s="1" t="s">
        <v>85</v>
      </c>
      <c r="J274">
        <v>12.5</v>
      </c>
      <c r="K274">
        <v>34.99</v>
      </c>
      <c r="L274" s="1" t="s">
        <v>60</v>
      </c>
      <c r="M274" s="1" t="s">
        <v>29</v>
      </c>
      <c r="N274" s="1" t="s">
        <v>30</v>
      </c>
      <c r="O274" s="1" t="s">
        <v>31</v>
      </c>
      <c r="P274" s="2">
        <v>45778</v>
      </c>
      <c r="Q274" s="1" t="s">
        <v>373</v>
      </c>
      <c r="R274" s="1" t="s">
        <v>374</v>
      </c>
      <c r="S274" s="1" t="s">
        <v>65</v>
      </c>
      <c r="T274" s="1" t="s">
        <v>35</v>
      </c>
      <c r="U274" s="1" t="s">
        <v>82</v>
      </c>
      <c r="V274" s="1" t="s">
        <v>89</v>
      </c>
      <c r="W274">
        <v>2.4</v>
      </c>
    </row>
    <row r="275" spans="1:23" x14ac:dyDescent="0.3">
      <c r="A275" s="1" t="s">
        <v>652</v>
      </c>
      <c r="B275">
        <v>1</v>
      </c>
      <c r="C275">
        <v>30.99</v>
      </c>
      <c r="D275">
        <v>30.99</v>
      </c>
      <c r="E275" s="1" t="s">
        <v>197</v>
      </c>
      <c r="F275" s="1" t="s">
        <v>40</v>
      </c>
      <c r="G275">
        <v>3</v>
      </c>
      <c r="H275" s="1" t="s">
        <v>96</v>
      </c>
      <c r="I275" s="1" t="s">
        <v>42</v>
      </c>
      <c r="J275">
        <v>10.5</v>
      </c>
      <c r="K275">
        <v>30.99</v>
      </c>
      <c r="L275" s="1" t="s">
        <v>28</v>
      </c>
      <c r="M275" s="1" t="s">
        <v>43</v>
      </c>
      <c r="N275" s="1" t="s">
        <v>44</v>
      </c>
      <c r="O275" s="1" t="s">
        <v>31</v>
      </c>
      <c r="P275" s="2">
        <v>45823</v>
      </c>
      <c r="Q275" s="1" t="s">
        <v>103</v>
      </c>
      <c r="R275" s="1" t="s">
        <v>198</v>
      </c>
      <c r="S275" s="1" t="s">
        <v>54</v>
      </c>
      <c r="T275" s="1" t="s">
        <v>35</v>
      </c>
      <c r="U275" s="1" t="s">
        <v>82</v>
      </c>
      <c r="V275" s="1" t="s">
        <v>37</v>
      </c>
      <c r="W275">
        <v>2</v>
      </c>
    </row>
    <row r="276" spans="1:23" x14ac:dyDescent="0.3">
      <c r="A276" s="1" t="s">
        <v>653</v>
      </c>
      <c r="B276">
        <v>3</v>
      </c>
      <c r="C276">
        <v>34.99</v>
      </c>
      <c r="D276">
        <v>84.73</v>
      </c>
      <c r="E276" s="1" t="s">
        <v>389</v>
      </c>
      <c r="F276" s="1" t="s">
        <v>188</v>
      </c>
      <c r="G276">
        <v>0</v>
      </c>
      <c r="H276" s="1" t="s">
        <v>96</v>
      </c>
      <c r="I276" s="1" t="s">
        <v>85</v>
      </c>
      <c r="J276">
        <v>12.5</v>
      </c>
      <c r="K276">
        <v>34.99</v>
      </c>
      <c r="L276" s="1" t="s">
        <v>60</v>
      </c>
      <c r="M276" s="1" t="s">
        <v>29</v>
      </c>
      <c r="N276" s="1" t="s">
        <v>30</v>
      </c>
      <c r="O276" s="1" t="s">
        <v>31</v>
      </c>
      <c r="P276" s="2">
        <v>45778</v>
      </c>
      <c r="Q276" s="1" t="s">
        <v>654</v>
      </c>
      <c r="R276" s="1" t="s">
        <v>655</v>
      </c>
      <c r="S276" s="1" t="s">
        <v>47</v>
      </c>
      <c r="T276" s="1" t="s">
        <v>35</v>
      </c>
      <c r="U276" s="1" t="s">
        <v>66</v>
      </c>
      <c r="V276" s="1" t="s">
        <v>89</v>
      </c>
      <c r="W276">
        <v>2.4</v>
      </c>
    </row>
    <row r="277" spans="1:23" x14ac:dyDescent="0.3">
      <c r="A277" s="1" t="s">
        <v>656</v>
      </c>
      <c r="B277">
        <v>1</v>
      </c>
      <c r="C277">
        <v>30.99</v>
      </c>
      <c r="D277">
        <v>30.99</v>
      </c>
      <c r="E277" s="1" t="s">
        <v>449</v>
      </c>
      <c r="F277" s="1" t="s">
        <v>40</v>
      </c>
      <c r="G277">
        <v>3</v>
      </c>
      <c r="H277" s="1" t="s">
        <v>96</v>
      </c>
      <c r="I277" s="1" t="s">
        <v>42</v>
      </c>
      <c r="J277">
        <v>10.5</v>
      </c>
      <c r="K277">
        <v>30.99</v>
      </c>
      <c r="L277" s="1" t="s">
        <v>28</v>
      </c>
      <c r="M277" s="1" t="s">
        <v>43</v>
      </c>
      <c r="N277" s="1" t="s">
        <v>44</v>
      </c>
      <c r="O277" s="1" t="s">
        <v>31</v>
      </c>
      <c r="P277" s="2">
        <v>45823</v>
      </c>
      <c r="Q277" s="1" t="s">
        <v>379</v>
      </c>
      <c r="R277" s="1" t="s">
        <v>470</v>
      </c>
      <c r="S277" s="1" t="s">
        <v>88</v>
      </c>
      <c r="T277" s="1" t="s">
        <v>35</v>
      </c>
      <c r="U277" s="1" t="s">
        <v>66</v>
      </c>
      <c r="V277" s="1" t="s">
        <v>37</v>
      </c>
      <c r="W277">
        <v>2</v>
      </c>
    </row>
    <row r="278" spans="1:23" x14ac:dyDescent="0.3">
      <c r="A278" s="1" t="s">
        <v>657</v>
      </c>
      <c r="B278">
        <v>2</v>
      </c>
      <c r="C278">
        <v>16.989999999999998</v>
      </c>
      <c r="D278">
        <v>29.18</v>
      </c>
      <c r="E278" s="1" t="s">
        <v>209</v>
      </c>
      <c r="F278" s="1" t="s">
        <v>51</v>
      </c>
      <c r="G278">
        <v>0</v>
      </c>
      <c r="H278" s="1" t="s">
        <v>41</v>
      </c>
      <c r="I278" s="1" t="s">
        <v>59</v>
      </c>
      <c r="J278">
        <v>5</v>
      </c>
      <c r="K278">
        <v>16.989999999999998</v>
      </c>
      <c r="L278" s="1" t="s">
        <v>60</v>
      </c>
      <c r="M278" s="1" t="s">
        <v>61</v>
      </c>
      <c r="N278" s="1" t="s">
        <v>62</v>
      </c>
      <c r="O278" s="1" t="s">
        <v>31</v>
      </c>
      <c r="P278" s="2">
        <v>45726</v>
      </c>
      <c r="Q278" s="1" t="s">
        <v>266</v>
      </c>
      <c r="R278" s="1" t="s">
        <v>640</v>
      </c>
      <c r="S278" s="1" t="s">
        <v>34</v>
      </c>
      <c r="T278" s="1" t="s">
        <v>35</v>
      </c>
      <c r="U278" s="1" t="s">
        <v>82</v>
      </c>
      <c r="V278" s="1" t="s">
        <v>67</v>
      </c>
      <c r="W278">
        <v>3</v>
      </c>
    </row>
    <row r="279" spans="1:23" x14ac:dyDescent="0.3">
      <c r="A279" s="1" t="s">
        <v>658</v>
      </c>
      <c r="B279">
        <v>1</v>
      </c>
      <c r="C279">
        <v>18.989999999999998</v>
      </c>
      <c r="D279">
        <v>18.989999999999998</v>
      </c>
      <c r="E279" s="1" t="s">
        <v>168</v>
      </c>
      <c r="F279" s="1" t="s">
        <v>40</v>
      </c>
      <c r="G279">
        <v>11</v>
      </c>
      <c r="H279" s="1" t="s">
        <v>58</v>
      </c>
      <c r="I279" s="1" t="s">
        <v>97</v>
      </c>
      <c r="J279">
        <v>6</v>
      </c>
      <c r="K279">
        <v>18.989999999999998</v>
      </c>
      <c r="L279" s="1" t="s">
        <v>60</v>
      </c>
      <c r="M279" s="1" t="s">
        <v>43</v>
      </c>
      <c r="N279" s="1" t="s">
        <v>44</v>
      </c>
      <c r="O279" s="1" t="s">
        <v>31</v>
      </c>
      <c r="P279" s="2">
        <v>45823</v>
      </c>
      <c r="Q279" s="1" t="s">
        <v>283</v>
      </c>
      <c r="R279" s="1" t="s">
        <v>284</v>
      </c>
      <c r="S279" s="1" t="s">
        <v>105</v>
      </c>
      <c r="T279" s="1" t="s">
        <v>35</v>
      </c>
      <c r="U279" s="1" t="s">
        <v>55</v>
      </c>
      <c r="V279" s="1" t="s">
        <v>100</v>
      </c>
      <c r="W279">
        <v>3.2</v>
      </c>
    </row>
    <row r="280" spans="1:23" x14ac:dyDescent="0.3">
      <c r="A280" s="1" t="s">
        <v>659</v>
      </c>
      <c r="B280">
        <v>1</v>
      </c>
      <c r="C280">
        <v>16.989999999999998</v>
      </c>
      <c r="D280">
        <v>16.989999999999998</v>
      </c>
      <c r="E280" s="1" t="s">
        <v>452</v>
      </c>
      <c r="F280" s="1" t="s">
        <v>51</v>
      </c>
      <c r="G280">
        <v>0</v>
      </c>
      <c r="H280" s="1" t="s">
        <v>41</v>
      </c>
      <c r="I280" s="1" t="s">
        <v>59</v>
      </c>
      <c r="J280">
        <v>5</v>
      </c>
      <c r="K280">
        <v>16.989999999999998</v>
      </c>
      <c r="L280" s="1" t="s">
        <v>60</v>
      </c>
      <c r="M280" s="1" t="s">
        <v>61</v>
      </c>
      <c r="N280" s="1" t="s">
        <v>62</v>
      </c>
      <c r="O280" s="1" t="s">
        <v>31</v>
      </c>
      <c r="P280" s="2">
        <v>45726</v>
      </c>
      <c r="Q280" s="1" t="s">
        <v>409</v>
      </c>
      <c r="R280" s="1" t="s">
        <v>410</v>
      </c>
      <c r="S280" s="1" t="s">
        <v>411</v>
      </c>
      <c r="T280" s="1" t="s">
        <v>35</v>
      </c>
      <c r="U280" s="1" t="s">
        <v>48</v>
      </c>
      <c r="V280" s="1" t="s">
        <v>67</v>
      </c>
      <c r="W280">
        <v>3</v>
      </c>
    </row>
    <row r="281" spans="1:23" x14ac:dyDescent="0.3">
      <c r="A281" s="1" t="s">
        <v>660</v>
      </c>
      <c r="B281">
        <v>2</v>
      </c>
      <c r="C281">
        <v>27.99</v>
      </c>
      <c r="D281">
        <v>48.38</v>
      </c>
      <c r="E281" s="1" t="s">
        <v>24</v>
      </c>
      <c r="F281" s="1" t="s">
        <v>70</v>
      </c>
      <c r="G281">
        <v>0</v>
      </c>
      <c r="H281" s="1" t="s">
        <v>96</v>
      </c>
      <c r="I281" s="1" t="s">
        <v>75</v>
      </c>
      <c r="J281">
        <v>9</v>
      </c>
      <c r="K281">
        <v>27.99</v>
      </c>
      <c r="L281" s="1" t="s">
        <v>28</v>
      </c>
      <c r="M281" s="1" t="s">
        <v>61</v>
      </c>
      <c r="N281" s="1" t="s">
        <v>62</v>
      </c>
      <c r="O281" s="1" t="s">
        <v>31</v>
      </c>
      <c r="P281" s="2">
        <v>45726</v>
      </c>
      <c r="Q281" s="1" t="s">
        <v>425</v>
      </c>
      <c r="R281" s="1" t="s">
        <v>642</v>
      </c>
      <c r="S281" s="1" t="s">
        <v>65</v>
      </c>
      <c r="T281" s="1" t="s">
        <v>35</v>
      </c>
      <c r="U281" s="1" t="s">
        <v>36</v>
      </c>
      <c r="V281" s="1" t="s">
        <v>37</v>
      </c>
      <c r="W281">
        <v>2</v>
      </c>
    </row>
    <row r="282" spans="1:23" x14ac:dyDescent="0.3">
      <c r="A282" s="1" t="s">
        <v>661</v>
      </c>
      <c r="B282">
        <v>2</v>
      </c>
      <c r="C282">
        <v>30.99</v>
      </c>
      <c r="D282">
        <v>53.78</v>
      </c>
      <c r="E282" s="1" t="s">
        <v>662</v>
      </c>
      <c r="F282" s="1" t="s">
        <v>51</v>
      </c>
      <c r="G282">
        <v>0</v>
      </c>
      <c r="H282" s="1" t="s">
        <v>58</v>
      </c>
      <c r="I282" s="1" t="s">
        <v>42</v>
      </c>
      <c r="J282">
        <v>10.5</v>
      </c>
      <c r="K282">
        <v>30.99</v>
      </c>
      <c r="L282" s="1" t="s">
        <v>28</v>
      </c>
      <c r="M282" s="1" t="s">
        <v>43</v>
      </c>
      <c r="N282" s="1" t="s">
        <v>44</v>
      </c>
      <c r="O282" s="1" t="s">
        <v>31</v>
      </c>
      <c r="P282" s="2">
        <v>45823</v>
      </c>
      <c r="Q282" s="1" t="s">
        <v>269</v>
      </c>
      <c r="R282" s="1" t="s">
        <v>270</v>
      </c>
      <c r="S282" s="1" t="s">
        <v>88</v>
      </c>
      <c r="T282" s="1" t="s">
        <v>35</v>
      </c>
      <c r="U282" s="1" t="s">
        <v>55</v>
      </c>
      <c r="V282" s="1" t="s">
        <v>37</v>
      </c>
      <c r="W282">
        <v>2</v>
      </c>
    </row>
    <row r="283" spans="1:23" x14ac:dyDescent="0.3">
      <c r="A283" s="1" t="s">
        <v>663</v>
      </c>
      <c r="B283">
        <v>1</v>
      </c>
      <c r="C283">
        <v>18.989999999999998</v>
      </c>
      <c r="D283">
        <v>18.989999999999998</v>
      </c>
      <c r="E283" s="1" t="s">
        <v>393</v>
      </c>
      <c r="F283" s="1" t="s">
        <v>40</v>
      </c>
      <c r="G283">
        <v>15</v>
      </c>
      <c r="H283" s="1" t="s">
        <v>58</v>
      </c>
      <c r="I283" s="1" t="s">
        <v>97</v>
      </c>
      <c r="J283">
        <v>6</v>
      </c>
      <c r="K283">
        <v>18.989999999999998</v>
      </c>
      <c r="L283" s="1" t="s">
        <v>60</v>
      </c>
      <c r="M283" s="1" t="s">
        <v>43</v>
      </c>
      <c r="N283" s="1" t="s">
        <v>44</v>
      </c>
      <c r="O283" s="1" t="s">
        <v>31</v>
      </c>
      <c r="P283" s="2">
        <v>45823</v>
      </c>
      <c r="Q283" s="1" t="s">
        <v>376</v>
      </c>
      <c r="R283" s="1" t="s">
        <v>664</v>
      </c>
      <c r="S283" s="1" t="s">
        <v>34</v>
      </c>
      <c r="T283" s="1" t="s">
        <v>35</v>
      </c>
      <c r="U283" s="1" t="s">
        <v>82</v>
      </c>
      <c r="V283" s="1" t="s">
        <v>100</v>
      </c>
      <c r="W283">
        <v>3.2</v>
      </c>
    </row>
    <row r="284" spans="1:23" x14ac:dyDescent="0.3">
      <c r="A284" s="1" t="s">
        <v>665</v>
      </c>
      <c r="B284">
        <v>1</v>
      </c>
      <c r="C284">
        <v>30.99</v>
      </c>
      <c r="D284">
        <v>30.99</v>
      </c>
      <c r="E284" s="1" t="s">
        <v>222</v>
      </c>
      <c r="F284" s="1" t="s">
        <v>40</v>
      </c>
      <c r="G284">
        <v>2</v>
      </c>
      <c r="H284" s="1" t="s">
        <v>96</v>
      </c>
      <c r="I284" s="1" t="s">
        <v>42</v>
      </c>
      <c r="J284">
        <v>10.5</v>
      </c>
      <c r="K284">
        <v>30.99</v>
      </c>
      <c r="L284" s="1" t="s">
        <v>28</v>
      </c>
      <c r="M284" s="1" t="s">
        <v>43</v>
      </c>
      <c r="N284" s="1" t="s">
        <v>44</v>
      </c>
      <c r="O284" s="1" t="s">
        <v>31</v>
      </c>
      <c r="P284" s="2">
        <v>45823</v>
      </c>
      <c r="Q284" s="1" t="s">
        <v>194</v>
      </c>
      <c r="R284" s="1" t="s">
        <v>195</v>
      </c>
      <c r="S284" s="1" t="s">
        <v>88</v>
      </c>
      <c r="T284" s="1" t="s">
        <v>35</v>
      </c>
      <c r="U284" s="1" t="s">
        <v>48</v>
      </c>
      <c r="V284" s="1" t="s">
        <v>37</v>
      </c>
      <c r="W284">
        <v>2</v>
      </c>
    </row>
    <row r="285" spans="1:23" x14ac:dyDescent="0.3">
      <c r="A285" s="1" t="s">
        <v>666</v>
      </c>
      <c r="B285">
        <v>1</v>
      </c>
      <c r="C285">
        <v>30.99</v>
      </c>
      <c r="D285">
        <v>30.99</v>
      </c>
      <c r="E285" s="1" t="s">
        <v>224</v>
      </c>
      <c r="F285" s="1" t="s">
        <v>40</v>
      </c>
      <c r="G285">
        <v>3</v>
      </c>
      <c r="H285" s="1" t="s">
        <v>26</v>
      </c>
      <c r="I285" s="1" t="s">
        <v>42</v>
      </c>
      <c r="J285">
        <v>10.5</v>
      </c>
      <c r="K285">
        <v>30.99</v>
      </c>
      <c r="L285" s="1" t="s">
        <v>28</v>
      </c>
      <c r="M285" s="1" t="s">
        <v>43</v>
      </c>
      <c r="N285" s="1" t="s">
        <v>44</v>
      </c>
      <c r="O285" s="1" t="s">
        <v>31</v>
      </c>
      <c r="P285" s="2">
        <v>45823</v>
      </c>
      <c r="Q285" s="1" t="s">
        <v>169</v>
      </c>
      <c r="R285" s="1" t="s">
        <v>170</v>
      </c>
      <c r="S285" s="1" t="s">
        <v>54</v>
      </c>
      <c r="T285" s="1" t="s">
        <v>35</v>
      </c>
      <c r="U285" s="1" t="s">
        <v>66</v>
      </c>
      <c r="V285" s="1" t="s">
        <v>37</v>
      </c>
      <c r="W285">
        <v>2</v>
      </c>
    </row>
    <row r="286" spans="1:23" x14ac:dyDescent="0.3">
      <c r="A286" s="1" t="s">
        <v>667</v>
      </c>
      <c r="B286">
        <v>1</v>
      </c>
      <c r="C286">
        <v>21.99</v>
      </c>
      <c r="D286">
        <v>21.99</v>
      </c>
      <c r="E286" s="1" t="s">
        <v>382</v>
      </c>
      <c r="F286" s="1" t="s">
        <v>40</v>
      </c>
      <c r="G286">
        <v>3</v>
      </c>
      <c r="H286" s="1" t="s">
        <v>58</v>
      </c>
      <c r="I286" s="1" t="s">
        <v>27</v>
      </c>
      <c r="J286">
        <v>7</v>
      </c>
      <c r="K286">
        <v>21.99</v>
      </c>
      <c r="L286" s="1" t="s">
        <v>28</v>
      </c>
      <c r="M286" s="1" t="s">
        <v>29</v>
      </c>
      <c r="N286" s="1" t="s">
        <v>30</v>
      </c>
      <c r="O286" s="1" t="s">
        <v>31</v>
      </c>
      <c r="P286" s="2">
        <v>45778</v>
      </c>
      <c r="Q286" s="1" t="s">
        <v>137</v>
      </c>
      <c r="R286" s="1" t="s">
        <v>138</v>
      </c>
      <c r="S286" s="1" t="s">
        <v>34</v>
      </c>
      <c r="T286" s="1" t="s">
        <v>35</v>
      </c>
      <c r="U286" s="1" t="s">
        <v>82</v>
      </c>
      <c r="V286" s="1" t="s">
        <v>37</v>
      </c>
      <c r="W286">
        <v>2</v>
      </c>
    </row>
    <row r="287" spans="1:23" x14ac:dyDescent="0.3">
      <c r="A287" s="1" t="s">
        <v>668</v>
      </c>
      <c r="B287">
        <v>3</v>
      </c>
      <c r="C287">
        <v>34.99</v>
      </c>
      <c r="D287">
        <v>84.73</v>
      </c>
      <c r="E287" s="1" t="s">
        <v>91</v>
      </c>
      <c r="F287" s="1" t="s">
        <v>25</v>
      </c>
      <c r="G287">
        <v>7</v>
      </c>
      <c r="H287" s="1" t="s">
        <v>58</v>
      </c>
      <c r="I287" s="1" t="s">
        <v>85</v>
      </c>
      <c r="J287">
        <v>12.5</v>
      </c>
      <c r="K287">
        <v>34.99</v>
      </c>
      <c r="L287" s="1" t="s">
        <v>60</v>
      </c>
      <c r="M287" s="1" t="s">
        <v>29</v>
      </c>
      <c r="N287" s="1" t="s">
        <v>30</v>
      </c>
      <c r="O287" s="1" t="s">
        <v>31</v>
      </c>
      <c r="P287" s="2">
        <v>45778</v>
      </c>
      <c r="Q287" s="1" t="s">
        <v>302</v>
      </c>
      <c r="R287" s="1" t="s">
        <v>303</v>
      </c>
      <c r="S287" s="1" t="s">
        <v>105</v>
      </c>
      <c r="T287" s="1" t="s">
        <v>35</v>
      </c>
      <c r="U287" s="1" t="s">
        <v>55</v>
      </c>
      <c r="V287" s="1" t="s">
        <v>89</v>
      </c>
      <c r="W287">
        <v>2.4</v>
      </c>
    </row>
    <row r="288" spans="1:23" x14ac:dyDescent="0.3">
      <c r="A288" s="1" t="s">
        <v>669</v>
      </c>
      <c r="B288">
        <v>3</v>
      </c>
      <c r="C288">
        <v>34.99</v>
      </c>
      <c r="D288">
        <v>84.73</v>
      </c>
      <c r="E288" s="1" t="s">
        <v>670</v>
      </c>
      <c r="F288" s="1" t="s">
        <v>51</v>
      </c>
      <c r="G288">
        <v>0</v>
      </c>
      <c r="H288" s="1" t="s">
        <v>96</v>
      </c>
      <c r="I288" s="1" t="s">
        <v>85</v>
      </c>
      <c r="J288">
        <v>12.5</v>
      </c>
      <c r="K288">
        <v>34.99</v>
      </c>
      <c r="L288" s="1" t="s">
        <v>60</v>
      </c>
      <c r="M288" s="1" t="s">
        <v>29</v>
      </c>
      <c r="N288" s="1" t="s">
        <v>30</v>
      </c>
      <c r="O288" s="1" t="s">
        <v>31</v>
      </c>
      <c r="P288" s="2">
        <v>45778</v>
      </c>
      <c r="Q288" s="1" t="s">
        <v>153</v>
      </c>
      <c r="R288" s="1" t="s">
        <v>154</v>
      </c>
      <c r="S288" s="1" t="s">
        <v>105</v>
      </c>
      <c r="T288" s="1" t="s">
        <v>35</v>
      </c>
      <c r="U288" s="1" t="s">
        <v>48</v>
      </c>
      <c r="V288" s="1" t="s">
        <v>89</v>
      </c>
      <c r="W288">
        <v>2.4</v>
      </c>
    </row>
    <row r="289" spans="1:23" x14ac:dyDescent="0.3">
      <c r="A289" s="1" t="s">
        <v>671</v>
      </c>
      <c r="B289">
        <v>1</v>
      </c>
      <c r="C289">
        <v>34.99</v>
      </c>
      <c r="D289">
        <v>34.99</v>
      </c>
      <c r="E289" s="1" t="s">
        <v>192</v>
      </c>
      <c r="F289" s="1" t="s">
        <v>51</v>
      </c>
      <c r="G289">
        <v>0</v>
      </c>
      <c r="H289" s="1" t="s">
        <v>26</v>
      </c>
      <c r="I289" s="1" t="s">
        <v>85</v>
      </c>
      <c r="J289">
        <v>12.5</v>
      </c>
      <c r="K289">
        <v>34.99</v>
      </c>
      <c r="L289" s="1" t="s">
        <v>60</v>
      </c>
      <c r="M289" s="1" t="s">
        <v>29</v>
      </c>
      <c r="N289" s="1" t="s">
        <v>30</v>
      </c>
      <c r="O289" s="1" t="s">
        <v>31</v>
      </c>
      <c r="P289" s="2">
        <v>45778</v>
      </c>
      <c r="Q289" s="1" t="s">
        <v>80</v>
      </c>
      <c r="R289" s="1" t="s">
        <v>229</v>
      </c>
      <c r="S289" s="1" t="s">
        <v>34</v>
      </c>
      <c r="T289" s="1" t="s">
        <v>35</v>
      </c>
      <c r="U289" s="1" t="s">
        <v>36</v>
      </c>
      <c r="V289" s="1" t="s">
        <v>89</v>
      </c>
      <c r="W289">
        <v>2.4</v>
      </c>
    </row>
    <row r="290" spans="1:23" x14ac:dyDescent="0.3">
      <c r="A290" s="1" t="s">
        <v>672</v>
      </c>
      <c r="B290">
        <v>1</v>
      </c>
      <c r="C290">
        <v>18.989999999999998</v>
      </c>
      <c r="D290">
        <v>18.989999999999998</v>
      </c>
      <c r="E290" s="1" t="s">
        <v>317</v>
      </c>
      <c r="F290" s="1" t="s">
        <v>40</v>
      </c>
      <c r="G290">
        <v>12</v>
      </c>
      <c r="H290" s="1" t="s">
        <v>41</v>
      </c>
      <c r="I290" s="1" t="s">
        <v>97</v>
      </c>
      <c r="J290">
        <v>6</v>
      </c>
      <c r="K290">
        <v>18.989999999999998</v>
      </c>
      <c r="L290" s="1" t="s">
        <v>60</v>
      </c>
      <c r="M290" s="1" t="s">
        <v>43</v>
      </c>
      <c r="N290" s="1" t="s">
        <v>44</v>
      </c>
      <c r="O290" s="1" t="s">
        <v>31</v>
      </c>
      <c r="P290" s="2">
        <v>45823</v>
      </c>
      <c r="Q290" s="1" t="s">
        <v>76</v>
      </c>
      <c r="R290" s="1" t="s">
        <v>144</v>
      </c>
      <c r="S290" s="1" t="s">
        <v>34</v>
      </c>
      <c r="T290" s="1" t="s">
        <v>35</v>
      </c>
      <c r="U290" s="1" t="s">
        <v>66</v>
      </c>
      <c r="V290" s="1" t="s">
        <v>100</v>
      </c>
      <c r="W290">
        <v>3.2</v>
      </c>
    </row>
    <row r="291" spans="1:23" x14ac:dyDescent="0.3">
      <c r="A291" s="1" t="s">
        <v>673</v>
      </c>
      <c r="B291">
        <v>1</v>
      </c>
      <c r="C291">
        <v>21.99</v>
      </c>
      <c r="D291">
        <v>21.99</v>
      </c>
      <c r="E291" s="1" t="s">
        <v>389</v>
      </c>
      <c r="F291" s="1" t="s">
        <v>51</v>
      </c>
      <c r="G291">
        <v>0</v>
      </c>
      <c r="H291" s="1" t="s">
        <v>96</v>
      </c>
      <c r="I291" s="1" t="s">
        <v>27</v>
      </c>
      <c r="J291">
        <v>7</v>
      </c>
      <c r="K291">
        <v>21.99</v>
      </c>
      <c r="L291" s="1" t="s">
        <v>28</v>
      </c>
      <c r="M291" s="1" t="s">
        <v>29</v>
      </c>
      <c r="N291" s="1" t="s">
        <v>30</v>
      </c>
      <c r="O291" s="1" t="s">
        <v>31</v>
      </c>
      <c r="P291" s="2">
        <v>45778</v>
      </c>
      <c r="Q291" s="1" t="s">
        <v>32</v>
      </c>
      <c r="R291" s="1" t="s">
        <v>33</v>
      </c>
      <c r="S291" s="1" t="s">
        <v>34</v>
      </c>
      <c r="T291" s="1" t="s">
        <v>35</v>
      </c>
      <c r="U291" s="1" t="s">
        <v>36</v>
      </c>
      <c r="V291" s="1" t="s">
        <v>37</v>
      </c>
      <c r="W291">
        <v>2</v>
      </c>
    </row>
    <row r="292" spans="1:23" x14ac:dyDescent="0.3">
      <c r="A292" s="1" t="s">
        <v>674</v>
      </c>
      <c r="B292">
        <v>2</v>
      </c>
      <c r="C292">
        <v>34.99</v>
      </c>
      <c r="D292">
        <v>60.98</v>
      </c>
      <c r="E292" s="1" t="s">
        <v>272</v>
      </c>
      <c r="F292" s="1" t="s">
        <v>51</v>
      </c>
      <c r="G292">
        <v>0</v>
      </c>
      <c r="H292" s="1" t="s">
        <v>96</v>
      </c>
      <c r="I292" s="1" t="s">
        <v>85</v>
      </c>
      <c r="J292">
        <v>12.5</v>
      </c>
      <c r="K292">
        <v>34.99</v>
      </c>
      <c r="L292" s="1" t="s">
        <v>60</v>
      </c>
      <c r="M292" s="1" t="s">
        <v>29</v>
      </c>
      <c r="N292" s="1" t="s">
        <v>30</v>
      </c>
      <c r="O292" s="1" t="s">
        <v>31</v>
      </c>
      <c r="P292" s="2">
        <v>45778</v>
      </c>
      <c r="Q292" s="1" t="s">
        <v>322</v>
      </c>
      <c r="R292" s="1" t="s">
        <v>323</v>
      </c>
      <c r="S292" s="1" t="s">
        <v>88</v>
      </c>
      <c r="T292" s="1" t="s">
        <v>35</v>
      </c>
      <c r="U292" s="1" t="s">
        <v>55</v>
      </c>
      <c r="V292" s="1" t="s">
        <v>89</v>
      </c>
      <c r="W292">
        <v>2.4</v>
      </c>
    </row>
    <row r="293" spans="1:23" x14ac:dyDescent="0.3">
      <c r="A293" s="1" t="s">
        <v>675</v>
      </c>
      <c r="B293">
        <v>1</v>
      </c>
      <c r="C293">
        <v>30.99</v>
      </c>
      <c r="D293">
        <v>30.99</v>
      </c>
      <c r="E293" s="1" t="s">
        <v>321</v>
      </c>
      <c r="F293" s="1" t="s">
        <v>40</v>
      </c>
      <c r="G293">
        <v>5</v>
      </c>
      <c r="H293" s="1" t="s">
        <v>26</v>
      </c>
      <c r="I293" s="1" t="s">
        <v>42</v>
      </c>
      <c r="J293">
        <v>10.5</v>
      </c>
      <c r="K293">
        <v>30.99</v>
      </c>
      <c r="L293" s="1" t="s">
        <v>28</v>
      </c>
      <c r="M293" s="1" t="s">
        <v>43</v>
      </c>
      <c r="N293" s="1" t="s">
        <v>44</v>
      </c>
      <c r="O293" s="1" t="s">
        <v>31</v>
      </c>
      <c r="P293" s="2">
        <v>45823</v>
      </c>
      <c r="Q293" s="1" t="s">
        <v>147</v>
      </c>
      <c r="R293" s="1" t="s">
        <v>148</v>
      </c>
      <c r="S293" s="1" t="s">
        <v>65</v>
      </c>
      <c r="T293" s="1" t="s">
        <v>35</v>
      </c>
      <c r="U293" s="1" t="s">
        <v>48</v>
      </c>
      <c r="V293" s="1" t="s">
        <v>37</v>
      </c>
      <c r="W293">
        <v>2</v>
      </c>
    </row>
    <row r="294" spans="1:23" x14ac:dyDescent="0.3">
      <c r="A294" s="1" t="s">
        <v>676</v>
      </c>
      <c r="B294">
        <v>2</v>
      </c>
      <c r="C294">
        <v>21.99</v>
      </c>
      <c r="D294">
        <v>37.979999999999997</v>
      </c>
      <c r="E294" s="1" t="s">
        <v>628</v>
      </c>
      <c r="F294" s="1" t="s">
        <v>40</v>
      </c>
      <c r="G294">
        <v>2</v>
      </c>
      <c r="H294" s="1" t="s">
        <v>41</v>
      </c>
      <c r="I294" s="1" t="s">
        <v>27</v>
      </c>
      <c r="J294">
        <v>7</v>
      </c>
      <c r="K294">
        <v>21.99</v>
      </c>
      <c r="L294" s="1" t="s">
        <v>28</v>
      </c>
      <c r="M294" s="1" t="s">
        <v>29</v>
      </c>
      <c r="N294" s="1" t="s">
        <v>30</v>
      </c>
      <c r="O294" s="1" t="s">
        <v>31</v>
      </c>
      <c r="P294" s="2">
        <v>45778</v>
      </c>
      <c r="Q294" s="1" t="s">
        <v>328</v>
      </c>
      <c r="R294" s="1" t="s">
        <v>329</v>
      </c>
      <c r="S294" s="1" t="s">
        <v>47</v>
      </c>
      <c r="T294" s="1" t="s">
        <v>35</v>
      </c>
      <c r="U294" s="1" t="s">
        <v>48</v>
      </c>
      <c r="V294" s="1" t="s">
        <v>37</v>
      </c>
      <c r="W294">
        <v>2</v>
      </c>
    </row>
    <row r="295" spans="1:23" x14ac:dyDescent="0.3">
      <c r="A295" s="1" t="s">
        <v>677</v>
      </c>
      <c r="B295">
        <v>1</v>
      </c>
      <c r="C295">
        <v>34.99</v>
      </c>
      <c r="D295">
        <v>34.99</v>
      </c>
      <c r="E295" s="1" t="s">
        <v>678</v>
      </c>
      <c r="F295" s="1" t="s">
        <v>40</v>
      </c>
      <c r="G295">
        <v>7</v>
      </c>
      <c r="H295" s="1" t="s">
        <v>96</v>
      </c>
      <c r="I295" s="1" t="s">
        <v>85</v>
      </c>
      <c r="J295">
        <v>12.5</v>
      </c>
      <c r="K295">
        <v>34.99</v>
      </c>
      <c r="L295" s="1" t="s">
        <v>60</v>
      </c>
      <c r="M295" s="1" t="s">
        <v>29</v>
      </c>
      <c r="N295" s="1" t="s">
        <v>30</v>
      </c>
      <c r="O295" s="1" t="s">
        <v>31</v>
      </c>
      <c r="P295" s="2">
        <v>45778</v>
      </c>
      <c r="Q295" s="1" t="s">
        <v>161</v>
      </c>
      <c r="R295" s="1" t="s">
        <v>500</v>
      </c>
      <c r="S295" s="1" t="s">
        <v>65</v>
      </c>
      <c r="T295" s="1" t="s">
        <v>35</v>
      </c>
      <c r="U295" s="1" t="s">
        <v>55</v>
      </c>
      <c r="V295" s="1" t="s">
        <v>89</v>
      </c>
      <c r="W295">
        <v>2.4</v>
      </c>
    </row>
    <row r="296" spans="1:23" x14ac:dyDescent="0.3">
      <c r="A296" s="1" t="s">
        <v>679</v>
      </c>
      <c r="B296">
        <v>1</v>
      </c>
      <c r="C296">
        <v>18.989999999999998</v>
      </c>
      <c r="D296">
        <v>18.989999999999998</v>
      </c>
      <c r="E296" s="1" t="s">
        <v>334</v>
      </c>
      <c r="F296" s="1" t="s">
        <v>40</v>
      </c>
      <c r="G296">
        <v>15</v>
      </c>
      <c r="H296" s="1" t="s">
        <v>41</v>
      </c>
      <c r="I296" s="1" t="s">
        <v>97</v>
      </c>
      <c r="J296">
        <v>6</v>
      </c>
      <c r="K296">
        <v>18.989999999999998</v>
      </c>
      <c r="L296" s="1" t="s">
        <v>60</v>
      </c>
      <c r="M296" s="1" t="s">
        <v>43</v>
      </c>
      <c r="N296" s="1" t="s">
        <v>44</v>
      </c>
      <c r="O296" s="1" t="s">
        <v>31</v>
      </c>
      <c r="P296" s="2">
        <v>45823</v>
      </c>
      <c r="Q296" s="1" t="s">
        <v>294</v>
      </c>
      <c r="R296" s="1" t="s">
        <v>295</v>
      </c>
      <c r="S296" s="1" t="s">
        <v>47</v>
      </c>
      <c r="T296" s="1" t="s">
        <v>35</v>
      </c>
      <c r="U296" s="1" t="s">
        <v>55</v>
      </c>
      <c r="V296" s="1" t="s">
        <v>100</v>
      </c>
      <c r="W296">
        <v>3.2</v>
      </c>
    </row>
    <row r="297" spans="1:23" x14ac:dyDescent="0.3">
      <c r="A297" s="1" t="s">
        <v>680</v>
      </c>
      <c r="B297">
        <v>1</v>
      </c>
      <c r="C297">
        <v>16.989999999999998</v>
      </c>
      <c r="D297">
        <v>16.989999999999998</v>
      </c>
      <c r="E297" s="1" t="s">
        <v>181</v>
      </c>
      <c r="F297" s="1" t="s">
        <v>70</v>
      </c>
      <c r="G297">
        <v>0</v>
      </c>
      <c r="H297" s="1" t="s">
        <v>58</v>
      </c>
      <c r="I297" s="1" t="s">
        <v>59</v>
      </c>
      <c r="J297">
        <v>5</v>
      </c>
      <c r="K297">
        <v>16.989999999999998</v>
      </c>
      <c r="L297" s="1" t="s">
        <v>60</v>
      </c>
      <c r="M297" s="1" t="s">
        <v>61</v>
      </c>
      <c r="N297" s="1" t="s">
        <v>62</v>
      </c>
      <c r="O297" s="1" t="s">
        <v>31</v>
      </c>
      <c r="P297" s="2">
        <v>45726</v>
      </c>
      <c r="Q297" s="1" t="s">
        <v>278</v>
      </c>
      <c r="R297" s="1" t="s">
        <v>279</v>
      </c>
      <c r="S297" s="1" t="s">
        <v>54</v>
      </c>
      <c r="T297" s="1" t="s">
        <v>35</v>
      </c>
      <c r="U297" s="1" t="s">
        <v>36</v>
      </c>
      <c r="V297" s="1" t="s">
        <v>67</v>
      </c>
      <c r="W297">
        <v>3</v>
      </c>
    </row>
    <row r="298" spans="1:23" x14ac:dyDescent="0.3">
      <c r="A298" s="1" t="s">
        <v>681</v>
      </c>
      <c r="B298">
        <v>3</v>
      </c>
      <c r="C298">
        <v>34.99</v>
      </c>
      <c r="D298">
        <v>84.73</v>
      </c>
      <c r="E298" s="1" t="s">
        <v>79</v>
      </c>
      <c r="F298" s="1" t="s">
        <v>25</v>
      </c>
      <c r="G298">
        <v>5</v>
      </c>
      <c r="H298" s="1" t="s">
        <v>41</v>
      </c>
      <c r="I298" s="1" t="s">
        <v>85</v>
      </c>
      <c r="J298">
        <v>12.5</v>
      </c>
      <c r="K298">
        <v>34.99</v>
      </c>
      <c r="L298" s="1" t="s">
        <v>60</v>
      </c>
      <c r="M298" s="1" t="s">
        <v>29</v>
      </c>
      <c r="N298" s="1" t="s">
        <v>30</v>
      </c>
      <c r="O298" s="1" t="s">
        <v>31</v>
      </c>
      <c r="P298" s="2">
        <v>45778</v>
      </c>
      <c r="Q298" s="1" t="s">
        <v>32</v>
      </c>
      <c r="R298" s="1" t="s">
        <v>33</v>
      </c>
      <c r="S298" s="1" t="s">
        <v>34</v>
      </c>
      <c r="T298" s="1" t="s">
        <v>35</v>
      </c>
      <c r="U298" s="1" t="s">
        <v>36</v>
      </c>
      <c r="V298" s="1" t="s">
        <v>89</v>
      </c>
      <c r="W298">
        <v>2.4</v>
      </c>
    </row>
    <row r="299" spans="1:23" x14ac:dyDescent="0.3">
      <c r="A299" s="1" t="s">
        <v>682</v>
      </c>
      <c r="B299">
        <v>1</v>
      </c>
      <c r="C299">
        <v>18.989999999999998</v>
      </c>
      <c r="D299">
        <v>18.989999999999998</v>
      </c>
      <c r="E299" s="1" t="s">
        <v>228</v>
      </c>
      <c r="F299" s="1" t="s">
        <v>40</v>
      </c>
      <c r="G299">
        <v>10</v>
      </c>
      <c r="H299" s="1" t="s">
        <v>58</v>
      </c>
      <c r="I299" s="1" t="s">
        <v>97</v>
      </c>
      <c r="J299">
        <v>6</v>
      </c>
      <c r="K299">
        <v>18.989999999999998</v>
      </c>
      <c r="L299" s="1" t="s">
        <v>60</v>
      </c>
      <c r="M299" s="1" t="s">
        <v>43</v>
      </c>
      <c r="N299" s="1" t="s">
        <v>44</v>
      </c>
      <c r="O299" s="1" t="s">
        <v>31</v>
      </c>
      <c r="P299" s="2">
        <v>45823</v>
      </c>
      <c r="Q299" s="1" t="s">
        <v>363</v>
      </c>
      <c r="R299" s="1" t="s">
        <v>364</v>
      </c>
      <c r="S299" s="1" t="s">
        <v>54</v>
      </c>
      <c r="T299" s="1" t="s">
        <v>35</v>
      </c>
      <c r="U299" s="1" t="s">
        <v>55</v>
      </c>
      <c r="V299" s="1" t="s">
        <v>100</v>
      </c>
      <c r="W299">
        <v>3.2</v>
      </c>
    </row>
    <row r="300" spans="1:23" x14ac:dyDescent="0.3">
      <c r="A300" s="1" t="s">
        <v>683</v>
      </c>
      <c r="B300">
        <v>1</v>
      </c>
      <c r="C300">
        <v>30.99</v>
      </c>
      <c r="D300">
        <v>30.99</v>
      </c>
      <c r="E300" s="1" t="s">
        <v>74</v>
      </c>
      <c r="F300" s="1" t="s">
        <v>40</v>
      </c>
      <c r="G300">
        <v>2</v>
      </c>
      <c r="H300" s="1" t="s">
        <v>26</v>
      </c>
      <c r="I300" s="1" t="s">
        <v>42</v>
      </c>
      <c r="J300">
        <v>10.5</v>
      </c>
      <c r="K300">
        <v>30.99</v>
      </c>
      <c r="L300" s="1" t="s">
        <v>28</v>
      </c>
      <c r="M300" s="1" t="s">
        <v>43</v>
      </c>
      <c r="N300" s="1" t="s">
        <v>44</v>
      </c>
      <c r="O300" s="1" t="s">
        <v>31</v>
      </c>
      <c r="P300" s="2">
        <v>45823</v>
      </c>
      <c r="Q300" s="1" t="s">
        <v>140</v>
      </c>
      <c r="R300" s="1" t="s">
        <v>383</v>
      </c>
      <c r="S300" s="1" t="s">
        <v>65</v>
      </c>
      <c r="T300" s="1" t="s">
        <v>35</v>
      </c>
      <c r="U300" s="1" t="s">
        <v>82</v>
      </c>
      <c r="V300" s="1" t="s">
        <v>37</v>
      </c>
      <c r="W300">
        <v>2</v>
      </c>
    </row>
    <row r="301" spans="1:23" x14ac:dyDescent="0.3">
      <c r="A301" s="1" t="s">
        <v>684</v>
      </c>
      <c r="B301">
        <v>1</v>
      </c>
      <c r="C301">
        <v>16.989999999999998</v>
      </c>
      <c r="D301">
        <v>16.989999999999998</v>
      </c>
      <c r="E301" s="1" t="s">
        <v>493</v>
      </c>
      <c r="F301" s="1" t="s">
        <v>40</v>
      </c>
      <c r="G301">
        <v>19</v>
      </c>
      <c r="H301" s="1" t="s">
        <v>26</v>
      </c>
      <c r="I301" s="1" t="s">
        <v>59</v>
      </c>
      <c r="J301">
        <v>5</v>
      </c>
      <c r="K301">
        <v>16.989999999999998</v>
      </c>
      <c r="L301" s="1" t="s">
        <v>60</v>
      </c>
      <c r="M301" s="1" t="s">
        <v>61</v>
      </c>
      <c r="N301" s="1" t="s">
        <v>62</v>
      </c>
      <c r="O301" s="1" t="s">
        <v>31</v>
      </c>
      <c r="P301" s="2">
        <v>45726</v>
      </c>
      <c r="Q301" s="1" t="s">
        <v>496</v>
      </c>
      <c r="R301" s="1" t="s">
        <v>685</v>
      </c>
      <c r="S301" s="1" t="s">
        <v>65</v>
      </c>
      <c r="T301" s="1" t="s">
        <v>35</v>
      </c>
      <c r="U301" s="1" t="s">
        <v>82</v>
      </c>
      <c r="V301" s="1" t="s">
        <v>67</v>
      </c>
      <c r="W301">
        <v>3</v>
      </c>
    </row>
    <row r="302" spans="1:23" x14ac:dyDescent="0.3">
      <c r="A302" s="1" t="s">
        <v>686</v>
      </c>
      <c r="B302">
        <v>1</v>
      </c>
      <c r="C302">
        <v>18.989999999999998</v>
      </c>
      <c r="D302">
        <v>18.989999999999998</v>
      </c>
      <c r="E302" s="1" t="s">
        <v>334</v>
      </c>
      <c r="F302" s="1" t="s">
        <v>188</v>
      </c>
      <c r="G302">
        <v>0</v>
      </c>
      <c r="H302" s="1" t="s">
        <v>41</v>
      </c>
      <c r="I302" s="1" t="s">
        <v>97</v>
      </c>
      <c r="J302">
        <v>6</v>
      </c>
      <c r="K302">
        <v>18.989999999999998</v>
      </c>
      <c r="L302" s="1" t="s">
        <v>60</v>
      </c>
      <c r="M302" s="1" t="s">
        <v>43</v>
      </c>
      <c r="N302" s="1" t="s">
        <v>44</v>
      </c>
      <c r="O302" s="1" t="s">
        <v>31</v>
      </c>
      <c r="P302" s="2">
        <v>45823</v>
      </c>
      <c r="Q302" s="1" t="s">
        <v>45</v>
      </c>
      <c r="R302" s="1" t="s">
        <v>513</v>
      </c>
      <c r="S302" s="1" t="s">
        <v>54</v>
      </c>
      <c r="T302" s="1" t="s">
        <v>35</v>
      </c>
      <c r="U302" s="1" t="s">
        <v>48</v>
      </c>
      <c r="V302" s="1" t="s">
        <v>100</v>
      </c>
      <c r="W302">
        <v>3.2</v>
      </c>
    </row>
    <row r="303" spans="1:23" x14ac:dyDescent="0.3">
      <c r="A303" s="1" t="s">
        <v>687</v>
      </c>
      <c r="B303">
        <v>3</v>
      </c>
      <c r="C303">
        <v>34.99</v>
      </c>
      <c r="D303">
        <v>84.73</v>
      </c>
      <c r="E303" s="1" t="s">
        <v>493</v>
      </c>
      <c r="F303" s="1" t="s">
        <v>40</v>
      </c>
      <c r="G303">
        <v>7</v>
      </c>
      <c r="H303" s="1" t="s">
        <v>26</v>
      </c>
      <c r="I303" s="1" t="s">
        <v>85</v>
      </c>
      <c r="J303">
        <v>12.5</v>
      </c>
      <c r="K303">
        <v>34.99</v>
      </c>
      <c r="L303" s="1" t="s">
        <v>60</v>
      </c>
      <c r="M303" s="1" t="s">
        <v>29</v>
      </c>
      <c r="N303" s="1" t="s">
        <v>30</v>
      </c>
      <c r="O303" s="1" t="s">
        <v>31</v>
      </c>
      <c r="P303" s="2">
        <v>45778</v>
      </c>
      <c r="Q303" s="1" t="s">
        <v>487</v>
      </c>
      <c r="R303" s="1" t="s">
        <v>488</v>
      </c>
      <c r="S303" s="1" t="s">
        <v>88</v>
      </c>
      <c r="T303" s="1" t="s">
        <v>35</v>
      </c>
      <c r="U303" s="1" t="s">
        <v>66</v>
      </c>
      <c r="V303" s="1" t="s">
        <v>89</v>
      </c>
      <c r="W303">
        <v>2.4</v>
      </c>
    </row>
    <row r="304" spans="1:23" x14ac:dyDescent="0.3">
      <c r="A304" s="1" t="s">
        <v>688</v>
      </c>
      <c r="B304">
        <v>1</v>
      </c>
      <c r="C304">
        <v>27.99</v>
      </c>
      <c r="D304">
        <v>27.99</v>
      </c>
      <c r="E304" s="1" t="s">
        <v>200</v>
      </c>
      <c r="F304" s="1" t="s">
        <v>40</v>
      </c>
      <c r="G304">
        <v>2</v>
      </c>
      <c r="H304" s="1" t="s">
        <v>96</v>
      </c>
      <c r="I304" s="1" t="s">
        <v>75</v>
      </c>
      <c r="J304">
        <v>9</v>
      </c>
      <c r="K304">
        <v>27.99</v>
      </c>
      <c r="L304" s="1" t="s">
        <v>28</v>
      </c>
      <c r="M304" s="1" t="s">
        <v>61</v>
      </c>
      <c r="N304" s="1" t="s">
        <v>62</v>
      </c>
      <c r="O304" s="1" t="s">
        <v>31</v>
      </c>
      <c r="P304" s="2">
        <v>45726</v>
      </c>
      <c r="Q304" s="1" t="s">
        <v>689</v>
      </c>
      <c r="R304" s="1" t="s">
        <v>690</v>
      </c>
      <c r="S304" s="1" t="s">
        <v>88</v>
      </c>
      <c r="T304" s="1" t="s">
        <v>35</v>
      </c>
      <c r="U304" s="1" t="s">
        <v>66</v>
      </c>
      <c r="V304" s="1" t="s">
        <v>37</v>
      </c>
      <c r="W304">
        <v>2</v>
      </c>
    </row>
    <row r="305" spans="1:23" x14ac:dyDescent="0.3">
      <c r="A305" s="1" t="s">
        <v>691</v>
      </c>
      <c r="B305">
        <v>1</v>
      </c>
      <c r="C305">
        <v>30.99</v>
      </c>
      <c r="D305">
        <v>30.99</v>
      </c>
      <c r="E305" s="1" t="s">
        <v>91</v>
      </c>
      <c r="F305" s="1" t="s">
        <v>40</v>
      </c>
      <c r="G305">
        <v>2</v>
      </c>
      <c r="H305" s="1" t="s">
        <v>41</v>
      </c>
      <c r="I305" s="1" t="s">
        <v>42</v>
      </c>
      <c r="J305">
        <v>10.5</v>
      </c>
      <c r="K305">
        <v>30.99</v>
      </c>
      <c r="L305" s="1" t="s">
        <v>28</v>
      </c>
      <c r="M305" s="1" t="s">
        <v>43</v>
      </c>
      <c r="N305" s="1" t="s">
        <v>44</v>
      </c>
      <c r="O305" s="1" t="s">
        <v>31</v>
      </c>
      <c r="P305" s="2">
        <v>45823</v>
      </c>
      <c r="Q305" s="1" t="s">
        <v>176</v>
      </c>
      <c r="R305" s="1" t="s">
        <v>353</v>
      </c>
      <c r="S305" s="1" t="s">
        <v>105</v>
      </c>
      <c r="T305" s="1" t="s">
        <v>35</v>
      </c>
      <c r="U305" s="1" t="s">
        <v>82</v>
      </c>
      <c r="V305" s="1" t="s">
        <v>37</v>
      </c>
      <c r="W305">
        <v>2</v>
      </c>
    </row>
    <row r="306" spans="1:23" x14ac:dyDescent="0.3">
      <c r="A306" s="1" t="s">
        <v>692</v>
      </c>
      <c r="B306">
        <v>1</v>
      </c>
      <c r="C306">
        <v>21.99</v>
      </c>
      <c r="D306">
        <v>21.99</v>
      </c>
      <c r="E306" s="1" t="s">
        <v>252</v>
      </c>
      <c r="F306" s="1" t="s">
        <v>40</v>
      </c>
      <c r="G306">
        <v>3</v>
      </c>
      <c r="H306" s="1" t="s">
        <v>26</v>
      </c>
      <c r="I306" s="1" t="s">
        <v>27</v>
      </c>
      <c r="J306">
        <v>7</v>
      </c>
      <c r="K306">
        <v>21.99</v>
      </c>
      <c r="L306" s="1" t="s">
        <v>28</v>
      </c>
      <c r="M306" s="1" t="s">
        <v>29</v>
      </c>
      <c r="N306" s="1" t="s">
        <v>30</v>
      </c>
      <c r="O306" s="1" t="s">
        <v>31</v>
      </c>
      <c r="P306" s="2">
        <v>45778</v>
      </c>
      <c r="Q306" s="1" t="s">
        <v>693</v>
      </c>
      <c r="R306" s="1" t="s">
        <v>694</v>
      </c>
      <c r="S306" s="1" t="s">
        <v>47</v>
      </c>
      <c r="T306" s="1" t="s">
        <v>35</v>
      </c>
      <c r="U306" s="1" t="s">
        <v>82</v>
      </c>
      <c r="V306" s="1" t="s">
        <v>37</v>
      </c>
      <c r="W306">
        <v>2</v>
      </c>
    </row>
    <row r="307" spans="1:23" x14ac:dyDescent="0.3">
      <c r="A307" s="1" t="s">
        <v>695</v>
      </c>
      <c r="B307">
        <v>1</v>
      </c>
      <c r="C307">
        <v>30.99</v>
      </c>
      <c r="D307">
        <v>30.99</v>
      </c>
      <c r="E307" s="1" t="s">
        <v>222</v>
      </c>
      <c r="F307" s="1" t="s">
        <v>40</v>
      </c>
      <c r="G307">
        <v>3</v>
      </c>
      <c r="H307" s="1" t="s">
        <v>41</v>
      </c>
      <c r="I307" s="1" t="s">
        <v>42</v>
      </c>
      <c r="J307">
        <v>10.5</v>
      </c>
      <c r="K307">
        <v>30.99</v>
      </c>
      <c r="L307" s="1" t="s">
        <v>28</v>
      </c>
      <c r="M307" s="1" t="s">
        <v>43</v>
      </c>
      <c r="N307" s="1" t="s">
        <v>44</v>
      </c>
      <c r="O307" s="1" t="s">
        <v>31</v>
      </c>
      <c r="P307" s="2">
        <v>45823</v>
      </c>
      <c r="Q307" s="1" t="s">
        <v>122</v>
      </c>
      <c r="R307" s="1" t="s">
        <v>123</v>
      </c>
      <c r="S307" s="1" t="s">
        <v>65</v>
      </c>
      <c r="T307" s="1" t="s">
        <v>35</v>
      </c>
      <c r="U307" s="1" t="s">
        <v>82</v>
      </c>
      <c r="V307" s="1" t="s">
        <v>37</v>
      </c>
      <c r="W307">
        <v>2</v>
      </c>
    </row>
    <row r="308" spans="1:23" x14ac:dyDescent="0.3">
      <c r="A308" s="1" t="s">
        <v>696</v>
      </c>
      <c r="B308">
        <v>1</v>
      </c>
      <c r="C308">
        <v>21.99</v>
      </c>
      <c r="D308">
        <v>21.99</v>
      </c>
      <c r="E308" s="1" t="s">
        <v>334</v>
      </c>
      <c r="F308" s="1" t="s">
        <v>70</v>
      </c>
      <c r="G308">
        <v>0</v>
      </c>
      <c r="H308" s="1" t="s">
        <v>26</v>
      </c>
      <c r="I308" s="1" t="s">
        <v>27</v>
      </c>
      <c r="J308">
        <v>7</v>
      </c>
      <c r="K308">
        <v>21.99</v>
      </c>
      <c r="L308" s="1" t="s">
        <v>28</v>
      </c>
      <c r="M308" s="1" t="s">
        <v>29</v>
      </c>
      <c r="N308" s="1" t="s">
        <v>30</v>
      </c>
      <c r="O308" s="1" t="s">
        <v>31</v>
      </c>
      <c r="P308" s="2">
        <v>45778</v>
      </c>
      <c r="Q308" s="1" t="s">
        <v>349</v>
      </c>
      <c r="R308" s="1" t="s">
        <v>697</v>
      </c>
      <c r="S308" s="1" t="s">
        <v>105</v>
      </c>
      <c r="T308" s="1" t="s">
        <v>35</v>
      </c>
      <c r="U308" s="1" t="s">
        <v>66</v>
      </c>
      <c r="V308" s="1" t="s">
        <v>37</v>
      </c>
      <c r="W308">
        <v>2</v>
      </c>
    </row>
    <row r="309" spans="1:23" x14ac:dyDescent="0.3">
      <c r="A309" s="1" t="s">
        <v>698</v>
      </c>
      <c r="B309">
        <v>1</v>
      </c>
      <c r="C309">
        <v>21.99</v>
      </c>
      <c r="D309">
        <v>21.99</v>
      </c>
      <c r="E309" s="1" t="s">
        <v>192</v>
      </c>
      <c r="F309" s="1" t="s">
        <v>40</v>
      </c>
      <c r="G309">
        <v>5</v>
      </c>
      <c r="H309" s="1" t="s">
        <v>58</v>
      </c>
      <c r="I309" s="1" t="s">
        <v>27</v>
      </c>
      <c r="J309">
        <v>7</v>
      </c>
      <c r="K309">
        <v>21.99</v>
      </c>
      <c r="L309" s="1" t="s">
        <v>28</v>
      </c>
      <c r="M309" s="1" t="s">
        <v>29</v>
      </c>
      <c r="N309" s="1" t="s">
        <v>30</v>
      </c>
      <c r="O309" s="1" t="s">
        <v>31</v>
      </c>
      <c r="P309" s="2">
        <v>45778</v>
      </c>
      <c r="Q309" s="1" t="s">
        <v>63</v>
      </c>
      <c r="R309" s="1" t="s">
        <v>699</v>
      </c>
      <c r="S309" s="1" t="s">
        <v>105</v>
      </c>
      <c r="T309" s="1" t="s">
        <v>35</v>
      </c>
      <c r="U309" s="1" t="s">
        <v>48</v>
      </c>
      <c r="V309" s="1" t="s">
        <v>37</v>
      </c>
      <c r="W309">
        <v>2</v>
      </c>
    </row>
    <row r="310" spans="1:23" x14ac:dyDescent="0.3">
      <c r="A310" s="1" t="s">
        <v>700</v>
      </c>
      <c r="B310">
        <v>1</v>
      </c>
      <c r="C310">
        <v>27.99</v>
      </c>
      <c r="D310">
        <v>27.99</v>
      </c>
      <c r="E310" s="1" t="s">
        <v>701</v>
      </c>
      <c r="F310" s="1" t="s">
        <v>51</v>
      </c>
      <c r="G310">
        <v>0</v>
      </c>
      <c r="H310" s="1" t="s">
        <v>26</v>
      </c>
      <c r="I310" s="1" t="s">
        <v>75</v>
      </c>
      <c r="J310">
        <v>9</v>
      </c>
      <c r="K310">
        <v>27.99</v>
      </c>
      <c r="L310" s="1" t="s">
        <v>28</v>
      </c>
      <c r="M310" s="1" t="s">
        <v>61</v>
      </c>
      <c r="N310" s="1" t="s">
        <v>62</v>
      </c>
      <c r="O310" s="1" t="s">
        <v>31</v>
      </c>
      <c r="P310" s="2">
        <v>45726</v>
      </c>
      <c r="Q310" s="1" t="s">
        <v>409</v>
      </c>
      <c r="R310" s="1" t="s">
        <v>410</v>
      </c>
      <c r="S310" s="1" t="s">
        <v>411</v>
      </c>
      <c r="T310" s="1" t="s">
        <v>35</v>
      </c>
      <c r="U310" s="1" t="s">
        <v>48</v>
      </c>
      <c r="V310" s="1" t="s">
        <v>37</v>
      </c>
      <c r="W310">
        <v>2</v>
      </c>
    </row>
    <row r="311" spans="1:23" x14ac:dyDescent="0.3">
      <c r="A311" s="1" t="s">
        <v>702</v>
      </c>
      <c r="B311">
        <v>1</v>
      </c>
      <c r="C311">
        <v>18.989999999999998</v>
      </c>
      <c r="D311">
        <v>18.989999999999998</v>
      </c>
      <c r="E311" s="1" t="s">
        <v>187</v>
      </c>
      <c r="F311" s="1" t="s">
        <v>40</v>
      </c>
      <c r="G311">
        <v>15</v>
      </c>
      <c r="H311" s="1" t="s">
        <v>58</v>
      </c>
      <c r="I311" s="1" t="s">
        <v>97</v>
      </c>
      <c r="J311">
        <v>6</v>
      </c>
      <c r="K311">
        <v>18.989999999999998</v>
      </c>
      <c r="L311" s="1" t="s">
        <v>60</v>
      </c>
      <c r="M311" s="1" t="s">
        <v>43</v>
      </c>
      <c r="N311" s="1" t="s">
        <v>44</v>
      </c>
      <c r="O311" s="1" t="s">
        <v>31</v>
      </c>
      <c r="P311" s="2">
        <v>45823</v>
      </c>
      <c r="Q311" s="1" t="s">
        <v>216</v>
      </c>
      <c r="R311" s="1" t="s">
        <v>275</v>
      </c>
      <c r="S311" s="1" t="s">
        <v>105</v>
      </c>
      <c r="T311" s="1" t="s">
        <v>35</v>
      </c>
      <c r="U311" s="1" t="s">
        <v>82</v>
      </c>
      <c r="V311" s="1" t="s">
        <v>100</v>
      </c>
      <c r="W311">
        <v>3.2</v>
      </c>
    </row>
    <row r="312" spans="1:23" x14ac:dyDescent="0.3">
      <c r="A312" s="1" t="s">
        <v>703</v>
      </c>
      <c r="B312">
        <v>1</v>
      </c>
      <c r="C312">
        <v>30.99</v>
      </c>
      <c r="D312">
        <v>30.99</v>
      </c>
      <c r="E312" s="1" t="s">
        <v>704</v>
      </c>
      <c r="F312" s="1" t="s">
        <v>51</v>
      </c>
      <c r="G312">
        <v>0</v>
      </c>
      <c r="H312" s="1" t="s">
        <v>58</v>
      </c>
      <c r="I312" s="1" t="s">
        <v>42</v>
      </c>
      <c r="J312">
        <v>10.5</v>
      </c>
      <c r="K312">
        <v>30.99</v>
      </c>
      <c r="L312" s="1" t="s">
        <v>28</v>
      </c>
      <c r="M312" s="1" t="s">
        <v>43</v>
      </c>
      <c r="N312" s="1" t="s">
        <v>44</v>
      </c>
      <c r="O312" s="1" t="s">
        <v>31</v>
      </c>
      <c r="P312" s="2">
        <v>45823</v>
      </c>
      <c r="Q312" s="1" t="s">
        <v>705</v>
      </c>
      <c r="R312" s="1" t="s">
        <v>706</v>
      </c>
      <c r="S312" s="1" t="s">
        <v>105</v>
      </c>
      <c r="T312" s="1" t="s">
        <v>35</v>
      </c>
      <c r="U312" s="1" t="s">
        <v>36</v>
      </c>
      <c r="V312" s="1" t="s">
        <v>37</v>
      </c>
      <c r="W312">
        <v>2</v>
      </c>
    </row>
    <row r="313" spans="1:23" x14ac:dyDescent="0.3">
      <c r="A313" s="1" t="s">
        <v>707</v>
      </c>
      <c r="B313">
        <v>1</v>
      </c>
      <c r="C313">
        <v>16.989999999999998</v>
      </c>
      <c r="D313">
        <v>16.989999999999998</v>
      </c>
      <c r="E313" s="1" t="s">
        <v>274</v>
      </c>
      <c r="F313" s="1" t="s">
        <v>40</v>
      </c>
      <c r="G313">
        <v>17</v>
      </c>
      <c r="H313" s="1" t="s">
        <v>26</v>
      </c>
      <c r="I313" s="1" t="s">
        <v>59</v>
      </c>
      <c r="J313">
        <v>5</v>
      </c>
      <c r="K313">
        <v>16.989999999999998</v>
      </c>
      <c r="L313" s="1" t="s">
        <v>60</v>
      </c>
      <c r="M313" s="1" t="s">
        <v>61</v>
      </c>
      <c r="N313" s="1" t="s">
        <v>62</v>
      </c>
      <c r="O313" s="1" t="s">
        <v>31</v>
      </c>
      <c r="P313" s="2">
        <v>45726</v>
      </c>
      <c r="Q313" s="1" t="s">
        <v>355</v>
      </c>
      <c r="R313" s="1" t="s">
        <v>356</v>
      </c>
      <c r="S313" s="1" t="s">
        <v>34</v>
      </c>
      <c r="T313" s="1" t="s">
        <v>35</v>
      </c>
      <c r="U313" s="1" t="s">
        <v>48</v>
      </c>
      <c r="V313" s="1" t="s">
        <v>67</v>
      </c>
      <c r="W313">
        <v>3</v>
      </c>
    </row>
    <row r="314" spans="1:23" x14ac:dyDescent="0.3">
      <c r="A314" s="1" t="s">
        <v>708</v>
      </c>
      <c r="B314">
        <v>1</v>
      </c>
      <c r="C314">
        <v>16.989999999999998</v>
      </c>
      <c r="D314">
        <v>16.989999999999998</v>
      </c>
      <c r="E314" s="1" t="s">
        <v>445</v>
      </c>
      <c r="F314" s="1" t="s">
        <v>25</v>
      </c>
      <c r="G314">
        <v>19</v>
      </c>
      <c r="H314" s="1" t="s">
        <v>26</v>
      </c>
      <c r="I314" s="1" t="s">
        <v>59</v>
      </c>
      <c r="J314">
        <v>5</v>
      </c>
      <c r="K314">
        <v>16.989999999999998</v>
      </c>
      <c r="L314" s="1" t="s">
        <v>60</v>
      </c>
      <c r="M314" s="1" t="s">
        <v>61</v>
      </c>
      <c r="N314" s="1" t="s">
        <v>62</v>
      </c>
      <c r="O314" s="1" t="s">
        <v>31</v>
      </c>
      <c r="P314" s="2">
        <v>45726</v>
      </c>
      <c r="Q314" s="1" t="s">
        <v>579</v>
      </c>
      <c r="R314" s="1" t="s">
        <v>580</v>
      </c>
      <c r="S314" s="1" t="s">
        <v>88</v>
      </c>
      <c r="T314" s="1" t="s">
        <v>35</v>
      </c>
      <c r="U314" s="1" t="s">
        <v>36</v>
      </c>
      <c r="V314" s="1" t="s">
        <v>67</v>
      </c>
      <c r="W314">
        <v>3</v>
      </c>
    </row>
    <row r="315" spans="1:23" x14ac:dyDescent="0.3">
      <c r="A315" s="1" t="s">
        <v>709</v>
      </c>
      <c r="B315">
        <v>1</v>
      </c>
      <c r="C315">
        <v>18.989999999999998</v>
      </c>
      <c r="D315">
        <v>18.989999999999998</v>
      </c>
      <c r="E315" s="1" t="s">
        <v>393</v>
      </c>
      <c r="F315" s="1" t="s">
        <v>40</v>
      </c>
      <c r="G315">
        <v>13</v>
      </c>
      <c r="H315" s="1" t="s">
        <v>58</v>
      </c>
      <c r="I315" s="1" t="s">
        <v>97</v>
      </c>
      <c r="J315">
        <v>6</v>
      </c>
      <c r="K315">
        <v>18.989999999999998</v>
      </c>
      <c r="L315" s="1" t="s">
        <v>60</v>
      </c>
      <c r="M315" s="1" t="s">
        <v>43</v>
      </c>
      <c r="N315" s="1" t="s">
        <v>44</v>
      </c>
      <c r="O315" s="1" t="s">
        <v>31</v>
      </c>
      <c r="P315" s="2">
        <v>45823</v>
      </c>
      <c r="Q315" s="1" t="s">
        <v>710</v>
      </c>
      <c r="R315" s="1" t="s">
        <v>711</v>
      </c>
      <c r="S315" s="1" t="s">
        <v>65</v>
      </c>
      <c r="T315" s="1" t="s">
        <v>35</v>
      </c>
      <c r="U315" s="1" t="s">
        <v>48</v>
      </c>
      <c r="V315" s="1" t="s">
        <v>100</v>
      </c>
      <c r="W315">
        <v>3.2</v>
      </c>
    </row>
    <row r="316" spans="1:23" x14ac:dyDescent="0.3">
      <c r="A316" s="1" t="s">
        <v>712</v>
      </c>
      <c r="B316">
        <v>1</v>
      </c>
      <c r="C316">
        <v>18.989999999999998</v>
      </c>
      <c r="D316">
        <v>18.989999999999998</v>
      </c>
      <c r="E316" s="1" t="s">
        <v>334</v>
      </c>
      <c r="F316" s="1" t="s">
        <v>40</v>
      </c>
      <c r="G316">
        <v>10</v>
      </c>
      <c r="H316" s="1" t="s">
        <v>41</v>
      </c>
      <c r="I316" s="1" t="s">
        <v>97</v>
      </c>
      <c r="J316">
        <v>6</v>
      </c>
      <c r="K316">
        <v>18.989999999999998</v>
      </c>
      <c r="L316" s="1" t="s">
        <v>60</v>
      </c>
      <c r="M316" s="1" t="s">
        <v>43</v>
      </c>
      <c r="N316" s="1" t="s">
        <v>44</v>
      </c>
      <c r="O316" s="1" t="s">
        <v>31</v>
      </c>
      <c r="P316" s="2">
        <v>45823</v>
      </c>
      <c r="Q316" s="1" t="s">
        <v>420</v>
      </c>
      <c r="R316" s="1" t="s">
        <v>423</v>
      </c>
      <c r="S316" s="1" t="s">
        <v>105</v>
      </c>
      <c r="T316" s="1" t="s">
        <v>35</v>
      </c>
      <c r="U316" s="1" t="s">
        <v>82</v>
      </c>
      <c r="V316" s="1" t="s">
        <v>100</v>
      </c>
      <c r="W316">
        <v>3.2</v>
      </c>
    </row>
    <row r="317" spans="1:23" x14ac:dyDescent="0.3">
      <c r="A317" s="1" t="s">
        <v>713</v>
      </c>
      <c r="B317">
        <v>1</v>
      </c>
      <c r="C317">
        <v>18.989999999999998</v>
      </c>
      <c r="D317">
        <v>18.989999999999998</v>
      </c>
      <c r="E317" s="1" t="s">
        <v>445</v>
      </c>
      <c r="F317" s="1" t="s">
        <v>40</v>
      </c>
      <c r="G317">
        <v>15</v>
      </c>
      <c r="H317" s="1" t="s">
        <v>96</v>
      </c>
      <c r="I317" s="1" t="s">
        <v>97</v>
      </c>
      <c r="J317">
        <v>6</v>
      </c>
      <c r="K317">
        <v>18.989999999999998</v>
      </c>
      <c r="L317" s="1" t="s">
        <v>60</v>
      </c>
      <c r="M317" s="1" t="s">
        <v>43</v>
      </c>
      <c r="N317" s="1" t="s">
        <v>44</v>
      </c>
      <c r="O317" s="1" t="s">
        <v>31</v>
      </c>
      <c r="P317" s="2">
        <v>45823</v>
      </c>
      <c r="Q317" s="1" t="s">
        <v>161</v>
      </c>
      <c r="R317" s="1" t="s">
        <v>500</v>
      </c>
      <c r="S317" s="1" t="s">
        <v>65</v>
      </c>
      <c r="T317" s="1" t="s">
        <v>35</v>
      </c>
      <c r="U317" s="1" t="s">
        <v>55</v>
      </c>
      <c r="V317" s="1" t="s">
        <v>100</v>
      </c>
      <c r="W317">
        <v>3.2</v>
      </c>
    </row>
    <row r="318" spans="1:23" x14ac:dyDescent="0.3">
      <c r="A318" s="1" t="s">
        <v>714</v>
      </c>
      <c r="B318">
        <v>1</v>
      </c>
      <c r="C318">
        <v>18.989999999999998</v>
      </c>
      <c r="D318">
        <v>18.989999999999998</v>
      </c>
      <c r="E318" s="1" t="s">
        <v>84</v>
      </c>
      <c r="F318" s="1" t="s">
        <v>40</v>
      </c>
      <c r="G318">
        <v>10</v>
      </c>
      <c r="H318" s="1" t="s">
        <v>26</v>
      </c>
      <c r="I318" s="1" t="s">
        <v>97</v>
      </c>
      <c r="J318">
        <v>6</v>
      </c>
      <c r="K318">
        <v>18.989999999999998</v>
      </c>
      <c r="L318" s="1" t="s">
        <v>60</v>
      </c>
      <c r="M318" s="1" t="s">
        <v>43</v>
      </c>
      <c r="N318" s="1" t="s">
        <v>44</v>
      </c>
      <c r="O318" s="1" t="s">
        <v>31</v>
      </c>
      <c r="P318" s="2">
        <v>45823</v>
      </c>
      <c r="Q318" s="1" t="s">
        <v>466</v>
      </c>
      <c r="R318" s="1" t="s">
        <v>467</v>
      </c>
      <c r="S318" s="1" t="s">
        <v>65</v>
      </c>
      <c r="T318" s="1" t="s">
        <v>35</v>
      </c>
      <c r="U318" s="1" t="s">
        <v>36</v>
      </c>
      <c r="V318" s="1" t="s">
        <v>100</v>
      </c>
      <c r="W318">
        <v>3.2</v>
      </c>
    </row>
    <row r="319" spans="1:23" x14ac:dyDescent="0.3">
      <c r="A319" s="1" t="s">
        <v>715</v>
      </c>
      <c r="B319">
        <v>1</v>
      </c>
      <c r="C319">
        <v>16.989999999999998</v>
      </c>
      <c r="D319">
        <v>16.989999999999998</v>
      </c>
      <c r="E319" s="1" t="s">
        <v>69</v>
      </c>
      <c r="F319" s="1" t="s">
        <v>40</v>
      </c>
      <c r="G319">
        <v>17</v>
      </c>
      <c r="H319" s="1" t="s">
        <v>96</v>
      </c>
      <c r="I319" s="1" t="s">
        <v>59</v>
      </c>
      <c r="J319">
        <v>5</v>
      </c>
      <c r="K319">
        <v>16.989999999999998</v>
      </c>
      <c r="L319" s="1" t="s">
        <v>60</v>
      </c>
      <c r="M319" s="1" t="s">
        <v>61</v>
      </c>
      <c r="N319" s="1" t="s">
        <v>62</v>
      </c>
      <c r="O319" s="1" t="s">
        <v>31</v>
      </c>
      <c r="P319" s="2">
        <v>45726</v>
      </c>
      <c r="Q319" s="1" t="s">
        <v>705</v>
      </c>
      <c r="R319" s="1" t="s">
        <v>706</v>
      </c>
      <c r="S319" s="1" t="s">
        <v>105</v>
      </c>
      <c r="T319" s="1" t="s">
        <v>35</v>
      </c>
      <c r="U319" s="1" t="s">
        <v>36</v>
      </c>
      <c r="V319" s="1" t="s">
        <v>67</v>
      </c>
      <c r="W319">
        <v>3</v>
      </c>
    </row>
    <row r="320" spans="1:23" x14ac:dyDescent="0.3">
      <c r="A320" s="1" t="s">
        <v>716</v>
      </c>
      <c r="B320">
        <v>1</v>
      </c>
      <c r="C320">
        <v>16.989999999999998</v>
      </c>
      <c r="D320">
        <v>16.989999999999998</v>
      </c>
      <c r="E320" s="1" t="s">
        <v>181</v>
      </c>
      <c r="F320" s="1" t="s">
        <v>25</v>
      </c>
      <c r="G320">
        <v>18</v>
      </c>
      <c r="H320" s="1" t="s">
        <v>41</v>
      </c>
      <c r="I320" s="1" t="s">
        <v>59</v>
      </c>
      <c r="J320">
        <v>5</v>
      </c>
      <c r="K320">
        <v>16.989999999999998</v>
      </c>
      <c r="L320" s="1" t="s">
        <v>60</v>
      </c>
      <c r="M320" s="1" t="s">
        <v>61</v>
      </c>
      <c r="N320" s="1" t="s">
        <v>62</v>
      </c>
      <c r="O320" s="1" t="s">
        <v>31</v>
      </c>
      <c r="P320" s="2">
        <v>45726</v>
      </c>
      <c r="Q320" s="1" t="s">
        <v>140</v>
      </c>
      <c r="R320" s="1" t="s">
        <v>383</v>
      </c>
      <c r="S320" s="1" t="s">
        <v>65</v>
      </c>
      <c r="T320" s="1" t="s">
        <v>35</v>
      </c>
      <c r="U320" s="1" t="s">
        <v>82</v>
      </c>
      <c r="V320" s="1" t="s">
        <v>67</v>
      </c>
      <c r="W320">
        <v>3</v>
      </c>
    </row>
    <row r="321" spans="1:23" x14ac:dyDescent="0.3">
      <c r="A321" s="1" t="s">
        <v>717</v>
      </c>
      <c r="B321">
        <v>1</v>
      </c>
      <c r="C321">
        <v>34.99</v>
      </c>
      <c r="D321">
        <v>34.99</v>
      </c>
      <c r="E321" s="1" t="s">
        <v>160</v>
      </c>
      <c r="F321" s="1" t="s">
        <v>25</v>
      </c>
      <c r="G321">
        <v>6</v>
      </c>
      <c r="H321" s="1" t="s">
        <v>96</v>
      </c>
      <c r="I321" s="1" t="s">
        <v>85</v>
      </c>
      <c r="J321">
        <v>12.5</v>
      </c>
      <c r="K321">
        <v>34.99</v>
      </c>
      <c r="L321" s="1" t="s">
        <v>60</v>
      </c>
      <c r="M321" s="1" t="s">
        <v>29</v>
      </c>
      <c r="N321" s="1" t="s">
        <v>30</v>
      </c>
      <c r="O321" s="1" t="s">
        <v>31</v>
      </c>
      <c r="P321" s="2">
        <v>45778</v>
      </c>
      <c r="Q321" s="1" t="s">
        <v>308</v>
      </c>
      <c r="R321" s="1" t="s">
        <v>309</v>
      </c>
      <c r="S321" s="1" t="s">
        <v>47</v>
      </c>
      <c r="T321" s="1" t="s">
        <v>35</v>
      </c>
      <c r="U321" s="1" t="s">
        <v>82</v>
      </c>
      <c r="V321" s="1" t="s">
        <v>89</v>
      </c>
      <c r="W321">
        <v>2.4</v>
      </c>
    </row>
    <row r="322" spans="1:23" x14ac:dyDescent="0.3">
      <c r="A322" s="1" t="s">
        <v>718</v>
      </c>
      <c r="B322">
        <v>2</v>
      </c>
      <c r="C322">
        <v>21.99</v>
      </c>
      <c r="D322">
        <v>38.130000000000003</v>
      </c>
      <c r="E322" s="1" t="s">
        <v>719</v>
      </c>
      <c r="F322" s="1" t="s">
        <v>40</v>
      </c>
      <c r="G322">
        <v>2</v>
      </c>
      <c r="H322" s="1" t="s">
        <v>26</v>
      </c>
      <c r="I322" s="1" t="s">
        <v>27</v>
      </c>
      <c r="J322">
        <v>7</v>
      </c>
      <c r="K322">
        <v>21.99</v>
      </c>
      <c r="L322" s="1" t="s">
        <v>28</v>
      </c>
      <c r="M322" s="1" t="s">
        <v>29</v>
      </c>
      <c r="N322" s="1" t="s">
        <v>30</v>
      </c>
      <c r="O322" s="1" t="s">
        <v>31</v>
      </c>
      <c r="P322" s="2">
        <v>45778</v>
      </c>
      <c r="Q322" s="1" t="s">
        <v>720</v>
      </c>
      <c r="R322" s="1" t="s">
        <v>721</v>
      </c>
      <c r="S322" s="1" t="s">
        <v>54</v>
      </c>
      <c r="T322" s="1" t="s">
        <v>35</v>
      </c>
      <c r="U322" s="1" t="s">
        <v>82</v>
      </c>
      <c r="V322" s="1" t="s">
        <v>37</v>
      </c>
      <c r="W322">
        <v>2</v>
      </c>
    </row>
    <row r="323" spans="1:23" x14ac:dyDescent="0.3">
      <c r="A323" s="1" t="s">
        <v>722</v>
      </c>
      <c r="B323">
        <v>3</v>
      </c>
      <c r="C323">
        <v>16.989999999999998</v>
      </c>
      <c r="D323">
        <v>40.049999999999997</v>
      </c>
      <c r="E323" s="1" t="s">
        <v>723</v>
      </c>
      <c r="F323" s="1" t="s">
        <v>40</v>
      </c>
      <c r="G323">
        <v>16</v>
      </c>
      <c r="H323" s="1" t="s">
        <v>41</v>
      </c>
      <c r="I323" s="1" t="s">
        <v>59</v>
      </c>
      <c r="J323">
        <v>5</v>
      </c>
      <c r="K323">
        <v>16.989999999999998</v>
      </c>
      <c r="L323" s="1" t="s">
        <v>60</v>
      </c>
      <c r="M323" s="1" t="s">
        <v>61</v>
      </c>
      <c r="N323" s="1" t="s">
        <v>62</v>
      </c>
      <c r="O323" s="1" t="s">
        <v>31</v>
      </c>
      <c r="P323" s="2">
        <v>45726</v>
      </c>
      <c r="Q323" s="1" t="s">
        <v>724</v>
      </c>
      <c r="R323" s="1" t="s">
        <v>725</v>
      </c>
      <c r="S323" s="1" t="s">
        <v>65</v>
      </c>
      <c r="T323" s="1" t="s">
        <v>35</v>
      </c>
      <c r="U323" s="1" t="s">
        <v>66</v>
      </c>
      <c r="V323" s="1" t="s">
        <v>67</v>
      </c>
      <c r="W323">
        <v>3</v>
      </c>
    </row>
    <row r="324" spans="1:23" x14ac:dyDescent="0.3">
      <c r="A324" s="1" t="s">
        <v>726</v>
      </c>
      <c r="B324">
        <v>1</v>
      </c>
      <c r="C324">
        <v>21.99</v>
      </c>
      <c r="D324">
        <v>21.99</v>
      </c>
      <c r="E324" s="1" t="s">
        <v>727</v>
      </c>
      <c r="F324" s="1" t="s">
        <v>40</v>
      </c>
      <c r="G324">
        <v>3</v>
      </c>
      <c r="H324" s="1" t="s">
        <v>96</v>
      </c>
      <c r="I324" s="1" t="s">
        <v>27</v>
      </c>
      <c r="J324">
        <v>7</v>
      </c>
      <c r="K324">
        <v>21.99</v>
      </c>
      <c r="L324" s="1" t="s">
        <v>28</v>
      </c>
      <c r="M324" s="1" t="s">
        <v>29</v>
      </c>
      <c r="N324" s="1" t="s">
        <v>30</v>
      </c>
      <c r="O324" s="1" t="s">
        <v>31</v>
      </c>
      <c r="P324" s="2">
        <v>45778</v>
      </c>
      <c r="Q324" s="1" t="s">
        <v>728</v>
      </c>
      <c r="R324" s="1" t="s">
        <v>729</v>
      </c>
      <c r="S324" s="1" t="s">
        <v>88</v>
      </c>
      <c r="T324" s="1" t="s">
        <v>35</v>
      </c>
      <c r="U324" s="1" t="s">
        <v>55</v>
      </c>
      <c r="V324" s="1" t="s">
        <v>37</v>
      </c>
      <c r="W324">
        <v>2</v>
      </c>
    </row>
    <row r="325" spans="1:23" x14ac:dyDescent="0.3">
      <c r="A325" s="1" t="s">
        <v>730</v>
      </c>
      <c r="B325">
        <v>2</v>
      </c>
      <c r="C325">
        <v>27.99</v>
      </c>
      <c r="D325">
        <v>48.81</v>
      </c>
      <c r="E325" s="1" t="s">
        <v>731</v>
      </c>
      <c r="F325" s="1" t="s">
        <v>40</v>
      </c>
      <c r="G325">
        <v>2</v>
      </c>
      <c r="H325" s="1" t="s">
        <v>26</v>
      </c>
      <c r="I325" s="1" t="s">
        <v>75</v>
      </c>
      <c r="J325">
        <v>9</v>
      </c>
      <c r="K325">
        <v>27.99</v>
      </c>
      <c r="L325" s="1" t="s">
        <v>28</v>
      </c>
      <c r="M325" s="1" t="s">
        <v>61</v>
      </c>
      <c r="N325" s="1" t="s">
        <v>62</v>
      </c>
      <c r="O325" s="1" t="s">
        <v>31</v>
      </c>
      <c r="P325" s="2">
        <v>45726</v>
      </c>
      <c r="Q325" s="1" t="s">
        <v>732</v>
      </c>
      <c r="R325" s="1" t="s">
        <v>733</v>
      </c>
      <c r="S325" s="1" t="s">
        <v>65</v>
      </c>
      <c r="T325" s="1" t="s">
        <v>35</v>
      </c>
      <c r="U325" s="1" t="s">
        <v>48</v>
      </c>
      <c r="V325" s="1" t="s">
        <v>37</v>
      </c>
      <c r="W325">
        <v>2</v>
      </c>
    </row>
    <row r="326" spans="1:23" x14ac:dyDescent="0.3">
      <c r="A326" s="1" t="s">
        <v>734</v>
      </c>
      <c r="B326">
        <v>1</v>
      </c>
      <c r="C326">
        <v>30.99</v>
      </c>
      <c r="D326">
        <v>30.99</v>
      </c>
      <c r="E326" s="1" t="s">
        <v>735</v>
      </c>
      <c r="F326" s="1" t="s">
        <v>25</v>
      </c>
      <c r="G326">
        <v>2</v>
      </c>
      <c r="H326" s="1" t="s">
        <v>58</v>
      </c>
      <c r="I326" s="1" t="s">
        <v>42</v>
      </c>
      <c r="J326">
        <v>10.5</v>
      </c>
      <c r="K326">
        <v>30.99</v>
      </c>
      <c r="L326" s="1" t="s">
        <v>28</v>
      </c>
      <c r="M326" s="1" t="s">
        <v>43</v>
      </c>
      <c r="N326" s="1" t="s">
        <v>44</v>
      </c>
      <c r="O326" s="1" t="s">
        <v>31</v>
      </c>
      <c r="P326" s="2">
        <v>45823</v>
      </c>
      <c r="Q326" s="1" t="s">
        <v>63</v>
      </c>
      <c r="R326" s="1" t="s">
        <v>736</v>
      </c>
      <c r="S326" s="1" t="s">
        <v>47</v>
      </c>
      <c r="T326" s="1" t="s">
        <v>35</v>
      </c>
      <c r="U326" s="1" t="s">
        <v>66</v>
      </c>
      <c r="V326" s="1" t="s">
        <v>37</v>
      </c>
      <c r="W326">
        <v>2</v>
      </c>
    </row>
    <row r="327" spans="1:23" x14ac:dyDescent="0.3">
      <c r="A327" s="1" t="s">
        <v>737</v>
      </c>
      <c r="B327">
        <v>1</v>
      </c>
      <c r="C327">
        <v>18.989999999999998</v>
      </c>
      <c r="D327">
        <v>18.989999999999998</v>
      </c>
      <c r="E327" s="1" t="s">
        <v>246</v>
      </c>
      <c r="F327" s="1" t="s">
        <v>188</v>
      </c>
      <c r="G327">
        <v>0</v>
      </c>
      <c r="H327" s="1" t="s">
        <v>58</v>
      </c>
      <c r="I327" s="1" t="s">
        <v>97</v>
      </c>
      <c r="J327">
        <v>6</v>
      </c>
      <c r="K327">
        <v>18.989999999999998</v>
      </c>
      <c r="L327" s="1" t="s">
        <v>60</v>
      </c>
      <c r="M327" s="1" t="s">
        <v>43</v>
      </c>
      <c r="N327" s="1" t="s">
        <v>44</v>
      </c>
      <c r="O327" s="1" t="s">
        <v>31</v>
      </c>
      <c r="P327" s="2">
        <v>45823</v>
      </c>
      <c r="Q327" s="1" t="s">
        <v>738</v>
      </c>
      <c r="R327" s="1" t="s">
        <v>739</v>
      </c>
      <c r="S327" s="1" t="s">
        <v>34</v>
      </c>
      <c r="T327" s="1" t="s">
        <v>35</v>
      </c>
      <c r="U327" s="1" t="s">
        <v>82</v>
      </c>
      <c r="V327" s="1" t="s">
        <v>100</v>
      </c>
      <c r="W327">
        <v>3.2</v>
      </c>
    </row>
    <row r="328" spans="1:23" x14ac:dyDescent="0.3">
      <c r="A328" s="1" t="s">
        <v>740</v>
      </c>
      <c r="B328">
        <v>3</v>
      </c>
      <c r="C328">
        <v>27.99</v>
      </c>
      <c r="D328">
        <v>66.599999999999994</v>
      </c>
      <c r="E328" s="1" t="s">
        <v>651</v>
      </c>
      <c r="F328" s="1" t="s">
        <v>51</v>
      </c>
      <c r="G328">
        <v>0</v>
      </c>
      <c r="H328" s="1" t="s">
        <v>96</v>
      </c>
      <c r="I328" s="1" t="s">
        <v>75</v>
      </c>
      <c r="J328">
        <v>9</v>
      </c>
      <c r="K328">
        <v>27.99</v>
      </c>
      <c r="L328" s="1" t="s">
        <v>28</v>
      </c>
      <c r="M328" s="1" t="s">
        <v>61</v>
      </c>
      <c r="N328" s="1" t="s">
        <v>62</v>
      </c>
      <c r="O328" s="1" t="s">
        <v>31</v>
      </c>
      <c r="P328" s="2">
        <v>45726</v>
      </c>
      <c r="Q328" s="1" t="s">
        <v>741</v>
      </c>
      <c r="R328" s="1" t="s">
        <v>742</v>
      </c>
      <c r="S328" s="1" t="s">
        <v>47</v>
      </c>
      <c r="T328" s="1" t="s">
        <v>35</v>
      </c>
      <c r="U328" s="1" t="s">
        <v>48</v>
      </c>
      <c r="V328" s="1" t="s">
        <v>37</v>
      </c>
      <c r="W328">
        <v>2</v>
      </c>
    </row>
    <row r="329" spans="1:23" x14ac:dyDescent="0.3">
      <c r="A329" s="1" t="s">
        <v>743</v>
      </c>
      <c r="B329">
        <v>3</v>
      </c>
      <c r="C329">
        <v>16.989999999999998</v>
      </c>
      <c r="D329">
        <v>40.950000000000003</v>
      </c>
      <c r="E329" s="1" t="s">
        <v>744</v>
      </c>
      <c r="F329" s="1" t="s">
        <v>40</v>
      </c>
      <c r="G329">
        <v>15</v>
      </c>
      <c r="H329" s="1" t="s">
        <v>58</v>
      </c>
      <c r="I329" s="1" t="s">
        <v>59</v>
      </c>
      <c r="J329">
        <v>5</v>
      </c>
      <c r="K329">
        <v>16.989999999999998</v>
      </c>
      <c r="L329" s="1" t="s">
        <v>60</v>
      </c>
      <c r="M329" s="1" t="s">
        <v>61</v>
      </c>
      <c r="N329" s="1" t="s">
        <v>62</v>
      </c>
      <c r="O329" s="1" t="s">
        <v>31</v>
      </c>
      <c r="P329" s="2">
        <v>45726</v>
      </c>
      <c r="Q329" s="1" t="s">
        <v>745</v>
      </c>
      <c r="R329" s="1" t="s">
        <v>746</v>
      </c>
      <c r="S329" s="1" t="s">
        <v>105</v>
      </c>
      <c r="T329" s="1" t="s">
        <v>35</v>
      </c>
      <c r="U329" s="1" t="s">
        <v>48</v>
      </c>
      <c r="V329" s="1" t="s">
        <v>67</v>
      </c>
      <c r="W329">
        <v>3</v>
      </c>
    </row>
    <row r="330" spans="1:23" x14ac:dyDescent="0.3">
      <c r="A330" s="1" t="s">
        <v>747</v>
      </c>
      <c r="B330">
        <v>1</v>
      </c>
      <c r="C330">
        <v>34.99</v>
      </c>
      <c r="D330">
        <v>34.99</v>
      </c>
      <c r="E330" s="1" t="s">
        <v>338</v>
      </c>
      <c r="F330" s="1" t="s">
        <v>70</v>
      </c>
      <c r="G330">
        <v>0</v>
      </c>
      <c r="H330" s="1" t="s">
        <v>96</v>
      </c>
      <c r="I330" s="1" t="s">
        <v>85</v>
      </c>
      <c r="J330">
        <v>12.5</v>
      </c>
      <c r="K330">
        <v>34.99</v>
      </c>
      <c r="L330" s="1" t="s">
        <v>60</v>
      </c>
      <c r="M330" s="1" t="s">
        <v>29</v>
      </c>
      <c r="N330" s="1" t="s">
        <v>30</v>
      </c>
      <c r="O330" s="1" t="s">
        <v>31</v>
      </c>
      <c r="P330" s="2">
        <v>45778</v>
      </c>
      <c r="Q330" s="1" t="s">
        <v>748</v>
      </c>
      <c r="R330" s="1" t="s">
        <v>749</v>
      </c>
      <c r="S330" s="1" t="s">
        <v>88</v>
      </c>
      <c r="T330" s="1" t="s">
        <v>35</v>
      </c>
      <c r="U330" s="1" t="s">
        <v>48</v>
      </c>
      <c r="V330" s="1" t="s">
        <v>89</v>
      </c>
      <c r="W330">
        <v>2.4</v>
      </c>
    </row>
    <row r="331" spans="1:23" x14ac:dyDescent="0.3">
      <c r="A331" s="1" t="s">
        <v>750</v>
      </c>
      <c r="B331">
        <v>3</v>
      </c>
      <c r="C331">
        <v>30.99</v>
      </c>
      <c r="D331">
        <v>74.900000000000006</v>
      </c>
      <c r="E331" s="1" t="s">
        <v>246</v>
      </c>
      <c r="F331" s="1" t="s">
        <v>40</v>
      </c>
      <c r="G331">
        <v>3</v>
      </c>
      <c r="H331" s="1" t="s">
        <v>96</v>
      </c>
      <c r="I331" s="1" t="s">
        <v>42</v>
      </c>
      <c r="J331">
        <v>10.5</v>
      </c>
      <c r="K331">
        <v>30.99</v>
      </c>
      <c r="L331" s="1" t="s">
        <v>28</v>
      </c>
      <c r="M331" s="1" t="s">
        <v>43</v>
      </c>
      <c r="N331" s="1" t="s">
        <v>44</v>
      </c>
      <c r="O331" s="1" t="s">
        <v>31</v>
      </c>
      <c r="P331" s="2">
        <v>45823</v>
      </c>
      <c r="Q331" s="1" t="s">
        <v>118</v>
      </c>
      <c r="R331" s="1" t="s">
        <v>751</v>
      </c>
      <c r="S331" s="1" t="s">
        <v>65</v>
      </c>
      <c r="T331" s="1" t="s">
        <v>35</v>
      </c>
      <c r="U331" s="1" t="s">
        <v>82</v>
      </c>
      <c r="V331" s="1" t="s">
        <v>37</v>
      </c>
      <c r="W331">
        <v>2</v>
      </c>
    </row>
    <row r="332" spans="1:23" x14ac:dyDescent="0.3">
      <c r="A332" s="1" t="s">
        <v>752</v>
      </c>
      <c r="B332">
        <v>1</v>
      </c>
      <c r="C332">
        <v>18.989999999999998</v>
      </c>
      <c r="D332">
        <v>18.989999999999998</v>
      </c>
      <c r="E332" s="1" t="s">
        <v>753</v>
      </c>
      <c r="F332" s="1" t="s">
        <v>40</v>
      </c>
      <c r="G332">
        <v>11</v>
      </c>
      <c r="H332" s="1" t="s">
        <v>26</v>
      </c>
      <c r="I332" s="1" t="s">
        <v>97</v>
      </c>
      <c r="J332">
        <v>6</v>
      </c>
      <c r="K332">
        <v>18.989999999999998</v>
      </c>
      <c r="L332" s="1" t="s">
        <v>60</v>
      </c>
      <c r="M332" s="1" t="s">
        <v>43</v>
      </c>
      <c r="N332" s="1" t="s">
        <v>44</v>
      </c>
      <c r="O332" s="1" t="s">
        <v>31</v>
      </c>
      <c r="P332" s="2">
        <v>45823</v>
      </c>
      <c r="Q332" s="1" t="s">
        <v>182</v>
      </c>
      <c r="R332" s="1" t="s">
        <v>754</v>
      </c>
      <c r="S332" s="1" t="s">
        <v>65</v>
      </c>
      <c r="T332" s="1" t="s">
        <v>35</v>
      </c>
      <c r="U332" s="1" t="s">
        <v>36</v>
      </c>
      <c r="V332" s="1" t="s">
        <v>100</v>
      </c>
      <c r="W332">
        <v>3.2</v>
      </c>
    </row>
    <row r="333" spans="1:23" x14ac:dyDescent="0.3">
      <c r="A333" s="1" t="s">
        <v>755</v>
      </c>
      <c r="B333">
        <v>3</v>
      </c>
      <c r="C333">
        <v>30.99</v>
      </c>
      <c r="D333">
        <v>73.91</v>
      </c>
      <c r="E333" s="1" t="s">
        <v>756</v>
      </c>
      <c r="F333" s="1" t="s">
        <v>40</v>
      </c>
      <c r="G333">
        <v>8</v>
      </c>
      <c r="H333" s="1" t="s">
        <v>41</v>
      </c>
      <c r="I333" s="1" t="s">
        <v>42</v>
      </c>
      <c r="J333">
        <v>10.5</v>
      </c>
      <c r="K333">
        <v>30.99</v>
      </c>
      <c r="L333" s="1" t="s">
        <v>28</v>
      </c>
      <c r="M333" s="1" t="s">
        <v>43</v>
      </c>
      <c r="N333" s="1" t="s">
        <v>44</v>
      </c>
      <c r="O333" s="1" t="s">
        <v>31</v>
      </c>
      <c r="P333" s="2">
        <v>45823</v>
      </c>
      <c r="Q333" s="1" t="s">
        <v>147</v>
      </c>
      <c r="R333" s="1" t="s">
        <v>757</v>
      </c>
      <c r="S333" s="1" t="s">
        <v>47</v>
      </c>
      <c r="T333" s="1" t="s">
        <v>35</v>
      </c>
      <c r="U333" s="1" t="s">
        <v>48</v>
      </c>
      <c r="V333" s="1" t="s">
        <v>37</v>
      </c>
      <c r="W333">
        <v>2</v>
      </c>
    </row>
    <row r="334" spans="1:23" x14ac:dyDescent="0.3">
      <c r="A334" s="1" t="s">
        <v>758</v>
      </c>
      <c r="B334">
        <v>1</v>
      </c>
      <c r="C334">
        <v>21.99</v>
      </c>
      <c r="D334">
        <v>21.99</v>
      </c>
      <c r="E334" s="1" t="s">
        <v>759</v>
      </c>
      <c r="F334" s="1" t="s">
        <v>51</v>
      </c>
      <c r="G334">
        <v>0</v>
      </c>
      <c r="H334" s="1" t="s">
        <v>58</v>
      </c>
      <c r="I334" s="1" t="s">
        <v>27</v>
      </c>
      <c r="J334">
        <v>7</v>
      </c>
      <c r="K334">
        <v>21.99</v>
      </c>
      <c r="L334" s="1" t="s">
        <v>28</v>
      </c>
      <c r="M334" s="1" t="s">
        <v>29</v>
      </c>
      <c r="N334" s="1" t="s">
        <v>30</v>
      </c>
      <c r="O334" s="1" t="s">
        <v>31</v>
      </c>
      <c r="P334" s="2">
        <v>45778</v>
      </c>
      <c r="Q334" s="1" t="s">
        <v>760</v>
      </c>
      <c r="R334" s="1" t="s">
        <v>761</v>
      </c>
      <c r="S334" s="1" t="s">
        <v>65</v>
      </c>
      <c r="T334" s="1" t="s">
        <v>35</v>
      </c>
      <c r="U334" s="1" t="s">
        <v>36</v>
      </c>
      <c r="V334" s="1" t="s">
        <v>37</v>
      </c>
      <c r="W334">
        <v>2</v>
      </c>
    </row>
    <row r="335" spans="1:23" x14ac:dyDescent="0.3">
      <c r="A335" s="1" t="s">
        <v>762</v>
      </c>
      <c r="B335">
        <v>2</v>
      </c>
      <c r="C335">
        <v>21.99</v>
      </c>
      <c r="D335">
        <v>37.68</v>
      </c>
      <c r="E335" s="1" t="s">
        <v>763</v>
      </c>
      <c r="F335" s="1" t="s">
        <v>40</v>
      </c>
      <c r="G335">
        <v>3</v>
      </c>
      <c r="H335" s="1" t="s">
        <v>96</v>
      </c>
      <c r="I335" s="1" t="s">
        <v>27</v>
      </c>
      <c r="J335">
        <v>7</v>
      </c>
      <c r="K335">
        <v>21.99</v>
      </c>
      <c r="L335" s="1" t="s">
        <v>28</v>
      </c>
      <c r="M335" s="1" t="s">
        <v>29</v>
      </c>
      <c r="N335" s="1" t="s">
        <v>30</v>
      </c>
      <c r="O335" s="1" t="s">
        <v>31</v>
      </c>
      <c r="P335" s="2">
        <v>45778</v>
      </c>
      <c r="Q335" s="1" t="s">
        <v>266</v>
      </c>
      <c r="R335" s="1" t="s">
        <v>764</v>
      </c>
      <c r="S335" s="1" t="s">
        <v>105</v>
      </c>
      <c r="T335" s="1" t="s">
        <v>35</v>
      </c>
      <c r="U335" s="1" t="s">
        <v>36</v>
      </c>
      <c r="V335" s="1" t="s">
        <v>37</v>
      </c>
      <c r="W335">
        <v>2</v>
      </c>
    </row>
    <row r="336" spans="1:23" x14ac:dyDescent="0.3">
      <c r="A336" s="1" t="s">
        <v>765</v>
      </c>
      <c r="B336">
        <v>1</v>
      </c>
      <c r="C336">
        <v>16.989999999999998</v>
      </c>
      <c r="D336">
        <v>16.989999999999998</v>
      </c>
      <c r="E336" s="1" t="s">
        <v>577</v>
      </c>
      <c r="F336" s="1" t="s">
        <v>188</v>
      </c>
      <c r="G336">
        <v>0</v>
      </c>
      <c r="H336" s="1" t="s">
        <v>58</v>
      </c>
      <c r="I336" s="1" t="s">
        <v>59</v>
      </c>
      <c r="J336">
        <v>5</v>
      </c>
      <c r="K336">
        <v>16.989999999999998</v>
      </c>
      <c r="L336" s="1" t="s">
        <v>60</v>
      </c>
      <c r="M336" s="1" t="s">
        <v>61</v>
      </c>
      <c r="N336" s="1" t="s">
        <v>62</v>
      </c>
      <c r="O336" s="1" t="s">
        <v>31</v>
      </c>
      <c r="P336" s="2">
        <v>45726</v>
      </c>
      <c r="Q336" s="1" t="s">
        <v>689</v>
      </c>
      <c r="R336" s="1" t="s">
        <v>766</v>
      </c>
      <c r="S336" s="1" t="s">
        <v>105</v>
      </c>
      <c r="T336" s="1" t="s">
        <v>35</v>
      </c>
      <c r="U336" s="1" t="s">
        <v>48</v>
      </c>
      <c r="V336" s="1" t="s">
        <v>67</v>
      </c>
      <c r="W336">
        <v>3</v>
      </c>
    </row>
    <row r="337" spans="1:23" x14ac:dyDescent="0.3">
      <c r="A337" s="1" t="s">
        <v>767</v>
      </c>
      <c r="B337">
        <v>1</v>
      </c>
      <c r="C337">
        <v>21.99</v>
      </c>
      <c r="D337">
        <v>21.99</v>
      </c>
      <c r="E337" s="1" t="s">
        <v>202</v>
      </c>
      <c r="F337" s="1" t="s">
        <v>51</v>
      </c>
      <c r="G337">
        <v>0</v>
      </c>
      <c r="H337" s="1" t="s">
        <v>96</v>
      </c>
      <c r="I337" s="1" t="s">
        <v>27</v>
      </c>
      <c r="J337">
        <v>7</v>
      </c>
      <c r="K337">
        <v>21.99</v>
      </c>
      <c r="L337" s="1" t="s">
        <v>28</v>
      </c>
      <c r="M337" s="1" t="s">
        <v>29</v>
      </c>
      <c r="N337" s="1" t="s">
        <v>30</v>
      </c>
      <c r="O337" s="1" t="s">
        <v>31</v>
      </c>
      <c r="P337" s="2">
        <v>45778</v>
      </c>
      <c r="Q337" s="1" t="s">
        <v>768</v>
      </c>
      <c r="R337" s="1" t="s">
        <v>769</v>
      </c>
      <c r="S337" s="1" t="s">
        <v>54</v>
      </c>
      <c r="T337" s="1" t="s">
        <v>35</v>
      </c>
      <c r="U337" s="1" t="s">
        <v>36</v>
      </c>
      <c r="V337" s="1" t="s">
        <v>37</v>
      </c>
      <c r="W337">
        <v>2</v>
      </c>
    </row>
    <row r="338" spans="1:23" x14ac:dyDescent="0.3">
      <c r="A338" s="1" t="s">
        <v>770</v>
      </c>
      <c r="B338">
        <v>2</v>
      </c>
      <c r="C338">
        <v>30.99</v>
      </c>
      <c r="D338">
        <v>53.13</v>
      </c>
      <c r="E338" s="1" t="s">
        <v>771</v>
      </c>
      <c r="F338" s="1" t="s">
        <v>51</v>
      </c>
      <c r="G338">
        <v>0</v>
      </c>
      <c r="H338" s="1" t="s">
        <v>58</v>
      </c>
      <c r="I338" s="1" t="s">
        <v>42</v>
      </c>
      <c r="J338">
        <v>10.5</v>
      </c>
      <c r="K338">
        <v>30.99</v>
      </c>
      <c r="L338" s="1" t="s">
        <v>28</v>
      </c>
      <c r="M338" s="1" t="s">
        <v>43</v>
      </c>
      <c r="N338" s="1" t="s">
        <v>44</v>
      </c>
      <c r="O338" s="1" t="s">
        <v>31</v>
      </c>
      <c r="P338" s="2">
        <v>45823</v>
      </c>
      <c r="Q338" s="1" t="s">
        <v>772</v>
      </c>
      <c r="R338" s="1" t="s">
        <v>773</v>
      </c>
      <c r="S338" s="1" t="s">
        <v>65</v>
      </c>
      <c r="T338" s="1" t="s">
        <v>35</v>
      </c>
      <c r="U338" s="1" t="s">
        <v>36</v>
      </c>
      <c r="V338" s="1" t="s">
        <v>37</v>
      </c>
      <c r="W338">
        <v>2</v>
      </c>
    </row>
    <row r="339" spans="1:23" x14ac:dyDescent="0.3">
      <c r="A339" s="1" t="s">
        <v>774</v>
      </c>
      <c r="B339">
        <v>1</v>
      </c>
      <c r="C339">
        <v>16.989999999999998</v>
      </c>
      <c r="D339">
        <v>16.989999999999998</v>
      </c>
      <c r="E339" s="1" t="s">
        <v>775</v>
      </c>
      <c r="F339" s="1" t="s">
        <v>51</v>
      </c>
      <c r="G339">
        <v>0</v>
      </c>
      <c r="H339" s="1" t="s">
        <v>41</v>
      </c>
      <c r="I339" s="1" t="s">
        <v>59</v>
      </c>
      <c r="J339">
        <v>5</v>
      </c>
      <c r="K339">
        <v>16.989999999999998</v>
      </c>
      <c r="L339" s="1" t="s">
        <v>60</v>
      </c>
      <c r="M339" s="1" t="s">
        <v>61</v>
      </c>
      <c r="N339" s="1" t="s">
        <v>62</v>
      </c>
      <c r="O339" s="1" t="s">
        <v>31</v>
      </c>
      <c r="P339" s="2">
        <v>45726</v>
      </c>
      <c r="Q339" s="1" t="s">
        <v>133</v>
      </c>
      <c r="R339" s="1" t="s">
        <v>776</v>
      </c>
      <c r="S339" s="1" t="s">
        <v>88</v>
      </c>
      <c r="T339" s="1" t="s">
        <v>35</v>
      </c>
      <c r="U339" s="1" t="s">
        <v>48</v>
      </c>
      <c r="V339" s="1" t="s">
        <v>67</v>
      </c>
      <c r="W339">
        <v>3</v>
      </c>
    </row>
    <row r="340" spans="1:23" x14ac:dyDescent="0.3">
      <c r="A340" s="1" t="s">
        <v>777</v>
      </c>
      <c r="B340">
        <v>1</v>
      </c>
      <c r="C340">
        <v>34.99</v>
      </c>
      <c r="D340">
        <v>34.99</v>
      </c>
      <c r="E340" s="1" t="s">
        <v>778</v>
      </c>
      <c r="F340" s="1" t="s">
        <v>40</v>
      </c>
      <c r="G340">
        <v>6</v>
      </c>
      <c r="H340" s="1" t="s">
        <v>58</v>
      </c>
      <c r="I340" s="1" t="s">
        <v>85</v>
      </c>
      <c r="J340">
        <v>12.5</v>
      </c>
      <c r="K340">
        <v>34.99</v>
      </c>
      <c r="L340" s="1" t="s">
        <v>60</v>
      </c>
      <c r="M340" s="1" t="s">
        <v>29</v>
      </c>
      <c r="N340" s="1" t="s">
        <v>30</v>
      </c>
      <c r="O340" s="1" t="s">
        <v>31</v>
      </c>
      <c r="P340" s="2">
        <v>45778</v>
      </c>
      <c r="Q340" s="1" t="s">
        <v>779</v>
      </c>
      <c r="R340" s="1" t="s">
        <v>780</v>
      </c>
      <c r="S340" s="1" t="s">
        <v>88</v>
      </c>
      <c r="T340" s="1" t="s">
        <v>35</v>
      </c>
      <c r="U340" s="1" t="s">
        <v>48</v>
      </c>
      <c r="V340" s="1" t="s">
        <v>89</v>
      </c>
      <c r="W340">
        <v>2.4</v>
      </c>
    </row>
    <row r="341" spans="1:23" x14ac:dyDescent="0.3">
      <c r="A341" s="1" t="s">
        <v>781</v>
      </c>
      <c r="B341">
        <v>3</v>
      </c>
      <c r="C341">
        <v>27.99</v>
      </c>
      <c r="D341">
        <v>67.510000000000005</v>
      </c>
      <c r="E341" s="1" t="s">
        <v>782</v>
      </c>
      <c r="F341" s="1" t="s">
        <v>25</v>
      </c>
      <c r="G341">
        <v>2</v>
      </c>
      <c r="H341" s="1" t="s">
        <v>26</v>
      </c>
      <c r="I341" s="1" t="s">
        <v>75</v>
      </c>
      <c r="J341">
        <v>9</v>
      </c>
      <c r="K341">
        <v>27.99</v>
      </c>
      <c r="L341" s="1" t="s">
        <v>28</v>
      </c>
      <c r="M341" s="1" t="s">
        <v>61</v>
      </c>
      <c r="N341" s="1" t="s">
        <v>62</v>
      </c>
      <c r="O341" s="1" t="s">
        <v>31</v>
      </c>
      <c r="P341" s="2">
        <v>45726</v>
      </c>
      <c r="Q341" s="1" t="s">
        <v>783</v>
      </c>
      <c r="R341" s="1" t="s">
        <v>784</v>
      </c>
      <c r="S341" s="1" t="s">
        <v>34</v>
      </c>
      <c r="T341" s="1" t="s">
        <v>35</v>
      </c>
      <c r="U341" s="1" t="s">
        <v>55</v>
      </c>
      <c r="V341" s="1" t="s">
        <v>37</v>
      </c>
      <c r="W341">
        <v>2</v>
      </c>
    </row>
    <row r="342" spans="1:23" x14ac:dyDescent="0.3">
      <c r="A342" s="1" t="s">
        <v>785</v>
      </c>
      <c r="B342">
        <v>1</v>
      </c>
      <c r="C342">
        <v>30.99</v>
      </c>
      <c r="D342">
        <v>30.99</v>
      </c>
      <c r="E342" s="1" t="s">
        <v>786</v>
      </c>
      <c r="F342" s="1" t="s">
        <v>25</v>
      </c>
      <c r="G342">
        <v>2</v>
      </c>
      <c r="H342" s="1" t="s">
        <v>26</v>
      </c>
      <c r="I342" s="1" t="s">
        <v>42</v>
      </c>
      <c r="J342">
        <v>10.5</v>
      </c>
      <c r="K342">
        <v>30.99</v>
      </c>
      <c r="L342" s="1" t="s">
        <v>28</v>
      </c>
      <c r="M342" s="1" t="s">
        <v>43</v>
      </c>
      <c r="N342" s="1" t="s">
        <v>44</v>
      </c>
      <c r="O342" s="1" t="s">
        <v>31</v>
      </c>
      <c r="P342" s="2">
        <v>45823</v>
      </c>
      <c r="Q342" s="1" t="s">
        <v>787</v>
      </c>
      <c r="R342" s="1" t="s">
        <v>788</v>
      </c>
      <c r="S342" s="1" t="s">
        <v>105</v>
      </c>
      <c r="T342" s="1" t="s">
        <v>35</v>
      </c>
      <c r="U342" s="1" t="s">
        <v>82</v>
      </c>
      <c r="V342" s="1" t="s">
        <v>37</v>
      </c>
      <c r="W342">
        <v>2</v>
      </c>
    </row>
    <row r="343" spans="1:23" x14ac:dyDescent="0.3">
      <c r="A343" s="1" t="s">
        <v>789</v>
      </c>
      <c r="B343">
        <v>1</v>
      </c>
      <c r="C343">
        <v>34.99</v>
      </c>
      <c r="D343">
        <v>34.99</v>
      </c>
      <c r="E343" s="1" t="s">
        <v>577</v>
      </c>
      <c r="F343" s="1" t="s">
        <v>40</v>
      </c>
      <c r="G343">
        <v>7</v>
      </c>
      <c r="H343" s="1" t="s">
        <v>26</v>
      </c>
      <c r="I343" s="1" t="s">
        <v>85</v>
      </c>
      <c r="J343">
        <v>12.5</v>
      </c>
      <c r="K343">
        <v>34.99</v>
      </c>
      <c r="L343" s="1" t="s">
        <v>60</v>
      </c>
      <c r="M343" s="1" t="s">
        <v>29</v>
      </c>
      <c r="N343" s="1" t="s">
        <v>30</v>
      </c>
      <c r="O343" s="1" t="s">
        <v>31</v>
      </c>
      <c r="P343" s="2">
        <v>45778</v>
      </c>
      <c r="Q343" s="1" t="s">
        <v>790</v>
      </c>
      <c r="R343" s="1" t="s">
        <v>791</v>
      </c>
      <c r="S343" s="1" t="s">
        <v>47</v>
      </c>
      <c r="T343" s="1" t="s">
        <v>35</v>
      </c>
      <c r="U343" s="1" t="s">
        <v>55</v>
      </c>
      <c r="V343" s="1" t="s">
        <v>89</v>
      </c>
      <c r="W343">
        <v>2.4</v>
      </c>
    </row>
    <row r="344" spans="1:23" x14ac:dyDescent="0.3">
      <c r="A344" s="1" t="s">
        <v>792</v>
      </c>
      <c r="B344">
        <v>1</v>
      </c>
      <c r="C344">
        <v>21.99</v>
      </c>
      <c r="D344">
        <v>21.99</v>
      </c>
      <c r="E344" s="1" t="s">
        <v>202</v>
      </c>
      <c r="F344" s="1" t="s">
        <v>40</v>
      </c>
      <c r="G344">
        <v>2</v>
      </c>
      <c r="H344" s="1" t="s">
        <v>58</v>
      </c>
      <c r="I344" s="1" t="s">
        <v>27</v>
      </c>
      <c r="J344">
        <v>7</v>
      </c>
      <c r="K344">
        <v>21.99</v>
      </c>
      <c r="L344" s="1" t="s">
        <v>28</v>
      </c>
      <c r="M344" s="1" t="s">
        <v>29</v>
      </c>
      <c r="N344" s="1" t="s">
        <v>30</v>
      </c>
      <c r="O344" s="1" t="s">
        <v>31</v>
      </c>
      <c r="P344" s="2">
        <v>45778</v>
      </c>
      <c r="Q344" s="1" t="s">
        <v>793</v>
      </c>
      <c r="R344" s="1" t="s">
        <v>794</v>
      </c>
      <c r="S344" s="1" t="s">
        <v>34</v>
      </c>
      <c r="T344" s="1" t="s">
        <v>35</v>
      </c>
      <c r="U344" s="1" t="s">
        <v>82</v>
      </c>
      <c r="V344" s="1" t="s">
        <v>37</v>
      </c>
      <c r="W344">
        <v>2</v>
      </c>
    </row>
    <row r="345" spans="1:23" x14ac:dyDescent="0.3">
      <c r="A345" s="1" t="s">
        <v>795</v>
      </c>
      <c r="B345">
        <v>2</v>
      </c>
      <c r="C345">
        <v>34.99</v>
      </c>
      <c r="D345">
        <v>60.26</v>
      </c>
      <c r="E345" s="1" t="s">
        <v>796</v>
      </c>
      <c r="F345" s="1" t="s">
        <v>25</v>
      </c>
      <c r="G345">
        <v>6</v>
      </c>
      <c r="H345" s="1" t="s">
        <v>58</v>
      </c>
      <c r="I345" s="1" t="s">
        <v>85</v>
      </c>
      <c r="J345">
        <v>12.5</v>
      </c>
      <c r="K345">
        <v>34.99</v>
      </c>
      <c r="L345" s="1" t="s">
        <v>60</v>
      </c>
      <c r="M345" s="1" t="s">
        <v>29</v>
      </c>
      <c r="N345" s="1" t="s">
        <v>30</v>
      </c>
      <c r="O345" s="1" t="s">
        <v>31</v>
      </c>
      <c r="P345" s="2">
        <v>45778</v>
      </c>
      <c r="Q345" s="1" t="s">
        <v>797</v>
      </c>
      <c r="R345" s="1" t="s">
        <v>798</v>
      </c>
      <c r="S345" s="1" t="s">
        <v>65</v>
      </c>
      <c r="T345" s="1" t="s">
        <v>35</v>
      </c>
      <c r="U345" s="1" t="s">
        <v>66</v>
      </c>
      <c r="V345" s="1" t="s">
        <v>89</v>
      </c>
      <c r="W345">
        <v>2.4</v>
      </c>
    </row>
    <row r="346" spans="1:23" x14ac:dyDescent="0.3">
      <c r="A346" s="1" t="s">
        <v>799</v>
      </c>
      <c r="B346">
        <v>3</v>
      </c>
      <c r="C346">
        <v>30.99</v>
      </c>
      <c r="D346">
        <v>73.73</v>
      </c>
      <c r="E346" s="1" t="s">
        <v>800</v>
      </c>
      <c r="F346" s="1" t="s">
        <v>40</v>
      </c>
      <c r="G346">
        <v>3</v>
      </c>
      <c r="H346" s="1" t="s">
        <v>41</v>
      </c>
      <c r="I346" s="1" t="s">
        <v>42</v>
      </c>
      <c r="J346">
        <v>10.5</v>
      </c>
      <c r="K346">
        <v>30.99</v>
      </c>
      <c r="L346" s="1" t="s">
        <v>28</v>
      </c>
      <c r="M346" s="1" t="s">
        <v>43</v>
      </c>
      <c r="N346" s="1" t="s">
        <v>44</v>
      </c>
      <c r="O346" s="1" t="s">
        <v>31</v>
      </c>
      <c r="P346" s="2">
        <v>45823</v>
      </c>
      <c r="Q346" s="1" t="s">
        <v>801</v>
      </c>
      <c r="R346" s="1" t="s">
        <v>802</v>
      </c>
      <c r="S346" s="1" t="s">
        <v>88</v>
      </c>
      <c r="T346" s="1" t="s">
        <v>35</v>
      </c>
      <c r="U346" s="1" t="s">
        <v>82</v>
      </c>
      <c r="V346" s="1" t="s">
        <v>37</v>
      </c>
      <c r="W346">
        <v>2</v>
      </c>
    </row>
    <row r="347" spans="1:23" x14ac:dyDescent="0.3">
      <c r="A347" s="1" t="s">
        <v>803</v>
      </c>
      <c r="B347">
        <v>2</v>
      </c>
      <c r="C347">
        <v>30.99</v>
      </c>
      <c r="D347">
        <v>53.11</v>
      </c>
      <c r="E347" s="1" t="s">
        <v>731</v>
      </c>
      <c r="F347" s="1" t="s">
        <v>51</v>
      </c>
      <c r="G347">
        <v>0</v>
      </c>
      <c r="H347" s="1" t="s">
        <v>58</v>
      </c>
      <c r="I347" s="1" t="s">
        <v>42</v>
      </c>
      <c r="J347">
        <v>10.5</v>
      </c>
      <c r="K347">
        <v>30.99</v>
      </c>
      <c r="L347" s="1" t="s">
        <v>28</v>
      </c>
      <c r="M347" s="1" t="s">
        <v>43</v>
      </c>
      <c r="N347" s="1" t="s">
        <v>44</v>
      </c>
      <c r="O347" s="1" t="s">
        <v>31</v>
      </c>
      <c r="P347" s="2">
        <v>45823</v>
      </c>
      <c r="Q347" s="1" t="s">
        <v>804</v>
      </c>
      <c r="R347" s="1" t="s">
        <v>805</v>
      </c>
      <c r="S347" s="1" t="s">
        <v>88</v>
      </c>
      <c r="T347" s="1" t="s">
        <v>35</v>
      </c>
      <c r="U347" s="1" t="s">
        <v>82</v>
      </c>
      <c r="V347" s="1" t="s">
        <v>37</v>
      </c>
      <c r="W347">
        <v>2</v>
      </c>
    </row>
    <row r="348" spans="1:23" x14ac:dyDescent="0.3">
      <c r="A348" s="1" t="s">
        <v>806</v>
      </c>
      <c r="B348">
        <v>3</v>
      </c>
      <c r="C348">
        <v>34.99</v>
      </c>
      <c r="D348">
        <v>84</v>
      </c>
      <c r="E348" s="1" t="s">
        <v>807</v>
      </c>
      <c r="F348" s="1" t="s">
        <v>40</v>
      </c>
      <c r="G348">
        <v>6</v>
      </c>
      <c r="H348" s="1" t="s">
        <v>26</v>
      </c>
      <c r="I348" s="1" t="s">
        <v>85</v>
      </c>
      <c r="J348">
        <v>12.5</v>
      </c>
      <c r="K348">
        <v>34.99</v>
      </c>
      <c r="L348" s="1" t="s">
        <v>60</v>
      </c>
      <c r="M348" s="1" t="s">
        <v>29</v>
      </c>
      <c r="N348" s="1" t="s">
        <v>30</v>
      </c>
      <c r="O348" s="1" t="s">
        <v>31</v>
      </c>
      <c r="P348" s="2">
        <v>45778</v>
      </c>
      <c r="Q348" s="1" t="s">
        <v>376</v>
      </c>
      <c r="R348" s="1" t="s">
        <v>808</v>
      </c>
      <c r="S348" s="1" t="s">
        <v>34</v>
      </c>
      <c r="T348" s="1" t="s">
        <v>35</v>
      </c>
      <c r="U348" s="1" t="s">
        <v>48</v>
      </c>
      <c r="V348" s="1" t="s">
        <v>89</v>
      </c>
      <c r="W348">
        <v>2.4</v>
      </c>
    </row>
    <row r="349" spans="1:23" x14ac:dyDescent="0.3">
      <c r="A349" s="1" t="s">
        <v>809</v>
      </c>
      <c r="B349">
        <v>1</v>
      </c>
      <c r="C349">
        <v>27.99</v>
      </c>
      <c r="D349">
        <v>27.99</v>
      </c>
      <c r="E349" s="1" t="s">
        <v>810</v>
      </c>
      <c r="F349" s="1" t="s">
        <v>40</v>
      </c>
      <c r="G349">
        <v>3</v>
      </c>
      <c r="H349" s="1" t="s">
        <v>26</v>
      </c>
      <c r="I349" s="1" t="s">
        <v>75</v>
      </c>
      <c r="J349">
        <v>9</v>
      </c>
      <c r="K349">
        <v>27.99</v>
      </c>
      <c r="L349" s="1" t="s">
        <v>28</v>
      </c>
      <c r="M349" s="1" t="s">
        <v>61</v>
      </c>
      <c r="N349" s="1" t="s">
        <v>62</v>
      </c>
      <c r="O349" s="1" t="s">
        <v>31</v>
      </c>
      <c r="P349" s="2">
        <v>45726</v>
      </c>
      <c r="Q349" s="1" t="s">
        <v>278</v>
      </c>
      <c r="R349" s="1" t="s">
        <v>811</v>
      </c>
      <c r="S349" s="1" t="s">
        <v>65</v>
      </c>
      <c r="T349" s="1" t="s">
        <v>35</v>
      </c>
      <c r="U349" s="1" t="s">
        <v>66</v>
      </c>
      <c r="V349" s="1" t="s">
        <v>37</v>
      </c>
      <c r="W349">
        <v>2</v>
      </c>
    </row>
    <row r="350" spans="1:23" x14ac:dyDescent="0.3">
      <c r="A350" s="1" t="s">
        <v>812</v>
      </c>
      <c r="B350">
        <v>1</v>
      </c>
      <c r="C350">
        <v>18.989999999999998</v>
      </c>
      <c r="D350">
        <v>18.989999999999998</v>
      </c>
      <c r="E350" s="1" t="s">
        <v>813</v>
      </c>
      <c r="F350" s="1" t="s">
        <v>40</v>
      </c>
      <c r="G350">
        <v>11</v>
      </c>
      <c r="H350" s="1" t="s">
        <v>58</v>
      </c>
      <c r="I350" s="1" t="s">
        <v>97</v>
      </c>
      <c r="J350">
        <v>6</v>
      </c>
      <c r="K350">
        <v>18.989999999999998</v>
      </c>
      <c r="L350" s="1" t="s">
        <v>60</v>
      </c>
      <c r="M350" s="1" t="s">
        <v>43</v>
      </c>
      <c r="N350" s="1" t="s">
        <v>44</v>
      </c>
      <c r="O350" s="1" t="s">
        <v>31</v>
      </c>
      <c r="P350" s="2">
        <v>45823</v>
      </c>
      <c r="Q350" s="1" t="s">
        <v>814</v>
      </c>
      <c r="R350" s="1" t="s">
        <v>815</v>
      </c>
      <c r="S350" s="1" t="s">
        <v>65</v>
      </c>
      <c r="T350" s="1" t="s">
        <v>35</v>
      </c>
      <c r="U350" s="1" t="s">
        <v>82</v>
      </c>
      <c r="V350" s="1" t="s">
        <v>100</v>
      </c>
      <c r="W350">
        <v>3.2</v>
      </c>
    </row>
    <row r="351" spans="1:23" x14ac:dyDescent="0.3">
      <c r="A351" s="1" t="s">
        <v>816</v>
      </c>
      <c r="B351">
        <v>1</v>
      </c>
      <c r="C351">
        <v>18.989999999999998</v>
      </c>
      <c r="D351">
        <v>18.989999999999998</v>
      </c>
      <c r="E351" s="1" t="s">
        <v>57</v>
      </c>
      <c r="F351" s="1" t="s">
        <v>40</v>
      </c>
      <c r="G351">
        <v>12</v>
      </c>
      <c r="H351" s="1" t="s">
        <v>26</v>
      </c>
      <c r="I351" s="1" t="s">
        <v>97</v>
      </c>
      <c r="J351">
        <v>6</v>
      </c>
      <c r="K351">
        <v>18.989999999999998</v>
      </c>
      <c r="L351" s="1" t="s">
        <v>60</v>
      </c>
      <c r="M351" s="1" t="s">
        <v>43</v>
      </c>
      <c r="N351" s="1" t="s">
        <v>44</v>
      </c>
      <c r="O351" s="1" t="s">
        <v>31</v>
      </c>
      <c r="P351" s="2">
        <v>45823</v>
      </c>
      <c r="Q351" s="1" t="s">
        <v>817</v>
      </c>
      <c r="R351" s="1" t="s">
        <v>818</v>
      </c>
      <c r="S351" s="1" t="s">
        <v>105</v>
      </c>
      <c r="T351" s="1" t="s">
        <v>35</v>
      </c>
      <c r="U351" s="1" t="s">
        <v>66</v>
      </c>
      <c r="V351" s="1" t="s">
        <v>100</v>
      </c>
      <c r="W351">
        <v>3.2</v>
      </c>
    </row>
    <row r="352" spans="1:23" x14ac:dyDescent="0.3">
      <c r="A352" s="1" t="s">
        <v>819</v>
      </c>
      <c r="B352">
        <v>1</v>
      </c>
      <c r="C352">
        <v>16.989999999999998</v>
      </c>
      <c r="D352">
        <v>16.989999999999998</v>
      </c>
      <c r="E352" s="1" t="s">
        <v>820</v>
      </c>
      <c r="F352" s="1" t="s">
        <v>188</v>
      </c>
      <c r="G352">
        <v>0</v>
      </c>
      <c r="H352" s="1" t="s">
        <v>58</v>
      </c>
      <c r="I352" s="1" t="s">
        <v>59</v>
      </c>
      <c r="J352">
        <v>5</v>
      </c>
      <c r="K352">
        <v>16.989999999999998</v>
      </c>
      <c r="L352" s="1" t="s">
        <v>60</v>
      </c>
      <c r="M352" s="1" t="s">
        <v>61</v>
      </c>
      <c r="N352" s="1" t="s">
        <v>62</v>
      </c>
      <c r="O352" s="1" t="s">
        <v>31</v>
      </c>
      <c r="P352" s="2">
        <v>45726</v>
      </c>
      <c r="Q352" s="1" t="s">
        <v>745</v>
      </c>
      <c r="R352" s="1" t="s">
        <v>746</v>
      </c>
      <c r="S352" s="1" t="s">
        <v>105</v>
      </c>
      <c r="T352" s="1" t="s">
        <v>35</v>
      </c>
      <c r="U352" s="1" t="s">
        <v>48</v>
      </c>
      <c r="V352" s="1" t="s">
        <v>67</v>
      </c>
      <c r="W352">
        <v>3</v>
      </c>
    </row>
    <row r="353" spans="1:23" x14ac:dyDescent="0.3">
      <c r="A353" s="1" t="s">
        <v>821</v>
      </c>
      <c r="B353">
        <v>1</v>
      </c>
      <c r="C353">
        <v>34.99</v>
      </c>
      <c r="D353">
        <v>34.99</v>
      </c>
      <c r="E353" s="1" t="s">
        <v>822</v>
      </c>
      <c r="F353" s="1" t="s">
        <v>188</v>
      </c>
      <c r="G353">
        <v>0</v>
      </c>
      <c r="H353" s="1" t="s">
        <v>96</v>
      </c>
      <c r="I353" s="1" t="s">
        <v>85</v>
      </c>
      <c r="J353">
        <v>12.5</v>
      </c>
      <c r="K353">
        <v>34.99</v>
      </c>
      <c r="L353" s="1" t="s">
        <v>60</v>
      </c>
      <c r="M353" s="1" t="s">
        <v>29</v>
      </c>
      <c r="N353" s="1" t="s">
        <v>30</v>
      </c>
      <c r="O353" s="1" t="s">
        <v>31</v>
      </c>
      <c r="P353" s="2">
        <v>45778</v>
      </c>
      <c r="Q353" s="1" t="s">
        <v>779</v>
      </c>
      <c r="R353" s="1" t="s">
        <v>780</v>
      </c>
      <c r="S353" s="1" t="s">
        <v>88</v>
      </c>
      <c r="T353" s="1" t="s">
        <v>35</v>
      </c>
      <c r="U353" s="1" t="s">
        <v>48</v>
      </c>
      <c r="V353" s="1" t="s">
        <v>89</v>
      </c>
      <c r="W353">
        <v>2.4</v>
      </c>
    </row>
    <row r="354" spans="1:23" x14ac:dyDescent="0.3">
      <c r="A354" s="1" t="s">
        <v>823</v>
      </c>
      <c r="B354">
        <v>1</v>
      </c>
      <c r="C354">
        <v>21.99</v>
      </c>
      <c r="D354">
        <v>21.99</v>
      </c>
      <c r="E354" s="1" t="s">
        <v>824</v>
      </c>
      <c r="F354" s="1" t="s">
        <v>51</v>
      </c>
      <c r="G354">
        <v>0</v>
      </c>
      <c r="H354" s="1" t="s">
        <v>58</v>
      </c>
      <c r="I354" s="1" t="s">
        <v>27</v>
      </c>
      <c r="J354">
        <v>7</v>
      </c>
      <c r="K354">
        <v>21.99</v>
      </c>
      <c r="L354" s="1" t="s">
        <v>28</v>
      </c>
      <c r="M354" s="1" t="s">
        <v>29</v>
      </c>
      <c r="N354" s="1" t="s">
        <v>30</v>
      </c>
      <c r="O354" s="1" t="s">
        <v>31</v>
      </c>
      <c r="P354" s="2">
        <v>45778</v>
      </c>
      <c r="Q354" s="1" t="s">
        <v>732</v>
      </c>
      <c r="R354" s="1" t="s">
        <v>825</v>
      </c>
      <c r="S354" s="1" t="s">
        <v>47</v>
      </c>
      <c r="T354" s="1" t="s">
        <v>35</v>
      </c>
      <c r="U354" s="1" t="s">
        <v>66</v>
      </c>
      <c r="V354" s="1" t="s">
        <v>37</v>
      </c>
      <c r="W354">
        <v>2</v>
      </c>
    </row>
    <row r="355" spans="1:23" x14ac:dyDescent="0.3">
      <c r="A355" s="1" t="s">
        <v>826</v>
      </c>
      <c r="B355">
        <v>1</v>
      </c>
      <c r="C355">
        <v>18.989999999999998</v>
      </c>
      <c r="D355">
        <v>18.989999999999998</v>
      </c>
      <c r="E355" s="1" t="s">
        <v>827</v>
      </c>
      <c r="F355" s="1" t="s">
        <v>40</v>
      </c>
      <c r="G355">
        <v>14</v>
      </c>
      <c r="H355" s="1" t="s">
        <v>26</v>
      </c>
      <c r="I355" s="1" t="s">
        <v>97</v>
      </c>
      <c r="J355">
        <v>6</v>
      </c>
      <c r="K355">
        <v>18.989999999999998</v>
      </c>
      <c r="L355" s="1" t="s">
        <v>60</v>
      </c>
      <c r="M355" s="1" t="s">
        <v>43</v>
      </c>
      <c r="N355" s="1" t="s">
        <v>44</v>
      </c>
      <c r="O355" s="1" t="s">
        <v>31</v>
      </c>
      <c r="P355" s="2">
        <v>45823</v>
      </c>
      <c r="Q355" s="1" t="s">
        <v>828</v>
      </c>
      <c r="R355" s="1" t="s">
        <v>829</v>
      </c>
      <c r="S355" s="1" t="s">
        <v>65</v>
      </c>
      <c r="T355" s="1" t="s">
        <v>35</v>
      </c>
      <c r="U355" s="1" t="s">
        <v>48</v>
      </c>
      <c r="V355" s="1" t="s">
        <v>100</v>
      </c>
      <c r="W355">
        <v>3.2</v>
      </c>
    </row>
    <row r="356" spans="1:23" x14ac:dyDescent="0.3">
      <c r="A356" s="1" t="s">
        <v>830</v>
      </c>
      <c r="B356">
        <v>1</v>
      </c>
      <c r="C356">
        <v>34.99</v>
      </c>
      <c r="D356">
        <v>34.99</v>
      </c>
      <c r="E356" s="1" t="s">
        <v>831</v>
      </c>
      <c r="F356" s="1" t="s">
        <v>40</v>
      </c>
      <c r="G356">
        <v>7</v>
      </c>
      <c r="H356" s="1" t="s">
        <v>26</v>
      </c>
      <c r="I356" s="1" t="s">
        <v>85</v>
      </c>
      <c r="J356">
        <v>12.5</v>
      </c>
      <c r="K356">
        <v>34.99</v>
      </c>
      <c r="L356" s="1" t="s">
        <v>60</v>
      </c>
      <c r="M356" s="1" t="s">
        <v>29</v>
      </c>
      <c r="N356" s="1" t="s">
        <v>30</v>
      </c>
      <c r="O356" s="1" t="s">
        <v>31</v>
      </c>
      <c r="P356" s="2">
        <v>45778</v>
      </c>
      <c r="Q356" s="1" t="s">
        <v>832</v>
      </c>
      <c r="R356" s="1" t="s">
        <v>833</v>
      </c>
      <c r="S356" s="1" t="s">
        <v>34</v>
      </c>
      <c r="T356" s="1" t="s">
        <v>35</v>
      </c>
      <c r="U356" s="1" t="s">
        <v>36</v>
      </c>
      <c r="V356" s="1" t="s">
        <v>89</v>
      </c>
      <c r="W356">
        <v>2.4</v>
      </c>
    </row>
    <row r="357" spans="1:23" x14ac:dyDescent="0.3">
      <c r="A357" s="1" t="s">
        <v>834</v>
      </c>
      <c r="B357">
        <v>1</v>
      </c>
      <c r="C357">
        <v>18.989999999999998</v>
      </c>
      <c r="D357">
        <v>18.989999999999998</v>
      </c>
      <c r="E357" s="1" t="s">
        <v>835</v>
      </c>
      <c r="F357" s="1" t="s">
        <v>188</v>
      </c>
      <c r="G357">
        <v>0</v>
      </c>
      <c r="H357" s="1" t="s">
        <v>26</v>
      </c>
      <c r="I357" s="1" t="s">
        <v>97</v>
      </c>
      <c r="J357">
        <v>6</v>
      </c>
      <c r="K357">
        <v>18.989999999999998</v>
      </c>
      <c r="L357" s="1" t="s">
        <v>60</v>
      </c>
      <c r="M357" s="1" t="s">
        <v>43</v>
      </c>
      <c r="N357" s="1" t="s">
        <v>44</v>
      </c>
      <c r="O357" s="1" t="s">
        <v>31</v>
      </c>
      <c r="P357" s="2">
        <v>45823</v>
      </c>
      <c r="Q357" s="1" t="s">
        <v>836</v>
      </c>
      <c r="R357" s="1" t="s">
        <v>837</v>
      </c>
      <c r="S357" s="1" t="s">
        <v>105</v>
      </c>
      <c r="T357" s="1" t="s">
        <v>35</v>
      </c>
      <c r="U357" s="1" t="s">
        <v>55</v>
      </c>
      <c r="V357" s="1" t="s">
        <v>100</v>
      </c>
      <c r="W357">
        <v>3.2</v>
      </c>
    </row>
    <row r="358" spans="1:23" x14ac:dyDescent="0.3">
      <c r="A358" s="1" t="s">
        <v>838</v>
      </c>
      <c r="B358">
        <v>3</v>
      </c>
      <c r="C358">
        <v>30.99</v>
      </c>
      <c r="D358">
        <v>73.64</v>
      </c>
      <c r="E358" s="1" t="s">
        <v>246</v>
      </c>
      <c r="F358" s="1" t="s">
        <v>40</v>
      </c>
      <c r="G358">
        <v>8</v>
      </c>
      <c r="H358" s="1" t="s">
        <v>58</v>
      </c>
      <c r="I358" s="1" t="s">
        <v>42</v>
      </c>
      <c r="J358">
        <v>10.5</v>
      </c>
      <c r="K358">
        <v>30.99</v>
      </c>
      <c r="L358" s="1" t="s">
        <v>28</v>
      </c>
      <c r="M358" s="1" t="s">
        <v>43</v>
      </c>
      <c r="N358" s="1" t="s">
        <v>44</v>
      </c>
      <c r="O358" s="1" t="s">
        <v>31</v>
      </c>
      <c r="P358" s="2">
        <v>45823</v>
      </c>
      <c r="Q358" s="1" t="s">
        <v>839</v>
      </c>
      <c r="R358" s="1" t="s">
        <v>840</v>
      </c>
      <c r="S358" s="1" t="s">
        <v>65</v>
      </c>
      <c r="T358" s="1" t="s">
        <v>35</v>
      </c>
      <c r="U358" s="1" t="s">
        <v>55</v>
      </c>
      <c r="V358" s="1" t="s">
        <v>37</v>
      </c>
      <c r="W358">
        <v>2</v>
      </c>
    </row>
    <row r="359" spans="1:23" x14ac:dyDescent="0.3">
      <c r="A359" s="1" t="s">
        <v>841</v>
      </c>
      <c r="B359">
        <v>1</v>
      </c>
      <c r="C359">
        <v>27.99</v>
      </c>
      <c r="D359">
        <v>27.99</v>
      </c>
      <c r="E359" s="1" t="s">
        <v>678</v>
      </c>
      <c r="F359" s="1" t="s">
        <v>40</v>
      </c>
      <c r="G359">
        <v>3</v>
      </c>
      <c r="H359" s="1" t="s">
        <v>58</v>
      </c>
      <c r="I359" s="1" t="s">
        <v>75</v>
      </c>
      <c r="J359">
        <v>9</v>
      </c>
      <c r="K359">
        <v>27.99</v>
      </c>
      <c r="L359" s="1" t="s">
        <v>28</v>
      </c>
      <c r="M359" s="1" t="s">
        <v>61</v>
      </c>
      <c r="N359" s="1" t="s">
        <v>62</v>
      </c>
      <c r="O359" s="1" t="s">
        <v>31</v>
      </c>
      <c r="P359" s="2">
        <v>45726</v>
      </c>
      <c r="Q359" s="1" t="s">
        <v>842</v>
      </c>
      <c r="R359" s="1" t="s">
        <v>843</v>
      </c>
      <c r="S359" s="1" t="s">
        <v>54</v>
      </c>
      <c r="T359" s="1" t="s">
        <v>35</v>
      </c>
      <c r="U359" s="1" t="s">
        <v>36</v>
      </c>
      <c r="V359" s="1" t="s">
        <v>37</v>
      </c>
      <c r="W359">
        <v>2</v>
      </c>
    </row>
    <row r="360" spans="1:23" x14ac:dyDescent="0.3">
      <c r="A360" s="1" t="s">
        <v>844</v>
      </c>
      <c r="B360">
        <v>2</v>
      </c>
      <c r="C360">
        <v>27.99</v>
      </c>
      <c r="D360">
        <v>48.54</v>
      </c>
      <c r="E360" s="1" t="s">
        <v>845</v>
      </c>
      <c r="F360" s="1" t="s">
        <v>40</v>
      </c>
      <c r="G360">
        <v>2</v>
      </c>
      <c r="H360" s="1" t="s">
        <v>96</v>
      </c>
      <c r="I360" s="1" t="s">
        <v>75</v>
      </c>
      <c r="J360">
        <v>9</v>
      </c>
      <c r="K360">
        <v>27.99</v>
      </c>
      <c r="L360" s="1" t="s">
        <v>28</v>
      </c>
      <c r="M360" s="1" t="s">
        <v>61</v>
      </c>
      <c r="N360" s="1" t="s">
        <v>62</v>
      </c>
      <c r="O360" s="1" t="s">
        <v>31</v>
      </c>
      <c r="P360" s="2">
        <v>45726</v>
      </c>
      <c r="Q360" s="1" t="s">
        <v>526</v>
      </c>
      <c r="R360" s="1" t="s">
        <v>846</v>
      </c>
      <c r="S360" s="1" t="s">
        <v>47</v>
      </c>
      <c r="T360" s="1" t="s">
        <v>35</v>
      </c>
      <c r="U360" s="1" t="s">
        <v>55</v>
      </c>
      <c r="V360" s="1" t="s">
        <v>37</v>
      </c>
      <c r="W360">
        <v>2</v>
      </c>
    </row>
    <row r="361" spans="1:23" x14ac:dyDescent="0.3">
      <c r="A361" s="1" t="s">
        <v>847</v>
      </c>
      <c r="B361">
        <v>3</v>
      </c>
      <c r="C361">
        <v>27.99</v>
      </c>
      <c r="D361">
        <v>67.92</v>
      </c>
      <c r="E361" s="1" t="s">
        <v>704</v>
      </c>
      <c r="F361" s="1" t="s">
        <v>40</v>
      </c>
      <c r="G361">
        <v>3</v>
      </c>
      <c r="H361" s="1" t="s">
        <v>41</v>
      </c>
      <c r="I361" s="1" t="s">
        <v>75</v>
      </c>
      <c r="J361">
        <v>9</v>
      </c>
      <c r="K361">
        <v>27.99</v>
      </c>
      <c r="L361" s="1" t="s">
        <v>28</v>
      </c>
      <c r="M361" s="1" t="s">
        <v>61</v>
      </c>
      <c r="N361" s="1" t="s">
        <v>62</v>
      </c>
      <c r="O361" s="1" t="s">
        <v>31</v>
      </c>
      <c r="P361" s="2">
        <v>45726</v>
      </c>
      <c r="Q361" s="1" t="s">
        <v>768</v>
      </c>
      <c r="R361" s="1" t="s">
        <v>769</v>
      </c>
      <c r="S361" s="1" t="s">
        <v>54</v>
      </c>
      <c r="T361" s="1" t="s">
        <v>35</v>
      </c>
      <c r="U361" s="1" t="s">
        <v>36</v>
      </c>
      <c r="V361" s="1" t="s">
        <v>37</v>
      </c>
      <c r="W361">
        <v>2</v>
      </c>
    </row>
    <row r="362" spans="1:23" x14ac:dyDescent="0.3">
      <c r="A362" s="1" t="s">
        <v>848</v>
      </c>
      <c r="B362">
        <v>2</v>
      </c>
      <c r="C362">
        <v>34.99</v>
      </c>
      <c r="D362">
        <v>60.06</v>
      </c>
      <c r="E362" s="1" t="s">
        <v>849</v>
      </c>
      <c r="F362" s="1" t="s">
        <v>25</v>
      </c>
      <c r="G362">
        <v>8</v>
      </c>
      <c r="H362" s="1" t="s">
        <v>96</v>
      </c>
      <c r="I362" s="1" t="s">
        <v>85</v>
      </c>
      <c r="J362">
        <v>12.5</v>
      </c>
      <c r="K362">
        <v>34.99</v>
      </c>
      <c r="L362" s="1" t="s">
        <v>60</v>
      </c>
      <c r="M362" s="1" t="s">
        <v>29</v>
      </c>
      <c r="N362" s="1" t="s">
        <v>30</v>
      </c>
      <c r="O362" s="1" t="s">
        <v>31</v>
      </c>
      <c r="P362" s="2">
        <v>45778</v>
      </c>
      <c r="Q362" s="1" t="s">
        <v>850</v>
      </c>
      <c r="R362" s="1" t="s">
        <v>851</v>
      </c>
      <c r="S362" s="1" t="s">
        <v>65</v>
      </c>
      <c r="T362" s="1" t="s">
        <v>35</v>
      </c>
      <c r="U362" s="1" t="s">
        <v>36</v>
      </c>
      <c r="V362" s="1" t="s">
        <v>89</v>
      </c>
      <c r="W362">
        <v>2.4</v>
      </c>
    </row>
    <row r="363" spans="1:23" x14ac:dyDescent="0.3">
      <c r="A363" s="1" t="s">
        <v>852</v>
      </c>
      <c r="B363">
        <v>1</v>
      </c>
      <c r="C363">
        <v>27.99</v>
      </c>
      <c r="D363">
        <v>27.99</v>
      </c>
      <c r="E363" s="1" t="s">
        <v>121</v>
      </c>
      <c r="F363" s="1" t="s">
        <v>40</v>
      </c>
      <c r="G363">
        <v>2</v>
      </c>
      <c r="H363" s="1" t="s">
        <v>96</v>
      </c>
      <c r="I363" s="1" t="s">
        <v>75</v>
      </c>
      <c r="J363">
        <v>9</v>
      </c>
      <c r="K363">
        <v>27.99</v>
      </c>
      <c r="L363" s="1" t="s">
        <v>28</v>
      </c>
      <c r="M363" s="1" t="s">
        <v>61</v>
      </c>
      <c r="N363" s="1" t="s">
        <v>62</v>
      </c>
      <c r="O363" s="1" t="s">
        <v>31</v>
      </c>
      <c r="P363" s="2">
        <v>45726</v>
      </c>
      <c r="Q363" s="1" t="s">
        <v>853</v>
      </c>
      <c r="R363" s="1" t="s">
        <v>854</v>
      </c>
      <c r="S363" s="1" t="s">
        <v>34</v>
      </c>
      <c r="T363" s="1" t="s">
        <v>35</v>
      </c>
      <c r="U363" s="1" t="s">
        <v>36</v>
      </c>
      <c r="V363" s="1" t="s">
        <v>37</v>
      </c>
      <c r="W363">
        <v>2</v>
      </c>
    </row>
    <row r="364" spans="1:23" x14ac:dyDescent="0.3">
      <c r="A364" s="1" t="s">
        <v>855</v>
      </c>
      <c r="B364">
        <v>1</v>
      </c>
      <c r="C364">
        <v>30.99</v>
      </c>
      <c r="D364">
        <v>30.99</v>
      </c>
      <c r="E364" s="1" t="s">
        <v>856</v>
      </c>
      <c r="F364" s="1" t="s">
        <v>40</v>
      </c>
      <c r="G364">
        <v>3</v>
      </c>
      <c r="H364" s="1" t="s">
        <v>58</v>
      </c>
      <c r="I364" s="1" t="s">
        <v>42</v>
      </c>
      <c r="J364">
        <v>10.5</v>
      </c>
      <c r="K364">
        <v>30.99</v>
      </c>
      <c r="L364" s="1" t="s">
        <v>28</v>
      </c>
      <c r="M364" s="1" t="s">
        <v>43</v>
      </c>
      <c r="N364" s="1" t="s">
        <v>44</v>
      </c>
      <c r="O364" s="1" t="s">
        <v>31</v>
      </c>
      <c r="P364" s="2">
        <v>45823</v>
      </c>
      <c r="Q364" s="1" t="s">
        <v>783</v>
      </c>
      <c r="R364" s="1" t="s">
        <v>784</v>
      </c>
      <c r="S364" s="1" t="s">
        <v>34</v>
      </c>
      <c r="T364" s="1" t="s">
        <v>35</v>
      </c>
      <c r="U364" s="1" t="s">
        <v>55</v>
      </c>
      <c r="V364" s="1" t="s">
        <v>37</v>
      </c>
      <c r="W364">
        <v>2</v>
      </c>
    </row>
    <row r="365" spans="1:23" x14ac:dyDescent="0.3">
      <c r="A365" s="1" t="s">
        <v>857</v>
      </c>
      <c r="B365">
        <v>2</v>
      </c>
      <c r="C365">
        <v>18.989999999999998</v>
      </c>
      <c r="D365">
        <v>32.83</v>
      </c>
      <c r="E365" s="1" t="s">
        <v>858</v>
      </c>
      <c r="F365" s="1" t="s">
        <v>188</v>
      </c>
      <c r="G365">
        <v>0</v>
      </c>
      <c r="H365" s="1" t="s">
        <v>58</v>
      </c>
      <c r="I365" s="1" t="s">
        <v>97</v>
      </c>
      <c r="J365">
        <v>6</v>
      </c>
      <c r="K365">
        <v>18.989999999999998</v>
      </c>
      <c r="L365" s="1" t="s">
        <v>60</v>
      </c>
      <c r="M365" s="1" t="s">
        <v>43</v>
      </c>
      <c r="N365" s="1" t="s">
        <v>44</v>
      </c>
      <c r="O365" s="1" t="s">
        <v>31</v>
      </c>
      <c r="P365" s="2">
        <v>45823</v>
      </c>
      <c r="Q365" s="1" t="s">
        <v>859</v>
      </c>
      <c r="R365" s="1" t="s">
        <v>860</v>
      </c>
      <c r="S365" s="1" t="s">
        <v>34</v>
      </c>
      <c r="T365" s="1" t="s">
        <v>35</v>
      </c>
      <c r="U365" s="1" t="s">
        <v>48</v>
      </c>
      <c r="V365" s="1" t="s">
        <v>100</v>
      </c>
      <c r="W365">
        <v>3.2</v>
      </c>
    </row>
    <row r="366" spans="1:23" x14ac:dyDescent="0.3">
      <c r="A366" s="1" t="s">
        <v>861</v>
      </c>
      <c r="B366">
        <v>1</v>
      </c>
      <c r="C366">
        <v>21.99</v>
      </c>
      <c r="D366">
        <v>21.99</v>
      </c>
      <c r="E366" s="1" t="s">
        <v>862</v>
      </c>
      <c r="F366" s="1" t="s">
        <v>40</v>
      </c>
      <c r="G366">
        <v>2</v>
      </c>
      <c r="H366" s="1" t="s">
        <v>26</v>
      </c>
      <c r="I366" s="1" t="s">
        <v>27</v>
      </c>
      <c r="J366">
        <v>7</v>
      </c>
      <c r="K366">
        <v>21.99</v>
      </c>
      <c r="L366" s="1" t="s">
        <v>28</v>
      </c>
      <c r="M366" s="1" t="s">
        <v>29</v>
      </c>
      <c r="N366" s="1" t="s">
        <v>30</v>
      </c>
      <c r="O366" s="1" t="s">
        <v>31</v>
      </c>
      <c r="P366" s="2">
        <v>45778</v>
      </c>
      <c r="Q366" s="1" t="s">
        <v>768</v>
      </c>
      <c r="R366" s="1" t="s">
        <v>769</v>
      </c>
      <c r="S366" s="1" t="s">
        <v>54</v>
      </c>
      <c r="T366" s="1" t="s">
        <v>35</v>
      </c>
      <c r="U366" s="1" t="s">
        <v>36</v>
      </c>
      <c r="V366" s="1" t="s">
        <v>37</v>
      </c>
      <c r="W366">
        <v>2</v>
      </c>
    </row>
    <row r="367" spans="1:23" x14ac:dyDescent="0.3">
      <c r="A367" s="1" t="s">
        <v>863</v>
      </c>
      <c r="B367">
        <v>1</v>
      </c>
      <c r="C367">
        <v>18.989999999999998</v>
      </c>
      <c r="D367">
        <v>18.989999999999998</v>
      </c>
      <c r="E367" s="1" t="s">
        <v>864</v>
      </c>
      <c r="F367" s="1" t="s">
        <v>40</v>
      </c>
      <c r="G367">
        <v>10</v>
      </c>
      <c r="H367" s="1" t="s">
        <v>41</v>
      </c>
      <c r="I367" s="1" t="s">
        <v>97</v>
      </c>
      <c r="J367">
        <v>6</v>
      </c>
      <c r="K367">
        <v>18.989999999999998</v>
      </c>
      <c r="L367" s="1" t="s">
        <v>60</v>
      </c>
      <c r="M367" s="1" t="s">
        <v>43</v>
      </c>
      <c r="N367" s="1" t="s">
        <v>44</v>
      </c>
      <c r="O367" s="1" t="s">
        <v>31</v>
      </c>
      <c r="P367" s="2">
        <v>45823</v>
      </c>
      <c r="Q367" s="1" t="s">
        <v>865</v>
      </c>
      <c r="R367" s="1" t="s">
        <v>866</v>
      </c>
      <c r="S367" s="1" t="s">
        <v>105</v>
      </c>
      <c r="T367" s="1" t="s">
        <v>35</v>
      </c>
      <c r="U367" s="1" t="s">
        <v>36</v>
      </c>
      <c r="V367" s="1" t="s">
        <v>100</v>
      </c>
      <c r="W367">
        <v>3.2</v>
      </c>
    </row>
    <row r="368" spans="1:23" x14ac:dyDescent="0.3">
      <c r="A368" s="1" t="s">
        <v>867</v>
      </c>
      <c r="B368">
        <v>1</v>
      </c>
      <c r="C368">
        <v>27.99</v>
      </c>
      <c r="D368">
        <v>27.99</v>
      </c>
      <c r="E368" s="1" t="s">
        <v>868</v>
      </c>
      <c r="F368" s="1" t="s">
        <v>51</v>
      </c>
      <c r="G368">
        <v>0</v>
      </c>
      <c r="H368" s="1" t="s">
        <v>41</v>
      </c>
      <c r="I368" s="1" t="s">
        <v>75</v>
      </c>
      <c r="J368">
        <v>9</v>
      </c>
      <c r="K368">
        <v>27.99</v>
      </c>
      <c r="L368" s="1" t="s">
        <v>28</v>
      </c>
      <c r="M368" s="1" t="s">
        <v>61</v>
      </c>
      <c r="N368" s="1" t="s">
        <v>62</v>
      </c>
      <c r="O368" s="1" t="s">
        <v>31</v>
      </c>
      <c r="P368" s="2">
        <v>45726</v>
      </c>
      <c r="Q368" s="1" t="s">
        <v>869</v>
      </c>
      <c r="R368" s="1" t="s">
        <v>870</v>
      </c>
      <c r="S368" s="1" t="s">
        <v>88</v>
      </c>
      <c r="T368" s="1" t="s">
        <v>35</v>
      </c>
      <c r="U368" s="1" t="s">
        <v>55</v>
      </c>
      <c r="V368" s="1" t="s">
        <v>37</v>
      </c>
      <c r="W368">
        <v>2</v>
      </c>
    </row>
    <row r="369" spans="1:23" x14ac:dyDescent="0.3">
      <c r="A369" s="1" t="s">
        <v>871</v>
      </c>
      <c r="B369">
        <v>1</v>
      </c>
      <c r="C369">
        <v>30.99</v>
      </c>
      <c r="D369">
        <v>30.99</v>
      </c>
      <c r="E369" s="1" t="s">
        <v>872</v>
      </c>
      <c r="F369" s="1" t="s">
        <v>70</v>
      </c>
      <c r="G369">
        <v>0</v>
      </c>
      <c r="H369" s="1" t="s">
        <v>96</v>
      </c>
      <c r="I369" s="1" t="s">
        <v>42</v>
      </c>
      <c r="J369">
        <v>10.5</v>
      </c>
      <c r="K369">
        <v>30.99</v>
      </c>
      <c r="L369" s="1" t="s">
        <v>28</v>
      </c>
      <c r="M369" s="1" t="s">
        <v>43</v>
      </c>
      <c r="N369" s="1" t="s">
        <v>44</v>
      </c>
      <c r="O369" s="1" t="s">
        <v>31</v>
      </c>
      <c r="P369" s="2">
        <v>45823</v>
      </c>
      <c r="Q369" s="1" t="s">
        <v>873</v>
      </c>
      <c r="R369" s="1" t="s">
        <v>874</v>
      </c>
      <c r="S369" s="1" t="s">
        <v>105</v>
      </c>
      <c r="T369" s="1" t="s">
        <v>35</v>
      </c>
      <c r="U369" s="1" t="s">
        <v>48</v>
      </c>
      <c r="V369" s="1" t="s">
        <v>37</v>
      </c>
      <c r="W369">
        <v>2</v>
      </c>
    </row>
    <row r="370" spans="1:23" x14ac:dyDescent="0.3">
      <c r="A370" s="1" t="s">
        <v>875</v>
      </c>
      <c r="B370">
        <v>1</v>
      </c>
      <c r="C370">
        <v>18.989999999999998</v>
      </c>
      <c r="D370">
        <v>18.989999999999998</v>
      </c>
      <c r="E370" s="1" t="s">
        <v>731</v>
      </c>
      <c r="F370" s="1" t="s">
        <v>188</v>
      </c>
      <c r="G370">
        <v>0</v>
      </c>
      <c r="H370" s="1" t="s">
        <v>26</v>
      </c>
      <c r="I370" s="1" t="s">
        <v>97</v>
      </c>
      <c r="J370">
        <v>6</v>
      </c>
      <c r="K370">
        <v>18.989999999999998</v>
      </c>
      <c r="L370" s="1" t="s">
        <v>60</v>
      </c>
      <c r="M370" s="1" t="s">
        <v>43</v>
      </c>
      <c r="N370" s="1" t="s">
        <v>44</v>
      </c>
      <c r="O370" s="1" t="s">
        <v>31</v>
      </c>
      <c r="P370" s="2">
        <v>45823</v>
      </c>
      <c r="Q370" s="1" t="s">
        <v>203</v>
      </c>
      <c r="R370" s="1" t="s">
        <v>876</v>
      </c>
      <c r="S370" s="1" t="s">
        <v>54</v>
      </c>
      <c r="T370" s="1" t="s">
        <v>35</v>
      </c>
      <c r="U370" s="1" t="s">
        <v>82</v>
      </c>
      <c r="V370" s="1" t="s">
        <v>100</v>
      </c>
      <c r="W370">
        <v>3.2</v>
      </c>
    </row>
    <row r="371" spans="1:23" x14ac:dyDescent="0.3">
      <c r="A371" s="1" t="s">
        <v>877</v>
      </c>
      <c r="B371">
        <v>1</v>
      </c>
      <c r="C371">
        <v>21.99</v>
      </c>
      <c r="D371">
        <v>21.99</v>
      </c>
      <c r="E371" s="1" t="s">
        <v>252</v>
      </c>
      <c r="F371" s="1" t="s">
        <v>51</v>
      </c>
      <c r="G371">
        <v>0</v>
      </c>
      <c r="H371" s="1" t="s">
        <v>96</v>
      </c>
      <c r="I371" s="1" t="s">
        <v>27</v>
      </c>
      <c r="J371">
        <v>7</v>
      </c>
      <c r="K371">
        <v>21.99</v>
      </c>
      <c r="L371" s="1" t="s">
        <v>28</v>
      </c>
      <c r="M371" s="1" t="s">
        <v>29</v>
      </c>
      <c r="N371" s="1" t="s">
        <v>30</v>
      </c>
      <c r="O371" s="1" t="s">
        <v>31</v>
      </c>
      <c r="P371" s="2">
        <v>45778</v>
      </c>
      <c r="Q371" s="1" t="s">
        <v>873</v>
      </c>
      <c r="R371" s="1" t="s">
        <v>874</v>
      </c>
      <c r="S371" s="1" t="s">
        <v>105</v>
      </c>
      <c r="T371" s="1" t="s">
        <v>35</v>
      </c>
      <c r="U371" s="1" t="s">
        <v>48</v>
      </c>
      <c r="V371" s="1" t="s">
        <v>37</v>
      </c>
      <c r="W371">
        <v>2</v>
      </c>
    </row>
    <row r="372" spans="1:23" x14ac:dyDescent="0.3">
      <c r="A372" s="1" t="s">
        <v>878</v>
      </c>
      <c r="B372">
        <v>1</v>
      </c>
      <c r="C372">
        <v>21.99</v>
      </c>
      <c r="D372">
        <v>21.99</v>
      </c>
      <c r="E372" s="1" t="s">
        <v>334</v>
      </c>
      <c r="F372" s="1" t="s">
        <v>40</v>
      </c>
      <c r="G372">
        <v>2</v>
      </c>
      <c r="H372" s="1" t="s">
        <v>96</v>
      </c>
      <c r="I372" s="1" t="s">
        <v>27</v>
      </c>
      <c r="J372">
        <v>7</v>
      </c>
      <c r="K372">
        <v>21.99</v>
      </c>
      <c r="L372" s="1" t="s">
        <v>28</v>
      </c>
      <c r="M372" s="1" t="s">
        <v>29</v>
      </c>
      <c r="N372" s="1" t="s">
        <v>30</v>
      </c>
      <c r="O372" s="1" t="s">
        <v>31</v>
      </c>
      <c r="P372" s="2">
        <v>45778</v>
      </c>
      <c r="Q372" s="1" t="s">
        <v>832</v>
      </c>
      <c r="R372" s="1" t="s">
        <v>879</v>
      </c>
      <c r="S372" s="1" t="s">
        <v>105</v>
      </c>
      <c r="T372" s="1" t="s">
        <v>35</v>
      </c>
      <c r="U372" s="1" t="s">
        <v>66</v>
      </c>
      <c r="V372" s="1" t="s">
        <v>37</v>
      </c>
      <c r="W372">
        <v>2</v>
      </c>
    </row>
    <row r="373" spans="1:23" x14ac:dyDescent="0.3">
      <c r="A373" s="1" t="s">
        <v>880</v>
      </c>
      <c r="B373">
        <v>3</v>
      </c>
      <c r="C373">
        <v>21.99</v>
      </c>
      <c r="D373">
        <v>52.09</v>
      </c>
      <c r="E373" s="1" t="s">
        <v>881</v>
      </c>
      <c r="F373" s="1" t="s">
        <v>40</v>
      </c>
      <c r="G373">
        <v>3</v>
      </c>
      <c r="H373" s="1" t="s">
        <v>58</v>
      </c>
      <c r="I373" s="1" t="s">
        <v>27</v>
      </c>
      <c r="J373">
        <v>7</v>
      </c>
      <c r="K373">
        <v>21.99</v>
      </c>
      <c r="L373" s="1" t="s">
        <v>28</v>
      </c>
      <c r="M373" s="1" t="s">
        <v>29</v>
      </c>
      <c r="N373" s="1" t="s">
        <v>30</v>
      </c>
      <c r="O373" s="1" t="s">
        <v>31</v>
      </c>
      <c r="P373" s="2">
        <v>45778</v>
      </c>
      <c r="Q373" s="1" t="s">
        <v>859</v>
      </c>
      <c r="R373" s="1" t="s">
        <v>860</v>
      </c>
      <c r="S373" s="1" t="s">
        <v>34</v>
      </c>
      <c r="T373" s="1" t="s">
        <v>35</v>
      </c>
      <c r="U373" s="1" t="s">
        <v>48</v>
      </c>
      <c r="V373" s="1" t="s">
        <v>37</v>
      </c>
      <c r="W373">
        <v>2</v>
      </c>
    </row>
    <row r="374" spans="1:23" x14ac:dyDescent="0.3">
      <c r="A374" s="1" t="s">
        <v>882</v>
      </c>
      <c r="B374">
        <v>1</v>
      </c>
      <c r="C374">
        <v>21.99</v>
      </c>
      <c r="D374">
        <v>21.99</v>
      </c>
      <c r="E374" s="1" t="s">
        <v>883</v>
      </c>
      <c r="F374" s="1" t="s">
        <v>70</v>
      </c>
      <c r="G374">
        <v>0</v>
      </c>
      <c r="H374" s="1" t="s">
        <v>96</v>
      </c>
      <c r="I374" s="1" t="s">
        <v>27</v>
      </c>
      <c r="J374">
        <v>7</v>
      </c>
      <c r="K374">
        <v>21.99</v>
      </c>
      <c r="L374" s="1" t="s">
        <v>28</v>
      </c>
      <c r="M374" s="1" t="s">
        <v>29</v>
      </c>
      <c r="N374" s="1" t="s">
        <v>30</v>
      </c>
      <c r="O374" s="1" t="s">
        <v>31</v>
      </c>
      <c r="P374" s="2">
        <v>45778</v>
      </c>
      <c r="Q374" s="1" t="s">
        <v>884</v>
      </c>
      <c r="R374" s="1" t="s">
        <v>885</v>
      </c>
      <c r="S374" s="1" t="s">
        <v>34</v>
      </c>
      <c r="T374" s="1" t="s">
        <v>35</v>
      </c>
      <c r="U374" s="1" t="s">
        <v>36</v>
      </c>
      <c r="V374" s="1" t="s">
        <v>37</v>
      </c>
      <c r="W374">
        <v>2</v>
      </c>
    </row>
    <row r="375" spans="1:23" x14ac:dyDescent="0.3">
      <c r="A375" s="1" t="s">
        <v>886</v>
      </c>
      <c r="B375">
        <v>1</v>
      </c>
      <c r="C375">
        <v>18.989999999999998</v>
      </c>
      <c r="D375">
        <v>18.989999999999998</v>
      </c>
      <c r="E375" s="1" t="s">
        <v>887</v>
      </c>
      <c r="F375" s="1" t="s">
        <v>51</v>
      </c>
      <c r="G375">
        <v>0</v>
      </c>
      <c r="H375" s="1" t="s">
        <v>96</v>
      </c>
      <c r="I375" s="1" t="s">
        <v>97</v>
      </c>
      <c r="J375">
        <v>6</v>
      </c>
      <c r="K375">
        <v>18.989999999999998</v>
      </c>
      <c r="L375" s="1" t="s">
        <v>60</v>
      </c>
      <c r="M375" s="1" t="s">
        <v>43</v>
      </c>
      <c r="N375" s="1" t="s">
        <v>44</v>
      </c>
      <c r="O375" s="1" t="s">
        <v>31</v>
      </c>
      <c r="P375" s="2">
        <v>45823</v>
      </c>
      <c r="Q375" s="1" t="s">
        <v>203</v>
      </c>
      <c r="R375" s="1" t="s">
        <v>888</v>
      </c>
      <c r="S375" s="1" t="s">
        <v>88</v>
      </c>
      <c r="T375" s="1" t="s">
        <v>35</v>
      </c>
      <c r="U375" s="1" t="s">
        <v>55</v>
      </c>
      <c r="V375" s="1" t="s">
        <v>100</v>
      </c>
      <c r="W375">
        <v>3.2</v>
      </c>
    </row>
    <row r="376" spans="1:23" x14ac:dyDescent="0.3">
      <c r="A376" s="1" t="s">
        <v>889</v>
      </c>
      <c r="B376">
        <v>2</v>
      </c>
      <c r="C376">
        <v>16.989999999999998</v>
      </c>
      <c r="D376">
        <v>29.64</v>
      </c>
      <c r="E376" s="1" t="s">
        <v>719</v>
      </c>
      <c r="F376" s="1" t="s">
        <v>40</v>
      </c>
      <c r="G376">
        <v>18</v>
      </c>
      <c r="H376" s="1" t="s">
        <v>26</v>
      </c>
      <c r="I376" s="1" t="s">
        <v>59</v>
      </c>
      <c r="J376">
        <v>5</v>
      </c>
      <c r="K376">
        <v>16.989999999999998</v>
      </c>
      <c r="L376" s="1" t="s">
        <v>60</v>
      </c>
      <c r="M376" s="1" t="s">
        <v>61</v>
      </c>
      <c r="N376" s="1" t="s">
        <v>62</v>
      </c>
      <c r="O376" s="1" t="s">
        <v>31</v>
      </c>
      <c r="P376" s="2">
        <v>45726</v>
      </c>
      <c r="Q376" s="1" t="s">
        <v>732</v>
      </c>
      <c r="R376" s="1" t="s">
        <v>733</v>
      </c>
      <c r="S376" s="1" t="s">
        <v>65</v>
      </c>
      <c r="T376" s="1" t="s">
        <v>35</v>
      </c>
      <c r="U376" s="1" t="s">
        <v>48</v>
      </c>
      <c r="V376" s="1" t="s">
        <v>67</v>
      </c>
      <c r="W376">
        <v>3</v>
      </c>
    </row>
    <row r="377" spans="1:23" x14ac:dyDescent="0.3">
      <c r="A377" s="1" t="s">
        <v>890</v>
      </c>
      <c r="B377">
        <v>1</v>
      </c>
      <c r="C377">
        <v>18.989999999999998</v>
      </c>
      <c r="D377">
        <v>18.989999999999998</v>
      </c>
      <c r="E377" s="1" t="s">
        <v>168</v>
      </c>
      <c r="F377" s="1" t="s">
        <v>70</v>
      </c>
      <c r="G377">
        <v>0</v>
      </c>
      <c r="H377" s="1" t="s">
        <v>26</v>
      </c>
      <c r="I377" s="1" t="s">
        <v>97</v>
      </c>
      <c r="J377">
        <v>6</v>
      </c>
      <c r="K377">
        <v>18.989999999999998</v>
      </c>
      <c r="L377" s="1" t="s">
        <v>60</v>
      </c>
      <c r="M377" s="1" t="s">
        <v>43</v>
      </c>
      <c r="N377" s="1" t="s">
        <v>44</v>
      </c>
      <c r="O377" s="1" t="s">
        <v>31</v>
      </c>
      <c r="P377" s="2">
        <v>45823</v>
      </c>
      <c r="Q377" s="1" t="s">
        <v>814</v>
      </c>
      <c r="R377" s="1" t="s">
        <v>891</v>
      </c>
      <c r="S377" s="1" t="s">
        <v>88</v>
      </c>
      <c r="T377" s="1" t="s">
        <v>35</v>
      </c>
      <c r="U377" s="1" t="s">
        <v>82</v>
      </c>
      <c r="V377" s="1" t="s">
        <v>100</v>
      </c>
      <c r="W377">
        <v>3.2</v>
      </c>
    </row>
    <row r="378" spans="1:23" x14ac:dyDescent="0.3">
      <c r="A378" s="1" t="s">
        <v>892</v>
      </c>
      <c r="B378">
        <v>1</v>
      </c>
      <c r="C378">
        <v>27.99</v>
      </c>
      <c r="D378">
        <v>27.99</v>
      </c>
      <c r="E378" s="1" t="s">
        <v>327</v>
      </c>
      <c r="F378" s="1" t="s">
        <v>40</v>
      </c>
      <c r="G378">
        <v>3</v>
      </c>
      <c r="H378" s="1" t="s">
        <v>58</v>
      </c>
      <c r="I378" s="1" t="s">
        <v>75</v>
      </c>
      <c r="J378">
        <v>9</v>
      </c>
      <c r="K378">
        <v>27.99</v>
      </c>
      <c r="L378" s="1" t="s">
        <v>28</v>
      </c>
      <c r="M378" s="1" t="s">
        <v>61</v>
      </c>
      <c r="N378" s="1" t="s">
        <v>62</v>
      </c>
      <c r="O378" s="1" t="s">
        <v>31</v>
      </c>
      <c r="P378" s="2">
        <v>45726</v>
      </c>
      <c r="Q378" s="1" t="s">
        <v>893</v>
      </c>
      <c r="R378" s="1" t="s">
        <v>894</v>
      </c>
      <c r="S378" s="1" t="s">
        <v>411</v>
      </c>
      <c r="T378" s="1" t="s">
        <v>35</v>
      </c>
      <c r="U378" s="1" t="s">
        <v>48</v>
      </c>
      <c r="V378" s="1" t="s">
        <v>37</v>
      </c>
      <c r="W378">
        <v>2</v>
      </c>
    </row>
    <row r="379" spans="1:23" x14ac:dyDescent="0.3">
      <c r="A379" s="1" t="s">
        <v>895</v>
      </c>
      <c r="B379">
        <v>3</v>
      </c>
      <c r="C379">
        <v>34.99</v>
      </c>
      <c r="D379">
        <v>82.45</v>
      </c>
      <c r="E379" s="1" t="s">
        <v>786</v>
      </c>
      <c r="F379" s="1" t="s">
        <v>40</v>
      </c>
      <c r="G379">
        <v>11</v>
      </c>
      <c r="H379" s="1" t="s">
        <v>41</v>
      </c>
      <c r="I379" s="1" t="s">
        <v>85</v>
      </c>
      <c r="J379">
        <v>12.5</v>
      </c>
      <c r="K379">
        <v>34.99</v>
      </c>
      <c r="L379" s="1" t="s">
        <v>60</v>
      </c>
      <c r="M379" s="1" t="s">
        <v>29</v>
      </c>
      <c r="N379" s="1" t="s">
        <v>30</v>
      </c>
      <c r="O379" s="1" t="s">
        <v>31</v>
      </c>
      <c r="P379" s="2">
        <v>45778</v>
      </c>
      <c r="Q379" s="1" t="s">
        <v>896</v>
      </c>
      <c r="R379" s="1" t="s">
        <v>897</v>
      </c>
      <c r="S379" s="1" t="s">
        <v>105</v>
      </c>
      <c r="T379" s="1" t="s">
        <v>35</v>
      </c>
      <c r="U379" s="1" t="s">
        <v>55</v>
      </c>
      <c r="V379" s="1" t="s">
        <v>89</v>
      </c>
      <c r="W379">
        <v>2.4</v>
      </c>
    </row>
    <row r="380" spans="1:23" x14ac:dyDescent="0.3">
      <c r="A380" s="1" t="s">
        <v>898</v>
      </c>
      <c r="B380">
        <v>1</v>
      </c>
      <c r="C380">
        <v>34.99</v>
      </c>
      <c r="D380">
        <v>34.99</v>
      </c>
      <c r="E380" s="1" t="s">
        <v>735</v>
      </c>
      <c r="F380" s="1" t="s">
        <v>70</v>
      </c>
      <c r="G380">
        <v>0</v>
      </c>
      <c r="H380" s="1" t="s">
        <v>26</v>
      </c>
      <c r="I380" s="1" t="s">
        <v>85</v>
      </c>
      <c r="J380">
        <v>12.5</v>
      </c>
      <c r="K380">
        <v>34.99</v>
      </c>
      <c r="L380" s="1" t="s">
        <v>60</v>
      </c>
      <c r="M380" s="1" t="s">
        <v>29</v>
      </c>
      <c r="N380" s="1" t="s">
        <v>30</v>
      </c>
      <c r="O380" s="1" t="s">
        <v>31</v>
      </c>
      <c r="P380" s="2">
        <v>45778</v>
      </c>
      <c r="Q380" s="1" t="s">
        <v>133</v>
      </c>
      <c r="R380" s="1" t="s">
        <v>776</v>
      </c>
      <c r="S380" s="1" t="s">
        <v>88</v>
      </c>
      <c r="T380" s="1" t="s">
        <v>35</v>
      </c>
      <c r="U380" s="1" t="s">
        <v>48</v>
      </c>
      <c r="V380" s="1" t="s">
        <v>89</v>
      </c>
      <c r="W380">
        <v>2.4</v>
      </c>
    </row>
    <row r="381" spans="1:23" x14ac:dyDescent="0.3">
      <c r="A381" s="1" t="s">
        <v>899</v>
      </c>
      <c r="B381">
        <v>2</v>
      </c>
      <c r="C381">
        <v>21.99</v>
      </c>
      <c r="D381">
        <v>38.020000000000003</v>
      </c>
      <c r="E381" s="1" t="s">
        <v>900</v>
      </c>
      <c r="F381" s="1" t="s">
        <v>51</v>
      </c>
      <c r="G381">
        <v>0</v>
      </c>
      <c r="H381" s="1" t="s">
        <v>58</v>
      </c>
      <c r="I381" s="1" t="s">
        <v>27</v>
      </c>
      <c r="J381">
        <v>7</v>
      </c>
      <c r="K381">
        <v>21.99</v>
      </c>
      <c r="L381" s="1" t="s">
        <v>28</v>
      </c>
      <c r="M381" s="1" t="s">
        <v>29</v>
      </c>
      <c r="N381" s="1" t="s">
        <v>30</v>
      </c>
      <c r="O381" s="1" t="s">
        <v>31</v>
      </c>
      <c r="P381" s="2">
        <v>45778</v>
      </c>
      <c r="Q381" s="1" t="s">
        <v>203</v>
      </c>
      <c r="R381" s="1" t="s">
        <v>876</v>
      </c>
      <c r="S381" s="1" t="s">
        <v>54</v>
      </c>
      <c r="T381" s="1" t="s">
        <v>35</v>
      </c>
      <c r="U381" s="1" t="s">
        <v>82</v>
      </c>
      <c r="V381" s="1" t="s">
        <v>37</v>
      </c>
      <c r="W381">
        <v>2</v>
      </c>
    </row>
    <row r="382" spans="1:23" x14ac:dyDescent="0.3">
      <c r="A382" s="1" t="s">
        <v>901</v>
      </c>
      <c r="B382">
        <v>1</v>
      </c>
      <c r="C382">
        <v>34.99</v>
      </c>
      <c r="D382">
        <v>34.99</v>
      </c>
      <c r="E382" s="1" t="s">
        <v>902</v>
      </c>
      <c r="F382" s="1" t="s">
        <v>40</v>
      </c>
      <c r="G382">
        <v>12</v>
      </c>
      <c r="H382" s="1" t="s">
        <v>58</v>
      </c>
      <c r="I382" s="1" t="s">
        <v>85</v>
      </c>
      <c r="J382">
        <v>12.5</v>
      </c>
      <c r="K382">
        <v>34.99</v>
      </c>
      <c r="L382" s="1" t="s">
        <v>60</v>
      </c>
      <c r="M382" s="1" t="s">
        <v>29</v>
      </c>
      <c r="N382" s="1" t="s">
        <v>30</v>
      </c>
      <c r="O382" s="1" t="s">
        <v>31</v>
      </c>
      <c r="P382" s="2">
        <v>45778</v>
      </c>
      <c r="Q382" s="1" t="s">
        <v>238</v>
      </c>
      <c r="R382" s="1" t="s">
        <v>903</v>
      </c>
      <c r="S382" s="1" t="s">
        <v>34</v>
      </c>
      <c r="T382" s="1" t="s">
        <v>35</v>
      </c>
      <c r="U382" s="1" t="s">
        <v>36</v>
      </c>
      <c r="V382" s="1" t="s">
        <v>89</v>
      </c>
      <c r="W382">
        <v>2.4</v>
      </c>
    </row>
    <row r="383" spans="1:23" x14ac:dyDescent="0.3">
      <c r="A383" s="1" t="s">
        <v>904</v>
      </c>
      <c r="B383">
        <v>1</v>
      </c>
      <c r="C383">
        <v>16.989999999999998</v>
      </c>
      <c r="D383">
        <v>16.989999999999998</v>
      </c>
      <c r="E383" s="1" t="s">
        <v>160</v>
      </c>
      <c r="F383" s="1" t="s">
        <v>51</v>
      </c>
      <c r="G383">
        <v>0</v>
      </c>
      <c r="H383" s="1" t="s">
        <v>26</v>
      </c>
      <c r="I383" s="1" t="s">
        <v>59</v>
      </c>
      <c r="J383">
        <v>5</v>
      </c>
      <c r="K383">
        <v>16.989999999999998</v>
      </c>
      <c r="L383" s="1" t="s">
        <v>60</v>
      </c>
      <c r="M383" s="1" t="s">
        <v>61</v>
      </c>
      <c r="N383" s="1" t="s">
        <v>62</v>
      </c>
      <c r="O383" s="1" t="s">
        <v>31</v>
      </c>
      <c r="P383" s="2">
        <v>45726</v>
      </c>
      <c r="Q383" s="1" t="s">
        <v>905</v>
      </c>
      <c r="R383" s="1" t="s">
        <v>906</v>
      </c>
      <c r="S383" s="1" t="s">
        <v>105</v>
      </c>
      <c r="T383" s="1" t="s">
        <v>35</v>
      </c>
      <c r="U383" s="1" t="s">
        <v>55</v>
      </c>
      <c r="V383" s="1" t="s">
        <v>67</v>
      </c>
      <c r="W383">
        <v>3</v>
      </c>
    </row>
    <row r="384" spans="1:23" x14ac:dyDescent="0.3">
      <c r="A384" s="1" t="s">
        <v>907</v>
      </c>
      <c r="B384">
        <v>1</v>
      </c>
      <c r="C384">
        <v>16.989999999999998</v>
      </c>
      <c r="D384">
        <v>16.989999999999998</v>
      </c>
      <c r="E384" s="1" t="s">
        <v>908</v>
      </c>
      <c r="F384" s="1" t="s">
        <v>40</v>
      </c>
      <c r="G384">
        <v>20</v>
      </c>
      <c r="H384" s="1" t="s">
        <v>26</v>
      </c>
      <c r="I384" s="1" t="s">
        <v>59</v>
      </c>
      <c r="J384">
        <v>5</v>
      </c>
      <c r="K384">
        <v>16.989999999999998</v>
      </c>
      <c r="L384" s="1" t="s">
        <v>60</v>
      </c>
      <c r="M384" s="1" t="s">
        <v>61</v>
      </c>
      <c r="N384" s="1" t="s">
        <v>62</v>
      </c>
      <c r="O384" s="1" t="s">
        <v>31</v>
      </c>
      <c r="P384" s="2">
        <v>45726</v>
      </c>
      <c r="Q384" s="1" t="s">
        <v>909</v>
      </c>
      <c r="R384" s="1" t="s">
        <v>910</v>
      </c>
      <c r="S384" s="1" t="s">
        <v>34</v>
      </c>
      <c r="T384" s="1" t="s">
        <v>35</v>
      </c>
      <c r="U384" s="1" t="s">
        <v>66</v>
      </c>
      <c r="V384" s="1" t="s">
        <v>67</v>
      </c>
      <c r="W384">
        <v>3</v>
      </c>
    </row>
    <row r="385" spans="1:23" x14ac:dyDescent="0.3">
      <c r="A385" s="1" t="s">
        <v>911</v>
      </c>
      <c r="B385">
        <v>1</v>
      </c>
      <c r="C385">
        <v>21.99</v>
      </c>
      <c r="D385">
        <v>21.99</v>
      </c>
      <c r="E385" s="1" t="s">
        <v>912</v>
      </c>
      <c r="F385" s="1" t="s">
        <v>40</v>
      </c>
      <c r="G385">
        <v>3</v>
      </c>
      <c r="H385" s="1" t="s">
        <v>96</v>
      </c>
      <c r="I385" s="1" t="s">
        <v>27</v>
      </c>
      <c r="J385">
        <v>7</v>
      </c>
      <c r="K385">
        <v>21.99</v>
      </c>
      <c r="L385" s="1" t="s">
        <v>28</v>
      </c>
      <c r="M385" s="1" t="s">
        <v>29</v>
      </c>
      <c r="N385" s="1" t="s">
        <v>30</v>
      </c>
      <c r="O385" s="1" t="s">
        <v>31</v>
      </c>
      <c r="P385" s="2">
        <v>45778</v>
      </c>
      <c r="Q385" s="1" t="s">
        <v>913</v>
      </c>
      <c r="R385" s="1" t="s">
        <v>914</v>
      </c>
      <c r="S385" s="1" t="s">
        <v>65</v>
      </c>
      <c r="T385" s="1" t="s">
        <v>35</v>
      </c>
      <c r="U385" s="1" t="s">
        <v>48</v>
      </c>
      <c r="V385" s="1" t="s">
        <v>37</v>
      </c>
      <c r="W385">
        <v>2</v>
      </c>
    </row>
    <row r="386" spans="1:23" x14ac:dyDescent="0.3">
      <c r="A386" s="1" t="s">
        <v>915</v>
      </c>
      <c r="B386">
        <v>1</v>
      </c>
      <c r="C386">
        <v>18.989999999999998</v>
      </c>
      <c r="D386">
        <v>18.989999999999998</v>
      </c>
      <c r="E386" s="1" t="s">
        <v>916</v>
      </c>
      <c r="F386" s="1" t="s">
        <v>40</v>
      </c>
      <c r="G386">
        <v>15</v>
      </c>
      <c r="H386" s="1" t="s">
        <v>41</v>
      </c>
      <c r="I386" s="1" t="s">
        <v>97</v>
      </c>
      <c r="J386">
        <v>6</v>
      </c>
      <c r="K386">
        <v>18.989999999999998</v>
      </c>
      <c r="L386" s="1" t="s">
        <v>60</v>
      </c>
      <c r="M386" s="1" t="s">
        <v>43</v>
      </c>
      <c r="N386" s="1" t="s">
        <v>44</v>
      </c>
      <c r="O386" s="1" t="s">
        <v>31</v>
      </c>
      <c r="P386" s="2">
        <v>45823</v>
      </c>
      <c r="Q386" s="1" t="s">
        <v>917</v>
      </c>
      <c r="R386" s="1" t="s">
        <v>918</v>
      </c>
      <c r="S386" s="1" t="s">
        <v>54</v>
      </c>
      <c r="T386" s="1" t="s">
        <v>35</v>
      </c>
      <c r="U386" s="1" t="s">
        <v>36</v>
      </c>
      <c r="V386" s="1" t="s">
        <v>100</v>
      </c>
      <c r="W386">
        <v>3.2</v>
      </c>
    </row>
    <row r="387" spans="1:23" x14ac:dyDescent="0.3">
      <c r="A387" s="1" t="s">
        <v>919</v>
      </c>
      <c r="B387">
        <v>1</v>
      </c>
      <c r="C387">
        <v>27.99</v>
      </c>
      <c r="D387">
        <v>27.99</v>
      </c>
      <c r="E387" s="1" t="s">
        <v>731</v>
      </c>
      <c r="F387" s="1" t="s">
        <v>40</v>
      </c>
      <c r="G387">
        <v>6</v>
      </c>
      <c r="H387" s="1" t="s">
        <v>26</v>
      </c>
      <c r="I387" s="1" t="s">
        <v>75</v>
      </c>
      <c r="J387">
        <v>9</v>
      </c>
      <c r="K387">
        <v>27.99</v>
      </c>
      <c r="L387" s="1" t="s">
        <v>28</v>
      </c>
      <c r="M387" s="1" t="s">
        <v>61</v>
      </c>
      <c r="N387" s="1" t="s">
        <v>62</v>
      </c>
      <c r="O387" s="1" t="s">
        <v>31</v>
      </c>
      <c r="P387" s="2">
        <v>45726</v>
      </c>
      <c r="Q387" s="1" t="s">
        <v>839</v>
      </c>
      <c r="R387" s="1" t="s">
        <v>840</v>
      </c>
      <c r="S387" s="1" t="s">
        <v>65</v>
      </c>
      <c r="T387" s="1" t="s">
        <v>35</v>
      </c>
      <c r="U387" s="1" t="s">
        <v>55</v>
      </c>
      <c r="V387" s="1" t="s">
        <v>37</v>
      </c>
      <c r="W387">
        <v>2</v>
      </c>
    </row>
    <row r="388" spans="1:23" x14ac:dyDescent="0.3">
      <c r="A388" s="1" t="s">
        <v>920</v>
      </c>
      <c r="B388">
        <v>1</v>
      </c>
      <c r="C388">
        <v>34.99</v>
      </c>
      <c r="D388">
        <v>34.99</v>
      </c>
      <c r="E388" s="1" t="s">
        <v>921</v>
      </c>
      <c r="F388" s="1" t="s">
        <v>40</v>
      </c>
      <c r="G388">
        <v>8</v>
      </c>
      <c r="H388" s="1" t="s">
        <v>58</v>
      </c>
      <c r="I388" s="1" t="s">
        <v>85</v>
      </c>
      <c r="J388">
        <v>12.5</v>
      </c>
      <c r="K388">
        <v>34.99</v>
      </c>
      <c r="L388" s="1" t="s">
        <v>60</v>
      </c>
      <c r="M388" s="1" t="s">
        <v>29</v>
      </c>
      <c r="N388" s="1" t="s">
        <v>30</v>
      </c>
      <c r="O388" s="1" t="s">
        <v>31</v>
      </c>
      <c r="P388" s="2">
        <v>45778</v>
      </c>
      <c r="Q388" s="1" t="s">
        <v>783</v>
      </c>
      <c r="R388" s="1" t="s">
        <v>784</v>
      </c>
      <c r="S388" s="1" t="s">
        <v>34</v>
      </c>
      <c r="T388" s="1" t="s">
        <v>35</v>
      </c>
      <c r="U388" s="1" t="s">
        <v>55</v>
      </c>
      <c r="V388" s="1" t="s">
        <v>89</v>
      </c>
      <c r="W388">
        <v>2.4</v>
      </c>
    </row>
    <row r="389" spans="1:23" x14ac:dyDescent="0.3">
      <c r="A389" s="1" t="s">
        <v>922</v>
      </c>
      <c r="B389">
        <v>1</v>
      </c>
      <c r="C389">
        <v>34.99</v>
      </c>
      <c r="D389">
        <v>34.99</v>
      </c>
      <c r="E389" s="1" t="s">
        <v>923</v>
      </c>
      <c r="F389" s="1" t="s">
        <v>51</v>
      </c>
      <c r="G389">
        <v>0</v>
      </c>
      <c r="H389" s="1" t="s">
        <v>96</v>
      </c>
      <c r="I389" s="1" t="s">
        <v>85</v>
      </c>
      <c r="J389">
        <v>12.5</v>
      </c>
      <c r="K389">
        <v>34.99</v>
      </c>
      <c r="L389" s="1" t="s">
        <v>60</v>
      </c>
      <c r="M389" s="1" t="s">
        <v>29</v>
      </c>
      <c r="N389" s="1" t="s">
        <v>30</v>
      </c>
      <c r="O389" s="1" t="s">
        <v>31</v>
      </c>
      <c r="P389" s="2">
        <v>45778</v>
      </c>
      <c r="Q389" s="1" t="s">
        <v>249</v>
      </c>
      <c r="R389" s="1" t="s">
        <v>924</v>
      </c>
      <c r="S389" s="1" t="s">
        <v>34</v>
      </c>
      <c r="T389" s="1" t="s">
        <v>35</v>
      </c>
      <c r="U389" s="1" t="s">
        <v>55</v>
      </c>
      <c r="V389" s="1" t="s">
        <v>89</v>
      </c>
      <c r="W389">
        <v>2.4</v>
      </c>
    </row>
    <row r="390" spans="1:23" x14ac:dyDescent="0.3">
      <c r="A390" s="1" t="s">
        <v>925</v>
      </c>
      <c r="B390">
        <v>1</v>
      </c>
      <c r="C390">
        <v>21.99</v>
      </c>
      <c r="D390">
        <v>21.99</v>
      </c>
      <c r="E390" s="1" t="s">
        <v>763</v>
      </c>
      <c r="F390" s="1" t="s">
        <v>40</v>
      </c>
      <c r="G390">
        <v>3</v>
      </c>
      <c r="H390" s="1" t="s">
        <v>41</v>
      </c>
      <c r="I390" s="1" t="s">
        <v>27</v>
      </c>
      <c r="J390">
        <v>7</v>
      </c>
      <c r="K390">
        <v>21.99</v>
      </c>
      <c r="L390" s="1" t="s">
        <v>28</v>
      </c>
      <c r="M390" s="1" t="s">
        <v>29</v>
      </c>
      <c r="N390" s="1" t="s">
        <v>30</v>
      </c>
      <c r="O390" s="1" t="s">
        <v>31</v>
      </c>
      <c r="P390" s="2">
        <v>45778</v>
      </c>
      <c r="Q390" s="1" t="s">
        <v>926</v>
      </c>
      <c r="R390" s="1" t="s">
        <v>927</v>
      </c>
      <c r="S390" s="1" t="s">
        <v>47</v>
      </c>
      <c r="T390" s="1" t="s">
        <v>35</v>
      </c>
      <c r="U390" s="1" t="s">
        <v>36</v>
      </c>
      <c r="V390" s="1" t="s">
        <v>37</v>
      </c>
      <c r="W390">
        <v>2</v>
      </c>
    </row>
    <row r="391" spans="1:23" x14ac:dyDescent="0.3">
      <c r="A391" s="1" t="s">
        <v>928</v>
      </c>
      <c r="B391">
        <v>1</v>
      </c>
      <c r="C391">
        <v>34.99</v>
      </c>
      <c r="D391">
        <v>34.99</v>
      </c>
      <c r="E391" s="1" t="s">
        <v>929</v>
      </c>
      <c r="F391" s="1" t="s">
        <v>188</v>
      </c>
      <c r="G391">
        <v>0</v>
      </c>
      <c r="H391" s="1" t="s">
        <v>58</v>
      </c>
      <c r="I391" s="1" t="s">
        <v>85</v>
      </c>
      <c r="J391">
        <v>12.5</v>
      </c>
      <c r="K391">
        <v>34.99</v>
      </c>
      <c r="L391" s="1" t="s">
        <v>60</v>
      </c>
      <c r="M391" s="1" t="s">
        <v>29</v>
      </c>
      <c r="N391" s="1" t="s">
        <v>30</v>
      </c>
      <c r="O391" s="1" t="s">
        <v>31</v>
      </c>
      <c r="P391" s="2">
        <v>45778</v>
      </c>
      <c r="Q391" s="1" t="s">
        <v>930</v>
      </c>
      <c r="R391" s="1" t="s">
        <v>931</v>
      </c>
      <c r="S391" s="1" t="s">
        <v>65</v>
      </c>
      <c r="T391" s="1" t="s">
        <v>35</v>
      </c>
      <c r="U391" s="1" t="s">
        <v>36</v>
      </c>
      <c r="V391" s="1" t="s">
        <v>89</v>
      </c>
      <c r="W391">
        <v>2.4</v>
      </c>
    </row>
    <row r="392" spans="1:23" x14ac:dyDescent="0.3">
      <c r="A392" s="1" t="s">
        <v>932</v>
      </c>
      <c r="B392">
        <v>3</v>
      </c>
      <c r="C392">
        <v>18.989999999999998</v>
      </c>
      <c r="D392">
        <v>44.82</v>
      </c>
      <c r="E392" s="1" t="s">
        <v>933</v>
      </c>
      <c r="F392" s="1" t="s">
        <v>70</v>
      </c>
      <c r="G392">
        <v>0</v>
      </c>
      <c r="H392" s="1" t="s">
        <v>58</v>
      </c>
      <c r="I392" s="1" t="s">
        <v>97</v>
      </c>
      <c r="J392">
        <v>6</v>
      </c>
      <c r="K392">
        <v>18.989999999999998</v>
      </c>
      <c r="L392" s="1" t="s">
        <v>60</v>
      </c>
      <c r="M392" s="1" t="s">
        <v>43</v>
      </c>
      <c r="N392" s="1" t="s">
        <v>44</v>
      </c>
      <c r="O392" s="1" t="s">
        <v>31</v>
      </c>
      <c r="P392" s="2">
        <v>45823</v>
      </c>
      <c r="Q392" s="1" t="s">
        <v>934</v>
      </c>
      <c r="R392" s="1" t="s">
        <v>935</v>
      </c>
      <c r="S392" s="1" t="s">
        <v>105</v>
      </c>
      <c r="T392" s="1" t="s">
        <v>35</v>
      </c>
      <c r="U392" s="1" t="s">
        <v>82</v>
      </c>
      <c r="V392" s="1" t="s">
        <v>100</v>
      </c>
      <c r="W392">
        <v>3.2</v>
      </c>
    </row>
    <row r="393" spans="1:23" x14ac:dyDescent="0.3">
      <c r="A393" s="1" t="s">
        <v>936</v>
      </c>
      <c r="B393">
        <v>1</v>
      </c>
      <c r="C393">
        <v>27.99</v>
      </c>
      <c r="D393">
        <v>27.99</v>
      </c>
      <c r="E393" s="1" t="s">
        <v>937</v>
      </c>
      <c r="F393" s="1" t="s">
        <v>51</v>
      </c>
      <c r="G393">
        <v>0</v>
      </c>
      <c r="H393" s="1" t="s">
        <v>41</v>
      </c>
      <c r="I393" s="1" t="s">
        <v>75</v>
      </c>
      <c r="J393">
        <v>9</v>
      </c>
      <c r="K393">
        <v>27.99</v>
      </c>
      <c r="L393" s="1" t="s">
        <v>28</v>
      </c>
      <c r="M393" s="1" t="s">
        <v>61</v>
      </c>
      <c r="N393" s="1" t="s">
        <v>62</v>
      </c>
      <c r="O393" s="1" t="s">
        <v>31</v>
      </c>
      <c r="P393" s="2">
        <v>45726</v>
      </c>
      <c r="Q393" s="1" t="s">
        <v>938</v>
      </c>
      <c r="R393" s="1" t="s">
        <v>939</v>
      </c>
      <c r="S393" s="1" t="s">
        <v>54</v>
      </c>
      <c r="T393" s="1" t="s">
        <v>35</v>
      </c>
      <c r="U393" s="1" t="s">
        <v>66</v>
      </c>
      <c r="V393" s="1" t="s">
        <v>37</v>
      </c>
      <c r="W393">
        <v>2</v>
      </c>
    </row>
    <row r="394" spans="1:23" x14ac:dyDescent="0.3">
      <c r="A394" s="1" t="s">
        <v>940</v>
      </c>
      <c r="B394">
        <v>1</v>
      </c>
      <c r="C394">
        <v>18.989999999999998</v>
      </c>
      <c r="D394">
        <v>18.989999999999998</v>
      </c>
      <c r="E394" s="1" t="s">
        <v>79</v>
      </c>
      <c r="F394" s="1" t="s">
        <v>188</v>
      </c>
      <c r="G394">
        <v>0</v>
      </c>
      <c r="H394" s="1" t="s">
        <v>26</v>
      </c>
      <c r="I394" s="1" t="s">
        <v>97</v>
      </c>
      <c r="J394">
        <v>6</v>
      </c>
      <c r="K394">
        <v>18.989999999999998</v>
      </c>
      <c r="L394" s="1" t="s">
        <v>60</v>
      </c>
      <c r="M394" s="1" t="s">
        <v>43</v>
      </c>
      <c r="N394" s="1" t="s">
        <v>44</v>
      </c>
      <c r="O394" s="1" t="s">
        <v>31</v>
      </c>
      <c r="P394" s="2">
        <v>45823</v>
      </c>
      <c r="Q394" s="1" t="s">
        <v>169</v>
      </c>
      <c r="R394" s="1" t="s">
        <v>941</v>
      </c>
      <c r="S394" s="1" t="s">
        <v>105</v>
      </c>
      <c r="T394" s="1" t="s">
        <v>35</v>
      </c>
      <c r="U394" s="1" t="s">
        <v>66</v>
      </c>
      <c r="V394" s="1" t="s">
        <v>100</v>
      </c>
      <c r="W394">
        <v>3.2</v>
      </c>
    </row>
    <row r="395" spans="1:23" x14ac:dyDescent="0.3">
      <c r="A395" s="1" t="s">
        <v>942</v>
      </c>
      <c r="B395">
        <v>1</v>
      </c>
      <c r="C395">
        <v>27.99</v>
      </c>
      <c r="D395">
        <v>27.99</v>
      </c>
      <c r="E395" s="1" t="s">
        <v>252</v>
      </c>
      <c r="F395" s="1" t="s">
        <v>40</v>
      </c>
      <c r="G395">
        <v>8</v>
      </c>
      <c r="H395" s="1" t="s">
        <v>26</v>
      </c>
      <c r="I395" s="1" t="s">
        <v>75</v>
      </c>
      <c r="J395">
        <v>9</v>
      </c>
      <c r="K395">
        <v>27.99</v>
      </c>
      <c r="L395" s="1" t="s">
        <v>28</v>
      </c>
      <c r="M395" s="1" t="s">
        <v>61</v>
      </c>
      <c r="N395" s="1" t="s">
        <v>62</v>
      </c>
      <c r="O395" s="1" t="s">
        <v>31</v>
      </c>
      <c r="P395" s="2">
        <v>45726</v>
      </c>
      <c r="Q395" s="1" t="s">
        <v>943</v>
      </c>
      <c r="R395" s="1" t="s">
        <v>944</v>
      </c>
      <c r="S395" s="1" t="s">
        <v>47</v>
      </c>
      <c r="T395" s="1" t="s">
        <v>35</v>
      </c>
      <c r="U395" s="1" t="s">
        <v>48</v>
      </c>
      <c r="V395" s="1" t="s">
        <v>37</v>
      </c>
      <c r="W395">
        <v>2</v>
      </c>
    </row>
    <row r="396" spans="1:23" x14ac:dyDescent="0.3">
      <c r="A396" s="1" t="s">
        <v>945</v>
      </c>
      <c r="B396">
        <v>1</v>
      </c>
      <c r="C396">
        <v>27.99</v>
      </c>
      <c r="D396">
        <v>27.99</v>
      </c>
      <c r="E396" s="1" t="s">
        <v>946</v>
      </c>
      <c r="F396" s="1" t="s">
        <v>51</v>
      </c>
      <c r="G396">
        <v>0</v>
      </c>
      <c r="H396" s="1" t="s">
        <v>41</v>
      </c>
      <c r="I396" s="1" t="s">
        <v>75</v>
      </c>
      <c r="J396">
        <v>9</v>
      </c>
      <c r="K396">
        <v>27.99</v>
      </c>
      <c r="L396" s="1" t="s">
        <v>28</v>
      </c>
      <c r="M396" s="1" t="s">
        <v>61</v>
      </c>
      <c r="N396" s="1" t="s">
        <v>62</v>
      </c>
      <c r="O396" s="1" t="s">
        <v>31</v>
      </c>
      <c r="P396" s="2">
        <v>45726</v>
      </c>
      <c r="Q396" s="1" t="s">
        <v>947</v>
      </c>
      <c r="R396" s="1" t="s">
        <v>948</v>
      </c>
      <c r="S396" s="1" t="s">
        <v>65</v>
      </c>
      <c r="T396" s="1" t="s">
        <v>35</v>
      </c>
      <c r="U396" s="1" t="s">
        <v>82</v>
      </c>
      <c r="V396" s="1" t="s">
        <v>37</v>
      </c>
      <c r="W396">
        <v>2</v>
      </c>
    </row>
    <row r="397" spans="1:23" x14ac:dyDescent="0.3">
      <c r="A397" s="1" t="s">
        <v>949</v>
      </c>
      <c r="B397">
        <v>3</v>
      </c>
      <c r="C397">
        <v>30.99</v>
      </c>
      <c r="D397">
        <v>74.33</v>
      </c>
      <c r="E397" s="1" t="s">
        <v>950</v>
      </c>
      <c r="F397" s="1" t="s">
        <v>70</v>
      </c>
      <c r="G397">
        <v>0</v>
      </c>
      <c r="H397" s="1" t="s">
        <v>26</v>
      </c>
      <c r="I397" s="1" t="s">
        <v>42</v>
      </c>
      <c r="J397">
        <v>10.5</v>
      </c>
      <c r="K397">
        <v>30.99</v>
      </c>
      <c r="L397" s="1" t="s">
        <v>28</v>
      </c>
      <c r="M397" s="1" t="s">
        <v>43</v>
      </c>
      <c r="N397" s="1" t="s">
        <v>44</v>
      </c>
      <c r="O397" s="1" t="s">
        <v>31</v>
      </c>
      <c r="P397" s="2">
        <v>45823</v>
      </c>
      <c r="Q397" s="1" t="s">
        <v>951</v>
      </c>
      <c r="R397" s="1" t="s">
        <v>952</v>
      </c>
      <c r="S397" s="1" t="s">
        <v>65</v>
      </c>
      <c r="T397" s="1" t="s">
        <v>35</v>
      </c>
      <c r="U397" s="1" t="s">
        <v>48</v>
      </c>
      <c r="V397" s="1" t="s">
        <v>37</v>
      </c>
      <c r="W397">
        <v>2</v>
      </c>
    </row>
    <row r="398" spans="1:23" x14ac:dyDescent="0.3">
      <c r="A398" s="1" t="s">
        <v>953</v>
      </c>
      <c r="B398">
        <v>1</v>
      </c>
      <c r="C398">
        <v>34.99</v>
      </c>
      <c r="D398">
        <v>34.99</v>
      </c>
      <c r="E398" s="1" t="s">
        <v>954</v>
      </c>
      <c r="F398" s="1" t="s">
        <v>40</v>
      </c>
      <c r="G398">
        <v>8</v>
      </c>
      <c r="H398" s="1" t="s">
        <v>41</v>
      </c>
      <c r="I398" s="1" t="s">
        <v>85</v>
      </c>
      <c r="J398">
        <v>12.5</v>
      </c>
      <c r="K398">
        <v>34.99</v>
      </c>
      <c r="L398" s="1" t="s">
        <v>60</v>
      </c>
      <c r="M398" s="1" t="s">
        <v>29</v>
      </c>
      <c r="N398" s="1" t="s">
        <v>30</v>
      </c>
      <c r="O398" s="1" t="s">
        <v>31</v>
      </c>
      <c r="P398" s="2">
        <v>45778</v>
      </c>
      <c r="Q398" s="1" t="s">
        <v>71</v>
      </c>
      <c r="R398" s="1" t="s">
        <v>955</v>
      </c>
      <c r="S398" s="1" t="s">
        <v>65</v>
      </c>
      <c r="T398" s="1" t="s">
        <v>35</v>
      </c>
      <c r="U398" s="1" t="s">
        <v>82</v>
      </c>
      <c r="V398" s="1" t="s">
        <v>89</v>
      </c>
      <c r="W398">
        <v>2.4</v>
      </c>
    </row>
    <row r="399" spans="1:23" x14ac:dyDescent="0.3">
      <c r="A399" s="1" t="s">
        <v>956</v>
      </c>
      <c r="B399">
        <v>1</v>
      </c>
      <c r="C399">
        <v>30.99</v>
      </c>
      <c r="D399">
        <v>30.99</v>
      </c>
      <c r="E399" s="1" t="s">
        <v>200</v>
      </c>
      <c r="F399" s="1" t="s">
        <v>40</v>
      </c>
      <c r="G399">
        <v>3</v>
      </c>
      <c r="H399" s="1" t="s">
        <v>26</v>
      </c>
      <c r="I399" s="1" t="s">
        <v>42</v>
      </c>
      <c r="J399">
        <v>10.5</v>
      </c>
      <c r="K399">
        <v>30.99</v>
      </c>
      <c r="L399" s="1" t="s">
        <v>28</v>
      </c>
      <c r="M399" s="1" t="s">
        <v>43</v>
      </c>
      <c r="N399" s="1" t="s">
        <v>44</v>
      </c>
      <c r="O399" s="1" t="s">
        <v>31</v>
      </c>
      <c r="P399" s="2">
        <v>45823</v>
      </c>
      <c r="Q399" s="1" t="s">
        <v>957</v>
      </c>
      <c r="R399" s="1" t="s">
        <v>958</v>
      </c>
      <c r="S399" s="1" t="s">
        <v>105</v>
      </c>
      <c r="T399" s="1" t="s">
        <v>35</v>
      </c>
      <c r="U399" s="1" t="s">
        <v>66</v>
      </c>
      <c r="V399" s="1" t="s">
        <v>37</v>
      </c>
      <c r="W399">
        <v>2</v>
      </c>
    </row>
    <row r="400" spans="1:23" x14ac:dyDescent="0.3">
      <c r="A400" s="1" t="s">
        <v>959</v>
      </c>
      <c r="B400">
        <v>1</v>
      </c>
      <c r="C400">
        <v>30.99</v>
      </c>
      <c r="D400">
        <v>30.99</v>
      </c>
      <c r="E400" s="1" t="s">
        <v>348</v>
      </c>
      <c r="F400" s="1" t="s">
        <v>51</v>
      </c>
      <c r="G400">
        <v>0</v>
      </c>
      <c r="H400" s="1" t="s">
        <v>58</v>
      </c>
      <c r="I400" s="1" t="s">
        <v>42</v>
      </c>
      <c r="J400">
        <v>10.5</v>
      </c>
      <c r="K400">
        <v>30.99</v>
      </c>
      <c r="L400" s="1" t="s">
        <v>28</v>
      </c>
      <c r="M400" s="1" t="s">
        <v>43</v>
      </c>
      <c r="N400" s="1" t="s">
        <v>44</v>
      </c>
      <c r="O400" s="1" t="s">
        <v>31</v>
      </c>
      <c r="P400" s="2">
        <v>45823</v>
      </c>
      <c r="Q400" s="1" t="s">
        <v>960</v>
      </c>
      <c r="R400" s="1" t="s">
        <v>961</v>
      </c>
      <c r="S400" s="1" t="s">
        <v>47</v>
      </c>
      <c r="T400" s="1" t="s">
        <v>35</v>
      </c>
      <c r="U400" s="1" t="s">
        <v>48</v>
      </c>
      <c r="V400" s="1" t="s">
        <v>37</v>
      </c>
      <c r="W400">
        <v>2</v>
      </c>
    </row>
    <row r="401" spans="1:23" x14ac:dyDescent="0.3">
      <c r="A401" s="1" t="s">
        <v>962</v>
      </c>
      <c r="B401">
        <v>1</v>
      </c>
      <c r="C401">
        <v>27.99</v>
      </c>
      <c r="D401">
        <v>27.99</v>
      </c>
      <c r="E401" s="1" t="s">
        <v>121</v>
      </c>
      <c r="F401" s="1" t="s">
        <v>40</v>
      </c>
      <c r="G401">
        <v>3</v>
      </c>
      <c r="H401" s="1" t="s">
        <v>41</v>
      </c>
      <c r="I401" s="1" t="s">
        <v>75</v>
      </c>
      <c r="J401">
        <v>9</v>
      </c>
      <c r="K401">
        <v>27.99</v>
      </c>
      <c r="L401" s="1" t="s">
        <v>28</v>
      </c>
      <c r="M401" s="1" t="s">
        <v>61</v>
      </c>
      <c r="N401" s="1" t="s">
        <v>62</v>
      </c>
      <c r="O401" s="1" t="s">
        <v>31</v>
      </c>
      <c r="P401" s="2">
        <v>45726</v>
      </c>
      <c r="Q401" s="1" t="s">
        <v>745</v>
      </c>
      <c r="R401" s="1" t="s">
        <v>746</v>
      </c>
      <c r="S401" s="1" t="s">
        <v>105</v>
      </c>
      <c r="T401" s="1" t="s">
        <v>35</v>
      </c>
      <c r="U401" s="1" t="s">
        <v>48</v>
      </c>
      <c r="V401" s="1" t="s">
        <v>37</v>
      </c>
      <c r="W401">
        <v>2</v>
      </c>
    </row>
    <row r="402" spans="1:23" x14ac:dyDescent="0.3">
      <c r="A402" s="1" t="s">
        <v>963</v>
      </c>
      <c r="B402">
        <v>1</v>
      </c>
      <c r="C402">
        <v>18.989999999999998</v>
      </c>
      <c r="D402">
        <v>18.989999999999998</v>
      </c>
      <c r="E402" s="1" t="s">
        <v>964</v>
      </c>
      <c r="F402" s="1" t="s">
        <v>25</v>
      </c>
      <c r="G402">
        <v>13</v>
      </c>
      <c r="H402" s="1" t="s">
        <v>96</v>
      </c>
      <c r="I402" s="1" t="s">
        <v>97</v>
      </c>
      <c r="J402">
        <v>6</v>
      </c>
      <c r="K402">
        <v>18.989999999999998</v>
      </c>
      <c r="L402" s="1" t="s">
        <v>60</v>
      </c>
      <c r="M402" s="1" t="s">
        <v>43</v>
      </c>
      <c r="N402" s="1" t="s">
        <v>44</v>
      </c>
      <c r="O402" s="1" t="s">
        <v>31</v>
      </c>
      <c r="P402" s="2">
        <v>45823</v>
      </c>
      <c r="Q402" s="1" t="s">
        <v>965</v>
      </c>
      <c r="R402" s="1" t="s">
        <v>966</v>
      </c>
      <c r="S402" s="1" t="s">
        <v>65</v>
      </c>
      <c r="T402" s="1" t="s">
        <v>35</v>
      </c>
      <c r="U402" s="1" t="s">
        <v>36</v>
      </c>
      <c r="V402" s="1" t="s">
        <v>100</v>
      </c>
      <c r="W402">
        <v>3.2</v>
      </c>
    </row>
    <row r="403" spans="1:23" x14ac:dyDescent="0.3">
      <c r="A403" s="1" t="s">
        <v>967</v>
      </c>
      <c r="B403">
        <v>1</v>
      </c>
      <c r="C403">
        <v>18.989999999999998</v>
      </c>
      <c r="D403">
        <v>18.989999999999998</v>
      </c>
      <c r="E403" s="1" t="s">
        <v>968</v>
      </c>
      <c r="F403" s="1" t="s">
        <v>40</v>
      </c>
      <c r="G403">
        <v>13</v>
      </c>
      <c r="H403" s="1" t="s">
        <v>58</v>
      </c>
      <c r="I403" s="1" t="s">
        <v>97</v>
      </c>
      <c r="J403">
        <v>6</v>
      </c>
      <c r="K403">
        <v>18.989999999999998</v>
      </c>
      <c r="L403" s="1" t="s">
        <v>60</v>
      </c>
      <c r="M403" s="1" t="s">
        <v>43</v>
      </c>
      <c r="N403" s="1" t="s">
        <v>44</v>
      </c>
      <c r="O403" s="1" t="s">
        <v>31</v>
      </c>
      <c r="P403" s="2">
        <v>45823</v>
      </c>
      <c r="Q403" s="1" t="s">
        <v>969</v>
      </c>
      <c r="R403" s="1" t="s">
        <v>970</v>
      </c>
      <c r="S403" s="1" t="s">
        <v>105</v>
      </c>
      <c r="T403" s="1" t="s">
        <v>35</v>
      </c>
      <c r="U403" s="1" t="s">
        <v>36</v>
      </c>
      <c r="V403" s="1" t="s">
        <v>100</v>
      </c>
      <c r="W403">
        <v>3.2</v>
      </c>
    </row>
    <row r="404" spans="1:23" x14ac:dyDescent="0.3">
      <c r="A404" s="1" t="s">
        <v>971</v>
      </c>
      <c r="B404">
        <v>1</v>
      </c>
      <c r="C404">
        <v>34.99</v>
      </c>
      <c r="D404">
        <v>34.99</v>
      </c>
      <c r="E404" s="1" t="s">
        <v>84</v>
      </c>
      <c r="F404" s="1" t="s">
        <v>51</v>
      </c>
      <c r="G404">
        <v>0</v>
      </c>
      <c r="H404" s="1" t="s">
        <v>96</v>
      </c>
      <c r="I404" s="1" t="s">
        <v>85</v>
      </c>
      <c r="J404">
        <v>12.5</v>
      </c>
      <c r="K404">
        <v>34.99</v>
      </c>
      <c r="L404" s="1" t="s">
        <v>60</v>
      </c>
      <c r="M404" s="1" t="s">
        <v>29</v>
      </c>
      <c r="N404" s="1" t="s">
        <v>30</v>
      </c>
      <c r="O404" s="1" t="s">
        <v>31</v>
      </c>
      <c r="P404" s="2">
        <v>45778</v>
      </c>
      <c r="Q404" s="1" t="s">
        <v>972</v>
      </c>
      <c r="R404" s="1" t="s">
        <v>973</v>
      </c>
      <c r="S404" s="1" t="s">
        <v>65</v>
      </c>
      <c r="T404" s="1" t="s">
        <v>35</v>
      </c>
      <c r="U404" s="1" t="s">
        <v>82</v>
      </c>
      <c r="V404" s="1" t="s">
        <v>89</v>
      </c>
      <c r="W404">
        <v>2.4</v>
      </c>
    </row>
    <row r="405" spans="1:23" x14ac:dyDescent="0.3">
      <c r="A405" s="1" t="s">
        <v>974</v>
      </c>
      <c r="B405">
        <v>3</v>
      </c>
      <c r="C405">
        <v>27.99</v>
      </c>
      <c r="D405">
        <v>67.569999999999993</v>
      </c>
      <c r="E405" s="1" t="s">
        <v>419</v>
      </c>
      <c r="F405" s="1" t="s">
        <v>40</v>
      </c>
      <c r="G405">
        <v>2</v>
      </c>
      <c r="H405" s="1" t="s">
        <v>58</v>
      </c>
      <c r="I405" s="1" t="s">
        <v>75</v>
      </c>
      <c r="J405">
        <v>9</v>
      </c>
      <c r="K405">
        <v>27.99</v>
      </c>
      <c r="L405" s="1" t="s">
        <v>28</v>
      </c>
      <c r="M405" s="1" t="s">
        <v>61</v>
      </c>
      <c r="N405" s="1" t="s">
        <v>62</v>
      </c>
      <c r="O405" s="1" t="s">
        <v>31</v>
      </c>
      <c r="P405" s="2">
        <v>45726</v>
      </c>
      <c r="Q405" s="1" t="s">
        <v>975</v>
      </c>
      <c r="R405" s="1" t="s">
        <v>976</v>
      </c>
      <c r="S405" s="1" t="s">
        <v>54</v>
      </c>
      <c r="T405" s="1" t="s">
        <v>35</v>
      </c>
      <c r="U405" s="1" t="s">
        <v>66</v>
      </c>
      <c r="V405" s="1" t="s">
        <v>37</v>
      </c>
      <c r="W405">
        <v>2</v>
      </c>
    </row>
    <row r="406" spans="1:23" x14ac:dyDescent="0.3">
      <c r="A406" s="1" t="s">
        <v>977</v>
      </c>
      <c r="B406">
        <v>3</v>
      </c>
      <c r="C406">
        <v>30.99</v>
      </c>
      <c r="D406">
        <v>73.459999999999994</v>
      </c>
      <c r="E406" s="1" t="s">
        <v>978</v>
      </c>
      <c r="F406" s="1" t="s">
        <v>40</v>
      </c>
      <c r="G406">
        <v>3</v>
      </c>
      <c r="H406" s="1" t="s">
        <v>58</v>
      </c>
      <c r="I406" s="1" t="s">
        <v>42</v>
      </c>
      <c r="J406">
        <v>10.5</v>
      </c>
      <c r="K406">
        <v>30.99</v>
      </c>
      <c r="L406" s="1" t="s">
        <v>28</v>
      </c>
      <c r="M406" s="1" t="s">
        <v>43</v>
      </c>
      <c r="N406" s="1" t="s">
        <v>44</v>
      </c>
      <c r="O406" s="1" t="s">
        <v>31</v>
      </c>
      <c r="P406" s="2">
        <v>45823</v>
      </c>
      <c r="Q406" s="1" t="s">
        <v>979</v>
      </c>
      <c r="R406" s="1" t="s">
        <v>980</v>
      </c>
      <c r="S406" s="1" t="s">
        <v>105</v>
      </c>
      <c r="T406" s="1" t="s">
        <v>35</v>
      </c>
      <c r="U406" s="1" t="s">
        <v>82</v>
      </c>
      <c r="V406" s="1" t="s">
        <v>37</v>
      </c>
      <c r="W406">
        <v>2</v>
      </c>
    </row>
    <row r="407" spans="1:23" x14ac:dyDescent="0.3">
      <c r="A407" s="1" t="s">
        <v>981</v>
      </c>
      <c r="B407">
        <v>1</v>
      </c>
      <c r="C407">
        <v>21.99</v>
      </c>
      <c r="D407">
        <v>21.99</v>
      </c>
      <c r="E407" s="1" t="s">
        <v>982</v>
      </c>
      <c r="F407" s="1" t="s">
        <v>40</v>
      </c>
      <c r="G407">
        <v>3</v>
      </c>
      <c r="H407" s="1" t="s">
        <v>58</v>
      </c>
      <c r="I407" s="1" t="s">
        <v>27</v>
      </c>
      <c r="J407">
        <v>7</v>
      </c>
      <c r="K407">
        <v>21.99</v>
      </c>
      <c r="L407" s="1" t="s">
        <v>28</v>
      </c>
      <c r="M407" s="1" t="s">
        <v>29</v>
      </c>
      <c r="N407" s="1" t="s">
        <v>30</v>
      </c>
      <c r="O407" s="1" t="s">
        <v>31</v>
      </c>
      <c r="P407" s="2">
        <v>45778</v>
      </c>
      <c r="Q407" s="1" t="s">
        <v>654</v>
      </c>
      <c r="R407" s="1" t="s">
        <v>983</v>
      </c>
      <c r="S407" s="1" t="s">
        <v>88</v>
      </c>
      <c r="T407" s="1" t="s">
        <v>35</v>
      </c>
      <c r="U407" s="1" t="s">
        <v>48</v>
      </c>
      <c r="V407" s="1" t="s">
        <v>37</v>
      </c>
      <c r="W407">
        <v>2</v>
      </c>
    </row>
    <row r="408" spans="1:23" x14ac:dyDescent="0.3">
      <c r="A408" s="1" t="s">
        <v>984</v>
      </c>
      <c r="B408">
        <v>2</v>
      </c>
      <c r="C408">
        <v>27.99</v>
      </c>
      <c r="D408">
        <v>48.29</v>
      </c>
      <c r="E408" s="1" t="s">
        <v>985</v>
      </c>
      <c r="F408" s="1" t="s">
        <v>40</v>
      </c>
      <c r="G408">
        <v>8</v>
      </c>
      <c r="H408" s="1" t="s">
        <v>58</v>
      </c>
      <c r="I408" s="1" t="s">
        <v>75</v>
      </c>
      <c r="J408">
        <v>9</v>
      </c>
      <c r="K408">
        <v>27.99</v>
      </c>
      <c r="L408" s="1" t="s">
        <v>28</v>
      </c>
      <c r="M408" s="1" t="s">
        <v>61</v>
      </c>
      <c r="N408" s="1" t="s">
        <v>62</v>
      </c>
      <c r="O408" s="1" t="s">
        <v>31</v>
      </c>
      <c r="P408" s="2">
        <v>45726</v>
      </c>
      <c r="Q408" s="1" t="s">
        <v>986</v>
      </c>
      <c r="R408" s="1" t="s">
        <v>987</v>
      </c>
      <c r="S408" s="1" t="s">
        <v>105</v>
      </c>
      <c r="T408" s="1" t="s">
        <v>35</v>
      </c>
      <c r="U408" s="1" t="s">
        <v>82</v>
      </c>
      <c r="V408" s="1" t="s">
        <v>37</v>
      </c>
      <c r="W408">
        <v>2</v>
      </c>
    </row>
    <row r="409" spans="1:23" x14ac:dyDescent="0.3">
      <c r="A409" s="1" t="s">
        <v>988</v>
      </c>
      <c r="B409">
        <v>1</v>
      </c>
      <c r="C409">
        <v>34.99</v>
      </c>
      <c r="D409">
        <v>34.99</v>
      </c>
      <c r="E409" s="1" t="s">
        <v>989</v>
      </c>
      <c r="F409" s="1" t="s">
        <v>40</v>
      </c>
      <c r="G409">
        <v>8</v>
      </c>
      <c r="H409" s="1" t="s">
        <v>26</v>
      </c>
      <c r="I409" s="1" t="s">
        <v>85</v>
      </c>
      <c r="J409">
        <v>12.5</v>
      </c>
      <c r="K409">
        <v>34.99</v>
      </c>
      <c r="L409" s="1" t="s">
        <v>60</v>
      </c>
      <c r="M409" s="1" t="s">
        <v>29</v>
      </c>
      <c r="N409" s="1" t="s">
        <v>30</v>
      </c>
      <c r="O409" s="1" t="s">
        <v>31</v>
      </c>
      <c r="P409" s="2">
        <v>45778</v>
      </c>
      <c r="Q409" s="1" t="s">
        <v>990</v>
      </c>
      <c r="R409" s="1" t="s">
        <v>991</v>
      </c>
      <c r="S409" s="1" t="s">
        <v>54</v>
      </c>
      <c r="T409" s="1" t="s">
        <v>35</v>
      </c>
      <c r="U409" s="1" t="s">
        <v>48</v>
      </c>
      <c r="V409" s="1" t="s">
        <v>89</v>
      </c>
      <c r="W409">
        <v>2.4</v>
      </c>
    </row>
    <row r="410" spans="1:23" x14ac:dyDescent="0.3">
      <c r="A410" s="1" t="s">
        <v>992</v>
      </c>
      <c r="B410">
        <v>1</v>
      </c>
      <c r="C410">
        <v>21.99</v>
      </c>
      <c r="D410">
        <v>21.99</v>
      </c>
      <c r="E410" s="1" t="s">
        <v>246</v>
      </c>
      <c r="F410" s="1" t="s">
        <v>40</v>
      </c>
      <c r="G410">
        <v>7</v>
      </c>
      <c r="H410" s="1" t="s">
        <v>41</v>
      </c>
      <c r="I410" s="1" t="s">
        <v>27</v>
      </c>
      <c r="J410">
        <v>7</v>
      </c>
      <c r="K410">
        <v>21.99</v>
      </c>
      <c r="L410" s="1" t="s">
        <v>28</v>
      </c>
      <c r="M410" s="1" t="s">
        <v>29</v>
      </c>
      <c r="N410" s="1" t="s">
        <v>30</v>
      </c>
      <c r="O410" s="1" t="s">
        <v>31</v>
      </c>
      <c r="P410" s="2">
        <v>45778</v>
      </c>
      <c r="Q410" s="1" t="s">
        <v>373</v>
      </c>
      <c r="R410" s="1" t="s">
        <v>993</v>
      </c>
      <c r="S410" s="1" t="s">
        <v>34</v>
      </c>
      <c r="T410" s="1" t="s">
        <v>35</v>
      </c>
      <c r="U410" s="1" t="s">
        <v>48</v>
      </c>
      <c r="V410" s="1" t="s">
        <v>37</v>
      </c>
      <c r="W410">
        <v>2</v>
      </c>
    </row>
    <row r="411" spans="1:23" x14ac:dyDescent="0.3">
      <c r="A411" s="1" t="s">
        <v>994</v>
      </c>
      <c r="B411">
        <v>1</v>
      </c>
      <c r="C411">
        <v>30.99</v>
      </c>
      <c r="D411">
        <v>30.99</v>
      </c>
      <c r="E411" s="1" t="s">
        <v>995</v>
      </c>
      <c r="F411" s="1" t="s">
        <v>40</v>
      </c>
      <c r="G411">
        <v>4</v>
      </c>
      <c r="H411" s="1" t="s">
        <v>26</v>
      </c>
      <c r="I411" s="1" t="s">
        <v>42</v>
      </c>
      <c r="J411">
        <v>10.5</v>
      </c>
      <c r="K411">
        <v>30.99</v>
      </c>
      <c r="L411" s="1" t="s">
        <v>28</v>
      </c>
      <c r="M411" s="1" t="s">
        <v>43</v>
      </c>
      <c r="N411" s="1" t="s">
        <v>44</v>
      </c>
      <c r="O411" s="1" t="s">
        <v>31</v>
      </c>
      <c r="P411" s="2">
        <v>45823</v>
      </c>
      <c r="Q411" s="1" t="s">
        <v>909</v>
      </c>
      <c r="R411" s="1" t="s">
        <v>996</v>
      </c>
      <c r="S411" s="1" t="s">
        <v>88</v>
      </c>
      <c r="T411" s="1" t="s">
        <v>35</v>
      </c>
      <c r="U411" s="1" t="s">
        <v>66</v>
      </c>
      <c r="V411" s="1" t="s">
        <v>37</v>
      </c>
      <c r="W411">
        <v>2</v>
      </c>
    </row>
    <row r="412" spans="1:23" x14ac:dyDescent="0.3">
      <c r="A412" s="1" t="s">
        <v>997</v>
      </c>
      <c r="B412">
        <v>1</v>
      </c>
      <c r="C412">
        <v>16.989999999999998</v>
      </c>
      <c r="D412">
        <v>16.989999999999998</v>
      </c>
      <c r="E412" s="1" t="s">
        <v>331</v>
      </c>
      <c r="F412" s="1" t="s">
        <v>40</v>
      </c>
      <c r="G412">
        <v>19</v>
      </c>
      <c r="H412" s="1" t="s">
        <v>26</v>
      </c>
      <c r="I412" s="1" t="s">
        <v>59</v>
      </c>
      <c r="J412">
        <v>5</v>
      </c>
      <c r="K412">
        <v>16.989999999999998</v>
      </c>
      <c r="L412" s="1" t="s">
        <v>60</v>
      </c>
      <c r="M412" s="1" t="s">
        <v>61</v>
      </c>
      <c r="N412" s="1" t="s">
        <v>62</v>
      </c>
      <c r="O412" s="1" t="s">
        <v>31</v>
      </c>
      <c r="P412" s="2">
        <v>45726</v>
      </c>
      <c r="Q412" s="1" t="s">
        <v>385</v>
      </c>
      <c r="R412" s="1" t="s">
        <v>998</v>
      </c>
      <c r="S412" s="1" t="s">
        <v>54</v>
      </c>
      <c r="T412" s="1" t="s">
        <v>35</v>
      </c>
      <c r="U412" s="1" t="s">
        <v>48</v>
      </c>
      <c r="V412" s="1" t="s">
        <v>67</v>
      </c>
      <c r="W412">
        <v>3</v>
      </c>
    </row>
    <row r="413" spans="1:23" x14ac:dyDescent="0.3">
      <c r="A413" s="1" t="s">
        <v>999</v>
      </c>
      <c r="B413">
        <v>1</v>
      </c>
      <c r="C413">
        <v>16.989999999999998</v>
      </c>
      <c r="D413">
        <v>16.989999999999998</v>
      </c>
      <c r="E413" s="1" t="s">
        <v>1000</v>
      </c>
      <c r="F413" s="1" t="s">
        <v>40</v>
      </c>
      <c r="G413">
        <v>18</v>
      </c>
      <c r="H413" s="1" t="s">
        <v>41</v>
      </c>
      <c r="I413" s="1" t="s">
        <v>59</v>
      </c>
      <c r="J413">
        <v>5</v>
      </c>
      <c r="K413">
        <v>16.989999999999998</v>
      </c>
      <c r="L413" s="1" t="s">
        <v>60</v>
      </c>
      <c r="M413" s="1" t="s">
        <v>61</v>
      </c>
      <c r="N413" s="1" t="s">
        <v>62</v>
      </c>
      <c r="O413" s="1" t="s">
        <v>31</v>
      </c>
      <c r="P413" s="2">
        <v>45726</v>
      </c>
      <c r="Q413" s="1" t="s">
        <v>873</v>
      </c>
      <c r="R413" s="1" t="s">
        <v>874</v>
      </c>
      <c r="S413" s="1" t="s">
        <v>105</v>
      </c>
      <c r="T413" s="1" t="s">
        <v>35</v>
      </c>
      <c r="U413" s="1" t="s">
        <v>48</v>
      </c>
      <c r="V413" s="1" t="s">
        <v>67</v>
      </c>
      <c r="W413">
        <v>3</v>
      </c>
    </row>
    <row r="414" spans="1:23" x14ac:dyDescent="0.3">
      <c r="A414" s="1" t="s">
        <v>1001</v>
      </c>
      <c r="B414">
        <v>3</v>
      </c>
      <c r="C414">
        <v>21.99</v>
      </c>
      <c r="D414">
        <v>52.35</v>
      </c>
      <c r="E414" s="1" t="s">
        <v>1002</v>
      </c>
      <c r="F414" s="1" t="s">
        <v>51</v>
      </c>
      <c r="G414">
        <v>0</v>
      </c>
      <c r="H414" s="1" t="s">
        <v>41</v>
      </c>
      <c r="I414" s="1" t="s">
        <v>27</v>
      </c>
      <c r="J414">
        <v>7</v>
      </c>
      <c r="K414">
        <v>21.99</v>
      </c>
      <c r="L414" s="1" t="s">
        <v>28</v>
      </c>
      <c r="M414" s="1" t="s">
        <v>29</v>
      </c>
      <c r="N414" s="1" t="s">
        <v>30</v>
      </c>
      <c r="O414" s="1" t="s">
        <v>31</v>
      </c>
      <c r="P414" s="2">
        <v>45778</v>
      </c>
      <c r="Q414" s="1" t="s">
        <v>1003</v>
      </c>
      <c r="R414" s="1" t="s">
        <v>1004</v>
      </c>
      <c r="S414" s="1" t="s">
        <v>88</v>
      </c>
      <c r="T414" s="1" t="s">
        <v>35</v>
      </c>
      <c r="U414" s="1" t="s">
        <v>82</v>
      </c>
      <c r="V414" s="1" t="s">
        <v>37</v>
      </c>
      <c r="W414">
        <v>2</v>
      </c>
    </row>
    <row r="415" spans="1:23" x14ac:dyDescent="0.3">
      <c r="A415" s="1" t="s">
        <v>1005</v>
      </c>
      <c r="B415">
        <v>1</v>
      </c>
      <c r="C415">
        <v>21.99</v>
      </c>
      <c r="D415">
        <v>21.99</v>
      </c>
      <c r="E415" s="1" t="s">
        <v>1006</v>
      </c>
      <c r="F415" s="1" t="s">
        <v>40</v>
      </c>
      <c r="G415">
        <v>3</v>
      </c>
      <c r="H415" s="1" t="s">
        <v>26</v>
      </c>
      <c r="I415" s="1" t="s">
        <v>27</v>
      </c>
      <c r="J415">
        <v>7</v>
      </c>
      <c r="K415">
        <v>21.99</v>
      </c>
      <c r="L415" s="1" t="s">
        <v>28</v>
      </c>
      <c r="M415" s="1" t="s">
        <v>29</v>
      </c>
      <c r="N415" s="1" t="s">
        <v>30</v>
      </c>
      <c r="O415" s="1" t="s">
        <v>31</v>
      </c>
      <c r="P415" s="2">
        <v>45778</v>
      </c>
      <c r="Q415" s="1" t="s">
        <v>836</v>
      </c>
      <c r="R415" s="1" t="s">
        <v>837</v>
      </c>
      <c r="S415" s="1" t="s">
        <v>105</v>
      </c>
      <c r="T415" s="1" t="s">
        <v>35</v>
      </c>
      <c r="U415" s="1" t="s">
        <v>55</v>
      </c>
      <c r="V415" s="1" t="s">
        <v>37</v>
      </c>
      <c r="W415">
        <v>2</v>
      </c>
    </row>
    <row r="416" spans="1:23" x14ac:dyDescent="0.3">
      <c r="A416" s="1" t="s">
        <v>1007</v>
      </c>
      <c r="B416">
        <v>1</v>
      </c>
      <c r="C416">
        <v>18.989999999999998</v>
      </c>
      <c r="D416">
        <v>18.989999999999998</v>
      </c>
      <c r="E416" s="1" t="s">
        <v>1008</v>
      </c>
      <c r="F416" s="1" t="s">
        <v>40</v>
      </c>
      <c r="G416">
        <v>11</v>
      </c>
      <c r="H416" s="1" t="s">
        <v>41</v>
      </c>
      <c r="I416" s="1" t="s">
        <v>97</v>
      </c>
      <c r="J416">
        <v>6</v>
      </c>
      <c r="K416">
        <v>18.989999999999998</v>
      </c>
      <c r="L416" s="1" t="s">
        <v>60</v>
      </c>
      <c r="M416" s="1" t="s">
        <v>43</v>
      </c>
      <c r="N416" s="1" t="s">
        <v>44</v>
      </c>
      <c r="O416" s="1" t="s">
        <v>31</v>
      </c>
      <c r="P416" s="2">
        <v>45823</v>
      </c>
      <c r="Q416" s="1" t="s">
        <v>1009</v>
      </c>
      <c r="R416" s="1" t="s">
        <v>1010</v>
      </c>
      <c r="S416" s="1" t="s">
        <v>47</v>
      </c>
      <c r="T416" s="1" t="s">
        <v>35</v>
      </c>
      <c r="U416" s="1" t="s">
        <v>82</v>
      </c>
      <c r="V416" s="1" t="s">
        <v>100</v>
      </c>
      <c r="W416">
        <v>3.2</v>
      </c>
    </row>
    <row r="417" spans="1:23" x14ac:dyDescent="0.3">
      <c r="A417" s="1" t="s">
        <v>1011</v>
      </c>
      <c r="B417">
        <v>1</v>
      </c>
      <c r="C417">
        <v>27.99</v>
      </c>
      <c r="D417">
        <v>27.99</v>
      </c>
      <c r="E417" s="1" t="s">
        <v>102</v>
      </c>
      <c r="F417" s="1" t="s">
        <v>40</v>
      </c>
      <c r="G417">
        <v>2</v>
      </c>
      <c r="H417" s="1" t="s">
        <v>41</v>
      </c>
      <c r="I417" s="1" t="s">
        <v>75</v>
      </c>
      <c r="J417">
        <v>9</v>
      </c>
      <c r="K417">
        <v>27.99</v>
      </c>
      <c r="L417" s="1" t="s">
        <v>28</v>
      </c>
      <c r="M417" s="1" t="s">
        <v>61</v>
      </c>
      <c r="N417" s="1" t="s">
        <v>62</v>
      </c>
      <c r="O417" s="1" t="s">
        <v>31</v>
      </c>
      <c r="P417" s="2">
        <v>45726</v>
      </c>
      <c r="Q417" s="1" t="s">
        <v>1012</v>
      </c>
      <c r="R417" s="1" t="s">
        <v>1013</v>
      </c>
      <c r="S417" s="1" t="s">
        <v>65</v>
      </c>
      <c r="T417" s="1" t="s">
        <v>35</v>
      </c>
      <c r="U417" s="1" t="s">
        <v>36</v>
      </c>
      <c r="V417" s="1" t="s">
        <v>37</v>
      </c>
      <c r="W417">
        <v>2</v>
      </c>
    </row>
    <row r="418" spans="1:23" x14ac:dyDescent="0.3">
      <c r="A418" s="1" t="s">
        <v>1014</v>
      </c>
      <c r="B418">
        <v>2</v>
      </c>
      <c r="C418">
        <v>30.99</v>
      </c>
      <c r="D418">
        <v>53.58</v>
      </c>
      <c r="E418" s="1" t="s">
        <v>1015</v>
      </c>
      <c r="F418" s="1" t="s">
        <v>51</v>
      </c>
      <c r="G418">
        <v>0</v>
      </c>
      <c r="H418" s="1" t="s">
        <v>41</v>
      </c>
      <c r="I418" s="1" t="s">
        <v>42</v>
      </c>
      <c r="J418">
        <v>10.5</v>
      </c>
      <c r="K418">
        <v>30.99</v>
      </c>
      <c r="L418" s="1" t="s">
        <v>28</v>
      </c>
      <c r="M418" s="1" t="s">
        <v>43</v>
      </c>
      <c r="N418" s="1" t="s">
        <v>44</v>
      </c>
      <c r="O418" s="1" t="s">
        <v>31</v>
      </c>
      <c r="P418" s="2">
        <v>45823</v>
      </c>
      <c r="Q418" s="1" t="s">
        <v>189</v>
      </c>
      <c r="R418" s="1" t="s">
        <v>1016</v>
      </c>
      <c r="S418" s="1" t="s">
        <v>105</v>
      </c>
      <c r="T418" s="1" t="s">
        <v>35</v>
      </c>
      <c r="U418" s="1" t="s">
        <v>48</v>
      </c>
      <c r="V418" s="1" t="s">
        <v>37</v>
      </c>
      <c r="W418">
        <v>2</v>
      </c>
    </row>
    <row r="419" spans="1:23" x14ac:dyDescent="0.3">
      <c r="A419" s="1" t="s">
        <v>1017</v>
      </c>
      <c r="B419">
        <v>1</v>
      </c>
      <c r="C419">
        <v>30.99</v>
      </c>
      <c r="D419">
        <v>30.99</v>
      </c>
      <c r="E419" s="1" t="s">
        <v>923</v>
      </c>
      <c r="F419" s="1" t="s">
        <v>25</v>
      </c>
      <c r="G419">
        <v>2</v>
      </c>
      <c r="H419" s="1" t="s">
        <v>96</v>
      </c>
      <c r="I419" s="1" t="s">
        <v>42</v>
      </c>
      <c r="J419">
        <v>10.5</v>
      </c>
      <c r="K419">
        <v>30.99</v>
      </c>
      <c r="L419" s="1" t="s">
        <v>28</v>
      </c>
      <c r="M419" s="1" t="s">
        <v>43</v>
      </c>
      <c r="N419" s="1" t="s">
        <v>44</v>
      </c>
      <c r="O419" s="1" t="s">
        <v>31</v>
      </c>
      <c r="P419" s="2">
        <v>45823</v>
      </c>
      <c r="Q419" s="1" t="s">
        <v>1018</v>
      </c>
      <c r="R419" s="1" t="s">
        <v>1019</v>
      </c>
      <c r="S419" s="1" t="s">
        <v>34</v>
      </c>
      <c r="T419" s="1" t="s">
        <v>35</v>
      </c>
      <c r="U419" s="1" t="s">
        <v>82</v>
      </c>
      <c r="V419" s="1" t="s">
        <v>37</v>
      </c>
      <c r="W419">
        <v>2</v>
      </c>
    </row>
    <row r="420" spans="1:23" x14ac:dyDescent="0.3">
      <c r="A420" s="1" t="s">
        <v>1020</v>
      </c>
      <c r="B420">
        <v>1</v>
      </c>
      <c r="C420">
        <v>27.99</v>
      </c>
      <c r="D420">
        <v>27.99</v>
      </c>
      <c r="E420" s="1" t="s">
        <v>731</v>
      </c>
      <c r="F420" s="1" t="s">
        <v>40</v>
      </c>
      <c r="G420">
        <v>2</v>
      </c>
      <c r="H420" s="1" t="s">
        <v>96</v>
      </c>
      <c r="I420" s="1" t="s">
        <v>75</v>
      </c>
      <c r="J420">
        <v>9</v>
      </c>
      <c r="K420">
        <v>27.99</v>
      </c>
      <c r="L420" s="1" t="s">
        <v>28</v>
      </c>
      <c r="M420" s="1" t="s">
        <v>61</v>
      </c>
      <c r="N420" s="1" t="s">
        <v>62</v>
      </c>
      <c r="O420" s="1" t="s">
        <v>31</v>
      </c>
      <c r="P420" s="2">
        <v>45726</v>
      </c>
      <c r="Q420" s="1" t="s">
        <v>1021</v>
      </c>
      <c r="R420" s="1" t="s">
        <v>1022</v>
      </c>
      <c r="S420" s="1" t="s">
        <v>54</v>
      </c>
      <c r="T420" s="1" t="s">
        <v>35</v>
      </c>
      <c r="U420" s="1" t="s">
        <v>82</v>
      </c>
      <c r="V420" s="1" t="s">
        <v>37</v>
      </c>
      <c r="W420">
        <v>2</v>
      </c>
    </row>
    <row r="421" spans="1:23" x14ac:dyDescent="0.3">
      <c r="A421" s="1" t="s">
        <v>1023</v>
      </c>
      <c r="B421">
        <v>1</v>
      </c>
      <c r="C421">
        <v>21.99</v>
      </c>
      <c r="D421">
        <v>21.99</v>
      </c>
      <c r="E421" s="1" t="s">
        <v>881</v>
      </c>
      <c r="F421" s="1" t="s">
        <v>40</v>
      </c>
      <c r="G421">
        <v>2</v>
      </c>
      <c r="H421" s="1" t="s">
        <v>41</v>
      </c>
      <c r="I421" s="1" t="s">
        <v>27</v>
      </c>
      <c r="J421">
        <v>7</v>
      </c>
      <c r="K421">
        <v>21.99</v>
      </c>
      <c r="L421" s="1" t="s">
        <v>28</v>
      </c>
      <c r="M421" s="1" t="s">
        <v>29</v>
      </c>
      <c r="N421" s="1" t="s">
        <v>30</v>
      </c>
      <c r="O421" s="1" t="s">
        <v>31</v>
      </c>
      <c r="P421" s="2">
        <v>45778</v>
      </c>
      <c r="Q421" s="1" t="s">
        <v>1024</v>
      </c>
      <c r="R421" s="1" t="s">
        <v>1025</v>
      </c>
      <c r="S421" s="1" t="s">
        <v>34</v>
      </c>
      <c r="T421" s="1" t="s">
        <v>35</v>
      </c>
      <c r="U421" s="1" t="s">
        <v>66</v>
      </c>
      <c r="V421" s="1" t="s">
        <v>37</v>
      </c>
      <c r="W421">
        <v>2</v>
      </c>
    </row>
    <row r="422" spans="1:23" x14ac:dyDescent="0.3">
      <c r="A422" s="1" t="s">
        <v>1026</v>
      </c>
      <c r="B422">
        <v>1</v>
      </c>
      <c r="C422">
        <v>18.989999999999998</v>
      </c>
      <c r="D422">
        <v>18.989999999999998</v>
      </c>
      <c r="E422" s="1" t="s">
        <v>1027</v>
      </c>
      <c r="F422" s="1" t="s">
        <v>51</v>
      </c>
      <c r="G422">
        <v>0</v>
      </c>
      <c r="H422" s="1" t="s">
        <v>26</v>
      </c>
      <c r="I422" s="1" t="s">
        <v>97</v>
      </c>
      <c r="J422">
        <v>6</v>
      </c>
      <c r="K422">
        <v>18.989999999999998</v>
      </c>
      <c r="L422" s="1" t="s">
        <v>60</v>
      </c>
      <c r="M422" s="1" t="s">
        <v>43</v>
      </c>
      <c r="N422" s="1" t="s">
        <v>44</v>
      </c>
      <c r="O422" s="1" t="s">
        <v>31</v>
      </c>
      <c r="P422" s="2">
        <v>45823</v>
      </c>
      <c r="Q422" s="1" t="s">
        <v>1028</v>
      </c>
      <c r="R422" s="1" t="s">
        <v>1029</v>
      </c>
      <c r="S422" s="1" t="s">
        <v>105</v>
      </c>
      <c r="T422" s="1" t="s">
        <v>35</v>
      </c>
      <c r="U422" s="1" t="s">
        <v>36</v>
      </c>
      <c r="V422" s="1" t="s">
        <v>100</v>
      </c>
      <c r="W422">
        <v>3.2</v>
      </c>
    </row>
    <row r="423" spans="1:23" x14ac:dyDescent="0.3">
      <c r="A423" s="1" t="s">
        <v>1030</v>
      </c>
      <c r="B423">
        <v>3</v>
      </c>
      <c r="C423">
        <v>30.99</v>
      </c>
      <c r="D423">
        <v>73.31</v>
      </c>
      <c r="E423" s="1" t="s">
        <v>1031</v>
      </c>
      <c r="F423" s="1" t="s">
        <v>70</v>
      </c>
      <c r="G423">
        <v>0</v>
      </c>
      <c r="H423" s="1" t="s">
        <v>96</v>
      </c>
      <c r="I423" s="1" t="s">
        <v>42</v>
      </c>
      <c r="J423">
        <v>10.5</v>
      </c>
      <c r="K423">
        <v>30.99</v>
      </c>
      <c r="L423" s="1" t="s">
        <v>28</v>
      </c>
      <c r="M423" s="1" t="s">
        <v>43</v>
      </c>
      <c r="N423" s="1" t="s">
        <v>44</v>
      </c>
      <c r="O423" s="1" t="s">
        <v>31</v>
      </c>
      <c r="P423" s="2">
        <v>45823</v>
      </c>
      <c r="Q423" s="1" t="s">
        <v>1032</v>
      </c>
      <c r="R423" s="1" t="s">
        <v>1033</v>
      </c>
      <c r="S423" s="1" t="s">
        <v>105</v>
      </c>
      <c r="T423" s="1" t="s">
        <v>35</v>
      </c>
      <c r="U423" s="1" t="s">
        <v>55</v>
      </c>
      <c r="V423" s="1" t="s">
        <v>37</v>
      </c>
      <c r="W423">
        <v>2</v>
      </c>
    </row>
    <row r="424" spans="1:23" x14ac:dyDescent="0.3">
      <c r="A424" s="1" t="s">
        <v>1034</v>
      </c>
      <c r="B424">
        <v>1</v>
      </c>
      <c r="C424">
        <v>16.989999999999998</v>
      </c>
      <c r="D424">
        <v>16.989999999999998</v>
      </c>
      <c r="E424" s="1" t="s">
        <v>181</v>
      </c>
      <c r="F424" s="1" t="s">
        <v>51</v>
      </c>
      <c r="G424">
        <v>0</v>
      </c>
      <c r="H424" s="1" t="s">
        <v>26</v>
      </c>
      <c r="I424" s="1" t="s">
        <v>59</v>
      </c>
      <c r="J424">
        <v>5</v>
      </c>
      <c r="K424">
        <v>16.989999999999998</v>
      </c>
      <c r="L424" s="1" t="s">
        <v>60</v>
      </c>
      <c r="M424" s="1" t="s">
        <v>61</v>
      </c>
      <c r="N424" s="1" t="s">
        <v>62</v>
      </c>
      <c r="O424" s="1" t="s">
        <v>31</v>
      </c>
      <c r="P424" s="2">
        <v>45726</v>
      </c>
      <c r="Q424" s="1" t="s">
        <v>1035</v>
      </c>
      <c r="R424" s="1" t="s">
        <v>1036</v>
      </c>
      <c r="S424" s="1" t="s">
        <v>54</v>
      </c>
      <c r="T424" s="1" t="s">
        <v>35</v>
      </c>
      <c r="U424" s="1" t="s">
        <v>66</v>
      </c>
      <c r="V424" s="1" t="s">
        <v>67</v>
      </c>
      <c r="W424">
        <v>3</v>
      </c>
    </row>
    <row r="425" spans="1:23" x14ac:dyDescent="0.3">
      <c r="A425" s="1" t="s">
        <v>1037</v>
      </c>
      <c r="B425">
        <v>1</v>
      </c>
      <c r="C425">
        <v>30.99</v>
      </c>
      <c r="D425">
        <v>30.99</v>
      </c>
      <c r="E425" s="1" t="s">
        <v>248</v>
      </c>
      <c r="F425" s="1" t="s">
        <v>51</v>
      </c>
      <c r="G425">
        <v>0</v>
      </c>
      <c r="H425" s="1" t="s">
        <v>96</v>
      </c>
      <c r="I425" s="1" t="s">
        <v>42</v>
      </c>
      <c r="J425">
        <v>10.5</v>
      </c>
      <c r="K425">
        <v>30.99</v>
      </c>
      <c r="L425" s="1" t="s">
        <v>28</v>
      </c>
      <c r="M425" s="1" t="s">
        <v>43</v>
      </c>
      <c r="N425" s="1" t="s">
        <v>44</v>
      </c>
      <c r="O425" s="1" t="s">
        <v>31</v>
      </c>
      <c r="P425" s="2">
        <v>45823</v>
      </c>
      <c r="Q425" s="1" t="s">
        <v>804</v>
      </c>
      <c r="R425" s="1" t="s">
        <v>1038</v>
      </c>
      <c r="S425" s="1" t="s">
        <v>88</v>
      </c>
      <c r="T425" s="1" t="s">
        <v>35</v>
      </c>
      <c r="U425" s="1" t="s">
        <v>55</v>
      </c>
      <c r="V425" s="1" t="s">
        <v>37</v>
      </c>
      <c r="W425">
        <v>2</v>
      </c>
    </row>
    <row r="426" spans="1:23" x14ac:dyDescent="0.3">
      <c r="A426" s="1" t="s">
        <v>1039</v>
      </c>
      <c r="B426">
        <v>1</v>
      </c>
      <c r="C426">
        <v>18.989999999999998</v>
      </c>
      <c r="D426">
        <v>18.989999999999998</v>
      </c>
      <c r="E426" s="1" t="s">
        <v>1040</v>
      </c>
      <c r="F426" s="1" t="s">
        <v>40</v>
      </c>
      <c r="G426">
        <v>17</v>
      </c>
      <c r="H426" s="1" t="s">
        <v>41</v>
      </c>
      <c r="I426" s="1" t="s">
        <v>97</v>
      </c>
      <c r="J426">
        <v>6</v>
      </c>
      <c r="K426">
        <v>18.989999999999998</v>
      </c>
      <c r="L426" s="1" t="s">
        <v>60</v>
      </c>
      <c r="M426" s="1" t="s">
        <v>43</v>
      </c>
      <c r="N426" s="1" t="s">
        <v>44</v>
      </c>
      <c r="O426" s="1" t="s">
        <v>31</v>
      </c>
      <c r="P426" s="2">
        <v>45823</v>
      </c>
      <c r="Q426" s="1" t="s">
        <v>814</v>
      </c>
      <c r="R426" s="1" t="s">
        <v>1041</v>
      </c>
      <c r="S426" s="1" t="s">
        <v>54</v>
      </c>
      <c r="T426" s="1" t="s">
        <v>35</v>
      </c>
      <c r="U426" s="1" t="s">
        <v>36</v>
      </c>
      <c r="V426" s="1" t="s">
        <v>100</v>
      </c>
      <c r="W426">
        <v>3.2</v>
      </c>
    </row>
    <row r="427" spans="1:23" x14ac:dyDescent="0.3">
      <c r="A427" s="1" t="s">
        <v>1042</v>
      </c>
      <c r="B427">
        <v>1</v>
      </c>
      <c r="C427">
        <v>18.989999999999998</v>
      </c>
      <c r="D427">
        <v>18.989999999999998</v>
      </c>
      <c r="E427" s="1" t="s">
        <v>1043</v>
      </c>
      <c r="F427" s="1" t="s">
        <v>51</v>
      </c>
      <c r="G427">
        <v>0</v>
      </c>
      <c r="H427" s="1" t="s">
        <v>96</v>
      </c>
      <c r="I427" s="1" t="s">
        <v>97</v>
      </c>
      <c r="J427">
        <v>6</v>
      </c>
      <c r="K427">
        <v>18.989999999999998</v>
      </c>
      <c r="L427" s="1" t="s">
        <v>60</v>
      </c>
      <c r="M427" s="1" t="s">
        <v>43</v>
      </c>
      <c r="N427" s="1" t="s">
        <v>44</v>
      </c>
      <c r="O427" s="1" t="s">
        <v>31</v>
      </c>
      <c r="P427" s="2">
        <v>45823</v>
      </c>
      <c r="Q427" s="1" t="s">
        <v>182</v>
      </c>
      <c r="R427" s="1" t="s">
        <v>754</v>
      </c>
      <c r="S427" s="1" t="s">
        <v>65</v>
      </c>
      <c r="T427" s="1" t="s">
        <v>35</v>
      </c>
      <c r="U427" s="1" t="s">
        <v>36</v>
      </c>
      <c r="V427" s="1" t="s">
        <v>100</v>
      </c>
      <c r="W427">
        <v>3.2</v>
      </c>
    </row>
    <row r="428" spans="1:23" x14ac:dyDescent="0.3">
      <c r="A428" s="1" t="s">
        <v>1044</v>
      </c>
      <c r="B428">
        <v>2</v>
      </c>
      <c r="C428">
        <v>21.99</v>
      </c>
      <c r="D428">
        <v>37.85</v>
      </c>
      <c r="E428" s="1" t="s">
        <v>246</v>
      </c>
      <c r="F428" s="1" t="s">
        <v>51</v>
      </c>
      <c r="G428">
        <v>0</v>
      </c>
      <c r="H428" s="1" t="s">
        <v>96</v>
      </c>
      <c r="I428" s="1" t="s">
        <v>27</v>
      </c>
      <c r="J428">
        <v>7</v>
      </c>
      <c r="K428">
        <v>21.99</v>
      </c>
      <c r="L428" s="1" t="s">
        <v>28</v>
      </c>
      <c r="M428" s="1" t="s">
        <v>29</v>
      </c>
      <c r="N428" s="1" t="s">
        <v>30</v>
      </c>
      <c r="O428" s="1" t="s">
        <v>31</v>
      </c>
      <c r="P428" s="2">
        <v>45778</v>
      </c>
      <c r="Q428" s="1" t="s">
        <v>437</v>
      </c>
      <c r="R428" s="1" t="s">
        <v>1045</v>
      </c>
      <c r="S428" s="1" t="s">
        <v>34</v>
      </c>
      <c r="T428" s="1" t="s">
        <v>35</v>
      </c>
      <c r="U428" s="1" t="s">
        <v>66</v>
      </c>
      <c r="V428" s="1" t="s">
        <v>37</v>
      </c>
      <c r="W428">
        <v>2</v>
      </c>
    </row>
    <row r="429" spans="1:23" x14ac:dyDescent="0.3">
      <c r="A429" s="1" t="s">
        <v>1046</v>
      </c>
      <c r="B429">
        <v>1</v>
      </c>
      <c r="C429">
        <v>16.989999999999998</v>
      </c>
      <c r="D429">
        <v>16.989999999999998</v>
      </c>
      <c r="E429" s="1" t="s">
        <v>1047</v>
      </c>
      <c r="F429" s="1" t="s">
        <v>25</v>
      </c>
      <c r="G429">
        <v>19</v>
      </c>
      <c r="H429" s="1" t="s">
        <v>96</v>
      </c>
      <c r="I429" s="1" t="s">
        <v>59</v>
      </c>
      <c r="J429">
        <v>5</v>
      </c>
      <c r="K429">
        <v>16.989999999999998</v>
      </c>
      <c r="L429" s="1" t="s">
        <v>60</v>
      </c>
      <c r="M429" s="1" t="s">
        <v>61</v>
      </c>
      <c r="N429" s="1" t="s">
        <v>62</v>
      </c>
      <c r="O429" s="1" t="s">
        <v>31</v>
      </c>
      <c r="P429" s="2">
        <v>45726</v>
      </c>
      <c r="Q429" s="1" t="s">
        <v>1048</v>
      </c>
      <c r="R429" s="1" t="s">
        <v>1049</v>
      </c>
      <c r="S429" s="1" t="s">
        <v>47</v>
      </c>
      <c r="T429" s="1" t="s">
        <v>35</v>
      </c>
      <c r="U429" s="1" t="s">
        <v>82</v>
      </c>
      <c r="V429" s="1" t="s">
        <v>67</v>
      </c>
      <c r="W429">
        <v>3</v>
      </c>
    </row>
    <row r="430" spans="1:23" x14ac:dyDescent="0.3">
      <c r="A430" s="1" t="s">
        <v>1050</v>
      </c>
      <c r="B430">
        <v>1</v>
      </c>
      <c r="C430">
        <v>21.99</v>
      </c>
      <c r="D430">
        <v>21.99</v>
      </c>
      <c r="E430" s="1" t="s">
        <v>1051</v>
      </c>
      <c r="F430" s="1" t="s">
        <v>40</v>
      </c>
      <c r="G430">
        <v>3</v>
      </c>
      <c r="H430" s="1" t="s">
        <v>96</v>
      </c>
      <c r="I430" s="1" t="s">
        <v>27</v>
      </c>
      <c r="J430">
        <v>7</v>
      </c>
      <c r="K430">
        <v>21.99</v>
      </c>
      <c r="L430" s="1" t="s">
        <v>28</v>
      </c>
      <c r="M430" s="1" t="s">
        <v>29</v>
      </c>
      <c r="N430" s="1" t="s">
        <v>30</v>
      </c>
      <c r="O430" s="1" t="s">
        <v>31</v>
      </c>
      <c r="P430" s="2">
        <v>45778</v>
      </c>
      <c r="Q430" s="1" t="s">
        <v>1052</v>
      </c>
      <c r="R430" s="1" t="s">
        <v>1053</v>
      </c>
      <c r="S430" s="1" t="s">
        <v>105</v>
      </c>
      <c r="T430" s="1" t="s">
        <v>35</v>
      </c>
      <c r="U430" s="1" t="s">
        <v>55</v>
      </c>
      <c r="V430" s="1" t="s">
        <v>37</v>
      </c>
      <c r="W430">
        <v>2</v>
      </c>
    </row>
    <row r="431" spans="1:23" x14ac:dyDescent="0.3">
      <c r="A431" s="1" t="s">
        <v>1054</v>
      </c>
      <c r="B431">
        <v>1</v>
      </c>
      <c r="C431">
        <v>34.99</v>
      </c>
      <c r="D431">
        <v>34.99</v>
      </c>
      <c r="E431" s="1" t="s">
        <v>1055</v>
      </c>
      <c r="F431" s="1" t="s">
        <v>40</v>
      </c>
      <c r="G431">
        <v>11</v>
      </c>
      <c r="H431" s="1" t="s">
        <v>58</v>
      </c>
      <c r="I431" s="1" t="s">
        <v>85</v>
      </c>
      <c r="J431">
        <v>12.5</v>
      </c>
      <c r="K431">
        <v>34.99</v>
      </c>
      <c r="L431" s="1" t="s">
        <v>60</v>
      </c>
      <c r="M431" s="1" t="s">
        <v>29</v>
      </c>
      <c r="N431" s="1" t="s">
        <v>30</v>
      </c>
      <c r="O431" s="1" t="s">
        <v>31</v>
      </c>
      <c r="P431" s="2">
        <v>45778</v>
      </c>
      <c r="Q431" s="1" t="s">
        <v>1035</v>
      </c>
      <c r="R431" s="1" t="s">
        <v>1036</v>
      </c>
      <c r="S431" s="1" t="s">
        <v>54</v>
      </c>
      <c r="T431" s="1" t="s">
        <v>35</v>
      </c>
      <c r="U431" s="1" t="s">
        <v>66</v>
      </c>
      <c r="V431" s="1" t="s">
        <v>89</v>
      </c>
      <c r="W431">
        <v>2.4</v>
      </c>
    </row>
    <row r="432" spans="1:23" x14ac:dyDescent="0.3">
      <c r="A432" s="1" t="s">
        <v>1056</v>
      </c>
      <c r="B432">
        <v>1</v>
      </c>
      <c r="C432">
        <v>21.99</v>
      </c>
      <c r="D432">
        <v>21.99</v>
      </c>
      <c r="E432" s="1" t="s">
        <v>954</v>
      </c>
      <c r="F432" s="1" t="s">
        <v>40</v>
      </c>
      <c r="G432">
        <v>2</v>
      </c>
      <c r="H432" s="1" t="s">
        <v>58</v>
      </c>
      <c r="I432" s="1" t="s">
        <v>27</v>
      </c>
      <c r="J432">
        <v>7</v>
      </c>
      <c r="K432">
        <v>21.99</v>
      </c>
      <c r="L432" s="1" t="s">
        <v>28</v>
      </c>
      <c r="M432" s="1" t="s">
        <v>29</v>
      </c>
      <c r="N432" s="1" t="s">
        <v>30</v>
      </c>
      <c r="O432" s="1" t="s">
        <v>31</v>
      </c>
      <c r="P432" s="2">
        <v>45778</v>
      </c>
      <c r="Q432" s="1" t="s">
        <v>793</v>
      </c>
      <c r="R432" s="1" t="s">
        <v>794</v>
      </c>
      <c r="S432" s="1" t="s">
        <v>34</v>
      </c>
      <c r="T432" s="1" t="s">
        <v>35</v>
      </c>
      <c r="U432" s="1" t="s">
        <v>82</v>
      </c>
      <c r="V432" s="1" t="s">
        <v>37</v>
      </c>
      <c r="W432">
        <v>2</v>
      </c>
    </row>
    <row r="433" spans="1:23" x14ac:dyDescent="0.3">
      <c r="A433" s="1" t="s">
        <v>1057</v>
      </c>
      <c r="B433">
        <v>1</v>
      </c>
      <c r="C433">
        <v>27.99</v>
      </c>
      <c r="D433">
        <v>27.99</v>
      </c>
      <c r="E433" s="1" t="s">
        <v>800</v>
      </c>
      <c r="F433" s="1" t="s">
        <v>188</v>
      </c>
      <c r="G433">
        <v>0</v>
      </c>
      <c r="H433" s="1" t="s">
        <v>58</v>
      </c>
      <c r="I433" s="1" t="s">
        <v>75</v>
      </c>
      <c r="J433">
        <v>9</v>
      </c>
      <c r="K433">
        <v>27.99</v>
      </c>
      <c r="L433" s="1" t="s">
        <v>28</v>
      </c>
      <c r="M433" s="1" t="s">
        <v>61</v>
      </c>
      <c r="N433" s="1" t="s">
        <v>62</v>
      </c>
      <c r="O433" s="1" t="s">
        <v>31</v>
      </c>
      <c r="P433" s="2">
        <v>45726</v>
      </c>
      <c r="Q433" s="1" t="s">
        <v>1058</v>
      </c>
      <c r="R433" s="1" t="s">
        <v>1059</v>
      </c>
      <c r="S433" s="1" t="s">
        <v>65</v>
      </c>
      <c r="T433" s="1" t="s">
        <v>35</v>
      </c>
      <c r="U433" s="1" t="s">
        <v>82</v>
      </c>
      <c r="V433" s="1" t="s">
        <v>37</v>
      </c>
      <c r="W433">
        <v>2</v>
      </c>
    </row>
    <row r="434" spans="1:23" x14ac:dyDescent="0.3">
      <c r="A434" s="1" t="s">
        <v>1060</v>
      </c>
      <c r="B434">
        <v>1</v>
      </c>
      <c r="C434">
        <v>21.99</v>
      </c>
      <c r="D434">
        <v>21.99</v>
      </c>
      <c r="E434" s="1" t="s">
        <v>1061</v>
      </c>
      <c r="F434" s="1" t="s">
        <v>40</v>
      </c>
      <c r="G434">
        <v>2</v>
      </c>
      <c r="H434" s="1" t="s">
        <v>26</v>
      </c>
      <c r="I434" s="1" t="s">
        <v>27</v>
      </c>
      <c r="J434">
        <v>7</v>
      </c>
      <c r="K434">
        <v>21.99</v>
      </c>
      <c r="L434" s="1" t="s">
        <v>28</v>
      </c>
      <c r="M434" s="1" t="s">
        <v>29</v>
      </c>
      <c r="N434" s="1" t="s">
        <v>30</v>
      </c>
      <c r="O434" s="1" t="s">
        <v>31</v>
      </c>
      <c r="P434" s="2">
        <v>45778</v>
      </c>
      <c r="Q434" s="1" t="s">
        <v>92</v>
      </c>
      <c r="R434" s="1" t="s">
        <v>1062</v>
      </c>
      <c r="S434" s="1" t="s">
        <v>65</v>
      </c>
      <c r="T434" s="1" t="s">
        <v>35</v>
      </c>
      <c r="U434" s="1" t="s">
        <v>66</v>
      </c>
      <c r="V434" s="1" t="s">
        <v>37</v>
      </c>
      <c r="W434">
        <v>2</v>
      </c>
    </row>
    <row r="435" spans="1:23" x14ac:dyDescent="0.3">
      <c r="A435" s="1" t="s">
        <v>1063</v>
      </c>
      <c r="B435">
        <v>2</v>
      </c>
      <c r="C435">
        <v>16.989999999999998</v>
      </c>
      <c r="D435">
        <v>29.24</v>
      </c>
      <c r="E435" s="1" t="s">
        <v>1064</v>
      </c>
      <c r="F435" s="1" t="s">
        <v>40</v>
      </c>
      <c r="G435">
        <v>25</v>
      </c>
      <c r="H435" s="1" t="s">
        <v>58</v>
      </c>
      <c r="I435" s="1" t="s">
        <v>59</v>
      </c>
      <c r="J435">
        <v>5</v>
      </c>
      <c r="K435">
        <v>16.989999999999998</v>
      </c>
      <c r="L435" s="1" t="s">
        <v>60</v>
      </c>
      <c r="M435" s="1" t="s">
        <v>61</v>
      </c>
      <c r="N435" s="1" t="s">
        <v>62</v>
      </c>
      <c r="O435" s="1" t="s">
        <v>31</v>
      </c>
      <c r="P435" s="2">
        <v>45726</v>
      </c>
      <c r="Q435" s="1" t="s">
        <v>1065</v>
      </c>
      <c r="R435" s="1" t="s">
        <v>1066</v>
      </c>
      <c r="S435" s="1" t="s">
        <v>65</v>
      </c>
      <c r="T435" s="1" t="s">
        <v>35</v>
      </c>
      <c r="U435" s="1" t="s">
        <v>66</v>
      </c>
      <c r="V435" s="1" t="s">
        <v>67</v>
      </c>
      <c r="W435">
        <v>3</v>
      </c>
    </row>
    <row r="436" spans="1:23" x14ac:dyDescent="0.3">
      <c r="A436" s="1" t="s">
        <v>1067</v>
      </c>
      <c r="B436">
        <v>1</v>
      </c>
      <c r="C436">
        <v>21.99</v>
      </c>
      <c r="D436">
        <v>21.99</v>
      </c>
      <c r="E436" s="1" t="s">
        <v>1068</v>
      </c>
      <c r="F436" s="1" t="s">
        <v>40</v>
      </c>
      <c r="G436">
        <v>2</v>
      </c>
      <c r="H436" s="1" t="s">
        <v>26</v>
      </c>
      <c r="I436" s="1" t="s">
        <v>27</v>
      </c>
      <c r="J436">
        <v>7</v>
      </c>
      <c r="K436">
        <v>21.99</v>
      </c>
      <c r="L436" s="1" t="s">
        <v>28</v>
      </c>
      <c r="M436" s="1" t="s">
        <v>29</v>
      </c>
      <c r="N436" s="1" t="s">
        <v>30</v>
      </c>
      <c r="O436" s="1" t="s">
        <v>31</v>
      </c>
      <c r="P436" s="2">
        <v>45778</v>
      </c>
      <c r="Q436" s="1" t="s">
        <v>1069</v>
      </c>
      <c r="R436" s="1" t="s">
        <v>1070</v>
      </c>
      <c r="S436" s="1" t="s">
        <v>65</v>
      </c>
      <c r="T436" s="1" t="s">
        <v>35</v>
      </c>
      <c r="U436" s="1" t="s">
        <v>66</v>
      </c>
      <c r="V436" s="1" t="s">
        <v>37</v>
      </c>
      <c r="W436">
        <v>2</v>
      </c>
    </row>
    <row r="437" spans="1:23" x14ac:dyDescent="0.3">
      <c r="A437" s="1" t="s">
        <v>1071</v>
      </c>
      <c r="B437">
        <v>1</v>
      </c>
      <c r="C437">
        <v>21.99</v>
      </c>
      <c r="D437">
        <v>21.99</v>
      </c>
      <c r="E437" s="1" t="s">
        <v>175</v>
      </c>
      <c r="F437" s="1" t="s">
        <v>40</v>
      </c>
      <c r="G437">
        <v>2</v>
      </c>
      <c r="H437" s="1" t="s">
        <v>58</v>
      </c>
      <c r="I437" s="1" t="s">
        <v>27</v>
      </c>
      <c r="J437">
        <v>7</v>
      </c>
      <c r="K437">
        <v>21.99</v>
      </c>
      <c r="L437" s="1" t="s">
        <v>28</v>
      </c>
      <c r="M437" s="1" t="s">
        <v>29</v>
      </c>
      <c r="N437" s="1" t="s">
        <v>30</v>
      </c>
      <c r="O437" s="1" t="s">
        <v>31</v>
      </c>
      <c r="P437" s="2">
        <v>45778</v>
      </c>
      <c r="Q437" s="1" t="s">
        <v>1072</v>
      </c>
      <c r="R437" s="1" t="s">
        <v>1073</v>
      </c>
      <c r="S437" s="1" t="s">
        <v>47</v>
      </c>
      <c r="T437" s="1" t="s">
        <v>35</v>
      </c>
      <c r="U437" s="1" t="s">
        <v>36</v>
      </c>
      <c r="V437" s="1" t="s">
        <v>37</v>
      </c>
      <c r="W437">
        <v>2</v>
      </c>
    </row>
    <row r="438" spans="1:23" x14ac:dyDescent="0.3">
      <c r="A438" s="1" t="s">
        <v>1074</v>
      </c>
      <c r="B438">
        <v>1</v>
      </c>
      <c r="C438">
        <v>16.989999999999998</v>
      </c>
      <c r="D438">
        <v>16.989999999999998</v>
      </c>
      <c r="E438" s="1" t="s">
        <v>185</v>
      </c>
      <c r="F438" s="1" t="s">
        <v>25</v>
      </c>
      <c r="G438">
        <v>16</v>
      </c>
      <c r="H438" s="1" t="s">
        <v>96</v>
      </c>
      <c r="I438" s="1" t="s">
        <v>59</v>
      </c>
      <c r="J438">
        <v>5</v>
      </c>
      <c r="K438">
        <v>16.989999999999998</v>
      </c>
      <c r="L438" s="1" t="s">
        <v>60</v>
      </c>
      <c r="M438" s="1" t="s">
        <v>61</v>
      </c>
      <c r="N438" s="1" t="s">
        <v>62</v>
      </c>
      <c r="O438" s="1" t="s">
        <v>31</v>
      </c>
      <c r="P438" s="2">
        <v>45726</v>
      </c>
      <c r="Q438" s="1" t="s">
        <v>1075</v>
      </c>
      <c r="R438" s="1" t="s">
        <v>1076</v>
      </c>
      <c r="S438" s="1" t="s">
        <v>65</v>
      </c>
      <c r="T438" s="1" t="s">
        <v>35</v>
      </c>
      <c r="U438" s="1" t="s">
        <v>55</v>
      </c>
      <c r="V438" s="1" t="s">
        <v>67</v>
      </c>
      <c r="W438">
        <v>3</v>
      </c>
    </row>
    <row r="439" spans="1:23" x14ac:dyDescent="0.3">
      <c r="A439" s="1" t="s">
        <v>1077</v>
      </c>
      <c r="B439">
        <v>2</v>
      </c>
      <c r="C439">
        <v>34.99</v>
      </c>
      <c r="D439">
        <v>60.08</v>
      </c>
      <c r="E439" s="1" t="s">
        <v>1078</v>
      </c>
      <c r="F439" s="1" t="s">
        <v>40</v>
      </c>
      <c r="G439">
        <v>11</v>
      </c>
      <c r="H439" s="1" t="s">
        <v>41</v>
      </c>
      <c r="I439" s="1" t="s">
        <v>85</v>
      </c>
      <c r="J439">
        <v>12.5</v>
      </c>
      <c r="K439">
        <v>34.99</v>
      </c>
      <c r="L439" s="1" t="s">
        <v>60</v>
      </c>
      <c r="M439" s="1" t="s">
        <v>29</v>
      </c>
      <c r="N439" s="1" t="s">
        <v>30</v>
      </c>
      <c r="O439" s="1" t="s">
        <v>31</v>
      </c>
      <c r="P439" s="2">
        <v>45778</v>
      </c>
      <c r="Q439" s="1" t="s">
        <v>1079</v>
      </c>
      <c r="R439" s="1" t="s">
        <v>1080</v>
      </c>
      <c r="S439" s="1" t="s">
        <v>47</v>
      </c>
      <c r="T439" s="1" t="s">
        <v>35</v>
      </c>
      <c r="U439" s="1" t="s">
        <v>82</v>
      </c>
      <c r="V439" s="1" t="s">
        <v>89</v>
      </c>
      <c r="W439">
        <v>2.4</v>
      </c>
    </row>
    <row r="440" spans="1:23" x14ac:dyDescent="0.3">
      <c r="A440" s="1" t="s">
        <v>1081</v>
      </c>
      <c r="B440">
        <v>1</v>
      </c>
      <c r="C440">
        <v>18.989999999999998</v>
      </c>
      <c r="D440">
        <v>18.989999999999998</v>
      </c>
      <c r="E440" s="1" t="s">
        <v>1082</v>
      </c>
      <c r="F440" s="1" t="s">
        <v>51</v>
      </c>
      <c r="G440">
        <v>0</v>
      </c>
      <c r="H440" s="1" t="s">
        <v>41</v>
      </c>
      <c r="I440" s="1" t="s">
        <v>97</v>
      </c>
      <c r="J440">
        <v>6</v>
      </c>
      <c r="K440">
        <v>18.989999999999998</v>
      </c>
      <c r="L440" s="1" t="s">
        <v>60</v>
      </c>
      <c r="M440" s="1" t="s">
        <v>43</v>
      </c>
      <c r="N440" s="1" t="s">
        <v>44</v>
      </c>
      <c r="O440" s="1" t="s">
        <v>31</v>
      </c>
      <c r="P440" s="2">
        <v>45823</v>
      </c>
      <c r="Q440" s="1" t="s">
        <v>1083</v>
      </c>
      <c r="R440" s="1" t="s">
        <v>1084</v>
      </c>
      <c r="S440" s="1" t="s">
        <v>47</v>
      </c>
      <c r="T440" s="1" t="s">
        <v>35</v>
      </c>
      <c r="U440" s="1" t="s">
        <v>36</v>
      </c>
      <c r="V440" s="1" t="s">
        <v>100</v>
      </c>
      <c r="W440">
        <v>3.2</v>
      </c>
    </row>
    <row r="441" spans="1:23" x14ac:dyDescent="0.3">
      <c r="A441" s="1" t="s">
        <v>1085</v>
      </c>
      <c r="B441">
        <v>1</v>
      </c>
      <c r="C441">
        <v>21.99</v>
      </c>
      <c r="D441">
        <v>21.99</v>
      </c>
      <c r="E441" s="1" t="s">
        <v>1086</v>
      </c>
      <c r="F441" s="1" t="s">
        <v>51</v>
      </c>
      <c r="G441">
        <v>0</v>
      </c>
      <c r="H441" s="1" t="s">
        <v>41</v>
      </c>
      <c r="I441" s="1" t="s">
        <v>27</v>
      </c>
      <c r="J441">
        <v>7</v>
      </c>
      <c r="K441">
        <v>21.99</v>
      </c>
      <c r="L441" s="1" t="s">
        <v>28</v>
      </c>
      <c r="M441" s="1" t="s">
        <v>29</v>
      </c>
      <c r="N441" s="1" t="s">
        <v>30</v>
      </c>
      <c r="O441" s="1" t="s">
        <v>31</v>
      </c>
      <c r="P441" s="2">
        <v>45778</v>
      </c>
      <c r="Q441" s="1" t="s">
        <v>990</v>
      </c>
      <c r="R441" s="1" t="s">
        <v>1087</v>
      </c>
      <c r="S441" s="1" t="s">
        <v>105</v>
      </c>
      <c r="T441" s="1" t="s">
        <v>35</v>
      </c>
      <c r="U441" s="1" t="s">
        <v>48</v>
      </c>
      <c r="V441" s="1" t="s">
        <v>37</v>
      </c>
      <c r="W441">
        <v>2</v>
      </c>
    </row>
    <row r="442" spans="1:23" x14ac:dyDescent="0.3">
      <c r="A442" s="1" t="s">
        <v>1088</v>
      </c>
      <c r="B442">
        <v>2</v>
      </c>
      <c r="C442">
        <v>16.989999999999998</v>
      </c>
      <c r="D442">
        <v>29.59</v>
      </c>
      <c r="E442" s="1" t="s">
        <v>493</v>
      </c>
      <c r="F442" s="1" t="s">
        <v>40</v>
      </c>
      <c r="G442">
        <v>18</v>
      </c>
      <c r="H442" s="1" t="s">
        <v>96</v>
      </c>
      <c r="I442" s="1" t="s">
        <v>59</v>
      </c>
      <c r="J442">
        <v>5</v>
      </c>
      <c r="K442">
        <v>16.989999999999998</v>
      </c>
      <c r="L442" s="1" t="s">
        <v>60</v>
      </c>
      <c r="M442" s="1" t="s">
        <v>61</v>
      </c>
      <c r="N442" s="1" t="s">
        <v>62</v>
      </c>
      <c r="O442" s="1" t="s">
        <v>31</v>
      </c>
      <c r="P442" s="2">
        <v>45726</v>
      </c>
      <c r="Q442" s="1" t="s">
        <v>884</v>
      </c>
      <c r="R442" s="1" t="s">
        <v>1089</v>
      </c>
      <c r="S442" s="1" t="s">
        <v>54</v>
      </c>
      <c r="T442" s="1" t="s">
        <v>35</v>
      </c>
      <c r="U442" s="1" t="s">
        <v>48</v>
      </c>
      <c r="V442" s="1" t="s">
        <v>67</v>
      </c>
      <c r="W442">
        <v>3</v>
      </c>
    </row>
    <row r="443" spans="1:23" x14ac:dyDescent="0.3">
      <c r="A443" s="1" t="s">
        <v>1090</v>
      </c>
      <c r="B443">
        <v>1</v>
      </c>
      <c r="C443">
        <v>18.989999999999998</v>
      </c>
      <c r="D443">
        <v>18.989999999999998</v>
      </c>
      <c r="E443" s="1" t="s">
        <v>1091</v>
      </c>
      <c r="F443" s="1" t="s">
        <v>51</v>
      </c>
      <c r="G443">
        <v>0</v>
      </c>
      <c r="H443" s="1" t="s">
        <v>58</v>
      </c>
      <c r="I443" s="1" t="s">
        <v>97</v>
      </c>
      <c r="J443">
        <v>6</v>
      </c>
      <c r="K443">
        <v>18.989999999999998</v>
      </c>
      <c r="L443" s="1" t="s">
        <v>60</v>
      </c>
      <c r="M443" s="1" t="s">
        <v>43</v>
      </c>
      <c r="N443" s="1" t="s">
        <v>44</v>
      </c>
      <c r="O443" s="1" t="s">
        <v>31</v>
      </c>
      <c r="P443" s="2">
        <v>45823</v>
      </c>
      <c r="Q443" s="1" t="s">
        <v>133</v>
      </c>
      <c r="R443" s="1" t="s">
        <v>776</v>
      </c>
      <c r="S443" s="1" t="s">
        <v>88</v>
      </c>
      <c r="T443" s="1" t="s">
        <v>35</v>
      </c>
      <c r="U443" s="1" t="s">
        <v>48</v>
      </c>
      <c r="V443" s="1" t="s">
        <v>100</v>
      </c>
      <c r="W443">
        <v>3.2</v>
      </c>
    </row>
    <row r="444" spans="1:23" x14ac:dyDescent="0.3">
      <c r="A444" s="1" t="s">
        <v>1092</v>
      </c>
      <c r="B444">
        <v>1</v>
      </c>
      <c r="C444">
        <v>27.99</v>
      </c>
      <c r="D444">
        <v>27.99</v>
      </c>
      <c r="E444" s="1" t="s">
        <v>1093</v>
      </c>
      <c r="F444" s="1" t="s">
        <v>40</v>
      </c>
      <c r="G444">
        <v>2</v>
      </c>
      <c r="H444" s="1" t="s">
        <v>41</v>
      </c>
      <c r="I444" s="1" t="s">
        <v>75</v>
      </c>
      <c r="J444">
        <v>9</v>
      </c>
      <c r="K444">
        <v>27.99</v>
      </c>
      <c r="L444" s="1" t="s">
        <v>28</v>
      </c>
      <c r="M444" s="1" t="s">
        <v>61</v>
      </c>
      <c r="N444" s="1" t="s">
        <v>62</v>
      </c>
      <c r="O444" s="1" t="s">
        <v>31</v>
      </c>
      <c r="P444" s="2">
        <v>45726</v>
      </c>
      <c r="Q444" s="1" t="s">
        <v>428</v>
      </c>
      <c r="R444" s="1" t="s">
        <v>1094</v>
      </c>
      <c r="S444" s="1" t="s">
        <v>105</v>
      </c>
      <c r="T444" s="1" t="s">
        <v>35</v>
      </c>
      <c r="U444" s="1" t="s">
        <v>36</v>
      </c>
      <c r="V444" s="1" t="s">
        <v>37</v>
      </c>
      <c r="W444">
        <v>2</v>
      </c>
    </row>
    <row r="445" spans="1:23" x14ac:dyDescent="0.3">
      <c r="A445" s="1" t="s">
        <v>1095</v>
      </c>
      <c r="B445">
        <v>2</v>
      </c>
      <c r="C445">
        <v>30.99</v>
      </c>
      <c r="D445">
        <v>54.2</v>
      </c>
      <c r="E445" s="1" t="s">
        <v>1096</v>
      </c>
      <c r="F445" s="1" t="s">
        <v>70</v>
      </c>
      <c r="G445">
        <v>0</v>
      </c>
      <c r="H445" s="1" t="s">
        <v>96</v>
      </c>
      <c r="I445" s="1" t="s">
        <v>42</v>
      </c>
      <c r="J445">
        <v>10.5</v>
      </c>
      <c r="K445">
        <v>30.99</v>
      </c>
      <c r="L445" s="1" t="s">
        <v>28</v>
      </c>
      <c r="M445" s="1" t="s">
        <v>43</v>
      </c>
      <c r="N445" s="1" t="s">
        <v>44</v>
      </c>
      <c r="O445" s="1" t="s">
        <v>31</v>
      </c>
      <c r="P445" s="2">
        <v>45823</v>
      </c>
      <c r="Q445" s="1" t="s">
        <v>1097</v>
      </c>
      <c r="R445" s="1" t="s">
        <v>1098</v>
      </c>
      <c r="S445" s="1" t="s">
        <v>65</v>
      </c>
      <c r="T445" s="1" t="s">
        <v>35</v>
      </c>
      <c r="U445" s="1" t="s">
        <v>48</v>
      </c>
      <c r="V445" s="1" t="s">
        <v>37</v>
      </c>
      <c r="W445">
        <v>2</v>
      </c>
    </row>
    <row r="446" spans="1:23" x14ac:dyDescent="0.3">
      <c r="A446" s="1" t="s">
        <v>1099</v>
      </c>
      <c r="B446">
        <v>1</v>
      </c>
      <c r="C446">
        <v>18.989999999999998</v>
      </c>
      <c r="D446">
        <v>18.989999999999998</v>
      </c>
      <c r="E446" s="1" t="s">
        <v>1100</v>
      </c>
      <c r="F446" s="1" t="s">
        <v>40</v>
      </c>
      <c r="G446">
        <v>14</v>
      </c>
      <c r="H446" s="1" t="s">
        <v>96</v>
      </c>
      <c r="I446" s="1" t="s">
        <v>97</v>
      </c>
      <c r="J446">
        <v>6</v>
      </c>
      <c r="K446">
        <v>18.989999999999998</v>
      </c>
      <c r="L446" s="1" t="s">
        <v>60</v>
      </c>
      <c r="M446" s="1" t="s">
        <v>43</v>
      </c>
      <c r="N446" s="1" t="s">
        <v>44</v>
      </c>
      <c r="O446" s="1" t="s">
        <v>31</v>
      </c>
      <c r="P446" s="2">
        <v>45823</v>
      </c>
      <c r="Q446" s="1" t="s">
        <v>1101</v>
      </c>
      <c r="R446" s="1" t="s">
        <v>1102</v>
      </c>
      <c r="S446" s="1" t="s">
        <v>47</v>
      </c>
      <c r="T446" s="1" t="s">
        <v>35</v>
      </c>
      <c r="U446" s="1" t="s">
        <v>48</v>
      </c>
      <c r="V446" s="1" t="s">
        <v>100</v>
      </c>
      <c r="W446">
        <v>3.2</v>
      </c>
    </row>
    <row r="447" spans="1:23" x14ac:dyDescent="0.3">
      <c r="A447" s="1" t="s">
        <v>1103</v>
      </c>
      <c r="B447">
        <v>1</v>
      </c>
      <c r="C447">
        <v>18.989999999999998</v>
      </c>
      <c r="D447">
        <v>18.989999999999998</v>
      </c>
      <c r="E447" s="1" t="s">
        <v>317</v>
      </c>
      <c r="F447" s="1" t="s">
        <v>25</v>
      </c>
      <c r="G447">
        <v>13</v>
      </c>
      <c r="H447" s="1" t="s">
        <v>96</v>
      </c>
      <c r="I447" s="1" t="s">
        <v>97</v>
      </c>
      <c r="J447">
        <v>6</v>
      </c>
      <c r="K447">
        <v>18.989999999999998</v>
      </c>
      <c r="L447" s="1" t="s">
        <v>60</v>
      </c>
      <c r="M447" s="1" t="s">
        <v>43</v>
      </c>
      <c r="N447" s="1" t="s">
        <v>44</v>
      </c>
      <c r="O447" s="1" t="s">
        <v>31</v>
      </c>
      <c r="P447" s="2">
        <v>45823</v>
      </c>
      <c r="Q447" s="1" t="s">
        <v>466</v>
      </c>
      <c r="R447" s="1" t="s">
        <v>1104</v>
      </c>
      <c r="S447" s="1" t="s">
        <v>47</v>
      </c>
      <c r="T447" s="1" t="s">
        <v>35</v>
      </c>
      <c r="U447" s="1" t="s">
        <v>66</v>
      </c>
      <c r="V447" s="1" t="s">
        <v>100</v>
      </c>
      <c r="W447">
        <v>3.2</v>
      </c>
    </row>
    <row r="448" spans="1:23" x14ac:dyDescent="0.3">
      <c r="A448" s="1" t="s">
        <v>1105</v>
      </c>
      <c r="B448">
        <v>3</v>
      </c>
      <c r="C448">
        <v>21.99</v>
      </c>
      <c r="D448">
        <v>52.48</v>
      </c>
      <c r="E448" s="1" t="s">
        <v>1106</v>
      </c>
      <c r="F448" s="1" t="s">
        <v>40</v>
      </c>
      <c r="G448">
        <v>3</v>
      </c>
      <c r="H448" s="1" t="s">
        <v>41</v>
      </c>
      <c r="I448" s="1" t="s">
        <v>27</v>
      </c>
      <c r="J448">
        <v>7</v>
      </c>
      <c r="K448">
        <v>21.99</v>
      </c>
      <c r="L448" s="1" t="s">
        <v>28</v>
      </c>
      <c r="M448" s="1" t="s">
        <v>29</v>
      </c>
      <c r="N448" s="1" t="s">
        <v>30</v>
      </c>
      <c r="O448" s="1" t="s">
        <v>31</v>
      </c>
      <c r="P448" s="2">
        <v>45778</v>
      </c>
      <c r="Q448" s="1" t="s">
        <v>437</v>
      </c>
      <c r="R448" s="1" t="s">
        <v>1045</v>
      </c>
      <c r="S448" s="1" t="s">
        <v>34</v>
      </c>
      <c r="T448" s="1" t="s">
        <v>35</v>
      </c>
      <c r="U448" s="1" t="s">
        <v>66</v>
      </c>
      <c r="V448" s="1" t="s">
        <v>37</v>
      </c>
      <c r="W448">
        <v>2</v>
      </c>
    </row>
    <row r="449" spans="1:23" x14ac:dyDescent="0.3">
      <c r="A449" s="1" t="s">
        <v>1107</v>
      </c>
      <c r="B449">
        <v>1</v>
      </c>
      <c r="C449">
        <v>16.989999999999998</v>
      </c>
      <c r="D449">
        <v>16.989999999999998</v>
      </c>
      <c r="E449" s="1" t="s">
        <v>1108</v>
      </c>
      <c r="F449" s="1" t="s">
        <v>51</v>
      </c>
      <c r="G449">
        <v>0</v>
      </c>
      <c r="H449" s="1" t="s">
        <v>26</v>
      </c>
      <c r="I449" s="1" t="s">
        <v>59</v>
      </c>
      <c r="J449">
        <v>5</v>
      </c>
      <c r="K449">
        <v>16.989999999999998</v>
      </c>
      <c r="L449" s="1" t="s">
        <v>60</v>
      </c>
      <c r="M449" s="1" t="s">
        <v>61</v>
      </c>
      <c r="N449" s="1" t="s">
        <v>62</v>
      </c>
      <c r="O449" s="1" t="s">
        <v>31</v>
      </c>
      <c r="P449" s="2">
        <v>45726</v>
      </c>
      <c r="Q449" s="1" t="s">
        <v>732</v>
      </c>
      <c r="R449" s="1" t="s">
        <v>1109</v>
      </c>
      <c r="S449" s="1" t="s">
        <v>54</v>
      </c>
      <c r="T449" s="1" t="s">
        <v>35</v>
      </c>
      <c r="U449" s="1" t="s">
        <v>66</v>
      </c>
      <c r="V449" s="1" t="s">
        <v>67</v>
      </c>
      <c r="W449">
        <v>3</v>
      </c>
    </row>
    <row r="450" spans="1:23" x14ac:dyDescent="0.3">
      <c r="A450" s="1" t="s">
        <v>1110</v>
      </c>
      <c r="B450">
        <v>1</v>
      </c>
      <c r="C450">
        <v>16.989999999999998</v>
      </c>
      <c r="D450">
        <v>16.989999999999998</v>
      </c>
      <c r="E450" s="1" t="s">
        <v>1111</v>
      </c>
      <c r="F450" s="1" t="s">
        <v>40</v>
      </c>
      <c r="G450">
        <v>16</v>
      </c>
      <c r="H450" s="1" t="s">
        <v>96</v>
      </c>
      <c r="I450" s="1" t="s">
        <v>59</v>
      </c>
      <c r="J450">
        <v>5</v>
      </c>
      <c r="K450">
        <v>16.989999999999998</v>
      </c>
      <c r="L450" s="1" t="s">
        <v>60</v>
      </c>
      <c r="M450" s="1" t="s">
        <v>61</v>
      </c>
      <c r="N450" s="1" t="s">
        <v>62</v>
      </c>
      <c r="O450" s="1" t="s">
        <v>31</v>
      </c>
      <c r="P450" s="2">
        <v>45726</v>
      </c>
      <c r="Q450" s="1" t="s">
        <v>1112</v>
      </c>
      <c r="R450" s="1" t="s">
        <v>1113</v>
      </c>
      <c r="S450" s="1" t="s">
        <v>105</v>
      </c>
      <c r="T450" s="1" t="s">
        <v>35</v>
      </c>
      <c r="U450" s="1" t="s">
        <v>66</v>
      </c>
      <c r="V450" s="1" t="s">
        <v>67</v>
      </c>
      <c r="W450">
        <v>3</v>
      </c>
    </row>
    <row r="451" spans="1:23" x14ac:dyDescent="0.3">
      <c r="A451" s="1" t="s">
        <v>1114</v>
      </c>
      <c r="B451">
        <v>1</v>
      </c>
      <c r="C451">
        <v>34.99</v>
      </c>
      <c r="D451">
        <v>34.99</v>
      </c>
      <c r="E451" s="1" t="s">
        <v>1115</v>
      </c>
      <c r="F451" s="1" t="s">
        <v>40</v>
      </c>
      <c r="G451">
        <v>7</v>
      </c>
      <c r="H451" s="1" t="s">
        <v>58</v>
      </c>
      <c r="I451" s="1" t="s">
        <v>85</v>
      </c>
      <c r="J451">
        <v>12.5</v>
      </c>
      <c r="K451">
        <v>34.99</v>
      </c>
      <c r="L451" s="1" t="s">
        <v>60</v>
      </c>
      <c r="M451" s="1" t="s">
        <v>29</v>
      </c>
      <c r="N451" s="1" t="s">
        <v>30</v>
      </c>
      <c r="O451" s="1" t="s">
        <v>31</v>
      </c>
      <c r="P451" s="2">
        <v>45778</v>
      </c>
      <c r="Q451" s="1" t="s">
        <v>1116</v>
      </c>
      <c r="R451" s="1" t="s">
        <v>1117</v>
      </c>
      <c r="S451" s="1" t="s">
        <v>88</v>
      </c>
      <c r="T451" s="1" t="s">
        <v>35</v>
      </c>
      <c r="U451" s="1" t="s">
        <v>55</v>
      </c>
      <c r="V451" s="1" t="s">
        <v>89</v>
      </c>
      <c r="W451">
        <v>2.4</v>
      </c>
    </row>
    <row r="452" spans="1:23" x14ac:dyDescent="0.3">
      <c r="A452" s="1" t="s">
        <v>1118</v>
      </c>
      <c r="B452">
        <v>1</v>
      </c>
      <c r="C452">
        <v>16.989999999999998</v>
      </c>
      <c r="D452">
        <v>16.989999999999998</v>
      </c>
      <c r="E452" s="1" t="s">
        <v>202</v>
      </c>
      <c r="F452" s="1" t="s">
        <v>40</v>
      </c>
      <c r="G452">
        <v>17</v>
      </c>
      <c r="H452" s="1" t="s">
        <v>41</v>
      </c>
      <c r="I452" s="1" t="s">
        <v>59</v>
      </c>
      <c r="J452">
        <v>5</v>
      </c>
      <c r="K452">
        <v>16.989999999999998</v>
      </c>
      <c r="L452" s="1" t="s">
        <v>60</v>
      </c>
      <c r="M452" s="1" t="s">
        <v>61</v>
      </c>
      <c r="N452" s="1" t="s">
        <v>62</v>
      </c>
      <c r="O452" s="1" t="s">
        <v>31</v>
      </c>
      <c r="P452" s="2">
        <v>45726</v>
      </c>
      <c r="Q452" s="1" t="s">
        <v>1119</v>
      </c>
      <c r="R452" s="1" t="s">
        <v>1120</v>
      </c>
      <c r="S452" s="1" t="s">
        <v>34</v>
      </c>
      <c r="T452" s="1" t="s">
        <v>35</v>
      </c>
      <c r="U452" s="1" t="s">
        <v>66</v>
      </c>
      <c r="V452" s="1" t="s">
        <v>67</v>
      </c>
      <c r="W452">
        <v>3</v>
      </c>
    </row>
    <row r="453" spans="1:23" x14ac:dyDescent="0.3">
      <c r="A453" s="1" t="s">
        <v>1121</v>
      </c>
      <c r="B453">
        <v>1</v>
      </c>
      <c r="C453">
        <v>34.99</v>
      </c>
      <c r="D453">
        <v>34.99</v>
      </c>
      <c r="E453" s="1" t="s">
        <v>1122</v>
      </c>
      <c r="F453" s="1" t="s">
        <v>51</v>
      </c>
      <c r="G453">
        <v>0</v>
      </c>
      <c r="H453" s="1" t="s">
        <v>96</v>
      </c>
      <c r="I453" s="1" t="s">
        <v>85</v>
      </c>
      <c r="J453">
        <v>12.5</v>
      </c>
      <c r="K453">
        <v>34.99</v>
      </c>
      <c r="L453" s="1" t="s">
        <v>60</v>
      </c>
      <c r="M453" s="1" t="s">
        <v>29</v>
      </c>
      <c r="N453" s="1" t="s">
        <v>30</v>
      </c>
      <c r="O453" s="1" t="s">
        <v>31</v>
      </c>
      <c r="P453" s="2">
        <v>45778</v>
      </c>
      <c r="Q453" s="1" t="s">
        <v>290</v>
      </c>
      <c r="R453" s="1" t="s">
        <v>1123</v>
      </c>
      <c r="S453" s="1" t="s">
        <v>34</v>
      </c>
      <c r="T453" s="1" t="s">
        <v>35</v>
      </c>
      <c r="U453" s="1" t="s">
        <v>55</v>
      </c>
      <c r="V453" s="1" t="s">
        <v>89</v>
      </c>
      <c r="W453">
        <v>2.4</v>
      </c>
    </row>
    <row r="454" spans="1:23" x14ac:dyDescent="0.3">
      <c r="A454" s="1" t="s">
        <v>1124</v>
      </c>
      <c r="B454">
        <v>1</v>
      </c>
      <c r="C454">
        <v>30.99</v>
      </c>
      <c r="D454">
        <v>30.99</v>
      </c>
      <c r="E454" s="1" t="s">
        <v>796</v>
      </c>
      <c r="F454" s="1" t="s">
        <v>40</v>
      </c>
      <c r="G454">
        <v>3</v>
      </c>
      <c r="H454" s="1" t="s">
        <v>96</v>
      </c>
      <c r="I454" s="1" t="s">
        <v>42</v>
      </c>
      <c r="J454">
        <v>10.5</v>
      </c>
      <c r="K454">
        <v>30.99</v>
      </c>
      <c r="L454" s="1" t="s">
        <v>28</v>
      </c>
      <c r="M454" s="1" t="s">
        <v>43</v>
      </c>
      <c r="N454" s="1" t="s">
        <v>44</v>
      </c>
      <c r="O454" s="1" t="s">
        <v>31</v>
      </c>
      <c r="P454" s="2">
        <v>45823</v>
      </c>
      <c r="Q454" s="1" t="s">
        <v>86</v>
      </c>
      <c r="R454" s="1" t="s">
        <v>1125</v>
      </c>
      <c r="S454" s="1" t="s">
        <v>105</v>
      </c>
      <c r="T454" s="1" t="s">
        <v>35</v>
      </c>
      <c r="U454" s="1" t="s">
        <v>36</v>
      </c>
      <c r="V454" s="1" t="s">
        <v>37</v>
      </c>
      <c r="W454">
        <v>2</v>
      </c>
    </row>
    <row r="455" spans="1:23" x14ac:dyDescent="0.3">
      <c r="A455" s="1" t="s">
        <v>1126</v>
      </c>
      <c r="B455">
        <v>1</v>
      </c>
      <c r="C455">
        <v>16.989999999999998</v>
      </c>
      <c r="D455">
        <v>16.989999999999998</v>
      </c>
      <c r="E455" s="1" t="s">
        <v>1127</v>
      </c>
      <c r="F455" s="1" t="s">
        <v>188</v>
      </c>
      <c r="G455">
        <v>0</v>
      </c>
      <c r="H455" s="1" t="s">
        <v>96</v>
      </c>
      <c r="I455" s="1" t="s">
        <v>59</v>
      </c>
      <c r="J455">
        <v>5</v>
      </c>
      <c r="K455">
        <v>16.989999999999998</v>
      </c>
      <c r="L455" s="1" t="s">
        <v>60</v>
      </c>
      <c r="M455" s="1" t="s">
        <v>61</v>
      </c>
      <c r="N455" s="1" t="s">
        <v>62</v>
      </c>
      <c r="O455" s="1" t="s">
        <v>31</v>
      </c>
      <c r="P455" s="2">
        <v>45726</v>
      </c>
      <c r="Q455" s="1" t="s">
        <v>732</v>
      </c>
      <c r="R455" s="1" t="s">
        <v>733</v>
      </c>
      <c r="S455" s="1" t="s">
        <v>65</v>
      </c>
      <c r="T455" s="1" t="s">
        <v>35</v>
      </c>
      <c r="U455" s="1" t="s">
        <v>48</v>
      </c>
      <c r="V455" s="1" t="s">
        <v>67</v>
      </c>
      <c r="W455">
        <v>3</v>
      </c>
    </row>
    <row r="456" spans="1:23" x14ac:dyDescent="0.3">
      <c r="A456" s="1" t="s">
        <v>1128</v>
      </c>
      <c r="B456">
        <v>1</v>
      </c>
      <c r="C456">
        <v>34.99</v>
      </c>
      <c r="D456">
        <v>34.99</v>
      </c>
      <c r="E456" s="1" t="s">
        <v>1129</v>
      </c>
      <c r="F456" s="1" t="s">
        <v>40</v>
      </c>
      <c r="G456">
        <v>8</v>
      </c>
      <c r="H456" s="1" t="s">
        <v>41</v>
      </c>
      <c r="I456" s="1" t="s">
        <v>85</v>
      </c>
      <c r="J456">
        <v>12.5</v>
      </c>
      <c r="K456">
        <v>34.99</v>
      </c>
      <c r="L456" s="1" t="s">
        <v>60</v>
      </c>
      <c r="M456" s="1" t="s">
        <v>29</v>
      </c>
      <c r="N456" s="1" t="s">
        <v>30</v>
      </c>
      <c r="O456" s="1" t="s">
        <v>31</v>
      </c>
      <c r="P456" s="2">
        <v>45778</v>
      </c>
      <c r="Q456" s="1" t="s">
        <v>147</v>
      </c>
      <c r="R456" s="1" t="s">
        <v>757</v>
      </c>
      <c r="S456" s="1" t="s">
        <v>47</v>
      </c>
      <c r="T456" s="1" t="s">
        <v>35</v>
      </c>
      <c r="U456" s="1" t="s">
        <v>48</v>
      </c>
      <c r="V456" s="1" t="s">
        <v>89</v>
      </c>
      <c r="W456">
        <v>2.4</v>
      </c>
    </row>
    <row r="457" spans="1:23" x14ac:dyDescent="0.3">
      <c r="A457" s="1" t="s">
        <v>1130</v>
      </c>
      <c r="B457">
        <v>1</v>
      </c>
      <c r="C457">
        <v>34.99</v>
      </c>
      <c r="D457">
        <v>34.99</v>
      </c>
      <c r="E457" s="1" t="s">
        <v>1015</v>
      </c>
      <c r="F457" s="1" t="s">
        <v>40</v>
      </c>
      <c r="G457">
        <v>5</v>
      </c>
      <c r="H457" s="1" t="s">
        <v>41</v>
      </c>
      <c r="I457" s="1" t="s">
        <v>85</v>
      </c>
      <c r="J457">
        <v>12.5</v>
      </c>
      <c r="K457">
        <v>34.99</v>
      </c>
      <c r="L457" s="1" t="s">
        <v>60</v>
      </c>
      <c r="M457" s="1" t="s">
        <v>29</v>
      </c>
      <c r="N457" s="1" t="s">
        <v>30</v>
      </c>
      <c r="O457" s="1" t="s">
        <v>31</v>
      </c>
      <c r="P457" s="2">
        <v>45778</v>
      </c>
      <c r="Q457" s="1" t="s">
        <v>420</v>
      </c>
      <c r="R457" s="1" t="s">
        <v>1131</v>
      </c>
      <c r="S457" s="1" t="s">
        <v>54</v>
      </c>
      <c r="T457" s="1" t="s">
        <v>35</v>
      </c>
      <c r="U457" s="1" t="s">
        <v>55</v>
      </c>
      <c r="V457" s="1" t="s">
        <v>89</v>
      </c>
      <c r="W457">
        <v>2.4</v>
      </c>
    </row>
    <row r="458" spans="1:23" x14ac:dyDescent="0.3">
      <c r="A458" s="1" t="s">
        <v>1132</v>
      </c>
      <c r="B458">
        <v>1</v>
      </c>
      <c r="C458">
        <v>34.99</v>
      </c>
      <c r="D458">
        <v>34.99</v>
      </c>
      <c r="E458" s="1" t="s">
        <v>121</v>
      </c>
      <c r="F458" s="1" t="s">
        <v>40</v>
      </c>
      <c r="G458">
        <v>8</v>
      </c>
      <c r="H458" s="1" t="s">
        <v>26</v>
      </c>
      <c r="I458" s="1" t="s">
        <v>85</v>
      </c>
      <c r="J458">
        <v>12.5</v>
      </c>
      <c r="K458">
        <v>34.99</v>
      </c>
      <c r="L458" s="1" t="s">
        <v>60</v>
      </c>
      <c r="M458" s="1" t="s">
        <v>29</v>
      </c>
      <c r="N458" s="1" t="s">
        <v>30</v>
      </c>
      <c r="O458" s="1" t="s">
        <v>31</v>
      </c>
      <c r="P458" s="2">
        <v>45778</v>
      </c>
      <c r="Q458" s="1" t="s">
        <v>1133</v>
      </c>
      <c r="R458" s="1" t="s">
        <v>1134</v>
      </c>
      <c r="S458" s="1" t="s">
        <v>65</v>
      </c>
      <c r="T458" s="1" t="s">
        <v>35</v>
      </c>
      <c r="U458" s="1" t="s">
        <v>36</v>
      </c>
      <c r="V458" s="1" t="s">
        <v>89</v>
      </c>
      <c r="W458">
        <v>2.4</v>
      </c>
    </row>
    <row r="459" spans="1:23" x14ac:dyDescent="0.3">
      <c r="A459" s="1" t="s">
        <v>1135</v>
      </c>
      <c r="B459">
        <v>1</v>
      </c>
      <c r="C459">
        <v>30.99</v>
      </c>
      <c r="D459">
        <v>30.99</v>
      </c>
      <c r="E459" s="1" t="s">
        <v>1136</v>
      </c>
      <c r="F459" s="1" t="s">
        <v>40</v>
      </c>
      <c r="G459">
        <v>3</v>
      </c>
      <c r="H459" s="1" t="s">
        <v>58</v>
      </c>
      <c r="I459" s="1" t="s">
        <v>42</v>
      </c>
      <c r="J459">
        <v>10.5</v>
      </c>
      <c r="K459">
        <v>30.99</v>
      </c>
      <c r="L459" s="1" t="s">
        <v>28</v>
      </c>
      <c r="M459" s="1" t="s">
        <v>43</v>
      </c>
      <c r="N459" s="1" t="s">
        <v>44</v>
      </c>
      <c r="O459" s="1" t="s">
        <v>31</v>
      </c>
      <c r="P459" s="2">
        <v>45823</v>
      </c>
      <c r="Q459" s="1" t="s">
        <v>1137</v>
      </c>
      <c r="R459" s="1" t="s">
        <v>1138</v>
      </c>
      <c r="S459" s="1" t="s">
        <v>34</v>
      </c>
      <c r="T459" s="1" t="s">
        <v>35</v>
      </c>
      <c r="U459" s="1" t="s">
        <v>82</v>
      </c>
      <c r="V459" s="1" t="s">
        <v>37</v>
      </c>
      <c r="W459">
        <v>2</v>
      </c>
    </row>
    <row r="460" spans="1:23" x14ac:dyDescent="0.3">
      <c r="A460" s="1" t="s">
        <v>1139</v>
      </c>
      <c r="B460">
        <v>2</v>
      </c>
      <c r="C460">
        <v>18.989999999999998</v>
      </c>
      <c r="D460">
        <v>32.61</v>
      </c>
      <c r="E460" s="1" t="s">
        <v>719</v>
      </c>
      <c r="F460" s="1" t="s">
        <v>40</v>
      </c>
      <c r="G460">
        <v>18</v>
      </c>
      <c r="H460" s="1" t="s">
        <v>96</v>
      </c>
      <c r="I460" s="1" t="s">
        <v>97</v>
      </c>
      <c r="J460">
        <v>6</v>
      </c>
      <c r="K460">
        <v>18.989999999999998</v>
      </c>
      <c r="L460" s="1" t="s">
        <v>60</v>
      </c>
      <c r="M460" s="1" t="s">
        <v>43</v>
      </c>
      <c r="N460" s="1" t="s">
        <v>44</v>
      </c>
      <c r="O460" s="1" t="s">
        <v>31</v>
      </c>
      <c r="P460" s="2">
        <v>45823</v>
      </c>
      <c r="Q460" s="1" t="s">
        <v>1140</v>
      </c>
      <c r="R460" s="1" t="s">
        <v>1141</v>
      </c>
      <c r="S460" s="1" t="s">
        <v>34</v>
      </c>
      <c r="T460" s="1" t="s">
        <v>35</v>
      </c>
      <c r="U460" s="1" t="s">
        <v>36</v>
      </c>
      <c r="V460" s="1" t="s">
        <v>100</v>
      </c>
      <c r="W460">
        <v>3.2</v>
      </c>
    </row>
    <row r="461" spans="1:23" x14ac:dyDescent="0.3">
      <c r="A461" s="1" t="s">
        <v>1142</v>
      </c>
      <c r="B461">
        <v>1</v>
      </c>
      <c r="C461">
        <v>34.99</v>
      </c>
      <c r="D461">
        <v>34.99</v>
      </c>
      <c r="E461" s="1" t="s">
        <v>1143</v>
      </c>
      <c r="F461" s="1" t="s">
        <v>40</v>
      </c>
      <c r="G461">
        <v>6</v>
      </c>
      <c r="H461" s="1" t="s">
        <v>96</v>
      </c>
      <c r="I461" s="1" t="s">
        <v>85</v>
      </c>
      <c r="J461">
        <v>12.5</v>
      </c>
      <c r="K461">
        <v>34.99</v>
      </c>
      <c r="L461" s="1" t="s">
        <v>60</v>
      </c>
      <c r="M461" s="1" t="s">
        <v>29</v>
      </c>
      <c r="N461" s="1" t="s">
        <v>30</v>
      </c>
      <c r="O461" s="1" t="s">
        <v>31</v>
      </c>
      <c r="P461" s="2">
        <v>45778</v>
      </c>
      <c r="Q461" s="1" t="s">
        <v>1144</v>
      </c>
      <c r="R461" s="1" t="s">
        <v>1145</v>
      </c>
      <c r="S461" s="1" t="s">
        <v>105</v>
      </c>
      <c r="T461" s="1" t="s">
        <v>35</v>
      </c>
      <c r="U461" s="1" t="s">
        <v>36</v>
      </c>
      <c r="V461" s="1" t="s">
        <v>89</v>
      </c>
      <c r="W461">
        <v>2.4</v>
      </c>
    </row>
    <row r="462" spans="1:23" x14ac:dyDescent="0.3">
      <c r="A462" s="1" t="s">
        <v>1146</v>
      </c>
      <c r="B462">
        <v>3</v>
      </c>
      <c r="C462">
        <v>34.99</v>
      </c>
      <c r="D462">
        <v>83.83</v>
      </c>
      <c r="E462" s="1" t="s">
        <v>313</v>
      </c>
      <c r="F462" s="1" t="s">
        <v>51</v>
      </c>
      <c r="G462">
        <v>0</v>
      </c>
      <c r="H462" s="1" t="s">
        <v>96</v>
      </c>
      <c r="I462" s="1" t="s">
        <v>85</v>
      </c>
      <c r="J462">
        <v>12.5</v>
      </c>
      <c r="K462">
        <v>34.99</v>
      </c>
      <c r="L462" s="1" t="s">
        <v>60</v>
      </c>
      <c r="M462" s="1" t="s">
        <v>29</v>
      </c>
      <c r="N462" s="1" t="s">
        <v>30</v>
      </c>
      <c r="O462" s="1" t="s">
        <v>31</v>
      </c>
      <c r="P462" s="2">
        <v>45778</v>
      </c>
      <c r="Q462" s="1" t="s">
        <v>1147</v>
      </c>
      <c r="R462" s="1" t="s">
        <v>1148</v>
      </c>
      <c r="S462" s="1" t="s">
        <v>34</v>
      </c>
      <c r="T462" s="1" t="s">
        <v>35</v>
      </c>
      <c r="U462" s="1" t="s">
        <v>55</v>
      </c>
      <c r="V462" s="1" t="s">
        <v>89</v>
      </c>
      <c r="W462">
        <v>2.4</v>
      </c>
    </row>
    <row r="463" spans="1:23" x14ac:dyDescent="0.3">
      <c r="A463" s="1" t="s">
        <v>1149</v>
      </c>
      <c r="B463">
        <v>3</v>
      </c>
      <c r="C463">
        <v>21.99</v>
      </c>
      <c r="D463">
        <v>51.88</v>
      </c>
      <c r="E463" s="1" t="s">
        <v>331</v>
      </c>
      <c r="F463" s="1" t="s">
        <v>40</v>
      </c>
      <c r="G463">
        <v>3</v>
      </c>
      <c r="H463" s="1" t="s">
        <v>26</v>
      </c>
      <c r="I463" s="1" t="s">
        <v>27</v>
      </c>
      <c r="J463">
        <v>7</v>
      </c>
      <c r="K463">
        <v>21.99</v>
      </c>
      <c r="L463" s="1" t="s">
        <v>28</v>
      </c>
      <c r="M463" s="1" t="s">
        <v>29</v>
      </c>
      <c r="N463" s="1" t="s">
        <v>30</v>
      </c>
      <c r="O463" s="1" t="s">
        <v>31</v>
      </c>
      <c r="P463" s="2">
        <v>45778</v>
      </c>
      <c r="Q463" s="1" t="s">
        <v>1150</v>
      </c>
      <c r="R463" s="1" t="s">
        <v>1151</v>
      </c>
      <c r="S463" s="1" t="s">
        <v>34</v>
      </c>
      <c r="T463" s="1" t="s">
        <v>35</v>
      </c>
      <c r="U463" s="1" t="s">
        <v>55</v>
      </c>
      <c r="V463" s="1" t="s">
        <v>37</v>
      </c>
      <c r="W463">
        <v>2</v>
      </c>
    </row>
    <row r="464" spans="1:23" x14ac:dyDescent="0.3">
      <c r="A464" s="1" t="s">
        <v>1152</v>
      </c>
      <c r="B464">
        <v>2</v>
      </c>
      <c r="C464">
        <v>27.99</v>
      </c>
      <c r="D464">
        <v>48.65</v>
      </c>
      <c r="E464" s="1" t="s">
        <v>1153</v>
      </c>
      <c r="F464" s="1" t="s">
        <v>70</v>
      </c>
      <c r="G464">
        <v>0</v>
      </c>
      <c r="H464" s="1" t="s">
        <v>41</v>
      </c>
      <c r="I464" s="1" t="s">
        <v>75</v>
      </c>
      <c r="J464">
        <v>9</v>
      </c>
      <c r="K464">
        <v>27.99</v>
      </c>
      <c r="L464" s="1" t="s">
        <v>28</v>
      </c>
      <c r="M464" s="1" t="s">
        <v>61</v>
      </c>
      <c r="N464" s="1" t="s">
        <v>62</v>
      </c>
      <c r="O464" s="1" t="s">
        <v>31</v>
      </c>
      <c r="P464" s="2">
        <v>45726</v>
      </c>
      <c r="Q464" s="1" t="s">
        <v>358</v>
      </c>
      <c r="R464" s="1" t="s">
        <v>1154</v>
      </c>
      <c r="S464" s="1" t="s">
        <v>65</v>
      </c>
      <c r="T464" s="1" t="s">
        <v>35</v>
      </c>
      <c r="U464" s="1" t="s">
        <v>48</v>
      </c>
      <c r="V464" s="1" t="s">
        <v>37</v>
      </c>
      <c r="W464">
        <v>2</v>
      </c>
    </row>
    <row r="465" spans="1:23" x14ac:dyDescent="0.3">
      <c r="A465" s="1" t="s">
        <v>1155</v>
      </c>
      <c r="B465">
        <v>1</v>
      </c>
      <c r="C465">
        <v>18.989999999999998</v>
      </c>
      <c r="D465">
        <v>18.989999999999998</v>
      </c>
      <c r="E465" s="1" t="s">
        <v>1156</v>
      </c>
      <c r="F465" s="1" t="s">
        <v>40</v>
      </c>
      <c r="G465">
        <v>10</v>
      </c>
      <c r="H465" s="1" t="s">
        <v>41</v>
      </c>
      <c r="I465" s="1" t="s">
        <v>97</v>
      </c>
      <c r="J465">
        <v>6</v>
      </c>
      <c r="K465">
        <v>18.989999999999998</v>
      </c>
      <c r="L465" s="1" t="s">
        <v>60</v>
      </c>
      <c r="M465" s="1" t="s">
        <v>43</v>
      </c>
      <c r="N465" s="1" t="s">
        <v>44</v>
      </c>
      <c r="O465" s="1" t="s">
        <v>31</v>
      </c>
      <c r="P465" s="2">
        <v>45823</v>
      </c>
      <c r="Q465" s="1" t="s">
        <v>1157</v>
      </c>
      <c r="R465" s="1" t="s">
        <v>1158</v>
      </c>
      <c r="S465" s="1" t="s">
        <v>105</v>
      </c>
      <c r="T465" s="1" t="s">
        <v>35</v>
      </c>
      <c r="U465" s="1" t="s">
        <v>55</v>
      </c>
      <c r="V465" s="1" t="s">
        <v>100</v>
      </c>
      <c r="W465">
        <v>3.2</v>
      </c>
    </row>
    <row r="466" spans="1:23" x14ac:dyDescent="0.3">
      <c r="A466" s="1" t="s">
        <v>1159</v>
      </c>
      <c r="B466">
        <v>3</v>
      </c>
      <c r="C466">
        <v>18.989999999999998</v>
      </c>
      <c r="D466">
        <v>45.77</v>
      </c>
      <c r="E466" s="1" t="s">
        <v>181</v>
      </c>
      <c r="F466" s="1" t="s">
        <v>40</v>
      </c>
      <c r="G466">
        <v>12</v>
      </c>
      <c r="H466" s="1" t="s">
        <v>41</v>
      </c>
      <c r="I466" s="1" t="s">
        <v>97</v>
      </c>
      <c r="J466">
        <v>6</v>
      </c>
      <c r="K466">
        <v>18.989999999999998</v>
      </c>
      <c r="L466" s="1" t="s">
        <v>60</v>
      </c>
      <c r="M466" s="1" t="s">
        <v>43</v>
      </c>
      <c r="N466" s="1" t="s">
        <v>44</v>
      </c>
      <c r="O466" s="1" t="s">
        <v>31</v>
      </c>
      <c r="P466" s="2">
        <v>45823</v>
      </c>
      <c r="Q466" s="1" t="s">
        <v>793</v>
      </c>
      <c r="R466" s="1" t="s">
        <v>794</v>
      </c>
      <c r="S466" s="1" t="s">
        <v>34</v>
      </c>
      <c r="T466" s="1" t="s">
        <v>35</v>
      </c>
      <c r="U466" s="1" t="s">
        <v>82</v>
      </c>
      <c r="V466" s="1" t="s">
        <v>100</v>
      </c>
      <c r="W466">
        <v>3.2</v>
      </c>
    </row>
    <row r="467" spans="1:23" x14ac:dyDescent="0.3">
      <c r="A467" s="1" t="s">
        <v>1160</v>
      </c>
      <c r="B467">
        <v>1</v>
      </c>
      <c r="C467">
        <v>21.99</v>
      </c>
      <c r="D467">
        <v>21.99</v>
      </c>
      <c r="E467" s="1" t="s">
        <v>1161</v>
      </c>
      <c r="F467" s="1" t="s">
        <v>40</v>
      </c>
      <c r="G467">
        <v>2</v>
      </c>
      <c r="H467" s="1" t="s">
        <v>41</v>
      </c>
      <c r="I467" s="1" t="s">
        <v>27</v>
      </c>
      <c r="J467">
        <v>7</v>
      </c>
      <c r="K467">
        <v>21.99</v>
      </c>
      <c r="L467" s="1" t="s">
        <v>28</v>
      </c>
      <c r="M467" s="1" t="s">
        <v>29</v>
      </c>
      <c r="N467" s="1" t="s">
        <v>30</v>
      </c>
      <c r="O467" s="1" t="s">
        <v>31</v>
      </c>
      <c r="P467" s="2">
        <v>45778</v>
      </c>
      <c r="Q467" s="1" t="s">
        <v>1162</v>
      </c>
      <c r="R467" s="1" t="s">
        <v>1163</v>
      </c>
      <c r="S467" s="1" t="s">
        <v>65</v>
      </c>
      <c r="T467" s="1" t="s">
        <v>35</v>
      </c>
      <c r="U467" s="1" t="s">
        <v>48</v>
      </c>
      <c r="V467" s="1" t="s">
        <v>37</v>
      </c>
      <c r="W467">
        <v>2</v>
      </c>
    </row>
    <row r="468" spans="1:23" x14ac:dyDescent="0.3">
      <c r="A468" s="1" t="s">
        <v>1164</v>
      </c>
      <c r="B468">
        <v>1</v>
      </c>
      <c r="C468">
        <v>34.99</v>
      </c>
      <c r="D468">
        <v>34.99</v>
      </c>
      <c r="E468" s="1" t="s">
        <v>902</v>
      </c>
      <c r="F468" s="1" t="s">
        <v>40</v>
      </c>
      <c r="G468">
        <v>5</v>
      </c>
      <c r="H468" s="1" t="s">
        <v>58</v>
      </c>
      <c r="I468" s="1" t="s">
        <v>85</v>
      </c>
      <c r="J468">
        <v>12.5</v>
      </c>
      <c r="K468">
        <v>34.99</v>
      </c>
      <c r="L468" s="1" t="s">
        <v>60</v>
      </c>
      <c r="M468" s="1" t="s">
        <v>29</v>
      </c>
      <c r="N468" s="1" t="s">
        <v>30</v>
      </c>
      <c r="O468" s="1" t="s">
        <v>31</v>
      </c>
      <c r="P468" s="2">
        <v>45778</v>
      </c>
      <c r="Q468" s="1" t="s">
        <v>934</v>
      </c>
      <c r="R468" s="1" t="s">
        <v>1165</v>
      </c>
      <c r="S468" s="1" t="s">
        <v>65</v>
      </c>
      <c r="T468" s="1" t="s">
        <v>35</v>
      </c>
      <c r="U468" s="1" t="s">
        <v>82</v>
      </c>
      <c r="V468" s="1" t="s">
        <v>89</v>
      </c>
      <c r="W468">
        <v>2.4</v>
      </c>
    </row>
    <row r="469" spans="1:23" x14ac:dyDescent="0.3">
      <c r="A469" s="1" t="s">
        <v>1166</v>
      </c>
      <c r="B469">
        <v>1</v>
      </c>
      <c r="C469">
        <v>27.99</v>
      </c>
      <c r="D469">
        <v>27.99</v>
      </c>
      <c r="E469" s="1" t="s">
        <v>744</v>
      </c>
      <c r="F469" s="1" t="s">
        <v>40</v>
      </c>
      <c r="G469">
        <v>3</v>
      </c>
      <c r="H469" s="1" t="s">
        <v>58</v>
      </c>
      <c r="I469" s="1" t="s">
        <v>75</v>
      </c>
      <c r="J469">
        <v>9</v>
      </c>
      <c r="K469">
        <v>27.99</v>
      </c>
      <c r="L469" s="1" t="s">
        <v>28</v>
      </c>
      <c r="M469" s="1" t="s">
        <v>61</v>
      </c>
      <c r="N469" s="1" t="s">
        <v>62</v>
      </c>
      <c r="O469" s="1" t="s">
        <v>31</v>
      </c>
      <c r="P469" s="2">
        <v>45726</v>
      </c>
      <c r="Q469" s="1" t="s">
        <v>63</v>
      </c>
      <c r="R469" s="1" t="s">
        <v>736</v>
      </c>
      <c r="S469" s="1" t="s">
        <v>47</v>
      </c>
      <c r="T469" s="1" t="s">
        <v>35</v>
      </c>
      <c r="U469" s="1" t="s">
        <v>66</v>
      </c>
      <c r="V469" s="1" t="s">
        <v>37</v>
      </c>
      <c r="W469">
        <v>2</v>
      </c>
    </row>
    <row r="470" spans="1:23" x14ac:dyDescent="0.3">
      <c r="A470" s="1" t="s">
        <v>1167</v>
      </c>
      <c r="B470">
        <v>2</v>
      </c>
      <c r="C470">
        <v>21.99</v>
      </c>
      <c r="D470">
        <v>38</v>
      </c>
      <c r="E470" s="1" t="s">
        <v>1168</v>
      </c>
      <c r="F470" s="1" t="s">
        <v>40</v>
      </c>
      <c r="G470">
        <v>3</v>
      </c>
      <c r="H470" s="1" t="s">
        <v>58</v>
      </c>
      <c r="I470" s="1" t="s">
        <v>27</v>
      </c>
      <c r="J470">
        <v>7</v>
      </c>
      <c r="K470">
        <v>21.99</v>
      </c>
      <c r="L470" s="1" t="s">
        <v>28</v>
      </c>
      <c r="M470" s="1" t="s">
        <v>29</v>
      </c>
      <c r="N470" s="1" t="s">
        <v>30</v>
      </c>
      <c r="O470" s="1" t="s">
        <v>31</v>
      </c>
      <c r="P470" s="2">
        <v>45778</v>
      </c>
      <c r="Q470" s="1" t="s">
        <v>934</v>
      </c>
      <c r="R470" s="1" t="s">
        <v>935</v>
      </c>
      <c r="S470" s="1" t="s">
        <v>105</v>
      </c>
      <c r="T470" s="1" t="s">
        <v>35</v>
      </c>
      <c r="U470" s="1" t="s">
        <v>82</v>
      </c>
      <c r="V470" s="1" t="s">
        <v>37</v>
      </c>
      <c r="W470">
        <v>2</v>
      </c>
    </row>
    <row r="471" spans="1:23" x14ac:dyDescent="0.3">
      <c r="A471" s="1" t="s">
        <v>1169</v>
      </c>
      <c r="B471">
        <v>1</v>
      </c>
      <c r="C471">
        <v>27.99</v>
      </c>
      <c r="D471">
        <v>27.99</v>
      </c>
      <c r="E471" s="1" t="s">
        <v>1170</v>
      </c>
      <c r="F471" s="1" t="s">
        <v>51</v>
      </c>
      <c r="G471">
        <v>0</v>
      </c>
      <c r="H471" s="1" t="s">
        <v>58</v>
      </c>
      <c r="I471" s="1" t="s">
        <v>75</v>
      </c>
      <c r="J471">
        <v>9</v>
      </c>
      <c r="K471">
        <v>27.99</v>
      </c>
      <c r="L471" s="1" t="s">
        <v>28</v>
      </c>
      <c r="M471" s="1" t="s">
        <v>61</v>
      </c>
      <c r="N471" s="1" t="s">
        <v>62</v>
      </c>
      <c r="O471" s="1" t="s">
        <v>31</v>
      </c>
      <c r="P471" s="2">
        <v>45726</v>
      </c>
      <c r="Q471" s="1" t="s">
        <v>930</v>
      </c>
      <c r="R471" s="1" t="s">
        <v>931</v>
      </c>
      <c r="S471" s="1" t="s">
        <v>65</v>
      </c>
      <c r="T471" s="1" t="s">
        <v>35</v>
      </c>
      <c r="U471" s="1" t="s">
        <v>36</v>
      </c>
      <c r="V471" s="1" t="s">
        <v>37</v>
      </c>
      <c r="W471">
        <v>2</v>
      </c>
    </row>
    <row r="472" spans="1:23" x14ac:dyDescent="0.3">
      <c r="A472" s="1" t="s">
        <v>1171</v>
      </c>
      <c r="B472">
        <v>1</v>
      </c>
      <c r="C472">
        <v>30.99</v>
      </c>
      <c r="D472">
        <v>30.99</v>
      </c>
      <c r="E472" s="1" t="s">
        <v>1172</v>
      </c>
      <c r="F472" s="1" t="s">
        <v>40</v>
      </c>
      <c r="G472">
        <v>2</v>
      </c>
      <c r="H472" s="1" t="s">
        <v>58</v>
      </c>
      <c r="I472" s="1" t="s">
        <v>42</v>
      </c>
      <c r="J472">
        <v>10.5</v>
      </c>
      <c r="K472">
        <v>30.99</v>
      </c>
      <c r="L472" s="1" t="s">
        <v>28</v>
      </c>
      <c r="M472" s="1" t="s">
        <v>43</v>
      </c>
      <c r="N472" s="1" t="s">
        <v>44</v>
      </c>
      <c r="O472" s="1" t="s">
        <v>31</v>
      </c>
      <c r="P472" s="2">
        <v>45823</v>
      </c>
      <c r="Q472" s="1" t="s">
        <v>893</v>
      </c>
      <c r="R472" s="1" t="s">
        <v>894</v>
      </c>
      <c r="S472" s="1" t="s">
        <v>411</v>
      </c>
      <c r="T472" s="1" t="s">
        <v>35</v>
      </c>
      <c r="U472" s="1" t="s">
        <v>48</v>
      </c>
      <c r="V472" s="1" t="s">
        <v>37</v>
      </c>
      <c r="W472">
        <v>2</v>
      </c>
    </row>
    <row r="473" spans="1:23" x14ac:dyDescent="0.3">
      <c r="A473" s="1" t="s">
        <v>1173</v>
      </c>
      <c r="B473">
        <v>1</v>
      </c>
      <c r="C473">
        <v>21.99</v>
      </c>
      <c r="D473">
        <v>21.99</v>
      </c>
      <c r="E473" s="1" t="s">
        <v>1174</v>
      </c>
      <c r="F473" s="1" t="s">
        <v>70</v>
      </c>
      <c r="G473">
        <v>0</v>
      </c>
      <c r="H473" s="1" t="s">
        <v>26</v>
      </c>
      <c r="I473" s="1" t="s">
        <v>27</v>
      </c>
      <c r="J473">
        <v>7</v>
      </c>
      <c r="K473">
        <v>21.99</v>
      </c>
      <c r="L473" s="1" t="s">
        <v>28</v>
      </c>
      <c r="M473" s="1" t="s">
        <v>29</v>
      </c>
      <c r="N473" s="1" t="s">
        <v>30</v>
      </c>
      <c r="O473" s="1" t="s">
        <v>31</v>
      </c>
      <c r="P473" s="2">
        <v>45778</v>
      </c>
      <c r="Q473" s="1" t="s">
        <v>1175</v>
      </c>
      <c r="R473" s="1" t="s">
        <v>1176</v>
      </c>
      <c r="S473" s="1" t="s">
        <v>34</v>
      </c>
      <c r="T473" s="1" t="s">
        <v>35</v>
      </c>
      <c r="U473" s="1" t="s">
        <v>48</v>
      </c>
      <c r="V473" s="1" t="s">
        <v>37</v>
      </c>
      <c r="W473">
        <v>2</v>
      </c>
    </row>
    <row r="474" spans="1:23" x14ac:dyDescent="0.3">
      <c r="A474" s="1" t="s">
        <v>1177</v>
      </c>
      <c r="B474">
        <v>3</v>
      </c>
      <c r="C474">
        <v>30.99</v>
      </c>
      <c r="D474">
        <v>74.959999999999994</v>
      </c>
      <c r="E474" s="1" t="s">
        <v>1178</v>
      </c>
      <c r="F474" s="1" t="s">
        <v>40</v>
      </c>
      <c r="G474">
        <v>3</v>
      </c>
      <c r="H474" s="1" t="s">
        <v>58</v>
      </c>
      <c r="I474" s="1" t="s">
        <v>42</v>
      </c>
      <c r="J474">
        <v>10.5</v>
      </c>
      <c r="K474">
        <v>30.99</v>
      </c>
      <c r="L474" s="1" t="s">
        <v>28</v>
      </c>
      <c r="M474" s="1" t="s">
        <v>43</v>
      </c>
      <c r="N474" s="1" t="s">
        <v>44</v>
      </c>
      <c r="O474" s="1" t="s">
        <v>31</v>
      </c>
      <c r="P474" s="2">
        <v>45823</v>
      </c>
      <c r="Q474" s="1" t="s">
        <v>842</v>
      </c>
      <c r="R474" s="1" t="s">
        <v>843</v>
      </c>
      <c r="S474" s="1" t="s">
        <v>54</v>
      </c>
      <c r="T474" s="1" t="s">
        <v>35</v>
      </c>
      <c r="U474" s="1" t="s">
        <v>36</v>
      </c>
      <c r="V474" s="1" t="s">
        <v>37</v>
      </c>
      <c r="W474">
        <v>2</v>
      </c>
    </row>
    <row r="475" spans="1:23" x14ac:dyDescent="0.3">
      <c r="A475" s="1" t="s">
        <v>1179</v>
      </c>
      <c r="B475">
        <v>1</v>
      </c>
      <c r="C475">
        <v>18.989999999999998</v>
      </c>
      <c r="D475">
        <v>18.989999999999998</v>
      </c>
      <c r="E475" s="1" t="s">
        <v>1180</v>
      </c>
      <c r="F475" s="1" t="s">
        <v>188</v>
      </c>
      <c r="G475">
        <v>0</v>
      </c>
      <c r="H475" s="1" t="s">
        <v>96</v>
      </c>
      <c r="I475" s="1" t="s">
        <v>97</v>
      </c>
      <c r="J475">
        <v>6</v>
      </c>
      <c r="K475">
        <v>18.989999999999998</v>
      </c>
      <c r="L475" s="1" t="s">
        <v>60</v>
      </c>
      <c r="M475" s="1" t="s">
        <v>43</v>
      </c>
      <c r="N475" s="1" t="s">
        <v>44</v>
      </c>
      <c r="O475" s="1" t="s">
        <v>31</v>
      </c>
      <c r="P475" s="2">
        <v>45823</v>
      </c>
      <c r="Q475" s="1" t="s">
        <v>896</v>
      </c>
      <c r="R475" s="1" t="s">
        <v>897</v>
      </c>
      <c r="S475" s="1" t="s">
        <v>105</v>
      </c>
      <c r="T475" s="1" t="s">
        <v>35</v>
      </c>
      <c r="U475" s="1" t="s">
        <v>55</v>
      </c>
      <c r="V475" s="1" t="s">
        <v>100</v>
      </c>
      <c r="W475">
        <v>3.2</v>
      </c>
    </row>
    <row r="476" spans="1:23" x14ac:dyDescent="0.3">
      <c r="A476" s="1" t="s">
        <v>1181</v>
      </c>
      <c r="B476">
        <v>1</v>
      </c>
      <c r="C476">
        <v>27.99</v>
      </c>
      <c r="D476">
        <v>27.99</v>
      </c>
      <c r="E476" s="1" t="s">
        <v>1027</v>
      </c>
      <c r="F476" s="1" t="s">
        <v>40</v>
      </c>
      <c r="G476">
        <v>2</v>
      </c>
      <c r="H476" s="1" t="s">
        <v>41</v>
      </c>
      <c r="I476" s="1" t="s">
        <v>75</v>
      </c>
      <c r="J476">
        <v>9</v>
      </c>
      <c r="K476">
        <v>27.99</v>
      </c>
      <c r="L476" s="1" t="s">
        <v>28</v>
      </c>
      <c r="M476" s="1" t="s">
        <v>61</v>
      </c>
      <c r="N476" s="1" t="s">
        <v>62</v>
      </c>
      <c r="O476" s="1" t="s">
        <v>31</v>
      </c>
      <c r="P476" s="2">
        <v>45726</v>
      </c>
      <c r="Q476" s="1" t="s">
        <v>793</v>
      </c>
      <c r="R476" s="1" t="s">
        <v>1182</v>
      </c>
      <c r="S476" s="1" t="s">
        <v>88</v>
      </c>
      <c r="T476" s="1" t="s">
        <v>35</v>
      </c>
      <c r="U476" s="1" t="s">
        <v>82</v>
      </c>
      <c r="V476" s="1" t="s">
        <v>37</v>
      </c>
      <c r="W476">
        <v>2</v>
      </c>
    </row>
    <row r="477" spans="1:23" x14ac:dyDescent="0.3">
      <c r="A477" s="1" t="s">
        <v>1183</v>
      </c>
      <c r="B477">
        <v>2</v>
      </c>
      <c r="C477">
        <v>16.989999999999998</v>
      </c>
      <c r="D477">
        <v>29.07</v>
      </c>
      <c r="E477" s="1" t="s">
        <v>778</v>
      </c>
      <c r="F477" s="1" t="s">
        <v>40</v>
      </c>
      <c r="G477">
        <v>19</v>
      </c>
      <c r="H477" s="1" t="s">
        <v>96</v>
      </c>
      <c r="I477" s="1" t="s">
        <v>59</v>
      </c>
      <c r="J477">
        <v>5</v>
      </c>
      <c r="K477">
        <v>16.989999999999998</v>
      </c>
      <c r="L477" s="1" t="s">
        <v>60</v>
      </c>
      <c r="M477" s="1" t="s">
        <v>61</v>
      </c>
      <c r="N477" s="1" t="s">
        <v>62</v>
      </c>
      <c r="O477" s="1" t="s">
        <v>31</v>
      </c>
      <c r="P477" s="2">
        <v>45726</v>
      </c>
      <c r="Q477" s="1" t="s">
        <v>1184</v>
      </c>
      <c r="R477" s="1" t="s">
        <v>1185</v>
      </c>
      <c r="S477" s="1" t="s">
        <v>105</v>
      </c>
      <c r="T477" s="1" t="s">
        <v>35</v>
      </c>
      <c r="U477" s="1" t="s">
        <v>55</v>
      </c>
      <c r="V477" s="1" t="s">
        <v>67</v>
      </c>
      <c r="W477">
        <v>3</v>
      </c>
    </row>
    <row r="478" spans="1:23" x14ac:dyDescent="0.3">
      <c r="A478" s="1" t="s">
        <v>1186</v>
      </c>
      <c r="B478">
        <v>3</v>
      </c>
      <c r="C478">
        <v>30.99</v>
      </c>
      <c r="D478">
        <v>74.83</v>
      </c>
      <c r="E478" s="1" t="s">
        <v>822</v>
      </c>
      <c r="F478" s="1" t="s">
        <v>40</v>
      </c>
      <c r="G478">
        <v>2</v>
      </c>
      <c r="H478" s="1" t="s">
        <v>26</v>
      </c>
      <c r="I478" s="1" t="s">
        <v>42</v>
      </c>
      <c r="J478">
        <v>10.5</v>
      </c>
      <c r="K478">
        <v>30.99</v>
      </c>
      <c r="L478" s="1" t="s">
        <v>28</v>
      </c>
      <c r="M478" s="1" t="s">
        <v>43</v>
      </c>
      <c r="N478" s="1" t="s">
        <v>44</v>
      </c>
      <c r="O478" s="1" t="s">
        <v>31</v>
      </c>
      <c r="P478" s="2">
        <v>45823</v>
      </c>
      <c r="Q478" s="1" t="s">
        <v>1187</v>
      </c>
      <c r="R478" s="1" t="s">
        <v>1188</v>
      </c>
      <c r="S478" s="1" t="s">
        <v>47</v>
      </c>
      <c r="T478" s="1" t="s">
        <v>35</v>
      </c>
      <c r="U478" s="1" t="s">
        <v>48</v>
      </c>
      <c r="V478" s="1" t="s">
        <v>37</v>
      </c>
      <c r="W478">
        <v>2</v>
      </c>
    </row>
    <row r="479" spans="1:23" x14ac:dyDescent="0.3">
      <c r="A479" s="1" t="s">
        <v>1189</v>
      </c>
      <c r="B479">
        <v>1</v>
      </c>
      <c r="C479">
        <v>27.99</v>
      </c>
      <c r="D479">
        <v>27.99</v>
      </c>
      <c r="E479" s="1" t="s">
        <v>1136</v>
      </c>
      <c r="F479" s="1" t="s">
        <v>40</v>
      </c>
      <c r="G479">
        <v>7</v>
      </c>
      <c r="H479" s="1" t="s">
        <v>26</v>
      </c>
      <c r="I479" s="1" t="s">
        <v>75</v>
      </c>
      <c r="J479">
        <v>9</v>
      </c>
      <c r="K479">
        <v>27.99</v>
      </c>
      <c r="L479" s="1" t="s">
        <v>28</v>
      </c>
      <c r="M479" s="1" t="s">
        <v>61</v>
      </c>
      <c r="N479" s="1" t="s">
        <v>62</v>
      </c>
      <c r="O479" s="1" t="s">
        <v>31</v>
      </c>
      <c r="P479" s="2">
        <v>45726</v>
      </c>
      <c r="Q479" s="1" t="s">
        <v>689</v>
      </c>
      <c r="R479" s="1" t="s">
        <v>766</v>
      </c>
      <c r="S479" s="1" t="s">
        <v>105</v>
      </c>
      <c r="T479" s="1" t="s">
        <v>35</v>
      </c>
      <c r="U479" s="1" t="s">
        <v>48</v>
      </c>
      <c r="V479" s="1" t="s">
        <v>37</v>
      </c>
      <c r="W479">
        <v>2</v>
      </c>
    </row>
    <row r="480" spans="1:23" x14ac:dyDescent="0.3">
      <c r="A480" s="1" t="s">
        <v>1190</v>
      </c>
      <c r="B480">
        <v>1</v>
      </c>
      <c r="C480">
        <v>27.99</v>
      </c>
      <c r="D480">
        <v>27.99</v>
      </c>
      <c r="E480" s="1" t="s">
        <v>561</v>
      </c>
      <c r="F480" s="1" t="s">
        <v>51</v>
      </c>
      <c r="G480">
        <v>0</v>
      </c>
      <c r="H480" s="1" t="s">
        <v>26</v>
      </c>
      <c r="I480" s="1" t="s">
        <v>75</v>
      </c>
      <c r="J480">
        <v>9</v>
      </c>
      <c r="K480">
        <v>27.99</v>
      </c>
      <c r="L480" s="1" t="s">
        <v>28</v>
      </c>
      <c r="M480" s="1" t="s">
        <v>61</v>
      </c>
      <c r="N480" s="1" t="s">
        <v>62</v>
      </c>
      <c r="O480" s="1" t="s">
        <v>31</v>
      </c>
      <c r="P480" s="2">
        <v>45726</v>
      </c>
      <c r="Q480" s="1" t="s">
        <v>1191</v>
      </c>
      <c r="R480" s="1" t="s">
        <v>1192</v>
      </c>
      <c r="S480" s="1" t="s">
        <v>88</v>
      </c>
      <c r="T480" s="1" t="s">
        <v>35</v>
      </c>
      <c r="U480" s="1" t="s">
        <v>55</v>
      </c>
      <c r="V480" s="1" t="s">
        <v>37</v>
      </c>
      <c r="W480">
        <v>2</v>
      </c>
    </row>
    <row r="481" spans="1:23" x14ac:dyDescent="0.3">
      <c r="A481" s="1" t="s">
        <v>1193</v>
      </c>
      <c r="B481">
        <v>1</v>
      </c>
      <c r="C481">
        <v>30.99</v>
      </c>
      <c r="D481">
        <v>30.99</v>
      </c>
      <c r="E481" s="1" t="s">
        <v>1194</v>
      </c>
      <c r="F481" s="1" t="s">
        <v>40</v>
      </c>
      <c r="G481">
        <v>3</v>
      </c>
      <c r="H481" s="1" t="s">
        <v>41</v>
      </c>
      <c r="I481" s="1" t="s">
        <v>42</v>
      </c>
      <c r="J481">
        <v>10.5</v>
      </c>
      <c r="K481">
        <v>30.99</v>
      </c>
      <c r="L481" s="1" t="s">
        <v>28</v>
      </c>
      <c r="M481" s="1" t="s">
        <v>43</v>
      </c>
      <c r="N481" s="1" t="s">
        <v>44</v>
      </c>
      <c r="O481" s="1" t="s">
        <v>31</v>
      </c>
      <c r="P481" s="2">
        <v>45823</v>
      </c>
      <c r="Q481" s="1" t="s">
        <v>1195</v>
      </c>
      <c r="R481" s="1" t="s">
        <v>1196</v>
      </c>
      <c r="S481" s="1" t="s">
        <v>54</v>
      </c>
      <c r="T481" s="1" t="s">
        <v>35</v>
      </c>
      <c r="U481" s="1" t="s">
        <v>66</v>
      </c>
      <c r="V481" s="1" t="s">
        <v>37</v>
      </c>
      <c r="W481">
        <v>2</v>
      </c>
    </row>
    <row r="482" spans="1:23" x14ac:dyDescent="0.3">
      <c r="A482" s="1" t="s">
        <v>1197</v>
      </c>
      <c r="B482">
        <v>1</v>
      </c>
      <c r="C482">
        <v>18.989999999999998</v>
      </c>
      <c r="D482">
        <v>18.989999999999998</v>
      </c>
      <c r="E482" s="1" t="s">
        <v>1198</v>
      </c>
      <c r="F482" s="1" t="s">
        <v>51</v>
      </c>
      <c r="G482">
        <v>0</v>
      </c>
      <c r="H482" s="1" t="s">
        <v>41</v>
      </c>
      <c r="I482" s="1" t="s">
        <v>97</v>
      </c>
      <c r="J482">
        <v>6</v>
      </c>
      <c r="K482">
        <v>18.989999999999998</v>
      </c>
      <c r="L482" s="1" t="s">
        <v>60</v>
      </c>
      <c r="M482" s="1" t="s">
        <v>43</v>
      </c>
      <c r="N482" s="1" t="s">
        <v>44</v>
      </c>
      <c r="O482" s="1" t="s">
        <v>31</v>
      </c>
      <c r="P482" s="2">
        <v>45823</v>
      </c>
      <c r="Q482" s="1" t="s">
        <v>140</v>
      </c>
      <c r="R482" s="1" t="s">
        <v>1199</v>
      </c>
      <c r="S482" s="1" t="s">
        <v>65</v>
      </c>
      <c r="T482" s="1" t="s">
        <v>35</v>
      </c>
      <c r="U482" s="1" t="s">
        <v>36</v>
      </c>
      <c r="V482" s="1" t="s">
        <v>100</v>
      </c>
      <c r="W482">
        <v>3.2</v>
      </c>
    </row>
    <row r="483" spans="1:23" x14ac:dyDescent="0.3">
      <c r="A483" s="1" t="s">
        <v>1200</v>
      </c>
      <c r="B483">
        <v>1</v>
      </c>
      <c r="C483">
        <v>34.99</v>
      </c>
      <c r="D483">
        <v>34.99</v>
      </c>
      <c r="E483" s="1" t="s">
        <v>796</v>
      </c>
      <c r="F483" s="1" t="s">
        <v>40</v>
      </c>
      <c r="G483">
        <v>6</v>
      </c>
      <c r="H483" s="1" t="s">
        <v>41</v>
      </c>
      <c r="I483" s="1" t="s">
        <v>85</v>
      </c>
      <c r="J483">
        <v>12.5</v>
      </c>
      <c r="K483">
        <v>34.99</v>
      </c>
      <c r="L483" s="1" t="s">
        <v>60</v>
      </c>
      <c r="M483" s="1" t="s">
        <v>29</v>
      </c>
      <c r="N483" s="1" t="s">
        <v>30</v>
      </c>
      <c r="O483" s="1" t="s">
        <v>31</v>
      </c>
      <c r="P483" s="2">
        <v>45778</v>
      </c>
      <c r="Q483" s="1" t="s">
        <v>793</v>
      </c>
      <c r="R483" s="1" t="s">
        <v>1182</v>
      </c>
      <c r="S483" s="1" t="s">
        <v>88</v>
      </c>
      <c r="T483" s="1" t="s">
        <v>35</v>
      </c>
      <c r="U483" s="1" t="s">
        <v>82</v>
      </c>
      <c r="V483" s="1" t="s">
        <v>89</v>
      </c>
      <c r="W483">
        <v>2.4</v>
      </c>
    </row>
    <row r="484" spans="1:23" x14ac:dyDescent="0.3">
      <c r="A484" s="1" t="s">
        <v>1201</v>
      </c>
      <c r="B484">
        <v>1</v>
      </c>
      <c r="C484">
        <v>16.989999999999998</v>
      </c>
      <c r="D484">
        <v>16.989999999999998</v>
      </c>
      <c r="E484" s="1" t="s">
        <v>228</v>
      </c>
      <c r="F484" s="1" t="s">
        <v>40</v>
      </c>
      <c r="G484">
        <v>25</v>
      </c>
      <c r="H484" s="1" t="s">
        <v>26</v>
      </c>
      <c r="I484" s="1" t="s">
        <v>59</v>
      </c>
      <c r="J484">
        <v>5</v>
      </c>
      <c r="K484">
        <v>16.989999999999998</v>
      </c>
      <c r="L484" s="1" t="s">
        <v>60</v>
      </c>
      <c r="M484" s="1" t="s">
        <v>61</v>
      </c>
      <c r="N484" s="1" t="s">
        <v>62</v>
      </c>
      <c r="O484" s="1" t="s">
        <v>31</v>
      </c>
      <c r="P484" s="2">
        <v>45726</v>
      </c>
      <c r="Q484" s="1" t="s">
        <v>278</v>
      </c>
      <c r="R484" s="1" t="s">
        <v>1202</v>
      </c>
      <c r="S484" s="1" t="s">
        <v>54</v>
      </c>
      <c r="T484" s="1" t="s">
        <v>35</v>
      </c>
      <c r="U484" s="1" t="s">
        <v>36</v>
      </c>
      <c r="V484" s="1" t="s">
        <v>67</v>
      </c>
      <c r="W484">
        <v>3</v>
      </c>
    </row>
    <row r="485" spans="1:23" x14ac:dyDescent="0.3">
      <c r="A485" s="1" t="s">
        <v>1203</v>
      </c>
      <c r="B485">
        <v>2</v>
      </c>
      <c r="C485">
        <v>18.989999999999998</v>
      </c>
      <c r="D485">
        <v>32.479999999999997</v>
      </c>
      <c r="E485" s="1" t="s">
        <v>603</v>
      </c>
      <c r="F485" s="1" t="s">
        <v>40</v>
      </c>
      <c r="G485">
        <v>12</v>
      </c>
      <c r="H485" s="1" t="s">
        <v>41</v>
      </c>
      <c r="I485" s="1" t="s">
        <v>97</v>
      </c>
      <c r="J485">
        <v>6</v>
      </c>
      <c r="K485">
        <v>18.989999999999998</v>
      </c>
      <c r="L485" s="1" t="s">
        <v>60</v>
      </c>
      <c r="M485" s="1" t="s">
        <v>43</v>
      </c>
      <c r="N485" s="1" t="s">
        <v>44</v>
      </c>
      <c r="O485" s="1" t="s">
        <v>31</v>
      </c>
      <c r="P485" s="2">
        <v>45823</v>
      </c>
      <c r="Q485" s="1" t="s">
        <v>1204</v>
      </c>
      <c r="R485" s="1" t="s">
        <v>1205</v>
      </c>
      <c r="S485" s="1" t="s">
        <v>34</v>
      </c>
      <c r="T485" s="1" t="s">
        <v>35</v>
      </c>
      <c r="U485" s="1" t="s">
        <v>48</v>
      </c>
      <c r="V485" s="1" t="s">
        <v>100</v>
      </c>
      <c r="W485">
        <v>3.2</v>
      </c>
    </row>
    <row r="486" spans="1:23" x14ac:dyDescent="0.3">
      <c r="A486" s="1" t="s">
        <v>1206</v>
      </c>
      <c r="B486">
        <v>1</v>
      </c>
      <c r="C486">
        <v>18.989999999999998</v>
      </c>
      <c r="D486">
        <v>18.989999999999998</v>
      </c>
      <c r="E486" s="1" t="s">
        <v>1207</v>
      </c>
      <c r="F486" s="1" t="s">
        <v>51</v>
      </c>
      <c r="G486">
        <v>0</v>
      </c>
      <c r="H486" s="1" t="s">
        <v>96</v>
      </c>
      <c r="I486" s="1" t="s">
        <v>97</v>
      </c>
      <c r="J486">
        <v>6</v>
      </c>
      <c r="K486">
        <v>18.989999999999998</v>
      </c>
      <c r="L486" s="1" t="s">
        <v>60</v>
      </c>
      <c r="M486" s="1" t="s">
        <v>43</v>
      </c>
      <c r="N486" s="1" t="s">
        <v>44</v>
      </c>
      <c r="O486" s="1" t="s">
        <v>31</v>
      </c>
      <c r="P486" s="2">
        <v>45823</v>
      </c>
      <c r="Q486" s="1" t="s">
        <v>873</v>
      </c>
      <c r="R486" s="1" t="s">
        <v>1208</v>
      </c>
      <c r="S486" s="1" t="s">
        <v>54</v>
      </c>
      <c r="T486" s="1" t="s">
        <v>35</v>
      </c>
      <c r="U486" s="1" t="s">
        <v>82</v>
      </c>
      <c r="V486" s="1" t="s">
        <v>100</v>
      </c>
      <c r="W486">
        <v>3.2</v>
      </c>
    </row>
    <row r="487" spans="1:23" x14ac:dyDescent="0.3">
      <c r="A487" s="1" t="s">
        <v>1209</v>
      </c>
      <c r="B487">
        <v>1</v>
      </c>
      <c r="C487">
        <v>27.99</v>
      </c>
      <c r="D487">
        <v>27.99</v>
      </c>
      <c r="E487" s="1" t="s">
        <v>989</v>
      </c>
      <c r="F487" s="1" t="s">
        <v>25</v>
      </c>
      <c r="G487">
        <v>2</v>
      </c>
      <c r="H487" s="1" t="s">
        <v>58</v>
      </c>
      <c r="I487" s="1" t="s">
        <v>75</v>
      </c>
      <c r="J487">
        <v>9</v>
      </c>
      <c r="K487">
        <v>27.99</v>
      </c>
      <c r="L487" s="1" t="s">
        <v>28</v>
      </c>
      <c r="M487" s="1" t="s">
        <v>61</v>
      </c>
      <c r="N487" s="1" t="s">
        <v>62</v>
      </c>
      <c r="O487" s="1" t="s">
        <v>31</v>
      </c>
      <c r="P487" s="2">
        <v>45726</v>
      </c>
      <c r="Q487" s="1" t="s">
        <v>720</v>
      </c>
      <c r="R487" s="1" t="s">
        <v>721</v>
      </c>
      <c r="S487" s="1" t="s">
        <v>54</v>
      </c>
      <c r="T487" s="1" t="s">
        <v>35</v>
      </c>
      <c r="U487" s="1" t="s">
        <v>82</v>
      </c>
      <c r="V487" s="1" t="s">
        <v>37</v>
      </c>
      <c r="W487">
        <v>2</v>
      </c>
    </row>
    <row r="488" spans="1:23" x14ac:dyDescent="0.3">
      <c r="A488" s="1" t="s">
        <v>1210</v>
      </c>
      <c r="B488">
        <v>1</v>
      </c>
      <c r="C488">
        <v>18.989999999999998</v>
      </c>
      <c r="D488">
        <v>18.989999999999998</v>
      </c>
      <c r="E488" s="1" t="s">
        <v>1174</v>
      </c>
      <c r="F488" s="1" t="s">
        <v>51</v>
      </c>
      <c r="G488">
        <v>0</v>
      </c>
      <c r="H488" s="1" t="s">
        <v>26</v>
      </c>
      <c r="I488" s="1" t="s">
        <v>97</v>
      </c>
      <c r="J488">
        <v>6</v>
      </c>
      <c r="K488">
        <v>18.989999999999998</v>
      </c>
      <c r="L488" s="1" t="s">
        <v>60</v>
      </c>
      <c r="M488" s="1" t="s">
        <v>43</v>
      </c>
      <c r="N488" s="1" t="s">
        <v>44</v>
      </c>
      <c r="O488" s="1" t="s">
        <v>31</v>
      </c>
      <c r="P488" s="2">
        <v>45823</v>
      </c>
      <c r="Q488" s="1" t="s">
        <v>1211</v>
      </c>
      <c r="R488" s="1" t="s">
        <v>1212</v>
      </c>
      <c r="S488" s="1" t="s">
        <v>34</v>
      </c>
      <c r="T488" s="1" t="s">
        <v>35</v>
      </c>
      <c r="U488" s="1" t="s">
        <v>66</v>
      </c>
      <c r="V488" s="1" t="s">
        <v>100</v>
      </c>
      <c r="W488">
        <v>3.2</v>
      </c>
    </row>
    <row r="489" spans="1:23" x14ac:dyDescent="0.3">
      <c r="A489" s="1" t="s">
        <v>1213</v>
      </c>
      <c r="B489">
        <v>3</v>
      </c>
      <c r="C489">
        <v>18.989999999999998</v>
      </c>
      <c r="D489">
        <v>44.87</v>
      </c>
      <c r="E489" s="1" t="s">
        <v>1214</v>
      </c>
      <c r="F489" s="1" t="s">
        <v>51</v>
      </c>
      <c r="G489">
        <v>0</v>
      </c>
      <c r="H489" s="1" t="s">
        <v>26</v>
      </c>
      <c r="I489" s="1" t="s">
        <v>97</v>
      </c>
      <c r="J489">
        <v>6</v>
      </c>
      <c r="K489">
        <v>18.989999999999998</v>
      </c>
      <c r="L489" s="1" t="s">
        <v>60</v>
      </c>
      <c r="M489" s="1" t="s">
        <v>43</v>
      </c>
      <c r="N489" s="1" t="s">
        <v>44</v>
      </c>
      <c r="O489" s="1" t="s">
        <v>31</v>
      </c>
      <c r="P489" s="2">
        <v>45823</v>
      </c>
      <c r="Q489" s="1" t="s">
        <v>1112</v>
      </c>
      <c r="R489" s="1" t="s">
        <v>1215</v>
      </c>
      <c r="S489" s="1" t="s">
        <v>54</v>
      </c>
      <c r="T489" s="1" t="s">
        <v>35</v>
      </c>
      <c r="U489" s="1" t="s">
        <v>48</v>
      </c>
      <c r="V489" s="1" t="s">
        <v>100</v>
      </c>
      <c r="W489">
        <v>3.2</v>
      </c>
    </row>
    <row r="490" spans="1:23" x14ac:dyDescent="0.3">
      <c r="A490" s="1" t="s">
        <v>1216</v>
      </c>
      <c r="B490">
        <v>2</v>
      </c>
      <c r="C490">
        <v>16.989999999999998</v>
      </c>
      <c r="D490">
        <v>29.53</v>
      </c>
      <c r="E490" s="1" t="s">
        <v>1217</v>
      </c>
      <c r="F490" s="1" t="s">
        <v>40</v>
      </c>
      <c r="G490">
        <v>20</v>
      </c>
      <c r="H490" s="1" t="s">
        <v>96</v>
      </c>
      <c r="I490" s="1" t="s">
        <v>59</v>
      </c>
      <c r="J490">
        <v>5</v>
      </c>
      <c r="K490">
        <v>16.989999999999998</v>
      </c>
      <c r="L490" s="1" t="s">
        <v>60</v>
      </c>
      <c r="M490" s="1" t="s">
        <v>61</v>
      </c>
      <c r="N490" s="1" t="s">
        <v>62</v>
      </c>
      <c r="O490" s="1" t="s">
        <v>31</v>
      </c>
      <c r="P490" s="2">
        <v>45726</v>
      </c>
      <c r="Q490" s="1" t="s">
        <v>1218</v>
      </c>
      <c r="R490" s="1" t="s">
        <v>1219</v>
      </c>
      <c r="S490" s="1" t="s">
        <v>105</v>
      </c>
      <c r="T490" s="1" t="s">
        <v>35</v>
      </c>
      <c r="U490" s="1" t="s">
        <v>82</v>
      </c>
      <c r="V490" s="1" t="s">
        <v>67</v>
      </c>
      <c r="W490">
        <v>3</v>
      </c>
    </row>
    <row r="491" spans="1:23" x14ac:dyDescent="0.3">
      <c r="A491" s="1" t="s">
        <v>1220</v>
      </c>
      <c r="B491">
        <v>1</v>
      </c>
      <c r="C491">
        <v>18.989999999999998</v>
      </c>
      <c r="D491">
        <v>18.989999999999998</v>
      </c>
      <c r="E491" s="1" t="s">
        <v>348</v>
      </c>
      <c r="F491" s="1" t="s">
        <v>40</v>
      </c>
      <c r="G491">
        <v>11</v>
      </c>
      <c r="H491" s="1" t="s">
        <v>41</v>
      </c>
      <c r="I491" s="1" t="s">
        <v>97</v>
      </c>
      <c r="J491">
        <v>6</v>
      </c>
      <c r="K491">
        <v>18.989999999999998</v>
      </c>
      <c r="L491" s="1" t="s">
        <v>60</v>
      </c>
      <c r="M491" s="1" t="s">
        <v>43</v>
      </c>
      <c r="N491" s="1" t="s">
        <v>44</v>
      </c>
      <c r="O491" s="1" t="s">
        <v>31</v>
      </c>
      <c r="P491" s="2">
        <v>45823</v>
      </c>
      <c r="Q491" s="1" t="s">
        <v>965</v>
      </c>
      <c r="R491" s="1" t="s">
        <v>1221</v>
      </c>
      <c r="S491" s="1" t="s">
        <v>34</v>
      </c>
      <c r="T491" s="1" t="s">
        <v>35</v>
      </c>
      <c r="U491" s="1" t="s">
        <v>48</v>
      </c>
      <c r="V491" s="1" t="s">
        <v>100</v>
      </c>
      <c r="W491">
        <v>3.2</v>
      </c>
    </row>
    <row r="492" spans="1:23" x14ac:dyDescent="0.3">
      <c r="A492" s="1" t="s">
        <v>1222</v>
      </c>
      <c r="B492">
        <v>3</v>
      </c>
      <c r="C492">
        <v>21.99</v>
      </c>
      <c r="D492">
        <v>53.27</v>
      </c>
      <c r="E492" s="1" t="s">
        <v>272</v>
      </c>
      <c r="F492" s="1" t="s">
        <v>40</v>
      </c>
      <c r="G492">
        <v>3</v>
      </c>
      <c r="H492" s="1" t="s">
        <v>96</v>
      </c>
      <c r="I492" s="1" t="s">
        <v>27</v>
      </c>
      <c r="J492">
        <v>7</v>
      </c>
      <c r="K492">
        <v>21.99</v>
      </c>
      <c r="L492" s="1" t="s">
        <v>28</v>
      </c>
      <c r="M492" s="1" t="s">
        <v>29</v>
      </c>
      <c r="N492" s="1" t="s">
        <v>30</v>
      </c>
      <c r="O492" s="1" t="s">
        <v>31</v>
      </c>
      <c r="P492" s="2">
        <v>45778</v>
      </c>
      <c r="Q492" s="1" t="s">
        <v>593</v>
      </c>
      <c r="R492" s="1" t="s">
        <v>1223</v>
      </c>
      <c r="S492" s="1" t="s">
        <v>88</v>
      </c>
      <c r="T492" s="1" t="s">
        <v>35</v>
      </c>
      <c r="U492" s="1" t="s">
        <v>66</v>
      </c>
      <c r="V492" s="1" t="s">
        <v>37</v>
      </c>
      <c r="W492">
        <v>2</v>
      </c>
    </row>
    <row r="493" spans="1:23" x14ac:dyDescent="0.3">
      <c r="A493" s="1" t="s">
        <v>1224</v>
      </c>
      <c r="B493">
        <v>1</v>
      </c>
      <c r="C493">
        <v>30.99</v>
      </c>
      <c r="D493">
        <v>30.99</v>
      </c>
      <c r="E493" s="1" t="s">
        <v>187</v>
      </c>
      <c r="F493" s="1" t="s">
        <v>70</v>
      </c>
      <c r="G493">
        <v>0</v>
      </c>
      <c r="H493" s="1" t="s">
        <v>58</v>
      </c>
      <c r="I493" s="1" t="s">
        <v>42</v>
      </c>
      <c r="J493">
        <v>10.5</v>
      </c>
      <c r="K493">
        <v>30.99</v>
      </c>
      <c r="L493" s="1" t="s">
        <v>28</v>
      </c>
      <c r="M493" s="1" t="s">
        <v>43</v>
      </c>
      <c r="N493" s="1" t="s">
        <v>44</v>
      </c>
      <c r="O493" s="1" t="s">
        <v>31</v>
      </c>
      <c r="P493" s="2">
        <v>45823</v>
      </c>
      <c r="Q493" s="1" t="s">
        <v>544</v>
      </c>
      <c r="R493" s="1" t="s">
        <v>1225</v>
      </c>
      <c r="S493" s="1" t="s">
        <v>88</v>
      </c>
      <c r="T493" s="1" t="s">
        <v>35</v>
      </c>
      <c r="U493" s="1" t="s">
        <v>36</v>
      </c>
      <c r="V493" s="1" t="s">
        <v>37</v>
      </c>
      <c r="W493">
        <v>2</v>
      </c>
    </row>
    <row r="494" spans="1:23" x14ac:dyDescent="0.3">
      <c r="A494" s="1" t="s">
        <v>1226</v>
      </c>
      <c r="B494">
        <v>1</v>
      </c>
      <c r="C494">
        <v>18.989999999999998</v>
      </c>
      <c r="D494">
        <v>18.989999999999998</v>
      </c>
      <c r="E494" s="1" t="s">
        <v>1227</v>
      </c>
      <c r="F494" s="1" t="s">
        <v>51</v>
      </c>
      <c r="G494">
        <v>0</v>
      </c>
      <c r="H494" s="1" t="s">
        <v>96</v>
      </c>
      <c r="I494" s="1" t="s">
        <v>97</v>
      </c>
      <c r="J494">
        <v>6</v>
      </c>
      <c r="K494">
        <v>18.989999999999998</v>
      </c>
      <c r="L494" s="1" t="s">
        <v>60</v>
      </c>
      <c r="M494" s="1" t="s">
        <v>43</v>
      </c>
      <c r="N494" s="1" t="s">
        <v>44</v>
      </c>
      <c r="O494" s="1" t="s">
        <v>31</v>
      </c>
      <c r="P494" s="2">
        <v>45823</v>
      </c>
      <c r="Q494" s="1" t="s">
        <v>990</v>
      </c>
      <c r="R494" s="1" t="s">
        <v>1228</v>
      </c>
      <c r="S494" s="1" t="s">
        <v>47</v>
      </c>
      <c r="T494" s="1" t="s">
        <v>35</v>
      </c>
      <c r="U494" s="1" t="s">
        <v>55</v>
      </c>
      <c r="V494" s="1" t="s">
        <v>100</v>
      </c>
      <c r="W494">
        <v>3.2</v>
      </c>
    </row>
    <row r="495" spans="1:23" x14ac:dyDescent="0.3">
      <c r="A495" s="1" t="s">
        <v>1229</v>
      </c>
      <c r="B495">
        <v>1</v>
      </c>
      <c r="C495">
        <v>30.99</v>
      </c>
      <c r="D495">
        <v>30.99</v>
      </c>
      <c r="E495" s="1" t="s">
        <v>1230</v>
      </c>
      <c r="F495" s="1" t="s">
        <v>188</v>
      </c>
      <c r="G495">
        <v>0</v>
      </c>
      <c r="H495" s="1" t="s">
        <v>41</v>
      </c>
      <c r="I495" s="1" t="s">
        <v>42</v>
      </c>
      <c r="J495">
        <v>10.5</v>
      </c>
      <c r="K495">
        <v>30.99</v>
      </c>
      <c r="L495" s="1" t="s">
        <v>28</v>
      </c>
      <c r="M495" s="1" t="s">
        <v>43</v>
      </c>
      <c r="N495" s="1" t="s">
        <v>44</v>
      </c>
      <c r="O495" s="1" t="s">
        <v>31</v>
      </c>
      <c r="P495" s="2">
        <v>45823</v>
      </c>
      <c r="Q495" s="1" t="s">
        <v>1058</v>
      </c>
      <c r="R495" s="1" t="s">
        <v>1231</v>
      </c>
      <c r="S495" s="1" t="s">
        <v>105</v>
      </c>
      <c r="T495" s="1" t="s">
        <v>35</v>
      </c>
      <c r="U495" s="1" t="s">
        <v>66</v>
      </c>
      <c r="V495" s="1" t="s">
        <v>37</v>
      </c>
      <c r="W495">
        <v>2</v>
      </c>
    </row>
    <row r="496" spans="1:23" x14ac:dyDescent="0.3">
      <c r="A496" s="1" t="s">
        <v>1232</v>
      </c>
      <c r="B496">
        <v>1</v>
      </c>
      <c r="C496">
        <v>21.99</v>
      </c>
      <c r="D496">
        <v>21.99</v>
      </c>
      <c r="E496" s="1" t="s">
        <v>1233</v>
      </c>
      <c r="F496" s="1" t="s">
        <v>40</v>
      </c>
      <c r="G496">
        <v>3</v>
      </c>
      <c r="H496" s="1" t="s">
        <v>26</v>
      </c>
      <c r="I496" s="1" t="s">
        <v>27</v>
      </c>
      <c r="J496">
        <v>7</v>
      </c>
      <c r="K496">
        <v>21.99</v>
      </c>
      <c r="L496" s="1" t="s">
        <v>28</v>
      </c>
      <c r="M496" s="1" t="s">
        <v>29</v>
      </c>
      <c r="N496" s="1" t="s">
        <v>30</v>
      </c>
      <c r="O496" s="1" t="s">
        <v>31</v>
      </c>
      <c r="P496" s="2">
        <v>45778</v>
      </c>
      <c r="Q496" s="1" t="s">
        <v>1234</v>
      </c>
      <c r="R496" s="1" t="s">
        <v>1235</v>
      </c>
      <c r="S496" s="1" t="s">
        <v>88</v>
      </c>
      <c r="T496" s="1" t="s">
        <v>35</v>
      </c>
      <c r="U496" s="1" t="s">
        <v>48</v>
      </c>
      <c r="V496" s="1" t="s">
        <v>37</v>
      </c>
      <c r="W496">
        <v>2</v>
      </c>
    </row>
    <row r="497" spans="1:23" x14ac:dyDescent="0.3">
      <c r="A497" s="1" t="s">
        <v>1236</v>
      </c>
      <c r="B497">
        <v>1</v>
      </c>
      <c r="C497">
        <v>27.99</v>
      </c>
      <c r="D497">
        <v>27.99</v>
      </c>
      <c r="E497" s="1" t="s">
        <v>916</v>
      </c>
      <c r="F497" s="1" t="s">
        <v>40</v>
      </c>
      <c r="G497">
        <v>2</v>
      </c>
      <c r="H497" s="1" t="s">
        <v>26</v>
      </c>
      <c r="I497" s="1" t="s">
        <v>75</v>
      </c>
      <c r="J497">
        <v>9</v>
      </c>
      <c r="K497">
        <v>27.99</v>
      </c>
      <c r="L497" s="1" t="s">
        <v>28</v>
      </c>
      <c r="M497" s="1" t="s">
        <v>61</v>
      </c>
      <c r="N497" s="1" t="s">
        <v>62</v>
      </c>
      <c r="O497" s="1" t="s">
        <v>31</v>
      </c>
      <c r="P497" s="2">
        <v>45726</v>
      </c>
      <c r="Q497" s="1" t="s">
        <v>1237</v>
      </c>
      <c r="R497" s="1" t="s">
        <v>1238</v>
      </c>
      <c r="S497" s="1" t="s">
        <v>65</v>
      </c>
      <c r="T497" s="1" t="s">
        <v>35</v>
      </c>
      <c r="U497" s="1" t="s">
        <v>66</v>
      </c>
      <c r="V497" s="1" t="s">
        <v>37</v>
      </c>
      <c r="W497">
        <v>2</v>
      </c>
    </row>
    <row r="498" spans="1:23" x14ac:dyDescent="0.3">
      <c r="A498" s="1" t="s">
        <v>1239</v>
      </c>
      <c r="B498">
        <v>1</v>
      </c>
      <c r="C498">
        <v>21.99</v>
      </c>
      <c r="D498">
        <v>21.99</v>
      </c>
      <c r="E498" s="1" t="s">
        <v>1240</v>
      </c>
      <c r="F498" s="1" t="s">
        <v>51</v>
      </c>
      <c r="G498">
        <v>0</v>
      </c>
      <c r="H498" s="1" t="s">
        <v>26</v>
      </c>
      <c r="I498" s="1" t="s">
        <v>27</v>
      </c>
      <c r="J498">
        <v>7</v>
      </c>
      <c r="K498">
        <v>21.99</v>
      </c>
      <c r="L498" s="1" t="s">
        <v>28</v>
      </c>
      <c r="M498" s="1" t="s">
        <v>29</v>
      </c>
      <c r="N498" s="1" t="s">
        <v>30</v>
      </c>
      <c r="O498" s="1" t="s">
        <v>31</v>
      </c>
      <c r="P498" s="2">
        <v>45778</v>
      </c>
      <c r="Q498" s="1" t="s">
        <v>1241</v>
      </c>
      <c r="R498" s="1" t="s">
        <v>1242</v>
      </c>
      <c r="S498" s="1" t="s">
        <v>54</v>
      </c>
      <c r="T498" s="1" t="s">
        <v>35</v>
      </c>
      <c r="U498" s="1" t="s">
        <v>48</v>
      </c>
      <c r="V498" s="1" t="s">
        <v>37</v>
      </c>
      <c r="W498">
        <v>2</v>
      </c>
    </row>
    <row r="499" spans="1:23" x14ac:dyDescent="0.3">
      <c r="A499" s="1" t="s">
        <v>1243</v>
      </c>
      <c r="B499">
        <v>1</v>
      </c>
      <c r="C499">
        <v>18.989999999999998</v>
      </c>
      <c r="D499">
        <v>18.989999999999998</v>
      </c>
      <c r="E499" s="1" t="s">
        <v>782</v>
      </c>
      <c r="F499" s="1" t="s">
        <v>40</v>
      </c>
      <c r="G499">
        <v>12</v>
      </c>
      <c r="H499" s="1" t="s">
        <v>41</v>
      </c>
      <c r="I499" s="1" t="s">
        <v>97</v>
      </c>
      <c r="J499">
        <v>6</v>
      </c>
      <c r="K499">
        <v>18.989999999999998</v>
      </c>
      <c r="L499" s="1" t="s">
        <v>60</v>
      </c>
      <c r="M499" s="1" t="s">
        <v>43</v>
      </c>
      <c r="N499" s="1" t="s">
        <v>44</v>
      </c>
      <c r="O499" s="1" t="s">
        <v>31</v>
      </c>
      <c r="P499" s="2">
        <v>45823</v>
      </c>
      <c r="Q499" s="1" t="s">
        <v>80</v>
      </c>
      <c r="R499" s="1" t="s">
        <v>1244</v>
      </c>
      <c r="S499" s="1" t="s">
        <v>54</v>
      </c>
      <c r="T499" s="1" t="s">
        <v>35</v>
      </c>
      <c r="U499" s="1" t="s">
        <v>82</v>
      </c>
      <c r="V499" s="1" t="s">
        <v>100</v>
      </c>
      <c r="W499">
        <v>3.2</v>
      </c>
    </row>
    <row r="500" spans="1:23" x14ac:dyDescent="0.3">
      <c r="A500" s="1" t="s">
        <v>1245</v>
      </c>
      <c r="B500">
        <v>3</v>
      </c>
      <c r="C500">
        <v>27.99</v>
      </c>
      <c r="D500">
        <v>66.67</v>
      </c>
      <c r="E500" s="1" t="s">
        <v>1246</v>
      </c>
      <c r="F500" s="1" t="s">
        <v>40</v>
      </c>
      <c r="G500">
        <v>3</v>
      </c>
      <c r="H500" s="1" t="s">
        <v>96</v>
      </c>
      <c r="I500" s="1" t="s">
        <v>75</v>
      </c>
      <c r="J500">
        <v>9</v>
      </c>
      <c r="K500">
        <v>27.99</v>
      </c>
      <c r="L500" s="1" t="s">
        <v>28</v>
      </c>
      <c r="M500" s="1" t="s">
        <v>61</v>
      </c>
      <c r="N500" s="1" t="s">
        <v>62</v>
      </c>
      <c r="O500" s="1" t="s">
        <v>31</v>
      </c>
      <c r="P500" s="2">
        <v>45726</v>
      </c>
      <c r="Q500" s="1" t="s">
        <v>909</v>
      </c>
      <c r="R500" s="1" t="s">
        <v>1247</v>
      </c>
      <c r="S500" s="1" t="s">
        <v>88</v>
      </c>
      <c r="T500" s="1" t="s">
        <v>35</v>
      </c>
      <c r="U500" s="1" t="s">
        <v>55</v>
      </c>
      <c r="V500" s="1" t="s">
        <v>37</v>
      </c>
      <c r="W500">
        <v>2</v>
      </c>
    </row>
    <row r="501" spans="1:23" x14ac:dyDescent="0.3">
      <c r="A501" s="1" t="s">
        <v>1248</v>
      </c>
      <c r="B501">
        <v>2</v>
      </c>
      <c r="C501">
        <v>16.989999999999998</v>
      </c>
      <c r="D501">
        <v>29.3</v>
      </c>
      <c r="E501" s="1" t="s">
        <v>1249</v>
      </c>
      <c r="F501" s="1" t="s">
        <v>40</v>
      </c>
      <c r="G501">
        <v>18</v>
      </c>
      <c r="H501" s="1" t="s">
        <v>26</v>
      </c>
      <c r="I501" s="1" t="s">
        <v>59</v>
      </c>
      <c r="J501">
        <v>5</v>
      </c>
      <c r="K501">
        <v>16.989999999999998</v>
      </c>
      <c r="L501" s="1" t="s">
        <v>60</v>
      </c>
      <c r="M501" s="1" t="s">
        <v>61</v>
      </c>
      <c r="N501" s="1" t="s">
        <v>62</v>
      </c>
      <c r="O501" s="1" t="s">
        <v>31</v>
      </c>
      <c r="P501" s="2">
        <v>45726</v>
      </c>
      <c r="Q501" s="1" t="s">
        <v>437</v>
      </c>
      <c r="R501" s="1" t="s">
        <v>1045</v>
      </c>
      <c r="S501" s="1" t="s">
        <v>34</v>
      </c>
      <c r="T501" s="1" t="s">
        <v>35</v>
      </c>
      <c r="U501" s="1" t="s">
        <v>66</v>
      </c>
      <c r="V501" s="1" t="s">
        <v>67</v>
      </c>
      <c r="W501">
        <v>3</v>
      </c>
    </row>
    <row r="502" spans="1:23" x14ac:dyDescent="0.3">
      <c r="A502" s="1" t="s">
        <v>1250</v>
      </c>
      <c r="B502">
        <v>2</v>
      </c>
      <c r="C502">
        <v>34.99</v>
      </c>
      <c r="D502">
        <v>60.06</v>
      </c>
      <c r="E502" s="1" t="s">
        <v>260</v>
      </c>
      <c r="F502" s="1" t="s">
        <v>51</v>
      </c>
      <c r="G502">
        <v>0</v>
      </c>
      <c r="H502" s="1" t="s">
        <v>41</v>
      </c>
      <c r="I502" s="1" t="s">
        <v>85</v>
      </c>
      <c r="J502">
        <v>12.5</v>
      </c>
      <c r="K502">
        <v>34.99</v>
      </c>
      <c r="L502" s="1" t="s">
        <v>60</v>
      </c>
      <c r="M502" s="1" t="s">
        <v>29</v>
      </c>
      <c r="N502" s="1" t="s">
        <v>30</v>
      </c>
      <c r="O502" s="1" t="s">
        <v>31</v>
      </c>
      <c r="P502" s="2">
        <v>45778</v>
      </c>
      <c r="Q502" s="1" t="s">
        <v>930</v>
      </c>
      <c r="R502" s="1" t="s">
        <v>1251</v>
      </c>
      <c r="S502" s="1" t="s">
        <v>47</v>
      </c>
      <c r="T502" s="1" t="s">
        <v>35</v>
      </c>
      <c r="U502" s="1" t="s">
        <v>66</v>
      </c>
      <c r="V502" s="1" t="s">
        <v>89</v>
      </c>
      <c r="W502">
        <v>2.4</v>
      </c>
    </row>
    <row r="503" spans="1:23" x14ac:dyDescent="0.3">
      <c r="A503" s="1" t="s">
        <v>1252</v>
      </c>
      <c r="B503">
        <v>1</v>
      </c>
      <c r="C503">
        <v>16.989999999999998</v>
      </c>
      <c r="D503">
        <v>16.989999999999998</v>
      </c>
      <c r="E503" s="1" t="s">
        <v>1240</v>
      </c>
      <c r="F503" s="1" t="s">
        <v>40</v>
      </c>
      <c r="G503">
        <v>15</v>
      </c>
      <c r="H503" s="1" t="s">
        <v>96</v>
      </c>
      <c r="I503" s="1" t="s">
        <v>59</v>
      </c>
      <c r="J503">
        <v>5</v>
      </c>
      <c r="K503">
        <v>16.989999999999998</v>
      </c>
      <c r="L503" s="1" t="s">
        <v>60</v>
      </c>
      <c r="M503" s="1" t="s">
        <v>61</v>
      </c>
      <c r="N503" s="1" t="s">
        <v>62</v>
      </c>
      <c r="O503" s="1" t="s">
        <v>31</v>
      </c>
      <c r="P503" s="2">
        <v>45726</v>
      </c>
      <c r="Q503" s="1" t="s">
        <v>1253</v>
      </c>
      <c r="R503" s="1" t="s">
        <v>1254</v>
      </c>
      <c r="S503" s="1" t="s">
        <v>105</v>
      </c>
      <c r="T503" s="1" t="s">
        <v>35</v>
      </c>
      <c r="U503" s="1" t="s">
        <v>66</v>
      </c>
      <c r="V503" s="1" t="s">
        <v>67</v>
      </c>
      <c r="W503">
        <v>3</v>
      </c>
    </row>
    <row r="504" spans="1:23" x14ac:dyDescent="0.3">
      <c r="A504" s="1" t="s">
        <v>1255</v>
      </c>
      <c r="B504">
        <v>1</v>
      </c>
      <c r="C504">
        <v>34.99</v>
      </c>
      <c r="D504">
        <v>34.99</v>
      </c>
      <c r="E504" s="1" t="s">
        <v>156</v>
      </c>
      <c r="F504" s="1" t="s">
        <v>25</v>
      </c>
      <c r="G504">
        <v>7</v>
      </c>
      <c r="H504" s="1" t="s">
        <v>26</v>
      </c>
      <c r="I504" s="1" t="s">
        <v>85</v>
      </c>
      <c r="J504">
        <v>12.5</v>
      </c>
      <c r="K504">
        <v>34.99</v>
      </c>
      <c r="L504" s="1" t="s">
        <v>60</v>
      </c>
      <c r="M504" s="1" t="s">
        <v>29</v>
      </c>
      <c r="N504" s="1" t="s">
        <v>30</v>
      </c>
      <c r="O504" s="1" t="s">
        <v>31</v>
      </c>
      <c r="P504" s="2">
        <v>45778</v>
      </c>
      <c r="Q504" s="1" t="s">
        <v>1256</v>
      </c>
      <c r="R504" s="1" t="s">
        <v>1257</v>
      </c>
      <c r="S504" s="1" t="s">
        <v>47</v>
      </c>
      <c r="T504" s="1" t="s">
        <v>35</v>
      </c>
      <c r="U504" s="1" t="s">
        <v>82</v>
      </c>
      <c r="V504" s="1" t="s">
        <v>89</v>
      </c>
      <c r="W504">
        <v>2.4</v>
      </c>
    </row>
    <row r="505" spans="1:23" x14ac:dyDescent="0.3">
      <c r="A505" s="1" t="s">
        <v>1258</v>
      </c>
      <c r="B505">
        <v>3</v>
      </c>
      <c r="C505">
        <v>34.99</v>
      </c>
      <c r="D505">
        <v>84.73</v>
      </c>
      <c r="E505" s="1" t="s">
        <v>1093</v>
      </c>
      <c r="F505" s="1" t="s">
        <v>40</v>
      </c>
      <c r="G505">
        <v>5</v>
      </c>
      <c r="H505" s="1" t="s">
        <v>26</v>
      </c>
      <c r="I505" s="1" t="s">
        <v>85</v>
      </c>
      <c r="J505">
        <v>12.5</v>
      </c>
      <c r="K505">
        <v>34.99</v>
      </c>
      <c r="L505" s="1" t="s">
        <v>60</v>
      </c>
      <c r="M505" s="1" t="s">
        <v>29</v>
      </c>
      <c r="N505" s="1" t="s">
        <v>30</v>
      </c>
      <c r="O505" s="1" t="s">
        <v>31</v>
      </c>
      <c r="P505" s="2">
        <v>45778</v>
      </c>
      <c r="Q505" s="1" t="s">
        <v>182</v>
      </c>
      <c r="R505" s="1" t="s">
        <v>754</v>
      </c>
      <c r="S505" s="1" t="s">
        <v>65</v>
      </c>
      <c r="T505" s="1" t="s">
        <v>35</v>
      </c>
      <c r="U505" s="1" t="s">
        <v>36</v>
      </c>
      <c r="V505" s="1" t="s">
        <v>89</v>
      </c>
      <c r="W505">
        <v>2.4</v>
      </c>
    </row>
    <row r="506" spans="1:23" x14ac:dyDescent="0.3">
      <c r="A506" s="1" t="s">
        <v>1259</v>
      </c>
      <c r="B506">
        <v>3</v>
      </c>
      <c r="C506">
        <v>34.99</v>
      </c>
      <c r="D506">
        <v>84.13</v>
      </c>
      <c r="E506" s="1" t="s">
        <v>121</v>
      </c>
      <c r="F506" s="1" t="s">
        <v>40</v>
      </c>
      <c r="G506">
        <v>8</v>
      </c>
      <c r="H506" s="1" t="s">
        <v>41</v>
      </c>
      <c r="I506" s="1" t="s">
        <v>85</v>
      </c>
      <c r="J506">
        <v>12.5</v>
      </c>
      <c r="K506">
        <v>34.99</v>
      </c>
      <c r="L506" s="1" t="s">
        <v>60</v>
      </c>
      <c r="M506" s="1" t="s">
        <v>29</v>
      </c>
      <c r="N506" s="1" t="s">
        <v>30</v>
      </c>
      <c r="O506" s="1" t="s">
        <v>31</v>
      </c>
      <c r="P506" s="2">
        <v>45778</v>
      </c>
      <c r="Q506" s="1" t="s">
        <v>1260</v>
      </c>
      <c r="R506" s="1" t="s">
        <v>1261</v>
      </c>
      <c r="S506" s="1" t="s">
        <v>105</v>
      </c>
      <c r="T506" s="1" t="s">
        <v>35</v>
      </c>
      <c r="U506" s="1" t="s">
        <v>82</v>
      </c>
      <c r="V506" s="1" t="s">
        <v>89</v>
      </c>
      <c r="W506">
        <v>2.4</v>
      </c>
    </row>
    <row r="507" spans="1:23" x14ac:dyDescent="0.3">
      <c r="A507" s="1" t="s">
        <v>1262</v>
      </c>
      <c r="B507">
        <v>1</v>
      </c>
      <c r="C507">
        <v>18.989999999999998</v>
      </c>
      <c r="D507">
        <v>18.989999999999998</v>
      </c>
      <c r="E507" s="1" t="s">
        <v>1122</v>
      </c>
      <c r="F507" s="1" t="s">
        <v>40</v>
      </c>
      <c r="G507">
        <v>11</v>
      </c>
      <c r="H507" s="1" t="s">
        <v>26</v>
      </c>
      <c r="I507" s="1" t="s">
        <v>97</v>
      </c>
      <c r="J507">
        <v>6</v>
      </c>
      <c r="K507">
        <v>18.989999999999998</v>
      </c>
      <c r="L507" s="1" t="s">
        <v>60</v>
      </c>
      <c r="M507" s="1" t="s">
        <v>43</v>
      </c>
      <c r="N507" s="1" t="s">
        <v>44</v>
      </c>
      <c r="O507" s="1" t="s">
        <v>31</v>
      </c>
      <c r="P507" s="2">
        <v>45823</v>
      </c>
      <c r="Q507" s="1" t="s">
        <v>732</v>
      </c>
      <c r="R507" s="1" t="s">
        <v>1263</v>
      </c>
      <c r="S507" s="1" t="s">
        <v>88</v>
      </c>
      <c r="T507" s="1" t="s">
        <v>35</v>
      </c>
      <c r="U507" s="1" t="s">
        <v>82</v>
      </c>
      <c r="V507" s="1" t="s">
        <v>100</v>
      </c>
      <c r="W507">
        <v>3.2</v>
      </c>
    </row>
    <row r="508" spans="1:23" x14ac:dyDescent="0.3">
      <c r="A508" s="1" t="s">
        <v>1264</v>
      </c>
      <c r="B508">
        <v>1</v>
      </c>
      <c r="C508">
        <v>30.99</v>
      </c>
      <c r="D508">
        <v>30.99</v>
      </c>
      <c r="E508" s="1" t="s">
        <v>868</v>
      </c>
      <c r="F508" s="1" t="s">
        <v>25</v>
      </c>
      <c r="G508">
        <v>5</v>
      </c>
      <c r="H508" s="1" t="s">
        <v>26</v>
      </c>
      <c r="I508" s="1" t="s">
        <v>42</v>
      </c>
      <c r="J508">
        <v>10.5</v>
      </c>
      <c r="K508">
        <v>30.99</v>
      </c>
      <c r="L508" s="1" t="s">
        <v>28</v>
      </c>
      <c r="M508" s="1" t="s">
        <v>43</v>
      </c>
      <c r="N508" s="1" t="s">
        <v>44</v>
      </c>
      <c r="O508" s="1" t="s">
        <v>31</v>
      </c>
      <c r="P508" s="2">
        <v>45823</v>
      </c>
      <c r="Q508" s="1" t="s">
        <v>1150</v>
      </c>
      <c r="R508" s="1" t="s">
        <v>1151</v>
      </c>
      <c r="S508" s="1" t="s">
        <v>34</v>
      </c>
      <c r="T508" s="1" t="s">
        <v>35</v>
      </c>
      <c r="U508" s="1" t="s">
        <v>55</v>
      </c>
      <c r="V508" s="1" t="s">
        <v>37</v>
      </c>
      <c r="W508">
        <v>2</v>
      </c>
    </row>
    <row r="509" spans="1:23" x14ac:dyDescent="0.3">
      <c r="A509" s="1" t="s">
        <v>1265</v>
      </c>
      <c r="B509">
        <v>1</v>
      </c>
      <c r="C509">
        <v>16.989999999999998</v>
      </c>
      <c r="D509">
        <v>16.989999999999998</v>
      </c>
      <c r="E509" s="1" t="s">
        <v>1266</v>
      </c>
      <c r="F509" s="1" t="s">
        <v>40</v>
      </c>
      <c r="G509">
        <v>15</v>
      </c>
      <c r="H509" s="1" t="s">
        <v>58</v>
      </c>
      <c r="I509" s="1" t="s">
        <v>59</v>
      </c>
      <c r="J509">
        <v>5</v>
      </c>
      <c r="K509">
        <v>16.989999999999998</v>
      </c>
      <c r="L509" s="1" t="s">
        <v>60</v>
      </c>
      <c r="M509" s="1" t="s">
        <v>61</v>
      </c>
      <c r="N509" s="1" t="s">
        <v>62</v>
      </c>
      <c r="O509" s="1" t="s">
        <v>31</v>
      </c>
      <c r="P509" s="2">
        <v>45726</v>
      </c>
      <c r="Q509" s="1" t="s">
        <v>873</v>
      </c>
      <c r="R509" s="1" t="s">
        <v>874</v>
      </c>
      <c r="S509" s="1" t="s">
        <v>105</v>
      </c>
      <c r="T509" s="1" t="s">
        <v>35</v>
      </c>
      <c r="U509" s="1" t="s">
        <v>48</v>
      </c>
      <c r="V509" s="1" t="s">
        <v>67</v>
      </c>
      <c r="W509">
        <v>3</v>
      </c>
    </row>
    <row r="510" spans="1:23" x14ac:dyDescent="0.3">
      <c r="A510" s="1" t="s">
        <v>1267</v>
      </c>
      <c r="B510">
        <v>1</v>
      </c>
      <c r="C510">
        <v>16.989999999999998</v>
      </c>
      <c r="D510">
        <v>16.989999999999998</v>
      </c>
      <c r="E510" s="1" t="s">
        <v>1268</v>
      </c>
      <c r="F510" s="1" t="s">
        <v>51</v>
      </c>
      <c r="G510">
        <v>0</v>
      </c>
      <c r="H510" s="1" t="s">
        <v>41</v>
      </c>
      <c r="I510" s="1" t="s">
        <v>59</v>
      </c>
      <c r="J510">
        <v>5</v>
      </c>
      <c r="K510">
        <v>16.989999999999998</v>
      </c>
      <c r="L510" s="1" t="s">
        <v>60</v>
      </c>
      <c r="M510" s="1" t="s">
        <v>61</v>
      </c>
      <c r="N510" s="1" t="s">
        <v>62</v>
      </c>
      <c r="O510" s="1" t="s">
        <v>31</v>
      </c>
      <c r="P510" s="2">
        <v>45726</v>
      </c>
      <c r="Q510" s="1" t="s">
        <v>930</v>
      </c>
      <c r="R510" s="1" t="s">
        <v>1251</v>
      </c>
      <c r="S510" s="1" t="s">
        <v>47</v>
      </c>
      <c r="T510" s="1" t="s">
        <v>35</v>
      </c>
      <c r="U510" s="1" t="s">
        <v>66</v>
      </c>
      <c r="V510" s="1" t="s">
        <v>67</v>
      </c>
      <c r="W510">
        <v>3</v>
      </c>
    </row>
    <row r="511" spans="1:23" x14ac:dyDescent="0.3">
      <c r="A511" s="1" t="s">
        <v>1269</v>
      </c>
      <c r="B511">
        <v>1</v>
      </c>
      <c r="C511">
        <v>34.99</v>
      </c>
      <c r="D511">
        <v>34.99</v>
      </c>
      <c r="E511" s="1" t="s">
        <v>1111</v>
      </c>
      <c r="F511" s="1" t="s">
        <v>51</v>
      </c>
      <c r="G511">
        <v>0</v>
      </c>
      <c r="H511" s="1" t="s">
        <v>26</v>
      </c>
      <c r="I511" s="1" t="s">
        <v>85</v>
      </c>
      <c r="J511">
        <v>12.5</v>
      </c>
      <c r="K511">
        <v>34.99</v>
      </c>
      <c r="L511" s="1" t="s">
        <v>60</v>
      </c>
      <c r="M511" s="1" t="s">
        <v>29</v>
      </c>
      <c r="N511" s="1" t="s">
        <v>30</v>
      </c>
      <c r="O511" s="1" t="s">
        <v>31</v>
      </c>
      <c r="P511" s="2">
        <v>45778</v>
      </c>
      <c r="Q511" s="1" t="s">
        <v>689</v>
      </c>
      <c r="R511" s="1" t="s">
        <v>766</v>
      </c>
      <c r="S511" s="1" t="s">
        <v>105</v>
      </c>
      <c r="T511" s="1" t="s">
        <v>35</v>
      </c>
      <c r="U511" s="1" t="s">
        <v>48</v>
      </c>
      <c r="V511" s="1" t="s">
        <v>89</v>
      </c>
      <c r="W511">
        <v>2.4</v>
      </c>
    </row>
    <row r="512" spans="1:23" x14ac:dyDescent="0.3">
      <c r="A512" s="1" t="s">
        <v>1270</v>
      </c>
      <c r="B512">
        <v>1</v>
      </c>
      <c r="C512">
        <v>30.99</v>
      </c>
      <c r="D512">
        <v>30.99</v>
      </c>
      <c r="E512" s="1" t="s">
        <v>1271</v>
      </c>
      <c r="F512" s="1" t="s">
        <v>40</v>
      </c>
      <c r="G512">
        <v>6</v>
      </c>
      <c r="H512" s="1" t="s">
        <v>26</v>
      </c>
      <c r="I512" s="1" t="s">
        <v>42</v>
      </c>
      <c r="J512">
        <v>10.5</v>
      </c>
      <c r="K512">
        <v>30.99</v>
      </c>
      <c r="L512" s="1" t="s">
        <v>28</v>
      </c>
      <c r="M512" s="1" t="s">
        <v>43</v>
      </c>
      <c r="N512" s="1" t="s">
        <v>44</v>
      </c>
      <c r="O512" s="1" t="s">
        <v>31</v>
      </c>
      <c r="P512" s="2">
        <v>45823</v>
      </c>
      <c r="Q512" s="1" t="s">
        <v>1272</v>
      </c>
      <c r="R512" s="1" t="s">
        <v>1273</v>
      </c>
      <c r="S512" s="1" t="s">
        <v>88</v>
      </c>
      <c r="T512" s="1" t="s">
        <v>35</v>
      </c>
      <c r="U512" s="1" t="s">
        <v>48</v>
      </c>
      <c r="V512" s="1" t="s">
        <v>37</v>
      </c>
      <c r="W512">
        <v>2</v>
      </c>
    </row>
    <row r="513" spans="1:23" x14ac:dyDescent="0.3">
      <c r="A513" s="1" t="s">
        <v>1274</v>
      </c>
      <c r="B513">
        <v>1</v>
      </c>
      <c r="C513">
        <v>18.989999999999998</v>
      </c>
      <c r="D513">
        <v>18.989999999999998</v>
      </c>
      <c r="E513" s="1" t="s">
        <v>964</v>
      </c>
      <c r="F513" s="1" t="s">
        <v>40</v>
      </c>
      <c r="G513">
        <v>11</v>
      </c>
      <c r="H513" s="1" t="s">
        <v>26</v>
      </c>
      <c r="I513" s="1" t="s">
        <v>97</v>
      </c>
      <c r="J513">
        <v>6</v>
      </c>
      <c r="K513">
        <v>18.989999999999998</v>
      </c>
      <c r="L513" s="1" t="s">
        <v>60</v>
      </c>
      <c r="M513" s="1" t="s">
        <v>43</v>
      </c>
      <c r="N513" s="1" t="s">
        <v>44</v>
      </c>
      <c r="O513" s="1" t="s">
        <v>31</v>
      </c>
      <c r="P513" s="2">
        <v>45823</v>
      </c>
      <c r="Q513" s="1" t="s">
        <v>1275</v>
      </c>
      <c r="R513" s="1" t="s">
        <v>1276</v>
      </c>
      <c r="S513" s="1" t="s">
        <v>47</v>
      </c>
      <c r="T513" s="1" t="s">
        <v>35</v>
      </c>
      <c r="U513" s="1" t="s">
        <v>66</v>
      </c>
      <c r="V513" s="1" t="s">
        <v>100</v>
      </c>
      <c r="W513">
        <v>3.2</v>
      </c>
    </row>
    <row r="514" spans="1:23" x14ac:dyDescent="0.3">
      <c r="A514" s="1" t="s">
        <v>1277</v>
      </c>
      <c r="B514">
        <v>1</v>
      </c>
      <c r="C514">
        <v>27.99</v>
      </c>
      <c r="D514">
        <v>27.99</v>
      </c>
      <c r="E514" s="1" t="s">
        <v>146</v>
      </c>
      <c r="F514" s="1" t="s">
        <v>40</v>
      </c>
      <c r="G514">
        <v>3</v>
      </c>
      <c r="H514" s="1" t="s">
        <v>26</v>
      </c>
      <c r="I514" s="1" t="s">
        <v>75</v>
      </c>
      <c r="J514">
        <v>9</v>
      </c>
      <c r="K514">
        <v>27.99</v>
      </c>
      <c r="L514" s="1" t="s">
        <v>28</v>
      </c>
      <c r="M514" s="1" t="s">
        <v>61</v>
      </c>
      <c r="N514" s="1" t="s">
        <v>62</v>
      </c>
      <c r="O514" s="1" t="s">
        <v>31</v>
      </c>
      <c r="P514" s="2">
        <v>45726</v>
      </c>
      <c r="Q514" s="1" t="s">
        <v>137</v>
      </c>
      <c r="R514" s="1" t="s">
        <v>1278</v>
      </c>
      <c r="S514" s="1" t="s">
        <v>34</v>
      </c>
      <c r="T514" s="1" t="s">
        <v>35</v>
      </c>
      <c r="U514" s="1" t="s">
        <v>36</v>
      </c>
      <c r="V514" s="1" t="s">
        <v>37</v>
      </c>
      <c r="W514">
        <v>2</v>
      </c>
    </row>
    <row r="515" spans="1:23" x14ac:dyDescent="0.3">
      <c r="A515" s="1" t="s">
        <v>1279</v>
      </c>
      <c r="B515">
        <v>3</v>
      </c>
      <c r="C515">
        <v>16.989999999999998</v>
      </c>
      <c r="D515">
        <v>40.08</v>
      </c>
      <c r="E515" s="1" t="s">
        <v>107</v>
      </c>
      <c r="F515" s="1" t="s">
        <v>40</v>
      </c>
      <c r="G515">
        <v>17</v>
      </c>
      <c r="H515" s="1" t="s">
        <v>26</v>
      </c>
      <c r="I515" s="1" t="s">
        <v>59</v>
      </c>
      <c r="J515">
        <v>5</v>
      </c>
      <c r="K515">
        <v>16.989999999999998</v>
      </c>
      <c r="L515" s="1" t="s">
        <v>60</v>
      </c>
      <c r="M515" s="1" t="s">
        <v>61</v>
      </c>
      <c r="N515" s="1" t="s">
        <v>62</v>
      </c>
      <c r="O515" s="1" t="s">
        <v>31</v>
      </c>
      <c r="P515" s="2">
        <v>45726</v>
      </c>
      <c r="Q515" s="1" t="s">
        <v>71</v>
      </c>
      <c r="R515" s="1" t="s">
        <v>955</v>
      </c>
      <c r="S515" s="1" t="s">
        <v>65</v>
      </c>
      <c r="T515" s="1" t="s">
        <v>35</v>
      </c>
      <c r="U515" s="1" t="s">
        <v>82</v>
      </c>
      <c r="V515" s="1" t="s">
        <v>67</v>
      </c>
      <c r="W515">
        <v>3</v>
      </c>
    </row>
    <row r="516" spans="1:23" x14ac:dyDescent="0.3">
      <c r="A516" s="1" t="s">
        <v>1280</v>
      </c>
      <c r="B516">
        <v>1</v>
      </c>
      <c r="C516">
        <v>21.99</v>
      </c>
      <c r="D516">
        <v>21.99</v>
      </c>
      <c r="E516" s="1" t="s">
        <v>1281</v>
      </c>
      <c r="F516" s="1" t="s">
        <v>40</v>
      </c>
      <c r="G516">
        <v>2</v>
      </c>
      <c r="H516" s="1" t="s">
        <v>41</v>
      </c>
      <c r="I516" s="1" t="s">
        <v>27</v>
      </c>
      <c r="J516">
        <v>7</v>
      </c>
      <c r="K516">
        <v>21.99</v>
      </c>
      <c r="L516" s="1" t="s">
        <v>28</v>
      </c>
      <c r="M516" s="1" t="s">
        <v>29</v>
      </c>
      <c r="N516" s="1" t="s">
        <v>30</v>
      </c>
      <c r="O516" s="1" t="s">
        <v>31</v>
      </c>
      <c r="P516" s="2">
        <v>45778</v>
      </c>
      <c r="Q516" s="1" t="s">
        <v>1282</v>
      </c>
      <c r="R516" s="1" t="s">
        <v>1283</v>
      </c>
      <c r="S516" s="1" t="s">
        <v>34</v>
      </c>
      <c r="T516" s="1" t="s">
        <v>35</v>
      </c>
      <c r="U516" s="1" t="s">
        <v>66</v>
      </c>
      <c r="V516" s="1" t="s">
        <v>37</v>
      </c>
      <c r="W516">
        <v>2</v>
      </c>
    </row>
    <row r="517" spans="1:23" x14ac:dyDescent="0.3">
      <c r="A517" s="1" t="s">
        <v>1284</v>
      </c>
      <c r="B517">
        <v>1</v>
      </c>
      <c r="C517">
        <v>27.99</v>
      </c>
      <c r="D517">
        <v>27.99</v>
      </c>
      <c r="E517" s="1" t="s">
        <v>1285</v>
      </c>
      <c r="F517" s="1" t="s">
        <v>40</v>
      </c>
      <c r="G517">
        <v>2</v>
      </c>
      <c r="H517" s="1" t="s">
        <v>58</v>
      </c>
      <c r="I517" s="1" t="s">
        <v>75</v>
      </c>
      <c r="J517">
        <v>9</v>
      </c>
      <c r="K517">
        <v>27.99</v>
      </c>
      <c r="L517" s="1" t="s">
        <v>28</v>
      </c>
      <c r="M517" s="1" t="s">
        <v>61</v>
      </c>
      <c r="N517" s="1" t="s">
        <v>62</v>
      </c>
      <c r="O517" s="1" t="s">
        <v>31</v>
      </c>
      <c r="P517" s="2">
        <v>45726</v>
      </c>
      <c r="Q517" s="1" t="s">
        <v>1286</v>
      </c>
      <c r="R517" s="1" t="s">
        <v>1287</v>
      </c>
      <c r="S517" s="1" t="s">
        <v>47</v>
      </c>
      <c r="T517" s="1" t="s">
        <v>35</v>
      </c>
      <c r="U517" s="1" t="s">
        <v>66</v>
      </c>
      <c r="V517" s="1" t="s">
        <v>37</v>
      </c>
      <c r="W517">
        <v>2</v>
      </c>
    </row>
    <row r="518" spans="1:23" x14ac:dyDescent="0.3">
      <c r="A518" s="1" t="s">
        <v>1288</v>
      </c>
      <c r="B518">
        <v>2</v>
      </c>
      <c r="C518">
        <v>34.99</v>
      </c>
      <c r="D518">
        <v>61.01</v>
      </c>
      <c r="E518" s="1" t="s">
        <v>1289</v>
      </c>
      <c r="F518" s="1" t="s">
        <v>40</v>
      </c>
      <c r="G518">
        <v>8</v>
      </c>
      <c r="H518" s="1" t="s">
        <v>26</v>
      </c>
      <c r="I518" s="1" t="s">
        <v>85</v>
      </c>
      <c r="J518">
        <v>12.5</v>
      </c>
      <c r="K518">
        <v>34.99</v>
      </c>
      <c r="L518" s="1" t="s">
        <v>60</v>
      </c>
      <c r="M518" s="1" t="s">
        <v>29</v>
      </c>
      <c r="N518" s="1" t="s">
        <v>30</v>
      </c>
      <c r="O518" s="1" t="s">
        <v>31</v>
      </c>
      <c r="P518" s="2">
        <v>45778</v>
      </c>
      <c r="Q518" s="1" t="s">
        <v>787</v>
      </c>
      <c r="R518" s="1" t="s">
        <v>788</v>
      </c>
      <c r="S518" s="1" t="s">
        <v>105</v>
      </c>
      <c r="T518" s="1" t="s">
        <v>35</v>
      </c>
      <c r="U518" s="1" t="s">
        <v>82</v>
      </c>
      <c r="V518" s="1" t="s">
        <v>89</v>
      </c>
      <c r="W518">
        <v>2.4</v>
      </c>
    </row>
    <row r="519" spans="1:23" x14ac:dyDescent="0.3">
      <c r="A519" s="1" t="s">
        <v>1290</v>
      </c>
      <c r="B519">
        <v>3</v>
      </c>
      <c r="C519">
        <v>30.99</v>
      </c>
      <c r="D519">
        <v>74.849999999999994</v>
      </c>
      <c r="E519" s="1" t="s">
        <v>1291</v>
      </c>
      <c r="F519" s="1" t="s">
        <v>40</v>
      </c>
      <c r="G519">
        <v>3</v>
      </c>
      <c r="H519" s="1" t="s">
        <v>58</v>
      </c>
      <c r="I519" s="1" t="s">
        <v>42</v>
      </c>
      <c r="J519">
        <v>10.5</v>
      </c>
      <c r="K519">
        <v>30.99</v>
      </c>
      <c r="L519" s="1" t="s">
        <v>28</v>
      </c>
      <c r="M519" s="1" t="s">
        <v>43</v>
      </c>
      <c r="N519" s="1" t="s">
        <v>44</v>
      </c>
      <c r="O519" s="1" t="s">
        <v>31</v>
      </c>
      <c r="P519" s="2">
        <v>45823</v>
      </c>
      <c r="Q519" s="1" t="s">
        <v>893</v>
      </c>
      <c r="R519" s="1" t="s">
        <v>894</v>
      </c>
      <c r="S519" s="1" t="s">
        <v>411</v>
      </c>
      <c r="T519" s="1" t="s">
        <v>35</v>
      </c>
      <c r="U519" s="1" t="s">
        <v>48</v>
      </c>
      <c r="V519" s="1" t="s">
        <v>37</v>
      </c>
      <c r="W519">
        <v>2</v>
      </c>
    </row>
    <row r="520" spans="1:23" x14ac:dyDescent="0.3">
      <c r="A520" s="1" t="s">
        <v>1292</v>
      </c>
      <c r="B520">
        <v>2</v>
      </c>
      <c r="C520">
        <v>16.989999999999998</v>
      </c>
      <c r="D520">
        <v>29.64</v>
      </c>
      <c r="E520" s="1" t="s">
        <v>1293</v>
      </c>
      <c r="F520" s="1" t="s">
        <v>51</v>
      </c>
      <c r="G520">
        <v>0</v>
      </c>
      <c r="H520" s="1" t="s">
        <v>96</v>
      </c>
      <c r="I520" s="1" t="s">
        <v>59</v>
      </c>
      <c r="J520">
        <v>5</v>
      </c>
      <c r="K520">
        <v>16.989999999999998</v>
      </c>
      <c r="L520" s="1" t="s">
        <v>60</v>
      </c>
      <c r="M520" s="1" t="s">
        <v>61</v>
      </c>
      <c r="N520" s="1" t="s">
        <v>62</v>
      </c>
      <c r="O520" s="1" t="s">
        <v>31</v>
      </c>
      <c r="P520" s="2">
        <v>45726</v>
      </c>
      <c r="Q520" s="1" t="s">
        <v>1211</v>
      </c>
      <c r="R520" s="1" t="s">
        <v>1212</v>
      </c>
      <c r="S520" s="1" t="s">
        <v>34</v>
      </c>
      <c r="T520" s="1" t="s">
        <v>35</v>
      </c>
      <c r="U520" s="1" t="s">
        <v>66</v>
      </c>
      <c r="V520" s="1" t="s">
        <v>67</v>
      </c>
      <c r="W520">
        <v>3</v>
      </c>
    </row>
    <row r="521" spans="1:23" x14ac:dyDescent="0.3">
      <c r="A521" s="1" t="s">
        <v>1294</v>
      </c>
      <c r="B521">
        <v>1</v>
      </c>
      <c r="C521">
        <v>18.989999999999998</v>
      </c>
      <c r="D521">
        <v>18.989999999999998</v>
      </c>
      <c r="E521" s="1" t="s">
        <v>1295</v>
      </c>
      <c r="F521" s="1" t="s">
        <v>70</v>
      </c>
      <c r="G521">
        <v>0</v>
      </c>
      <c r="H521" s="1" t="s">
        <v>96</v>
      </c>
      <c r="I521" s="1" t="s">
        <v>97</v>
      </c>
      <c r="J521">
        <v>6</v>
      </c>
      <c r="K521">
        <v>18.989999999999998</v>
      </c>
      <c r="L521" s="1" t="s">
        <v>60</v>
      </c>
      <c r="M521" s="1" t="s">
        <v>43</v>
      </c>
      <c r="N521" s="1" t="s">
        <v>44</v>
      </c>
      <c r="O521" s="1" t="s">
        <v>31</v>
      </c>
      <c r="P521" s="2">
        <v>45823</v>
      </c>
      <c r="Q521" s="1" t="s">
        <v>1009</v>
      </c>
      <c r="R521" s="1" t="s">
        <v>1010</v>
      </c>
      <c r="S521" s="1" t="s">
        <v>47</v>
      </c>
      <c r="T521" s="1" t="s">
        <v>35</v>
      </c>
      <c r="U521" s="1" t="s">
        <v>82</v>
      </c>
      <c r="V521" s="1" t="s">
        <v>100</v>
      </c>
      <c r="W521">
        <v>3.2</v>
      </c>
    </row>
    <row r="522" spans="1:23" x14ac:dyDescent="0.3">
      <c r="A522" s="1" t="s">
        <v>1296</v>
      </c>
      <c r="B522">
        <v>1</v>
      </c>
      <c r="C522">
        <v>27.99</v>
      </c>
      <c r="D522">
        <v>27.99</v>
      </c>
      <c r="E522" s="1" t="s">
        <v>260</v>
      </c>
      <c r="F522" s="1" t="s">
        <v>40</v>
      </c>
      <c r="G522">
        <v>3</v>
      </c>
      <c r="H522" s="1" t="s">
        <v>26</v>
      </c>
      <c r="I522" s="1" t="s">
        <v>75</v>
      </c>
      <c r="J522">
        <v>9</v>
      </c>
      <c r="K522">
        <v>27.99</v>
      </c>
      <c r="L522" s="1" t="s">
        <v>28</v>
      </c>
      <c r="M522" s="1" t="s">
        <v>61</v>
      </c>
      <c r="N522" s="1" t="s">
        <v>62</v>
      </c>
      <c r="O522" s="1" t="s">
        <v>31</v>
      </c>
      <c r="P522" s="2">
        <v>45726</v>
      </c>
      <c r="Q522" s="1" t="s">
        <v>376</v>
      </c>
      <c r="R522" s="1" t="s">
        <v>1297</v>
      </c>
      <c r="S522" s="1" t="s">
        <v>54</v>
      </c>
      <c r="T522" s="1" t="s">
        <v>35</v>
      </c>
      <c r="U522" s="1" t="s">
        <v>55</v>
      </c>
      <c r="V522" s="1" t="s">
        <v>37</v>
      </c>
      <c r="W522">
        <v>2</v>
      </c>
    </row>
    <row r="523" spans="1:23" x14ac:dyDescent="0.3">
      <c r="A523" s="1" t="s">
        <v>1298</v>
      </c>
      <c r="B523">
        <v>3</v>
      </c>
      <c r="C523">
        <v>34.99</v>
      </c>
      <c r="D523">
        <v>83.1</v>
      </c>
      <c r="E523" s="1" t="s">
        <v>1299</v>
      </c>
      <c r="F523" s="1" t="s">
        <v>70</v>
      </c>
      <c r="G523">
        <v>0</v>
      </c>
      <c r="H523" s="1" t="s">
        <v>96</v>
      </c>
      <c r="I523" s="1" t="s">
        <v>85</v>
      </c>
      <c r="J523">
        <v>12.5</v>
      </c>
      <c r="K523">
        <v>34.99</v>
      </c>
      <c r="L523" s="1" t="s">
        <v>60</v>
      </c>
      <c r="M523" s="1" t="s">
        <v>29</v>
      </c>
      <c r="N523" s="1" t="s">
        <v>30</v>
      </c>
      <c r="O523" s="1" t="s">
        <v>31</v>
      </c>
      <c r="P523" s="2">
        <v>45778</v>
      </c>
      <c r="Q523" s="1" t="s">
        <v>893</v>
      </c>
      <c r="R523" s="1" t="s">
        <v>1300</v>
      </c>
      <c r="S523" s="1" t="s">
        <v>34</v>
      </c>
      <c r="T523" s="1" t="s">
        <v>35</v>
      </c>
      <c r="U523" s="1" t="s">
        <v>66</v>
      </c>
      <c r="V523" s="1" t="s">
        <v>89</v>
      </c>
      <c r="W523">
        <v>2.4</v>
      </c>
    </row>
    <row r="524" spans="1:23" x14ac:dyDescent="0.3">
      <c r="A524" s="1" t="s">
        <v>1301</v>
      </c>
      <c r="B524">
        <v>2</v>
      </c>
      <c r="C524">
        <v>16.989999999999998</v>
      </c>
      <c r="D524">
        <v>29.48</v>
      </c>
      <c r="E524" s="1" t="s">
        <v>1302</v>
      </c>
      <c r="F524" s="1" t="s">
        <v>40</v>
      </c>
      <c r="G524">
        <v>16</v>
      </c>
      <c r="H524" s="1" t="s">
        <v>26</v>
      </c>
      <c r="I524" s="1" t="s">
        <v>59</v>
      </c>
      <c r="J524">
        <v>5</v>
      </c>
      <c r="K524">
        <v>16.989999999999998</v>
      </c>
      <c r="L524" s="1" t="s">
        <v>60</v>
      </c>
      <c r="M524" s="1" t="s">
        <v>61</v>
      </c>
      <c r="N524" s="1" t="s">
        <v>62</v>
      </c>
      <c r="O524" s="1" t="s">
        <v>31</v>
      </c>
      <c r="P524" s="2">
        <v>45726</v>
      </c>
      <c r="Q524" s="1" t="s">
        <v>1028</v>
      </c>
      <c r="R524" s="1" t="s">
        <v>1303</v>
      </c>
      <c r="S524" s="1" t="s">
        <v>411</v>
      </c>
      <c r="T524" s="1" t="s">
        <v>35</v>
      </c>
      <c r="U524" s="1" t="s">
        <v>55</v>
      </c>
      <c r="V524" s="1" t="s">
        <v>67</v>
      </c>
      <c r="W524">
        <v>3</v>
      </c>
    </row>
    <row r="525" spans="1:23" x14ac:dyDescent="0.3">
      <c r="A525" s="1" t="s">
        <v>1304</v>
      </c>
      <c r="B525">
        <v>3</v>
      </c>
      <c r="C525">
        <v>21.99</v>
      </c>
      <c r="D525">
        <v>53.26</v>
      </c>
      <c r="E525" s="1" t="s">
        <v>1027</v>
      </c>
      <c r="F525" s="1" t="s">
        <v>51</v>
      </c>
      <c r="G525">
        <v>0</v>
      </c>
      <c r="H525" s="1" t="s">
        <v>58</v>
      </c>
      <c r="I525" s="1" t="s">
        <v>27</v>
      </c>
      <c r="J525">
        <v>7</v>
      </c>
      <c r="K525">
        <v>21.99</v>
      </c>
      <c r="L525" s="1" t="s">
        <v>28</v>
      </c>
      <c r="M525" s="1" t="s">
        <v>29</v>
      </c>
      <c r="N525" s="1" t="s">
        <v>30</v>
      </c>
      <c r="O525" s="1" t="s">
        <v>31</v>
      </c>
      <c r="P525" s="2">
        <v>45778</v>
      </c>
      <c r="Q525" s="1" t="s">
        <v>913</v>
      </c>
      <c r="R525" s="1" t="s">
        <v>914</v>
      </c>
      <c r="S525" s="1" t="s">
        <v>65</v>
      </c>
      <c r="T525" s="1" t="s">
        <v>35</v>
      </c>
      <c r="U525" s="1" t="s">
        <v>48</v>
      </c>
      <c r="V525" s="1" t="s">
        <v>37</v>
      </c>
      <c r="W525">
        <v>2</v>
      </c>
    </row>
    <row r="526" spans="1:23" x14ac:dyDescent="0.3">
      <c r="A526" s="1" t="s">
        <v>1305</v>
      </c>
      <c r="B526">
        <v>1</v>
      </c>
      <c r="C526">
        <v>21.99</v>
      </c>
      <c r="D526">
        <v>21.99</v>
      </c>
      <c r="E526" s="1" t="s">
        <v>1295</v>
      </c>
      <c r="F526" s="1" t="s">
        <v>188</v>
      </c>
      <c r="G526">
        <v>0</v>
      </c>
      <c r="H526" s="1" t="s">
        <v>26</v>
      </c>
      <c r="I526" s="1" t="s">
        <v>27</v>
      </c>
      <c r="J526">
        <v>7</v>
      </c>
      <c r="K526">
        <v>21.99</v>
      </c>
      <c r="L526" s="1" t="s">
        <v>28</v>
      </c>
      <c r="M526" s="1" t="s">
        <v>29</v>
      </c>
      <c r="N526" s="1" t="s">
        <v>30</v>
      </c>
      <c r="O526" s="1" t="s">
        <v>31</v>
      </c>
      <c r="P526" s="2">
        <v>45778</v>
      </c>
      <c r="Q526" s="1" t="s">
        <v>1306</v>
      </c>
      <c r="R526" s="1" t="s">
        <v>1307</v>
      </c>
      <c r="S526" s="1" t="s">
        <v>47</v>
      </c>
      <c r="T526" s="1" t="s">
        <v>35</v>
      </c>
      <c r="U526" s="1" t="s">
        <v>66</v>
      </c>
      <c r="V526" s="1" t="s">
        <v>37</v>
      </c>
      <c r="W526">
        <v>2</v>
      </c>
    </row>
    <row r="527" spans="1:23" x14ac:dyDescent="0.3">
      <c r="A527" s="1" t="s">
        <v>1308</v>
      </c>
      <c r="B527">
        <v>3</v>
      </c>
      <c r="C527">
        <v>18.989999999999998</v>
      </c>
      <c r="D527">
        <v>45.7</v>
      </c>
      <c r="E527" s="1" t="s">
        <v>1061</v>
      </c>
      <c r="F527" s="1" t="s">
        <v>25</v>
      </c>
      <c r="G527">
        <v>19</v>
      </c>
      <c r="H527" s="1" t="s">
        <v>58</v>
      </c>
      <c r="I527" s="1" t="s">
        <v>97</v>
      </c>
      <c r="J527">
        <v>6</v>
      </c>
      <c r="K527">
        <v>18.989999999999998</v>
      </c>
      <c r="L527" s="1" t="s">
        <v>60</v>
      </c>
      <c r="M527" s="1" t="s">
        <v>43</v>
      </c>
      <c r="N527" s="1" t="s">
        <v>44</v>
      </c>
      <c r="O527" s="1" t="s">
        <v>31</v>
      </c>
      <c r="P527" s="2">
        <v>45823</v>
      </c>
      <c r="Q527" s="1" t="s">
        <v>1069</v>
      </c>
      <c r="R527" s="1" t="s">
        <v>1070</v>
      </c>
      <c r="S527" s="1" t="s">
        <v>65</v>
      </c>
      <c r="T527" s="1" t="s">
        <v>35</v>
      </c>
      <c r="U527" s="1" t="s">
        <v>66</v>
      </c>
      <c r="V527" s="1" t="s">
        <v>100</v>
      </c>
      <c r="W527">
        <v>3.2</v>
      </c>
    </row>
    <row r="528" spans="1:23" x14ac:dyDescent="0.3">
      <c r="A528" s="1" t="s">
        <v>1309</v>
      </c>
      <c r="B528">
        <v>1</v>
      </c>
      <c r="C528">
        <v>34.99</v>
      </c>
      <c r="D528">
        <v>34.99</v>
      </c>
      <c r="E528" s="1" t="s">
        <v>1310</v>
      </c>
      <c r="F528" s="1" t="s">
        <v>51</v>
      </c>
      <c r="G528">
        <v>0</v>
      </c>
      <c r="H528" s="1" t="s">
        <v>58</v>
      </c>
      <c r="I528" s="1" t="s">
        <v>85</v>
      </c>
      <c r="J528">
        <v>12.5</v>
      </c>
      <c r="K528">
        <v>34.99</v>
      </c>
      <c r="L528" s="1" t="s">
        <v>60</v>
      </c>
      <c r="M528" s="1" t="s">
        <v>29</v>
      </c>
      <c r="N528" s="1" t="s">
        <v>30</v>
      </c>
      <c r="O528" s="1" t="s">
        <v>31</v>
      </c>
      <c r="P528" s="2">
        <v>45778</v>
      </c>
      <c r="Q528" s="1" t="s">
        <v>137</v>
      </c>
      <c r="R528" s="1" t="s">
        <v>1311</v>
      </c>
      <c r="S528" s="1" t="s">
        <v>47</v>
      </c>
      <c r="T528" s="1" t="s">
        <v>35</v>
      </c>
      <c r="U528" s="1" t="s">
        <v>82</v>
      </c>
      <c r="V528" s="1" t="s">
        <v>89</v>
      </c>
      <c r="W528">
        <v>2.4</v>
      </c>
    </row>
    <row r="529" spans="1:23" x14ac:dyDescent="0.3">
      <c r="A529" s="1" t="s">
        <v>1312</v>
      </c>
      <c r="B529">
        <v>2</v>
      </c>
      <c r="C529">
        <v>16.989999999999998</v>
      </c>
      <c r="D529">
        <v>29.34</v>
      </c>
      <c r="E529" s="1" t="s">
        <v>327</v>
      </c>
      <c r="F529" s="1" t="s">
        <v>40</v>
      </c>
      <c r="G529">
        <v>15</v>
      </c>
      <c r="H529" s="1" t="s">
        <v>41</v>
      </c>
      <c r="I529" s="1" t="s">
        <v>59</v>
      </c>
      <c r="J529">
        <v>5</v>
      </c>
      <c r="K529">
        <v>16.989999999999998</v>
      </c>
      <c r="L529" s="1" t="s">
        <v>60</v>
      </c>
      <c r="M529" s="1" t="s">
        <v>61</v>
      </c>
      <c r="N529" s="1" t="s">
        <v>62</v>
      </c>
      <c r="O529" s="1" t="s">
        <v>31</v>
      </c>
      <c r="P529" s="2">
        <v>45726</v>
      </c>
      <c r="Q529" s="1" t="s">
        <v>720</v>
      </c>
      <c r="R529" s="1" t="s">
        <v>721</v>
      </c>
      <c r="S529" s="1" t="s">
        <v>54</v>
      </c>
      <c r="T529" s="1" t="s">
        <v>35</v>
      </c>
      <c r="U529" s="1" t="s">
        <v>82</v>
      </c>
      <c r="V529" s="1" t="s">
        <v>67</v>
      </c>
      <c r="W529">
        <v>3</v>
      </c>
    </row>
    <row r="530" spans="1:23" x14ac:dyDescent="0.3">
      <c r="A530" s="1" t="s">
        <v>1313</v>
      </c>
      <c r="B530">
        <v>2</v>
      </c>
      <c r="C530">
        <v>18.989999999999998</v>
      </c>
      <c r="D530">
        <v>32.729999999999997</v>
      </c>
      <c r="E530" s="1" t="s">
        <v>146</v>
      </c>
      <c r="F530" s="1" t="s">
        <v>51</v>
      </c>
      <c r="G530">
        <v>0</v>
      </c>
      <c r="H530" s="1" t="s">
        <v>96</v>
      </c>
      <c r="I530" s="1" t="s">
        <v>97</v>
      </c>
      <c r="J530">
        <v>6</v>
      </c>
      <c r="K530">
        <v>18.989999999999998</v>
      </c>
      <c r="L530" s="1" t="s">
        <v>60</v>
      </c>
      <c r="M530" s="1" t="s">
        <v>43</v>
      </c>
      <c r="N530" s="1" t="s">
        <v>44</v>
      </c>
      <c r="O530" s="1" t="s">
        <v>31</v>
      </c>
      <c r="P530" s="2">
        <v>45823</v>
      </c>
      <c r="Q530" s="1" t="s">
        <v>1028</v>
      </c>
      <c r="R530" s="1" t="s">
        <v>1303</v>
      </c>
      <c r="S530" s="1" t="s">
        <v>411</v>
      </c>
      <c r="T530" s="1" t="s">
        <v>35</v>
      </c>
      <c r="U530" s="1" t="s">
        <v>55</v>
      </c>
      <c r="V530" s="1" t="s">
        <v>100</v>
      </c>
      <c r="W530">
        <v>3.2</v>
      </c>
    </row>
    <row r="531" spans="1:23" x14ac:dyDescent="0.3">
      <c r="A531" s="1" t="s">
        <v>1314</v>
      </c>
      <c r="B531">
        <v>1</v>
      </c>
      <c r="C531">
        <v>34.99</v>
      </c>
      <c r="D531">
        <v>34.99</v>
      </c>
      <c r="E531" s="1" t="s">
        <v>1315</v>
      </c>
      <c r="F531" s="1" t="s">
        <v>51</v>
      </c>
      <c r="G531">
        <v>0</v>
      </c>
      <c r="H531" s="1" t="s">
        <v>96</v>
      </c>
      <c r="I531" s="1" t="s">
        <v>85</v>
      </c>
      <c r="J531">
        <v>12.5</v>
      </c>
      <c r="K531">
        <v>34.99</v>
      </c>
      <c r="L531" s="1" t="s">
        <v>60</v>
      </c>
      <c r="M531" s="1" t="s">
        <v>29</v>
      </c>
      <c r="N531" s="1" t="s">
        <v>30</v>
      </c>
      <c r="O531" s="1" t="s">
        <v>31</v>
      </c>
      <c r="P531" s="2">
        <v>45778</v>
      </c>
      <c r="Q531" s="1" t="s">
        <v>1316</v>
      </c>
      <c r="R531" s="1" t="s">
        <v>1317</v>
      </c>
      <c r="S531" s="1" t="s">
        <v>105</v>
      </c>
      <c r="T531" s="1" t="s">
        <v>35</v>
      </c>
      <c r="U531" s="1" t="s">
        <v>66</v>
      </c>
      <c r="V531" s="1" t="s">
        <v>89</v>
      </c>
      <c r="W531">
        <v>2.4</v>
      </c>
    </row>
    <row r="532" spans="1:23" x14ac:dyDescent="0.3">
      <c r="A532" s="1" t="s">
        <v>1318</v>
      </c>
      <c r="B532">
        <v>3</v>
      </c>
      <c r="C532">
        <v>34.99</v>
      </c>
      <c r="D532">
        <v>83.88</v>
      </c>
      <c r="E532" s="1" t="s">
        <v>824</v>
      </c>
      <c r="F532" s="1" t="s">
        <v>51</v>
      </c>
      <c r="G532">
        <v>0</v>
      </c>
      <c r="H532" s="1" t="s">
        <v>58</v>
      </c>
      <c r="I532" s="1" t="s">
        <v>85</v>
      </c>
      <c r="J532">
        <v>12.5</v>
      </c>
      <c r="K532">
        <v>34.99</v>
      </c>
      <c r="L532" s="1" t="s">
        <v>60</v>
      </c>
      <c r="M532" s="1" t="s">
        <v>29</v>
      </c>
      <c r="N532" s="1" t="s">
        <v>30</v>
      </c>
      <c r="O532" s="1" t="s">
        <v>31</v>
      </c>
      <c r="P532" s="2">
        <v>45778</v>
      </c>
      <c r="Q532" s="1" t="s">
        <v>1319</v>
      </c>
      <c r="R532" s="1" t="s">
        <v>1320</v>
      </c>
      <c r="S532" s="1" t="s">
        <v>54</v>
      </c>
      <c r="T532" s="1" t="s">
        <v>35</v>
      </c>
      <c r="U532" s="1" t="s">
        <v>82</v>
      </c>
      <c r="V532" s="1" t="s">
        <v>89</v>
      </c>
      <c r="W532">
        <v>2.4</v>
      </c>
    </row>
    <row r="533" spans="1:23" x14ac:dyDescent="0.3">
      <c r="A533" s="1" t="s">
        <v>1321</v>
      </c>
      <c r="B533">
        <v>3</v>
      </c>
      <c r="C533">
        <v>34.99</v>
      </c>
      <c r="D533">
        <v>84.2</v>
      </c>
      <c r="E533" s="1" t="s">
        <v>954</v>
      </c>
      <c r="F533" s="1" t="s">
        <v>40</v>
      </c>
      <c r="G533">
        <v>8</v>
      </c>
      <c r="H533" s="1" t="s">
        <v>58</v>
      </c>
      <c r="I533" s="1" t="s">
        <v>85</v>
      </c>
      <c r="J533">
        <v>12.5</v>
      </c>
      <c r="K533">
        <v>34.99</v>
      </c>
      <c r="L533" s="1" t="s">
        <v>60</v>
      </c>
      <c r="M533" s="1" t="s">
        <v>29</v>
      </c>
      <c r="N533" s="1" t="s">
        <v>30</v>
      </c>
      <c r="O533" s="1" t="s">
        <v>31</v>
      </c>
      <c r="P533" s="2">
        <v>45778</v>
      </c>
      <c r="Q533" s="1" t="s">
        <v>150</v>
      </c>
      <c r="R533" s="1" t="s">
        <v>1322</v>
      </c>
      <c r="S533" s="1" t="s">
        <v>88</v>
      </c>
      <c r="T533" s="1" t="s">
        <v>35</v>
      </c>
      <c r="U533" s="1" t="s">
        <v>66</v>
      </c>
      <c r="V533" s="1" t="s">
        <v>89</v>
      </c>
      <c r="W533">
        <v>2.4</v>
      </c>
    </row>
    <row r="534" spans="1:23" x14ac:dyDescent="0.3">
      <c r="A534" s="1" t="s">
        <v>1323</v>
      </c>
      <c r="B534">
        <v>1</v>
      </c>
      <c r="C534">
        <v>30.99</v>
      </c>
      <c r="D534">
        <v>30.99</v>
      </c>
      <c r="E534" s="1" t="s">
        <v>1324</v>
      </c>
      <c r="F534" s="1" t="s">
        <v>51</v>
      </c>
      <c r="G534">
        <v>0</v>
      </c>
      <c r="H534" s="1" t="s">
        <v>41</v>
      </c>
      <c r="I534" s="1" t="s">
        <v>42</v>
      </c>
      <c r="J534">
        <v>10.5</v>
      </c>
      <c r="K534">
        <v>30.99</v>
      </c>
      <c r="L534" s="1" t="s">
        <v>28</v>
      </c>
      <c r="M534" s="1" t="s">
        <v>43</v>
      </c>
      <c r="N534" s="1" t="s">
        <v>44</v>
      </c>
      <c r="O534" s="1" t="s">
        <v>31</v>
      </c>
      <c r="P534" s="2">
        <v>45823</v>
      </c>
      <c r="Q534" s="1" t="s">
        <v>1325</v>
      </c>
      <c r="R534" s="1" t="s">
        <v>1326</v>
      </c>
      <c r="S534" s="1" t="s">
        <v>105</v>
      </c>
      <c r="T534" s="1" t="s">
        <v>35</v>
      </c>
      <c r="U534" s="1" t="s">
        <v>82</v>
      </c>
      <c r="V534" s="1" t="s">
        <v>37</v>
      </c>
      <c r="W534">
        <v>2</v>
      </c>
    </row>
    <row r="535" spans="1:23" x14ac:dyDescent="0.3">
      <c r="A535" s="1" t="s">
        <v>1327</v>
      </c>
      <c r="B535">
        <v>1</v>
      </c>
      <c r="C535">
        <v>16.989999999999998</v>
      </c>
      <c r="D535">
        <v>16.989999999999998</v>
      </c>
      <c r="E535" s="1" t="s">
        <v>1161</v>
      </c>
      <c r="F535" s="1" t="s">
        <v>40</v>
      </c>
      <c r="G535">
        <v>20</v>
      </c>
      <c r="H535" s="1" t="s">
        <v>41</v>
      </c>
      <c r="I535" s="1" t="s">
        <v>59</v>
      </c>
      <c r="J535">
        <v>5</v>
      </c>
      <c r="K535">
        <v>16.989999999999998</v>
      </c>
      <c r="L535" s="1" t="s">
        <v>60</v>
      </c>
      <c r="M535" s="1" t="s">
        <v>61</v>
      </c>
      <c r="N535" s="1" t="s">
        <v>62</v>
      </c>
      <c r="O535" s="1" t="s">
        <v>31</v>
      </c>
      <c r="P535" s="2">
        <v>45726</v>
      </c>
      <c r="Q535" s="1" t="s">
        <v>1328</v>
      </c>
      <c r="R535" s="1" t="s">
        <v>1329</v>
      </c>
      <c r="S535" s="1" t="s">
        <v>105</v>
      </c>
      <c r="T535" s="1" t="s">
        <v>35</v>
      </c>
      <c r="U535" s="1" t="s">
        <v>36</v>
      </c>
      <c r="V535" s="1" t="s">
        <v>67</v>
      </c>
      <c r="W535">
        <v>3</v>
      </c>
    </row>
    <row r="536" spans="1:23" x14ac:dyDescent="0.3">
      <c r="A536" s="1" t="s">
        <v>1330</v>
      </c>
      <c r="B536">
        <v>1</v>
      </c>
      <c r="C536">
        <v>27.99</v>
      </c>
      <c r="D536">
        <v>27.99</v>
      </c>
      <c r="E536" s="1" t="s">
        <v>1331</v>
      </c>
      <c r="F536" s="1" t="s">
        <v>51</v>
      </c>
      <c r="G536">
        <v>0</v>
      </c>
      <c r="H536" s="1" t="s">
        <v>58</v>
      </c>
      <c r="I536" s="1" t="s">
        <v>75</v>
      </c>
      <c r="J536">
        <v>9</v>
      </c>
      <c r="K536">
        <v>27.99</v>
      </c>
      <c r="L536" s="1" t="s">
        <v>28</v>
      </c>
      <c r="M536" s="1" t="s">
        <v>61</v>
      </c>
      <c r="N536" s="1" t="s">
        <v>62</v>
      </c>
      <c r="O536" s="1" t="s">
        <v>31</v>
      </c>
      <c r="P536" s="2">
        <v>45726</v>
      </c>
      <c r="Q536" s="1" t="s">
        <v>1332</v>
      </c>
      <c r="R536" s="1" t="s">
        <v>1333</v>
      </c>
      <c r="S536" s="1" t="s">
        <v>34</v>
      </c>
      <c r="T536" s="1" t="s">
        <v>35</v>
      </c>
      <c r="U536" s="1" t="s">
        <v>55</v>
      </c>
      <c r="V536" s="1" t="s">
        <v>37</v>
      </c>
      <c r="W536">
        <v>2</v>
      </c>
    </row>
    <row r="537" spans="1:23" x14ac:dyDescent="0.3">
      <c r="A537" s="1" t="s">
        <v>1334</v>
      </c>
      <c r="B537">
        <v>1</v>
      </c>
      <c r="C537">
        <v>18.989999999999998</v>
      </c>
      <c r="D537">
        <v>18.989999999999998</v>
      </c>
      <c r="E537" s="1" t="s">
        <v>1335</v>
      </c>
      <c r="F537" s="1" t="s">
        <v>51</v>
      </c>
      <c r="G537">
        <v>0</v>
      </c>
      <c r="H537" s="1" t="s">
        <v>96</v>
      </c>
      <c r="I537" s="1" t="s">
        <v>97</v>
      </c>
      <c r="J537">
        <v>6</v>
      </c>
      <c r="K537">
        <v>18.989999999999998</v>
      </c>
      <c r="L537" s="1" t="s">
        <v>60</v>
      </c>
      <c r="M537" s="1" t="s">
        <v>43</v>
      </c>
      <c r="N537" s="1" t="s">
        <v>44</v>
      </c>
      <c r="O537" s="1" t="s">
        <v>31</v>
      </c>
      <c r="P537" s="2">
        <v>45823</v>
      </c>
      <c r="Q537" s="1" t="s">
        <v>1336</v>
      </c>
      <c r="R537" s="1" t="s">
        <v>1337</v>
      </c>
      <c r="S537" s="1" t="s">
        <v>105</v>
      </c>
      <c r="T537" s="1" t="s">
        <v>35</v>
      </c>
      <c r="U537" s="1" t="s">
        <v>55</v>
      </c>
      <c r="V537" s="1" t="s">
        <v>100</v>
      </c>
      <c r="W537">
        <v>3.2</v>
      </c>
    </row>
    <row r="538" spans="1:23" x14ac:dyDescent="0.3">
      <c r="A538" s="1" t="s">
        <v>1338</v>
      </c>
      <c r="B538">
        <v>1</v>
      </c>
      <c r="C538">
        <v>34.99</v>
      </c>
      <c r="D538">
        <v>34.99</v>
      </c>
      <c r="E538" s="1" t="s">
        <v>1008</v>
      </c>
      <c r="F538" s="1" t="s">
        <v>51</v>
      </c>
      <c r="G538">
        <v>0</v>
      </c>
      <c r="H538" s="1" t="s">
        <v>41</v>
      </c>
      <c r="I538" s="1" t="s">
        <v>85</v>
      </c>
      <c r="J538">
        <v>12.5</v>
      </c>
      <c r="K538">
        <v>34.99</v>
      </c>
      <c r="L538" s="1" t="s">
        <v>60</v>
      </c>
      <c r="M538" s="1" t="s">
        <v>29</v>
      </c>
      <c r="N538" s="1" t="s">
        <v>30</v>
      </c>
      <c r="O538" s="1" t="s">
        <v>31</v>
      </c>
      <c r="P538" s="2">
        <v>45778</v>
      </c>
      <c r="Q538" s="1" t="s">
        <v>865</v>
      </c>
      <c r="R538" s="1" t="s">
        <v>866</v>
      </c>
      <c r="S538" s="1" t="s">
        <v>105</v>
      </c>
      <c r="T538" s="1" t="s">
        <v>35</v>
      </c>
      <c r="U538" s="1" t="s">
        <v>36</v>
      </c>
      <c r="V538" s="1" t="s">
        <v>89</v>
      </c>
      <c r="W538">
        <v>2.4</v>
      </c>
    </row>
    <row r="539" spans="1:23" x14ac:dyDescent="0.3">
      <c r="A539" s="1" t="s">
        <v>1339</v>
      </c>
      <c r="B539">
        <v>3</v>
      </c>
      <c r="C539">
        <v>34.99</v>
      </c>
      <c r="D539">
        <v>83.88</v>
      </c>
      <c r="E539" s="1" t="s">
        <v>1340</v>
      </c>
      <c r="F539" s="1" t="s">
        <v>40</v>
      </c>
      <c r="G539">
        <v>6</v>
      </c>
      <c r="H539" s="1" t="s">
        <v>58</v>
      </c>
      <c r="I539" s="1" t="s">
        <v>85</v>
      </c>
      <c r="J539">
        <v>12.5</v>
      </c>
      <c r="K539">
        <v>34.99</v>
      </c>
      <c r="L539" s="1" t="s">
        <v>60</v>
      </c>
      <c r="M539" s="1" t="s">
        <v>29</v>
      </c>
      <c r="N539" s="1" t="s">
        <v>30</v>
      </c>
      <c r="O539" s="1" t="s">
        <v>31</v>
      </c>
      <c r="P539" s="2">
        <v>45778</v>
      </c>
      <c r="Q539" s="1" t="s">
        <v>1052</v>
      </c>
      <c r="R539" s="1" t="s">
        <v>1053</v>
      </c>
      <c r="S539" s="1" t="s">
        <v>105</v>
      </c>
      <c r="T539" s="1" t="s">
        <v>35</v>
      </c>
      <c r="U539" s="1" t="s">
        <v>55</v>
      </c>
      <c r="V539" s="1" t="s">
        <v>89</v>
      </c>
      <c r="W539">
        <v>2.4</v>
      </c>
    </row>
    <row r="540" spans="1:23" x14ac:dyDescent="0.3">
      <c r="A540" s="1" t="s">
        <v>1341</v>
      </c>
      <c r="B540">
        <v>1</v>
      </c>
      <c r="C540">
        <v>21.99</v>
      </c>
      <c r="D540">
        <v>21.99</v>
      </c>
      <c r="E540" s="1" t="s">
        <v>881</v>
      </c>
      <c r="F540" s="1" t="s">
        <v>40</v>
      </c>
      <c r="G540">
        <v>2</v>
      </c>
      <c r="H540" s="1" t="s">
        <v>58</v>
      </c>
      <c r="I540" s="1" t="s">
        <v>27</v>
      </c>
      <c r="J540">
        <v>7</v>
      </c>
      <c r="K540">
        <v>21.99</v>
      </c>
      <c r="L540" s="1" t="s">
        <v>28</v>
      </c>
      <c r="M540" s="1" t="s">
        <v>29</v>
      </c>
      <c r="N540" s="1" t="s">
        <v>30</v>
      </c>
      <c r="O540" s="1" t="s">
        <v>31</v>
      </c>
      <c r="P540" s="2">
        <v>45778</v>
      </c>
      <c r="Q540" s="1" t="s">
        <v>1342</v>
      </c>
      <c r="R540" s="1" t="s">
        <v>1343</v>
      </c>
      <c r="S540" s="1" t="s">
        <v>88</v>
      </c>
      <c r="T540" s="1" t="s">
        <v>35</v>
      </c>
      <c r="U540" s="1" t="s">
        <v>48</v>
      </c>
      <c r="V540" s="1" t="s">
        <v>37</v>
      </c>
      <c r="W540">
        <v>2</v>
      </c>
    </row>
    <row r="541" spans="1:23" x14ac:dyDescent="0.3">
      <c r="A541" s="1" t="s">
        <v>1344</v>
      </c>
      <c r="B541">
        <v>1</v>
      </c>
      <c r="C541">
        <v>30.99</v>
      </c>
      <c r="D541">
        <v>30.99</v>
      </c>
      <c r="E541" s="1" t="s">
        <v>1345</v>
      </c>
      <c r="F541" s="1" t="s">
        <v>188</v>
      </c>
      <c r="G541">
        <v>0</v>
      </c>
      <c r="H541" s="1" t="s">
        <v>96</v>
      </c>
      <c r="I541" s="1" t="s">
        <v>42</v>
      </c>
      <c r="J541">
        <v>10.5</v>
      </c>
      <c r="K541">
        <v>30.99</v>
      </c>
      <c r="L541" s="1" t="s">
        <v>28</v>
      </c>
      <c r="M541" s="1" t="s">
        <v>43</v>
      </c>
      <c r="N541" s="1" t="s">
        <v>44</v>
      </c>
      <c r="O541" s="1" t="s">
        <v>31</v>
      </c>
      <c r="P541" s="2">
        <v>45823</v>
      </c>
      <c r="Q541" s="1" t="s">
        <v>943</v>
      </c>
      <c r="R541" s="1" t="s">
        <v>1346</v>
      </c>
      <c r="S541" s="1" t="s">
        <v>54</v>
      </c>
      <c r="T541" s="1" t="s">
        <v>35</v>
      </c>
      <c r="U541" s="1" t="s">
        <v>55</v>
      </c>
      <c r="V541" s="1" t="s">
        <v>37</v>
      </c>
      <c r="W541">
        <v>2</v>
      </c>
    </row>
    <row r="542" spans="1:23" x14ac:dyDescent="0.3">
      <c r="A542" s="1" t="s">
        <v>1347</v>
      </c>
      <c r="B542">
        <v>2</v>
      </c>
      <c r="C542">
        <v>34.99</v>
      </c>
      <c r="D542">
        <v>61.06</v>
      </c>
      <c r="E542" s="1" t="s">
        <v>1348</v>
      </c>
      <c r="F542" s="1" t="s">
        <v>25</v>
      </c>
      <c r="G542">
        <v>8</v>
      </c>
      <c r="H542" s="1" t="s">
        <v>96</v>
      </c>
      <c r="I542" s="1" t="s">
        <v>85</v>
      </c>
      <c r="J542">
        <v>12.5</v>
      </c>
      <c r="K542">
        <v>34.99</v>
      </c>
      <c r="L542" s="1" t="s">
        <v>60</v>
      </c>
      <c r="M542" s="1" t="s">
        <v>29</v>
      </c>
      <c r="N542" s="1" t="s">
        <v>30</v>
      </c>
      <c r="O542" s="1" t="s">
        <v>31</v>
      </c>
      <c r="P542" s="2">
        <v>45778</v>
      </c>
      <c r="Q542" s="1" t="s">
        <v>1349</v>
      </c>
      <c r="R542" s="1" t="s">
        <v>1350</v>
      </c>
      <c r="S542" s="1" t="s">
        <v>47</v>
      </c>
      <c r="T542" s="1" t="s">
        <v>35</v>
      </c>
      <c r="U542" s="1" t="s">
        <v>48</v>
      </c>
      <c r="V542" s="1" t="s">
        <v>89</v>
      </c>
      <c r="W542">
        <v>2.4</v>
      </c>
    </row>
    <row r="543" spans="1:23" x14ac:dyDescent="0.3">
      <c r="A543" s="1" t="s">
        <v>1351</v>
      </c>
      <c r="B543">
        <v>1</v>
      </c>
      <c r="C543">
        <v>27.99</v>
      </c>
      <c r="D543">
        <v>27.99</v>
      </c>
      <c r="E543" s="1" t="s">
        <v>1352</v>
      </c>
      <c r="F543" s="1" t="s">
        <v>40</v>
      </c>
      <c r="G543">
        <v>3</v>
      </c>
      <c r="H543" s="1" t="s">
        <v>26</v>
      </c>
      <c r="I543" s="1" t="s">
        <v>75</v>
      </c>
      <c r="J543">
        <v>9</v>
      </c>
      <c r="K543">
        <v>27.99</v>
      </c>
      <c r="L543" s="1" t="s">
        <v>28</v>
      </c>
      <c r="M543" s="1" t="s">
        <v>61</v>
      </c>
      <c r="N543" s="1" t="s">
        <v>62</v>
      </c>
      <c r="O543" s="1" t="s">
        <v>31</v>
      </c>
      <c r="P543" s="2">
        <v>45726</v>
      </c>
      <c r="Q543" s="1" t="s">
        <v>593</v>
      </c>
      <c r="R543" s="1" t="s">
        <v>1353</v>
      </c>
      <c r="S543" s="1" t="s">
        <v>65</v>
      </c>
      <c r="T543" s="1" t="s">
        <v>35</v>
      </c>
      <c r="U543" s="1" t="s">
        <v>66</v>
      </c>
      <c r="V543" s="1" t="s">
        <v>37</v>
      </c>
      <c r="W543">
        <v>2</v>
      </c>
    </row>
    <row r="544" spans="1:23" x14ac:dyDescent="0.3">
      <c r="A544" s="1" t="s">
        <v>1354</v>
      </c>
      <c r="B544">
        <v>1</v>
      </c>
      <c r="C544">
        <v>16.989999999999998</v>
      </c>
      <c r="D544">
        <v>16.989999999999998</v>
      </c>
      <c r="E544" s="1" t="s">
        <v>1355</v>
      </c>
      <c r="F544" s="1" t="s">
        <v>40</v>
      </c>
      <c r="G544">
        <v>23</v>
      </c>
      <c r="H544" s="1" t="s">
        <v>58</v>
      </c>
      <c r="I544" s="1" t="s">
        <v>59</v>
      </c>
      <c r="J544">
        <v>5</v>
      </c>
      <c r="K544">
        <v>16.989999999999998</v>
      </c>
      <c r="L544" s="1" t="s">
        <v>60</v>
      </c>
      <c r="M544" s="1" t="s">
        <v>61</v>
      </c>
      <c r="N544" s="1" t="s">
        <v>62</v>
      </c>
      <c r="O544" s="1" t="s">
        <v>31</v>
      </c>
      <c r="P544" s="2">
        <v>45726</v>
      </c>
      <c r="Q544" s="1" t="s">
        <v>1356</v>
      </c>
      <c r="R544" s="1" t="s">
        <v>1357</v>
      </c>
      <c r="S544" s="1" t="s">
        <v>34</v>
      </c>
      <c r="T544" s="1" t="s">
        <v>35</v>
      </c>
      <c r="U544" s="1" t="s">
        <v>55</v>
      </c>
      <c r="V544" s="1" t="s">
        <v>67</v>
      </c>
      <c r="W544">
        <v>3</v>
      </c>
    </row>
    <row r="545" spans="1:23" x14ac:dyDescent="0.3">
      <c r="A545" s="1" t="s">
        <v>1358</v>
      </c>
      <c r="B545">
        <v>2</v>
      </c>
      <c r="C545">
        <v>34.99</v>
      </c>
      <c r="D545">
        <v>60.13</v>
      </c>
      <c r="E545" s="1" t="s">
        <v>1359</v>
      </c>
      <c r="F545" s="1" t="s">
        <v>40</v>
      </c>
      <c r="G545">
        <v>8</v>
      </c>
      <c r="H545" s="1" t="s">
        <v>96</v>
      </c>
      <c r="I545" s="1" t="s">
        <v>85</v>
      </c>
      <c r="J545">
        <v>12.5</v>
      </c>
      <c r="K545">
        <v>34.99</v>
      </c>
      <c r="L545" s="1" t="s">
        <v>60</v>
      </c>
      <c r="M545" s="1" t="s">
        <v>29</v>
      </c>
      <c r="N545" s="1" t="s">
        <v>30</v>
      </c>
      <c r="O545" s="1" t="s">
        <v>31</v>
      </c>
      <c r="P545" s="2">
        <v>45778</v>
      </c>
      <c r="Q545" s="1" t="s">
        <v>793</v>
      </c>
      <c r="R545" s="1" t="s">
        <v>794</v>
      </c>
      <c r="S545" s="1" t="s">
        <v>34</v>
      </c>
      <c r="T545" s="1" t="s">
        <v>35</v>
      </c>
      <c r="U545" s="1" t="s">
        <v>82</v>
      </c>
      <c r="V545" s="1" t="s">
        <v>89</v>
      </c>
      <c r="W545">
        <v>2.4</v>
      </c>
    </row>
    <row r="546" spans="1:23" x14ac:dyDescent="0.3">
      <c r="A546" s="1" t="s">
        <v>1360</v>
      </c>
      <c r="B546">
        <v>1</v>
      </c>
      <c r="C546">
        <v>16.989999999999998</v>
      </c>
      <c r="D546">
        <v>16.989999999999998</v>
      </c>
      <c r="E546" s="1" t="s">
        <v>704</v>
      </c>
      <c r="F546" s="1" t="s">
        <v>40</v>
      </c>
      <c r="G546">
        <v>20</v>
      </c>
      <c r="H546" s="1" t="s">
        <v>58</v>
      </c>
      <c r="I546" s="1" t="s">
        <v>59</v>
      </c>
      <c r="J546">
        <v>5</v>
      </c>
      <c r="K546">
        <v>16.989999999999998</v>
      </c>
      <c r="L546" s="1" t="s">
        <v>60</v>
      </c>
      <c r="M546" s="1" t="s">
        <v>61</v>
      </c>
      <c r="N546" s="1" t="s">
        <v>62</v>
      </c>
      <c r="O546" s="1" t="s">
        <v>31</v>
      </c>
      <c r="P546" s="2">
        <v>45726</v>
      </c>
      <c r="Q546" s="1" t="s">
        <v>133</v>
      </c>
      <c r="R546" s="1" t="s">
        <v>776</v>
      </c>
      <c r="S546" s="1" t="s">
        <v>88</v>
      </c>
      <c r="T546" s="1" t="s">
        <v>35</v>
      </c>
      <c r="U546" s="1" t="s">
        <v>48</v>
      </c>
      <c r="V546" s="1" t="s">
        <v>67</v>
      </c>
      <c r="W546">
        <v>3</v>
      </c>
    </row>
    <row r="547" spans="1:23" x14ac:dyDescent="0.3">
      <c r="A547" s="1" t="s">
        <v>1361</v>
      </c>
      <c r="B547">
        <v>1</v>
      </c>
      <c r="C547">
        <v>34.99</v>
      </c>
      <c r="D547">
        <v>34.99</v>
      </c>
      <c r="E547" s="1" t="s">
        <v>1100</v>
      </c>
      <c r="F547" s="1" t="s">
        <v>40</v>
      </c>
      <c r="G547">
        <v>6</v>
      </c>
      <c r="H547" s="1" t="s">
        <v>41</v>
      </c>
      <c r="I547" s="1" t="s">
        <v>85</v>
      </c>
      <c r="J547">
        <v>12.5</v>
      </c>
      <c r="K547">
        <v>34.99</v>
      </c>
      <c r="L547" s="1" t="s">
        <v>60</v>
      </c>
      <c r="M547" s="1" t="s">
        <v>29</v>
      </c>
      <c r="N547" s="1" t="s">
        <v>30</v>
      </c>
      <c r="O547" s="1" t="s">
        <v>31</v>
      </c>
      <c r="P547" s="2">
        <v>45778</v>
      </c>
      <c r="Q547" s="1" t="s">
        <v>1362</v>
      </c>
      <c r="R547" s="1" t="s">
        <v>1363</v>
      </c>
      <c r="S547" s="1" t="s">
        <v>47</v>
      </c>
      <c r="T547" s="1" t="s">
        <v>35</v>
      </c>
      <c r="U547" s="1" t="s">
        <v>55</v>
      </c>
      <c r="V547" s="1" t="s">
        <v>89</v>
      </c>
      <c r="W547">
        <v>2.4</v>
      </c>
    </row>
    <row r="548" spans="1:23" x14ac:dyDescent="0.3">
      <c r="A548" s="1" t="s">
        <v>1364</v>
      </c>
      <c r="B548">
        <v>1</v>
      </c>
      <c r="C548">
        <v>27.99</v>
      </c>
      <c r="D548">
        <v>27.99</v>
      </c>
      <c r="E548" s="1" t="s">
        <v>771</v>
      </c>
      <c r="F548" s="1" t="s">
        <v>40</v>
      </c>
      <c r="G548">
        <v>2</v>
      </c>
      <c r="H548" s="1" t="s">
        <v>96</v>
      </c>
      <c r="I548" s="1" t="s">
        <v>75</v>
      </c>
      <c r="J548">
        <v>9</v>
      </c>
      <c r="K548">
        <v>27.99</v>
      </c>
      <c r="L548" s="1" t="s">
        <v>28</v>
      </c>
      <c r="M548" s="1" t="s">
        <v>61</v>
      </c>
      <c r="N548" s="1" t="s">
        <v>62</v>
      </c>
      <c r="O548" s="1" t="s">
        <v>31</v>
      </c>
      <c r="P548" s="2">
        <v>45726</v>
      </c>
      <c r="Q548" s="1" t="s">
        <v>1191</v>
      </c>
      <c r="R548" s="1" t="s">
        <v>1365</v>
      </c>
      <c r="S548" s="1" t="s">
        <v>54</v>
      </c>
      <c r="T548" s="1" t="s">
        <v>35</v>
      </c>
      <c r="U548" s="1" t="s">
        <v>82</v>
      </c>
      <c r="V548" s="1" t="s">
        <v>37</v>
      </c>
      <c r="W548">
        <v>2</v>
      </c>
    </row>
    <row r="549" spans="1:23" x14ac:dyDescent="0.3">
      <c r="A549" s="1" t="s">
        <v>1366</v>
      </c>
      <c r="B549">
        <v>1</v>
      </c>
      <c r="C549">
        <v>34.99</v>
      </c>
      <c r="D549">
        <v>34.99</v>
      </c>
      <c r="E549" s="1" t="s">
        <v>1367</v>
      </c>
      <c r="F549" s="1" t="s">
        <v>25</v>
      </c>
      <c r="G549">
        <v>8</v>
      </c>
      <c r="H549" s="1" t="s">
        <v>26</v>
      </c>
      <c r="I549" s="1" t="s">
        <v>85</v>
      </c>
      <c r="J549">
        <v>12.5</v>
      </c>
      <c r="K549">
        <v>34.99</v>
      </c>
      <c r="L549" s="1" t="s">
        <v>60</v>
      </c>
      <c r="M549" s="1" t="s">
        <v>29</v>
      </c>
      <c r="N549" s="1" t="s">
        <v>30</v>
      </c>
      <c r="O549" s="1" t="s">
        <v>31</v>
      </c>
      <c r="P549" s="2">
        <v>45778</v>
      </c>
      <c r="Q549" s="1" t="s">
        <v>63</v>
      </c>
      <c r="R549" s="1" t="s">
        <v>736</v>
      </c>
      <c r="S549" s="1" t="s">
        <v>47</v>
      </c>
      <c r="T549" s="1" t="s">
        <v>35</v>
      </c>
      <c r="U549" s="1" t="s">
        <v>66</v>
      </c>
      <c r="V549" s="1" t="s">
        <v>89</v>
      </c>
      <c r="W549">
        <v>2.4</v>
      </c>
    </row>
    <row r="550" spans="1:23" x14ac:dyDescent="0.3">
      <c r="A550" s="1" t="s">
        <v>1368</v>
      </c>
      <c r="B550">
        <v>2</v>
      </c>
      <c r="C550">
        <v>16.989999999999998</v>
      </c>
      <c r="D550">
        <v>29.66</v>
      </c>
      <c r="E550" s="1" t="s">
        <v>1002</v>
      </c>
      <c r="F550" s="1" t="s">
        <v>40</v>
      </c>
      <c r="G550">
        <v>16</v>
      </c>
      <c r="H550" s="1" t="s">
        <v>26</v>
      </c>
      <c r="I550" s="1" t="s">
        <v>59</v>
      </c>
      <c r="J550">
        <v>5</v>
      </c>
      <c r="K550">
        <v>16.989999999999998</v>
      </c>
      <c r="L550" s="1" t="s">
        <v>60</v>
      </c>
      <c r="M550" s="1" t="s">
        <v>61</v>
      </c>
      <c r="N550" s="1" t="s">
        <v>62</v>
      </c>
      <c r="O550" s="1" t="s">
        <v>31</v>
      </c>
      <c r="P550" s="2">
        <v>45726</v>
      </c>
      <c r="Q550" s="1" t="s">
        <v>1195</v>
      </c>
      <c r="R550" s="1" t="s">
        <v>1196</v>
      </c>
      <c r="S550" s="1" t="s">
        <v>54</v>
      </c>
      <c r="T550" s="1" t="s">
        <v>35</v>
      </c>
      <c r="U550" s="1" t="s">
        <v>66</v>
      </c>
      <c r="V550" s="1" t="s">
        <v>67</v>
      </c>
      <c r="W550">
        <v>3</v>
      </c>
    </row>
    <row r="551" spans="1:23" x14ac:dyDescent="0.3">
      <c r="A551" s="1" t="s">
        <v>1369</v>
      </c>
      <c r="B551">
        <v>1</v>
      </c>
      <c r="C551">
        <v>34.99</v>
      </c>
      <c r="D551">
        <v>34.99</v>
      </c>
      <c r="E551" s="1" t="s">
        <v>331</v>
      </c>
      <c r="F551" s="1" t="s">
        <v>40</v>
      </c>
      <c r="G551">
        <v>5</v>
      </c>
      <c r="H551" s="1" t="s">
        <v>26</v>
      </c>
      <c r="I551" s="1" t="s">
        <v>85</v>
      </c>
      <c r="J551">
        <v>12.5</v>
      </c>
      <c r="K551">
        <v>34.99</v>
      </c>
      <c r="L551" s="1" t="s">
        <v>60</v>
      </c>
      <c r="M551" s="1" t="s">
        <v>29</v>
      </c>
      <c r="N551" s="1" t="s">
        <v>30</v>
      </c>
      <c r="O551" s="1" t="s">
        <v>31</v>
      </c>
      <c r="P551" s="2">
        <v>45778</v>
      </c>
      <c r="Q551" s="1" t="s">
        <v>1370</v>
      </c>
      <c r="R551" s="1" t="s">
        <v>1371</v>
      </c>
      <c r="S551" s="1" t="s">
        <v>34</v>
      </c>
      <c r="T551" s="1" t="s">
        <v>35</v>
      </c>
      <c r="U551" s="1" t="s">
        <v>55</v>
      </c>
      <c r="V551" s="1" t="s">
        <v>89</v>
      </c>
      <c r="W551">
        <v>2.4</v>
      </c>
    </row>
    <row r="552" spans="1:23" x14ac:dyDescent="0.3">
      <c r="A552" s="1" t="s">
        <v>1372</v>
      </c>
      <c r="B552">
        <v>2</v>
      </c>
      <c r="C552">
        <v>21.99</v>
      </c>
      <c r="D552">
        <v>38.18</v>
      </c>
      <c r="E552" s="1" t="s">
        <v>1373</v>
      </c>
      <c r="F552" s="1" t="s">
        <v>51</v>
      </c>
      <c r="G552">
        <v>0</v>
      </c>
      <c r="H552" s="1" t="s">
        <v>96</v>
      </c>
      <c r="I552" s="1" t="s">
        <v>27</v>
      </c>
      <c r="J552">
        <v>7</v>
      </c>
      <c r="K552">
        <v>21.99</v>
      </c>
      <c r="L552" s="1" t="s">
        <v>28</v>
      </c>
      <c r="M552" s="1" t="s">
        <v>29</v>
      </c>
      <c r="N552" s="1" t="s">
        <v>30</v>
      </c>
      <c r="O552" s="1" t="s">
        <v>31</v>
      </c>
      <c r="P552" s="2">
        <v>45778</v>
      </c>
      <c r="Q552" s="1" t="s">
        <v>203</v>
      </c>
      <c r="R552" s="1" t="s">
        <v>888</v>
      </c>
      <c r="S552" s="1" t="s">
        <v>88</v>
      </c>
      <c r="T552" s="1" t="s">
        <v>35</v>
      </c>
      <c r="U552" s="1" t="s">
        <v>55</v>
      </c>
      <c r="V552" s="1" t="s">
        <v>37</v>
      </c>
      <c r="W552">
        <v>2</v>
      </c>
    </row>
    <row r="553" spans="1:23" x14ac:dyDescent="0.3">
      <c r="A553" s="1" t="s">
        <v>1374</v>
      </c>
      <c r="B553">
        <v>1</v>
      </c>
      <c r="C553">
        <v>18.989999999999998</v>
      </c>
      <c r="D553">
        <v>18.989999999999998</v>
      </c>
      <c r="E553" s="1" t="s">
        <v>1375</v>
      </c>
      <c r="F553" s="1" t="s">
        <v>188</v>
      </c>
      <c r="G553">
        <v>0</v>
      </c>
      <c r="H553" s="1" t="s">
        <v>26</v>
      </c>
      <c r="I553" s="1" t="s">
        <v>97</v>
      </c>
      <c r="J553">
        <v>6</v>
      </c>
      <c r="K553">
        <v>18.989999999999998</v>
      </c>
      <c r="L553" s="1" t="s">
        <v>60</v>
      </c>
      <c r="M553" s="1" t="s">
        <v>43</v>
      </c>
      <c r="N553" s="1" t="s">
        <v>44</v>
      </c>
      <c r="O553" s="1" t="s">
        <v>31</v>
      </c>
      <c r="P553" s="2">
        <v>45823</v>
      </c>
      <c r="Q553" s="1" t="s">
        <v>1376</v>
      </c>
      <c r="R553" s="1" t="s">
        <v>1377</v>
      </c>
      <c r="S553" s="1" t="s">
        <v>54</v>
      </c>
      <c r="T553" s="1" t="s">
        <v>35</v>
      </c>
      <c r="U553" s="1" t="s">
        <v>66</v>
      </c>
      <c r="V553" s="1" t="s">
        <v>100</v>
      </c>
      <c r="W553">
        <v>3.2</v>
      </c>
    </row>
    <row r="554" spans="1:23" x14ac:dyDescent="0.3">
      <c r="A554" s="1" t="s">
        <v>1378</v>
      </c>
      <c r="B554">
        <v>3</v>
      </c>
      <c r="C554">
        <v>34.99</v>
      </c>
      <c r="D554">
        <v>83.72</v>
      </c>
      <c r="E554" s="1" t="s">
        <v>1379</v>
      </c>
      <c r="F554" s="1" t="s">
        <v>40</v>
      </c>
      <c r="G554">
        <v>5</v>
      </c>
      <c r="H554" s="1" t="s">
        <v>96</v>
      </c>
      <c r="I554" s="1" t="s">
        <v>85</v>
      </c>
      <c r="J554">
        <v>12.5</v>
      </c>
      <c r="K554">
        <v>34.99</v>
      </c>
      <c r="L554" s="1" t="s">
        <v>60</v>
      </c>
      <c r="M554" s="1" t="s">
        <v>29</v>
      </c>
      <c r="N554" s="1" t="s">
        <v>30</v>
      </c>
      <c r="O554" s="1" t="s">
        <v>31</v>
      </c>
      <c r="P554" s="2">
        <v>45778</v>
      </c>
      <c r="Q554" s="1" t="s">
        <v>466</v>
      </c>
      <c r="R554" s="1" t="s">
        <v>1104</v>
      </c>
      <c r="S554" s="1" t="s">
        <v>47</v>
      </c>
      <c r="T554" s="1" t="s">
        <v>35</v>
      </c>
      <c r="U554" s="1" t="s">
        <v>66</v>
      </c>
      <c r="V554" s="1" t="s">
        <v>89</v>
      </c>
      <c r="W554">
        <v>2.4</v>
      </c>
    </row>
    <row r="555" spans="1:23" x14ac:dyDescent="0.3">
      <c r="A555" s="1" t="s">
        <v>1380</v>
      </c>
      <c r="B555">
        <v>1</v>
      </c>
      <c r="C555">
        <v>27.99</v>
      </c>
      <c r="D555">
        <v>27.99</v>
      </c>
      <c r="E555" s="1" t="s">
        <v>1381</v>
      </c>
      <c r="F555" s="1" t="s">
        <v>40</v>
      </c>
      <c r="G555">
        <v>8</v>
      </c>
      <c r="H555" s="1" t="s">
        <v>58</v>
      </c>
      <c r="I555" s="1" t="s">
        <v>75</v>
      </c>
      <c r="J555">
        <v>9</v>
      </c>
      <c r="K555">
        <v>27.99</v>
      </c>
      <c r="L555" s="1" t="s">
        <v>28</v>
      </c>
      <c r="M555" s="1" t="s">
        <v>61</v>
      </c>
      <c r="N555" s="1" t="s">
        <v>62</v>
      </c>
      <c r="O555" s="1" t="s">
        <v>31</v>
      </c>
      <c r="P555" s="2">
        <v>45726</v>
      </c>
      <c r="Q555" s="1" t="s">
        <v>1382</v>
      </c>
      <c r="R555" s="1" t="s">
        <v>1383</v>
      </c>
      <c r="S555" s="1" t="s">
        <v>65</v>
      </c>
      <c r="T555" s="1" t="s">
        <v>35</v>
      </c>
      <c r="U555" s="1" t="s">
        <v>82</v>
      </c>
      <c r="V555" s="1" t="s">
        <v>37</v>
      </c>
      <c r="W555">
        <v>2</v>
      </c>
    </row>
    <row r="556" spans="1:23" x14ac:dyDescent="0.3">
      <c r="A556" s="1" t="s">
        <v>1384</v>
      </c>
      <c r="B556">
        <v>1</v>
      </c>
      <c r="C556">
        <v>21.99</v>
      </c>
      <c r="D556">
        <v>21.99</v>
      </c>
      <c r="E556" s="1" t="s">
        <v>1015</v>
      </c>
      <c r="F556" s="1" t="s">
        <v>40</v>
      </c>
      <c r="G556">
        <v>2</v>
      </c>
      <c r="H556" s="1" t="s">
        <v>41</v>
      </c>
      <c r="I556" s="1" t="s">
        <v>27</v>
      </c>
      <c r="J556">
        <v>7</v>
      </c>
      <c r="K556">
        <v>21.99</v>
      </c>
      <c r="L556" s="1" t="s">
        <v>28</v>
      </c>
      <c r="M556" s="1" t="s">
        <v>29</v>
      </c>
      <c r="N556" s="1" t="s">
        <v>30</v>
      </c>
      <c r="O556" s="1" t="s">
        <v>31</v>
      </c>
      <c r="P556" s="2">
        <v>45778</v>
      </c>
      <c r="Q556" s="1" t="s">
        <v>1385</v>
      </c>
      <c r="R556" s="1" t="s">
        <v>1386</v>
      </c>
      <c r="S556" s="1" t="s">
        <v>47</v>
      </c>
      <c r="T556" s="1" t="s">
        <v>35</v>
      </c>
      <c r="U556" s="1" t="s">
        <v>66</v>
      </c>
      <c r="V556" s="1" t="s">
        <v>37</v>
      </c>
      <c r="W556">
        <v>2</v>
      </c>
    </row>
    <row r="557" spans="1:23" x14ac:dyDescent="0.3">
      <c r="A557" s="1" t="s">
        <v>1387</v>
      </c>
      <c r="B557">
        <v>1</v>
      </c>
      <c r="C557">
        <v>27.99</v>
      </c>
      <c r="D557">
        <v>27.99</v>
      </c>
      <c r="E557" s="1" t="s">
        <v>1388</v>
      </c>
      <c r="F557" s="1" t="s">
        <v>40</v>
      </c>
      <c r="G557">
        <v>7</v>
      </c>
      <c r="H557" s="1" t="s">
        <v>96</v>
      </c>
      <c r="I557" s="1" t="s">
        <v>75</v>
      </c>
      <c r="J557">
        <v>9</v>
      </c>
      <c r="K557">
        <v>27.99</v>
      </c>
      <c r="L557" s="1" t="s">
        <v>28</v>
      </c>
      <c r="M557" s="1" t="s">
        <v>61</v>
      </c>
      <c r="N557" s="1" t="s">
        <v>62</v>
      </c>
      <c r="O557" s="1" t="s">
        <v>31</v>
      </c>
      <c r="P557" s="2">
        <v>45726</v>
      </c>
      <c r="Q557" s="1" t="s">
        <v>1275</v>
      </c>
      <c r="R557" s="1" t="s">
        <v>1276</v>
      </c>
      <c r="S557" s="1" t="s">
        <v>47</v>
      </c>
      <c r="T557" s="1" t="s">
        <v>35</v>
      </c>
      <c r="U557" s="1" t="s">
        <v>66</v>
      </c>
      <c r="V557" s="1" t="s">
        <v>37</v>
      </c>
      <c r="W557">
        <v>2</v>
      </c>
    </row>
    <row r="558" spans="1:23" x14ac:dyDescent="0.3">
      <c r="A558" s="1" t="s">
        <v>1389</v>
      </c>
      <c r="B558">
        <v>1</v>
      </c>
      <c r="C558">
        <v>27.99</v>
      </c>
      <c r="D558">
        <v>27.99</v>
      </c>
      <c r="E558" s="1" t="s">
        <v>1390</v>
      </c>
      <c r="F558" s="1" t="s">
        <v>70</v>
      </c>
      <c r="G558">
        <v>0</v>
      </c>
      <c r="H558" s="1" t="s">
        <v>96</v>
      </c>
      <c r="I558" s="1" t="s">
        <v>75</v>
      </c>
      <c r="J558">
        <v>9</v>
      </c>
      <c r="K558">
        <v>27.99</v>
      </c>
      <c r="L558" s="1" t="s">
        <v>28</v>
      </c>
      <c r="M558" s="1" t="s">
        <v>61</v>
      </c>
      <c r="N558" s="1" t="s">
        <v>62</v>
      </c>
      <c r="O558" s="1" t="s">
        <v>31</v>
      </c>
      <c r="P558" s="2">
        <v>45726</v>
      </c>
      <c r="Q558" s="1" t="s">
        <v>358</v>
      </c>
      <c r="R558" s="1" t="s">
        <v>1391</v>
      </c>
      <c r="S558" s="1" t="s">
        <v>34</v>
      </c>
      <c r="T558" s="1" t="s">
        <v>35</v>
      </c>
      <c r="U558" s="1" t="s">
        <v>82</v>
      </c>
      <c r="V558" s="1" t="s">
        <v>37</v>
      </c>
      <c r="W558">
        <v>2</v>
      </c>
    </row>
    <row r="559" spans="1:23" x14ac:dyDescent="0.3">
      <c r="A559" s="1" t="s">
        <v>1392</v>
      </c>
      <c r="B559">
        <v>1</v>
      </c>
      <c r="C559">
        <v>30.99</v>
      </c>
      <c r="D559">
        <v>30.99</v>
      </c>
      <c r="E559" s="1" t="s">
        <v>1393</v>
      </c>
      <c r="F559" s="1" t="s">
        <v>51</v>
      </c>
      <c r="G559">
        <v>0</v>
      </c>
      <c r="H559" s="1" t="s">
        <v>58</v>
      </c>
      <c r="I559" s="1" t="s">
        <v>42</v>
      </c>
      <c r="J559">
        <v>10.5</v>
      </c>
      <c r="K559">
        <v>30.99</v>
      </c>
      <c r="L559" s="1" t="s">
        <v>28</v>
      </c>
      <c r="M559" s="1" t="s">
        <v>43</v>
      </c>
      <c r="N559" s="1" t="s">
        <v>44</v>
      </c>
      <c r="O559" s="1" t="s">
        <v>31</v>
      </c>
      <c r="P559" s="2">
        <v>45823</v>
      </c>
      <c r="Q559" s="1" t="s">
        <v>1342</v>
      </c>
      <c r="R559" s="1" t="s">
        <v>1343</v>
      </c>
      <c r="S559" s="1" t="s">
        <v>88</v>
      </c>
      <c r="T559" s="1" t="s">
        <v>35</v>
      </c>
      <c r="U559" s="1" t="s">
        <v>48</v>
      </c>
      <c r="V559" s="1" t="s">
        <v>37</v>
      </c>
      <c r="W559">
        <v>2</v>
      </c>
    </row>
    <row r="560" spans="1:23" x14ac:dyDescent="0.3">
      <c r="A560" s="1" t="s">
        <v>1394</v>
      </c>
      <c r="B560">
        <v>1</v>
      </c>
      <c r="C560">
        <v>30.99</v>
      </c>
      <c r="D560">
        <v>30.99</v>
      </c>
      <c r="E560" s="1" t="s">
        <v>1002</v>
      </c>
      <c r="F560" s="1" t="s">
        <v>51</v>
      </c>
      <c r="G560">
        <v>0</v>
      </c>
      <c r="H560" s="1" t="s">
        <v>58</v>
      </c>
      <c r="I560" s="1" t="s">
        <v>42</v>
      </c>
      <c r="J560">
        <v>10.5</v>
      </c>
      <c r="K560">
        <v>30.99</v>
      </c>
      <c r="L560" s="1" t="s">
        <v>28</v>
      </c>
      <c r="M560" s="1" t="s">
        <v>43</v>
      </c>
      <c r="N560" s="1" t="s">
        <v>44</v>
      </c>
      <c r="O560" s="1" t="s">
        <v>31</v>
      </c>
      <c r="P560" s="2">
        <v>45823</v>
      </c>
      <c r="Q560" s="1" t="s">
        <v>738</v>
      </c>
      <c r="R560" s="1" t="s">
        <v>739</v>
      </c>
      <c r="S560" s="1" t="s">
        <v>34</v>
      </c>
      <c r="T560" s="1" t="s">
        <v>35</v>
      </c>
      <c r="U560" s="1" t="s">
        <v>82</v>
      </c>
      <c r="V560" s="1" t="s">
        <v>37</v>
      </c>
      <c r="W560">
        <v>2</v>
      </c>
    </row>
    <row r="561" spans="1:23" x14ac:dyDescent="0.3">
      <c r="A561" s="1" t="s">
        <v>1395</v>
      </c>
      <c r="B561">
        <v>1</v>
      </c>
      <c r="C561">
        <v>21.99</v>
      </c>
      <c r="D561">
        <v>21.99</v>
      </c>
      <c r="E561" s="1" t="s">
        <v>1064</v>
      </c>
      <c r="F561" s="1" t="s">
        <v>188</v>
      </c>
      <c r="G561">
        <v>0</v>
      </c>
      <c r="H561" s="1" t="s">
        <v>26</v>
      </c>
      <c r="I561" s="1" t="s">
        <v>27</v>
      </c>
      <c r="J561">
        <v>7</v>
      </c>
      <c r="K561">
        <v>21.99</v>
      </c>
      <c r="L561" s="1" t="s">
        <v>28</v>
      </c>
      <c r="M561" s="1" t="s">
        <v>29</v>
      </c>
      <c r="N561" s="1" t="s">
        <v>30</v>
      </c>
      <c r="O561" s="1" t="s">
        <v>31</v>
      </c>
      <c r="P561" s="2">
        <v>45778</v>
      </c>
      <c r="Q561" s="1" t="s">
        <v>905</v>
      </c>
      <c r="R561" s="1" t="s">
        <v>906</v>
      </c>
      <c r="S561" s="1" t="s">
        <v>105</v>
      </c>
      <c r="T561" s="1" t="s">
        <v>35</v>
      </c>
      <c r="U561" s="1" t="s">
        <v>55</v>
      </c>
      <c r="V561" s="1" t="s">
        <v>37</v>
      </c>
      <c r="W561">
        <v>2</v>
      </c>
    </row>
    <row r="562" spans="1:23" x14ac:dyDescent="0.3">
      <c r="A562" s="1" t="s">
        <v>1396</v>
      </c>
      <c r="B562">
        <v>1</v>
      </c>
      <c r="C562">
        <v>27.99</v>
      </c>
      <c r="D562">
        <v>27.99</v>
      </c>
      <c r="E562" s="1" t="s">
        <v>1397</v>
      </c>
      <c r="F562" s="1" t="s">
        <v>40</v>
      </c>
      <c r="G562">
        <v>2</v>
      </c>
      <c r="H562" s="1" t="s">
        <v>58</v>
      </c>
      <c r="I562" s="1" t="s">
        <v>75</v>
      </c>
      <c r="J562">
        <v>9</v>
      </c>
      <c r="K562">
        <v>27.99</v>
      </c>
      <c r="L562" s="1" t="s">
        <v>28</v>
      </c>
      <c r="M562" s="1" t="s">
        <v>61</v>
      </c>
      <c r="N562" s="1" t="s">
        <v>62</v>
      </c>
      <c r="O562" s="1" t="s">
        <v>31</v>
      </c>
      <c r="P562" s="2">
        <v>45726</v>
      </c>
      <c r="Q562" s="1" t="s">
        <v>1398</v>
      </c>
      <c r="R562" s="1" t="s">
        <v>1399</v>
      </c>
      <c r="S562" s="1" t="s">
        <v>54</v>
      </c>
      <c r="T562" s="1" t="s">
        <v>35</v>
      </c>
      <c r="U562" s="1" t="s">
        <v>48</v>
      </c>
      <c r="V562" s="1" t="s">
        <v>37</v>
      </c>
      <c r="W562">
        <v>2</v>
      </c>
    </row>
    <row r="563" spans="1:23" x14ac:dyDescent="0.3">
      <c r="A563" s="1" t="s">
        <v>1400</v>
      </c>
      <c r="B563">
        <v>3</v>
      </c>
      <c r="C563">
        <v>18.989999999999998</v>
      </c>
      <c r="D563">
        <v>45.85</v>
      </c>
      <c r="E563" s="1" t="s">
        <v>937</v>
      </c>
      <c r="F563" s="1" t="s">
        <v>40</v>
      </c>
      <c r="G563">
        <v>10</v>
      </c>
      <c r="H563" s="1" t="s">
        <v>58</v>
      </c>
      <c r="I563" s="1" t="s">
        <v>97</v>
      </c>
      <c r="J563">
        <v>6</v>
      </c>
      <c r="K563">
        <v>18.989999999999998</v>
      </c>
      <c r="L563" s="1" t="s">
        <v>60</v>
      </c>
      <c r="M563" s="1" t="s">
        <v>43</v>
      </c>
      <c r="N563" s="1" t="s">
        <v>44</v>
      </c>
      <c r="O563" s="1" t="s">
        <v>31</v>
      </c>
      <c r="P563" s="2">
        <v>45823</v>
      </c>
      <c r="Q563" s="1" t="s">
        <v>1401</v>
      </c>
      <c r="R563" s="1" t="s">
        <v>1402</v>
      </c>
      <c r="S563" s="1" t="s">
        <v>65</v>
      </c>
      <c r="T563" s="1" t="s">
        <v>35</v>
      </c>
      <c r="U563" s="1" t="s">
        <v>66</v>
      </c>
      <c r="V563" s="1" t="s">
        <v>100</v>
      </c>
      <c r="W563">
        <v>3.2</v>
      </c>
    </row>
    <row r="564" spans="1:23" x14ac:dyDescent="0.3">
      <c r="A564" s="1" t="s">
        <v>1403</v>
      </c>
      <c r="B564">
        <v>1</v>
      </c>
      <c r="C564">
        <v>18.989999999999998</v>
      </c>
      <c r="D564">
        <v>18.989999999999998</v>
      </c>
      <c r="E564" s="1" t="s">
        <v>1404</v>
      </c>
      <c r="F564" s="1" t="s">
        <v>40</v>
      </c>
      <c r="G564">
        <v>10</v>
      </c>
      <c r="H564" s="1" t="s">
        <v>96</v>
      </c>
      <c r="I564" s="1" t="s">
        <v>97</v>
      </c>
      <c r="J564">
        <v>6</v>
      </c>
      <c r="K564">
        <v>18.989999999999998</v>
      </c>
      <c r="L564" s="1" t="s">
        <v>60</v>
      </c>
      <c r="M564" s="1" t="s">
        <v>43</v>
      </c>
      <c r="N564" s="1" t="s">
        <v>44</v>
      </c>
      <c r="O564" s="1" t="s">
        <v>31</v>
      </c>
      <c r="P564" s="2">
        <v>45823</v>
      </c>
      <c r="Q564" s="1" t="s">
        <v>893</v>
      </c>
      <c r="R564" s="1" t="s">
        <v>1405</v>
      </c>
      <c r="S564" s="1" t="s">
        <v>65</v>
      </c>
      <c r="T564" s="1" t="s">
        <v>35</v>
      </c>
      <c r="U564" s="1" t="s">
        <v>82</v>
      </c>
      <c r="V564" s="1" t="s">
        <v>100</v>
      </c>
      <c r="W564">
        <v>3.2</v>
      </c>
    </row>
    <row r="565" spans="1:23" x14ac:dyDescent="0.3">
      <c r="A565" s="1" t="s">
        <v>1406</v>
      </c>
      <c r="B565">
        <v>3</v>
      </c>
      <c r="C565">
        <v>27.99</v>
      </c>
      <c r="D565">
        <v>67.849999999999994</v>
      </c>
      <c r="E565" s="1" t="s">
        <v>1407</v>
      </c>
      <c r="F565" s="1" t="s">
        <v>51</v>
      </c>
      <c r="G565">
        <v>0</v>
      </c>
      <c r="H565" s="1" t="s">
        <v>41</v>
      </c>
      <c r="I565" s="1" t="s">
        <v>75</v>
      </c>
      <c r="J565">
        <v>9</v>
      </c>
      <c r="K565">
        <v>27.99</v>
      </c>
      <c r="L565" s="1" t="s">
        <v>28</v>
      </c>
      <c r="M565" s="1" t="s">
        <v>61</v>
      </c>
      <c r="N565" s="1" t="s">
        <v>62</v>
      </c>
      <c r="O565" s="1" t="s">
        <v>31</v>
      </c>
      <c r="P565" s="2">
        <v>45726</v>
      </c>
      <c r="Q565" s="1" t="s">
        <v>1408</v>
      </c>
      <c r="R565" s="1" t="s">
        <v>1409</v>
      </c>
      <c r="S565" s="1" t="s">
        <v>54</v>
      </c>
      <c r="T565" s="1" t="s">
        <v>35</v>
      </c>
      <c r="U565" s="1" t="s">
        <v>36</v>
      </c>
      <c r="V565" s="1" t="s">
        <v>37</v>
      </c>
      <c r="W565">
        <v>2</v>
      </c>
    </row>
    <row r="566" spans="1:23" x14ac:dyDescent="0.3">
      <c r="A566" s="1" t="s">
        <v>1410</v>
      </c>
      <c r="B566">
        <v>1</v>
      </c>
      <c r="C566">
        <v>18.989999999999998</v>
      </c>
      <c r="D566">
        <v>18.989999999999998</v>
      </c>
      <c r="E566" s="1" t="s">
        <v>1411</v>
      </c>
      <c r="F566" s="1" t="s">
        <v>51</v>
      </c>
      <c r="G566">
        <v>0</v>
      </c>
      <c r="H566" s="1" t="s">
        <v>96</v>
      </c>
      <c r="I566" s="1" t="s">
        <v>97</v>
      </c>
      <c r="J566">
        <v>6</v>
      </c>
      <c r="K566">
        <v>18.989999999999998</v>
      </c>
      <c r="L566" s="1" t="s">
        <v>60</v>
      </c>
      <c r="M566" s="1" t="s">
        <v>43</v>
      </c>
      <c r="N566" s="1" t="s">
        <v>44</v>
      </c>
      <c r="O566" s="1" t="s">
        <v>31</v>
      </c>
      <c r="P566" s="2">
        <v>45823</v>
      </c>
      <c r="Q566" s="1" t="s">
        <v>850</v>
      </c>
      <c r="R566" s="1" t="s">
        <v>1412</v>
      </c>
      <c r="S566" s="1" t="s">
        <v>47</v>
      </c>
      <c r="T566" s="1" t="s">
        <v>35</v>
      </c>
      <c r="U566" s="1" t="s">
        <v>36</v>
      </c>
      <c r="V566" s="1" t="s">
        <v>100</v>
      </c>
      <c r="W566">
        <v>3.2</v>
      </c>
    </row>
    <row r="567" spans="1:23" x14ac:dyDescent="0.3">
      <c r="A567" s="1" t="s">
        <v>1413</v>
      </c>
      <c r="B567">
        <v>1</v>
      </c>
      <c r="C567">
        <v>18.989999999999998</v>
      </c>
      <c r="D567">
        <v>18.989999999999998</v>
      </c>
      <c r="E567" s="1" t="s">
        <v>704</v>
      </c>
      <c r="F567" s="1" t="s">
        <v>51</v>
      </c>
      <c r="G567">
        <v>0</v>
      </c>
      <c r="H567" s="1" t="s">
        <v>41</v>
      </c>
      <c r="I567" s="1" t="s">
        <v>97</v>
      </c>
      <c r="J567">
        <v>6</v>
      </c>
      <c r="K567">
        <v>18.989999999999998</v>
      </c>
      <c r="L567" s="1" t="s">
        <v>60</v>
      </c>
      <c r="M567" s="1" t="s">
        <v>43</v>
      </c>
      <c r="N567" s="1" t="s">
        <v>44</v>
      </c>
      <c r="O567" s="1" t="s">
        <v>31</v>
      </c>
      <c r="P567" s="2">
        <v>45823</v>
      </c>
      <c r="Q567" s="1" t="s">
        <v>1414</v>
      </c>
      <c r="R567" s="1" t="s">
        <v>1415</v>
      </c>
      <c r="S567" s="1" t="s">
        <v>88</v>
      </c>
      <c r="T567" s="1" t="s">
        <v>35</v>
      </c>
      <c r="U567" s="1" t="s">
        <v>48</v>
      </c>
      <c r="V567" s="1" t="s">
        <v>100</v>
      </c>
      <c r="W567">
        <v>3.2</v>
      </c>
    </row>
    <row r="568" spans="1:23" x14ac:dyDescent="0.3">
      <c r="A568" s="1" t="s">
        <v>1416</v>
      </c>
      <c r="B568">
        <v>1</v>
      </c>
      <c r="C568">
        <v>16.989999999999998</v>
      </c>
      <c r="D568">
        <v>16.989999999999998</v>
      </c>
      <c r="E568" s="1" t="s">
        <v>1068</v>
      </c>
      <c r="F568" s="1" t="s">
        <v>40</v>
      </c>
      <c r="G568">
        <v>15</v>
      </c>
      <c r="H568" s="1" t="s">
        <v>26</v>
      </c>
      <c r="I568" s="1" t="s">
        <v>59</v>
      </c>
      <c r="J568">
        <v>5</v>
      </c>
      <c r="K568">
        <v>16.989999999999998</v>
      </c>
      <c r="L568" s="1" t="s">
        <v>60</v>
      </c>
      <c r="M568" s="1" t="s">
        <v>61</v>
      </c>
      <c r="N568" s="1" t="s">
        <v>62</v>
      </c>
      <c r="O568" s="1" t="s">
        <v>31</v>
      </c>
      <c r="P568" s="2">
        <v>45726</v>
      </c>
      <c r="Q568" s="1" t="s">
        <v>1417</v>
      </c>
      <c r="R568" s="1" t="s">
        <v>1418</v>
      </c>
      <c r="S568" s="1" t="s">
        <v>65</v>
      </c>
      <c r="T568" s="1" t="s">
        <v>35</v>
      </c>
      <c r="U568" s="1" t="s">
        <v>55</v>
      </c>
      <c r="V568" s="1" t="s">
        <v>67</v>
      </c>
      <c r="W568">
        <v>3</v>
      </c>
    </row>
    <row r="569" spans="1:23" x14ac:dyDescent="0.3">
      <c r="A569" s="1" t="s">
        <v>1419</v>
      </c>
      <c r="B569">
        <v>1</v>
      </c>
      <c r="C569">
        <v>34.99</v>
      </c>
      <c r="D569">
        <v>34.99</v>
      </c>
      <c r="E569" s="1" t="s">
        <v>1420</v>
      </c>
      <c r="F569" s="1" t="s">
        <v>40</v>
      </c>
      <c r="G569">
        <v>6</v>
      </c>
      <c r="H569" s="1" t="s">
        <v>96</v>
      </c>
      <c r="I569" s="1" t="s">
        <v>85</v>
      </c>
      <c r="J569">
        <v>12.5</v>
      </c>
      <c r="K569">
        <v>34.99</v>
      </c>
      <c r="L569" s="1" t="s">
        <v>60</v>
      </c>
      <c r="M569" s="1" t="s">
        <v>29</v>
      </c>
      <c r="N569" s="1" t="s">
        <v>30</v>
      </c>
      <c r="O569" s="1" t="s">
        <v>31</v>
      </c>
      <c r="P569" s="2">
        <v>45778</v>
      </c>
      <c r="Q569" s="1" t="s">
        <v>1421</v>
      </c>
      <c r="R569" s="1" t="s">
        <v>1422</v>
      </c>
      <c r="S569" s="1" t="s">
        <v>105</v>
      </c>
      <c r="T569" s="1" t="s">
        <v>35</v>
      </c>
      <c r="U569" s="1" t="s">
        <v>82</v>
      </c>
      <c r="V569" s="1" t="s">
        <v>89</v>
      </c>
      <c r="W569">
        <v>2.4</v>
      </c>
    </row>
    <row r="570" spans="1:23" x14ac:dyDescent="0.3">
      <c r="A570" s="1" t="s">
        <v>1423</v>
      </c>
      <c r="B570">
        <v>1</v>
      </c>
      <c r="C570">
        <v>27.99</v>
      </c>
      <c r="D570">
        <v>27.99</v>
      </c>
      <c r="E570" s="1" t="s">
        <v>1424</v>
      </c>
      <c r="F570" s="1" t="s">
        <v>51</v>
      </c>
      <c r="G570">
        <v>0</v>
      </c>
      <c r="H570" s="1" t="s">
        <v>41</v>
      </c>
      <c r="I570" s="1" t="s">
        <v>75</v>
      </c>
      <c r="J570">
        <v>9</v>
      </c>
      <c r="K570">
        <v>27.99</v>
      </c>
      <c r="L570" s="1" t="s">
        <v>28</v>
      </c>
      <c r="M570" s="1" t="s">
        <v>61</v>
      </c>
      <c r="N570" s="1" t="s">
        <v>62</v>
      </c>
      <c r="O570" s="1" t="s">
        <v>31</v>
      </c>
      <c r="P570" s="2">
        <v>45726</v>
      </c>
      <c r="Q570" s="1" t="s">
        <v>947</v>
      </c>
      <c r="R570" s="1" t="s">
        <v>1425</v>
      </c>
      <c r="S570" s="1" t="s">
        <v>88</v>
      </c>
      <c r="T570" s="1" t="s">
        <v>35</v>
      </c>
      <c r="U570" s="1" t="s">
        <v>55</v>
      </c>
      <c r="V570" s="1" t="s">
        <v>37</v>
      </c>
      <c r="W570">
        <v>2</v>
      </c>
    </row>
    <row r="571" spans="1:23" x14ac:dyDescent="0.3">
      <c r="A571" s="1" t="s">
        <v>1426</v>
      </c>
      <c r="B571">
        <v>1</v>
      </c>
      <c r="C571">
        <v>16.989999999999998</v>
      </c>
      <c r="D571">
        <v>16.989999999999998</v>
      </c>
      <c r="E571" s="1" t="s">
        <v>222</v>
      </c>
      <c r="F571" s="1" t="s">
        <v>51</v>
      </c>
      <c r="G571">
        <v>0</v>
      </c>
      <c r="H571" s="1" t="s">
        <v>96</v>
      </c>
      <c r="I571" s="1" t="s">
        <v>59</v>
      </c>
      <c r="J571">
        <v>5</v>
      </c>
      <c r="K571">
        <v>16.989999999999998</v>
      </c>
      <c r="L571" s="1" t="s">
        <v>60</v>
      </c>
      <c r="M571" s="1" t="s">
        <v>61</v>
      </c>
      <c r="N571" s="1" t="s">
        <v>62</v>
      </c>
      <c r="O571" s="1" t="s">
        <v>31</v>
      </c>
      <c r="P571" s="2">
        <v>45726</v>
      </c>
      <c r="Q571" s="1" t="s">
        <v>1048</v>
      </c>
      <c r="R571" s="1" t="s">
        <v>1049</v>
      </c>
      <c r="S571" s="1" t="s">
        <v>47</v>
      </c>
      <c r="T571" s="1" t="s">
        <v>35</v>
      </c>
      <c r="U571" s="1" t="s">
        <v>82</v>
      </c>
      <c r="V571" s="1" t="s">
        <v>67</v>
      </c>
      <c r="W571">
        <v>3</v>
      </c>
    </row>
    <row r="572" spans="1:23" x14ac:dyDescent="0.3">
      <c r="A572" s="1" t="s">
        <v>1427</v>
      </c>
      <c r="B572">
        <v>1</v>
      </c>
      <c r="C572">
        <v>34.99</v>
      </c>
      <c r="D572">
        <v>34.99</v>
      </c>
      <c r="E572" s="1" t="s">
        <v>782</v>
      </c>
      <c r="F572" s="1" t="s">
        <v>188</v>
      </c>
      <c r="G572">
        <v>0</v>
      </c>
      <c r="H572" s="1" t="s">
        <v>96</v>
      </c>
      <c r="I572" s="1" t="s">
        <v>85</v>
      </c>
      <c r="J572">
        <v>12.5</v>
      </c>
      <c r="K572">
        <v>34.99</v>
      </c>
      <c r="L572" s="1" t="s">
        <v>60</v>
      </c>
      <c r="M572" s="1" t="s">
        <v>29</v>
      </c>
      <c r="N572" s="1" t="s">
        <v>30</v>
      </c>
      <c r="O572" s="1" t="s">
        <v>31</v>
      </c>
      <c r="P572" s="2">
        <v>45778</v>
      </c>
      <c r="Q572" s="1" t="s">
        <v>1075</v>
      </c>
      <c r="R572" s="1" t="s">
        <v>1076</v>
      </c>
      <c r="S572" s="1" t="s">
        <v>65</v>
      </c>
      <c r="T572" s="1" t="s">
        <v>35</v>
      </c>
      <c r="U572" s="1" t="s">
        <v>55</v>
      </c>
      <c r="V572" s="1" t="s">
        <v>89</v>
      </c>
      <c r="W572">
        <v>2.4</v>
      </c>
    </row>
    <row r="573" spans="1:23" x14ac:dyDescent="0.3">
      <c r="A573" s="1" t="s">
        <v>1428</v>
      </c>
      <c r="B573">
        <v>3</v>
      </c>
      <c r="C573">
        <v>21.99</v>
      </c>
      <c r="D573">
        <v>52.43</v>
      </c>
      <c r="E573" s="1" t="s">
        <v>1429</v>
      </c>
      <c r="F573" s="1" t="s">
        <v>40</v>
      </c>
      <c r="G573">
        <v>2</v>
      </c>
      <c r="H573" s="1" t="s">
        <v>96</v>
      </c>
      <c r="I573" s="1" t="s">
        <v>27</v>
      </c>
      <c r="J573">
        <v>7</v>
      </c>
      <c r="K573">
        <v>21.99</v>
      </c>
      <c r="L573" s="1" t="s">
        <v>28</v>
      </c>
      <c r="M573" s="1" t="s">
        <v>29</v>
      </c>
      <c r="N573" s="1" t="s">
        <v>30</v>
      </c>
      <c r="O573" s="1" t="s">
        <v>31</v>
      </c>
      <c r="P573" s="2">
        <v>45778</v>
      </c>
      <c r="Q573" s="1" t="s">
        <v>1175</v>
      </c>
      <c r="R573" s="1" t="s">
        <v>1176</v>
      </c>
      <c r="S573" s="1" t="s">
        <v>34</v>
      </c>
      <c r="T573" s="1" t="s">
        <v>35</v>
      </c>
      <c r="U573" s="1" t="s">
        <v>48</v>
      </c>
      <c r="V573" s="1" t="s">
        <v>37</v>
      </c>
      <c r="W573">
        <v>2</v>
      </c>
    </row>
    <row r="574" spans="1:23" x14ac:dyDescent="0.3">
      <c r="A574" s="1" t="s">
        <v>1430</v>
      </c>
      <c r="B574">
        <v>2</v>
      </c>
      <c r="C574">
        <v>21.99</v>
      </c>
      <c r="D574">
        <v>38.36</v>
      </c>
      <c r="E574" s="1" t="s">
        <v>1431</v>
      </c>
      <c r="F574" s="1" t="s">
        <v>51</v>
      </c>
      <c r="G574">
        <v>0</v>
      </c>
      <c r="H574" s="1" t="s">
        <v>26</v>
      </c>
      <c r="I574" s="1" t="s">
        <v>27</v>
      </c>
      <c r="J574">
        <v>7</v>
      </c>
      <c r="K574">
        <v>21.99</v>
      </c>
      <c r="L574" s="1" t="s">
        <v>28</v>
      </c>
      <c r="M574" s="1" t="s">
        <v>29</v>
      </c>
      <c r="N574" s="1" t="s">
        <v>30</v>
      </c>
      <c r="O574" s="1" t="s">
        <v>31</v>
      </c>
      <c r="P574" s="2">
        <v>45778</v>
      </c>
      <c r="Q574" s="1" t="s">
        <v>1349</v>
      </c>
      <c r="R574" s="1" t="s">
        <v>1432</v>
      </c>
      <c r="S574" s="1" t="s">
        <v>47</v>
      </c>
      <c r="T574" s="1" t="s">
        <v>35</v>
      </c>
      <c r="U574" s="1" t="s">
        <v>36</v>
      </c>
      <c r="V574" s="1" t="s">
        <v>37</v>
      </c>
      <c r="W574">
        <v>2</v>
      </c>
    </row>
    <row r="575" spans="1:23" x14ac:dyDescent="0.3">
      <c r="A575" s="1" t="s">
        <v>1433</v>
      </c>
      <c r="B575">
        <v>2</v>
      </c>
      <c r="C575">
        <v>27.99</v>
      </c>
      <c r="D575">
        <v>48.16</v>
      </c>
      <c r="E575" s="1" t="s">
        <v>1434</v>
      </c>
      <c r="F575" s="1" t="s">
        <v>40</v>
      </c>
      <c r="G575">
        <v>2</v>
      </c>
      <c r="H575" s="1" t="s">
        <v>41</v>
      </c>
      <c r="I575" s="1" t="s">
        <v>75</v>
      </c>
      <c r="J575">
        <v>9</v>
      </c>
      <c r="K575">
        <v>27.99</v>
      </c>
      <c r="L575" s="1" t="s">
        <v>28</v>
      </c>
      <c r="M575" s="1" t="s">
        <v>61</v>
      </c>
      <c r="N575" s="1" t="s">
        <v>62</v>
      </c>
      <c r="O575" s="1" t="s">
        <v>31</v>
      </c>
      <c r="P575" s="2">
        <v>45726</v>
      </c>
      <c r="Q575" s="1" t="s">
        <v>425</v>
      </c>
      <c r="R575" s="1" t="s">
        <v>1435</v>
      </c>
      <c r="S575" s="1" t="s">
        <v>54</v>
      </c>
      <c r="T575" s="1" t="s">
        <v>35</v>
      </c>
      <c r="U575" s="1" t="s">
        <v>48</v>
      </c>
      <c r="V575" s="1" t="s">
        <v>37</v>
      </c>
      <c r="W575">
        <v>2</v>
      </c>
    </row>
    <row r="576" spans="1:23" x14ac:dyDescent="0.3">
      <c r="A576" s="1" t="s">
        <v>1436</v>
      </c>
      <c r="B576">
        <v>1</v>
      </c>
      <c r="C576">
        <v>16.989999999999998</v>
      </c>
      <c r="D576">
        <v>16.989999999999998</v>
      </c>
      <c r="E576" s="1" t="s">
        <v>79</v>
      </c>
      <c r="F576" s="1" t="s">
        <v>40</v>
      </c>
      <c r="G576">
        <v>17</v>
      </c>
      <c r="H576" s="1" t="s">
        <v>41</v>
      </c>
      <c r="I576" s="1" t="s">
        <v>59</v>
      </c>
      <c r="J576">
        <v>5</v>
      </c>
      <c r="K576">
        <v>16.989999999999998</v>
      </c>
      <c r="L576" s="1" t="s">
        <v>60</v>
      </c>
      <c r="M576" s="1" t="s">
        <v>61</v>
      </c>
      <c r="N576" s="1" t="s">
        <v>62</v>
      </c>
      <c r="O576" s="1" t="s">
        <v>31</v>
      </c>
      <c r="P576" s="2">
        <v>45726</v>
      </c>
      <c r="Q576" s="1" t="s">
        <v>828</v>
      </c>
      <c r="R576" s="1" t="s">
        <v>829</v>
      </c>
      <c r="S576" s="1" t="s">
        <v>65</v>
      </c>
      <c r="T576" s="1" t="s">
        <v>35</v>
      </c>
      <c r="U576" s="1" t="s">
        <v>48</v>
      </c>
      <c r="V576" s="1" t="s">
        <v>67</v>
      </c>
      <c r="W576">
        <v>3</v>
      </c>
    </row>
    <row r="577" spans="1:23" x14ac:dyDescent="0.3">
      <c r="A577" s="1" t="s">
        <v>1437</v>
      </c>
      <c r="B577">
        <v>2</v>
      </c>
      <c r="C577">
        <v>34.99</v>
      </c>
      <c r="D577">
        <v>59.9</v>
      </c>
      <c r="E577" s="1" t="s">
        <v>902</v>
      </c>
      <c r="F577" s="1" t="s">
        <v>188</v>
      </c>
      <c r="G577">
        <v>0</v>
      </c>
      <c r="H577" s="1" t="s">
        <v>58</v>
      </c>
      <c r="I577" s="1" t="s">
        <v>85</v>
      </c>
      <c r="J577">
        <v>12.5</v>
      </c>
      <c r="K577">
        <v>34.99</v>
      </c>
      <c r="L577" s="1" t="s">
        <v>60</v>
      </c>
      <c r="M577" s="1" t="s">
        <v>29</v>
      </c>
      <c r="N577" s="1" t="s">
        <v>30</v>
      </c>
      <c r="O577" s="1" t="s">
        <v>31</v>
      </c>
      <c r="P577" s="2">
        <v>45778</v>
      </c>
      <c r="Q577" s="1" t="s">
        <v>1241</v>
      </c>
      <c r="R577" s="1" t="s">
        <v>1242</v>
      </c>
      <c r="S577" s="1" t="s">
        <v>54</v>
      </c>
      <c r="T577" s="1" t="s">
        <v>35</v>
      </c>
      <c r="U577" s="1" t="s">
        <v>48</v>
      </c>
      <c r="V577" s="1" t="s">
        <v>89</v>
      </c>
      <c r="W577">
        <v>2.4</v>
      </c>
    </row>
    <row r="578" spans="1:23" x14ac:dyDescent="0.3">
      <c r="A578" s="1" t="s">
        <v>1438</v>
      </c>
      <c r="B578">
        <v>1</v>
      </c>
      <c r="C578">
        <v>18.989999999999998</v>
      </c>
      <c r="D578">
        <v>18.989999999999998</v>
      </c>
      <c r="E578" s="1" t="s">
        <v>822</v>
      </c>
      <c r="F578" s="1" t="s">
        <v>70</v>
      </c>
      <c r="G578">
        <v>0</v>
      </c>
      <c r="H578" s="1" t="s">
        <v>41</v>
      </c>
      <c r="I578" s="1" t="s">
        <v>97</v>
      </c>
      <c r="J578">
        <v>6</v>
      </c>
      <c r="K578">
        <v>18.989999999999998</v>
      </c>
      <c r="L578" s="1" t="s">
        <v>60</v>
      </c>
      <c r="M578" s="1" t="s">
        <v>43</v>
      </c>
      <c r="N578" s="1" t="s">
        <v>44</v>
      </c>
      <c r="O578" s="1" t="s">
        <v>31</v>
      </c>
      <c r="P578" s="2">
        <v>45823</v>
      </c>
      <c r="Q578" s="1" t="s">
        <v>1349</v>
      </c>
      <c r="R578" s="1" t="s">
        <v>1439</v>
      </c>
      <c r="S578" s="1" t="s">
        <v>65</v>
      </c>
      <c r="T578" s="1" t="s">
        <v>35</v>
      </c>
      <c r="U578" s="1" t="s">
        <v>36</v>
      </c>
      <c r="V578" s="1" t="s">
        <v>100</v>
      </c>
      <c r="W578">
        <v>3.2</v>
      </c>
    </row>
    <row r="579" spans="1:23" x14ac:dyDescent="0.3">
      <c r="A579" s="1" t="s">
        <v>1440</v>
      </c>
      <c r="B579">
        <v>1</v>
      </c>
      <c r="C579">
        <v>21.99</v>
      </c>
      <c r="D579">
        <v>21.99</v>
      </c>
      <c r="E579" s="1" t="s">
        <v>325</v>
      </c>
      <c r="F579" s="1" t="s">
        <v>188</v>
      </c>
      <c r="G579">
        <v>0</v>
      </c>
      <c r="H579" s="1" t="s">
        <v>26</v>
      </c>
      <c r="I579" s="1" t="s">
        <v>27</v>
      </c>
      <c r="J579">
        <v>7</v>
      </c>
      <c r="K579">
        <v>21.99</v>
      </c>
      <c r="L579" s="1" t="s">
        <v>28</v>
      </c>
      <c r="M579" s="1" t="s">
        <v>29</v>
      </c>
      <c r="N579" s="1" t="s">
        <v>30</v>
      </c>
      <c r="O579" s="1" t="s">
        <v>31</v>
      </c>
      <c r="P579" s="2">
        <v>45778</v>
      </c>
      <c r="Q579" s="1" t="s">
        <v>745</v>
      </c>
      <c r="R579" s="1" t="s">
        <v>746</v>
      </c>
      <c r="S579" s="1" t="s">
        <v>105</v>
      </c>
      <c r="T579" s="1" t="s">
        <v>35</v>
      </c>
      <c r="U579" s="1" t="s">
        <v>48</v>
      </c>
      <c r="V579" s="1" t="s">
        <v>37</v>
      </c>
      <c r="W579">
        <v>2</v>
      </c>
    </row>
    <row r="580" spans="1:23" x14ac:dyDescent="0.3">
      <c r="A580" s="1" t="s">
        <v>1441</v>
      </c>
      <c r="B580">
        <v>3</v>
      </c>
      <c r="C580">
        <v>34.99</v>
      </c>
      <c r="D580">
        <v>84.67</v>
      </c>
      <c r="E580" s="1" t="s">
        <v>1122</v>
      </c>
      <c r="F580" s="1" t="s">
        <v>40</v>
      </c>
      <c r="G580">
        <v>6</v>
      </c>
      <c r="H580" s="1" t="s">
        <v>26</v>
      </c>
      <c r="I580" s="1" t="s">
        <v>85</v>
      </c>
      <c r="J580">
        <v>12.5</v>
      </c>
      <c r="K580">
        <v>34.99</v>
      </c>
      <c r="L580" s="1" t="s">
        <v>60</v>
      </c>
      <c r="M580" s="1" t="s">
        <v>29</v>
      </c>
      <c r="N580" s="1" t="s">
        <v>30</v>
      </c>
      <c r="O580" s="1" t="s">
        <v>31</v>
      </c>
      <c r="P580" s="2">
        <v>45778</v>
      </c>
      <c r="Q580" s="1" t="s">
        <v>850</v>
      </c>
      <c r="R580" s="1" t="s">
        <v>851</v>
      </c>
      <c r="S580" s="1" t="s">
        <v>65</v>
      </c>
      <c r="T580" s="1" t="s">
        <v>35</v>
      </c>
      <c r="U580" s="1" t="s">
        <v>36</v>
      </c>
      <c r="V580" s="1" t="s">
        <v>89</v>
      </c>
      <c r="W580">
        <v>2.4</v>
      </c>
    </row>
    <row r="581" spans="1:23" x14ac:dyDescent="0.3">
      <c r="A581" s="1" t="s">
        <v>1442</v>
      </c>
      <c r="B581">
        <v>1</v>
      </c>
      <c r="C581">
        <v>30.99</v>
      </c>
      <c r="D581">
        <v>30.99</v>
      </c>
      <c r="E581" s="1" t="s">
        <v>1443</v>
      </c>
      <c r="F581" s="1" t="s">
        <v>51</v>
      </c>
      <c r="G581">
        <v>0</v>
      </c>
      <c r="H581" s="1" t="s">
        <v>41</v>
      </c>
      <c r="I581" s="1" t="s">
        <v>42</v>
      </c>
      <c r="J581">
        <v>10.5</v>
      </c>
      <c r="K581">
        <v>30.99</v>
      </c>
      <c r="L581" s="1" t="s">
        <v>28</v>
      </c>
      <c r="M581" s="1" t="s">
        <v>43</v>
      </c>
      <c r="N581" s="1" t="s">
        <v>44</v>
      </c>
      <c r="O581" s="1" t="s">
        <v>31</v>
      </c>
      <c r="P581" s="2">
        <v>45823</v>
      </c>
      <c r="Q581" s="1" t="s">
        <v>1069</v>
      </c>
      <c r="R581" s="1" t="s">
        <v>1070</v>
      </c>
      <c r="S581" s="1" t="s">
        <v>65</v>
      </c>
      <c r="T581" s="1" t="s">
        <v>35</v>
      </c>
      <c r="U581" s="1" t="s">
        <v>66</v>
      </c>
      <c r="V581" s="1" t="s">
        <v>37</v>
      </c>
      <c r="W581">
        <v>2</v>
      </c>
    </row>
    <row r="582" spans="1:23" x14ac:dyDescent="0.3">
      <c r="A582" s="1" t="s">
        <v>1444</v>
      </c>
      <c r="B582">
        <v>1</v>
      </c>
      <c r="C582">
        <v>34.99</v>
      </c>
      <c r="D582">
        <v>34.99</v>
      </c>
      <c r="E582" s="1" t="s">
        <v>1027</v>
      </c>
      <c r="F582" s="1" t="s">
        <v>40</v>
      </c>
      <c r="G582">
        <v>8</v>
      </c>
      <c r="H582" s="1" t="s">
        <v>41</v>
      </c>
      <c r="I582" s="1" t="s">
        <v>85</v>
      </c>
      <c r="J582">
        <v>12.5</v>
      </c>
      <c r="K582">
        <v>34.99</v>
      </c>
      <c r="L582" s="1" t="s">
        <v>60</v>
      </c>
      <c r="M582" s="1" t="s">
        <v>29</v>
      </c>
      <c r="N582" s="1" t="s">
        <v>30</v>
      </c>
      <c r="O582" s="1" t="s">
        <v>31</v>
      </c>
      <c r="P582" s="2">
        <v>45778</v>
      </c>
      <c r="Q582" s="1" t="s">
        <v>828</v>
      </c>
      <c r="R582" s="1" t="s">
        <v>829</v>
      </c>
      <c r="S582" s="1" t="s">
        <v>65</v>
      </c>
      <c r="T582" s="1" t="s">
        <v>35</v>
      </c>
      <c r="U582" s="1" t="s">
        <v>48</v>
      </c>
      <c r="V582" s="1" t="s">
        <v>89</v>
      </c>
      <c r="W582">
        <v>2.4</v>
      </c>
    </row>
    <row r="583" spans="1:23" x14ac:dyDescent="0.3">
      <c r="A583" s="1" t="s">
        <v>1445</v>
      </c>
      <c r="B583">
        <v>3</v>
      </c>
      <c r="C583">
        <v>18.989999999999998</v>
      </c>
      <c r="D583">
        <v>45.49</v>
      </c>
      <c r="E583" s="1" t="s">
        <v>1446</v>
      </c>
      <c r="F583" s="1" t="s">
        <v>25</v>
      </c>
      <c r="G583">
        <v>14</v>
      </c>
      <c r="H583" s="1" t="s">
        <v>41</v>
      </c>
      <c r="I583" s="1" t="s">
        <v>97</v>
      </c>
      <c r="J583">
        <v>6</v>
      </c>
      <c r="K583">
        <v>18.989999999999998</v>
      </c>
      <c r="L583" s="1" t="s">
        <v>60</v>
      </c>
      <c r="M583" s="1" t="s">
        <v>43</v>
      </c>
      <c r="N583" s="1" t="s">
        <v>44</v>
      </c>
      <c r="O583" s="1" t="s">
        <v>31</v>
      </c>
      <c r="P583" s="2">
        <v>45823</v>
      </c>
      <c r="Q583" s="1" t="s">
        <v>1447</v>
      </c>
      <c r="R583" s="1" t="s">
        <v>1448</v>
      </c>
      <c r="S583" s="1" t="s">
        <v>47</v>
      </c>
      <c r="T583" s="1" t="s">
        <v>35</v>
      </c>
      <c r="U583" s="1" t="s">
        <v>36</v>
      </c>
      <c r="V583" s="1" t="s">
        <v>100</v>
      </c>
      <c r="W583">
        <v>3.2</v>
      </c>
    </row>
    <row r="584" spans="1:23" x14ac:dyDescent="0.3">
      <c r="A584" s="1" t="s">
        <v>1449</v>
      </c>
      <c r="B584">
        <v>3</v>
      </c>
      <c r="C584">
        <v>21.99</v>
      </c>
      <c r="D584">
        <v>52.41</v>
      </c>
      <c r="E584" s="1" t="s">
        <v>1450</v>
      </c>
      <c r="F584" s="1" t="s">
        <v>70</v>
      </c>
      <c r="G584">
        <v>0</v>
      </c>
      <c r="H584" s="1" t="s">
        <v>41</v>
      </c>
      <c r="I584" s="1" t="s">
        <v>27</v>
      </c>
      <c r="J584">
        <v>7</v>
      </c>
      <c r="K584">
        <v>21.99</v>
      </c>
      <c r="L584" s="1" t="s">
        <v>28</v>
      </c>
      <c r="M584" s="1" t="s">
        <v>29</v>
      </c>
      <c r="N584" s="1" t="s">
        <v>30</v>
      </c>
      <c r="O584" s="1" t="s">
        <v>31</v>
      </c>
      <c r="P584" s="2">
        <v>45778</v>
      </c>
      <c r="Q584" s="1" t="s">
        <v>728</v>
      </c>
      <c r="R584" s="1" t="s">
        <v>729</v>
      </c>
      <c r="S584" s="1" t="s">
        <v>88</v>
      </c>
      <c r="T584" s="1" t="s">
        <v>35</v>
      </c>
      <c r="U584" s="1" t="s">
        <v>55</v>
      </c>
      <c r="V584" s="1" t="s">
        <v>37</v>
      </c>
      <c r="W584">
        <v>2</v>
      </c>
    </row>
    <row r="585" spans="1:23" x14ac:dyDescent="0.3">
      <c r="A585" s="1" t="s">
        <v>1451</v>
      </c>
      <c r="B585">
        <v>1</v>
      </c>
      <c r="C585">
        <v>18.989999999999998</v>
      </c>
      <c r="D585">
        <v>18.989999999999998</v>
      </c>
      <c r="E585" s="1" t="s">
        <v>1452</v>
      </c>
      <c r="F585" s="1" t="s">
        <v>188</v>
      </c>
      <c r="G585">
        <v>0</v>
      </c>
      <c r="H585" s="1" t="s">
        <v>26</v>
      </c>
      <c r="I585" s="1" t="s">
        <v>97</v>
      </c>
      <c r="J585">
        <v>6</v>
      </c>
      <c r="K585">
        <v>18.989999999999998</v>
      </c>
      <c r="L585" s="1" t="s">
        <v>60</v>
      </c>
      <c r="M585" s="1" t="s">
        <v>43</v>
      </c>
      <c r="N585" s="1" t="s">
        <v>44</v>
      </c>
      <c r="O585" s="1" t="s">
        <v>31</v>
      </c>
      <c r="P585" s="2">
        <v>45823</v>
      </c>
      <c r="Q585" s="1" t="s">
        <v>283</v>
      </c>
      <c r="R585" s="1" t="s">
        <v>1453</v>
      </c>
      <c r="S585" s="1" t="s">
        <v>88</v>
      </c>
      <c r="T585" s="1" t="s">
        <v>35</v>
      </c>
      <c r="U585" s="1" t="s">
        <v>66</v>
      </c>
      <c r="V585" s="1" t="s">
        <v>100</v>
      </c>
      <c r="W585">
        <v>3.2</v>
      </c>
    </row>
    <row r="586" spans="1:23" x14ac:dyDescent="0.3">
      <c r="A586" s="1" t="s">
        <v>1454</v>
      </c>
      <c r="B586">
        <v>2</v>
      </c>
      <c r="C586">
        <v>30.99</v>
      </c>
      <c r="D586">
        <v>53.07</v>
      </c>
      <c r="E586" s="1" t="s">
        <v>1455</v>
      </c>
      <c r="F586" s="1" t="s">
        <v>40</v>
      </c>
      <c r="G586">
        <v>3</v>
      </c>
      <c r="H586" s="1" t="s">
        <v>96</v>
      </c>
      <c r="I586" s="1" t="s">
        <v>42</v>
      </c>
      <c r="J586">
        <v>10.5</v>
      </c>
      <c r="K586">
        <v>30.99</v>
      </c>
      <c r="L586" s="1" t="s">
        <v>28</v>
      </c>
      <c r="M586" s="1" t="s">
        <v>43</v>
      </c>
      <c r="N586" s="1" t="s">
        <v>44</v>
      </c>
      <c r="O586" s="1" t="s">
        <v>31</v>
      </c>
      <c r="P586" s="2">
        <v>45823</v>
      </c>
      <c r="Q586" s="1" t="s">
        <v>1376</v>
      </c>
      <c r="R586" s="1" t="s">
        <v>1456</v>
      </c>
      <c r="S586" s="1" t="s">
        <v>105</v>
      </c>
      <c r="T586" s="1" t="s">
        <v>35</v>
      </c>
      <c r="U586" s="1" t="s">
        <v>36</v>
      </c>
      <c r="V586" s="1" t="s">
        <v>37</v>
      </c>
      <c r="W586">
        <v>2</v>
      </c>
    </row>
    <row r="587" spans="1:23" x14ac:dyDescent="0.3">
      <c r="A587" s="1" t="s">
        <v>1457</v>
      </c>
      <c r="B587">
        <v>1</v>
      </c>
      <c r="C587">
        <v>18.989999999999998</v>
      </c>
      <c r="D587">
        <v>18.989999999999998</v>
      </c>
      <c r="E587" s="1" t="s">
        <v>1108</v>
      </c>
      <c r="F587" s="1" t="s">
        <v>40</v>
      </c>
      <c r="G587">
        <v>20</v>
      </c>
      <c r="H587" s="1" t="s">
        <v>41</v>
      </c>
      <c r="I587" s="1" t="s">
        <v>97</v>
      </c>
      <c r="J587">
        <v>6</v>
      </c>
      <c r="K587">
        <v>18.989999999999998</v>
      </c>
      <c r="L587" s="1" t="s">
        <v>60</v>
      </c>
      <c r="M587" s="1" t="s">
        <v>43</v>
      </c>
      <c r="N587" s="1" t="s">
        <v>44</v>
      </c>
      <c r="O587" s="1" t="s">
        <v>31</v>
      </c>
      <c r="P587" s="2">
        <v>45823</v>
      </c>
      <c r="Q587" s="1" t="s">
        <v>1458</v>
      </c>
      <c r="R587" s="1" t="s">
        <v>1459</v>
      </c>
      <c r="S587" s="1" t="s">
        <v>88</v>
      </c>
      <c r="T587" s="1" t="s">
        <v>35</v>
      </c>
      <c r="U587" s="1" t="s">
        <v>82</v>
      </c>
      <c r="V587" s="1" t="s">
        <v>100</v>
      </c>
      <c r="W587">
        <v>3.2</v>
      </c>
    </row>
    <row r="588" spans="1:23" x14ac:dyDescent="0.3">
      <c r="A588" s="1" t="s">
        <v>1460</v>
      </c>
      <c r="B588">
        <v>3</v>
      </c>
      <c r="C588">
        <v>16.989999999999998</v>
      </c>
      <c r="D588">
        <v>40.950000000000003</v>
      </c>
      <c r="E588" s="1" t="s">
        <v>1461</v>
      </c>
      <c r="F588" s="1" t="s">
        <v>51</v>
      </c>
      <c r="G588">
        <v>0</v>
      </c>
      <c r="H588" s="1" t="s">
        <v>26</v>
      </c>
      <c r="I588" s="1" t="s">
        <v>59</v>
      </c>
      <c r="J588">
        <v>5</v>
      </c>
      <c r="K588">
        <v>16.989999999999998</v>
      </c>
      <c r="L588" s="1" t="s">
        <v>60</v>
      </c>
      <c r="M588" s="1" t="s">
        <v>61</v>
      </c>
      <c r="N588" s="1" t="s">
        <v>62</v>
      </c>
      <c r="O588" s="1" t="s">
        <v>31</v>
      </c>
      <c r="P588" s="2">
        <v>45726</v>
      </c>
      <c r="Q588" s="1" t="s">
        <v>832</v>
      </c>
      <c r="R588" s="1" t="s">
        <v>879</v>
      </c>
      <c r="S588" s="1" t="s">
        <v>105</v>
      </c>
      <c r="T588" s="1" t="s">
        <v>35</v>
      </c>
      <c r="U588" s="1" t="s">
        <v>66</v>
      </c>
      <c r="V588" s="1" t="s">
        <v>67</v>
      </c>
      <c r="W588">
        <v>3</v>
      </c>
    </row>
    <row r="589" spans="1:23" x14ac:dyDescent="0.3">
      <c r="A589" s="1" t="s">
        <v>1462</v>
      </c>
      <c r="B589">
        <v>1</v>
      </c>
      <c r="C589">
        <v>21.99</v>
      </c>
      <c r="D589">
        <v>21.99</v>
      </c>
      <c r="E589" s="1" t="s">
        <v>1390</v>
      </c>
      <c r="F589" s="1" t="s">
        <v>40</v>
      </c>
      <c r="G589">
        <v>3</v>
      </c>
      <c r="H589" s="1" t="s">
        <v>41</v>
      </c>
      <c r="I589" s="1" t="s">
        <v>27</v>
      </c>
      <c r="J589">
        <v>7</v>
      </c>
      <c r="K589">
        <v>21.99</v>
      </c>
      <c r="L589" s="1" t="s">
        <v>28</v>
      </c>
      <c r="M589" s="1" t="s">
        <v>29</v>
      </c>
      <c r="N589" s="1" t="s">
        <v>30</v>
      </c>
      <c r="O589" s="1" t="s">
        <v>31</v>
      </c>
      <c r="P589" s="2">
        <v>45778</v>
      </c>
      <c r="Q589" s="1" t="s">
        <v>518</v>
      </c>
      <c r="R589" s="1" t="s">
        <v>1463</v>
      </c>
      <c r="S589" s="1" t="s">
        <v>34</v>
      </c>
      <c r="T589" s="1" t="s">
        <v>35</v>
      </c>
      <c r="U589" s="1" t="s">
        <v>66</v>
      </c>
      <c r="V589" s="1" t="s">
        <v>37</v>
      </c>
      <c r="W589">
        <v>2</v>
      </c>
    </row>
    <row r="590" spans="1:23" x14ac:dyDescent="0.3">
      <c r="A590" s="1" t="s">
        <v>1464</v>
      </c>
      <c r="B590">
        <v>1</v>
      </c>
      <c r="C590">
        <v>30.99</v>
      </c>
      <c r="D590">
        <v>30.99</v>
      </c>
      <c r="E590" s="1" t="s">
        <v>1420</v>
      </c>
      <c r="F590" s="1" t="s">
        <v>40</v>
      </c>
      <c r="G590">
        <v>2</v>
      </c>
      <c r="H590" s="1" t="s">
        <v>41</v>
      </c>
      <c r="I590" s="1" t="s">
        <v>42</v>
      </c>
      <c r="J590">
        <v>10.5</v>
      </c>
      <c r="K590">
        <v>30.99</v>
      </c>
      <c r="L590" s="1" t="s">
        <v>28</v>
      </c>
      <c r="M590" s="1" t="s">
        <v>43</v>
      </c>
      <c r="N590" s="1" t="s">
        <v>44</v>
      </c>
      <c r="O590" s="1" t="s">
        <v>31</v>
      </c>
      <c r="P590" s="2">
        <v>45823</v>
      </c>
      <c r="Q590" s="1" t="s">
        <v>689</v>
      </c>
      <c r="R590" s="1" t="s">
        <v>766</v>
      </c>
      <c r="S590" s="1" t="s">
        <v>105</v>
      </c>
      <c r="T590" s="1" t="s">
        <v>35</v>
      </c>
      <c r="U590" s="1" t="s">
        <v>48</v>
      </c>
      <c r="V590" s="1" t="s">
        <v>37</v>
      </c>
      <c r="W590">
        <v>2</v>
      </c>
    </row>
    <row r="591" spans="1:23" x14ac:dyDescent="0.3">
      <c r="A591" s="1" t="s">
        <v>1465</v>
      </c>
      <c r="B591">
        <v>2</v>
      </c>
      <c r="C591">
        <v>16.989999999999998</v>
      </c>
      <c r="D591">
        <v>29.62</v>
      </c>
      <c r="E591" s="1" t="s">
        <v>759</v>
      </c>
      <c r="F591" s="1" t="s">
        <v>40</v>
      </c>
      <c r="G591">
        <v>16</v>
      </c>
      <c r="H591" s="1" t="s">
        <v>26</v>
      </c>
      <c r="I591" s="1" t="s">
        <v>59</v>
      </c>
      <c r="J591">
        <v>5</v>
      </c>
      <c r="K591">
        <v>16.989999999999998</v>
      </c>
      <c r="L591" s="1" t="s">
        <v>60</v>
      </c>
      <c r="M591" s="1" t="s">
        <v>61</v>
      </c>
      <c r="N591" s="1" t="s">
        <v>62</v>
      </c>
      <c r="O591" s="1" t="s">
        <v>31</v>
      </c>
      <c r="P591" s="2">
        <v>45726</v>
      </c>
      <c r="Q591" s="1" t="s">
        <v>1466</v>
      </c>
      <c r="R591" s="1" t="s">
        <v>1467</v>
      </c>
      <c r="S591" s="1" t="s">
        <v>65</v>
      </c>
      <c r="T591" s="1" t="s">
        <v>35</v>
      </c>
      <c r="U591" s="1" t="s">
        <v>48</v>
      </c>
      <c r="V591" s="1" t="s">
        <v>67</v>
      </c>
      <c r="W591">
        <v>3</v>
      </c>
    </row>
    <row r="592" spans="1:23" x14ac:dyDescent="0.3">
      <c r="A592" s="1" t="s">
        <v>1468</v>
      </c>
      <c r="B592">
        <v>1</v>
      </c>
      <c r="C592">
        <v>30.99</v>
      </c>
      <c r="D592">
        <v>30.99</v>
      </c>
      <c r="E592" s="1" t="s">
        <v>1115</v>
      </c>
      <c r="F592" s="1" t="s">
        <v>40</v>
      </c>
      <c r="G592">
        <v>3</v>
      </c>
      <c r="H592" s="1" t="s">
        <v>58</v>
      </c>
      <c r="I592" s="1" t="s">
        <v>42</v>
      </c>
      <c r="J592">
        <v>10.5</v>
      </c>
      <c r="K592">
        <v>30.99</v>
      </c>
      <c r="L592" s="1" t="s">
        <v>28</v>
      </c>
      <c r="M592" s="1" t="s">
        <v>43</v>
      </c>
      <c r="N592" s="1" t="s">
        <v>44</v>
      </c>
      <c r="O592" s="1" t="s">
        <v>31</v>
      </c>
      <c r="P592" s="2">
        <v>45823</v>
      </c>
      <c r="Q592" s="1" t="s">
        <v>425</v>
      </c>
      <c r="R592" s="1" t="s">
        <v>1469</v>
      </c>
      <c r="S592" s="1" t="s">
        <v>88</v>
      </c>
      <c r="T592" s="1" t="s">
        <v>35</v>
      </c>
      <c r="U592" s="1" t="s">
        <v>82</v>
      </c>
      <c r="V592" s="1" t="s">
        <v>37</v>
      </c>
      <c r="W592">
        <v>2</v>
      </c>
    </row>
    <row r="593" spans="1:23" x14ac:dyDescent="0.3">
      <c r="A593" s="1" t="s">
        <v>1470</v>
      </c>
      <c r="B593">
        <v>1</v>
      </c>
      <c r="C593">
        <v>18.989999999999998</v>
      </c>
      <c r="D593">
        <v>18.989999999999998</v>
      </c>
      <c r="E593" s="1" t="s">
        <v>1471</v>
      </c>
      <c r="F593" s="1" t="s">
        <v>40</v>
      </c>
      <c r="G593">
        <v>14</v>
      </c>
      <c r="H593" s="1" t="s">
        <v>96</v>
      </c>
      <c r="I593" s="1" t="s">
        <v>97</v>
      </c>
      <c r="J593">
        <v>6</v>
      </c>
      <c r="K593">
        <v>18.989999999999998</v>
      </c>
      <c r="L593" s="1" t="s">
        <v>60</v>
      </c>
      <c r="M593" s="1" t="s">
        <v>43</v>
      </c>
      <c r="N593" s="1" t="s">
        <v>44</v>
      </c>
      <c r="O593" s="1" t="s">
        <v>31</v>
      </c>
      <c r="P593" s="2">
        <v>45823</v>
      </c>
      <c r="Q593" s="1" t="s">
        <v>1234</v>
      </c>
      <c r="R593" s="1" t="s">
        <v>1472</v>
      </c>
      <c r="S593" s="1" t="s">
        <v>54</v>
      </c>
      <c r="T593" s="1" t="s">
        <v>35</v>
      </c>
      <c r="U593" s="1" t="s">
        <v>66</v>
      </c>
      <c r="V593" s="1" t="s">
        <v>100</v>
      </c>
      <c r="W593">
        <v>3.2</v>
      </c>
    </row>
    <row r="594" spans="1:23" x14ac:dyDescent="0.3">
      <c r="A594" s="1" t="s">
        <v>1473</v>
      </c>
      <c r="B594">
        <v>1</v>
      </c>
      <c r="C594">
        <v>16.989999999999998</v>
      </c>
      <c r="D594">
        <v>16.989999999999998</v>
      </c>
      <c r="E594" s="1" t="s">
        <v>900</v>
      </c>
      <c r="F594" s="1" t="s">
        <v>40</v>
      </c>
      <c r="G594">
        <v>16</v>
      </c>
      <c r="H594" s="1" t="s">
        <v>96</v>
      </c>
      <c r="I594" s="1" t="s">
        <v>59</v>
      </c>
      <c r="J594">
        <v>5</v>
      </c>
      <c r="K594">
        <v>16.989999999999998</v>
      </c>
      <c r="L594" s="1" t="s">
        <v>60</v>
      </c>
      <c r="M594" s="1" t="s">
        <v>61</v>
      </c>
      <c r="N594" s="1" t="s">
        <v>62</v>
      </c>
      <c r="O594" s="1" t="s">
        <v>31</v>
      </c>
      <c r="P594" s="2">
        <v>45726</v>
      </c>
      <c r="Q594" s="1" t="s">
        <v>793</v>
      </c>
      <c r="R594" s="1" t="s">
        <v>794</v>
      </c>
      <c r="S594" s="1" t="s">
        <v>34</v>
      </c>
      <c r="T594" s="1" t="s">
        <v>35</v>
      </c>
      <c r="U594" s="1" t="s">
        <v>82</v>
      </c>
      <c r="V594" s="1" t="s">
        <v>67</v>
      </c>
      <c r="W594">
        <v>3</v>
      </c>
    </row>
    <row r="595" spans="1:23" x14ac:dyDescent="0.3">
      <c r="A595" s="1" t="s">
        <v>1474</v>
      </c>
      <c r="B595">
        <v>1</v>
      </c>
      <c r="C595">
        <v>30.99</v>
      </c>
      <c r="D595">
        <v>30.99</v>
      </c>
      <c r="E595" s="1" t="s">
        <v>445</v>
      </c>
      <c r="F595" s="1" t="s">
        <v>40</v>
      </c>
      <c r="G595">
        <v>3</v>
      </c>
      <c r="H595" s="1" t="s">
        <v>41</v>
      </c>
      <c r="I595" s="1" t="s">
        <v>42</v>
      </c>
      <c r="J595">
        <v>10.5</v>
      </c>
      <c r="K595">
        <v>30.99</v>
      </c>
      <c r="L595" s="1" t="s">
        <v>28</v>
      </c>
      <c r="M595" s="1" t="s">
        <v>43</v>
      </c>
      <c r="N595" s="1" t="s">
        <v>44</v>
      </c>
      <c r="O595" s="1" t="s">
        <v>31</v>
      </c>
      <c r="P595" s="2">
        <v>45823</v>
      </c>
      <c r="Q595" s="1" t="s">
        <v>1475</v>
      </c>
      <c r="R595" s="1" t="s">
        <v>1476</v>
      </c>
      <c r="S595" s="1" t="s">
        <v>34</v>
      </c>
      <c r="T595" s="1" t="s">
        <v>35</v>
      </c>
      <c r="U595" s="1" t="s">
        <v>36</v>
      </c>
      <c r="V595" s="1" t="s">
        <v>37</v>
      </c>
      <c r="W595">
        <v>2</v>
      </c>
    </row>
    <row r="596" spans="1:23" x14ac:dyDescent="0.3">
      <c r="A596" s="1" t="s">
        <v>1477</v>
      </c>
      <c r="B596">
        <v>1</v>
      </c>
      <c r="C596">
        <v>34.99</v>
      </c>
      <c r="D596">
        <v>34.99</v>
      </c>
      <c r="E596" s="1" t="s">
        <v>1397</v>
      </c>
      <c r="F596" s="1" t="s">
        <v>40</v>
      </c>
      <c r="G596">
        <v>8</v>
      </c>
      <c r="H596" s="1" t="s">
        <v>41</v>
      </c>
      <c r="I596" s="1" t="s">
        <v>85</v>
      </c>
      <c r="J596">
        <v>12.5</v>
      </c>
      <c r="K596">
        <v>34.99</v>
      </c>
      <c r="L596" s="1" t="s">
        <v>60</v>
      </c>
      <c r="M596" s="1" t="s">
        <v>29</v>
      </c>
      <c r="N596" s="1" t="s">
        <v>30</v>
      </c>
      <c r="O596" s="1" t="s">
        <v>31</v>
      </c>
      <c r="P596" s="2">
        <v>45778</v>
      </c>
      <c r="Q596" s="1" t="s">
        <v>817</v>
      </c>
      <c r="R596" s="1" t="s">
        <v>1478</v>
      </c>
      <c r="S596" s="1" t="s">
        <v>65</v>
      </c>
      <c r="T596" s="1" t="s">
        <v>35</v>
      </c>
      <c r="U596" s="1" t="s">
        <v>82</v>
      </c>
      <c r="V596" s="1" t="s">
        <v>89</v>
      </c>
      <c r="W596">
        <v>2.4</v>
      </c>
    </row>
    <row r="597" spans="1:23" x14ac:dyDescent="0.3">
      <c r="A597" s="1" t="s">
        <v>1479</v>
      </c>
      <c r="B597">
        <v>1</v>
      </c>
      <c r="C597">
        <v>34.99</v>
      </c>
      <c r="D597">
        <v>34.99</v>
      </c>
      <c r="E597" s="1" t="s">
        <v>561</v>
      </c>
      <c r="F597" s="1" t="s">
        <v>70</v>
      </c>
      <c r="G597">
        <v>0</v>
      </c>
      <c r="H597" s="1" t="s">
        <v>26</v>
      </c>
      <c r="I597" s="1" t="s">
        <v>85</v>
      </c>
      <c r="J597">
        <v>12.5</v>
      </c>
      <c r="K597">
        <v>34.99</v>
      </c>
      <c r="L597" s="1" t="s">
        <v>60</v>
      </c>
      <c r="M597" s="1" t="s">
        <v>29</v>
      </c>
      <c r="N597" s="1" t="s">
        <v>30</v>
      </c>
      <c r="O597" s="1" t="s">
        <v>31</v>
      </c>
      <c r="P597" s="2">
        <v>45778</v>
      </c>
      <c r="Q597" s="1" t="s">
        <v>1480</v>
      </c>
      <c r="R597" s="1" t="s">
        <v>1481</v>
      </c>
      <c r="S597" s="1" t="s">
        <v>34</v>
      </c>
      <c r="T597" s="1" t="s">
        <v>35</v>
      </c>
      <c r="U597" s="1" t="s">
        <v>66</v>
      </c>
      <c r="V597" s="1" t="s">
        <v>89</v>
      </c>
      <c r="W597">
        <v>2.4</v>
      </c>
    </row>
    <row r="598" spans="1:23" x14ac:dyDescent="0.3">
      <c r="A598" s="1" t="s">
        <v>1482</v>
      </c>
      <c r="B598">
        <v>1</v>
      </c>
      <c r="C598">
        <v>18.989999999999998</v>
      </c>
      <c r="D598">
        <v>18.989999999999998</v>
      </c>
      <c r="E598" s="1" t="s">
        <v>756</v>
      </c>
      <c r="F598" s="1" t="s">
        <v>25</v>
      </c>
      <c r="G598">
        <v>12</v>
      </c>
      <c r="H598" s="1" t="s">
        <v>96</v>
      </c>
      <c r="I598" s="1" t="s">
        <v>97</v>
      </c>
      <c r="J598">
        <v>6</v>
      </c>
      <c r="K598">
        <v>18.989999999999998</v>
      </c>
      <c r="L598" s="1" t="s">
        <v>60</v>
      </c>
      <c r="M598" s="1" t="s">
        <v>43</v>
      </c>
      <c r="N598" s="1" t="s">
        <v>44</v>
      </c>
      <c r="O598" s="1" t="s">
        <v>31</v>
      </c>
      <c r="P598" s="2">
        <v>45823</v>
      </c>
      <c r="Q598" s="1" t="s">
        <v>1483</v>
      </c>
      <c r="R598" s="1" t="s">
        <v>1484</v>
      </c>
      <c r="S598" s="1" t="s">
        <v>54</v>
      </c>
      <c r="T598" s="1" t="s">
        <v>35</v>
      </c>
      <c r="U598" s="1" t="s">
        <v>66</v>
      </c>
      <c r="V598" s="1" t="s">
        <v>100</v>
      </c>
      <c r="W598">
        <v>3.2</v>
      </c>
    </row>
    <row r="599" spans="1:23" x14ac:dyDescent="0.3">
      <c r="A599" s="1" t="s">
        <v>1485</v>
      </c>
      <c r="B599">
        <v>3</v>
      </c>
      <c r="C599">
        <v>34.99</v>
      </c>
      <c r="D599">
        <v>83.12</v>
      </c>
      <c r="E599" s="1" t="s">
        <v>1486</v>
      </c>
      <c r="F599" s="1" t="s">
        <v>70</v>
      </c>
      <c r="G599">
        <v>0</v>
      </c>
      <c r="H599" s="1" t="s">
        <v>26</v>
      </c>
      <c r="I599" s="1" t="s">
        <v>85</v>
      </c>
      <c r="J599">
        <v>12.5</v>
      </c>
      <c r="K599">
        <v>34.99</v>
      </c>
      <c r="L599" s="1" t="s">
        <v>60</v>
      </c>
      <c r="M599" s="1" t="s">
        <v>29</v>
      </c>
      <c r="N599" s="1" t="s">
        <v>30</v>
      </c>
      <c r="O599" s="1" t="s">
        <v>31</v>
      </c>
      <c r="P599" s="2">
        <v>45778</v>
      </c>
      <c r="Q599" s="1" t="s">
        <v>1487</v>
      </c>
      <c r="R599" s="1" t="s">
        <v>1488</v>
      </c>
      <c r="S599" s="1" t="s">
        <v>34</v>
      </c>
      <c r="T599" s="1" t="s">
        <v>35</v>
      </c>
      <c r="U599" s="1" t="s">
        <v>48</v>
      </c>
      <c r="V599" s="1" t="s">
        <v>89</v>
      </c>
      <c r="W599">
        <v>2.4</v>
      </c>
    </row>
    <row r="600" spans="1:23" x14ac:dyDescent="0.3">
      <c r="A600" s="1" t="s">
        <v>1489</v>
      </c>
      <c r="B600">
        <v>1</v>
      </c>
      <c r="C600">
        <v>27.99</v>
      </c>
      <c r="D600">
        <v>27.99</v>
      </c>
      <c r="E600" s="1" t="s">
        <v>727</v>
      </c>
      <c r="F600" s="1" t="s">
        <v>51</v>
      </c>
      <c r="G600">
        <v>0</v>
      </c>
      <c r="H600" s="1" t="s">
        <v>96</v>
      </c>
      <c r="I600" s="1" t="s">
        <v>75</v>
      </c>
      <c r="J600">
        <v>9</v>
      </c>
      <c r="K600">
        <v>27.99</v>
      </c>
      <c r="L600" s="1" t="s">
        <v>28</v>
      </c>
      <c r="M600" s="1" t="s">
        <v>61</v>
      </c>
      <c r="N600" s="1" t="s">
        <v>62</v>
      </c>
      <c r="O600" s="1" t="s">
        <v>31</v>
      </c>
      <c r="P600" s="2">
        <v>45726</v>
      </c>
      <c r="Q600" s="1" t="s">
        <v>990</v>
      </c>
      <c r="R600" s="1" t="s">
        <v>1490</v>
      </c>
      <c r="S600" s="1" t="s">
        <v>88</v>
      </c>
      <c r="T600" s="1" t="s">
        <v>35</v>
      </c>
      <c r="U600" s="1" t="s">
        <v>82</v>
      </c>
      <c r="V600" s="1" t="s">
        <v>37</v>
      </c>
      <c r="W600">
        <v>2</v>
      </c>
    </row>
    <row r="601" spans="1:23" x14ac:dyDescent="0.3">
      <c r="A601" s="1" t="s">
        <v>1491</v>
      </c>
      <c r="B601">
        <v>2</v>
      </c>
      <c r="C601">
        <v>34.99</v>
      </c>
      <c r="D601">
        <v>60.35</v>
      </c>
      <c r="E601" s="1" t="s">
        <v>1492</v>
      </c>
      <c r="F601" s="1" t="s">
        <v>25</v>
      </c>
      <c r="G601">
        <v>6</v>
      </c>
      <c r="H601" s="1" t="s">
        <v>58</v>
      </c>
      <c r="I601" s="1" t="s">
        <v>85</v>
      </c>
      <c r="J601">
        <v>12.5</v>
      </c>
      <c r="K601">
        <v>34.99</v>
      </c>
      <c r="L601" s="1" t="s">
        <v>60</v>
      </c>
      <c r="M601" s="1" t="s">
        <v>29</v>
      </c>
      <c r="N601" s="1" t="s">
        <v>30</v>
      </c>
      <c r="O601" s="1" t="s">
        <v>31</v>
      </c>
      <c r="P601" s="2">
        <v>45778</v>
      </c>
      <c r="Q601" s="1" t="s">
        <v>1021</v>
      </c>
      <c r="R601" s="1" t="s">
        <v>1022</v>
      </c>
      <c r="S601" s="1" t="s">
        <v>54</v>
      </c>
      <c r="T601" s="1" t="s">
        <v>35</v>
      </c>
      <c r="U601" s="1" t="s">
        <v>82</v>
      </c>
      <c r="V601" s="1" t="s">
        <v>89</v>
      </c>
      <c r="W601">
        <v>2.4</v>
      </c>
    </row>
    <row r="602" spans="1:23" x14ac:dyDescent="0.3">
      <c r="A602" s="1" t="s">
        <v>1493</v>
      </c>
      <c r="B602">
        <v>1</v>
      </c>
      <c r="C602">
        <v>16.989999999999998</v>
      </c>
      <c r="D602">
        <v>16.989999999999998</v>
      </c>
      <c r="E602" s="1" t="s">
        <v>1100</v>
      </c>
      <c r="F602" s="1" t="s">
        <v>40</v>
      </c>
      <c r="G602">
        <v>18</v>
      </c>
      <c r="H602" s="1" t="s">
        <v>41</v>
      </c>
      <c r="I602" s="1" t="s">
        <v>59</v>
      </c>
      <c r="J602">
        <v>5</v>
      </c>
      <c r="K602">
        <v>16.989999999999998</v>
      </c>
      <c r="L602" s="1" t="s">
        <v>60</v>
      </c>
      <c r="M602" s="1" t="s">
        <v>61</v>
      </c>
      <c r="N602" s="1" t="s">
        <v>62</v>
      </c>
      <c r="O602" s="1" t="s">
        <v>31</v>
      </c>
      <c r="P602" s="2">
        <v>45726</v>
      </c>
      <c r="Q602" s="1" t="s">
        <v>1494</v>
      </c>
      <c r="R602" s="1" t="s">
        <v>1495</v>
      </c>
      <c r="S602" s="1" t="s">
        <v>65</v>
      </c>
      <c r="T602" s="1" t="s">
        <v>35</v>
      </c>
      <c r="U602" s="1" t="s">
        <v>48</v>
      </c>
      <c r="V602" s="1" t="s">
        <v>67</v>
      </c>
      <c r="W602">
        <v>3</v>
      </c>
    </row>
    <row r="603" spans="1:23" x14ac:dyDescent="0.3">
      <c r="A603" s="1" t="s">
        <v>1496</v>
      </c>
      <c r="B603">
        <v>1</v>
      </c>
      <c r="C603">
        <v>21.99</v>
      </c>
      <c r="D603">
        <v>21.99</v>
      </c>
      <c r="E603" s="1" t="s">
        <v>982</v>
      </c>
      <c r="F603" s="1" t="s">
        <v>40</v>
      </c>
      <c r="G603">
        <v>3</v>
      </c>
      <c r="H603" s="1" t="s">
        <v>26</v>
      </c>
      <c r="I603" s="1" t="s">
        <v>27</v>
      </c>
      <c r="J603">
        <v>7</v>
      </c>
      <c r="K603">
        <v>21.99</v>
      </c>
      <c r="L603" s="1" t="s">
        <v>28</v>
      </c>
      <c r="M603" s="1" t="s">
        <v>29</v>
      </c>
      <c r="N603" s="1" t="s">
        <v>30</v>
      </c>
      <c r="O603" s="1" t="s">
        <v>31</v>
      </c>
      <c r="P603" s="2">
        <v>45778</v>
      </c>
      <c r="Q603" s="1" t="s">
        <v>1497</v>
      </c>
      <c r="R603" s="1" t="s">
        <v>1498</v>
      </c>
      <c r="S603" s="1" t="s">
        <v>34</v>
      </c>
      <c r="T603" s="1" t="s">
        <v>35</v>
      </c>
      <c r="U603" s="1" t="s">
        <v>55</v>
      </c>
      <c r="V603" s="1" t="s">
        <v>37</v>
      </c>
      <c r="W603">
        <v>2</v>
      </c>
    </row>
    <row r="604" spans="1:23" x14ac:dyDescent="0.3">
      <c r="A604" s="1" t="s">
        <v>1499</v>
      </c>
      <c r="B604">
        <v>2</v>
      </c>
      <c r="C604">
        <v>18.989999999999998</v>
      </c>
      <c r="D604">
        <v>33.119999999999997</v>
      </c>
      <c r="E604" s="1" t="s">
        <v>143</v>
      </c>
      <c r="F604" s="1" t="s">
        <v>40</v>
      </c>
      <c r="G604">
        <v>18</v>
      </c>
      <c r="H604" s="1" t="s">
        <v>41</v>
      </c>
      <c r="I604" s="1" t="s">
        <v>97</v>
      </c>
      <c r="J604">
        <v>6</v>
      </c>
      <c r="K604">
        <v>18.989999999999998</v>
      </c>
      <c r="L604" s="1" t="s">
        <v>60</v>
      </c>
      <c r="M604" s="1" t="s">
        <v>43</v>
      </c>
      <c r="N604" s="1" t="s">
        <v>44</v>
      </c>
      <c r="O604" s="1" t="s">
        <v>31</v>
      </c>
      <c r="P604" s="2">
        <v>45823</v>
      </c>
      <c r="Q604" s="1" t="s">
        <v>1500</v>
      </c>
      <c r="R604" s="1" t="s">
        <v>1501</v>
      </c>
      <c r="S604" s="1" t="s">
        <v>54</v>
      </c>
      <c r="T604" s="1" t="s">
        <v>35</v>
      </c>
      <c r="U604" s="1" t="s">
        <v>55</v>
      </c>
      <c r="V604" s="1" t="s">
        <v>100</v>
      </c>
      <c r="W604">
        <v>3.2</v>
      </c>
    </row>
    <row r="605" spans="1:23" x14ac:dyDescent="0.3">
      <c r="A605" s="1" t="s">
        <v>1502</v>
      </c>
      <c r="B605">
        <v>1</v>
      </c>
      <c r="C605">
        <v>27.99</v>
      </c>
      <c r="D605">
        <v>27.99</v>
      </c>
      <c r="E605" s="1" t="s">
        <v>1503</v>
      </c>
      <c r="F605" s="1" t="s">
        <v>40</v>
      </c>
      <c r="G605">
        <v>3</v>
      </c>
      <c r="H605" s="1" t="s">
        <v>26</v>
      </c>
      <c r="I605" s="1" t="s">
        <v>75</v>
      </c>
      <c r="J605">
        <v>9</v>
      </c>
      <c r="K605">
        <v>27.99</v>
      </c>
      <c r="L605" s="1" t="s">
        <v>28</v>
      </c>
      <c r="M605" s="1" t="s">
        <v>61</v>
      </c>
      <c r="N605" s="1" t="s">
        <v>62</v>
      </c>
      <c r="O605" s="1" t="s">
        <v>31</v>
      </c>
      <c r="P605" s="2">
        <v>45726</v>
      </c>
      <c r="Q605" s="1" t="s">
        <v>842</v>
      </c>
      <c r="R605" s="1" t="s">
        <v>1504</v>
      </c>
      <c r="S605" s="1" t="s">
        <v>47</v>
      </c>
      <c r="T605" s="1" t="s">
        <v>35</v>
      </c>
      <c r="U605" s="1" t="s">
        <v>66</v>
      </c>
      <c r="V605" s="1" t="s">
        <v>37</v>
      </c>
      <c r="W605">
        <v>2</v>
      </c>
    </row>
    <row r="606" spans="1:23" x14ac:dyDescent="0.3">
      <c r="A606" s="1" t="s">
        <v>1505</v>
      </c>
      <c r="B606">
        <v>1</v>
      </c>
      <c r="C606">
        <v>34.99</v>
      </c>
      <c r="D606">
        <v>34.99</v>
      </c>
      <c r="E606" s="1" t="s">
        <v>1299</v>
      </c>
      <c r="F606" s="1" t="s">
        <v>40</v>
      </c>
      <c r="G606">
        <v>8</v>
      </c>
      <c r="H606" s="1" t="s">
        <v>58</v>
      </c>
      <c r="I606" s="1" t="s">
        <v>85</v>
      </c>
      <c r="J606">
        <v>12.5</v>
      </c>
      <c r="K606">
        <v>34.99</v>
      </c>
      <c r="L606" s="1" t="s">
        <v>60</v>
      </c>
      <c r="M606" s="1" t="s">
        <v>29</v>
      </c>
      <c r="N606" s="1" t="s">
        <v>30</v>
      </c>
      <c r="O606" s="1" t="s">
        <v>31</v>
      </c>
      <c r="P606" s="2">
        <v>45778</v>
      </c>
      <c r="Q606" s="1" t="s">
        <v>1506</v>
      </c>
      <c r="R606" s="1" t="s">
        <v>1507</v>
      </c>
      <c r="S606" s="1" t="s">
        <v>105</v>
      </c>
      <c r="T606" s="1" t="s">
        <v>35</v>
      </c>
      <c r="U606" s="1" t="s">
        <v>82</v>
      </c>
      <c r="V606" s="1" t="s">
        <v>89</v>
      </c>
      <c r="W606">
        <v>2.4</v>
      </c>
    </row>
    <row r="607" spans="1:23" x14ac:dyDescent="0.3">
      <c r="A607" s="1" t="s">
        <v>1508</v>
      </c>
      <c r="B607">
        <v>1</v>
      </c>
      <c r="C607">
        <v>27.99</v>
      </c>
      <c r="D607">
        <v>27.99</v>
      </c>
      <c r="E607" s="1" t="s">
        <v>1509</v>
      </c>
      <c r="F607" s="1" t="s">
        <v>40</v>
      </c>
      <c r="G607">
        <v>3</v>
      </c>
      <c r="H607" s="1" t="s">
        <v>58</v>
      </c>
      <c r="I607" s="1" t="s">
        <v>75</v>
      </c>
      <c r="J607">
        <v>9</v>
      </c>
      <c r="K607">
        <v>27.99</v>
      </c>
      <c r="L607" s="1" t="s">
        <v>28</v>
      </c>
      <c r="M607" s="1" t="s">
        <v>61</v>
      </c>
      <c r="N607" s="1" t="s">
        <v>62</v>
      </c>
      <c r="O607" s="1" t="s">
        <v>31</v>
      </c>
      <c r="P607" s="2">
        <v>45726</v>
      </c>
      <c r="Q607" s="1" t="s">
        <v>385</v>
      </c>
      <c r="R607" s="1" t="s">
        <v>1510</v>
      </c>
      <c r="S607" s="1" t="s">
        <v>88</v>
      </c>
      <c r="T607" s="1" t="s">
        <v>35</v>
      </c>
      <c r="U607" s="1" t="s">
        <v>48</v>
      </c>
      <c r="V607" s="1" t="s">
        <v>37</v>
      </c>
      <c r="W607">
        <v>2</v>
      </c>
    </row>
    <row r="608" spans="1:23" x14ac:dyDescent="0.3">
      <c r="A608" s="1" t="s">
        <v>1511</v>
      </c>
      <c r="B608">
        <v>1</v>
      </c>
      <c r="C608">
        <v>21.99</v>
      </c>
      <c r="D608">
        <v>21.99</v>
      </c>
      <c r="E608" s="1" t="s">
        <v>1115</v>
      </c>
      <c r="F608" s="1" t="s">
        <v>40</v>
      </c>
      <c r="G608">
        <v>2</v>
      </c>
      <c r="H608" s="1" t="s">
        <v>58</v>
      </c>
      <c r="I608" s="1" t="s">
        <v>27</v>
      </c>
      <c r="J608">
        <v>7</v>
      </c>
      <c r="K608">
        <v>21.99</v>
      </c>
      <c r="L608" s="1" t="s">
        <v>28</v>
      </c>
      <c r="M608" s="1" t="s">
        <v>29</v>
      </c>
      <c r="N608" s="1" t="s">
        <v>30</v>
      </c>
      <c r="O608" s="1" t="s">
        <v>31</v>
      </c>
      <c r="P608" s="2">
        <v>45778</v>
      </c>
      <c r="Q608" s="1" t="s">
        <v>1512</v>
      </c>
      <c r="R608" s="1" t="s">
        <v>1513</v>
      </c>
      <c r="S608" s="1" t="s">
        <v>88</v>
      </c>
      <c r="T608" s="1" t="s">
        <v>35</v>
      </c>
      <c r="U608" s="1" t="s">
        <v>36</v>
      </c>
      <c r="V608" s="1" t="s">
        <v>37</v>
      </c>
      <c r="W608">
        <v>2</v>
      </c>
    </row>
    <row r="609" spans="1:23" x14ac:dyDescent="0.3">
      <c r="A609" s="1" t="s">
        <v>1514</v>
      </c>
      <c r="B609">
        <v>1</v>
      </c>
      <c r="C609">
        <v>27.99</v>
      </c>
      <c r="D609">
        <v>27.99</v>
      </c>
      <c r="E609" s="1" t="s">
        <v>1515</v>
      </c>
      <c r="F609" s="1" t="s">
        <v>40</v>
      </c>
      <c r="G609">
        <v>2</v>
      </c>
      <c r="H609" s="1" t="s">
        <v>58</v>
      </c>
      <c r="I609" s="1" t="s">
        <v>75</v>
      </c>
      <c r="J609">
        <v>9</v>
      </c>
      <c r="K609">
        <v>27.99</v>
      </c>
      <c r="L609" s="1" t="s">
        <v>28</v>
      </c>
      <c r="M609" s="1" t="s">
        <v>61</v>
      </c>
      <c r="N609" s="1" t="s">
        <v>62</v>
      </c>
      <c r="O609" s="1" t="s">
        <v>31</v>
      </c>
      <c r="P609" s="2">
        <v>45726</v>
      </c>
      <c r="Q609" s="1" t="s">
        <v>828</v>
      </c>
      <c r="R609" s="1" t="s">
        <v>829</v>
      </c>
      <c r="S609" s="1" t="s">
        <v>65</v>
      </c>
      <c r="T609" s="1" t="s">
        <v>35</v>
      </c>
      <c r="U609" s="1" t="s">
        <v>48</v>
      </c>
      <c r="V609" s="1" t="s">
        <v>37</v>
      </c>
      <c r="W609">
        <v>2</v>
      </c>
    </row>
    <row r="610" spans="1:23" x14ac:dyDescent="0.3">
      <c r="A610" s="1" t="s">
        <v>1516</v>
      </c>
      <c r="B610">
        <v>3</v>
      </c>
      <c r="C610">
        <v>34.99</v>
      </c>
      <c r="D610">
        <v>82.76</v>
      </c>
      <c r="E610" s="1" t="s">
        <v>1390</v>
      </c>
      <c r="F610" s="1" t="s">
        <v>40</v>
      </c>
      <c r="G610">
        <v>8</v>
      </c>
      <c r="H610" s="1" t="s">
        <v>41</v>
      </c>
      <c r="I610" s="1" t="s">
        <v>85</v>
      </c>
      <c r="J610">
        <v>12.5</v>
      </c>
      <c r="K610">
        <v>34.99</v>
      </c>
      <c r="L610" s="1" t="s">
        <v>60</v>
      </c>
      <c r="M610" s="1" t="s">
        <v>29</v>
      </c>
      <c r="N610" s="1" t="s">
        <v>30</v>
      </c>
      <c r="O610" s="1" t="s">
        <v>31</v>
      </c>
      <c r="P610" s="2">
        <v>45778</v>
      </c>
      <c r="Q610" s="1" t="s">
        <v>768</v>
      </c>
      <c r="R610" s="1" t="s">
        <v>769</v>
      </c>
      <c r="S610" s="1" t="s">
        <v>54</v>
      </c>
      <c r="T610" s="1" t="s">
        <v>35</v>
      </c>
      <c r="U610" s="1" t="s">
        <v>36</v>
      </c>
      <c r="V610" s="1" t="s">
        <v>89</v>
      </c>
      <c r="W610">
        <v>2.4</v>
      </c>
    </row>
    <row r="611" spans="1:23" x14ac:dyDescent="0.3">
      <c r="A611" s="1" t="s">
        <v>1517</v>
      </c>
      <c r="B611">
        <v>1</v>
      </c>
      <c r="C611">
        <v>34.99</v>
      </c>
      <c r="D611">
        <v>34.99</v>
      </c>
      <c r="E611" s="1" t="s">
        <v>1434</v>
      </c>
      <c r="F611" s="1" t="s">
        <v>40</v>
      </c>
      <c r="G611">
        <v>7</v>
      </c>
      <c r="H611" s="1" t="s">
        <v>96</v>
      </c>
      <c r="I611" s="1" t="s">
        <v>85</v>
      </c>
      <c r="J611">
        <v>12.5</v>
      </c>
      <c r="K611">
        <v>34.99</v>
      </c>
      <c r="L611" s="1" t="s">
        <v>60</v>
      </c>
      <c r="M611" s="1" t="s">
        <v>29</v>
      </c>
      <c r="N611" s="1" t="s">
        <v>30</v>
      </c>
      <c r="O611" s="1" t="s">
        <v>31</v>
      </c>
      <c r="P611" s="2">
        <v>45778</v>
      </c>
      <c r="Q611" s="1" t="s">
        <v>975</v>
      </c>
      <c r="R611" s="1" t="s">
        <v>1518</v>
      </c>
      <c r="S611" s="1" t="s">
        <v>105</v>
      </c>
      <c r="T611" s="1" t="s">
        <v>35</v>
      </c>
      <c r="U611" s="1" t="s">
        <v>48</v>
      </c>
      <c r="V611" s="1" t="s">
        <v>89</v>
      </c>
      <c r="W611">
        <v>2.4</v>
      </c>
    </row>
    <row r="612" spans="1:23" x14ac:dyDescent="0.3">
      <c r="A612" s="1" t="s">
        <v>1519</v>
      </c>
      <c r="B612">
        <v>2</v>
      </c>
      <c r="C612">
        <v>18.989999999999998</v>
      </c>
      <c r="D612">
        <v>33.06</v>
      </c>
      <c r="E612" s="1" t="s">
        <v>1086</v>
      </c>
      <c r="F612" s="1" t="s">
        <v>51</v>
      </c>
      <c r="G612">
        <v>0</v>
      </c>
      <c r="H612" s="1" t="s">
        <v>96</v>
      </c>
      <c r="I612" s="1" t="s">
        <v>97</v>
      </c>
      <c r="J612">
        <v>6</v>
      </c>
      <c r="K612">
        <v>18.989999999999998</v>
      </c>
      <c r="L612" s="1" t="s">
        <v>60</v>
      </c>
      <c r="M612" s="1" t="s">
        <v>43</v>
      </c>
      <c r="N612" s="1" t="s">
        <v>44</v>
      </c>
      <c r="O612" s="1" t="s">
        <v>31</v>
      </c>
      <c r="P612" s="2">
        <v>45823</v>
      </c>
      <c r="Q612" s="1" t="s">
        <v>466</v>
      </c>
      <c r="R612" s="1" t="s">
        <v>1520</v>
      </c>
      <c r="S612" s="1" t="s">
        <v>105</v>
      </c>
      <c r="T612" s="1" t="s">
        <v>35</v>
      </c>
      <c r="U612" s="1" t="s">
        <v>48</v>
      </c>
      <c r="V612" s="1" t="s">
        <v>100</v>
      </c>
      <c r="W612">
        <v>3.2</v>
      </c>
    </row>
    <row r="613" spans="1:23" x14ac:dyDescent="0.3">
      <c r="A613" s="1" t="s">
        <v>1521</v>
      </c>
      <c r="B613">
        <v>1</v>
      </c>
      <c r="C613">
        <v>27.99</v>
      </c>
      <c r="D613">
        <v>27.99</v>
      </c>
      <c r="E613" s="1" t="s">
        <v>1340</v>
      </c>
      <c r="F613" s="1" t="s">
        <v>40</v>
      </c>
      <c r="G613">
        <v>2</v>
      </c>
      <c r="H613" s="1" t="s">
        <v>26</v>
      </c>
      <c r="I613" s="1" t="s">
        <v>75</v>
      </c>
      <c r="J613">
        <v>9</v>
      </c>
      <c r="K613">
        <v>27.99</v>
      </c>
      <c r="L613" s="1" t="s">
        <v>28</v>
      </c>
      <c r="M613" s="1" t="s">
        <v>61</v>
      </c>
      <c r="N613" s="1" t="s">
        <v>62</v>
      </c>
      <c r="O613" s="1" t="s">
        <v>31</v>
      </c>
      <c r="P613" s="2">
        <v>45726</v>
      </c>
      <c r="Q613" s="1" t="s">
        <v>738</v>
      </c>
      <c r="R613" s="1" t="s">
        <v>739</v>
      </c>
      <c r="S613" s="1" t="s">
        <v>34</v>
      </c>
      <c r="T613" s="1" t="s">
        <v>35</v>
      </c>
      <c r="U613" s="1" t="s">
        <v>82</v>
      </c>
      <c r="V613" s="1" t="s">
        <v>37</v>
      </c>
      <c r="W613">
        <v>2</v>
      </c>
    </row>
    <row r="614" spans="1:23" x14ac:dyDescent="0.3">
      <c r="A614" s="1" t="s">
        <v>1522</v>
      </c>
      <c r="B614">
        <v>1</v>
      </c>
      <c r="C614">
        <v>16.989999999999998</v>
      </c>
      <c r="D614">
        <v>16.989999999999998</v>
      </c>
      <c r="E614" s="1" t="s">
        <v>39</v>
      </c>
      <c r="F614" s="1" t="s">
        <v>40</v>
      </c>
      <c r="G614">
        <v>20</v>
      </c>
      <c r="H614" s="1" t="s">
        <v>58</v>
      </c>
      <c r="I614" s="1" t="s">
        <v>59</v>
      </c>
      <c r="J614">
        <v>5</v>
      </c>
      <c r="K614">
        <v>16.989999999999998</v>
      </c>
      <c r="L614" s="1" t="s">
        <v>60</v>
      </c>
      <c r="M614" s="1" t="s">
        <v>61</v>
      </c>
      <c r="N614" s="1" t="s">
        <v>62</v>
      </c>
      <c r="O614" s="1" t="s">
        <v>31</v>
      </c>
      <c r="P614" s="2">
        <v>45726</v>
      </c>
      <c r="Q614" s="1" t="s">
        <v>80</v>
      </c>
      <c r="R614" s="1" t="s">
        <v>1244</v>
      </c>
      <c r="S614" s="1" t="s">
        <v>54</v>
      </c>
      <c r="T614" s="1" t="s">
        <v>35</v>
      </c>
      <c r="U614" s="1" t="s">
        <v>82</v>
      </c>
      <c r="V614" s="1" t="s">
        <v>67</v>
      </c>
      <c r="W614">
        <v>3</v>
      </c>
    </row>
    <row r="615" spans="1:23" x14ac:dyDescent="0.3">
      <c r="A615" s="1" t="s">
        <v>1523</v>
      </c>
      <c r="B615">
        <v>1</v>
      </c>
      <c r="C615">
        <v>18.989999999999998</v>
      </c>
      <c r="D615">
        <v>18.989999999999998</v>
      </c>
      <c r="E615" s="1" t="s">
        <v>1170</v>
      </c>
      <c r="F615" s="1" t="s">
        <v>40</v>
      </c>
      <c r="G615">
        <v>12</v>
      </c>
      <c r="H615" s="1" t="s">
        <v>58</v>
      </c>
      <c r="I615" s="1" t="s">
        <v>97</v>
      </c>
      <c r="J615">
        <v>6</v>
      </c>
      <c r="K615">
        <v>18.989999999999998</v>
      </c>
      <c r="L615" s="1" t="s">
        <v>60</v>
      </c>
      <c r="M615" s="1" t="s">
        <v>43</v>
      </c>
      <c r="N615" s="1" t="s">
        <v>44</v>
      </c>
      <c r="O615" s="1" t="s">
        <v>31</v>
      </c>
      <c r="P615" s="2">
        <v>45823</v>
      </c>
      <c r="Q615" s="1" t="s">
        <v>1524</v>
      </c>
      <c r="R615" s="1" t="s">
        <v>1525</v>
      </c>
      <c r="S615" s="1" t="s">
        <v>65</v>
      </c>
      <c r="T615" s="1" t="s">
        <v>35</v>
      </c>
      <c r="U615" s="1" t="s">
        <v>66</v>
      </c>
      <c r="V615" s="1" t="s">
        <v>100</v>
      </c>
      <c r="W615">
        <v>3.2</v>
      </c>
    </row>
    <row r="616" spans="1:23" x14ac:dyDescent="0.3">
      <c r="A616" s="1" t="s">
        <v>1526</v>
      </c>
      <c r="B616">
        <v>2</v>
      </c>
      <c r="C616">
        <v>30.99</v>
      </c>
      <c r="D616">
        <v>53.03</v>
      </c>
      <c r="E616" s="1" t="s">
        <v>1527</v>
      </c>
      <c r="F616" s="1" t="s">
        <v>51</v>
      </c>
      <c r="G616">
        <v>0</v>
      </c>
      <c r="H616" s="1" t="s">
        <v>96</v>
      </c>
      <c r="I616" s="1" t="s">
        <v>42</v>
      </c>
      <c r="J616">
        <v>10.5</v>
      </c>
      <c r="K616">
        <v>30.99</v>
      </c>
      <c r="L616" s="1" t="s">
        <v>28</v>
      </c>
      <c r="M616" s="1" t="s">
        <v>43</v>
      </c>
      <c r="N616" s="1" t="s">
        <v>44</v>
      </c>
      <c r="O616" s="1" t="s">
        <v>31</v>
      </c>
      <c r="P616" s="2">
        <v>45823</v>
      </c>
      <c r="Q616" s="1" t="s">
        <v>206</v>
      </c>
      <c r="R616" s="1" t="s">
        <v>1528</v>
      </c>
      <c r="S616" s="1" t="s">
        <v>88</v>
      </c>
      <c r="T616" s="1" t="s">
        <v>35</v>
      </c>
      <c r="U616" s="1" t="s">
        <v>36</v>
      </c>
      <c r="V616" s="1" t="s">
        <v>37</v>
      </c>
      <c r="W616">
        <v>2</v>
      </c>
    </row>
    <row r="617" spans="1:23" x14ac:dyDescent="0.3">
      <c r="A617" s="1" t="s">
        <v>1529</v>
      </c>
      <c r="B617">
        <v>1</v>
      </c>
      <c r="C617">
        <v>30.99</v>
      </c>
      <c r="D617">
        <v>30.99</v>
      </c>
      <c r="E617" s="1" t="s">
        <v>1530</v>
      </c>
      <c r="F617" s="1" t="s">
        <v>40</v>
      </c>
      <c r="G617">
        <v>4</v>
      </c>
      <c r="H617" s="1" t="s">
        <v>96</v>
      </c>
      <c r="I617" s="1" t="s">
        <v>42</v>
      </c>
      <c r="J617">
        <v>10.5</v>
      </c>
      <c r="K617">
        <v>30.99</v>
      </c>
      <c r="L617" s="1" t="s">
        <v>28</v>
      </c>
      <c r="M617" s="1" t="s">
        <v>43</v>
      </c>
      <c r="N617" s="1" t="s">
        <v>44</v>
      </c>
      <c r="O617" s="1" t="s">
        <v>31</v>
      </c>
      <c r="P617" s="2">
        <v>45823</v>
      </c>
      <c r="Q617" s="1" t="s">
        <v>896</v>
      </c>
      <c r="R617" s="1" t="s">
        <v>897</v>
      </c>
      <c r="S617" s="1" t="s">
        <v>105</v>
      </c>
      <c r="T617" s="1" t="s">
        <v>35</v>
      </c>
      <c r="U617" s="1" t="s">
        <v>55</v>
      </c>
      <c r="V617" s="1" t="s">
        <v>37</v>
      </c>
      <c r="W617">
        <v>2</v>
      </c>
    </row>
    <row r="618" spans="1:23" x14ac:dyDescent="0.3">
      <c r="A618" s="1" t="s">
        <v>1531</v>
      </c>
      <c r="B618">
        <v>1</v>
      </c>
      <c r="C618">
        <v>16.989999999999998</v>
      </c>
      <c r="D618">
        <v>16.989999999999998</v>
      </c>
      <c r="E618" s="1" t="s">
        <v>146</v>
      </c>
      <c r="F618" s="1" t="s">
        <v>51</v>
      </c>
      <c r="G618">
        <v>0</v>
      </c>
      <c r="H618" s="1" t="s">
        <v>96</v>
      </c>
      <c r="I618" s="1" t="s">
        <v>59</v>
      </c>
      <c r="J618">
        <v>5</v>
      </c>
      <c r="K618">
        <v>16.989999999999998</v>
      </c>
      <c r="L618" s="1" t="s">
        <v>60</v>
      </c>
      <c r="M618" s="1" t="s">
        <v>61</v>
      </c>
      <c r="N618" s="1" t="s">
        <v>62</v>
      </c>
      <c r="O618" s="1" t="s">
        <v>31</v>
      </c>
      <c r="P618" s="2">
        <v>45726</v>
      </c>
      <c r="Q618" s="1" t="s">
        <v>420</v>
      </c>
      <c r="R618" s="1" t="s">
        <v>1131</v>
      </c>
      <c r="S618" s="1" t="s">
        <v>54</v>
      </c>
      <c r="T618" s="1" t="s">
        <v>35</v>
      </c>
      <c r="U618" s="1" t="s">
        <v>55</v>
      </c>
      <c r="V618" s="1" t="s">
        <v>67</v>
      </c>
      <c r="W618">
        <v>3</v>
      </c>
    </row>
    <row r="619" spans="1:23" x14ac:dyDescent="0.3">
      <c r="A619" s="1" t="s">
        <v>1532</v>
      </c>
      <c r="B619">
        <v>2</v>
      </c>
      <c r="C619">
        <v>21.99</v>
      </c>
      <c r="D619">
        <v>38.07</v>
      </c>
      <c r="E619" s="1" t="s">
        <v>1390</v>
      </c>
      <c r="F619" s="1" t="s">
        <v>40</v>
      </c>
      <c r="G619">
        <v>3</v>
      </c>
      <c r="H619" s="1" t="s">
        <v>58</v>
      </c>
      <c r="I619" s="1" t="s">
        <v>27</v>
      </c>
      <c r="J619">
        <v>7</v>
      </c>
      <c r="K619">
        <v>21.99</v>
      </c>
      <c r="L619" s="1" t="s">
        <v>28</v>
      </c>
      <c r="M619" s="1" t="s">
        <v>29</v>
      </c>
      <c r="N619" s="1" t="s">
        <v>30</v>
      </c>
      <c r="O619" s="1" t="s">
        <v>31</v>
      </c>
      <c r="P619" s="2">
        <v>45778</v>
      </c>
      <c r="Q619" s="1" t="s">
        <v>1533</v>
      </c>
      <c r="R619" s="1" t="s">
        <v>1534</v>
      </c>
      <c r="S619" s="1" t="s">
        <v>47</v>
      </c>
      <c r="T619" s="1" t="s">
        <v>35</v>
      </c>
      <c r="U619" s="1" t="s">
        <v>48</v>
      </c>
      <c r="V619" s="1" t="s">
        <v>37</v>
      </c>
      <c r="W619">
        <v>2</v>
      </c>
    </row>
    <row r="620" spans="1:23" x14ac:dyDescent="0.3">
      <c r="A620" s="1" t="s">
        <v>1535</v>
      </c>
      <c r="B620">
        <v>3</v>
      </c>
      <c r="C620">
        <v>16.989999999999998</v>
      </c>
      <c r="D620">
        <v>40.67</v>
      </c>
      <c r="E620" s="1" t="s">
        <v>445</v>
      </c>
      <c r="F620" s="1" t="s">
        <v>70</v>
      </c>
      <c r="G620">
        <v>0</v>
      </c>
      <c r="H620" s="1" t="s">
        <v>26</v>
      </c>
      <c r="I620" s="1" t="s">
        <v>59</v>
      </c>
      <c r="J620">
        <v>5</v>
      </c>
      <c r="K620">
        <v>16.989999999999998</v>
      </c>
      <c r="L620" s="1" t="s">
        <v>60</v>
      </c>
      <c r="M620" s="1" t="s">
        <v>61</v>
      </c>
      <c r="N620" s="1" t="s">
        <v>62</v>
      </c>
      <c r="O620" s="1" t="s">
        <v>31</v>
      </c>
      <c r="P620" s="2">
        <v>45726</v>
      </c>
      <c r="Q620" s="1" t="s">
        <v>1417</v>
      </c>
      <c r="R620" s="1" t="s">
        <v>1418</v>
      </c>
      <c r="S620" s="1" t="s">
        <v>65</v>
      </c>
      <c r="T620" s="1" t="s">
        <v>35</v>
      </c>
      <c r="U620" s="1" t="s">
        <v>55</v>
      </c>
      <c r="V620" s="1" t="s">
        <v>67</v>
      </c>
      <c r="W620">
        <v>3</v>
      </c>
    </row>
    <row r="621" spans="1:23" x14ac:dyDescent="0.3">
      <c r="A621" s="1" t="s">
        <v>1536</v>
      </c>
      <c r="B621">
        <v>1</v>
      </c>
      <c r="C621">
        <v>34.99</v>
      </c>
      <c r="D621">
        <v>34.99</v>
      </c>
      <c r="E621" s="1" t="s">
        <v>136</v>
      </c>
      <c r="F621" s="1" t="s">
        <v>40</v>
      </c>
      <c r="G621">
        <v>6</v>
      </c>
      <c r="H621" s="1" t="s">
        <v>41</v>
      </c>
      <c r="I621" s="1" t="s">
        <v>85</v>
      </c>
      <c r="J621">
        <v>12.5</v>
      </c>
      <c r="K621">
        <v>34.99</v>
      </c>
      <c r="L621" s="1" t="s">
        <v>60</v>
      </c>
      <c r="M621" s="1" t="s">
        <v>29</v>
      </c>
      <c r="N621" s="1" t="s">
        <v>30</v>
      </c>
      <c r="O621" s="1" t="s">
        <v>31</v>
      </c>
      <c r="P621" s="2">
        <v>45778</v>
      </c>
      <c r="Q621" s="1" t="s">
        <v>1211</v>
      </c>
      <c r="R621" s="1" t="s">
        <v>1212</v>
      </c>
      <c r="S621" s="1" t="s">
        <v>34</v>
      </c>
      <c r="T621" s="1" t="s">
        <v>35</v>
      </c>
      <c r="U621" s="1" t="s">
        <v>66</v>
      </c>
      <c r="V621" s="1" t="s">
        <v>89</v>
      </c>
      <c r="W621">
        <v>2.4</v>
      </c>
    </row>
    <row r="622" spans="1:23" x14ac:dyDescent="0.3">
      <c r="A622" s="1" t="s">
        <v>1537</v>
      </c>
      <c r="B622">
        <v>1</v>
      </c>
      <c r="C622">
        <v>21.99</v>
      </c>
      <c r="D622">
        <v>21.99</v>
      </c>
      <c r="E622" s="1" t="s">
        <v>1538</v>
      </c>
      <c r="F622" s="1" t="s">
        <v>70</v>
      </c>
      <c r="G622">
        <v>0</v>
      </c>
      <c r="H622" s="1" t="s">
        <v>41</v>
      </c>
      <c r="I622" s="1" t="s">
        <v>27</v>
      </c>
      <c r="J622">
        <v>7</v>
      </c>
      <c r="K622">
        <v>21.99</v>
      </c>
      <c r="L622" s="1" t="s">
        <v>28</v>
      </c>
      <c r="M622" s="1" t="s">
        <v>29</v>
      </c>
      <c r="N622" s="1" t="s">
        <v>30</v>
      </c>
      <c r="O622" s="1" t="s">
        <v>31</v>
      </c>
      <c r="P622" s="2">
        <v>45778</v>
      </c>
      <c r="Q622" s="1" t="s">
        <v>1539</v>
      </c>
      <c r="R622" s="1" t="s">
        <v>1540</v>
      </c>
      <c r="S622" s="1" t="s">
        <v>47</v>
      </c>
      <c r="T622" s="1" t="s">
        <v>35</v>
      </c>
      <c r="U622" s="1" t="s">
        <v>36</v>
      </c>
      <c r="V622" s="1" t="s">
        <v>37</v>
      </c>
      <c r="W622">
        <v>2</v>
      </c>
    </row>
    <row r="623" spans="1:23" x14ac:dyDescent="0.3">
      <c r="A623" s="1" t="s">
        <v>1541</v>
      </c>
      <c r="B623">
        <v>2</v>
      </c>
      <c r="C623">
        <v>18.989999999999998</v>
      </c>
      <c r="D623">
        <v>32.92</v>
      </c>
      <c r="E623" s="1" t="s">
        <v>200</v>
      </c>
      <c r="F623" s="1" t="s">
        <v>40</v>
      </c>
      <c r="G623">
        <v>13</v>
      </c>
      <c r="H623" s="1" t="s">
        <v>58</v>
      </c>
      <c r="I623" s="1" t="s">
        <v>97</v>
      </c>
      <c r="J623">
        <v>6</v>
      </c>
      <c r="K623">
        <v>18.989999999999998</v>
      </c>
      <c r="L623" s="1" t="s">
        <v>60</v>
      </c>
      <c r="M623" s="1" t="s">
        <v>43</v>
      </c>
      <c r="N623" s="1" t="s">
        <v>44</v>
      </c>
      <c r="O623" s="1" t="s">
        <v>31</v>
      </c>
      <c r="P623" s="2">
        <v>45823</v>
      </c>
      <c r="Q623" s="1" t="s">
        <v>1003</v>
      </c>
      <c r="R623" s="1" t="s">
        <v>1542</v>
      </c>
      <c r="S623" s="1" t="s">
        <v>54</v>
      </c>
      <c r="T623" s="1" t="s">
        <v>35</v>
      </c>
      <c r="U623" s="1" t="s">
        <v>48</v>
      </c>
      <c r="V623" s="1" t="s">
        <v>100</v>
      </c>
      <c r="W623">
        <v>3.2</v>
      </c>
    </row>
    <row r="624" spans="1:23" x14ac:dyDescent="0.3">
      <c r="A624" s="1" t="s">
        <v>1543</v>
      </c>
      <c r="B624">
        <v>1</v>
      </c>
      <c r="C624">
        <v>18.989999999999998</v>
      </c>
      <c r="D624">
        <v>18.989999999999998</v>
      </c>
      <c r="E624" s="1" t="s">
        <v>338</v>
      </c>
      <c r="F624" s="1" t="s">
        <v>40</v>
      </c>
      <c r="G624">
        <v>11</v>
      </c>
      <c r="H624" s="1" t="s">
        <v>96</v>
      </c>
      <c r="I624" s="1" t="s">
        <v>97</v>
      </c>
      <c r="J624">
        <v>6</v>
      </c>
      <c r="K624">
        <v>18.989999999999998</v>
      </c>
      <c r="L624" s="1" t="s">
        <v>60</v>
      </c>
      <c r="M624" s="1" t="s">
        <v>43</v>
      </c>
      <c r="N624" s="1" t="s">
        <v>44</v>
      </c>
      <c r="O624" s="1" t="s">
        <v>31</v>
      </c>
      <c r="P624" s="2">
        <v>45823</v>
      </c>
      <c r="Q624" s="1" t="s">
        <v>869</v>
      </c>
      <c r="R624" s="1" t="s">
        <v>870</v>
      </c>
      <c r="S624" s="1" t="s">
        <v>88</v>
      </c>
      <c r="T624" s="1" t="s">
        <v>35</v>
      </c>
      <c r="U624" s="1" t="s">
        <v>55</v>
      </c>
      <c r="V624" s="1" t="s">
        <v>100</v>
      </c>
      <c r="W624">
        <v>3.2</v>
      </c>
    </row>
    <row r="625" spans="1:23" x14ac:dyDescent="0.3">
      <c r="A625" s="1" t="s">
        <v>1544</v>
      </c>
      <c r="B625">
        <v>2</v>
      </c>
      <c r="C625">
        <v>30.99</v>
      </c>
      <c r="D625">
        <v>54.21</v>
      </c>
      <c r="E625" s="1" t="s">
        <v>102</v>
      </c>
      <c r="F625" s="1" t="s">
        <v>25</v>
      </c>
      <c r="G625">
        <v>2</v>
      </c>
      <c r="H625" s="1" t="s">
        <v>41</v>
      </c>
      <c r="I625" s="1" t="s">
        <v>42</v>
      </c>
      <c r="J625">
        <v>10.5</v>
      </c>
      <c r="K625">
        <v>30.99</v>
      </c>
      <c r="L625" s="1" t="s">
        <v>28</v>
      </c>
      <c r="M625" s="1" t="s">
        <v>43</v>
      </c>
      <c r="N625" s="1" t="s">
        <v>44</v>
      </c>
      <c r="O625" s="1" t="s">
        <v>31</v>
      </c>
      <c r="P625" s="2">
        <v>45823</v>
      </c>
      <c r="Q625" s="1" t="s">
        <v>1545</v>
      </c>
      <c r="R625" s="1" t="s">
        <v>1546</v>
      </c>
      <c r="S625" s="1" t="s">
        <v>105</v>
      </c>
      <c r="T625" s="1" t="s">
        <v>35</v>
      </c>
      <c r="U625" s="1" t="s">
        <v>48</v>
      </c>
      <c r="V625" s="1" t="s">
        <v>37</v>
      </c>
      <c r="W625">
        <v>2</v>
      </c>
    </row>
    <row r="626" spans="1:23" x14ac:dyDescent="0.3">
      <c r="A626" s="1" t="s">
        <v>1547</v>
      </c>
      <c r="B626">
        <v>1</v>
      </c>
      <c r="C626">
        <v>18.989999999999998</v>
      </c>
      <c r="D626">
        <v>18.989999999999998</v>
      </c>
      <c r="E626" s="1" t="s">
        <v>1548</v>
      </c>
      <c r="F626" s="1" t="s">
        <v>40</v>
      </c>
      <c r="G626">
        <v>12</v>
      </c>
      <c r="H626" s="1" t="s">
        <v>41</v>
      </c>
      <c r="I626" s="1" t="s">
        <v>97</v>
      </c>
      <c r="J626">
        <v>6</v>
      </c>
      <c r="K626">
        <v>18.989999999999998</v>
      </c>
      <c r="L626" s="1" t="s">
        <v>60</v>
      </c>
      <c r="M626" s="1" t="s">
        <v>43</v>
      </c>
      <c r="N626" s="1" t="s">
        <v>44</v>
      </c>
      <c r="O626" s="1" t="s">
        <v>31</v>
      </c>
      <c r="P626" s="2">
        <v>45823</v>
      </c>
      <c r="Q626" s="1" t="s">
        <v>1549</v>
      </c>
      <c r="R626" s="1" t="s">
        <v>1550</v>
      </c>
      <c r="S626" s="1" t="s">
        <v>34</v>
      </c>
      <c r="T626" s="1" t="s">
        <v>35</v>
      </c>
      <c r="U626" s="1" t="s">
        <v>48</v>
      </c>
      <c r="V626" s="1" t="s">
        <v>100</v>
      </c>
      <c r="W626">
        <v>3.2</v>
      </c>
    </row>
    <row r="627" spans="1:23" x14ac:dyDescent="0.3">
      <c r="A627" s="1" t="s">
        <v>1551</v>
      </c>
      <c r="B627">
        <v>1</v>
      </c>
      <c r="C627">
        <v>34.99</v>
      </c>
      <c r="D627">
        <v>34.99</v>
      </c>
      <c r="E627" s="1" t="s">
        <v>1552</v>
      </c>
      <c r="F627" s="1" t="s">
        <v>51</v>
      </c>
      <c r="G627">
        <v>0</v>
      </c>
      <c r="H627" s="1" t="s">
        <v>96</v>
      </c>
      <c r="I627" s="1" t="s">
        <v>85</v>
      </c>
      <c r="J627">
        <v>12.5</v>
      </c>
      <c r="K627">
        <v>34.99</v>
      </c>
      <c r="L627" s="1" t="s">
        <v>60</v>
      </c>
      <c r="M627" s="1" t="s">
        <v>29</v>
      </c>
      <c r="N627" s="1" t="s">
        <v>30</v>
      </c>
      <c r="O627" s="1" t="s">
        <v>31</v>
      </c>
      <c r="P627" s="2">
        <v>45778</v>
      </c>
      <c r="Q627" s="1" t="s">
        <v>1237</v>
      </c>
      <c r="R627" s="1" t="s">
        <v>1553</v>
      </c>
      <c r="S627" s="1" t="s">
        <v>88</v>
      </c>
      <c r="T627" s="1" t="s">
        <v>35</v>
      </c>
      <c r="U627" s="1" t="s">
        <v>82</v>
      </c>
      <c r="V627" s="1" t="s">
        <v>89</v>
      </c>
      <c r="W627">
        <v>2.4</v>
      </c>
    </row>
    <row r="628" spans="1:23" x14ac:dyDescent="0.3">
      <c r="A628" s="1" t="s">
        <v>1554</v>
      </c>
      <c r="B628">
        <v>3</v>
      </c>
      <c r="C628">
        <v>21.99</v>
      </c>
      <c r="D628">
        <v>51.96</v>
      </c>
      <c r="E628" s="1" t="s">
        <v>1443</v>
      </c>
      <c r="F628" s="1" t="s">
        <v>40</v>
      </c>
      <c r="G628">
        <v>3</v>
      </c>
      <c r="H628" s="1" t="s">
        <v>41</v>
      </c>
      <c r="I628" s="1" t="s">
        <v>27</v>
      </c>
      <c r="J628">
        <v>7</v>
      </c>
      <c r="K628">
        <v>21.99</v>
      </c>
      <c r="L628" s="1" t="s">
        <v>28</v>
      </c>
      <c r="M628" s="1" t="s">
        <v>29</v>
      </c>
      <c r="N628" s="1" t="s">
        <v>30</v>
      </c>
      <c r="O628" s="1" t="s">
        <v>31</v>
      </c>
      <c r="P628" s="2">
        <v>45778</v>
      </c>
      <c r="Q628" s="1" t="s">
        <v>1316</v>
      </c>
      <c r="R628" s="1" t="s">
        <v>1317</v>
      </c>
      <c r="S628" s="1" t="s">
        <v>105</v>
      </c>
      <c r="T628" s="1" t="s">
        <v>35</v>
      </c>
      <c r="U628" s="1" t="s">
        <v>66</v>
      </c>
      <c r="V628" s="1" t="s">
        <v>37</v>
      </c>
      <c r="W628">
        <v>2</v>
      </c>
    </row>
    <row r="629" spans="1:23" x14ac:dyDescent="0.3">
      <c r="A629" s="1" t="s">
        <v>1555</v>
      </c>
      <c r="B629">
        <v>1</v>
      </c>
      <c r="C629">
        <v>30.99</v>
      </c>
      <c r="D629">
        <v>30.99</v>
      </c>
      <c r="E629" s="1" t="s">
        <v>1556</v>
      </c>
      <c r="F629" s="1" t="s">
        <v>51</v>
      </c>
      <c r="G629">
        <v>0</v>
      </c>
      <c r="H629" s="1" t="s">
        <v>41</v>
      </c>
      <c r="I629" s="1" t="s">
        <v>42</v>
      </c>
      <c r="J629">
        <v>10.5</v>
      </c>
      <c r="K629">
        <v>30.99</v>
      </c>
      <c r="L629" s="1" t="s">
        <v>28</v>
      </c>
      <c r="M629" s="1" t="s">
        <v>43</v>
      </c>
      <c r="N629" s="1" t="s">
        <v>44</v>
      </c>
      <c r="O629" s="1" t="s">
        <v>31</v>
      </c>
      <c r="P629" s="2">
        <v>45823</v>
      </c>
      <c r="Q629" s="1" t="s">
        <v>1487</v>
      </c>
      <c r="R629" s="1" t="s">
        <v>1557</v>
      </c>
      <c r="S629" s="1" t="s">
        <v>47</v>
      </c>
      <c r="T629" s="1" t="s">
        <v>35</v>
      </c>
      <c r="U629" s="1" t="s">
        <v>82</v>
      </c>
      <c r="V629" s="1" t="s">
        <v>37</v>
      </c>
      <c r="W629">
        <v>2</v>
      </c>
    </row>
    <row r="630" spans="1:23" x14ac:dyDescent="0.3">
      <c r="A630" s="1" t="s">
        <v>1558</v>
      </c>
      <c r="B630">
        <v>1</v>
      </c>
      <c r="C630">
        <v>21.99</v>
      </c>
      <c r="D630">
        <v>21.99</v>
      </c>
      <c r="E630" s="1" t="s">
        <v>1345</v>
      </c>
      <c r="F630" s="1" t="s">
        <v>40</v>
      </c>
      <c r="G630">
        <v>3</v>
      </c>
      <c r="H630" s="1" t="s">
        <v>26</v>
      </c>
      <c r="I630" s="1" t="s">
        <v>27</v>
      </c>
      <c r="J630">
        <v>7</v>
      </c>
      <c r="K630">
        <v>21.99</v>
      </c>
      <c r="L630" s="1" t="s">
        <v>28</v>
      </c>
      <c r="M630" s="1" t="s">
        <v>29</v>
      </c>
      <c r="N630" s="1" t="s">
        <v>30</v>
      </c>
      <c r="O630" s="1" t="s">
        <v>31</v>
      </c>
      <c r="P630" s="2">
        <v>45778</v>
      </c>
      <c r="Q630" s="1" t="s">
        <v>1398</v>
      </c>
      <c r="R630" s="1" t="s">
        <v>1399</v>
      </c>
      <c r="S630" s="1" t="s">
        <v>54</v>
      </c>
      <c r="T630" s="1" t="s">
        <v>35</v>
      </c>
      <c r="U630" s="1" t="s">
        <v>48</v>
      </c>
      <c r="V630" s="1" t="s">
        <v>37</v>
      </c>
      <c r="W630">
        <v>2</v>
      </c>
    </row>
    <row r="631" spans="1:23" x14ac:dyDescent="0.3">
      <c r="A631" s="1" t="s">
        <v>1559</v>
      </c>
      <c r="B631">
        <v>1</v>
      </c>
      <c r="C631">
        <v>18.989999999999998</v>
      </c>
      <c r="D631">
        <v>18.989999999999998</v>
      </c>
      <c r="E631" s="1" t="s">
        <v>160</v>
      </c>
      <c r="F631" s="1" t="s">
        <v>51</v>
      </c>
      <c r="G631">
        <v>0</v>
      </c>
      <c r="H631" s="1" t="s">
        <v>26</v>
      </c>
      <c r="I631" s="1" t="s">
        <v>97</v>
      </c>
      <c r="J631">
        <v>6</v>
      </c>
      <c r="K631">
        <v>18.989999999999998</v>
      </c>
      <c r="L631" s="1" t="s">
        <v>60</v>
      </c>
      <c r="M631" s="1" t="s">
        <v>43</v>
      </c>
      <c r="N631" s="1" t="s">
        <v>44</v>
      </c>
      <c r="O631" s="1" t="s">
        <v>31</v>
      </c>
      <c r="P631" s="2">
        <v>45823</v>
      </c>
      <c r="Q631" s="1" t="s">
        <v>305</v>
      </c>
      <c r="R631" s="1" t="s">
        <v>1560</v>
      </c>
      <c r="S631" s="1" t="s">
        <v>65</v>
      </c>
      <c r="T631" s="1" t="s">
        <v>35</v>
      </c>
      <c r="U631" s="1" t="s">
        <v>55</v>
      </c>
      <c r="V631" s="1" t="s">
        <v>100</v>
      </c>
      <c r="W631">
        <v>3.2</v>
      </c>
    </row>
    <row r="632" spans="1:23" x14ac:dyDescent="0.3">
      <c r="A632" s="1" t="s">
        <v>1561</v>
      </c>
      <c r="B632">
        <v>1</v>
      </c>
      <c r="C632">
        <v>30.99</v>
      </c>
      <c r="D632">
        <v>30.99</v>
      </c>
      <c r="E632" s="1" t="s">
        <v>1562</v>
      </c>
      <c r="F632" s="1" t="s">
        <v>40</v>
      </c>
      <c r="G632">
        <v>3</v>
      </c>
      <c r="H632" s="1" t="s">
        <v>26</v>
      </c>
      <c r="I632" s="1" t="s">
        <v>42</v>
      </c>
      <c r="J632">
        <v>10.5</v>
      </c>
      <c r="K632">
        <v>30.99</v>
      </c>
      <c r="L632" s="1" t="s">
        <v>28</v>
      </c>
      <c r="M632" s="1" t="s">
        <v>43</v>
      </c>
      <c r="N632" s="1" t="s">
        <v>44</v>
      </c>
      <c r="O632" s="1" t="s">
        <v>31</v>
      </c>
      <c r="P632" s="2">
        <v>45823</v>
      </c>
      <c r="Q632" s="1" t="s">
        <v>913</v>
      </c>
      <c r="R632" s="1" t="s">
        <v>914</v>
      </c>
      <c r="S632" s="1" t="s">
        <v>65</v>
      </c>
      <c r="T632" s="1" t="s">
        <v>35</v>
      </c>
      <c r="U632" s="1" t="s">
        <v>48</v>
      </c>
      <c r="V632" s="1" t="s">
        <v>37</v>
      </c>
      <c r="W632">
        <v>2</v>
      </c>
    </row>
    <row r="633" spans="1:23" x14ac:dyDescent="0.3">
      <c r="A633" s="1" t="s">
        <v>1563</v>
      </c>
      <c r="B633">
        <v>1</v>
      </c>
      <c r="C633">
        <v>27.99</v>
      </c>
      <c r="D633">
        <v>27.99</v>
      </c>
      <c r="E633" s="1" t="s">
        <v>968</v>
      </c>
      <c r="F633" s="1" t="s">
        <v>40</v>
      </c>
      <c r="G633">
        <v>3</v>
      </c>
      <c r="H633" s="1" t="s">
        <v>58</v>
      </c>
      <c r="I633" s="1" t="s">
        <v>75</v>
      </c>
      <c r="J633">
        <v>9</v>
      </c>
      <c r="K633">
        <v>27.99</v>
      </c>
      <c r="L633" s="1" t="s">
        <v>28</v>
      </c>
      <c r="M633" s="1" t="s">
        <v>61</v>
      </c>
      <c r="N633" s="1" t="s">
        <v>62</v>
      </c>
      <c r="O633" s="1" t="s">
        <v>31</v>
      </c>
      <c r="P633" s="2">
        <v>45726</v>
      </c>
      <c r="Q633" s="1" t="s">
        <v>1282</v>
      </c>
      <c r="R633" s="1" t="s">
        <v>1283</v>
      </c>
      <c r="S633" s="1" t="s">
        <v>34</v>
      </c>
      <c r="T633" s="1" t="s">
        <v>35</v>
      </c>
      <c r="U633" s="1" t="s">
        <v>66</v>
      </c>
      <c r="V633" s="1" t="s">
        <v>37</v>
      </c>
      <c r="W633">
        <v>2</v>
      </c>
    </row>
    <row r="634" spans="1:23" x14ac:dyDescent="0.3">
      <c r="A634" s="1" t="s">
        <v>1564</v>
      </c>
      <c r="B634">
        <v>3</v>
      </c>
      <c r="C634">
        <v>16.989999999999998</v>
      </c>
      <c r="D634">
        <v>41.04</v>
      </c>
      <c r="E634" s="1" t="s">
        <v>1565</v>
      </c>
      <c r="F634" s="1" t="s">
        <v>40</v>
      </c>
      <c r="G634">
        <v>15</v>
      </c>
      <c r="H634" s="1" t="s">
        <v>58</v>
      </c>
      <c r="I634" s="1" t="s">
        <v>59</v>
      </c>
      <c r="J634">
        <v>5</v>
      </c>
      <c r="K634">
        <v>16.989999999999998</v>
      </c>
      <c r="L634" s="1" t="s">
        <v>60</v>
      </c>
      <c r="M634" s="1" t="s">
        <v>61</v>
      </c>
      <c r="N634" s="1" t="s">
        <v>62</v>
      </c>
      <c r="O634" s="1" t="s">
        <v>31</v>
      </c>
      <c r="P634" s="2">
        <v>45726</v>
      </c>
      <c r="Q634" s="1" t="s">
        <v>1058</v>
      </c>
      <c r="R634" s="1" t="s">
        <v>1059</v>
      </c>
      <c r="S634" s="1" t="s">
        <v>65</v>
      </c>
      <c r="T634" s="1" t="s">
        <v>35</v>
      </c>
      <c r="U634" s="1" t="s">
        <v>82</v>
      </c>
      <c r="V634" s="1" t="s">
        <v>67</v>
      </c>
      <c r="W634">
        <v>3</v>
      </c>
    </row>
    <row r="635" spans="1:23" x14ac:dyDescent="0.3">
      <c r="A635" s="1" t="s">
        <v>1566</v>
      </c>
      <c r="B635">
        <v>1</v>
      </c>
      <c r="C635">
        <v>30.99</v>
      </c>
      <c r="D635">
        <v>30.99</v>
      </c>
      <c r="E635" s="1" t="s">
        <v>1153</v>
      </c>
      <c r="F635" s="1" t="s">
        <v>25</v>
      </c>
      <c r="G635">
        <v>2</v>
      </c>
      <c r="H635" s="1" t="s">
        <v>96</v>
      </c>
      <c r="I635" s="1" t="s">
        <v>42</v>
      </c>
      <c r="J635">
        <v>10.5</v>
      </c>
      <c r="K635">
        <v>30.99</v>
      </c>
      <c r="L635" s="1" t="s">
        <v>28</v>
      </c>
      <c r="M635" s="1" t="s">
        <v>43</v>
      </c>
      <c r="N635" s="1" t="s">
        <v>44</v>
      </c>
      <c r="O635" s="1" t="s">
        <v>31</v>
      </c>
      <c r="P635" s="2">
        <v>45823</v>
      </c>
      <c r="Q635" s="1" t="s">
        <v>1567</v>
      </c>
      <c r="R635" s="1" t="s">
        <v>1568</v>
      </c>
      <c r="S635" s="1" t="s">
        <v>65</v>
      </c>
      <c r="T635" s="1" t="s">
        <v>35</v>
      </c>
      <c r="U635" s="1" t="s">
        <v>55</v>
      </c>
      <c r="V635" s="1" t="s">
        <v>37</v>
      </c>
      <c r="W635">
        <v>2</v>
      </c>
    </row>
    <row r="636" spans="1:23" x14ac:dyDescent="0.3">
      <c r="A636" s="1" t="s">
        <v>1569</v>
      </c>
      <c r="B636">
        <v>3</v>
      </c>
      <c r="C636">
        <v>18.989999999999998</v>
      </c>
      <c r="D636">
        <v>44.74</v>
      </c>
      <c r="E636" s="1" t="s">
        <v>1570</v>
      </c>
      <c r="F636" s="1" t="s">
        <v>40</v>
      </c>
      <c r="G636">
        <v>14</v>
      </c>
      <c r="H636" s="1" t="s">
        <v>41</v>
      </c>
      <c r="I636" s="1" t="s">
        <v>97</v>
      </c>
      <c r="J636">
        <v>6</v>
      </c>
      <c r="K636">
        <v>18.989999999999998</v>
      </c>
      <c r="L636" s="1" t="s">
        <v>60</v>
      </c>
      <c r="M636" s="1" t="s">
        <v>43</v>
      </c>
      <c r="N636" s="1" t="s">
        <v>44</v>
      </c>
      <c r="O636" s="1" t="s">
        <v>31</v>
      </c>
      <c r="P636" s="2">
        <v>45823</v>
      </c>
      <c r="Q636" s="1" t="s">
        <v>1195</v>
      </c>
      <c r="R636" s="1" t="s">
        <v>1196</v>
      </c>
      <c r="S636" s="1" t="s">
        <v>54</v>
      </c>
      <c r="T636" s="1" t="s">
        <v>35</v>
      </c>
      <c r="U636" s="1" t="s">
        <v>66</v>
      </c>
      <c r="V636" s="1" t="s">
        <v>100</v>
      </c>
      <c r="W636">
        <v>3.2</v>
      </c>
    </row>
    <row r="637" spans="1:23" x14ac:dyDescent="0.3">
      <c r="A637" s="1" t="s">
        <v>1571</v>
      </c>
      <c r="B637">
        <v>3</v>
      </c>
      <c r="C637">
        <v>18.989999999999998</v>
      </c>
      <c r="D637">
        <v>45.51</v>
      </c>
      <c r="E637" s="1" t="s">
        <v>1572</v>
      </c>
      <c r="F637" s="1" t="s">
        <v>40</v>
      </c>
      <c r="G637">
        <v>20</v>
      </c>
      <c r="H637" s="1" t="s">
        <v>96</v>
      </c>
      <c r="I637" s="1" t="s">
        <v>97</v>
      </c>
      <c r="J637">
        <v>6</v>
      </c>
      <c r="K637">
        <v>18.989999999999998</v>
      </c>
      <c r="L637" s="1" t="s">
        <v>60</v>
      </c>
      <c r="M637" s="1" t="s">
        <v>43</v>
      </c>
      <c r="N637" s="1" t="s">
        <v>44</v>
      </c>
      <c r="O637" s="1" t="s">
        <v>31</v>
      </c>
      <c r="P637" s="2">
        <v>45823</v>
      </c>
      <c r="Q637" s="1" t="s">
        <v>1494</v>
      </c>
      <c r="R637" s="1" t="s">
        <v>1495</v>
      </c>
      <c r="S637" s="1" t="s">
        <v>65</v>
      </c>
      <c r="T637" s="1" t="s">
        <v>35</v>
      </c>
      <c r="U637" s="1" t="s">
        <v>48</v>
      </c>
      <c r="V637" s="1" t="s">
        <v>100</v>
      </c>
      <c r="W637">
        <v>3.2</v>
      </c>
    </row>
    <row r="638" spans="1:23" x14ac:dyDescent="0.3">
      <c r="A638" s="1" t="s">
        <v>1573</v>
      </c>
      <c r="B638">
        <v>2</v>
      </c>
      <c r="C638">
        <v>16.989999999999998</v>
      </c>
      <c r="D638">
        <v>29.18</v>
      </c>
      <c r="E638" s="1" t="s">
        <v>1574</v>
      </c>
      <c r="F638" s="1" t="s">
        <v>188</v>
      </c>
      <c r="G638">
        <v>0</v>
      </c>
      <c r="H638" s="1" t="s">
        <v>26</v>
      </c>
      <c r="I638" s="1" t="s">
        <v>59</v>
      </c>
      <c r="J638">
        <v>5</v>
      </c>
      <c r="K638">
        <v>16.989999999999998</v>
      </c>
      <c r="L638" s="1" t="s">
        <v>60</v>
      </c>
      <c r="M638" s="1" t="s">
        <v>61</v>
      </c>
      <c r="N638" s="1" t="s">
        <v>62</v>
      </c>
      <c r="O638" s="1" t="s">
        <v>31</v>
      </c>
      <c r="P638" s="2">
        <v>45726</v>
      </c>
      <c r="Q638" s="1" t="s">
        <v>241</v>
      </c>
      <c r="R638" s="1" t="s">
        <v>1575</v>
      </c>
      <c r="S638" s="1" t="s">
        <v>65</v>
      </c>
      <c r="T638" s="1" t="s">
        <v>35</v>
      </c>
      <c r="U638" s="1" t="s">
        <v>82</v>
      </c>
      <c r="V638" s="1" t="s">
        <v>67</v>
      </c>
      <c r="W638">
        <v>3</v>
      </c>
    </row>
    <row r="639" spans="1:23" x14ac:dyDescent="0.3">
      <c r="A639" s="1" t="s">
        <v>1576</v>
      </c>
      <c r="B639">
        <v>1</v>
      </c>
      <c r="C639">
        <v>30.99</v>
      </c>
      <c r="D639">
        <v>30.99</v>
      </c>
      <c r="E639" s="1" t="s">
        <v>1577</v>
      </c>
      <c r="F639" s="1" t="s">
        <v>188</v>
      </c>
      <c r="G639">
        <v>0</v>
      </c>
      <c r="H639" s="1" t="s">
        <v>26</v>
      </c>
      <c r="I639" s="1" t="s">
        <v>42</v>
      </c>
      <c r="J639">
        <v>10.5</v>
      </c>
      <c r="K639">
        <v>30.99</v>
      </c>
      <c r="L639" s="1" t="s">
        <v>28</v>
      </c>
      <c r="M639" s="1" t="s">
        <v>43</v>
      </c>
      <c r="N639" s="1" t="s">
        <v>44</v>
      </c>
      <c r="O639" s="1" t="s">
        <v>31</v>
      </c>
      <c r="P639" s="2">
        <v>45823</v>
      </c>
      <c r="Q639" s="1" t="s">
        <v>593</v>
      </c>
      <c r="R639" s="1" t="s">
        <v>1223</v>
      </c>
      <c r="S639" s="1" t="s">
        <v>88</v>
      </c>
      <c r="T639" s="1" t="s">
        <v>35</v>
      </c>
      <c r="U639" s="1" t="s">
        <v>66</v>
      </c>
      <c r="V639" s="1" t="s">
        <v>37</v>
      </c>
      <c r="W639">
        <v>2</v>
      </c>
    </row>
    <row r="640" spans="1:23" x14ac:dyDescent="0.3">
      <c r="A640" s="1" t="s">
        <v>1578</v>
      </c>
      <c r="B640">
        <v>1</v>
      </c>
      <c r="C640">
        <v>18.989999999999998</v>
      </c>
      <c r="D640">
        <v>18.989999999999998</v>
      </c>
      <c r="E640" s="1" t="s">
        <v>786</v>
      </c>
      <c r="F640" s="1" t="s">
        <v>188</v>
      </c>
      <c r="G640">
        <v>0</v>
      </c>
      <c r="H640" s="1" t="s">
        <v>26</v>
      </c>
      <c r="I640" s="1" t="s">
        <v>97</v>
      </c>
      <c r="J640">
        <v>6</v>
      </c>
      <c r="K640">
        <v>18.989999999999998</v>
      </c>
      <c r="L640" s="1" t="s">
        <v>60</v>
      </c>
      <c r="M640" s="1" t="s">
        <v>43</v>
      </c>
      <c r="N640" s="1" t="s">
        <v>44</v>
      </c>
      <c r="O640" s="1" t="s">
        <v>31</v>
      </c>
      <c r="P640" s="2">
        <v>45823</v>
      </c>
      <c r="Q640" s="1" t="s">
        <v>182</v>
      </c>
      <c r="R640" s="1" t="s">
        <v>1579</v>
      </c>
      <c r="S640" s="1" t="s">
        <v>105</v>
      </c>
      <c r="T640" s="1" t="s">
        <v>35</v>
      </c>
      <c r="U640" s="1" t="s">
        <v>66</v>
      </c>
      <c r="V640" s="1" t="s">
        <v>100</v>
      </c>
      <c r="W640">
        <v>3.2</v>
      </c>
    </row>
    <row r="641" spans="1:23" x14ac:dyDescent="0.3">
      <c r="A641" s="1" t="s">
        <v>1580</v>
      </c>
      <c r="B641">
        <v>2</v>
      </c>
      <c r="C641">
        <v>18.989999999999998</v>
      </c>
      <c r="D641">
        <v>32.71</v>
      </c>
      <c r="E641" s="1" t="s">
        <v>1581</v>
      </c>
      <c r="F641" s="1" t="s">
        <v>40</v>
      </c>
      <c r="G641">
        <v>10</v>
      </c>
      <c r="H641" s="1" t="s">
        <v>58</v>
      </c>
      <c r="I641" s="1" t="s">
        <v>97</v>
      </c>
      <c r="J641">
        <v>6</v>
      </c>
      <c r="K641">
        <v>18.989999999999998</v>
      </c>
      <c r="L641" s="1" t="s">
        <v>60</v>
      </c>
      <c r="M641" s="1" t="s">
        <v>43</v>
      </c>
      <c r="N641" s="1" t="s">
        <v>44</v>
      </c>
      <c r="O641" s="1" t="s">
        <v>31</v>
      </c>
      <c r="P641" s="2">
        <v>45823</v>
      </c>
      <c r="Q641" s="1" t="s">
        <v>140</v>
      </c>
      <c r="R641" s="1" t="s">
        <v>1199</v>
      </c>
      <c r="S641" s="1" t="s">
        <v>65</v>
      </c>
      <c r="T641" s="1" t="s">
        <v>35</v>
      </c>
      <c r="U641" s="1" t="s">
        <v>36</v>
      </c>
      <c r="V641" s="1" t="s">
        <v>100</v>
      </c>
      <c r="W641">
        <v>3.2</v>
      </c>
    </row>
    <row r="642" spans="1:23" x14ac:dyDescent="0.3">
      <c r="A642" s="1" t="s">
        <v>1582</v>
      </c>
      <c r="B642">
        <v>1</v>
      </c>
      <c r="C642">
        <v>21.99</v>
      </c>
      <c r="D642">
        <v>21.99</v>
      </c>
      <c r="E642" s="1" t="s">
        <v>1552</v>
      </c>
      <c r="F642" s="1" t="s">
        <v>40</v>
      </c>
      <c r="G642">
        <v>2</v>
      </c>
      <c r="H642" s="1" t="s">
        <v>41</v>
      </c>
      <c r="I642" s="1" t="s">
        <v>27</v>
      </c>
      <c r="J642">
        <v>7</v>
      </c>
      <c r="K642">
        <v>21.99</v>
      </c>
      <c r="L642" s="1" t="s">
        <v>28</v>
      </c>
      <c r="M642" s="1" t="s">
        <v>29</v>
      </c>
      <c r="N642" s="1" t="s">
        <v>30</v>
      </c>
      <c r="O642" s="1" t="s">
        <v>31</v>
      </c>
      <c r="P642" s="2">
        <v>45778</v>
      </c>
      <c r="Q642" s="1" t="s">
        <v>409</v>
      </c>
      <c r="R642" s="1" t="s">
        <v>1583</v>
      </c>
      <c r="S642" s="1" t="s">
        <v>105</v>
      </c>
      <c r="T642" s="1" t="s">
        <v>35</v>
      </c>
      <c r="U642" s="1" t="s">
        <v>48</v>
      </c>
      <c r="V642" s="1" t="s">
        <v>37</v>
      </c>
      <c r="W642">
        <v>2</v>
      </c>
    </row>
    <row r="643" spans="1:23" x14ac:dyDescent="0.3">
      <c r="A643" s="1" t="s">
        <v>1584</v>
      </c>
      <c r="B643">
        <v>3</v>
      </c>
      <c r="C643">
        <v>16.989999999999998</v>
      </c>
      <c r="D643">
        <v>40.15</v>
      </c>
      <c r="E643" s="1" t="s">
        <v>1198</v>
      </c>
      <c r="F643" s="1" t="s">
        <v>40</v>
      </c>
      <c r="G643">
        <v>19</v>
      </c>
      <c r="H643" s="1" t="s">
        <v>41</v>
      </c>
      <c r="I643" s="1" t="s">
        <v>59</v>
      </c>
      <c r="J643">
        <v>5</v>
      </c>
      <c r="K643">
        <v>16.989999999999998</v>
      </c>
      <c r="L643" s="1" t="s">
        <v>60</v>
      </c>
      <c r="M643" s="1" t="s">
        <v>61</v>
      </c>
      <c r="N643" s="1" t="s">
        <v>62</v>
      </c>
      <c r="O643" s="1" t="s">
        <v>31</v>
      </c>
      <c r="P643" s="2">
        <v>45726</v>
      </c>
      <c r="Q643" s="1" t="s">
        <v>732</v>
      </c>
      <c r="R643" s="1" t="s">
        <v>733</v>
      </c>
      <c r="S643" s="1" t="s">
        <v>65</v>
      </c>
      <c r="T643" s="1" t="s">
        <v>35</v>
      </c>
      <c r="U643" s="1" t="s">
        <v>48</v>
      </c>
      <c r="V643" s="1" t="s">
        <v>67</v>
      </c>
      <c r="W643">
        <v>3</v>
      </c>
    </row>
    <row r="644" spans="1:23" x14ac:dyDescent="0.3">
      <c r="A644" s="1" t="s">
        <v>1585</v>
      </c>
      <c r="B644">
        <v>3</v>
      </c>
      <c r="C644">
        <v>30.99</v>
      </c>
      <c r="D644">
        <v>73.5</v>
      </c>
      <c r="E644" s="1" t="s">
        <v>1002</v>
      </c>
      <c r="F644" s="1" t="s">
        <v>40</v>
      </c>
      <c r="G644">
        <v>2</v>
      </c>
      <c r="H644" s="1" t="s">
        <v>58</v>
      </c>
      <c r="I644" s="1" t="s">
        <v>42</v>
      </c>
      <c r="J644">
        <v>10.5</v>
      </c>
      <c r="K644">
        <v>30.99</v>
      </c>
      <c r="L644" s="1" t="s">
        <v>28</v>
      </c>
      <c r="M644" s="1" t="s">
        <v>43</v>
      </c>
      <c r="N644" s="1" t="s">
        <v>44</v>
      </c>
      <c r="O644" s="1" t="s">
        <v>31</v>
      </c>
      <c r="P644" s="2">
        <v>45823</v>
      </c>
      <c r="Q644" s="1" t="s">
        <v>1144</v>
      </c>
      <c r="R644" s="1" t="s">
        <v>1145</v>
      </c>
      <c r="S644" s="1" t="s">
        <v>105</v>
      </c>
      <c r="T644" s="1" t="s">
        <v>35</v>
      </c>
      <c r="U644" s="1" t="s">
        <v>36</v>
      </c>
      <c r="V644" s="1" t="s">
        <v>37</v>
      </c>
      <c r="W644">
        <v>2</v>
      </c>
    </row>
    <row r="645" spans="1:23" x14ac:dyDescent="0.3">
      <c r="A645" s="1" t="s">
        <v>1586</v>
      </c>
      <c r="B645">
        <v>1</v>
      </c>
      <c r="C645">
        <v>21.99</v>
      </c>
      <c r="D645">
        <v>21.99</v>
      </c>
      <c r="E645" s="1" t="s">
        <v>334</v>
      </c>
      <c r="F645" s="1" t="s">
        <v>40</v>
      </c>
      <c r="G645">
        <v>2</v>
      </c>
      <c r="H645" s="1" t="s">
        <v>26</v>
      </c>
      <c r="I645" s="1" t="s">
        <v>27</v>
      </c>
      <c r="J645">
        <v>7</v>
      </c>
      <c r="K645">
        <v>21.99</v>
      </c>
      <c r="L645" s="1" t="s">
        <v>28</v>
      </c>
      <c r="M645" s="1" t="s">
        <v>29</v>
      </c>
      <c r="N645" s="1" t="s">
        <v>30</v>
      </c>
      <c r="O645" s="1" t="s">
        <v>31</v>
      </c>
      <c r="P645" s="2">
        <v>45778</v>
      </c>
      <c r="Q645" s="1" t="s">
        <v>1140</v>
      </c>
      <c r="R645" s="1" t="s">
        <v>1141</v>
      </c>
      <c r="S645" s="1" t="s">
        <v>34</v>
      </c>
      <c r="T645" s="1" t="s">
        <v>35</v>
      </c>
      <c r="U645" s="1" t="s">
        <v>36</v>
      </c>
      <c r="V645" s="1" t="s">
        <v>37</v>
      </c>
      <c r="W645">
        <v>2</v>
      </c>
    </row>
    <row r="646" spans="1:23" x14ac:dyDescent="0.3">
      <c r="A646" s="1" t="s">
        <v>1587</v>
      </c>
      <c r="B646">
        <v>1</v>
      </c>
      <c r="C646">
        <v>21.99</v>
      </c>
      <c r="D646">
        <v>21.99</v>
      </c>
      <c r="E646" s="1" t="s">
        <v>1588</v>
      </c>
      <c r="F646" s="1" t="s">
        <v>51</v>
      </c>
      <c r="G646">
        <v>0</v>
      </c>
      <c r="H646" s="1" t="s">
        <v>26</v>
      </c>
      <c r="I646" s="1" t="s">
        <v>27</v>
      </c>
      <c r="J646">
        <v>7</v>
      </c>
      <c r="K646">
        <v>21.99</v>
      </c>
      <c r="L646" s="1" t="s">
        <v>28</v>
      </c>
      <c r="M646" s="1" t="s">
        <v>29</v>
      </c>
      <c r="N646" s="1" t="s">
        <v>30</v>
      </c>
      <c r="O646" s="1" t="s">
        <v>31</v>
      </c>
      <c r="P646" s="2">
        <v>45778</v>
      </c>
      <c r="Q646" s="1" t="s">
        <v>385</v>
      </c>
      <c r="R646" s="1" t="s">
        <v>1510</v>
      </c>
      <c r="S646" s="1" t="s">
        <v>88</v>
      </c>
      <c r="T646" s="1" t="s">
        <v>35</v>
      </c>
      <c r="U646" s="1" t="s">
        <v>48</v>
      </c>
      <c r="V646" s="1" t="s">
        <v>37</v>
      </c>
      <c r="W646">
        <v>2</v>
      </c>
    </row>
    <row r="647" spans="1:23" x14ac:dyDescent="0.3">
      <c r="A647" s="1" t="s">
        <v>1589</v>
      </c>
      <c r="B647">
        <v>1</v>
      </c>
      <c r="C647">
        <v>34.99</v>
      </c>
      <c r="D647">
        <v>34.99</v>
      </c>
      <c r="E647" s="1" t="s">
        <v>1590</v>
      </c>
      <c r="F647" s="1" t="s">
        <v>40</v>
      </c>
      <c r="G647">
        <v>7</v>
      </c>
      <c r="H647" s="1" t="s">
        <v>96</v>
      </c>
      <c r="I647" s="1" t="s">
        <v>85</v>
      </c>
      <c r="J647">
        <v>12.5</v>
      </c>
      <c r="K647">
        <v>34.99</v>
      </c>
      <c r="L647" s="1" t="s">
        <v>60</v>
      </c>
      <c r="M647" s="1" t="s">
        <v>29</v>
      </c>
      <c r="N647" s="1" t="s">
        <v>30</v>
      </c>
      <c r="O647" s="1" t="s">
        <v>31</v>
      </c>
      <c r="P647" s="2">
        <v>45778</v>
      </c>
      <c r="Q647" s="1" t="s">
        <v>1253</v>
      </c>
      <c r="R647" s="1" t="s">
        <v>1254</v>
      </c>
      <c r="S647" s="1" t="s">
        <v>105</v>
      </c>
      <c r="T647" s="1" t="s">
        <v>35</v>
      </c>
      <c r="U647" s="1" t="s">
        <v>66</v>
      </c>
      <c r="V647" s="1" t="s">
        <v>89</v>
      </c>
      <c r="W647">
        <v>2.4</v>
      </c>
    </row>
    <row r="648" spans="1:23" x14ac:dyDescent="0.3">
      <c r="A648" s="1" t="s">
        <v>1591</v>
      </c>
      <c r="B648">
        <v>2</v>
      </c>
      <c r="C648">
        <v>30.99</v>
      </c>
      <c r="D648">
        <v>53.45</v>
      </c>
      <c r="E648" s="1" t="s">
        <v>1592</v>
      </c>
      <c r="F648" s="1" t="s">
        <v>25</v>
      </c>
      <c r="G648">
        <v>2</v>
      </c>
      <c r="H648" s="1" t="s">
        <v>26</v>
      </c>
      <c r="I648" s="1" t="s">
        <v>42</v>
      </c>
      <c r="J648">
        <v>10.5</v>
      </c>
      <c r="K648">
        <v>30.99</v>
      </c>
      <c r="L648" s="1" t="s">
        <v>28</v>
      </c>
      <c r="M648" s="1" t="s">
        <v>43</v>
      </c>
      <c r="N648" s="1" t="s">
        <v>44</v>
      </c>
      <c r="O648" s="1" t="s">
        <v>31</v>
      </c>
      <c r="P648" s="2">
        <v>45823</v>
      </c>
      <c r="Q648" s="1" t="s">
        <v>1593</v>
      </c>
      <c r="R648" s="1" t="s">
        <v>1594</v>
      </c>
      <c r="S648" s="1" t="s">
        <v>47</v>
      </c>
      <c r="T648" s="1" t="s">
        <v>35</v>
      </c>
      <c r="U648" s="1" t="s">
        <v>48</v>
      </c>
      <c r="V648" s="1" t="s">
        <v>37</v>
      </c>
      <c r="W648">
        <v>2</v>
      </c>
    </row>
    <row r="649" spans="1:23" x14ac:dyDescent="0.3">
      <c r="A649" s="1" t="s">
        <v>1595</v>
      </c>
      <c r="B649">
        <v>1</v>
      </c>
      <c r="C649">
        <v>18.989999999999998</v>
      </c>
      <c r="D649">
        <v>18.989999999999998</v>
      </c>
      <c r="E649" s="1" t="s">
        <v>1596</v>
      </c>
      <c r="F649" s="1" t="s">
        <v>188</v>
      </c>
      <c r="G649">
        <v>0</v>
      </c>
      <c r="H649" s="1" t="s">
        <v>96</v>
      </c>
      <c r="I649" s="1" t="s">
        <v>97</v>
      </c>
      <c r="J649">
        <v>6</v>
      </c>
      <c r="K649">
        <v>18.989999999999998</v>
      </c>
      <c r="L649" s="1" t="s">
        <v>60</v>
      </c>
      <c r="M649" s="1" t="s">
        <v>43</v>
      </c>
      <c r="N649" s="1" t="s">
        <v>44</v>
      </c>
      <c r="O649" s="1" t="s">
        <v>31</v>
      </c>
      <c r="P649" s="2">
        <v>45823</v>
      </c>
      <c r="Q649" s="1" t="s">
        <v>1187</v>
      </c>
      <c r="R649" s="1" t="s">
        <v>1188</v>
      </c>
      <c r="S649" s="1" t="s">
        <v>47</v>
      </c>
      <c r="T649" s="1" t="s">
        <v>35</v>
      </c>
      <c r="U649" s="1" t="s">
        <v>48</v>
      </c>
      <c r="V649" s="1" t="s">
        <v>100</v>
      </c>
      <c r="W649">
        <v>3.2</v>
      </c>
    </row>
    <row r="650" spans="1:23" x14ac:dyDescent="0.3">
      <c r="A650" s="1" t="s">
        <v>1597</v>
      </c>
      <c r="B650">
        <v>1</v>
      </c>
      <c r="C650">
        <v>30.99</v>
      </c>
      <c r="D650">
        <v>30.99</v>
      </c>
      <c r="E650" s="1" t="s">
        <v>1598</v>
      </c>
      <c r="F650" s="1" t="s">
        <v>40</v>
      </c>
      <c r="G650">
        <v>3</v>
      </c>
      <c r="H650" s="1" t="s">
        <v>58</v>
      </c>
      <c r="I650" s="1" t="s">
        <v>42</v>
      </c>
      <c r="J650">
        <v>10.5</v>
      </c>
      <c r="K650">
        <v>30.99</v>
      </c>
      <c r="L650" s="1" t="s">
        <v>28</v>
      </c>
      <c r="M650" s="1" t="s">
        <v>43</v>
      </c>
      <c r="N650" s="1" t="s">
        <v>44</v>
      </c>
      <c r="O650" s="1" t="s">
        <v>31</v>
      </c>
      <c r="P650" s="2">
        <v>45823</v>
      </c>
      <c r="Q650" s="1" t="s">
        <v>1286</v>
      </c>
      <c r="R650" s="1" t="s">
        <v>1599</v>
      </c>
      <c r="S650" s="1" t="s">
        <v>34</v>
      </c>
      <c r="T650" s="1" t="s">
        <v>35</v>
      </c>
      <c r="U650" s="1" t="s">
        <v>82</v>
      </c>
      <c r="V650" s="1" t="s">
        <v>37</v>
      </c>
      <c r="W650">
        <v>2</v>
      </c>
    </row>
    <row r="651" spans="1:23" x14ac:dyDescent="0.3">
      <c r="A651" s="1" t="s">
        <v>1600</v>
      </c>
      <c r="B651">
        <v>1</v>
      </c>
      <c r="C651">
        <v>21.99</v>
      </c>
      <c r="D651">
        <v>21.99</v>
      </c>
      <c r="E651" s="1" t="s">
        <v>1230</v>
      </c>
      <c r="F651" s="1" t="s">
        <v>40</v>
      </c>
      <c r="G651">
        <v>2</v>
      </c>
      <c r="H651" s="1" t="s">
        <v>41</v>
      </c>
      <c r="I651" s="1" t="s">
        <v>27</v>
      </c>
      <c r="J651">
        <v>7</v>
      </c>
      <c r="K651">
        <v>21.99</v>
      </c>
      <c r="L651" s="1" t="s">
        <v>28</v>
      </c>
      <c r="M651" s="1" t="s">
        <v>29</v>
      </c>
      <c r="N651" s="1" t="s">
        <v>30</v>
      </c>
      <c r="O651" s="1" t="s">
        <v>31</v>
      </c>
      <c r="P651" s="2">
        <v>45778</v>
      </c>
      <c r="Q651" s="1" t="s">
        <v>147</v>
      </c>
      <c r="R651" s="1" t="s">
        <v>1601</v>
      </c>
      <c r="S651" s="1" t="s">
        <v>105</v>
      </c>
      <c r="T651" s="1" t="s">
        <v>35</v>
      </c>
      <c r="U651" s="1" t="s">
        <v>55</v>
      </c>
      <c r="V651" s="1" t="s">
        <v>37</v>
      </c>
      <c r="W651">
        <v>2</v>
      </c>
    </row>
    <row r="652" spans="1:23" x14ac:dyDescent="0.3">
      <c r="A652" s="1" t="s">
        <v>1602</v>
      </c>
      <c r="B652">
        <v>3</v>
      </c>
      <c r="C652">
        <v>18.989999999999998</v>
      </c>
      <c r="D652">
        <v>45.58</v>
      </c>
      <c r="E652" s="1" t="s">
        <v>1230</v>
      </c>
      <c r="F652" s="1" t="s">
        <v>188</v>
      </c>
      <c r="G652">
        <v>0</v>
      </c>
      <c r="H652" s="1" t="s">
        <v>41</v>
      </c>
      <c r="I652" s="1" t="s">
        <v>97</v>
      </c>
      <c r="J652">
        <v>6</v>
      </c>
      <c r="K652">
        <v>18.989999999999998</v>
      </c>
      <c r="L652" s="1" t="s">
        <v>60</v>
      </c>
      <c r="M652" s="1" t="s">
        <v>43</v>
      </c>
      <c r="N652" s="1" t="s">
        <v>44</v>
      </c>
      <c r="O652" s="1" t="s">
        <v>31</v>
      </c>
      <c r="P652" s="2">
        <v>45823</v>
      </c>
      <c r="Q652" s="1" t="s">
        <v>1603</v>
      </c>
      <c r="R652" s="1" t="s">
        <v>1604</v>
      </c>
      <c r="S652" s="1" t="s">
        <v>105</v>
      </c>
      <c r="T652" s="1" t="s">
        <v>35</v>
      </c>
      <c r="U652" s="1" t="s">
        <v>55</v>
      </c>
      <c r="V652" s="1" t="s">
        <v>100</v>
      </c>
      <c r="W652">
        <v>3.2</v>
      </c>
    </row>
    <row r="653" spans="1:23" x14ac:dyDescent="0.3">
      <c r="A653" s="1" t="s">
        <v>1605</v>
      </c>
      <c r="B653">
        <v>1</v>
      </c>
      <c r="C653">
        <v>21.99</v>
      </c>
      <c r="D653">
        <v>21.99</v>
      </c>
      <c r="E653" s="1" t="s">
        <v>1367</v>
      </c>
      <c r="F653" s="1" t="s">
        <v>40</v>
      </c>
      <c r="G653">
        <v>3</v>
      </c>
      <c r="H653" s="1" t="s">
        <v>41</v>
      </c>
      <c r="I653" s="1" t="s">
        <v>27</v>
      </c>
      <c r="J653">
        <v>7</v>
      </c>
      <c r="K653">
        <v>21.99</v>
      </c>
      <c r="L653" s="1" t="s">
        <v>28</v>
      </c>
      <c r="M653" s="1" t="s">
        <v>29</v>
      </c>
      <c r="N653" s="1" t="s">
        <v>30</v>
      </c>
      <c r="O653" s="1" t="s">
        <v>31</v>
      </c>
      <c r="P653" s="2">
        <v>45778</v>
      </c>
      <c r="Q653" s="1" t="s">
        <v>990</v>
      </c>
      <c r="R653" s="1" t="s">
        <v>1490</v>
      </c>
      <c r="S653" s="1" t="s">
        <v>88</v>
      </c>
      <c r="T653" s="1" t="s">
        <v>35</v>
      </c>
      <c r="U653" s="1" t="s">
        <v>82</v>
      </c>
      <c r="V653" s="1" t="s">
        <v>37</v>
      </c>
      <c r="W653">
        <v>2</v>
      </c>
    </row>
    <row r="654" spans="1:23" x14ac:dyDescent="0.3">
      <c r="A654" s="1" t="s">
        <v>1606</v>
      </c>
      <c r="B654">
        <v>2</v>
      </c>
      <c r="C654">
        <v>27.99</v>
      </c>
      <c r="D654">
        <v>48.72</v>
      </c>
      <c r="E654" s="1" t="s">
        <v>1431</v>
      </c>
      <c r="F654" s="1" t="s">
        <v>51</v>
      </c>
      <c r="G654">
        <v>0</v>
      </c>
      <c r="H654" s="1" t="s">
        <v>58</v>
      </c>
      <c r="I654" s="1" t="s">
        <v>75</v>
      </c>
      <c r="J654">
        <v>9</v>
      </c>
      <c r="K654">
        <v>27.99</v>
      </c>
      <c r="L654" s="1" t="s">
        <v>28</v>
      </c>
      <c r="M654" s="1" t="s">
        <v>61</v>
      </c>
      <c r="N654" s="1" t="s">
        <v>62</v>
      </c>
      <c r="O654" s="1" t="s">
        <v>31</v>
      </c>
      <c r="P654" s="2">
        <v>45726</v>
      </c>
      <c r="Q654" s="1" t="s">
        <v>957</v>
      </c>
      <c r="R654" s="1" t="s">
        <v>958</v>
      </c>
      <c r="S654" s="1" t="s">
        <v>105</v>
      </c>
      <c r="T654" s="1" t="s">
        <v>35</v>
      </c>
      <c r="U654" s="1" t="s">
        <v>66</v>
      </c>
      <c r="V654" s="1" t="s">
        <v>37</v>
      </c>
      <c r="W654">
        <v>2</v>
      </c>
    </row>
    <row r="655" spans="1:23" x14ac:dyDescent="0.3">
      <c r="A655" s="1" t="s">
        <v>1607</v>
      </c>
      <c r="B655">
        <v>1</v>
      </c>
      <c r="C655">
        <v>27.99</v>
      </c>
      <c r="D655">
        <v>27.99</v>
      </c>
      <c r="E655" s="1" t="s">
        <v>1608</v>
      </c>
      <c r="F655" s="1" t="s">
        <v>51</v>
      </c>
      <c r="G655">
        <v>0</v>
      </c>
      <c r="H655" s="1" t="s">
        <v>41</v>
      </c>
      <c r="I655" s="1" t="s">
        <v>75</v>
      </c>
      <c r="J655">
        <v>9</v>
      </c>
      <c r="K655">
        <v>27.99</v>
      </c>
      <c r="L655" s="1" t="s">
        <v>28</v>
      </c>
      <c r="M655" s="1" t="s">
        <v>61</v>
      </c>
      <c r="N655" s="1" t="s">
        <v>62</v>
      </c>
      <c r="O655" s="1" t="s">
        <v>31</v>
      </c>
      <c r="P655" s="2">
        <v>45726</v>
      </c>
      <c r="Q655" s="1" t="s">
        <v>544</v>
      </c>
      <c r="R655" s="1" t="s">
        <v>1225</v>
      </c>
      <c r="S655" s="1" t="s">
        <v>88</v>
      </c>
      <c r="T655" s="1" t="s">
        <v>35</v>
      </c>
      <c r="U655" s="1" t="s">
        <v>36</v>
      </c>
      <c r="V655" s="1" t="s">
        <v>37</v>
      </c>
      <c r="W655">
        <v>2</v>
      </c>
    </row>
    <row r="656" spans="1:23" x14ac:dyDescent="0.3">
      <c r="A656" s="1" t="s">
        <v>1609</v>
      </c>
      <c r="B656">
        <v>1</v>
      </c>
      <c r="C656">
        <v>18.989999999999998</v>
      </c>
      <c r="D656">
        <v>18.989999999999998</v>
      </c>
      <c r="E656" s="1" t="s">
        <v>1227</v>
      </c>
      <c r="F656" s="1" t="s">
        <v>40</v>
      </c>
      <c r="G656">
        <v>15</v>
      </c>
      <c r="H656" s="1" t="s">
        <v>96</v>
      </c>
      <c r="I656" s="1" t="s">
        <v>97</v>
      </c>
      <c r="J656">
        <v>6</v>
      </c>
      <c r="K656">
        <v>18.989999999999998</v>
      </c>
      <c r="L656" s="1" t="s">
        <v>60</v>
      </c>
      <c r="M656" s="1" t="s">
        <v>43</v>
      </c>
      <c r="N656" s="1" t="s">
        <v>44</v>
      </c>
      <c r="O656" s="1" t="s">
        <v>31</v>
      </c>
      <c r="P656" s="2">
        <v>45823</v>
      </c>
      <c r="Q656" s="1" t="s">
        <v>1211</v>
      </c>
      <c r="R656" s="1" t="s">
        <v>1610</v>
      </c>
      <c r="S656" s="1" t="s">
        <v>65</v>
      </c>
      <c r="T656" s="1" t="s">
        <v>35</v>
      </c>
      <c r="U656" s="1" t="s">
        <v>55</v>
      </c>
      <c r="V656" s="1" t="s">
        <v>100</v>
      </c>
      <c r="W656">
        <v>3.2</v>
      </c>
    </row>
    <row r="657" spans="1:23" x14ac:dyDescent="0.3">
      <c r="A657" s="1" t="s">
        <v>1611</v>
      </c>
      <c r="B657">
        <v>1</v>
      </c>
      <c r="C657">
        <v>21.99</v>
      </c>
      <c r="D657">
        <v>21.99</v>
      </c>
      <c r="E657" s="1" t="s">
        <v>1461</v>
      </c>
      <c r="F657" s="1" t="s">
        <v>51</v>
      </c>
      <c r="G657">
        <v>0</v>
      </c>
      <c r="H657" s="1" t="s">
        <v>58</v>
      </c>
      <c r="I657" s="1" t="s">
        <v>27</v>
      </c>
      <c r="J657">
        <v>7</v>
      </c>
      <c r="K657">
        <v>21.99</v>
      </c>
      <c r="L657" s="1" t="s">
        <v>28</v>
      </c>
      <c r="M657" s="1" t="s">
        <v>29</v>
      </c>
      <c r="N657" s="1" t="s">
        <v>30</v>
      </c>
      <c r="O657" s="1" t="s">
        <v>31</v>
      </c>
      <c r="P657" s="2">
        <v>45778</v>
      </c>
      <c r="Q657" s="1" t="s">
        <v>957</v>
      </c>
      <c r="R657" s="1" t="s">
        <v>958</v>
      </c>
      <c r="S657" s="1" t="s">
        <v>105</v>
      </c>
      <c r="T657" s="1" t="s">
        <v>35</v>
      </c>
      <c r="U657" s="1" t="s">
        <v>66</v>
      </c>
      <c r="V657" s="1" t="s">
        <v>37</v>
      </c>
      <c r="W657">
        <v>2</v>
      </c>
    </row>
    <row r="658" spans="1:23" x14ac:dyDescent="0.3">
      <c r="A658" s="1" t="s">
        <v>1612</v>
      </c>
      <c r="B658">
        <v>1</v>
      </c>
      <c r="C658">
        <v>34.99</v>
      </c>
      <c r="D658">
        <v>34.99</v>
      </c>
      <c r="E658" s="1" t="s">
        <v>1379</v>
      </c>
      <c r="F658" s="1" t="s">
        <v>188</v>
      </c>
      <c r="G658">
        <v>0</v>
      </c>
      <c r="H658" s="1" t="s">
        <v>58</v>
      </c>
      <c r="I658" s="1" t="s">
        <v>85</v>
      </c>
      <c r="J658">
        <v>12.5</v>
      </c>
      <c r="K658">
        <v>34.99</v>
      </c>
      <c r="L658" s="1" t="s">
        <v>60</v>
      </c>
      <c r="M658" s="1" t="s">
        <v>29</v>
      </c>
      <c r="N658" s="1" t="s">
        <v>30</v>
      </c>
      <c r="O658" s="1" t="s">
        <v>31</v>
      </c>
      <c r="P658" s="2">
        <v>45778</v>
      </c>
      <c r="Q658" s="1" t="s">
        <v>1613</v>
      </c>
      <c r="R658" s="1" t="s">
        <v>1614</v>
      </c>
      <c r="S658" s="1" t="s">
        <v>34</v>
      </c>
      <c r="T658" s="1" t="s">
        <v>35</v>
      </c>
      <c r="U658" s="1" t="s">
        <v>55</v>
      </c>
      <c r="V658" s="1" t="s">
        <v>89</v>
      </c>
      <c r="W658">
        <v>2.4</v>
      </c>
    </row>
    <row r="659" spans="1:23" x14ac:dyDescent="0.3">
      <c r="A659" s="1" t="s">
        <v>1615</v>
      </c>
      <c r="B659">
        <v>2</v>
      </c>
      <c r="C659">
        <v>16.989999999999998</v>
      </c>
      <c r="D659">
        <v>29.42</v>
      </c>
      <c r="E659" s="1" t="s">
        <v>946</v>
      </c>
      <c r="F659" s="1" t="s">
        <v>40</v>
      </c>
      <c r="G659">
        <v>17</v>
      </c>
      <c r="H659" s="1" t="s">
        <v>96</v>
      </c>
      <c r="I659" s="1" t="s">
        <v>59</v>
      </c>
      <c r="J659">
        <v>5</v>
      </c>
      <c r="K659">
        <v>16.989999999999998</v>
      </c>
      <c r="L659" s="1" t="s">
        <v>60</v>
      </c>
      <c r="M659" s="1" t="s">
        <v>61</v>
      </c>
      <c r="N659" s="1" t="s">
        <v>62</v>
      </c>
      <c r="O659" s="1" t="s">
        <v>31</v>
      </c>
      <c r="P659" s="2">
        <v>45726</v>
      </c>
      <c r="Q659" s="1" t="s">
        <v>1616</v>
      </c>
      <c r="R659" s="1" t="s">
        <v>1617</v>
      </c>
      <c r="S659" s="1" t="s">
        <v>105</v>
      </c>
      <c r="T659" s="1" t="s">
        <v>35</v>
      </c>
      <c r="U659" s="1" t="s">
        <v>82</v>
      </c>
      <c r="V659" s="1" t="s">
        <v>67</v>
      </c>
      <c r="W659">
        <v>3</v>
      </c>
    </row>
    <row r="660" spans="1:23" x14ac:dyDescent="0.3">
      <c r="A660" s="1" t="s">
        <v>1618</v>
      </c>
      <c r="B660">
        <v>1</v>
      </c>
      <c r="C660">
        <v>30.99</v>
      </c>
      <c r="D660">
        <v>30.99</v>
      </c>
      <c r="E660" s="1" t="s">
        <v>1556</v>
      </c>
      <c r="F660" s="1" t="s">
        <v>51</v>
      </c>
      <c r="G660">
        <v>0</v>
      </c>
      <c r="H660" s="1" t="s">
        <v>96</v>
      </c>
      <c r="I660" s="1" t="s">
        <v>42</v>
      </c>
      <c r="J660">
        <v>10.5</v>
      </c>
      <c r="K660">
        <v>30.99</v>
      </c>
      <c r="L660" s="1" t="s">
        <v>28</v>
      </c>
      <c r="M660" s="1" t="s">
        <v>43</v>
      </c>
      <c r="N660" s="1" t="s">
        <v>44</v>
      </c>
      <c r="O660" s="1" t="s">
        <v>31</v>
      </c>
      <c r="P660" s="2">
        <v>45823</v>
      </c>
      <c r="Q660" s="1" t="s">
        <v>836</v>
      </c>
      <c r="R660" s="1" t="s">
        <v>837</v>
      </c>
      <c r="S660" s="1" t="s">
        <v>105</v>
      </c>
      <c r="T660" s="1" t="s">
        <v>35</v>
      </c>
      <c r="U660" s="1" t="s">
        <v>55</v>
      </c>
      <c r="V660" s="1" t="s">
        <v>37</v>
      </c>
      <c r="W660">
        <v>2</v>
      </c>
    </row>
    <row r="661" spans="1:23" x14ac:dyDescent="0.3">
      <c r="A661" s="1" t="s">
        <v>1619</v>
      </c>
      <c r="B661">
        <v>2</v>
      </c>
      <c r="C661">
        <v>34.99</v>
      </c>
      <c r="D661">
        <v>60.76</v>
      </c>
      <c r="E661" s="1" t="s">
        <v>731</v>
      </c>
      <c r="F661" s="1" t="s">
        <v>51</v>
      </c>
      <c r="G661">
        <v>0</v>
      </c>
      <c r="H661" s="1" t="s">
        <v>41</v>
      </c>
      <c r="I661" s="1" t="s">
        <v>85</v>
      </c>
      <c r="J661">
        <v>12.5</v>
      </c>
      <c r="K661">
        <v>34.99</v>
      </c>
      <c r="L661" s="1" t="s">
        <v>60</v>
      </c>
      <c r="M661" s="1" t="s">
        <v>29</v>
      </c>
      <c r="N661" s="1" t="s">
        <v>30</v>
      </c>
      <c r="O661" s="1" t="s">
        <v>31</v>
      </c>
      <c r="P661" s="2">
        <v>45778</v>
      </c>
      <c r="Q661" s="1" t="s">
        <v>1620</v>
      </c>
      <c r="R661" s="1" t="s">
        <v>1621</v>
      </c>
      <c r="S661" s="1" t="s">
        <v>88</v>
      </c>
      <c r="T661" s="1" t="s">
        <v>35</v>
      </c>
      <c r="U661" s="1" t="s">
        <v>82</v>
      </c>
      <c r="V661" s="1" t="s">
        <v>89</v>
      </c>
      <c r="W661">
        <v>2.4</v>
      </c>
    </row>
    <row r="662" spans="1:23" x14ac:dyDescent="0.3">
      <c r="A662" s="1" t="s">
        <v>1622</v>
      </c>
      <c r="B662">
        <v>1</v>
      </c>
      <c r="C662">
        <v>21.99</v>
      </c>
      <c r="D662">
        <v>21.99</v>
      </c>
      <c r="E662" s="1" t="s">
        <v>771</v>
      </c>
      <c r="F662" s="1" t="s">
        <v>25</v>
      </c>
      <c r="G662">
        <v>2</v>
      </c>
      <c r="H662" s="1" t="s">
        <v>41</v>
      </c>
      <c r="I662" s="1" t="s">
        <v>27</v>
      </c>
      <c r="J662">
        <v>7</v>
      </c>
      <c r="K662">
        <v>21.99</v>
      </c>
      <c r="L662" s="1" t="s">
        <v>28</v>
      </c>
      <c r="M662" s="1" t="s">
        <v>29</v>
      </c>
      <c r="N662" s="1" t="s">
        <v>30</v>
      </c>
      <c r="O662" s="1" t="s">
        <v>31</v>
      </c>
      <c r="P662" s="2">
        <v>45778</v>
      </c>
      <c r="Q662" s="1" t="s">
        <v>990</v>
      </c>
      <c r="R662" s="1" t="s">
        <v>1623</v>
      </c>
      <c r="S662" s="1" t="s">
        <v>54</v>
      </c>
      <c r="T662" s="1" t="s">
        <v>35</v>
      </c>
      <c r="U662" s="1" t="s">
        <v>48</v>
      </c>
      <c r="V662" s="1" t="s">
        <v>37</v>
      </c>
      <c r="W662">
        <v>2</v>
      </c>
    </row>
    <row r="663" spans="1:23" x14ac:dyDescent="0.3">
      <c r="A663" s="1" t="s">
        <v>1624</v>
      </c>
      <c r="B663">
        <v>2</v>
      </c>
      <c r="C663">
        <v>18.989999999999998</v>
      </c>
      <c r="D663">
        <v>32.86</v>
      </c>
      <c r="E663" s="1" t="s">
        <v>1111</v>
      </c>
      <c r="F663" s="1" t="s">
        <v>40</v>
      </c>
      <c r="G663">
        <v>16</v>
      </c>
      <c r="H663" s="1" t="s">
        <v>96</v>
      </c>
      <c r="I663" s="1" t="s">
        <v>97</v>
      </c>
      <c r="J663">
        <v>6</v>
      </c>
      <c r="K663">
        <v>18.989999999999998</v>
      </c>
      <c r="L663" s="1" t="s">
        <v>60</v>
      </c>
      <c r="M663" s="1" t="s">
        <v>43</v>
      </c>
      <c r="N663" s="1" t="s">
        <v>44</v>
      </c>
      <c r="O663" s="1" t="s">
        <v>31</v>
      </c>
      <c r="P663" s="2">
        <v>45823</v>
      </c>
      <c r="Q663" s="1" t="s">
        <v>147</v>
      </c>
      <c r="R663" s="1" t="s">
        <v>757</v>
      </c>
      <c r="S663" s="1" t="s">
        <v>47</v>
      </c>
      <c r="T663" s="1" t="s">
        <v>35</v>
      </c>
      <c r="U663" s="1" t="s">
        <v>48</v>
      </c>
      <c r="V663" s="1" t="s">
        <v>100</v>
      </c>
      <c r="W663">
        <v>3.2</v>
      </c>
    </row>
    <row r="664" spans="1:23" x14ac:dyDescent="0.3">
      <c r="A664" s="1" t="s">
        <v>1625</v>
      </c>
      <c r="B664">
        <v>3</v>
      </c>
      <c r="C664">
        <v>27.99</v>
      </c>
      <c r="D664">
        <v>66.989999999999995</v>
      </c>
      <c r="E664" s="1" t="s">
        <v>1626</v>
      </c>
      <c r="F664" s="1" t="s">
        <v>188</v>
      </c>
      <c r="G664">
        <v>0</v>
      </c>
      <c r="H664" s="1" t="s">
        <v>58</v>
      </c>
      <c r="I664" s="1" t="s">
        <v>75</v>
      </c>
      <c r="J664">
        <v>9</v>
      </c>
      <c r="K664">
        <v>27.99</v>
      </c>
      <c r="L664" s="1" t="s">
        <v>28</v>
      </c>
      <c r="M664" s="1" t="s">
        <v>61</v>
      </c>
      <c r="N664" s="1" t="s">
        <v>62</v>
      </c>
      <c r="O664" s="1" t="s">
        <v>31</v>
      </c>
      <c r="P664" s="2">
        <v>45726</v>
      </c>
      <c r="Q664" s="1" t="s">
        <v>1616</v>
      </c>
      <c r="R664" s="1" t="s">
        <v>1617</v>
      </c>
      <c r="S664" s="1" t="s">
        <v>105</v>
      </c>
      <c r="T664" s="1" t="s">
        <v>35</v>
      </c>
      <c r="U664" s="1" t="s">
        <v>82</v>
      </c>
      <c r="V664" s="1" t="s">
        <v>37</v>
      </c>
      <c r="W664">
        <v>2</v>
      </c>
    </row>
    <row r="665" spans="1:23" x14ac:dyDescent="0.3">
      <c r="A665" s="1" t="s">
        <v>1627</v>
      </c>
      <c r="B665">
        <v>3</v>
      </c>
      <c r="C665">
        <v>30.99</v>
      </c>
      <c r="D665">
        <v>74.650000000000006</v>
      </c>
      <c r="E665" s="1" t="s">
        <v>1628</v>
      </c>
      <c r="F665" s="1" t="s">
        <v>40</v>
      </c>
      <c r="G665">
        <v>3</v>
      </c>
      <c r="H665" s="1" t="s">
        <v>26</v>
      </c>
      <c r="I665" s="1" t="s">
        <v>42</v>
      </c>
      <c r="J665">
        <v>10.5</v>
      </c>
      <c r="K665">
        <v>30.99</v>
      </c>
      <c r="L665" s="1" t="s">
        <v>28</v>
      </c>
      <c r="M665" s="1" t="s">
        <v>43</v>
      </c>
      <c r="N665" s="1" t="s">
        <v>44</v>
      </c>
      <c r="O665" s="1" t="s">
        <v>31</v>
      </c>
      <c r="P665" s="2">
        <v>45823</v>
      </c>
      <c r="Q665" s="1" t="s">
        <v>1237</v>
      </c>
      <c r="R665" s="1" t="s">
        <v>1238</v>
      </c>
      <c r="S665" s="1" t="s">
        <v>65</v>
      </c>
      <c r="T665" s="1" t="s">
        <v>35</v>
      </c>
      <c r="U665" s="1" t="s">
        <v>66</v>
      </c>
      <c r="V665" s="1" t="s">
        <v>37</v>
      </c>
      <c r="W665">
        <v>2</v>
      </c>
    </row>
    <row r="666" spans="1:23" x14ac:dyDescent="0.3">
      <c r="A666" s="1" t="s">
        <v>1629</v>
      </c>
      <c r="B666">
        <v>1</v>
      </c>
      <c r="C666">
        <v>16.989999999999998</v>
      </c>
      <c r="D666">
        <v>16.989999999999998</v>
      </c>
      <c r="E666" s="1" t="s">
        <v>244</v>
      </c>
      <c r="F666" s="1" t="s">
        <v>51</v>
      </c>
      <c r="G666">
        <v>0</v>
      </c>
      <c r="H666" s="1" t="s">
        <v>26</v>
      </c>
      <c r="I666" s="1" t="s">
        <v>59</v>
      </c>
      <c r="J666">
        <v>5</v>
      </c>
      <c r="K666">
        <v>16.989999999999998</v>
      </c>
      <c r="L666" s="1" t="s">
        <v>60</v>
      </c>
      <c r="M666" s="1" t="s">
        <v>61</v>
      </c>
      <c r="N666" s="1" t="s">
        <v>62</v>
      </c>
      <c r="O666" s="1" t="s">
        <v>31</v>
      </c>
      <c r="P666" s="2">
        <v>45726</v>
      </c>
      <c r="Q666" s="1" t="s">
        <v>1385</v>
      </c>
      <c r="R666" s="1" t="s">
        <v>1630</v>
      </c>
      <c r="S666" s="1" t="s">
        <v>65</v>
      </c>
      <c r="T666" s="1" t="s">
        <v>35</v>
      </c>
      <c r="U666" s="1" t="s">
        <v>55</v>
      </c>
      <c r="V666" s="1" t="s">
        <v>67</v>
      </c>
      <c r="W666">
        <v>3</v>
      </c>
    </row>
    <row r="667" spans="1:23" x14ac:dyDescent="0.3">
      <c r="A667" s="1" t="s">
        <v>1631</v>
      </c>
      <c r="B667">
        <v>1</v>
      </c>
      <c r="C667">
        <v>18.989999999999998</v>
      </c>
      <c r="D667">
        <v>18.989999999999998</v>
      </c>
      <c r="E667" s="1" t="s">
        <v>325</v>
      </c>
      <c r="F667" s="1" t="s">
        <v>51</v>
      </c>
      <c r="G667">
        <v>0</v>
      </c>
      <c r="H667" s="1" t="s">
        <v>26</v>
      </c>
      <c r="I667" s="1" t="s">
        <v>97</v>
      </c>
      <c r="J667">
        <v>6</v>
      </c>
      <c r="K667">
        <v>18.989999999999998</v>
      </c>
      <c r="L667" s="1" t="s">
        <v>60</v>
      </c>
      <c r="M667" s="1" t="s">
        <v>43</v>
      </c>
      <c r="N667" s="1" t="s">
        <v>44</v>
      </c>
      <c r="O667" s="1" t="s">
        <v>31</v>
      </c>
      <c r="P667" s="2">
        <v>45823</v>
      </c>
      <c r="Q667" s="1" t="s">
        <v>1401</v>
      </c>
      <c r="R667" s="1" t="s">
        <v>1632</v>
      </c>
      <c r="S667" s="1" t="s">
        <v>88</v>
      </c>
      <c r="T667" s="1" t="s">
        <v>35</v>
      </c>
      <c r="U667" s="1" t="s">
        <v>36</v>
      </c>
      <c r="V667" s="1" t="s">
        <v>100</v>
      </c>
      <c r="W667">
        <v>3.2</v>
      </c>
    </row>
    <row r="668" spans="1:23" x14ac:dyDescent="0.3">
      <c r="A668" s="1" t="s">
        <v>1633</v>
      </c>
      <c r="B668">
        <v>1</v>
      </c>
      <c r="C668">
        <v>34.99</v>
      </c>
      <c r="D668">
        <v>34.99</v>
      </c>
      <c r="E668" s="1" t="s">
        <v>1634</v>
      </c>
      <c r="F668" s="1" t="s">
        <v>188</v>
      </c>
      <c r="G668">
        <v>0</v>
      </c>
      <c r="H668" s="1" t="s">
        <v>41</v>
      </c>
      <c r="I668" s="1" t="s">
        <v>85</v>
      </c>
      <c r="J668">
        <v>12.5</v>
      </c>
      <c r="K668">
        <v>34.99</v>
      </c>
      <c r="L668" s="1" t="s">
        <v>60</v>
      </c>
      <c r="M668" s="1" t="s">
        <v>29</v>
      </c>
      <c r="N668" s="1" t="s">
        <v>30</v>
      </c>
      <c r="O668" s="1" t="s">
        <v>31</v>
      </c>
      <c r="P668" s="2">
        <v>45778</v>
      </c>
      <c r="Q668" s="1" t="s">
        <v>1533</v>
      </c>
      <c r="R668" s="1" t="s">
        <v>1635</v>
      </c>
      <c r="S668" s="1" t="s">
        <v>105</v>
      </c>
      <c r="T668" s="1" t="s">
        <v>35</v>
      </c>
      <c r="U668" s="1" t="s">
        <v>36</v>
      </c>
      <c r="V668" s="1" t="s">
        <v>89</v>
      </c>
      <c r="W668">
        <v>2.4</v>
      </c>
    </row>
    <row r="669" spans="1:23" x14ac:dyDescent="0.3">
      <c r="A669" s="1" t="s">
        <v>1636</v>
      </c>
      <c r="B669">
        <v>1</v>
      </c>
      <c r="C669">
        <v>27.99</v>
      </c>
      <c r="D669">
        <v>27.99</v>
      </c>
      <c r="E669" s="1" t="s">
        <v>69</v>
      </c>
      <c r="F669" s="1" t="s">
        <v>40</v>
      </c>
      <c r="G669">
        <v>2</v>
      </c>
      <c r="H669" s="1" t="s">
        <v>26</v>
      </c>
      <c r="I669" s="1" t="s">
        <v>75</v>
      </c>
      <c r="J669">
        <v>9</v>
      </c>
      <c r="K669">
        <v>27.99</v>
      </c>
      <c r="L669" s="1" t="s">
        <v>28</v>
      </c>
      <c r="M669" s="1" t="s">
        <v>61</v>
      </c>
      <c r="N669" s="1" t="s">
        <v>62</v>
      </c>
      <c r="O669" s="1" t="s">
        <v>31</v>
      </c>
      <c r="P669" s="2">
        <v>45726</v>
      </c>
      <c r="Q669" s="1" t="s">
        <v>1497</v>
      </c>
      <c r="R669" s="1" t="s">
        <v>1498</v>
      </c>
      <c r="S669" s="1" t="s">
        <v>34</v>
      </c>
      <c r="T669" s="1" t="s">
        <v>35</v>
      </c>
      <c r="U669" s="1" t="s">
        <v>55</v>
      </c>
      <c r="V669" s="1" t="s">
        <v>37</v>
      </c>
      <c r="W669">
        <v>2</v>
      </c>
    </row>
    <row r="670" spans="1:23" x14ac:dyDescent="0.3">
      <c r="A670" s="1" t="s">
        <v>1637</v>
      </c>
      <c r="B670">
        <v>1</v>
      </c>
      <c r="C670">
        <v>34.99</v>
      </c>
      <c r="D670">
        <v>34.99</v>
      </c>
      <c r="E670" s="1" t="s">
        <v>1638</v>
      </c>
      <c r="F670" s="1" t="s">
        <v>188</v>
      </c>
      <c r="G670">
        <v>0</v>
      </c>
      <c r="H670" s="1" t="s">
        <v>26</v>
      </c>
      <c r="I670" s="1" t="s">
        <v>85</v>
      </c>
      <c r="J670">
        <v>12.5</v>
      </c>
      <c r="K670">
        <v>34.99</v>
      </c>
      <c r="L670" s="1" t="s">
        <v>60</v>
      </c>
      <c r="M670" s="1" t="s">
        <v>29</v>
      </c>
      <c r="N670" s="1" t="s">
        <v>30</v>
      </c>
      <c r="O670" s="1" t="s">
        <v>31</v>
      </c>
      <c r="P670" s="2">
        <v>45778</v>
      </c>
      <c r="Q670" s="1" t="s">
        <v>1639</v>
      </c>
      <c r="R670" s="1" t="s">
        <v>1640</v>
      </c>
      <c r="S670" s="1" t="s">
        <v>105</v>
      </c>
      <c r="T670" s="1" t="s">
        <v>35</v>
      </c>
      <c r="U670" s="1" t="s">
        <v>36</v>
      </c>
      <c r="V670" s="1" t="s">
        <v>89</v>
      </c>
      <c r="W670">
        <v>2.4</v>
      </c>
    </row>
    <row r="671" spans="1:23" x14ac:dyDescent="0.3">
      <c r="A671" s="1" t="s">
        <v>1641</v>
      </c>
      <c r="B671">
        <v>3</v>
      </c>
      <c r="C671">
        <v>18.989999999999998</v>
      </c>
      <c r="D671">
        <v>44.9</v>
      </c>
      <c r="E671" s="1" t="s">
        <v>1153</v>
      </c>
      <c r="F671" s="1" t="s">
        <v>188</v>
      </c>
      <c r="G671">
        <v>0</v>
      </c>
      <c r="H671" s="1" t="s">
        <v>41</v>
      </c>
      <c r="I671" s="1" t="s">
        <v>97</v>
      </c>
      <c r="J671">
        <v>6</v>
      </c>
      <c r="K671">
        <v>18.989999999999998</v>
      </c>
      <c r="L671" s="1" t="s">
        <v>60</v>
      </c>
      <c r="M671" s="1" t="s">
        <v>43</v>
      </c>
      <c r="N671" s="1" t="s">
        <v>44</v>
      </c>
      <c r="O671" s="1" t="s">
        <v>31</v>
      </c>
      <c r="P671" s="2">
        <v>45823</v>
      </c>
      <c r="Q671" s="1" t="s">
        <v>1642</v>
      </c>
      <c r="R671" s="1" t="s">
        <v>1643</v>
      </c>
      <c r="S671" s="1" t="s">
        <v>88</v>
      </c>
      <c r="T671" s="1" t="s">
        <v>35</v>
      </c>
      <c r="U671" s="1" t="s">
        <v>36</v>
      </c>
      <c r="V671" s="1" t="s">
        <v>100</v>
      </c>
      <c r="W671">
        <v>3.2</v>
      </c>
    </row>
    <row r="672" spans="1:23" x14ac:dyDescent="0.3">
      <c r="A672" s="1" t="s">
        <v>1644</v>
      </c>
      <c r="B672">
        <v>1</v>
      </c>
      <c r="C672">
        <v>30.99</v>
      </c>
      <c r="D672">
        <v>30.99</v>
      </c>
      <c r="E672" s="1" t="s">
        <v>756</v>
      </c>
      <c r="F672" s="1" t="s">
        <v>51</v>
      </c>
      <c r="G672">
        <v>0</v>
      </c>
      <c r="H672" s="1" t="s">
        <v>26</v>
      </c>
      <c r="I672" s="1" t="s">
        <v>42</v>
      </c>
      <c r="J672">
        <v>10.5</v>
      </c>
      <c r="K672">
        <v>30.99</v>
      </c>
      <c r="L672" s="1" t="s">
        <v>28</v>
      </c>
      <c r="M672" s="1" t="s">
        <v>43</v>
      </c>
      <c r="N672" s="1" t="s">
        <v>44</v>
      </c>
      <c r="O672" s="1" t="s">
        <v>31</v>
      </c>
      <c r="P672" s="2">
        <v>45823</v>
      </c>
      <c r="Q672" s="1" t="s">
        <v>203</v>
      </c>
      <c r="R672" s="1" t="s">
        <v>876</v>
      </c>
      <c r="S672" s="1" t="s">
        <v>54</v>
      </c>
      <c r="T672" s="1" t="s">
        <v>35</v>
      </c>
      <c r="U672" s="1" t="s">
        <v>82</v>
      </c>
      <c r="V672" s="1" t="s">
        <v>37</v>
      </c>
      <c r="W672">
        <v>2</v>
      </c>
    </row>
    <row r="673" spans="1:23" x14ac:dyDescent="0.3">
      <c r="A673" s="1" t="s">
        <v>1645</v>
      </c>
      <c r="B673">
        <v>2</v>
      </c>
      <c r="C673">
        <v>21.99</v>
      </c>
      <c r="D673">
        <v>37.69</v>
      </c>
      <c r="E673" s="1" t="s">
        <v>995</v>
      </c>
      <c r="F673" s="1" t="s">
        <v>51</v>
      </c>
      <c r="G673">
        <v>0</v>
      </c>
      <c r="H673" s="1" t="s">
        <v>58</v>
      </c>
      <c r="I673" s="1" t="s">
        <v>27</v>
      </c>
      <c r="J673">
        <v>7</v>
      </c>
      <c r="K673">
        <v>21.99</v>
      </c>
      <c r="L673" s="1" t="s">
        <v>28</v>
      </c>
      <c r="M673" s="1" t="s">
        <v>29</v>
      </c>
      <c r="N673" s="1" t="s">
        <v>30</v>
      </c>
      <c r="O673" s="1" t="s">
        <v>31</v>
      </c>
      <c r="P673" s="2">
        <v>45778</v>
      </c>
      <c r="Q673" s="1" t="s">
        <v>234</v>
      </c>
      <c r="R673" s="1" t="s">
        <v>1646</v>
      </c>
      <c r="S673" s="1" t="s">
        <v>54</v>
      </c>
      <c r="T673" s="1" t="s">
        <v>35</v>
      </c>
      <c r="U673" s="1" t="s">
        <v>36</v>
      </c>
      <c r="V673" s="1" t="s">
        <v>37</v>
      </c>
      <c r="W673">
        <v>2</v>
      </c>
    </row>
    <row r="674" spans="1:23" x14ac:dyDescent="0.3">
      <c r="A674" s="1" t="s">
        <v>1647</v>
      </c>
      <c r="B674">
        <v>1</v>
      </c>
      <c r="C674">
        <v>16.989999999999998</v>
      </c>
      <c r="D674">
        <v>16.989999999999998</v>
      </c>
      <c r="E674" s="1" t="s">
        <v>1648</v>
      </c>
      <c r="F674" s="1" t="s">
        <v>70</v>
      </c>
      <c r="G674">
        <v>0</v>
      </c>
      <c r="H674" s="1" t="s">
        <v>96</v>
      </c>
      <c r="I674" s="1" t="s">
        <v>59</v>
      </c>
      <c r="J674">
        <v>5</v>
      </c>
      <c r="K674">
        <v>16.989999999999998</v>
      </c>
      <c r="L674" s="1" t="s">
        <v>60</v>
      </c>
      <c r="M674" s="1" t="s">
        <v>61</v>
      </c>
      <c r="N674" s="1" t="s">
        <v>62</v>
      </c>
      <c r="O674" s="1" t="s">
        <v>31</v>
      </c>
      <c r="P674" s="2">
        <v>45726</v>
      </c>
      <c r="Q674" s="1" t="s">
        <v>1336</v>
      </c>
      <c r="R674" s="1" t="s">
        <v>1337</v>
      </c>
      <c r="S674" s="1" t="s">
        <v>105</v>
      </c>
      <c r="T674" s="1" t="s">
        <v>35</v>
      </c>
      <c r="U674" s="1" t="s">
        <v>55</v>
      </c>
      <c r="V674" s="1" t="s">
        <v>67</v>
      </c>
      <c r="W674">
        <v>3</v>
      </c>
    </row>
    <row r="675" spans="1:23" x14ac:dyDescent="0.3">
      <c r="A675" s="1" t="s">
        <v>1649</v>
      </c>
      <c r="B675">
        <v>3</v>
      </c>
      <c r="C675">
        <v>21.99</v>
      </c>
      <c r="D675">
        <v>51.92</v>
      </c>
      <c r="E675" s="1" t="s">
        <v>923</v>
      </c>
      <c r="F675" s="1" t="s">
        <v>188</v>
      </c>
      <c r="G675">
        <v>0</v>
      </c>
      <c r="H675" s="1" t="s">
        <v>41</v>
      </c>
      <c r="I675" s="1" t="s">
        <v>27</v>
      </c>
      <c r="J675">
        <v>7</v>
      </c>
      <c r="K675">
        <v>21.99</v>
      </c>
      <c r="L675" s="1" t="s">
        <v>28</v>
      </c>
      <c r="M675" s="1" t="s">
        <v>29</v>
      </c>
      <c r="N675" s="1" t="s">
        <v>30</v>
      </c>
      <c r="O675" s="1" t="s">
        <v>31</v>
      </c>
      <c r="P675" s="2">
        <v>45778</v>
      </c>
      <c r="Q675" s="1" t="s">
        <v>496</v>
      </c>
      <c r="R675" s="1" t="s">
        <v>1650</v>
      </c>
      <c r="S675" s="1" t="s">
        <v>47</v>
      </c>
      <c r="T675" s="1" t="s">
        <v>35</v>
      </c>
      <c r="U675" s="1" t="s">
        <v>48</v>
      </c>
      <c r="V675" s="1" t="s">
        <v>37</v>
      </c>
      <c r="W675">
        <v>2</v>
      </c>
    </row>
    <row r="676" spans="1:23" x14ac:dyDescent="0.3">
      <c r="A676" s="1" t="s">
        <v>1651</v>
      </c>
      <c r="B676">
        <v>3</v>
      </c>
      <c r="C676">
        <v>18.989999999999998</v>
      </c>
      <c r="D676">
        <v>45.8</v>
      </c>
      <c r="E676" s="1" t="s">
        <v>1652</v>
      </c>
      <c r="F676" s="1" t="s">
        <v>51</v>
      </c>
      <c r="G676">
        <v>0</v>
      </c>
      <c r="H676" s="1" t="s">
        <v>96</v>
      </c>
      <c r="I676" s="1" t="s">
        <v>97</v>
      </c>
      <c r="J676">
        <v>6</v>
      </c>
      <c r="K676">
        <v>18.989999999999998</v>
      </c>
      <c r="L676" s="1" t="s">
        <v>60</v>
      </c>
      <c r="M676" s="1" t="s">
        <v>43</v>
      </c>
      <c r="N676" s="1" t="s">
        <v>44</v>
      </c>
      <c r="O676" s="1" t="s">
        <v>31</v>
      </c>
      <c r="P676" s="2">
        <v>45823</v>
      </c>
      <c r="Q676" s="1" t="s">
        <v>1237</v>
      </c>
      <c r="R676" s="1" t="s">
        <v>1553</v>
      </c>
      <c r="S676" s="1" t="s">
        <v>88</v>
      </c>
      <c r="T676" s="1" t="s">
        <v>35</v>
      </c>
      <c r="U676" s="1" t="s">
        <v>82</v>
      </c>
      <c r="V676" s="1" t="s">
        <v>100</v>
      </c>
      <c r="W676">
        <v>3.2</v>
      </c>
    </row>
    <row r="677" spans="1:23" x14ac:dyDescent="0.3">
      <c r="A677" s="1" t="s">
        <v>1653</v>
      </c>
      <c r="B677">
        <v>1</v>
      </c>
      <c r="C677">
        <v>27.99</v>
      </c>
      <c r="D677">
        <v>27.99</v>
      </c>
      <c r="E677" s="1" t="s">
        <v>1214</v>
      </c>
      <c r="F677" s="1" t="s">
        <v>40</v>
      </c>
      <c r="G677">
        <v>3</v>
      </c>
      <c r="H677" s="1" t="s">
        <v>41</v>
      </c>
      <c r="I677" s="1" t="s">
        <v>75</v>
      </c>
      <c r="J677">
        <v>9</v>
      </c>
      <c r="K677">
        <v>27.99</v>
      </c>
      <c r="L677" s="1" t="s">
        <v>28</v>
      </c>
      <c r="M677" s="1" t="s">
        <v>61</v>
      </c>
      <c r="N677" s="1" t="s">
        <v>62</v>
      </c>
      <c r="O677" s="1" t="s">
        <v>31</v>
      </c>
      <c r="P677" s="2">
        <v>45726</v>
      </c>
      <c r="Q677" s="1" t="s">
        <v>1654</v>
      </c>
      <c r="R677" s="1" t="s">
        <v>1655</v>
      </c>
      <c r="S677" s="1" t="s">
        <v>88</v>
      </c>
      <c r="T677" s="1" t="s">
        <v>35</v>
      </c>
      <c r="U677" s="1" t="s">
        <v>82</v>
      </c>
      <c r="V677" s="1" t="s">
        <v>37</v>
      </c>
      <c r="W677">
        <v>2</v>
      </c>
    </row>
    <row r="678" spans="1:23" x14ac:dyDescent="0.3">
      <c r="A678" s="1" t="s">
        <v>1656</v>
      </c>
      <c r="B678">
        <v>1</v>
      </c>
      <c r="C678">
        <v>18.989999999999998</v>
      </c>
      <c r="D678">
        <v>18.989999999999998</v>
      </c>
      <c r="E678" s="1" t="s">
        <v>252</v>
      </c>
      <c r="F678" s="1" t="s">
        <v>40</v>
      </c>
      <c r="G678">
        <v>13</v>
      </c>
      <c r="H678" s="1" t="s">
        <v>41</v>
      </c>
      <c r="I678" s="1" t="s">
        <v>97</v>
      </c>
      <c r="J678">
        <v>6</v>
      </c>
      <c r="K678">
        <v>18.989999999999998</v>
      </c>
      <c r="L678" s="1" t="s">
        <v>60</v>
      </c>
      <c r="M678" s="1" t="s">
        <v>43</v>
      </c>
      <c r="N678" s="1" t="s">
        <v>44</v>
      </c>
      <c r="O678" s="1" t="s">
        <v>31</v>
      </c>
      <c r="P678" s="2">
        <v>45823</v>
      </c>
      <c r="Q678" s="1" t="s">
        <v>1657</v>
      </c>
      <c r="R678" s="1" t="s">
        <v>1658</v>
      </c>
      <c r="S678" s="1" t="s">
        <v>65</v>
      </c>
      <c r="T678" s="1" t="s">
        <v>35</v>
      </c>
      <c r="U678" s="1" t="s">
        <v>36</v>
      </c>
      <c r="V678" s="1" t="s">
        <v>100</v>
      </c>
      <c r="W678">
        <v>3.2</v>
      </c>
    </row>
    <row r="679" spans="1:23" x14ac:dyDescent="0.3">
      <c r="A679" s="1" t="s">
        <v>1659</v>
      </c>
      <c r="B679">
        <v>1</v>
      </c>
      <c r="C679">
        <v>21.99</v>
      </c>
      <c r="D679">
        <v>21.99</v>
      </c>
      <c r="E679" s="1" t="s">
        <v>1100</v>
      </c>
      <c r="F679" s="1" t="s">
        <v>51</v>
      </c>
      <c r="G679">
        <v>0</v>
      </c>
      <c r="H679" s="1" t="s">
        <v>96</v>
      </c>
      <c r="I679" s="1" t="s">
        <v>27</v>
      </c>
      <c r="J679">
        <v>7</v>
      </c>
      <c r="K679">
        <v>21.99</v>
      </c>
      <c r="L679" s="1" t="s">
        <v>28</v>
      </c>
      <c r="M679" s="1" t="s">
        <v>29</v>
      </c>
      <c r="N679" s="1" t="s">
        <v>30</v>
      </c>
      <c r="O679" s="1" t="s">
        <v>31</v>
      </c>
      <c r="P679" s="2">
        <v>45778</v>
      </c>
      <c r="Q679" s="1" t="s">
        <v>1282</v>
      </c>
      <c r="R679" s="1" t="s">
        <v>1283</v>
      </c>
      <c r="S679" s="1" t="s">
        <v>34</v>
      </c>
      <c r="T679" s="1" t="s">
        <v>35</v>
      </c>
      <c r="U679" s="1" t="s">
        <v>66</v>
      </c>
      <c r="V679" s="1" t="s">
        <v>37</v>
      </c>
      <c r="W679">
        <v>2</v>
      </c>
    </row>
    <row r="680" spans="1:23" x14ac:dyDescent="0.3">
      <c r="A680" s="1" t="s">
        <v>1660</v>
      </c>
      <c r="B680">
        <v>1</v>
      </c>
      <c r="C680">
        <v>34.99</v>
      </c>
      <c r="D680">
        <v>34.99</v>
      </c>
      <c r="E680" s="1" t="s">
        <v>74</v>
      </c>
      <c r="F680" s="1" t="s">
        <v>40</v>
      </c>
      <c r="G680">
        <v>8</v>
      </c>
      <c r="H680" s="1" t="s">
        <v>26</v>
      </c>
      <c r="I680" s="1" t="s">
        <v>85</v>
      </c>
      <c r="J680">
        <v>12.5</v>
      </c>
      <c r="K680">
        <v>34.99</v>
      </c>
      <c r="L680" s="1" t="s">
        <v>60</v>
      </c>
      <c r="M680" s="1" t="s">
        <v>29</v>
      </c>
      <c r="N680" s="1" t="s">
        <v>30</v>
      </c>
      <c r="O680" s="1" t="s">
        <v>31</v>
      </c>
      <c r="P680" s="2">
        <v>45778</v>
      </c>
      <c r="Q680" s="1" t="s">
        <v>358</v>
      </c>
      <c r="R680" s="1" t="s">
        <v>1391</v>
      </c>
      <c r="S680" s="1" t="s">
        <v>34</v>
      </c>
      <c r="T680" s="1" t="s">
        <v>35</v>
      </c>
      <c r="U680" s="1" t="s">
        <v>82</v>
      </c>
      <c r="V680" s="1" t="s">
        <v>89</v>
      </c>
      <c r="W680">
        <v>2.4</v>
      </c>
    </row>
    <row r="681" spans="1:23" x14ac:dyDescent="0.3">
      <c r="A681" s="1" t="s">
        <v>1661</v>
      </c>
      <c r="B681">
        <v>1</v>
      </c>
      <c r="C681">
        <v>27.99</v>
      </c>
      <c r="D681">
        <v>27.99</v>
      </c>
      <c r="E681" s="1" t="s">
        <v>1420</v>
      </c>
      <c r="F681" s="1" t="s">
        <v>70</v>
      </c>
      <c r="G681">
        <v>0</v>
      </c>
      <c r="H681" s="1" t="s">
        <v>96</v>
      </c>
      <c r="I681" s="1" t="s">
        <v>75</v>
      </c>
      <c r="J681">
        <v>9</v>
      </c>
      <c r="K681">
        <v>27.99</v>
      </c>
      <c r="L681" s="1" t="s">
        <v>28</v>
      </c>
      <c r="M681" s="1" t="s">
        <v>61</v>
      </c>
      <c r="N681" s="1" t="s">
        <v>62</v>
      </c>
      <c r="O681" s="1" t="s">
        <v>31</v>
      </c>
      <c r="P681" s="2">
        <v>45726</v>
      </c>
      <c r="Q681" s="1" t="s">
        <v>425</v>
      </c>
      <c r="R681" s="1" t="s">
        <v>1435</v>
      </c>
      <c r="S681" s="1" t="s">
        <v>54</v>
      </c>
      <c r="T681" s="1" t="s">
        <v>35</v>
      </c>
      <c r="U681" s="1" t="s">
        <v>48</v>
      </c>
      <c r="V681" s="1" t="s">
        <v>37</v>
      </c>
      <c r="W681">
        <v>2</v>
      </c>
    </row>
    <row r="682" spans="1:23" x14ac:dyDescent="0.3">
      <c r="A682" s="1" t="s">
        <v>1662</v>
      </c>
      <c r="B682">
        <v>2</v>
      </c>
      <c r="C682">
        <v>27.99</v>
      </c>
      <c r="D682">
        <v>47.87</v>
      </c>
      <c r="E682" s="1" t="s">
        <v>457</v>
      </c>
      <c r="F682" s="1" t="s">
        <v>40</v>
      </c>
      <c r="G682">
        <v>2</v>
      </c>
      <c r="H682" s="1" t="s">
        <v>58</v>
      </c>
      <c r="I682" s="1" t="s">
        <v>75</v>
      </c>
      <c r="J682">
        <v>9</v>
      </c>
      <c r="K682">
        <v>27.99</v>
      </c>
      <c r="L682" s="1" t="s">
        <v>28</v>
      </c>
      <c r="M682" s="1" t="s">
        <v>61</v>
      </c>
      <c r="N682" s="1" t="s">
        <v>62</v>
      </c>
      <c r="O682" s="1" t="s">
        <v>31</v>
      </c>
      <c r="P682" s="2">
        <v>45726</v>
      </c>
      <c r="Q682" s="1" t="s">
        <v>137</v>
      </c>
      <c r="R682" s="1" t="s">
        <v>1311</v>
      </c>
      <c r="S682" s="1" t="s">
        <v>47</v>
      </c>
      <c r="T682" s="1" t="s">
        <v>35</v>
      </c>
      <c r="U682" s="1" t="s">
        <v>82</v>
      </c>
      <c r="V682" s="1" t="s">
        <v>37</v>
      </c>
      <c r="W682">
        <v>2</v>
      </c>
    </row>
    <row r="683" spans="1:23" x14ac:dyDescent="0.3">
      <c r="A683" s="1" t="s">
        <v>1663</v>
      </c>
      <c r="B683">
        <v>1</v>
      </c>
      <c r="C683">
        <v>30.99</v>
      </c>
      <c r="D683">
        <v>30.99</v>
      </c>
      <c r="E683" s="1" t="s">
        <v>1664</v>
      </c>
      <c r="F683" s="1" t="s">
        <v>25</v>
      </c>
      <c r="G683">
        <v>3</v>
      </c>
      <c r="H683" s="1" t="s">
        <v>96</v>
      </c>
      <c r="I683" s="1" t="s">
        <v>42</v>
      </c>
      <c r="J683">
        <v>10.5</v>
      </c>
      <c r="K683">
        <v>30.99</v>
      </c>
      <c r="L683" s="1" t="s">
        <v>28</v>
      </c>
      <c r="M683" s="1" t="s">
        <v>43</v>
      </c>
      <c r="N683" s="1" t="s">
        <v>44</v>
      </c>
      <c r="O683" s="1" t="s">
        <v>31</v>
      </c>
      <c r="P683" s="2">
        <v>45823</v>
      </c>
      <c r="Q683" s="1" t="s">
        <v>1140</v>
      </c>
      <c r="R683" s="1" t="s">
        <v>1141</v>
      </c>
      <c r="S683" s="1" t="s">
        <v>34</v>
      </c>
      <c r="T683" s="1" t="s">
        <v>35</v>
      </c>
      <c r="U683" s="1" t="s">
        <v>36</v>
      </c>
      <c r="V683" s="1" t="s">
        <v>37</v>
      </c>
      <c r="W683">
        <v>2</v>
      </c>
    </row>
    <row r="684" spans="1:23" x14ac:dyDescent="0.3">
      <c r="A684" s="1" t="s">
        <v>1665</v>
      </c>
      <c r="B684">
        <v>1</v>
      </c>
      <c r="C684">
        <v>30.99</v>
      </c>
      <c r="D684">
        <v>30.99</v>
      </c>
      <c r="E684" s="1" t="s">
        <v>1381</v>
      </c>
      <c r="F684" s="1" t="s">
        <v>40</v>
      </c>
      <c r="G684">
        <v>3</v>
      </c>
      <c r="H684" s="1" t="s">
        <v>58</v>
      </c>
      <c r="I684" s="1" t="s">
        <v>42</v>
      </c>
      <c r="J684">
        <v>10.5</v>
      </c>
      <c r="K684">
        <v>30.99</v>
      </c>
      <c r="L684" s="1" t="s">
        <v>28</v>
      </c>
      <c r="M684" s="1" t="s">
        <v>43</v>
      </c>
      <c r="N684" s="1" t="s">
        <v>44</v>
      </c>
      <c r="O684" s="1" t="s">
        <v>31</v>
      </c>
      <c r="P684" s="2">
        <v>45823</v>
      </c>
      <c r="Q684" s="1" t="s">
        <v>1260</v>
      </c>
      <c r="R684" s="1" t="s">
        <v>1261</v>
      </c>
      <c r="S684" s="1" t="s">
        <v>105</v>
      </c>
      <c r="T684" s="1" t="s">
        <v>35</v>
      </c>
      <c r="U684" s="1" t="s">
        <v>82</v>
      </c>
      <c r="V684" s="1" t="s">
        <v>37</v>
      </c>
      <c r="W684">
        <v>2</v>
      </c>
    </row>
    <row r="685" spans="1:23" x14ac:dyDescent="0.3">
      <c r="A685" s="1" t="s">
        <v>1666</v>
      </c>
      <c r="B685">
        <v>1</v>
      </c>
      <c r="C685">
        <v>16.989999999999998</v>
      </c>
      <c r="D685">
        <v>16.989999999999998</v>
      </c>
      <c r="E685" s="1" t="s">
        <v>1295</v>
      </c>
      <c r="F685" s="1" t="s">
        <v>188</v>
      </c>
      <c r="G685">
        <v>0</v>
      </c>
      <c r="H685" s="1" t="s">
        <v>58</v>
      </c>
      <c r="I685" s="1" t="s">
        <v>59</v>
      </c>
      <c r="J685">
        <v>5</v>
      </c>
      <c r="K685">
        <v>16.989999999999998</v>
      </c>
      <c r="L685" s="1" t="s">
        <v>60</v>
      </c>
      <c r="M685" s="1" t="s">
        <v>61</v>
      </c>
      <c r="N685" s="1" t="s">
        <v>62</v>
      </c>
      <c r="O685" s="1" t="s">
        <v>31</v>
      </c>
      <c r="P685" s="2">
        <v>45726</v>
      </c>
      <c r="Q685" s="1" t="s">
        <v>133</v>
      </c>
      <c r="R685" s="1" t="s">
        <v>776</v>
      </c>
      <c r="S685" s="1" t="s">
        <v>88</v>
      </c>
      <c r="T685" s="1" t="s">
        <v>35</v>
      </c>
      <c r="U685" s="1" t="s">
        <v>48</v>
      </c>
      <c r="V685" s="1" t="s">
        <v>67</v>
      </c>
      <c r="W685">
        <v>3</v>
      </c>
    </row>
    <row r="686" spans="1:23" x14ac:dyDescent="0.3">
      <c r="A686" s="1" t="s">
        <v>1667</v>
      </c>
      <c r="B686">
        <v>1</v>
      </c>
      <c r="C686">
        <v>16.989999999999998</v>
      </c>
      <c r="D686">
        <v>16.989999999999998</v>
      </c>
      <c r="E686" s="1" t="s">
        <v>1271</v>
      </c>
      <c r="F686" s="1" t="s">
        <v>40</v>
      </c>
      <c r="G686">
        <v>18</v>
      </c>
      <c r="H686" s="1" t="s">
        <v>58</v>
      </c>
      <c r="I686" s="1" t="s">
        <v>59</v>
      </c>
      <c r="J686">
        <v>5</v>
      </c>
      <c r="K686">
        <v>16.989999999999998</v>
      </c>
      <c r="L686" s="1" t="s">
        <v>60</v>
      </c>
      <c r="M686" s="1" t="s">
        <v>61</v>
      </c>
      <c r="N686" s="1" t="s">
        <v>62</v>
      </c>
      <c r="O686" s="1" t="s">
        <v>31</v>
      </c>
      <c r="P686" s="2">
        <v>45726</v>
      </c>
      <c r="Q686" s="1" t="s">
        <v>1191</v>
      </c>
      <c r="R686" s="1" t="s">
        <v>1668</v>
      </c>
      <c r="S686" s="1" t="s">
        <v>65</v>
      </c>
      <c r="T686" s="1" t="s">
        <v>35</v>
      </c>
      <c r="U686" s="1" t="s">
        <v>55</v>
      </c>
      <c r="V686" s="1" t="s">
        <v>67</v>
      </c>
      <c r="W686">
        <v>3</v>
      </c>
    </row>
    <row r="687" spans="1:23" x14ac:dyDescent="0.3">
      <c r="A687" s="1" t="s">
        <v>1669</v>
      </c>
      <c r="B687">
        <v>1</v>
      </c>
      <c r="C687">
        <v>34.99</v>
      </c>
      <c r="D687">
        <v>34.99</v>
      </c>
      <c r="E687" s="1" t="s">
        <v>1471</v>
      </c>
      <c r="F687" s="1" t="s">
        <v>40</v>
      </c>
      <c r="G687">
        <v>8</v>
      </c>
      <c r="H687" s="1" t="s">
        <v>96</v>
      </c>
      <c r="I687" s="1" t="s">
        <v>85</v>
      </c>
      <c r="J687">
        <v>12.5</v>
      </c>
      <c r="K687">
        <v>34.99</v>
      </c>
      <c r="L687" s="1" t="s">
        <v>60</v>
      </c>
      <c r="M687" s="1" t="s">
        <v>29</v>
      </c>
      <c r="N687" s="1" t="s">
        <v>30</v>
      </c>
      <c r="O687" s="1" t="s">
        <v>31</v>
      </c>
      <c r="P687" s="2">
        <v>45778</v>
      </c>
      <c r="Q687" s="1" t="s">
        <v>1603</v>
      </c>
      <c r="R687" s="1" t="s">
        <v>1604</v>
      </c>
      <c r="S687" s="1" t="s">
        <v>105</v>
      </c>
      <c r="T687" s="1" t="s">
        <v>35</v>
      </c>
      <c r="U687" s="1" t="s">
        <v>55</v>
      </c>
      <c r="V687" s="1" t="s">
        <v>89</v>
      </c>
      <c r="W687">
        <v>2.4</v>
      </c>
    </row>
    <row r="688" spans="1:23" x14ac:dyDescent="0.3">
      <c r="A688" s="1" t="s">
        <v>1670</v>
      </c>
      <c r="B688">
        <v>1</v>
      </c>
      <c r="C688">
        <v>16.989999999999998</v>
      </c>
      <c r="D688">
        <v>16.989999999999998</v>
      </c>
      <c r="E688" s="1" t="s">
        <v>57</v>
      </c>
      <c r="F688" s="1" t="s">
        <v>40</v>
      </c>
      <c r="G688">
        <v>20</v>
      </c>
      <c r="H688" s="1" t="s">
        <v>96</v>
      </c>
      <c r="I688" s="1" t="s">
        <v>59</v>
      </c>
      <c r="J688">
        <v>5</v>
      </c>
      <c r="K688">
        <v>16.989999999999998</v>
      </c>
      <c r="L688" s="1" t="s">
        <v>60</v>
      </c>
      <c r="M688" s="1" t="s">
        <v>61</v>
      </c>
      <c r="N688" s="1" t="s">
        <v>62</v>
      </c>
      <c r="O688" s="1" t="s">
        <v>31</v>
      </c>
      <c r="P688" s="2">
        <v>45726</v>
      </c>
      <c r="Q688" s="1" t="s">
        <v>1234</v>
      </c>
      <c r="R688" s="1" t="s">
        <v>1671</v>
      </c>
      <c r="S688" s="1" t="s">
        <v>47</v>
      </c>
      <c r="T688" s="1" t="s">
        <v>35</v>
      </c>
      <c r="U688" s="1" t="s">
        <v>82</v>
      </c>
      <c r="V688" s="1" t="s">
        <v>67</v>
      </c>
      <c r="W688">
        <v>3</v>
      </c>
    </row>
    <row r="689" spans="1:23" x14ac:dyDescent="0.3">
      <c r="A689" s="1" t="s">
        <v>1672</v>
      </c>
      <c r="B689">
        <v>1</v>
      </c>
      <c r="C689">
        <v>21.99</v>
      </c>
      <c r="D689">
        <v>21.99</v>
      </c>
      <c r="E689" s="1" t="s">
        <v>1214</v>
      </c>
      <c r="F689" s="1" t="s">
        <v>40</v>
      </c>
      <c r="G689">
        <v>3</v>
      </c>
      <c r="H689" s="1" t="s">
        <v>58</v>
      </c>
      <c r="I689" s="1" t="s">
        <v>27</v>
      </c>
      <c r="J689">
        <v>7</v>
      </c>
      <c r="K689">
        <v>21.99</v>
      </c>
      <c r="L689" s="1" t="s">
        <v>28</v>
      </c>
      <c r="M689" s="1" t="s">
        <v>29</v>
      </c>
      <c r="N689" s="1" t="s">
        <v>30</v>
      </c>
      <c r="O689" s="1" t="s">
        <v>31</v>
      </c>
      <c r="P689" s="2">
        <v>45778</v>
      </c>
      <c r="Q689" s="1" t="s">
        <v>266</v>
      </c>
      <c r="R689" s="1" t="s">
        <v>764</v>
      </c>
      <c r="S689" s="1" t="s">
        <v>105</v>
      </c>
      <c r="T689" s="1" t="s">
        <v>35</v>
      </c>
      <c r="U689" s="1" t="s">
        <v>36</v>
      </c>
      <c r="V689" s="1" t="s">
        <v>37</v>
      </c>
      <c r="W689">
        <v>2</v>
      </c>
    </row>
    <row r="690" spans="1:23" x14ac:dyDescent="0.3">
      <c r="A690" s="1" t="s">
        <v>1673</v>
      </c>
      <c r="B690">
        <v>1</v>
      </c>
      <c r="C690">
        <v>21.99</v>
      </c>
      <c r="D690">
        <v>21.99</v>
      </c>
      <c r="E690" s="1" t="s">
        <v>297</v>
      </c>
      <c r="F690" s="1" t="s">
        <v>40</v>
      </c>
      <c r="G690">
        <v>2</v>
      </c>
      <c r="H690" s="1" t="s">
        <v>96</v>
      </c>
      <c r="I690" s="1" t="s">
        <v>27</v>
      </c>
      <c r="J690">
        <v>7</v>
      </c>
      <c r="K690">
        <v>21.99</v>
      </c>
      <c r="L690" s="1" t="s">
        <v>28</v>
      </c>
      <c r="M690" s="1" t="s">
        <v>29</v>
      </c>
      <c r="N690" s="1" t="s">
        <v>30</v>
      </c>
      <c r="O690" s="1" t="s">
        <v>31</v>
      </c>
      <c r="P690" s="2">
        <v>45778</v>
      </c>
      <c r="Q690" s="1" t="s">
        <v>839</v>
      </c>
      <c r="R690" s="1" t="s">
        <v>840</v>
      </c>
      <c r="S690" s="1" t="s">
        <v>65</v>
      </c>
      <c r="T690" s="1" t="s">
        <v>35</v>
      </c>
      <c r="U690" s="1" t="s">
        <v>55</v>
      </c>
      <c r="V690" s="1" t="s">
        <v>37</v>
      </c>
      <c r="W690">
        <v>2</v>
      </c>
    </row>
    <row r="691" spans="1:23" x14ac:dyDescent="0.3">
      <c r="A691" s="1" t="s">
        <v>1674</v>
      </c>
      <c r="B691">
        <v>3</v>
      </c>
      <c r="C691">
        <v>30.99</v>
      </c>
      <c r="D691">
        <v>74.790000000000006</v>
      </c>
      <c r="E691" s="1" t="s">
        <v>457</v>
      </c>
      <c r="F691" s="1" t="s">
        <v>25</v>
      </c>
      <c r="G691">
        <v>2</v>
      </c>
      <c r="H691" s="1" t="s">
        <v>58</v>
      </c>
      <c r="I691" s="1" t="s">
        <v>42</v>
      </c>
      <c r="J691">
        <v>10.5</v>
      </c>
      <c r="K691">
        <v>30.99</v>
      </c>
      <c r="L691" s="1" t="s">
        <v>28</v>
      </c>
      <c r="M691" s="1" t="s">
        <v>43</v>
      </c>
      <c r="N691" s="1" t="s">
        <v>44</v>
      </c>
      <c r="O691" s="1" t="s">
        <v>31</v>
      </c>
      <c r="P691" s="2">
        <v>45823</v>
      </c>
      <c r="Q691" s="1" t="s">
        <v>1483</v>
      </c>
      <c r="R691" s="1" t="s">
        <v>1484</v>
      </c>
      <c r="S691" s="1" t="s">
        <v>54</v>
      </c>
      <c r="T691" s="1" t="s">
        <v>35</v>
      </c>
      <c r="U691" s="1" t="s">
        <v>66</v>
      </c>
      <c r="V691" s="1" t="s">
        <v>37</v>
      </c>
      <c r="W691">
        <v>2</v>
      </c>
    </row>
    <row r="692" spans="1:23" x14ac:dyDescent="0.3">
      <c r="A692" s="1" t="s">
        <v>1675</v>
      </c>
      <c r="B692">
        <v>2</v>
      </c>
      <c r="C692">
        <v>18.989999999999998</v>
      </c>
      <c r="D692">
        <v>33.11</v>
      </c>
      <c r="E692" s="1" t="s">
        <v>759</v>
      </c>
      <c r="F692" s="1" t="s">
        <v>51</v>
      </c>
      <c r="G692">
        <v>0</v>
      </c>
      <c r="H692" s="1" t="s">
        <v>58</v>
      </c>
      <c r="I692" s="1" t="s">
        <v>97</v>
      </c>
      <c r="J692">
        <v>6</v>
      </c>
      <c r="K692">
        <v>18.989999999999998</v>
      </c>
      <c r="L692" s="1" t="s">
        <v>60</v>
      </c>
      <c r="M692" s="1" t="s">
        <v>43</v>
      </c>
      <c r="N692" s="1" t="s">
        <v>44</v>
      </c>
      <c r="O692" s="1" t="s">
        <v>31</v>
      </c>
      <c r="P692" s="2">
        <v>45823</v>
      </c>
      <c r="Q692" s="1" t="s">
        <v>1676</v>
      </c>
      <c r="R692" s="1" t="s">
        <v>1677</v>
      </c>
      <c r="S692" s="1" t="s">
        <v>105</v>
      </c>
      <c r="T692" s="1" t="s">
        <v>35</v>
      </c>
      <c r="U692" s="1" t="s">
        <v>66</v>
      </c>
      <c r="V692" s="1" t="s">
        <v>100</v>
      </c>
      <c r="W692">
        <v>3.2</v>
      </c>
    </row>
    <row r="693" spans="1:23" x14ac:dyDescent="0.3">
      <c r="A693" s="1" t="s">
        <v>1678</v>
      </c>
      <c r="B693">
        <v>3</v>
      </c>
      <c r="C693">
        <v>30.99</v>
      </c>
      <c r="D693">
        <v>73.569999999999993</v>
      </c>
      <c r="E693" s="1" t="s">
        <v>1679</v>
      </c>
      <c r="F693" s="1" t="s">
        <v>51</v>
      </c>
      <c r="G693">
        <v>0</v>
      </c>
      <c r="H693" s="1" t="s">
        <v>96</v>
      </c>
      <c r="I693" s="1" t="s">
        <v>42</v>
      </c>
      <c r="J693">
        <v>10.5</v>
      </c>
      <c r="K693">
        <v>30.99</v>
      </c>
      <c r="L693" s="1" t="s">
        <v>28</v>
      </c>
      <c r="M693" s="1" t="s">
        <v>43</v>
      </c>
      <c r="N693" s="1" t="s">
        <v>44</v>
      </c>
      <c r="O693" s="1" t="s">
        <v>31</v>
      </c>
      <c r="P693" s="2">
        <v>45823</v>
      </c>
      <c r="Q693" s="1" t="s">
        <v>741</v>
      </c>
      <c r="R693" s="1" t="s">
        <v>1680</v>
      </c>
      <c r="S693" s="1" t="s">
        <v>65</v>
      </c>
      <c r="T693" s="1" t="s">
        <v>35</v>
      </c>
      <c r="U693" s="1" t="s">
        <v>66</v>
      </c>
      <c r="V693" s="1" t="s">
        <v>37</v>
      </c>
      <c r="W693">
        <v>2</v>
      </c>
    </row>
    <row r="694" spans="1:23" x14ac:dyDescent="0.3">
      <c r="A694" s="1" t="s">
        <v>1681</v>
      </c>
      <c r="B694">
        <v>3</v>
      </c>
      <c r="C694">
        <v>30.99</v>
      </c>
      <c r="D694">
        <v>74.11</v>
      </c>
      <c r="E694" s="1" t="s">
        <v>964</v>
      </c>
      <c r="F694" s="1" t="s">
        <v>40</v>
      </c>
      <c r="G694">
        <v>3</v>
      </c>
      <c r="H694" s="1" t="s">
        <v>26</v>
      </c>
      <c r="I694" s="1" t="s">
        <v>42</v>
      </c>
      <c r="J694">
        <v>10.5</v>
      </c>
      <c r="K694">
        <v>30.99</v>
      </c>
      <c r="L694" s="1" t="s">
        <v>28</v>
      </c>
      <c r="M694" s="1" t="s">
        <v>43</v>
      </c>
      <c r="N694" s="1" t="s">
        <v>44</v>
      </c>
      <c r="O694" s="1" t="s">
        <v>31</v>
      </c>
      <c r="P694" s="2">
        <v>45823</v>
      </c>
      <c r="Q694" s="1" t="s">
        <v>760</v>
      </c>
      <c r="R694" s="1" t="s">
        <v>1682</v>
      </c>
      <c r="S694" s="1" t="s">
        <v>105</v>
      </c>
      <c r="T694" s="1" t="s">
        <v>35</v>
      </c>
      <c r="U694" s="1" t="s">
        <v>48</v>
      </c>
      <c r="V694" s="1" t="s">
        <v>37</v>
      </c>
      <c r="W694">
        <v>2</v>
      </c>
    </row>
    <row r="695" spans="1:23" x14ac:dyDescent="0.3">
      <c r="A695" s="1" t="s">
        <v>1683</v>
      </c>
      <c r="B695">
        <v>3</v>
      </c>
      <c r="C695">
        <v>34.99</v>
      </c>
      <c r="D695">
        <v>82.97</v>
      </c>
      <c r="E695" s="1" t="s">
        <v>946</v>
      </c>
      <c r="F695" s="1" t="s">
        <v>40</v>
      </c>
      <c r="G695">
        <v>5</v>
      </c>
      <c r="H695" s="1" t="s">
        <v>41</v>
      </c>
      <c r="I695" s="1" t="s">
        <v>85</v>
      </c>
      <c r="J695">
        <v>12.5</v>
      </c>
      <c r="K695">
        <v>34.99</v>
      </c>
      <c r="L695" s="1" t="s">
        <v>60</v>
      </c>
      <c r="M695" s="1" t="s">
        <v>29</v>
      </c>
      <c r="N695" s="1" t="s">
        <v>30</v>
      </c>
      <c r="O695" s="1" t="s">
        <v>31</v>
      </c>
      <c r="P695" s="2">
        <v>45778</v>
      </c>
      <c r="Q695" s="1" t="s">
        <v>1253</v>
      </c>
      <c r="R695" s="1" t="s">
        <v>1254</v>
      </c>
      <c r="S695" s="1" t="s">
        <v>105</v>
      </c>
      <c r="T695" s="1" t="s">
        <v>35</v>
      </c>
      <c r="U695" s="1" t="s">
        <v>66</v>
      </c>
      <c r="V695" s="1" t="s">
        <v>89</v>
      </c>
      <c r="W695">
        <v>2.4</v>
      </c>
    </row>
    <row r="696" spans="1:23" x14ac:dyDescent="0.3">
      <c r="A696" s="1" t="s">
        <v>1684</v>
      </c>
      <c r="B696">
        <v>3</v>
      </c>
      <c r="C696">
        <v>34.99</v>
      </c>
      <c r="D696">
        <v>82.43</v>
      </c>
      <c r="E696" s="1" t="s">
        <v>1685</v>
      </c>
      <c r="F696" s="1" t="s">
        <v>188</v>
      </c>
      <c r="G696">
        <v>0</v>
      </c>
      <c r="H696" s="1" t="s">
        <v>96</v>
      </c>
      <c r="I696" s="1" t="s">
        <v>85</v>
      </c>
      <c r="J696">
        <v>12.5</v>
      </c>
      <c r="K696">
        <v>34.99</v>
      </c>
      <c r="L696" s="1" t="s">
        <v>60</v>
      </c>
      <c r="M696" s="1" t="s">
        <v>29</v>
      </c>
      <c r="N696" s="1" t="s">
        <v>30</v>
      </c>
      <c r="O696" s="1" t="s">
        <v>31</v>
      </c>
      <c r="P696" s="2">
        <v>45778</v>
      </c>
      <c r="Q696" s="1" t="s">
        <v>63</v>
      </c>
      <c r="R696" s="1" t="s">
        <v>1686</v>
      </c>
      <c r="S696" s="1" t="s">
        <v>88</v>
      </c>
      <c r="T696" s="1" t="s">
        <v>35</v>
      </c>
      <c r="U696" s="1" t="s">
        <v>48</v>
      </c>
      <c r="V696" s="1" t="s">
        <v>89</v>
      </c>
      <c r="W696">
        <v>2.4</v>
      </c>
    </row>
    <row r="697" spans="1:23" x14ac:dyDescent="0.3">
      <c r="A697" s="1" t="s">
        <v>1687</v>
      </c>
      <c r="B697">
        <v>2</v>
      </c>
      <c r="C697">
        <v>30.99</v>
      </c>
      <c r="D697">
        <v>53.58</v>
      </c>
      <c r="E697" s="1" t="s">
        <v>224</v>
      </c>
      <c r="F697" s="1" t="s">
        <v>40</v>
      </c>
      <c r="G697">
        <v>3</v>
      </c>
      <c r="H697" s="1" t="s">
        <v>58</v>
      </c>
      <c r="I697" s="1" t="s">
        <v>42</v>
      </c>
      <c r="J697">
        <v>10.5</v>
      </c>
      <c r="K697">
        <v>30.99</v>
      </c>
      <c r="L697" s="1" t="s">
        <v>28</v>
      </c>
      <c r="M697" s="1" t="s">
        <v>43</v>
      </c>
      <c r="N697" s="1" t="s">
        <v>44</v>
      </c>
      <c r="O697" s="1" t="s">
        <v>31</v>
      </c>
      <c r="P697" s="2">
        <v>45823</v>
      </c>
      <c r="Q697" s="1" t="s">
        <v>1211</v>
      </c>
      <c r="R697" s="1" t="s">
        <v>1212</v>
      </c>
      <c r="S697" s="1" t="s">
        <v>34</v>
      </c>
      <c r="T697" s="1" t="s">
        <v>35</v>
      </c>
      <c r="U697" s="1" t="s">
        <v>66</v>
      </c>
      <c r="V697" s="1" t="s">
        <v>37</v>
      </c>
      <c r="W697">
        <v>2</v>
      </c>
    </row>
    <row r="698" spans="1:23" x14ac:dyDescent="0.3">
      <c r="A698" s="1" t="s">
        <v>1688</v>
      </c>
      <c r="B698">
        <v>1</v>
      </c>
      <c r="C698">
        <v>18.989999999999998</v>
      </c>
      <c r="D698">
        <v>18.989999999999998</v>
      </c>
      <c r="E698" s="1" t="s">
        <v>1548</v>
      </c>
      <c r="F698" s="1" t="s">
        <v>188</v>
      </c>
      <c r="G698">
        <v>0</v>
      </c>
      <c r="H698" s="1" t="s">
        <v>58</v>
      </c>
      <c r="I698" s="1" t="s">
        <v>97</v>
      </c>
      <c r="J698">
        <v>6</v>
      </c>
      <c r="K698">
        <v>18.989999999999998</v>
      </c>
      <c r="L698" s="1" t="s">
        <v>60</v>
      </c>
      <c r="M698" s="1" t="s">
        <v>43</v>
      </c>
      <c r="N698" s="1" t="s">
        <v>44</v>
      </c>
      <c r="O698" s="1" t="s">
        <v>31</v>
      </c>
      <c r="P698" s="2">
        <v>45823</v>
      </c>
      <c r="Q698" s="1" t="s">
        <v>793</v>
      </c>
      <c r="R698" s="1" t="s">
        <v>1182</v>
      </c>
      <c r="S698" s="1" t="s">
        <v>88</v>
      </c>
      <c r="T698" s="1" t="s">
        <v>35</v>
      </c>
      <c r="U698" s="1" t="s">
        <v>82</v>
      </c>
      <c r="V698" s="1" t="s">
        <v>100</v>
      </c>
      <c r="W698">
        <v>3.2</v>
      </c>
    </row>
    <row r="699" spans="1:23" x14ac:dyDescent="0.3">
      <c r="A699" s="1" t="s">
        <v>1689</v>
      </c>
      <c r="B699">
        <v>1</v>
      </c>
      <c r="C699">
        <v>30.99</v>
      </c>
      <c r="D699">
        <v>30.99</v>
      </c>
      <c r="E699" s="1" t="s">
        <v>1108</v>
      </c>
      <c r="F699" s="1" t="s">
        <v>25</v>
      </c>
      <c r="G699">
        <v>3</v>
      </c>
      <c r="H699" s="1" t="s">
        <v>96</v>
      </c>
      <c r="I699" s="1" t="s">
        <v>42</v>
      </c>
      <c r="J699">
        <v>10.5</v>
      </c>
      <c r="K699">
        <v>30.99</v>
      </c>
      <c r="L699" s="1" t="s">
        <v>28</v>
      </c>
      <c r="M699" s="1" t="s">
        <v>43</v>
      </c>
      <c r="N699" s="1" t="s">
        <v>44</v>
      </c>
      <c r="O699" s="1" t="s">
        <v>31</v>
      </c>
      <c r="P699" s="2">
        <v>45823</v>
      </c>
      <c r="Q699" s="1" t="s">
        <v>748</v>
      </c>
      <c r="R699" s="1" t="s">
        <v>749</v>
      </c>
      <c r="S699" s="1" t="s">
        <v>88</v>
      </c>
      <c r="T699" s="1" t="s">
        <v>35</v>
      </c>
      <c r="U699" s="1" t="s">
        <v>48</v>
      </c>
      <c r="V699" s="1" t="s">
        <v>37</v>
      </c>
      <c r="W699">
        <v>2</v>
      </c>
    </row>
    <row r="700" spans="1:23" x14ac:dyDescent="0.3">
      <c r="A700" s="1" t="s">
        <v>1690</v>
      </c>
      <c r="B700">
        <v>1</v>
      </c>
      <c r="C700">
        <v>16.989999999999998</v>
      </c>
      <c r="D700">
        <v>16.989999999999998</v>
      </c>
      <c r="E700" s="1" t="s">
        <v>1355</v>
      </c>
      <c r="F700" s="1" t="s">
        <v>70</v>
      </c>
      <c r="G700">
        <v>0</v>
      </c>
      <c r="H700" s="1" t="s">
        <v>41</v>
      </c>
      <c r="I700" s="1" t="s">
        <v>59</v>
      </c>
      <c r="J700">
        <v>5</v>
      </c>
      <c r="K700">
        <v>16.989999999999998</v>
      </c>
      <c r="L700" s="1" t="s">
        <v>60</v>
      </c>
      <c r="M700" s="1" t="s">
        <v>61</v>
      </c>
      <c r="N700" s="1" t="s">
        <v>62</v>
      </c>
      <c r="O700" s="1" t="s">
        <v>31</v>
      </c>
      <c r="P700" s="2">
        <v>45726</v>
      </c>
      <c r="Q700" s="1" t="s">
        <v>884</v>
      </c>
      <c r="R700" s="1" t="s">
        <v>885</v>
      </c>
      <c r="S700" s="1" t="s">
        <v>34</v>
      </c>
      <c r="T700" s="1" t="s">
        <v>35</v>
      </c>
      <c r="U700" s="1" t="s">
        <v>36</v>
      </c>
      <c r="V700" s="1" t="s">
        <v>67</v>
      </c>
      <c r="W700">
        <v>3</v>
      </c>
    </row>
    <row r="701" spans="1:23" x14ac:dyDescent="0.3">
      <c r="A701" s="1" t="s">
        <v>1691</v>
      </c>
      <c r="B701">
        <v>1</v>
      </c>
      <c r="C701">
        <v>30.99</v>
      </c>
      <c r="D701">
        <v>30.99</v>
      </c>
      <c r="E701" s="1" t="s">
        <v>1381</v>
      </c>
      <c r="F701" s="1" t="s">
        <v>51</v>
      </c>
      <c r="G701">
        <v>0</v>
      </c>
      <c r="H701" s="1" t="s">
        <v>58</v>
      </c>
      <c r="I701" s="1" t="s">
        <v>42</v>
      </c>
      <c r="J701">
        <v>10.5</v>
      </c>
      <c r="K701">
        <v>30.99</v>
      </c>
      <c r="L701" s="1" t="s">
        <v>28</v>
      </c>
      <c r="M701" s="1" t="s">
        <v>43</v>
      </c>
      <c r="N701" s="1" t="s">
        <v>44</v>
      </c>
      <c r="O701" s="1" t="s">
        <v>31</v>
      </c>
      <c r="P701" s="2">
        <v>45823</v>
      </c>
      <c r="Q701" s="1" t="s">
        <v>972</v>
      </c>
      <c r="R701" s="1" t="s">
        <v>1692</v>
      </c>
      <c r="S701" s="1" t="s">
        <v>105</v>
      </c>
      <c r="T701" s="1" t="s">
        <v>35</v>
      </c>
      <c r="U701" s="1" t="s">
        <v>48</v>
      </c>
      <c r="V701" s="1" t="s">
        <v>37</v>
      </c>
      <c r="W701">
        <v>2</v>
      </c>
    </row>
    <row r="702" spans="1:23" x14ac:dyDescent="0.3">
      <c r="A702" s="1" t="s">
        <v>1693</v>
      </c>
      <c r="B702">
        <v>3</v>
      </c>
      <c r="C702">
        <v>27.99</v>
      </c>
      <c r="D702">
        <v>66.290000000000006</v>
      </c>
      <c r="E702" s="1" t="s">
        <v>102</v>
      </c>
      <c r="F702" s="1" t="s">
        <v>51</v>
      </c>
      <c r="G702">
        <v>0</v>
      </c>
      <c r="H702" s="1" t="s">
        <v>58</v>
      </c>
      <c r="I702" s="1" t="s">
        <v>75</v>
      </c>
      <c r="J702">
        <v>9</v>
      </c>
      <c r="K702">
        <v>27.99</v>
      </c>
      <c r="L702" s="1" t="s">
        <v>28</v>
      </c>
      <c r="M702" s="1" t="s">
        <v>61</v>
      </c>
      <c r="N702" s="1" t="s">
        <v>62</v>
      </c>
      <c r="O702" s="1" t="s">
        <v>31</v>
      </c>
      <c r="P702" s="2">
        <v>45726</v>
      </c>
      <c r="Q702" s="1" t="s">
        <v>593</v>
      </c>
      <c r="R702" s="1" t="s">
        <v>1353</v>
      </c>
      <c r="S702" s="1" t="s">
        <v>65</v>
      </c>
      <c r="T702" s="1" t="s">
        <v>35</v>
      </c>
      <c r="U702" s="1" t="s">
        <v>66</v>
      </c>
      <c r="V702" s="1" t="s">
        <v>37</v>
      </c>
      <c r="W702">
        <v>2</v>
      </c>
    </row>
    <row r="703" spans="1:23" x14ac:dyDescent="0.3">
      <c r="A703" s="1" t="s">
        <v>1694</v>
      </c>
      <c r="B703">
        <v>2</v>
      </c>
      <c r="C703">
        <v>34.99</v>
      </c>
      <c r="D703">
        <v>60.43</v>
      </c>
      <c r="E703" s="1" t="s">
        <v>1268</v>
      </c>
      <c r="F703" s="1" t="s">
        <v>40</v>
      </c>
      <c r="G703">
        <v>5</v>
      </c>
      <c r="H703" s="1" t="s">
        <v>58</v>
      </c>
      <c r="I703" s="1" t="s">
        <v>85</v>
      </c>
      <c r="J703">
        <v>12.5</v>
      </c>
      <c r="K703">
        <v>34.99</v>
      </c>
      <c r="L703" s="1" t="s">
        <v>60</v>
      </c>
      <c r="M703" s="1" t="s">
        <v>29</v>
      </c>
      <c r="N703" s="1" t="s">
        <v>30</v>
      </c>
      <c r="O703" s="1" t="s">
        <v>31</v>
      </c>
      <c r="P703" s="2">
        <v>45778</v>
      </c>
      <c r="Q703" s="1" t="s">
        <v>732</v>
      </c>
      <c r="R703" s="1" t="s">
        <v>825</v>
      </c>
      <c r="S703" s="1" t="s">
        <v>47</v>
      </c>
      <c r="T703" s="1" t="s">
        <v>35</v>
      </c>
      <c r="U703" s="1" t="s">
        <v>66</v>
      </c>
      <c r="V703" s="1" t="s">
        <v>89</v>
      </c>
      <c r="W703">
        <v>2.4</v>
      </c>
    </row>
    <row r="704" spans="1:23" x14ac:dyDescent="0.3">
      <c r="A704" s="1" t="s">
        <v>1695</v>
      </c>
      <c r="B704">
        <v>3</v>
      </c>
      <c r="C704">
        <v>27.99</v>
      </c>
      <c r="D704">
        <v>66.930000000000007</v>
      </c>
      <c r="E704" s="1" t="s">
        <v>246</v>
      </c>
      <c r="F704" s="1" t="s">
        <v>70</v>
      </c>
      <c r="G704">
        <v>0</v>
      </c>
      <c r="H704" s="1" t="s">
        <v>26</v>
      </c>
      <c r="I704" s="1" t="s">
        <v>75</v>
      </c>
      <c r="J704">
        <v>9</v>
      </c>
      <c r="K704">
        <v>27.99</v>
      </c>
      <c r="L704" s="1" t="s">
        <v>28</v>
      </c>
      <c r="M704" s="1" t="s">
        <v>61</v>
      </c>
      <c r="N704" s="1" t="s">
        <v>62</v>
      </c>
      <c r="O704" s="1" t="s">
        <v>31</v>
      </c>
      <c r="P704" s="2">
        <v>45726</v>
      </c>
      <c r="Q704" s="1" t="s">
        <v>990</v>
      </c>
      <c r="R704" s="1" t="s">
        <v>1228</v>
      </c>
      <c r="S704" s="1" t="s">
        <v>47</v>
      </c>
      <c r="T704" s="1" t="s">
        <v>35</v>
      </c>
      <c r="U704" s="1" t="s">
        <v>55</v>
      </c>
      <c r="V704" s="1" t="s">
        <v>37</v>
      </c>
      <c r="W704">
        <v>2</v>
      </c>
    </row>
    <row r="705" spans="1:23" x14ac:dyDescent="0.3">
      <c r="A705" s="1" t="s">
        <v>1696</v>
      </c>
      <c r="B705">
        <v>1</v>
      </c>
      <c r="C705">
        <v>21.99</v>
      </c>
      <c r="D705">
        <v>21.99</v>
      </c>
      <c r="E705" s="1" t="s">
        <v>1407</v>
      </c>
      <c r="F705" s="1" t="s">
        <v>40</v>
      </c>
      <c r="G705">
        <v>3</v>
      </c>
      <c r="H705" s="1" t="s">
        <v>41</v>
      </c>
      <c r="I705" s="1" t="s">
        <v>27</v>
      </c>
      <c r="J705">
        <v>7</v>
      </c>
      <c r="K705">
        <v>21.99</v>
      </c>
      <c r="L705" s="1" t="s">
        <v>28</v>
      </c>
      <c r="M705" s="1" t="s">
        <v>29</v>
      </c>
      <c r="N705" s="1" t="s">
        <v>30</v>
      </c>
      <c r="O705" s="1" t="s">
        <v>31</v>
      </c>
      <c r="P705" s="2">
        <v>45778</v>
      </c>
      <c r="Q705" s="1" t="s">
        <v>738</v>
      </c>
      <c r="R705" s="1" t="s">
        <v>739</v>
      </c>
      <c r="S705" s="1" t="s">
        <v>34</v>
      </c>
      <c r="T705" s="1" t="s">
        <v>35</v>
      </c>
      <c r="U705" s="1" t="s">
        <v>82</v>
      </c>
      <c r="V705" s="1" t="s">
        <v>37</v>
      </c>
      <c r="W705">
        <v>2</v>
      </c>
    </row>
    <row r="706" spans="1:23" x14ac:dyDescent="0.3">
      <c r="A706" s="1" t="s">
        <v>1697</v>
      </c>
      <c r="B706">
        <v>1</v>
      </c>
      <c r="C706">
        <v>27.99</v>
      </c>
      <c r="D706">
        <v>27.99</v>
      </c>
      <c r="E706" s="1" t="s">
        <v>1698</v>
      </c>
      <c r="F706" s="1" t="s">
        <v>51</v>
      </c>
      <c r="G706">
        <v>0</v>
      </c>
      <c r="H706" s="1" t="s">
        <v>96</v>
      </c>
      <c r="I706" s="1" t="s">
        <v>75</v>
      </c>
      <c r="J706">
        <v>9</v>
      </c>
      <c r="K706">
        <v>27.99</v>
      </c>
      <c r="L706" s="1" t="s">
        <v>28</v>
      </c>
      <c r="M706" s="1" t="s">
        <v>61</v>
      </c>
      <c r="N706" s="1" t="s">
        <v>62</v>
      </c>
      <c r="O706" s="1" t="s">
        <v>31</v>
      </c>
      <c r="P706" s="2">
        <v>45726</v>
      </c>
      <c r="Q706" s="1" t="s">
        <v>1480</v>
      </c>
      <c r="R706" s="1" t="s">
        <v>1699</v>
      </c>
      <c r="S706" s="1" t="s">
        <v>88</v>
      </c>
      <c r="T706" s="1" t="s">
        <v>35</v>
      </c>
      <c r="U706" s="1" t="s">
        <v>48</v>
      </c>
      <c r="V706" s="1" t="s">
        <v>37</v>
      </c>
      <c r="W706">
        <v>2</v>
      </c>
    </row>
    <row r="707" spans="1:23" x14ac:dyDescent="0.3">
      <c r="A707" s="1" t="s">
        <v>1700</v>
      </c>
      <c r="B707">
        <v>3</v>
      </c>
      <c r="C707">
        <v>18.989999999999998</v>
      </c>
      <c r="D707">
        <v>45.88</v>
      </c>
      <c r="E707" s="1" t="s">
        <v>1455</v>
      </c>
      <c r="F707" s="1" t="s">
        <v>40</v>
      </c>
      <c r="G707">
        <v>10</v>
      </c>
      <c r="H707" s="1" t="s">
        <v>96</v>
      </c>
      <c r="I707" s="1" t="s">
        <v>97</v>
      </c>
      <c r="J707">
        <v>6</v>
      </c>
      <c r="K707">
        <v>18.989999999999998</v>
      </c>
      <c r="L707" s="1" t="s">
        <v>60</v>
      </c>
      <c r="M707" s="1" t="s">
        <v>43</v>
      </c>
      <c r="N707" s="1" t="s">
        <v>44</v>
      </c>
      <c r="O707" s="1" t="s">
        <v>31</v>
      </c>
      <c r="P707" s="2">
        <v>45823</v>
      </c>
      <c r="Q707" s="1" t="s">
        <v>1048</v>
      </c>
      <c r="R707" s="1" t="s">
        <v>1701</v>
      </c>
      <c r="S707" s="1" t="s">
        <v>105</v>
      </c>
      <c r="T707" s="1" t="s">
        <v>35</v>
      </c>
      <c r="U707" s="1" t="s">
        <v>82</v>
      </c>
      <c r="V707" s="1" t="s">
        <v>100</v>
      </c>
      <c r="W707">
        <v>3.2</v>
      </c>
    </row>
    <row r="708" spans="1:23" x14ac:dyDescent="0.3">
      <c r="A708" s="1" t="s">
        <v>1702</v>
      </c>
      <c r="B708">
        <v>1</v>
      </c>
      <c r="C708">
        <v>18.989999999999998</v>
      </c>
      <c r="D708">
        <v>18.989999999999998</v>
      </c>
      <c r="E708" s="1" t="s">
        <v>1064</v>
      </c>
      <c r="F708" s="1" t="s">
        <v>40</v>
      </c>
      <c r="G708">
        <v>11</v>
      </c>
      <c r="H708" s="1" t="s">
        <v>96</v>
      </c>
      <c r="I708" s="1" t="s">
        <v>97</v>
      </c>
      <c r="J708">
        <v>6</v>
      </c>
      <c r="K708">
        <v>18.989999999999998</v>
      </c>
      <c r="L708" s="1" t="s">
        <v>60</v>
      </c>
      <c r="M708" s="1" t="s">
        <v>43</v>
      </c>
      <c r="N708" s="1" t="s">
        <v>44</v>
      </c>
      <c r="O708" s="1" t="s">
        <v>31</v>
      </c>
      <c r="P708" s="2">
        <v>45823</v>
      </c>
      <c r="Q708" s="1" t="s">
        <v>1703</v>
      </c>
      <c r="R708" s="1" t="s">
        <v>1704</v>
      </c>
      <c r="S708" s="1" t="s">
        <v>105</v>
      </c>
      <c r="T708" s="1" t="s">
        <v>35</v>
      </c>
      <c r="U708" s="1" t="s">
        <v>82</v>
      </c>
      <c r="V708" s="1" t="s">
        <v>100</v>
      </c>
      <c r="W708">
        <v>3.2</v>
      </c>
    </row>
    <row r="709" spans="1:23" x14ac:dyDescent="0.3">
      <c r="A709" s="1" t="s">
        <v>1705</v>
      </c>
      <c r="B709">
        <v>1</v>
      </c>
      <c r="C709">
        <v>30.99</v>
      </c>
      <c r="D709">
        <v>30.99</v>
      </c>
      <c r="E709" s="1" t="s">
        <v>1051</v>
      </c>
      <c r="F709" s="1" t="s">
        <v>51</v>
      </c>
      <c r="G709">
        <v>0</v>
      </c>
      <c r="H709" s="1" t="s">
        <v>58</v>
      </c>
      <c r="I709" s="1" t="s">
        <v>42</v>
      </c>
      <c r="J709">
        <v>10.5</v>
      </c>
      <c r="K709">
        <v>30.99</v>
      </c>
      <c r="L709" s="1" t="s">
        <v>28</v>
      </c>
      <c r="M709" s="1" t="s">
        <v>43</v>
      </c>
      <c r="N709" s="1" t="s">
        <v>44</v>
      </c>
      <c r="O709" s="1" t="s">
        <v>31</v>
      </c>
      <c r="P709" s="2">
        <v>45823</v>
      </c>
      <c r="Q709" s="1" t="s">
        <v>1706</v>
      </c>
      <c r="R709" s="1" t="s">
        <v>1707</v>
      </c>
      <c r="S709" s="1" t="s">
        <v>54</v>
      </c>
      <c r="T709" s="1" t="s">
        <v>35</v>
      </c>
      <c r="U709" s="1" t="s">
        <v>82</v>
      </c>
      <c r="V709" s="1" t="s">
        <v>37</v>
      </c>
      <c r="W709">
        <v>2</v>
      </c>
    </row>
    <row r="710" spans="1:23" x14ac:dyDescent="0.3">
      <c r="A710" s="1" t="s">
        <v>1708</v>
      </c>
      <c r="B710">
        <v>1</v>
      </c>
      <c r="C710">
        <v>27.99</v>
      </c>
      <c r="D710">
        <v>27.99</v>
      </c>
      <c r="E710" s="1" t="s">
        <v>325</v>
      </c>
      <c r="F710" s="1" t="s">
        <v>40</v>
      </c>
      <c r="G710">
        <v>3</v>
      </c>
      <c r="H710" s="1" t="s">
        <v>26</v>
      </c>
      <c r="I710" s="1" t="s">
        <v>75</v>
      </c>
      <c r="J710">
        <v>9</v>
      </c>
      <c r="K710">
        <v>27.99</v>
      </c>
      <c r="L710" s="1" t="s">
        <v>28</v>
      </c>
      <c r="M710" s="1" t="s">
        <v>61</v>
      </c>
      <c r="N710" s="1" t="s">
        <v>62</v>
      </c>
      <c r="O710" s="1" t="s">
        <v>31</v>
      </c>
      <c r="P710" s="2">
        <v>45726</v>
      </c>
      <c r="Q710" s="1" t="s">
        <v>905</v>
      </c>
      <c r="R710" s="1" t="s">
        <v>906</v>
      </c>
      <c r="S710" s="1" t="s">
        <v>105</v>
      </c>
      <c r="T710" s="1" t="s">
        <v>35</v>
      </c>
      <c r="U710" s="1" t="s">
        <v>55</v>
      </c>
      <c r="V710" s="1" t="s">
        <v>37</v>
      </c>
      <c r="W710">
        <v>2</v>
      </c>
    </row>
    <row r="711" spans="1:23" x14ac:dyDescent="0.3">
      <c r="A711" s="1" t="s">
        <v>1709</v>
      </c>
      <c r="B711">
        <v>1</v>
      </c>
      <c r="C711">
        <v>21.99</v>
      </c>
      <c r="D711">
        <v>21.99</v>
      </c>
      <c r="E711" s="1" t="s">
        <v>1299</v>
      </c>
      <c r="F711" s="1" t="s">
        <v>40</v>
      </c>
      <c r="G711">
        <v>2</v>
      </c>
      <c r="H711" s="1" t="s">
        <v>26</v>
      </c>
      <c r="I711" s="1" t="s">
        <v>27</v>
      </c>
      <c r="J711">
        <v>7</v>
      </c>
      <c r="K711">
        <v>21.99</v>
      </c>
      <c r="L711" s="1" t="s">
        <v>28</v>
      </c>
      <c r="M711" s="1" t="s">
        <v>29</v>
      </c>
      <c r="N711" s="1" t="s">
        <v>30</v>
      </c>
      <c r="O711" s="1" t="s">
        <v>31</v>
      </c>
      <c r="P711" s="2">
        <v>45778</v>
      </c>
      <c r="Q711" s="1" t="s">
        <v>917</v>
      </c>
      <c r="R711" s="1" t="s">
        <v>1710</v>
      </c>
      <c r="S711" s="1" t="s">
        <v>34</v>
      </c>
      <c r="T711" s="1" t="s">
        <v>35</v>
      </c>
      <c r="U711" s="1" t="s">
        <v>82</v>
      </c>
      <c r="V711" s="1" t="s">
        <v>37</v>
      </c>
      <c r="W711">
        <v>2</v>
      </c>
    </row>
    <row r="712" spans="1:23" x14ac:dyDescent="0.3">
      <c r="A712" s="1" t="s">
        <v>1711</v>
      </c>
      <c r="B712">
        <v>1</v>
      </c>
      <c r="C712">
        <v>21.99</v>
      </c>
      <c r="D712">
        <v>21.99</v>
      </c>
      <c r="E712" s="1" t="s">
        <v>1452</v>
      </c>
      <c r="F712" s="1" t="s">
        <v>188</v>
      </c>
      <c r="G712">
        <v>0</v>
      </c>
      <c r="H712" s="1" t="s">
        <v>41</v>
      </c>
      <c r="I712" s="1" t="s">
        <v>27</v>
      </c>
      <c r="J712">
        <v>7</v>
      </c>
      <c r="K712">
        <v>21.99</v>
      </c>
      <c r="L712" s="1" t="s">
        <v>28</v>
      </c>
      <c r="M712" s="1" t="s">
        <v>29</v>
      </c>
      <c r="N712" s="1" t="s">
        <v>30</v>
      </c>
      <c r="O712" s="1" t="s">
        <v>31</v>
      </c>
      <c r="P712" s="2">
        <v>45778</v>
      </c>
      <c r="Q712" s="1" t="s">
        <v>1712</v>
      </c>
      <c r="R712" s="1" t="s">
        <v>1713</v>
      </c>
      <c r="S712" s="1" t="s">
        <v>34</v>
      </c>
      <c r="T712" s="1" t="s">
        <v>35</v>
      </c>
      <c r="U712" s="1" t="s">
        <v>48</v>
      </c>
      <c r="V712" s="1" t="s">
        <v>37</v>
      </c>
      <c r="W712">
        <v>2</v>
      </c>
    </row>
    <row r="713" spans="1:23" x14ac:dyDescent="0.3">
      <c r="A713" s="1" t="s">
        <v>1714</v>
      </c>
      <c r="B713">
        <v>1</v>
      </c>
      <c r="C713">
        <v>27.99</v>
      </c>
      <c r="D713">
        <v>27.99</v>
      </c>
      <c r="E713" s="1" t="s">
        <v>1015</v>
      </c>
      <c r="F713" s="1" t="s">
        <v>188</v>
      </c>
      <c r="G713">
        <v>0</v>
      </c>
      <c r="H713" s="1" t="s">
        <v>96</v>
      </c>
      <c r="I713" s="1" t="s">
        <v>75</v>
      </c>
      <c r="J713">
        <v>9</v>
      </c>
      <c r="K713">
        <v>27.99</v>
      </c>
      <c r="L713" s="1" t="s">
        <v>28</v>
      </c>
      <c r="M713" s="1" t="s">
        <v>61</v>
      </c>
      <c r="N713" s="1" t="s">
        <v>62</v>
      </c>
      <c r="O713" s="1" t="s">
        <v>31</v>
      </c>
      <c r="P713" s="2">
        <v>45726</v>
      </c>
      <c r="Q713" s="1" t="s">
        <v>1187</v>
      </c>
      <c r="R713" s="1" t="s">
        <v>1188</v>
      </c>
      <c r="S713" s="1" t="s">
        <v>47</v>
      </c>
      <c r="T713" s="1" t="s">
        <v>35</v>
      </c>
      <c r="U713" s="1" t="s">
        <v>48</v>
      </c>
      <c r="V713" s="1" t="s">
        <v>37</v>
      </c>
      <c r="W713">
        <v>2</v>
      </c>
    </row>
    <row r="714" spans="1:23" x14ac:dyDescent="0.3">
      <c r="A714" s="1" t="s">
        <v>1715</v>
      </c>
      <c r="B714">
        <v>1</v>
      </c>
      <c r="C714">
        <v>16.989999999999998</v>
      </c>
      <c r="D714">
        <v>16.989999999999998</v>
      </c>
      <c r="E714" s="1" t="s">
        <v>813</v>
      </c>
      <c r="F714" s="1" t="s">
        <v>40</v>
      </c>
      <c r="G714">
        <v>18</v>
      </c>
      <c r="H714" s="1" t="s">
        <v>96</v>
      </c>
      <c r="I714" s="1" t="s">
        <v>59</v>
      </c>
      <c r="J714">
        <v>5</v>
      </c>
      <c r="K714">
        <v>16.989999999999998</v>
      </c>
      <c r="L714" s="1" t="s">
        <v>60</v>
      </c>
      <c r="M714" s="1" t="s">
        <v>61</v>
      </c>
      <c r="N714" s="1" t="s">
        <v>62</v>
      </c>
      <c r="O714" s="1" t="s">
        <v>31</v>
      </c>
      <c r="P714" s="2">
        <v>45726</v>
      </c>
      <c r="Q714" s="1" t="s">
        <v>110</v>
      </c>
      <c r="R714" s="1" t="s">
        <v>1716</v>
      </c>
      <c r="S714" s="1" t="s">
        <v>65</v>
      </c>
      <c r="T714" s="1" t="s">
        <v>35</v>
      </c>
      <c r="U714" s="1" t="s">
        <v>55</v>
      </c>
      <c r="V714" s="1" t="s">
        <v>67</v>
      </c>
      <c r="W714">
        <v>3</v>
      </c>
    </row>
    <row r="715" spans="1:23" x14ac:dyDescent="0.3">
      <c r="A715" s="1" t="s">
        <v>1717</v>
      </c>
      <c r="B715">
        <v>1</v>
      </c>
      <c r="C715">
        <v>34.99</v>
      </c>
      <c r="D715">
        <v>34.99</v>
      </c>
      <c r="E715" s="1" t="s">
        <v>1718</v>
      </c>
      <c r="F715" s="1" t="s">
        <v>40</v>
      </c>
      <c r="G715">
        <v>6</v>
      </c>
      <c r="H715" s="1" t="s">
        <v>96</v>
      </c>
      <c r="I715" s="1" t="s">
        <v>85</v>
      </c>
      <c r="J715">
        <v>12.5</v>
      </c>
      <c r="K715">
        <v>34.99</v>
      </c>
      <c r="L715" s="1" t="s">
        <v>60</v>
      </c>
      <c r="M715" s="1" t="s">
        <v>29</v>
      </c>
      <c r="N715" s="1" t="s">
        <v>30</v>
      </c>
      <c r="O715" s="1" t="s">
        <v>31</v>
      </c>
      <c r="P715" s="2">
        <v>45778</v>
      </c>
      <c r="Q715" s="1" t="s">
        <v>1719</v>
      </c>
      <c r="R715" s="1" t="s">
        <v>1720</v>
      </c>
      <c r="S715" s="1" t="s">
        <v>54</v>
      </c>
      <c r="T715" s="1" t="s">
        <v>35</v>
      </c>
      <c r="U715" s="1" t="s">
        <v>66</v>
      </c>
      <c r="V715" s="1" t="s">
        <v>89</v>
      </c>
      <c r="W715">
        <v>2.4</v>
      </c>
    </row>
    <row r="716" spans="1:23" x14ac:dyDescent="0.3">
      <c r="A716" s="1" t="s">
        <v>1721</v>
      </c>
      <c r="B716">
        <v>3</v>
      </c>
      <c r="C716">
        <v>30.99</v>
      </c>
      <c r="D716">
        <v>73.489999999999995</v>
      </c>
      <c r="E716" s="1" t="s">
        <v>1324</v>
      </c>
      <c r="F716" s="1" t="s">
        <v>40</v>
      </c>
      <c r="G716">
        <v>6</v>
      </c>
      <c r="H716" s="1" t="s">
        <v>96</v>
      </c>
      <c r="I716" s="1" t="s">
        <v>42</v>
      </c>
      <c r="J716">
        <v>10.5</v>
      </c>
      <c r="K716">
        <v>30.99</v>
      </c>
      <c r="L716" s="1" t="s">
        <v>28</v>
      </c>
      <c r="M716" s="1" t="s">
        <v>43</v>
      </c>
      <c r="N716" s="1" t="s">
        <v>44</v>
      </c>
      <c r="O716" s="1" t="s">
        <v>31</v>
      </c>
      <c r="P716" s="2">
        <v>45823</v>
      </c>
      <c r="Q716" s="1" t="s">
        <v>1241</v>
      </c>
      <c r="R716" s="1" t="s">
        <v>1722</v>
      </c>
      <c r="S716" s="1" t="s">
        <v>65</v>
      </c>
      <c r="T716" s="1" t="s">
        <v>35</v>
      </c>
      <c r="U716" s="1" t="s">
        <v>82</v>
      </c>
      <c r="V716" s="1" t="s">
        <v>37</v>
      </c>
      <c r="W716">
        <v>2</v>
      </c>
    </row>
    <row r="717" spans="1:23" x14ac:dyDescent="0.3">
      <c r="A717" s="1" t="s">
        <v>1723</v>
      </c>
      <c r="B717">
        <v>3</v>
      </c>
      <c r="C717">
        <v>21.99</v>
      </c>
      <c r="D717">
        <v>52.04</v>
      </c>
      <c r="E717" s="1" t="s">
        <v>1724</v>
      </c>
      <c r="F717" s="1" t="s">
        <v>70</v>
      </c>
      <c r="G717">
        <v>0</v>
      </c>
      <c r="H717" s="1" t="s">
        <v>58</v>
      </c>
      <c r="I717" s="1" t="s">
        <v>27</v>
      </c>
      <c r="J717">
        <v>7</v>
      </c>
      <c r="K717">
        <v>21.99</v>
      </c>
      <c r="L717" s="1" t="s">
        <v>28</v>
      </c>
      <c r="M717" s="1" t="s">
        <v>29</v>
      </c>
      <c r="N717" s="1" t="s">
        <v>30</v>
      </c>
      <c r="O717" s="1" t="s">
        <v>31</v>
      </c>
      <c r="P717" s="2">
        <v>45778</v>
      </c>
      <c r="Q717" s="1" t="s">
        <v>1018</v>
      </c>
      <c r="R717" s="1" t="s">
        <v>1725</v>
      </c>
      <c r="S717" s="1" t="s">
        <v>47</v>
      </c>
      <c r="T717" s="1" t="s">
        <v>35</v>
      </c>
      <c r="U717" s="1" t="s">
        <v>55</v>
      </c>
      <c r="V717" s="1" t="s">
        <v>37</v>
      </c>
      <c r="W717">
        <v>2</v>
      </c>
    </row>
    <row r="718" spans="1:23" x14ac:dyDescent="0.3">
      <c r="A718" s="1" t="s">
        <v>1726</v>
      </c>
      <c r="B718">
        <v>1</v>
      </c>
      <c r="C718">
        <v>27.99</v>
      </c>
      <c r="D718">
        <v>27.99</v>
      </c>
      <c r="E718" s="1" t="s">
        <v>1727</v>
      </c>
      <c r="F718" s="1" t="s">
        <v>70</v>
      </c>
      <c r="G718">
        <v>0</v>
      </c>
      <c r="H718" s="1" t="s">
        <v>26</v>
      </c>
      <c r="I718" s="1" t="s">
        <v>75</v>
      </c>
      <c r="J718">
        <v>9</v>
      </c>
      <c r="K718">
        <v>27.99</v>
      </c>
      <c r="L718" s="1" t="s">
        <v>28</v>
      </c>
      <c r="M718" s="1" t="s">
        <v>61</v>
      </c>
      <c r="N718" s="1" t="s">
        <v>62</v>
      </c>
      <c r="O718" s="1" t="s">
        <v>31</v>
      </c>
      <c r="P718" s="2">
        <v>45726</v>
      </c>
      <c r="Q718" s="1" t="s">
        <v>1728</v>
      </c>
      <c r="R718" s="1" t="s">
        <v>1729</v>
      </c>
      <c r="S718" s="1" t="s">
        <v>65</v>
      </c>
      <c r="T718" s="1" t="s">
        <v>35</v>
      </c>
      <c r="U718" s="1" t="s">
        <v>55</v>
      </c>
      <c r="V718" s="1" t="s">
        <v>37</v>
      </c>
      <c r="W718">
        <v>2</v>
      </c>
    </row>
    <row r="719" spans="1:23" x14ac:dyDescent="0.3">
      <c r="A719" s="1" t="s">
        <v>1730</v>
      </c>
      <c r="B719">
        <v>2</v>
      </c>
      <c r="C719">
        <v>21.99</v>
      </c>
      <c r="D719">
        <v>38.479999999999997</v>
      </c>
      <c r="E719" s="1" t="s">
        <v>628</v>
      </c>
      <c r="F719" s="1" t="s">
        <v>40</v>
      </c>
      <c r="G719">
        <v>2</v>
      </c>
      <c r="H719" s="1" t="s">
        <v>58</v>
      </c>
      <c r="I719" s="1" t="s">
        <v>27</v>
      </c>
      <c r="J719">
        <v>7</v>
      </c>
      <c r="K719">
        <v>21.99</v>
      </c>
      <c r="L719" s="1" t="s">
        <v>28</v>
      </c>
      <c r="M719" s="1" t="s">
        <v>29</v>
      </c>
      <c r="N719" s="1" t="s">
        <v>30</v>
      </c>
      <c r="O719" s="1" t="s">
        <v>31</v>
      </c>
      <c r="P719" s="2">
        <v>45778</v>
      </c>
      <c r="Q719" s="1" t="s">
        <v>1342</v>
      </c>
      <c r="R719" s="1" t="s">
        <v>1731</v>
      </c>
      <c r="S719" s="1" t="s">
        <v>34</v>
      </c>
      <c r="T719" s="1" t="s">
        <v>35</v>
      </c>
      <c r="U719" s="1" t="s">
        <v>48</v>
      </c>
      <c r="V719" s="1" t="s">
        <v>37</v>
      </c>
      <c r="W719">
        <v>2</v>
      </c>
    </row>
    <row r="720" spans="1:23" x14ac:dyDescent="0.3">
      <c r="A720" s="1" t="s">
        <v>1732</v>
      </c>
      <c r="B720">
        <v>1</v>
      </c>
      <c r="C720">
        <v>21.99</v>
      </c>
      <c r="D720">
        <v>21.99</v>
      </c>
      <c r="E720" s="1" t="s">
        <v>1733</v>
      </c>
      <c r="F720" s="1" t="s">
        <v>188</v>
      </c>
      <c r="G720">
        <v>0</v>
      </c>
      <c r="H720" s="1" t="s">
        <v>41</v>
      </c>
      <c r="I720" s="1" t="s">
        <v>27</v>
      </c>
      <c r="J720">
        <v>7</v>
      </c>
      <c r="K720">
        <v>21.99</v>
      </c>
      <c r="L720" s="1" t="s">
        <v>28</v>
      </c>
      <c r="M720" s="1" t="s">
        <v>29</v>
      </c>
      <c r="N720" s="1" t="s">
        <v>30</v>
      </c>
      <c r="O720" s="1" t="s">
        <v>31</v>
      </c>
      <c r="P720" s="2">
        <v>45778</v>
      </c>
      <c r="Q720" s="1" t="s">
        <v>1237</v>
      </c>
      <c r="R720" s="1" t="s">
        <v>1238</v>
      </c>
      <c r="S720" s="1" t="s">
        <v>65</v>
      </c>
      <c r="T720" s="1" t="s">
        <v>35</v>
      </c>
      <c r="U720" s="1" t="s">
        <v>66</v>
      </c>
      <c r="V720" s="1" t="s">
        <v>37</v>
      </c>
      <c r="W720">
        <v>2</v>
      </c>
    </row>
    <row r="721" spans="1:23" x14ac:dyDescent="0.3">
      <c r="A721" s="1" t="s">
        <v>1734</v>
      </c>
      <c r="B721">
        <v>1</v>
      </c>
      <c r="C721">
        <v>18.989999999999998</v>
      </c>
      <c r="D721">
        <v>18.989999999999998</v>
      </c>
      <c r="E721" s="1" t="s">
        <v>113</v>
      </c>
      <c r="F721" s="1" t="s">
        <v>70</v>
      </c>
      <c r="G721">
        <v>0</v>
      </c>
      <c r="H721" s="1" t="s">
        <v>58</v>
      </c>
      <c r="I721" s="1" t="s">
        <v>97</v>
      </c>
      <c r="J721">
        <v>6</v>
      </c>
      <c r="K721">
        <v>18.989999999999998</v>
      </c>
      <c r="L721" s="1" t="s">
        <v>60</v>
      </c>
      <c r="M721" s="1" t="s">
        <v>43</v>
      </c>
      <c r="N721" s="1" t="s">
        <v>44</v>
      </c>
      <c r="O721" s="1" t="s">
        <v>31</v>
      </c>
      <c r="P721" s="2">
        <v>45823</v>
      </c>
      <c r="Q721" s="1" t="s">
        <v>1421</v>
      </c>
      <c r="R721" s="1" t="s">
        <v>1422</v>
      </c>
      <c r="S721" s="1" t="s">
        <v>105</v>
      </c>
      <c r="T721" s="1" t="s">
        <v>35</v>
      </c>
      <c r="U721" s="1" t="s">
        <v>82</v>
      </c>
      <c r="V721" s="1" t="s">
        <v>100</v>
      </c>
      <c r="W721">
        <v>3.2</v>
      </c>
    </row>
    <row r="722" spans="1:23" x14ac:dyDescent="0.3">
      <c r="A722" s="1" t="s">
        <v>1735</v>
      </c>
      <c r="B722">
        <v>3</v>
      </c>
      <c r="C722">
        <v>27.99</v>
      </c>
      <c r="D722">
        <v>65.930000000000007</v>
      </c>
      <c r="E722" s="1" t="s">
        <v>325</v>
      </c>
      <c r="F722" s="1" t="s">
        <v>25</v>
      </c>
      <c r="G722">
        <v>3</v>
      </c>
      <c r="H722" s="1" t="s">
        <v>58</v>
      </c>
      <c r="I722" s="1" t="s">
        <v>75</v>
      </c>
      <c r="J722">
        <v>9</v>
      </c>
      <c r="K722">
        <v>27.99</v>
      </c>
      <c r="L722" s="1" t="s">
        <v>28</v>
      </c>
      <c r="M722" s="1" t="s">
        <v>61</v>
      </c>
      <c r="N722" s="1" t="s">
        <v>62</v>
      </c>
      <c r="O722" s="1" t="s">
        <v>31</v>
      </c>
      <c r="P722" s="2">
        <v>45726</v>
      </c>
      <c r="Q722" s="1" t="s">
        <v>1642</v>
      </c>
      <c r="R722" s="1" t="s">
        <v>1736</v>
      </c>
      <c r="S722" s="1" t="s">
        <v>47</v>
      </c>
      <c r="T722" s="1" t="s">
        <v>35</v>
      </c>
      <c r="U722" s="1" t="s">
        <v>48</v>
      </c>
      <c r="V722" s="1" t="s">
        <v>37</v>
      </c>
      <c r="W722">
        <v>2</v>
      </c>
    </row>
    <row r="723" spans="1:23" x14ac:dyDescent="0.3">
      <c r="A723" s="1" t="s">
        <v>1737</v>
      </c>
      <c r="B723">
        <v>1</v>
      </c>
      <c r="C723">
        <v>18.989999999999998</v>
      </c>
      <c r="D723">
        <v>18.989999999999998</v>
      </c>
      <c r="E723" s="1" t="s">
        <v>1738</v>
      </c>
      <c r="F723" s="1" t="s">
        <v>40</v>
      </c>
      <c r="G723">
        <v>10</v>
      </c>
      <c r="H723" s="1" t="s">
        <v>41</v>
      </c>
      <c r="I723" s="1" t="s">
        <v>97</v>
      </c>
      <c r="J723">
        <v>6</v>
      </c>
      <c r="K723">
        <v>18.989999999999998</v>
      </c>
      <c r="L723" s="1" t="s">
        <v>60</v>
      </c>
      <c r="M723" s="1" t="s">
        <v>43</v>
      </c>
      <c r="N723" s="1" t="s">
        <v>44</v>
      </c>
      <c r="O723" s="1" t="s">
        <v>31</v>
      </c>
      <c r="P723" s="2">
        <v>45823</v>
      </c>
      <c r="Q723" s="1" t="s">
        <v>1739</v>
      </c>
      <c r="R723" s="1" t="s">
        <v>1740</v>
      </c>
      <c r="S723" s="1" t="s">
        <v>65</v>
      </c>
      <c r="T723" s="1" t="s">
        <v>35</v>
      </c>
      <c r="U723" s="1" t="s">
        <v>36</v>
      </c>
      <c r="V723" s="1" t="s">
        <v>100</v>
      </c>
      <c r="W723">
        <v>3.2</v>
      </c>
    </row>
    <row r="724" spans="1:23" x14ac:dyDescent="0.3">
      <c r="A724" s="1" t="s">
        <v>1741</v>
      </c>
      <c r="B724">
        <v>1</v>
      </c>
      <c r="C724">
        <v>30.99</v>
      </c>
      <c r="D724">
        <v>30.99</v>
      </c>
      <c r="E724" s="1" t="s">
        <v>1000</v>
      </c>
      <c r="F724" s="1" t="s">
        <v>51</v>
      </c>
      <c r="G724">
        <v>0</v>
      </c>
      <c r="H724" s="1" t="s">
        <v>96</v>
      </c>
      <c r="I724" s="1" t="s">
        <v>42</v>
      </c>
      <c r="J724">
        <v>10.5</v>
      </c>
      <c r="K724">
        <v>30.99</v>
      </c>
      <c r="L724" s="1" t="s">
        <v>28</v>
      </c>
      <c r="M724" s="1" t="s">
        <v>43</v>
      </c>
      <c r="N724" s="1" t="s">
        <v>44</v>
      </c>
      <c r="O724" s="1" t="s">
        <v>31</v>
      </c>
      <c r="P724" s="2">
        <v>45823</v>
      </c>
      <c r="Q724" s="1" t="s">
        <v>720</v>
      </c>
      <c r="R724" s="1" t="s">
        <v>721</v>
      </c>
      <c r="S724" s="1" t="s">
        <v>54</v>
      </c>
      <c r="T724" s="1" t="s">
        <v>35</v>
      </c>
      <c r="U724" s="1" t="s">
        <v>82</v>
      </c>
      <c r="V724" s="1" t="s">
        <v>37</v>
      </c>
      <c r="W724">
        <v>2</v>
      </c>
    </row>
    <row r="725" spans="1:23" x14ac:dyDescent="0.3">
      <c r="A725" s="1" t="s">
        <v>1742</v>
      </c>
      <c r="B725">
        <v>1</v>
      </c>
      <c r="C725">
        <v>34.99</v>
      </c>
      <c r="D725">
        <v>34.99</v>
      </c>
      <c r="E725" s="1" t="s">
        <v>1743</v>
      </c>
      <c r="F725" s="1" t="s">
        <v>25</v>
      </c>
      <c r="G725">
        <v>8</v>
      </c>
      <c r="H725" s="1" t="s">
        <v>96</v>
      </c>
      <c r="I725" s="1" t="s">
        <v>85</v>
      </c>
      <c r="J725">
        <v>12.5</v>
      </c>
      <c r="K725">
        <v>34.99</v>
      </c>
      <c r="L725" s="1" t="s">
        <v>60</v>
      </c>
      <c r="M725" s="1" t="s">
        <v>29</v>
      </c>
      <c r="N725" s="1" t="s">
        <v>30</v>
      </c>
      <c r="O725" s="1" t="s">
        <v>31</v>
      </c>
      <c r="P725" s="2">
        <v>45778</v>
      </c>
      <c r="Q725" s="1" t="s">
        <v>859</v>
      </c>
      <c r="R725" s="1" t="s">
        <v>860</v>
      </c>
      <c r="S725" s="1" t="s">
        <v>34</v>
      </c>
      <c r="T725" s="1" t="s">
        <v>35</v>
      </c>
      <c r="U725" s="1" t="s">
        <v>48</v>
      </c>
      <c r="V725" s="1" t="s">
        <v>89</v>
      </c>
      <c r="W725">
        <v>2.4</v>
      </c>
    </row>
    <row r="726" spans="1:23" x14ac:dyDescent="0.3">
      <c r="A726" s="1" t="s">
        <v>1744</v>
      </c>
      <c r="B726">
        <v>3</v>
      </c>
      <c r="C726">
        <v>34.99</v>
      </c>
      <c r="D726">
        <v>83.71</v>
      </c>
      <c r="E726" s="1" t="s">
        <v>95</v>
      </c>
      <c r="F726" s="1" t="s">
        <v>40</v>
      </c>
      <c r="G726">
        <v>6</v>
      </c>
      <c r="H726" s="1" t="s">
        <v>26</v>
      </c>
      <c r="I726" s="1" t="s">
        <v>85</v>
      </c>
      <c r="J726">
        <v>12.5</v>
      </c>
      <c r="K726">
        <v>34.99</v>
      </c>
      <c r="L726" s="1" t="s">
        <v>60</v>
      </c>
      <c r="M726" s="1" t="s">
        <v>29</v>
      </c>
      <c r="N726" s="1" t="s">
        <v>30</v>
      </c>
      <c r="O726" s="1" t="s">
        <v>31</v>
      </c>
      <c r="P726" s="2">
        <v>45778</v>
      </c>
      <c r="Q726" s="1" t="s">
        <v>1376</v>
      </c>
      <c r="R726" s="1" t="s">
        <v>1745</v>
      </c>
      <c r="S726" s="1" t="s">
        <v>105</v>
      </c>
      <c r="T726" s="1" t="s">
        <v>35</v>
      </c>
      <c r="U726" s="1" t="s">
        <v>36</v>
      </c>
      <c r="V726" s="1" t="s">
        <v>89</v>
      </c>
      <c r="W726">
        <v>2.4</v>
      </c>
    </row>
    <row r="727" spans="1:23" x14ac:dyDescent="0.3">
      <c r="A727" s="1" t="s">
        <v>1746</v>
      </c>
      <c r="B727">
        <v>1</v>
      </c>
      <c r="C727">
        <v>30.99</v>
      </c>
      <c r="D727">
        <v>30.99</v>
      </c>
      <c r="E727" s="1" t="s">
        <v>1648</v>
      </c>
      <c r="F727" s="1" t="s">
        <v>40</v>
      </c>
      <c r="G727">
        <v>3</v>
      </c>
      <c r="H727" s="1" t="s">
        <v>96</v>
      </c>
      <c r="I727" s="1" t="s">
        <v>42</v>
      </c>
      <c r="J727">
        <v>10.5</v>
      </c>
      <c r="K727">
        <v>30.99</v>
      </c>
      <c r="L727" s="1" t="s">
        <v>28</v>
      </c>
      <c r="M727" s="1" t="s">
        <v>43</v>
      </c>
      <c r="N727" s="1" t="s">
        <v>44</v>
      </c>
      <c r="O727" s="1" t="s">
        <v>31</v>
      </c>
      <c r="P727" s="2">
        <v>45823</v>
      </c>
      <c r="Q727" s="1" t="s">
        <v>1009</v>
      </c>
      <c r="R727" s="1" t="s">
        <v>1010</v>
      </c>
      <c r="S727" s="1" t="s">
        <v>47</v>
      </c>
      <c r="T727" s="1" t="s">
        <v>35</v>
      </c>
      <c r="U727" s="1" t="s">
        <v>82</v>
      </c>
      <c r="V727" s="1" t="s">
        <v>37</v>
      </c>
      <c r="W727">
        <v>2</v>
      </c>
    </row>
    <row r="728" spans="1:23" x14ac:dyDescent="0.3">
      <c r="A728" s="1" t="s">
        <v>1747</v>
      </c>
      <c r="B728">
        <v>1</v>
      </c>
      <c r="C728">
        <v>34.99</v>
      </c>
      <c r="D728">
        <v>34.99</v>
      </c>
      <c r="E728" s="1" t="s">
        <v>1375</v>
      </c>
      <c r="F728" s="1" t="s">
        <v>40</v>
      </c>
      <c r="G728">
        <v>11</v>
      </c>
      <c r="H728" s="1" t="s">
        <v>96</v>
      </c>
      <c r="I728" s="1" t="s">
        <v>85</v>
      </c>
      <c r="J728">
        <v>12.5</v>
      </c>
      <c r="K728">
        <v>34.99</v>
      </c>
      <c r="L728" s="1" t="s">
        <v>60</v>
      </c>
      <c r="M728" s="1" t="s">
        <v>29</v>
      </c>
      <c r="N728" s="1" t="s">
        <v>30</v>
      </c>
      <c r="O728" s="1" t="s">
        <v>31</v>
      </c>
      <c r="P728" s="2">
        <v>45778</v>
      </c>
      <c r="Q728" s="1" t="s">
        <v>947</v>
      </c>
      <c r="R728" s="1" t="s">
        <v>1425</v>
      </c>
      <c r="S728" s="1" t="s">
        <v>88</v>
      </c>
      <c r="T728" s="1" t="s">
        <v>35</v>
      </c>
      <c r="U728" s="1" t="s">
        <v>55</v>
      </c>
      <c r="V728" s="1" t="s">
        <v>89</v>
      </c>
      <c r="W728">
        <v>2.4</v>
      </c>
    </row>
    <row r="729" spans="1:23" x14ac:dyDescent="0.3">
      <c r="A729" s="1" t="s">
        <v>1748</v>
      </c>
      <c r="B729">
        <v>2</v>
      </c>
      <c r="C729">
        <v>30.99</v>
      </c>
      <c r="D729">
        <v>53.68</v>
      </c>
      <c r="E729" s="1" t="s">
        <v>1749</v>
      </c>
      <c r="F729" s="1" t="s">
        <v>40</v>
      </c>
      <c r="G729">
        <v>3</v>
      </c>
      <c r="H729" s="1" t="s">
        <v>58</v>
      </c>
      <c r="I729" s="1" t="s">
        <v>42</v>
      </c>
      <c r="J729">
        <v>10.5</v>
      </c>
      <c r="K729">
        <v>30.99</v>
      </c>
      <c r="L729" s="1" t="s">
        <v>28</v>
      </c>
      <c r="M729" s="1" t="s">
        <v>43</v>
      </c>
      <c r="N729" s="1" t="s">
        <v>44</v>
      </c>
      <c r="O729" s="1" t="s">
        <v>31</v>
      </c>
      <c r="P729" s="2">
        <v>45823</v>
      </c>
      <c r="Q729" s="1" t="s">
        <v>732</v>
      </c>
      <c r="R729" s="1" t="s">
        <v>733</v>
      </c>
      <c r="S729" s="1" t="s">
        <v>65</v>
      </c>
      <c r="T729" s="1" t="s">
        <v>35</v>
      </c>
      <c r="U729" s="1" t="s">
        <v>48</v>
      </c>
      <c r="V729" s="1" t="s">
        <v>37</v>
      </c>
      <c r="W729">
        <v>2</v>
      </c>
    </row>
    <row r="730" spans="1:23" x14ac:dyDescent="0.3">
      <c r="A730" s="1" t="s">
        <v>1750</v>
      </c>
      <c r="B730">
        <v>1</v>
      </c>
      <c r="C730">
        <v>27.99</v>
      </c>
      <c r="D730">
        <v>27.99</v>
      </c>
      <c r="E730" s="1" t="s">
        <v>1178</v>
      </c>
      <c r="F730" s="1" t="s">
        <v>40</v>
      </c>
      <c r="G730">
        <v>3</v>
      </c>
      <c r="H730" s="1" t="s">
        <v>96</v>
      </c>
      <c r="I730" s="1" t="s">
        <v>75</v>
      </c>
      <c r="J730">
        <v>9</v>
      </c>
      <c r="K730">
        <v>27.99</v>
      </c>
      <c r="L730" s="1" t="s">
        <v>28</v>
      </c>
      <c r="M730" s="1" t="s">
        <v>61</v>
      </c>
      <c r="N730" s="1" t="s">
        <v>62</v>
      </c>
      <c r="O730" s="1" t="s">
        <v>31</v>
      </c>
      <c r="P730" s="2">
        <v>45726</v>
      </c>
      <c r="Q730" s="1" t="s">
        <v>957</v>
      </c>
      <c r="R730" s="1" t="s">
        <v>958</v>
      </c>
      <c r="S730" s="1" t="s">
        <v>105</v>
      </c>
      <c r="T730" s="1" t="s">
        <v>35</v>
      </c>
      <c r="U730" s="1" t="s">
        <v>66</v>
      </c>
      <c r="V730" s="1" t="s">
        <v>37</v>
      </c>
      <c r="W730">
        <v>2</v>
      </c>
    </row>
    <row r="731" spans="1:23" x14ac:dyDescent="0.3">
      <c r="A731" s="1" t="s">
        <v>1751</v>
      </c>
      <c r="B731">
        <v>1</v>
      </c>
      <c r="C731">
        <v>18.989999999999998</v>
      </c>
      <c r="D731">
        <v>18.989999999999998</v>
      </c>
      <c r="E731" s="1" t="s">
        <v>1752</v>
      </c>
      <c r="F731" s="1" t="s">
        <v>70</v>
      </c>
      <c r="G731">
        <v>0</v>
      </c>
      <c r="H731" s="1" t="s">
        <v>96</v>
      </c>
      <c r="I731" s="1" t="s">
        <v>97</v>
      </c>
      <c r="J731">
        <v>6</v>
      </c>
      <c r="K731">
        <v>18.989999999999998</v>
      </c>
      <c r="L731" s="1" t="s">
        <v>60</v>
      </c>
      <c r="M731" s="1" t="s">
        <v>43</v>
      </c>
      <c r="N731" s="1" t="s">
        <v>44</v>
      </c>
      <c r="O731" s="1" t="s">
        <v>31</v>
      </c>
      <c r="P731" s="2">
        <v>45823</v>
      </c>
      <c r="Q731" s="1" t="s">
        <v>1753</v>
      </c>
      <c r="R731" s="1" t="s">
        <v>1754</v>
      </c>
      <c r="S731" s="1" t="s">
        <v>54</v>
      </c>
      <c r="T731" s="1" t="s">
        <v>35</v>
      </c>
      <c r="U731" s="1" t="s">
        <v>66</v>
      </c>
      <c r="V731" s="1" t="s">
        <v>100</v>
      </c>
      <c r="W731">
        <v>3.2</v>
      </c>
    </row>
    <row r="732" spans="1:23" x14ac:dyDescent="0.3">
      <c r="A732" s="1" t="s">
        <v>1755</v>
      </c>
      <c r="B732">
        <v>1</v>
      </c>
      <c r="C732">
        <v>34.99</v>
      </c>
      <c r="D732">
        <v>34.99</v>
      </c>
      <c r="E732" s="1" t="s">
        <v>248</v>
      </c>
      <c r="F732" s="1" t="s">
        <v>40</v>
      </c>
      <c r="G732">
        <v>7</v>
      </c>
      <c r="H732" s="1" t="s">
        <v>26</v>
      </c>
      <c r="I732" s="1" t="s">
        <v>85</v>
      </c>
      <c r="J732">
        <v>12.5</v>
      </c>
      <c r="K732">
        <v>34.99</v>
      </c>
      <c r="L732" s="1" t="s">
        <v>60</v>
      </c>
      <c r="M732" s="1" t="s">
        <v>29</v>
      </c>
      <c r="N732" s="1" t="s">
        <v>30</v>
      </c>
      <c r="O732" s="1" t="s">
        <v>31</v>
      </c>
      <c r="P732" s="2">
        <v>45778</v>
      </c>
      <c r="Q732" s="1" t="s">
        <v>544</v>
      </c>
      <c r="R732" s="1" t="s">
        <v>1756</v>
      </c>
      <c r="S732" s="1" t="s">
        <v>54</v>
      </c>
      <c r="T732" s="1" t="s">
        <v>35</v>
      </c>
      <c r="U732" s="1" t="s">
        <v>55</v>
      </c>
      <c r="V732" s="1" t="s">
        <v>89</v>
      </c>
      <c r="W732">
        <v>2.4</v>
      </c>
    </row>
    <row r="733" spans="1:23" x14ac:dyDescent="0.3">
      <c r="A733" s="1" t="s">
        <v>1757</v>
      </c>
      <c r="B733">
        <v>2</v>
      </c>
      <c r="C733">
        <v>30.99</v>
      </c>
      <c r="D733">
        <v>53.56</v>
      </c>
      <c r="E733" s="1" t="s">
        <v>577</v>
      </c>
      <c r="F733" s="1" t="s">
        <v>40</v>
      </c>
      <c r="G733">
        <v>2</v>
      </c>
      <c r="H733" s="1" t="s">
        <v>96</v>
      </c>
      <c r="I733" s="1" t="s">
        <v>42</v>
      </c>
      <c r="J733">
        <v>10.5</v>
      </c>
      <c r="K733">
        <v>30.99</v>
      </c>
      <c r="L733" s="1" t="s">
        <v>28</v>
      </c>
      <c r="M733" s="1" t="s">
        <v>43</v>
      </c>
      <c r="N733" s="1" t="s">
        <v>44</v>
      </c>
      <c r="O733" s="1" t="s">
        <v>31</v>
      </c>
      <c r="P733" s="2">
        <v>45823</v>
      </c>
      <c r="Q733" s="1" t="s">
        <v>869</v>
      </c>
      <c r="R733" s="1" t="s">
        <v>870</v>
      </c>
      <c r="S733" s="1" t="s">
        <v>88</v>
      </c>
      <c r="T733" s="1" t="s">
        <v>35</v>
      </c>
      <c r="U733" s="1" t="s">
        <v>55</v>
      </c>
      <c r="V733" s="1" t="s">
        <v>37</v>
      </c>
      <c r="W733">
        <v>2</v>
      </c>
    </row>
    <row r="734" spans="1:23" x14ac:dyDescent="0.3">
      <c r="A734" s="1" t="s">
        <v>1758</v>
      </c>
      <c r="B734">
        <v>1</v>
      </c>
      <c r="C734">
        <v>34.99</v>
      </c>
      <c r="D734">
        <v>34.99</v>
      </c>
      <c r="E734" s="1" t="s">
        <v>1310</v>
      </c>
      <c r="F734" s="1" t="s">
        <v>40</v>
      </c>
      <c r="G734">
        <v>6</v>
      </c>
      <c r="H734" s="1" t="s">
        <v>41</v>
      </c>
      <c r="I734" s="1" t="s">
        <v>85</v>
      </c>
      <c r="J734">
        <v>12.5</v>
      </c>
      <c r="K734">
        <v>34.99</v>
      </c>
      <c r="L734" s="1" t="s">
        <v>60</v>
      </c>
      <c r="M734" s="1" t="s">
        <v>29</v>
      </c>
      <c r="N734" s="1" t="s">
        <v>30</v>
      </c>
      <c r="O734" s="1" t="s">
        <v>31</v>
      </c>
      <c r="P734" s="2">
        <v>45778</v>
      </c>
      <c r="Q734" s="1" t="s">
        <v>1356</v>
      </c>
      <c r="R734" s="1" t="s">
        <v>1357</v>
      </c>
      <c r="S734" s="1" t="s">
        <v>34</v>
      </c>
      <c r="T734" s="1" t="s">
        <v>35</v>
      </c>
      <c r="U734" s="1" t="s">
        <v>55</v>
      </c>
      <c r="V734" s="1" t="s">
        <v>89</v>
      </c>
      <c r="W734">
        <v>2.4</v>
      </c>
    </row>
    <row r="735" spans="1:23" x14ac:dyDescent="0.3">
      <c r="A735" s="1" t="s">
        <v>1759</v>
      </c>
      <c r="B735">
        <v>1</v>
      </c>
      <c r="C735">
        <v>30.99</v>
      </c>
      <c r="D735">
        <v>30.99</v>
      </c>
      <c r="E735" s="1" t="s">
        <v>1760</v>
      </c>
      <c r="F735" s="1" t="s">
        <v>40</v>
      </c>
      <c r="G735">
        <v>2</v>
      </c>
      <c r="H735" s="1" t="s">
        <v>58</v>
      </c>
      <c r="I735" s="1" t="s">
        <v>42</v>
      </c>
      <c r="J735">
        <v>10.5</v>
      </c>
      <c r="K735">
        <v>30.99</v>
      </c>
      <c r="L735" s="1" t="s">
        <v>28</v>
      </c>
      <c r="M735" s="1" t="s">
        <v>43</v>
      </c>
      <c r="N735" s="1" t="s">
        <v>44</v>
      </c>
      <c r="O735" s="1" t="s">
        <v>31</v>
      </c>
      <c r="P735" s="2">
        <v>45823</v>
      </c>
      <c r="Q735" s="1" t="s">
        <v>1761</v>
      </c>
      <c r="R735" s="1" t="s">
        <v>1762</v>
      </c>
      <c r="S735" s="1" t="s">
        <v>88</v>
      </c>
      <c r="T735" s="1" t="s">
        <v>35</v>
      </c>
      <c r="U735" s="1" t="s">
        <v>82</v>
      </c>
      <c r="V735" s="1" t="s">
        <v>37</v>
      </c>
      <c r="W735">
        <v>2</v>
      </c>
    </row>
    <row r="736" spans="1:23" x14ac:dyDescent="0.3">
      <c r="A736" s="1" t="s">
        <v>1763</v>
      </c>
      <c r="B736">
        <v>2</v>
      </c>
      <c r="C736">
        <v>18.989999999999998</v>
      </c>
      <c r="D736">
        <v>32.880000000000003</v>
      </c>
      <c r="E736" s="1" t="s">
        <v>1764</v>
      </c>
      <c r="F736" s="1" t="s">
        <v>40</v>
      </c>
      <c r="G736">
        <v>12</v>
      </c>
      <c r="H736" s="1" t="s">
        <v>26</v>
      </c>
      <c r="I736" s="1" t="s">
        <v>97</v>
      </c>
      <c r="J736">
        <v>6</v>
      </c>
      <c r="K736">
        <v>18.989999999999998</v>
      </c>
      <c r="L736" s="1" t="s">
        <v>60</v>
      </c>
      <c r="M736" s="1" t="s">
        <v>43</v>
      </c>
      <c r="N736" s="1" t="s">
        <v>44</v>
      </c>
      <c r="O736" s="1" t="s">
        <v>31</v>
      </c>
      <c r="P736" s="2">
        <v>45823</v>
      </c>
      <c r="Q736" s="1" t="s">
        <v>768</v>
      </c>
      <c r="R736" s="1" t="s">
        <v>769</v>
      </c>
      <c r="S736" s="1" t="s">
        <v>54</v>
      </c>
      <c r="T736" s="1" t="s">
        <v>35</v>
      </c>
      <c r="U736" s="1" t="s">
        <v>36</v>
      </c>
      <c r="V736" s="1" t="s">
        <v>100</v>
      </c>
      <c r="W736">
        <v>3.2</v>
      </c>
    </row>
    <row r="737" spans="1:23" x14ac:dyDescent="0.3">
      <c r="A737" s="1" t="s">
        <v>1765</v>
      </c>
      <c r="B737">
        <v>1</v>
      </c>
      <c r="C737">
        <v>30.99</v>
      </c>
      <c r="D737">
        <v>30.99</v>
      </c>
      <c r="E737" s="1" t="s">
        <v>1115</v>
      </c>
      <c r="F737" s="1" t="s">
        <v>40</v>
      </c>
      <c r="G737">
        <v>2</v>
      </c>
      <c r="H737" s="1" t="s">
        <v>41</v>
      </c>
      <c r="I737" s="1" t="s">
        <v>42</v>
      </c>
      <c r="J737">
        <v>10.5</v>
      </c>
      <c r="K737">
        <v>30.99</v>
      </c>
      <c r="L737" s="1" t="s">
        <v>28</v>
      </c>
      <c r="M737" s="1" t="s">
        <v>43</v>
      </c>
      <c r="N737" s="1" t="s">
        <v>44</v>
      </c>
      <c r="O737" s="1" t="s">
        <v>31</v>
      </c>
      <c r="P737" s="2">
        <v>45823</v>
      </c>
      <c r="Q737" s="1" t="s">
        <v>1319</v>
      </c>
      <c r="R737" s="1" t="s">
        <v>1320</v>
      </c>
      <c r="S737" s="1" t="s">
        <v>54</v>
      </c>
      <c r="T737" s="1" t="s">
        <v>35</v>
      </c>
      <c r="U737" s="1" t="s">
        <v>82</v>
      </c>
      <c r="V737" s="1" t="s">
        <v>37</v>
      </c>
      <c r="W737">
        <v>2</v>
      </c>
    </row>
    <row r="738" spans="1:23" x14ac:dyDescent="0.3">
      <c r="A738" s="1" t="s">
        <v>1766</v>
      </c>
      <c r="B738">
        <v>1</v>
      </c>
      <c r="C738">
        <v>34.99</v>
      </c>
      <c r="D738">
        <v>34.99</v>
      </c>
      <c r="E738" s="1" t="s">
        <v>827</v>
      </c>
      <c r="F738" s="1" t="s">
        <v>40</v>
      </c>
      <c r="G738">
        <v>8</v>
      </c>
      <c r="H738" s="1" t="s">
        <v>26</v>
      </c>
      <c r="I738" s="1" t="s">
        <v>85</v>
      </c>
      <c r="J738">
        <v>12.5</v>
      </c>
      <c r="K738">
        <v>34.99</v>
      </c>
      <c r="L738" s="1" t="s">
        <v>60</v>
      </c>
      <c r="M738" s="1" t="s">
        <v>29</v>
      </c>
      <c r="N738" s="1" t="s">
        <v>30</v>
      </c>
      <c r="O738" s="1" t="s">
        <v>31</v>
      </c>
      <c r="P738" s="2">
        <v>45778</v>
      </c>
      <c r="Q738" s="1" t="s">
        <v>732</v>
      </c>
      <c r="R738" s="1" t="s">
        <v>1263</v>
      </c>
      <c r="S738" s="1" t="s">
        <v>88</v>
      </c>
      <c r="T738" s="1" t="s">
        <v>35</v>
      </c>
      <c r="U738" s="1" t="s">
        <v>82</v>
      </c>
      <c r="V738" s="1" t="s">
        <v>89</v>
      </c>
      <c r="W738">
        <v>2.4</v>
      </c>
    </row>
    <row r="739" spans="1:23" x14ac:dyDescent="0.3">
      <c r="A739" s="1" t="s">
        <v>1767</v>
      </c>
      <c r="B739">
        <v>2</v>
      </c>
      <c r="C739">
        <v>27.99</v>
      </c>
      <c r="D739">
        <v>48.82</v>
      </c>
      <c r="E739" s="1" t="s">
        <v>719</v>
      </c>
      <c r="F739" s="1" t="s">
        <v>40</v>
      </c>
      <c r="G739">
        <v>3</v>
      </c>
      <c r="H739" s="1" t="s">
        <v>26</v>
      </c>
      <c r="I739" s="1" t="s">
        <v>75</v>
      </c>
      <c r="J739">
        <v>9</v>
      </c>
      <c r="K739">
        <v>27.99</v>
      </c>
      <c r="L739" s="1" t="s">
        <v>28</v>
      </c>
      <c r="M739" s="1" t="s">
        <v>61</v>
      </c>
      <c r="N739" s="1" t="s">
        <v>62</v>
      </c>
      <c r="O739" s="1" t="s">
        <v>31</v>
      </c>
      <c r="P739" s="2">
        <v>45726</v>
      </c>
      <c r="Q739" s="1" t="s">
        <v>745</v>
      </c>
      <c r="R739" s="1" t="s">
        <v>746</v>
      </c>
      <c r="S739" s="1" t="s">
        <v>105</v>
      </c>
      <c r="T739" s="1" t="s">
        <v>35</v>
      </c>
      <c r="U739" s="1" t="s">
        <v>48</v>
      </c>
      <c r="V739" s="1" t="s">
        <v>37</v>
      </c>
      <c r="W739">
        <v>2</v>
      </c>
    </row>
    <row r="740" spans="1:23" x14ac:dyDescent="0.3">
      <c r="A740" s="1" t="s">
        <v>1768</v>
      </c>
      <c r="B740">
        <v>3</v>
      </c>
      <c r="C740">
        <v>27.99</v>
      </c>
      <c r="D740">
        <v>67.36</v>
      </c>
      <c r="E740" s="1" t="s">
        <v>1233</v>
      </c>
      <c r="F740" s="1" t="s">
        <v>40</v>
      </c>
      <c r="G740">
        <v>3</v>
      </c>
      <c r="H740" s="1" t="s">
        <v>58</v>
      </c>
      <c r="I740" s="1" t="s">
        <v>75</v>
      </c>
      <c r="J740">
        <v>9</v>
      </c>
      <c r="K740">
        <v>27.99</v>
      </c>
      <c r="L740" s="1" t="s">
        <v>28</v>
      </c>
      <c r="M740" s="1" t="s">
        <v>61</v>
      </c>
      <c r="N740" s="1" t="s">
        <v>62</v>
      </c>
      <c r="O740" s="1" t="s">
        <v>31</v>
      </c>
      <c r="P740" s="2">
        <v>45726</v>
      </c>
      <c r="Q740" s="1" t="s">
        <v>1533</v>
      </c>
      <c r="R740" s="1" t="s">
        <v>1635</v>
      </c>
      <c r="S740" s="1" t="s">
        <v>105</v>
      </c>
      <c r="T740" s="1" t="s">
        <v>35</v>
      </c>
      <c r="U740" s="1" t="s">
        <v>36</v>
      </c>
      <c r="V740" s="1" t="s">
        <v>37</v>
      </c>
      <c r="W740">
        <v>2</v>
      </c>
    </row>
    <row r="741" spans="1:23" x14ac:dyDescent="0.3">
      <c r="A741" s="1" t="s">
        <v>1769</v>
      </c>
      <c r="B741">
        <v>3</v>
      </c>
      <c r="C741">
        <v>30.99</v>
      </c>
      <c r="D741">
        <v>73.75</v>
      </c>
      <c r="E741" s="1" t="s">
        <v>1002</v>
      </c>
      <c r="F741" s="1" t="s">
        <v>40</v>
      </c>
      <c r="G741">
        <v>3</v>
      </c>
      <c r="H741" s="1" t="s">
        <v>58</v>
      </c>
      <c r="I741" s="1" t="s">
        <v>42</v>
      </c>
      <c r="J741">
        <v>10.5</v>
      </c>
      <c r="K741">
        <v>30.99</v>
      </c>
      <c r="L741" s="1" t="s">
        <v>28</v>
      </c>
      <c r="M741" s="1" t="s">
        <v>43</v>
      </c>
      <c r="N741" s="1" t="s">
        <v>44</v>
      </c>
      <c r="O741" s="1" t="s">
        <v>31</v>
      </c>
      <c r="P741" s="2">
        <v>45823</v>
      </c>
      <c r="Q741" s="1" t="s">
        <v>1770</v>
      </c>
      <c r="R741" s="1" t="s">
        <v>1771</v>
      </c>
      <c r="S741" s="1" t="s">
        <v>34</v>
      </c>
      <c r="T741" s="1" t="s">
        <v>35</v>
      </c>
      <c r="U741" s="1" t="s">
        <v>55</v>
      </c>
      <c r="V741" s="1" t="s">
        <v>37</v>
      </c>
      <c r="W741">
        <v>2</v>
      </c>
    </row>
    <row r="742" spans="1:23" x14ac:dyDescent="0.3">
      <c r="A742" s="1" t="s">
        <v>1772</v>
      </c>
      <c r="B742">
        <v>1</v>
      </c>
      <c r="C742">
        <v>16.989999999999998</v>
      </c>
      <c r="D742">
        <v>16.989999999999998</v>
      </c>
      <c r="E742" s="1" t="s">
        <v>782</v>
      </c>
      <c r="F742" s="1" t="s">
        <v>40</v>
      </c>
      <c r="G742">
        <v>16</v>
      </c>
      <c r="H742" s="1" t="s">
        <v>58</v>
      </c>
      <c r="I742" s="1" t="s">
        <v>59</v>
      </c>
      <c r="J742">
        <v>5</v>
      </c>
      <c r="K742">
        <v>16.989999999999998</v>
      </c>
      <c r="L742" s="1" t="s">
        <v>60</v>
      </c>
      <c r="M742" s="1" t="s">
        <v>61</v>
      </c>
      <c r="N742" s="1" t="s">
        <v>62</v>
      </c>
      <c r="O742" s="1" t="s">
        <v>31</v>
      </c>
      <c r="P742" s="2">
        <v>45726</v>
      </c>
      <c r="Q742" s="1" t="s">
        <v>437</v>
      </c>
      <c r="R742" s="1" t="s">
        <v>1045</v>
      </c>
      <c r="S742" s="1" t="s">
        <v>34</v>
      </c>
      <c r="T742" s="1" t="s">
        <v>35</v>
      </c>
      <c r="U742" s="1" t="s">
        <v>66</v>
      </c>
      <c r="V742" s="1" t="s">
        <v>67</v>
      </c>
      <c r="W742">
        <v>3</v>
      </c>
    </row>
    <row r="743" spans="1:23" x14ac:dyDescent="0.3">
      <c r="A743" s="1" t="s">
        <v>1773</v>
      </c>
      <c r="B743">
        <v>1</v>
      </c>
      <c r="C743">
        <v>30.99</v>
      </c>
      <c r="D743">
        <v>30.99</v>
      </c>
      <c r="E743" s="1" t="s">
        <v>136</v>
      </c>
      <c r="F743" s="1" t="s">
        <v>70</v>
      </c>
      <c r="G743">
        <v>0</v>
      </c>
      <c r="H743" s="1" t="s">
        <v>26</v>
      </c>
      <c r="I743" s="1" t="s">
        <v>42</v>
      </c>
      <c r="J743">
        <v>10.5</v>
      </c>
      <c r="K743">
        <v>30.99</v>
      </c>
      <c r="L743" s="1" t="s">
        <v>28</v>
      </c>
      <c r="M743" s="1" t="s">
        <v>43</v>
      </c>
      <c r="N743" s="1" t="s">
        <v>44</v>
      </c>
      <c r="O743" s="1" t="s">
        <v>31</v>
      </c>
      <c r="P743" s="2">
        <v>45823</v>
      </c>
      <c r="Q743" s="1" t="s">
        <v>1676</v>
      </c>
      <c r="R743" s="1" t="s">
        <v>1774</v>
      </c>
      <c r="S743" s="1" t="s">
        <v>54</v>
      </c>
      <c r="T743" s="1" t="s">
        <v>35</v>
      </c>
      <c r="U743" s="1" t="s">
        <v>36</v>
      </c>
      <c r="V743" s="1" t="s">
        <v>37</v>
      </c>
      <c r="W743">
        <v>2</v>
      </c>
    </row>
    <row r="744" spans="1:23" x14ac:dyDescent="0.3">
      <c r="A744" s="1" t="s">
        <v>1775</v>
      </c>
      <c r="B744">
        <v>1</v>
      </c>
      <c r="C744">
        <v>27.99</v>
      </c>
      <c r="D744">
        <v>27.99</v>
      </c>
      <c r="E744" s="1" t="s">
        <v>561</v>
      </c>
      <c r="F744" s="1" t="s">
        <v>40</v>
      </c>
      <c r="G744">
        <v>2</v>
      </c>
      <c r="H744" s="1" t="s">
        <v>26</v>
      </c>
      <c r="I744" s="1" t="s">
        <v>75</v>
      </c>
      <c r="J744">
        <v>9</v>
      </c>
      <c r="K744">
        <v>27.99</v>
      </c>
      <c r="L744" s="1" t="s">
        <v>28</v>
      </c>
      <c r="M744" s="1" t="s">
        <v>61</v>
      </c>
      <c r="N744" s="1" t="s">
        <v>62</v>
      </c>
      <c r="O744" s="1" t="s">
        <v>31</v>
      </c>
      <c r="P744" s="2">
        <v>45726</v>
      </c>
      <c r="Q744" s="1" t="s">
        <v>1144</v>
      </c>
      <c r="R744" s="1" t="s">
        <v>1145</v>
      </c>
      <c r="S744" s="1" t="s">
        <v>105</v>
      </c>
      <c r="T744" s="1" t="s">
        <v>35</v>
      </c>
      <c r="U744" s="1" t="s">
        <v>36</v>
      </c>
      <c r="V744" s="1" t="s">
        <v>37</v>
      </c>
      <c r="W744">
        <v>2</v>
      </c>
    </row>
    <row r="745" spans="1:23" x14ac:dyDescent="0.3">
      <c r="A745" s="1" t="s">
        <v>1776</v>
      </c>
      <c r="B745">
        <v>1</v>
      </c>
      <c r="C745">
        <v>27.99</v>
      </c>
      <c r="D745">
        <v>27.99</v>
      </c>
      <c r="E745" s="1" t="s">
        <v>317</v>
      </c>
      <c r="F745" s="1" t="s">
        <v>40</v>
      </c>
      <c r="G745">
        <v>3</v>
      </c>
      <c r="H745" s="1" t="s">
        <v>26</v>
      </c>
      <c r="I745" s="1" t="s">
        <v>75</v>
      </c>
      <c r="J745">
        <v>9</v>
      </c>
      <c r="K745">
        <v>27.99</v>
      </c>
      <c r="L745" s="1" t="s">
        <v>28</v>
      </c>
      <c r="M745" s="1" t="s">
        <v>61</v>
      </c>
      <c r="N745" s="1" t="s">
        <v>62</v>
      </c>
      <c r="O745" s="1" t="s">
        <v>31</v>
      </c>
      <c r="P745" s="2">
        <v>45726</v>
      </c>
      <c r="Q745" s="1" t="s">
        <v>748</v>
      </c>
      <c r="R745" s="1" t="s">
        <v>749</v>
      </c>
      <c r="S745" s="1" t="s">
        <v>88</v>
      </c>
      <c r="T745" s="1" t="s">
        <v>35</v>
      </c>
      <c r="U745" s="1" t="s">
        <v>48</v>
      </c>
      <c r="V745" s="1" t="s">
        <v>37</v>
      </c>
      <c r="W745">
        <v>2</v>
      </c>
    </row>
    <row r="746" spans="1:23" x14ac:dyDescent="0.3">
      <c r="A746" s="1" t="s">
        <v>1777</v>
      </c>
      <c r="B746">
        <v>3</v>
      </c>
      <c r="C746">
        <v>18.989999999999998</v>
      </c>
      <c r="D746">
        <v>45.99</v>
      </c>
      <c r="E746" s="1" t="s">
        <v>24</v>
      </c>
      <c r="F746" s="1" t="s">
        <v>40</v>
      </c>
      <c r="G746">
        <v>15</v>
      </c>
      <c r="H746" s="1" t="s">
        <v>26</v>
      </c>
      <c r="I746" s="1" t="s">
        <v>97</v>
      </c>
      <c r="J746">
        <v>6</v>
      </c>
      <c r="K746">
        <v>18.989999999999998</v>
      </c>
      <c r="L746" s="1" t="s">
        <v>60</v>
      </c>
      <c r="M746" s="1" t="s">
        <v>43</v>
      </c>
      <c r="N746" s="1" t="s">
        <v>44</v>
      </c>
      <c r="O746" s="1" t="s">
        <v>31</v>
      </c>
      <c r="P746" s="2">
        <v>45823</v>
      </c>
      <c r="Q746" s="1" t="s">
        <v>842</v>
      </c>
      <c r="R746" s="1" t="s">
        <v>1504</v>
      </c>
      <c r="S746" s="1" t="s">
        <v>47</v>
      </c>
      <c r="T746" s="1" t="s">
        <v>35</v>
      </c>
      <c r="U746" s="1" t="s">
        <v>66</v>
      </c>
      <c r="V746" s="1" t="s">
        <v>100</v>
      </c>
      <c r="W746">
        <v>3.2</v>
      </c>
    </row>
    <row r="747" spans="1:23" x14ac:dyDescent="0.3">
      <c r="A747" s="1" t="s">
        <v>1778</v>
      </c>
      <c r="B747">
        <v>2</v>
      </c>
      <c r="C747">
        <v>34.99</v>
      </c>
      <c r="D747">
        <v>60.99</v>
      </c>
      <c r="E747" s="1" t="s">
        <v>1598</v>
      </c>
      <c r="F747" s="1" t="s">
        <v>51</v>
      </c>
      <c r="G747">
        <v>0</v>
      </c>
      <c r="H747" s="1" t="s">
        <v>58</v>
      </c>
      <c r="I747" s="1" t="s">
        <v>85</v>
      </c>
      <c r="J747">
        <v>12.5</v>
      </c>
      <c r="K747">
        <v>34.99</v>
      </c>
      <c r="L747" s="1" t="s">
        <v>60</v>
      </c>
      <c r="M747" s="1" t="s">
        <v>29</v>
      </c>
      <c r="N747" s="1" t="s">
        <v>30</v>
      </c>
      <c r="O747" s="1" t="s">
        <v>31</v>
      </c>
      <c r="P747" s="2">
        <v>45778</v>
      </c>
      <c r="Q747" s="1" t="s">
        <v>1035</v>
      </c>
      <c r="R747" s="1" t="s">
        <v>1036</v>
      </c>
      <c r="S747" s="1" t="s">
        <v>54</v>
      </c>
      <c r="T747" s="1" t="s">
        <v>35</v>
      </c>
      <c r="U747" s="1" t="s">
        <v>66</v>
      </c>
      <c r="V747" s="1" t="s">
        <v>89</v>
      </c>
      <c r="W747">
        <v>2.4</v>
      </c>
    </row>
    <row r="748" spans="1:23" x14ac:dyDescent="0.3">
      <c r="A748" s="1" t="s">
        <v>1779</v>
      </c>
      <c r="B748">
        <v>1</v>
      </c>
      <c r="C748">
        <v>18.989999999999998</v>
      </c>
      <c r="D748">
        <v>18.989999999999998</v>
      </c>
      <c r="E748" s="1" t="s">
        <v>723</v>
      </c>
      <c r="F748" s="1" t="s">
        <v>40</v>
      </c>
      <c r="G748">
        <v>14</v>
      </c>
      <c r="H748" s="1" t="s">
        <v>41</v>
      </c>
      <c r="I748" s="1" t="s">
        <v>97</v>
      </c>
      <c r="J748">
        <v>6</v>
      </c>
      <c r="K748">
        <v>18.989999999999998</v>
      </c>
      <c r="L748" s="1" t="s">
        <v>60</v>
      </c>
      <c r="M748" s="1" t="s">
        <v>43</v>
      </c>
      <c r="N748" s="1" t="s">
        <v>44</v>
      </c>
      <c r="O748" s="1" t="s">
        <v>31</v>
      </c>
      <c r="P748" s="2">
        <v>45823</v>
      </c>
      <c r="Q748" s="1" t="s">
        <v>1780</v>
      </c>
      <c r="R748" s="1" t="s">
        <v>1781</v>
      </c>
      <c r="S748" s="1" t="s">
        <v>65</v>
      </c>
      <c r="T748" s="1" t="s">
        <v>35</v>
      </c>
      <c r="U748" s="1" t="s">
        <v>36</v>
      </c>
      <c r="V748" s="1" t="s">
        <v>100</v>
      </c>
      <c r="W748">
        <v>3.2</v>
      </c>
    </row>
    <row r="749" spans="1:23" x14ac:dyDescent="0.3">
      <c r="A749" s="1" t="s">
        <v>1782</v>
      </c>
      <c r="B749">
        <v>2</v>
      </c>
      <c r="C749">
        <v>18.989999999999998</v>
      </c>
      <c r="D749">
        <v>32.479999999999997</v>
      </c>
      <c r="E749" s="1" t="s">
        <v>921</v>
      </c>
      <c r="F749" s="1" t="s">
        <v>40</v>
      </c>
      <c r="G749">
        <v>10</v>
      </c>
      <c r="H749" s="1" t="s">
        <v>58</v>
      </c>
      <c r="I749" s="1" t="s">
        <v>97</v>
      </c>
      <c r="J749">
        <v>6</v>
      </c>
      <c r="K749">
        <v>18.989999999999998</v>
      </c>
      <c r="L749" s="1" t="s">
        <v>60</v>
      </c>
      <c r="M749" s="1" t="s">
        <v>43</v>
      </c>
      <c r="N749" s="1" t="s">
        <v>44</v>
      </c>
      <c r="O749" s="1" t="s">
        <v>31</v>
      </c>
      <c r="P749" s="2">
        <v>45823</v>
      </c>
      <c r="Q749" s="1" t="s">
        <v>909</v>
      </c>
      <c r="R749" s="1" t="s">
        <v>996</v>
      </c>
      <c r="S749" s="1" t="s">
        <v>88</v>
      </c>
      <c r="T749" s="1" t="s">
        <v>35</v>
      </c>
      <c r="U749" s="1" t="s">
        <v>66</v>
      </c>
      <c r="V749" s="1" t="s">
        <v>100</v>
      </c>
      <c r="W749">
        <v>3.2</v>
      </c>
    </row>
    <row r="750" spans="1:23" x14ac:dyDescent="0.3">
      <c r="A750" s="1" t="s">
        <v>1783</v>
      </c>
      <c r="B750">
        <v>2</v>
      </c>
      <c r="C750">
        <v>30.99</v>
      </c>
      <c r="D750">
        <v>53.82</v>
      </c>
      <c r="E750" s="1" t="s">
        <v>1596</v>
      </c>
      <c r="F750" s="1" t="s">
        <v>51</v>
      </c>
      <c r="G750">
        <v>0</v>
      </c>
      <c r="H750" s="1" t="s">
        <v>41</v>
      </c>
      <c r="I750" s="1" t="s">
        <v>42</v>
      </c>
      <c r="J750">
        <v>10.5</v>
      </c>
      <c r="K750">
        <v>30.99</v>
      </c>
      <c r="L750" s="1" t="s">
        <v>28</v>
      </c>
      <c r="M750" s="1" t="s">
        <v>43</v>
      </c>
      <c r="N750" s="1" t="s">
        <v>44</v>
      </c>
      <c r="O750" s="1" t="s">
        <v>31</v>
      </c>
      <c r="P750" s="2">
        <v>45823</v>
      </c>
      <c r="Q750" s="1" t="s">
        <v>873</v>
      </c>
      <c r="R750" s="1" t="s">
        <v>1208</v>
      </c>
      <c r="S750" s="1" t="s">
        <v>54</v>
      </c>
      <c r="T750" s="1" t="s">
        <v>35</v>
      </c>
      <c r="U750" s="1" t="s">
        <v>82</v>
      </c>
      <c r="V750" s="1" t="s">
        <v>37</v>
      </c>
      <c r="W750">
        <v>2</v>
      </c>
    </row>
    <row r="751" spans="1:23" x14ac:dyDescent="0.3">
      <c r="A751" s="1" t="s">
        <v>1784</v>
      </c>
      <c r="B751">
        <v>1</v>
      </c>
      <c r="C751">
        <v>21.99</v>
      </c>
      <c r="D751">
        <v>21.99</v>
      </c>
      <c r="E751" s="1" t="s">
        <v>1785</v>
      </c>
      <c r="F751" s="1" t="s">
        <v>40</v>
      </c>
      <c r="G751">
        <v>3</v>
      </c>
      <c r="H751" s="1" t="s">
        <v>41</v>
      </c>
      <c r="I751" s="1" t="s">
        <v>27</v>
      </c>
      <c r="J751">
        <v>7</v>
      </c>
      <c r="K751">
        <v>21.99</v>
      </c>
      <c r="L751" s="1" t="s">
        <v>28</v>
      </c>
      <c r="M751" s="1" t="s">
        <v>29</v>
      </c>
      <c r="N751" s="1" t="s">
        <v>30</v>
      </c>
      <c r="O751" s="1" t="s">
        <v>31</v>
      </c>
      <c r="P751" s="2">
        <v>45778</v>
      </c>
      <c r="Q751" s="1" t="s">
        <v>1133</v>
      </c>
      <c r="R751" s="1" t="s">
        <v>1134</v>
      </c>
      <c r="S751" s="1" t="s">
        <v>65</v>
      </c>
      <c r="T751" s="1" t="s">
        <v>35</v>
      </c>
      <c r="U751" s="1" t="s">
        <v>36</v>
      </c>
      <c r="V751" s="1" t="s">
        <v>37</v>
      </c>
      <c r="W751">
        <v>2</v>
      </c>
    </row>
    <row r="752" spans="1:23" x14ac:dyDescent="0.3">
      <c r="A752" s="1" t="s">
        <v>1786</v>
      </c>
      <c r="B752">
        <v>2</v>
      </c>
      <c r="C752">
        <v>16.989999999999998</v>
      </c>
      <c r="D752">
        <v>29.1</v>
      </c>
      <c r="E752" s="1" t="s">
        <v>1787</v>
      </c>
      <c r="F752" s="1" t="s">
        <v>40</v>
      </c>
      <c r="G752">
        <v>20</v>
      </c>
      <c r="H752" s="1" t="s">
        <v>96</v>
      </c>
      <c r="I752" s="1" t="s">
        <v>59</v>
      </c>
      <c r="J752">
        <v>5</v>
      </c>
      <c r="K752">
        <v>16.989999999999998</v>
      </c>
      <c r="L752" s="1" t="s">
        <v>60</v>
      </c>
      <c r="M752" s="1" t="s">
        <v>61</v>
      </c>
      <c r="N752" s="1" t="s">
        <v>62</v>
      </c>
      <c r="O752" s="1" t="s">
        <v>31</v>
      </c>
      <c r="P752" s="2">
        <v>45726</v>
      </c>
      <c r="Q752" s="1" t="s">
        <v>760</v>
      </c>
      <c r="R752" s="1" t="s">
        <v>1682</v>
      </c>
      <c r="S752" s="1" t="s">
        <v>105</v>
      </c>
      <c r="T752" s="1" t="s">
        <v>35</v>
      </c>
      <c r="U752" s="1" t="s">
        <v>48</v>
      </c>
      <c r="V752" s="1" t="s">
        <v>67</v>
      </c>
      <c r="W752">
        <v>3</v>
      </c>
    </row>
    <row r="753" spans="1:23" x14ac:dyDescent="0.3">
      <c r="A753" s="1" t="s">
        <v>1788</v>
      </c>
      <c r="B753">
        <v>1</v>
      </c>
      <c r="C753">
        <v>18.989999999999998</v>
      </c>
      <c r="D753">
        <v>18.989999999999998</v>
      </c>
      <c r="E753" s="1" t="s">
        <v>281</v>
      </c>
      <c r="F753" s="1" t="s">
        <v>40</v>
      </c>
      <c r="G753">
        <v>11</v>
      </c>
      <c r="H753" s="1" t="s">
        <v>96</v>
      </c>
      <c r="I753" s="1" t="s">
        <v>97</v>
      </c>
      <c r="J753">
        <v>6</v>
      </c>
      <c r="K753">
        <v>18.989999999999998</v>
      </c>
      <c r="L753" s="1" t="s">
        <v>60</v>
      </c>
      <c r="M753" s="1" t="s">
        <v>43</v>
      </c>
      <c r="N753" s="1" t="s">
        <v>44</v>
      </c>
      <c r="O753" s="1" t="s">
        <v>31</v>
      </c>
      <c r="P753" s="2">
        <v>45823</v>
      </c>
      <c r="Q753" s="1" t="s">
        <v>176</v>
      </c>
      <c r="R753" s="1" t="s">
        <v>1789</v>
      </c>
      <c r="S753" s="1" t="s">
        <v>54</v>
      </c>
      <c r="T753" s="1" t="s">
        <v>35</v>
      </c>
      <c r="U753" s="1" t="s">
        <v>66</v>
      </c>
      <c r="V753" s="1" t="s">
        <v>100</v>
      </c>
      <c r="W753">
        <v>3.2</v>
      </c>
    </row>
    <row r="754" spans="1:23" x14ac:dyDescent="0.3">
      <c r="A754" s="1" t="s">
        <v>1790</v>
      </c>
      <c r="B754">
        <v>2</v>
      </c>
      <c r="C754">
        <v>18.989999999999998</v>
      </c>
      <c r="D754">
        <v>32.840000000000003</v>
      </c>
      <c r="E754" s="1" t="s">
        <v>868</v>
      </c>
      <c r="F754" s="1" t="s">
        <v>40</v>
      </c>
      <c r="G754">
        <v>14</v>
      </c>
      <c r="H754" s="1" t="s">
        <v>26</v>
      </c>
      <c r="I754" s="1" t="s">
        <v>97</v>
      </c>
      <c r="J754">
        <v>6</v>
      </c>
      <c r="K754">
        <v>18.989999999999998</v>
      </c>
      <c r="L754" s="1" t="s">
        <v>60</v>
      </c>
      <c r="M754" s="1" t="s">
        <v>43</v>
      </c>
      <c r="N754" s="1" t="s">
        <v>44</v>
      </c>
      <c r="O754" s="1" t="s">
        <v>31</v>
      </c>
      <c r="P754" s="2">
        <v>45823</v>
      </c>
      <c r="Q754" s="1" t="s">
        <v>783</v>
      </c>
      <c r="R754" s="1" t="s">
        <v>784</v>
      </c>
      <c r="S754" s="1" t="s">
        <v>34</v>
      </c>
      <c r="T754" s="1" t="s">
        <v>35</v>
      </c>
      <c r="U754" s="1" t="s">
        <v>55</v>
      </c>
      <c r="V754" s="1" t="s">
        <v>100</v>
      </c>
      <c r="W754">
        <v>3.2</v>
      </c>
    </row>
    <row r="755" spans="1:23" x14ac:dyDescent="0.3">
      <c r="A755" s="1" t="s">
        <v>1791</v>
      </c>
      <c r="B755">
        <v>1</v>
      </c>
      <c r="C755">
        <v>27.99</v>
      </c>
      <c r="D755">
        <v>27.99</v>
      </c>
      <c r="E755" s="1" t="s">
        <v>393</v>
      </c>
      <c r="F755" s="1" t="s">
        <v>188</v>
      </c>
      <c r="G755">
        <v>0</v>
      </c>
      <c r="H755" s="1" t="s">
        <v>41</v>
      </c>
      <c r="I755" s="1" t="s">
        <v>75</v>
      </c>
      <c r="J755">
        <v>9</v>
      </c>
      <c r="K755">
        <v>27.99</v>
      </c>
      <c r="L755" s="1" t="s">
        <v>28</v>
      </c>
      <c r="M755" s="1" t="s">
        <v>61</v>
      </c>
      <c r="N755" s="1" t="s">
        <v>62</v>
      </c>
      <c r="O755" s="1" t="s">
        <v>31</v>
      </c>
      <c r="P755" s="2">
        <v>45726</v>
      </c>
      <c r="Q755" s="1" t="s">
        <v>425</v>
      </c>
      <c r="R755" s="1" t="s">
        <v>1469</v>
      </c>
      <c r="S755" s="1" t="s">
        <v>88</v>
      </c>
      <c r="T755" s="1" t="s">
        <v>35</v>
      </c>
      <c r="U755" s="1" t="s">
        <v>82</v>
      </c>
      <c r="V755" s="1" t="s">
        <v>37</v>
      </c>
      <c r="W755">
        <v>2</v>
      </c>
    </row>
    <row r="756" spans="1:23" x14ac:dyDescent="0.3">
      <c r="A756" s="1" t="s">
        <v>1792</v>
      </c>
      <c r="B756">
        <v>1</v>
      </c>
      <c r="C756">
        <v>34.99</v>
      </c>
      <c r="D756">
        <v>34.99</v>
      </c>
      <c r="E756" s="1" t="s">
        <v>1345</v>
      </c>
      <c r="F756" s="1" t="s">
        <v>40</v>
      </c>
      <c r="G756">
        <v>8</v>
      </c>
      <c r="H756" s="1" t="s">
        <v>96</v>
      </c>
      <c r="I756" s="1" t="s">
        <v>85</v>
      </c>
      <c r="J756">
        <v>12.5</v>
      </c>
      <c r="K756">
        <v>34.99</v>
      </c>
      <c r="L756" s="1" t="s">
        <v>60</v>
      </c>
      <c r="M756" s="1" t="s">
        <v>29</v>
      </c>
      <c r="N756" s="1" t="s">
        <v>30</v>
      </c>
      <c r="O756" s="1" t="s">
        <v>31</v>
      </c>
      <c r="P756" s="2">
        <v>45778</v>
      </c>
      <c r="Q756" s="1" t="s">
        <v>1793</v>
      </c>
      <c r="R756" s="1" t="s">
        <v>1794</v>
      </c>
      <c r="S756" s="1" t="s">
        <v>88</v>
      </c>
      <c r="T756" s="1" t="s">
        <v>35</v>
      </c>
      <c r="U756" s="1" t="s">
        <v>82</v>
      </c>
      <c r="V756" s="1" t="s">
        <v>89</v>
      </c>
      <c r="W756">
        <v>2.4</v>
      </c>
    </row>
    <row r="757" spans="1:23" x14ac:dyDescent="0.3">
      <c r="A757" s="1" t="s">
        <v>1795</v>
      </c>
      <c r="B757">
        <v>3</v>
      </c>
      <c r="C757">
        <v>27.99</v>
      </c>
      <c r="D757">
        <v>67.209999999999994</v>
      </c>
      <c r="E757" s="1" t="s">
        <v>1796</v>
      </c>
      <c r="F757" s="1" t="s">
        <v>40</v>
      </c>
      <c r="G757">
        <v>2</v>
      </c>
      <c r="H757" s="1" t="s">
        <v>58</v>
      </c>
      <c r="I757" s="1" t="s">
        <v>75</v>
      </c>
      <c r="J757">
        <v>9</v>
      </c>
      <c r="K757">
        <v>27.99</v>
      </c>
      <c r="L757" s="1" t="s">
        <v>28</v>
      </c>
      <c r="M757" s="1" t="s">
        <v>61</v>
      </c>
      <c r="N757" s="1" t="s">
        <v>62</v>
      </c>
      <c r="O757" s="1" t="s">
        <v>31</v>
      </c>
      <c r="P757" s="2">
        <v>45726</v>
      </c>
      <c r="Q757" s="1" t="s">
        <v>182</v>
      </c>
      <c r="R757" s="1" t="s">
        <v>754</v>
      </c>
      <c r="S757" s="1" t="s">
        <v>65</v>
      </c>
      <c r="T757" s="1" t="s">
        <v>35</v>
      </c>
      <c r="U757" s="1" t="s">
        <v>36</v>
      </c>
      <c r="V757" s="1" t="s">
        <v>37</v>
      </c>
      <c r="W757">
        <v>2</v>
      </c>
    </row>
    <row r="758" spans="1:23" x14ac:dyDescent="0.3">
      <c r="A758" s="1" t="s">
        <v>1797</v>
      </c>
      <c r="B758">
        <v>2</v>
      </c>
      <c r="C758">
        <v>21.99</v>
      </c>
      <c r="D758">
        <v>37.85</v>
      </c>
      <c r="E758" s="1" t="s">
        <v>1798</v>
      </c>
      <c r="F758" s="1" t="s">
        <v>40</v>
      </c>
      <c r="G758">
        <v>2</v>
      </c>
      <c r="H758" s="1" t="s">
        <v>58</v>
      </c>
      <c r="I758" s="1" t="s">
        <v>27</v>
      </c>
      <c r="J758">
        <v>7</v>
      </c>
      <c r="K758">
        <v>21.99</v>
      </c>
      <c r="L758" s="1" t="s">
        <v>28</v>
      </c>
      <c r="M758" s="1" t="s">
        <v>29</v>
      </c>
      <c r="N758" s="1" t="s">
        <v>30</v>
      </c>
      <c r="O758" s="1" t="s">
        <v>31</v>
      </c>
      <c r="P758" s="2">
        <v>45778</v>
      </c>
      <c r="Q758" s="1" t="s">
        <v>1140</v>
      </c>
      <c r="R758" s="1" t="s">
        <v>1799</v>
      </c>
      <c r="S758" s="1" t="s">
        <v>65</v>
      </c>
      <c r="T758" s="1" t="s">
        <v>35</v>
      </c>
      <c r="U758" s="1" t="s">
        <v>48</v>
      </c>
      <c r="V758" s="1" t="s">
        <v>37</v>
      </c>
      <c r="W758">
        <v>2</v>
      </c>
    </row>
    <row r="759" spans="1:23" x14ac:dyDescent="0.3">
      <c r="A759" s="1" t="s">
        <v>1800</v>
      </c>
      <c r="B759">
        <v>3</v>
      </c>
      <c r="C759">
        <v>16.989999999999998</v>
      </c>
      <c r="D759">
        <v>40.08</v>
      </c>
      <c r="E759" s="1" t="s">
        <v>1801</v>
      </c>
      <c r="F759" s="1" t="s">
        <v>188</v>
      </c>
      <c r="G759">
        <v>0</v>
      </c>
      <c r="H759" s="1" t="s">
        <v>26</v>
      </c>
      <c r="I759" s="1" t="s">
        <v>59</v>
      </c>
      <c r="J759">
        <v>5</v>
      </c>
      <c r="K759">
        <v>16.989999999999998</v>
      </c>
      <c r="L759" s="1" t="s">
        <v>60</v>
      </c>
      <c r="M759" s="1" t="s">
        <v>61</v>
      </c>
      <c r="N759" s="1" t="s">
        <v>62</v>
      </c>
      <c r="O759" s="1" t="s">
        <v>31</v>
      </c>
      <c r="P759" s="2">
        <v>45726</v>
      </c>
      <c r="Q759" s="1" t="s">
        <v>832</v>
      </c>
      <c r="R759" s="1" t="s">
        <v>879</v>
      </c>
      <c r="S759" s="1" t="s">
        <v>105</v>
      </c>
      <c r="T759" s="1" t="s">
        <v>35</v>
      </c>
      <c r="U759" s="1" t="s">
        <v>66</v>
      </c>
      <c r="V759" s="1" t="s">
        <v>67</v>
      </c>
      <c r="W759">
        <v>3</v>
      </c>
    </row>
    <row r="760" spans="1:23" x14ac:dyDescent="0.3">
      <c r="A760" s="1" t="s">
        <v>1802</v>
      </c>
      <c r="B760">
        <v>1</v>
      </c>
      <c r="C760">
        <v>16.989999999999998</v>
      </c>
      <c r="D760">
        <v>16.989999999999998</v>
      </c>
      <c r="E760" s="1" t="s">
        <v>1170</v>
      </c>
      <c r="F760" s="1" t="s">
        <v>51</v>
      </c>
      <c r="G760">
        <v>0</v>
      </c>
      <c r="H760" s="1" t="s">
        <v>41</v>
      </c>
      <c r="I760" s="1" t="s">
        <v>59</v>
      </c>
      <c r="J760">
        <v>5</v>
      </c>
      <c r="K760">
        <v>16.989999999999998</v>
      </c>
      <c r="L760" s="1" t="s">
        <v>60</v>
      </c>
      <c r="M760" s="1" t="s">
        <v>61</v>
      </c>
      <c r="N760" s="1" t="s">
        <v>62</v>
      </c>
      <c r="O760" s="1" t="s">
        <v>31</v>
      </c>
      <c r="P760" s="2">
        <v>45726</v>
      </c>
      <c r="Q760" s="1" t="s">
        <v>63</v>
      </c>
      <c r="R760" s="1" t="s">
        <v>1803</v>
      </c>
      <c r="S760" s="1" t="s">
        <v>105</v>
      </c>
      <c r="T760" s="1" t="s">
        <v>35</v>
      </c>
      <c r="U760" s="1" t="s">
        <v>48</v>
      </c>
      <c r="V760" s="1" t="s">
        <v>67</v>
      </c>
      <c r="W760">
        <v>3</v>
      </c>
    </row>
    <row r="761" spans="1:23" x14ac:dyDescent="0.3">
      <c r="A761" s="1" t="s">
        <v>1804</v>
      </c>
      <c r="B761">
        <v>1</v>
      </c>
      <c r="C761">
        <v>21.99</v>
      </c>
      <c r="D761">
        <v>21.99</v>
      </c>
      <c r="E761" s="1" t="s">
        <v>1047</v>
      </c>
      <c r="F761" s="1" t="s">
        <v>40</v>
      </c>
      <c r="G761">
        <v>2</v>
      </c>
      <c r="H761" s="1" t="s">
        <v>41</v>
      </c>
      <c r="I761" s="1" t="s">
        <v>27</v>
      </c>
      <c r="J761">
        <v>7</v>
      </c>
      <c r="K761">
        <v>21.99</v>
      </c>
      <c r="L761" s="1" t="s">
        <v>28</v>
      </c>
      <c r="M761" s="1" t="s">
        <v>29</v>
      </c>
      <c r="N761" s="1" t="s">
        <v>30</v>
      </c>
      <c r="O761" s="1" t="s">
        <v>31</v>
      </c>
      <c r="P761" s="2">
        <v>45778</v>
      </c>
      <c r="Q761" s="1" t="s">
        <v>305</v>
      </c>
      <c r="R761" s="1" t="s">
        <v>1560</v>
      </c>
      <c r="S761" s="1" t="s">
        <v>65</v>
      </c>
      <c r="T761" s="1" t="s">
        <v>35</v>
      </c>
      <c r="U761" s="1" t="s">
        <v>55</v>
      </c>
      <c r="V761" s="1" t="s">
        <v>37</v>
      </c>
      <c r="W761">
        <v>2</v>
      </c>
    </row>
    <row r="762" spans="1:23" x14ac:dyDescent="0.3">
      <c r="A762" s="1" t="s">
        <v>1805</v>
      </c>
      <c r="B762">
        <v>2</v>
      </c>
      <c r="C762">
        <v>18.989999999999998</v>
      </c>
      <c r="D762">
        <v>32.950000000000003</v>
      </c>
      <c r="E762" s="1" t="s">
        <v>117</v>
      </c>
      <c r="F762" s="1" t="s">
        <v>51</v>
      </c>
      <c r="G762">
        <v>0</v>
      </c>
      <c r="H762" s="1" t="s">
        <v>41</v>
      </c>
      <c r="I762" s="1" t="s">
        <v>97</v>
      </c>
      <c r="J762">
        <v>6</v>
      </c>
      <c r="K762">
        <v>18.989999999999998</v>
      </c>
      <c r="L762" s="1" t="s">
        <v>60</v>
      </c>
      <c r="M762" s="1" t="s">
        <v>43</v>
      </c>
      <c r="N762" s="1" t="s">
        <v>44</v>
      </c>
      <c r="O762" s="1" t="s">
        <v>31</v>
      </c>
      <c r="P762" s="2">
        <v>45823</v>
      </c>
      <c r="Q762" s="1" t="s">
        <v>934</v>
      </c>
      <c r="R762" s="1" t="s">
        <v>1165</v>
      </c>
      <c r="S762" s="1" t="s">
        <v>65</v>
      </c>
      <c r="T762" s="1" t="s">
        <v>35</v>
      </c>
      <c r="U762" s="1" t="s">
        <v>82</v>
      </c>
      <c r="V762" s="1" t="s">
        <v>100</v>
      </c>
      <c r="W762">
        <v>3.2</v>
      </c>
    </row>
    <row r="763" spans="1:23" x14ac:dyDescent="0.3">
      <c r="A763" s="1" t="s">
        <v>1806</v>
      </c>
      <c r="B763">
        <v>1</v>
      </c>
      <c r="C763">
        <v>30.99</v>
      </c>
      <c r="D763">
        <v>30.99</v>
      </c>
      <c r="E763" s="1" t="s">
        <v>1807</v>
      </c>
      <c r="F763" s="1" t="s">
        <v>40</v>
      </c>
      <c r="G763">
        <v>3</v>
      </c>
      <c r="H763" s="1" t="s">
        <v>26</v>
      </c>
      <c r="I763" s="1" t="s">
        <v>42</v>
      </c>
      <c r="J763">
        <v>10.5</v>
      </c>
      <c r="K763">
        <v>30.99</v>
      </c>
      <c r="L763" s="1" t="s">
        <v>28</v>
      </c>
      <c r="M763" s="1" t="s">
        <v>43</v>
      </c>
      <c r="N763" s="1" t="s">
        <v>44</v>
      </c>
      <c r="O763" s="1" t="s">
        <v>31</v>
      </c>
      <c r="P763" s="2">
        <v>45823</v>
      </c>
      <c r="Q763" s="1" t="s">
        <v>1593</v>
      </c>
      <c r="R763" s="1" t="s">
        <v>1594</v>
      </c>
      <c r="S763" s="1" t="s">
        <v>47</v>
      </c>
      <c r="T763" s="1" t="s">
        <v>35</v>
      </c>
      <c r="U763" s="1" t="s">
        <v>48</v>
      </c>
      <c r="V763" s="1" t="s">
        <v>37</v>
      </c>
      <c r="W763">
        <v>2</v>
      </c>
    </row>
    <row r="764" spans="1:23" x14ac:dyDescent="0.3">
      <c r="A764" s="1" t="s">
        <v>1808</v>
      </c>
      <c r="B764">
        <v>1</v>
      </c>
      <c r="C764">
        <v>21.99</v>
      </c>
      <c r="D764">
        <v>21.99</v>
      </c>
      <c r="E764" s="1" t="s">
        <v>1486</v>
      </c>
      <c r="F764" s="1" t="s">
        <v>40</v>
      </c>
      <c r="G764">
        <v>3</v>
      </c>
      <c r="H764" s="1" t="s">
        <v>41</v>
      </c>
      <c r="I764" s="1" t="s">
        <v>27</v>
      </c>
      <c r="J764">
        <v>7</v>
      </c>
      <c r="K764">
        <v>21.99</v>
      </c>
      <c r="L764" s="1" t="s">
        <v>28</v>
      </c>
      <c r="M764" s="1" t="s">
        <v>29</v>
      </c>
      <c r="N764" s="1" t="s">
        <v>30</v>
      </c>
      <c r="O764" s="1" t="s">
        <v>31</v>
      </c>
      <c r="P764" s="2">
        <v>45778</v>
      </c>
      <c r="Q764" s="1" t="s">
        <v>1349</v>
      </c>
      <c r="R764" s="1" t="s">
        <v>1439</v>
      </c>
      <c r="S764" s="1" t="s">
        <v>65</v>
      </c>
      <c r="T764" s="1" t="s">
        <v>35</v>
      </c>
      <c r="U764" s="1" t="s">
        <v>36</v>
      </c>
      <c r="V764" s="1" t="s">
        <v>37</v>
      </c>
      <c r="W764">
        <v>2</v>
      </c>
    </row>
    <row r="765" spans="1:23" x14ac:dyDescent="0.3">
      <c r="A765" s="1" t="s">
        <v>1809</v>
      </c>
      <c r="B765">
        <v>1</v>
      </c>
      <c r="C765">
        <v>34.99</v>
      </c>
      <c r="D765">
        <v>34.99</v>
      </c>
      <c r="E765" s="1" t="s">
        <v>1291</v>
      </c>
      <c r="F765" s="1" t="s">
        <v>40</v>
      </c>
      <c r="G765">
        <v>10</v>
      </c>
      <c r="H765" s="1" t="s">
        <v>96</v>
      </c>
      <c r="I765" s="1" t="s">
        <v>85</v>
      </c>
      <c r="J765">
        <v>12.5</v>
      </c>
      <c r="K765">
        <v>34.99</v>
      </c>
      <c r="L765" s="1" t="s">
        <v>60</v>
      </c>
      <c r="M765" s="1" t="s">
        <v>29</v>
      </c>
      <c r="N765" s="1" t="s">
        <v>30</v>
      </c>
      <c r="O765" s="1" t="s">
        <v>31</v>
      </c>
      <c r="P765" s="2">
        <v>45778</v>
      </c>
      <c r="Q765" s="1" t="s">
        <v>797</v>
      </c>
      <c r="R765" s="1" t="s">
        <v>1810</v>
      </c>
      <c r="S765" s="1" t="s">
        <v>88</v>
      </c>
      <c r="T765" s="1" t="s">
        <v>35</v>
      </c>
      <c r="U765" s="1" t="s">
        <v>66</v>
      </c>
      <c r="V765" s="1" t="s">
        <v>89</v>
      </c>
      <c r="W765">
        <v>2.4</v>
      </c>
    </row>
    <row r="766" spans="1:23" x14ac:dyDescent="0.3">
      <c r="A766" s="1" t="s">
        <v>1811</v>
      </c>
      <c r="B766">
        <v>3</v>
      </c>
      <c r="C766">
        <v>16.989999999999998</v>
      </c>
      <c r="D766">
        <v>40.33</v>
      </c>
      <c r="E766" s="1" t="s">
        <v>1727</v>
      </c>
      <c r="F766" s="1" t="s">
        <v>70</v>
      </c>
      <c r="G766">
        <v>0</v>
      </c>
      <c r="H766" s="1" t="s">
        <v>58</v>
      </c>
      <c r="I766" s="1" t="s">
        <v>59</v>
      </c>
      <c r="J766">
        <v>5</v>
      </c>
      <c r="K766">
        <v>16.989999999999998</v>
      </c>
      <c r="L766" s="1" t="s">
        <v>60</v>
      </c>
      <c r="M766" s="1" t="s">
        <v>61</v>
      </c>
      <c r="N766" s="1" t="s">
        <v>62</v>
      </c>
      <c r="O766" s="1" t="s">
        <v>31</v>
      </c>
      <c r="P766" s="2">
        <v>45726</v>
      </c>
      <c r="Q766" s="1" t="s">
        <v>1414</v>
      </c>
      <c r="R766" s="1" t="s">
        <v>1415</v>
      </c>
      <c r="S766" s="1" t="s">
        <v>88</v>
      </c>
      <c r="T766" s="1" t="s">
        <v>35</v>
      </c>
      <c r="U766" s="1" t="s">
        <v>48</v>
      </c>
      <c r="V766" s="1" t="s">
        <v>67</v>
      </c>
      <c r="W766">
        <v>3</v>
      </c>
    </row>
    <row r="767" spans="1:23" x14ac:dyDescent="0.3">
      <c r="A767" s="1" t="s">
        <v>1812</v>
      </c>
      <c r="B767">
        <v>1</v>
      </c>
      <c r="C767">
        <v>30.99</v>
      </c>
      <c r="D767">
        <v>30.99</v>
      </c>
      <c r="E767" s="1" t="s">
        <v>1271</v>
      </c>
      <c r="F767" s="1" t="s">
        <v>40</v>
      </c>
      <c r="G767">
        <v>7</v>
      </c>
      <c r="H767" s="1" t="s">
        <v>58</v>
      </c>
      <c r="I767" s="1" t="s">
        <v>42</v>
      </c>
      <c r="J767">
        <v>10.5</v>
      </c>
      <c r="K767">
        <v>30.99</v>
      </c>
      <c r="L767" s="1" t="s">
        <v>28</v>
      </c>
      <c r="M767" s="1" t="s">
        <v>43</v>
      </c>
      <c r="N767" s="1" t="s">
        <v>44</v>
      </c>
      <c r="O767" s="1" t="s">
        <v>31</v>
      </c>
      <c r="P767" s="2">
        <v>45823</v>
      </c>
      <c r="Q767" s="1" t="s">
        <v>231</v>
      </c>
      <c r="R767" s="1" t="s">
        <v>1813</v>
      </c>
      <c r="S767" s="1" t="s">
        <v>47</v>
      </c>
      <c r="T767" s="1" t="s">
        <v>35</v>
      </c>
      <c r="U767" s="1" t="s">
        <v>48</v>
      </c>
      <c r="V767" s="1" t="s">
        <v>37</v>
      </c>
      <c r="W767">
        <v>2</v>
      </c>
    </row>
    <row r="768" spans="1:23" x14ac:dyDescent="0.3">
      <c r="A768" s="1" t="s">
        <v>1814</v>
      </c>
      <c r="B768">
        <v>1</v>
      </c>
      <c r="C768">
        <v>21.99</v>
      </c>
      <c r="D768">
        <v>21.99</v>
      </c>
      <c r="E768" s="1" t="s">
        <v>1340</v>
      </c>
      <c r="F768" s="1" t="s">
        <v>40</v>
      </c>
      <c r="G768">
        <v>8</v>
      </c>
      <c r="H768" s="1" t="s">
        <v>58</v>
      </c>
      <c r="I768" s="1" t="s">
        <v>27</v>
      </c>
      <c r="J768">
        <v>7</v>
      </c>
      <c r="K768">
        <v>21.99</v>
      </c>
      <c r="L768" s="1" t="s">
        <v>28</v>
      </c>
      <c r="M768" s="1" t="s">
        <v>29</v>
      </c>
      <c r="N768" s="1" t="s">
        <v>30</v>
      </c>
      <c r="O768" s="1" t="s">
        <v>31</v>
      </c>
      <c r="P768" s="2">
        <v>45778</v>
      </c>
      <c r="Q768" s="1" t="s">
        <v>909</v>
      </c>
      <c r="R768" s="1" t="s">
        <v>996</v>
      </c>
      <c r="S768" s="1" t="s">
        <v>88</v>
      </c>
      <c r="T768" s="1" t="s">
        <v>35</v>
      </c>
      <c r="U768" s="1" t="s">
        <v>66</v>
      </c>
      <c r="V768" s="1" t="s">
        <v>37</v>
      </c>
      <c r="W768">
        <v>2</v>
      </c>
    </row>
    <row r="769" spans="1:23" x14ac:dyDescent="0.3">
      <c r="A769" s="1" t="s">
        <v>1815</v>
      </c>
      <c r="B769">
        <v>1</v>
      </c>
      <c r="C769">
        <v>34.99</v>
      </c>
      <c r="D769">
        <v>34.99</v>
      </c>
      <c r="E769" s="1" t="s">
        <v>1816</v>
      </c>
      <c r="F769" s="1" t="s">
        <v>40</v>
      </c>
      <c r="G769">
        <v>5</v>
      </c>
      <c r="H769" s="1" t="s">
        <v>41</v>
      </c>
      <c r="I769" s="1" t="s">
        <v>85</v>
      </c>
      <c r="J769">
        <v>12.5</v>
      </c>
      <c r="K769">
        <v>34.99</v>
      </c>
      <c r="L769" s="1" t="s">
        <v>60</v>
      </c>
      <c r="M769" s="1" t="s">
        <v>29</v>
      </c>
      <c r="N769" s="1" t="s">
        <v>30</v>
      </c>
      <c r="O769" s="1" t="s">
        <v>31</v>
      </c>
      <c r="P769" s="2">
        <v>45778</v>
      </c>
      <c r="Q769" s="1" t="s">
        <v>917</v>
      </c>
      <c r="R769" s="1" t="s">
        <v>1710</v>
      </c>
      <c r="S769" s="1" t="s">
        <v>34</v>
      </c>
      <c r="T769" s="1" t="s">
        <v>35</v>
      </c>
      <c r="U769" s="1" t="s">
        <v>82</v>
      </c>
      <c r="V769" s="1" t="s">
        <v>89</v>
      </c>
      <c r="W769">
        <v>2.4</v>
      </c>
    </row>
    <row r="770" spans="1:23" x14ac:dyDescent="0.3">
      <c r="A770" s="1" t="s">
        <v>1817</v>
      </c>
      <c r="B770">
        <v>2</v>
      </c>
      <c r="C770">
        <v>21.99</v>
      </c>
      <c r="D770">
        <v>38.11</v>
      </c>
      <c r="E770" s="1" t="s">
        <v>1064</v>
      </c>
      <c r="F770" s="1" t="s">
        <v>40</v>
      </c>
      <c r="G770">
        <v>2</v>
      </c>
      <c r="H770" s="1" t="s">
        <v>26</v>
      </c>
      <c r="I770" s="1" t="s">
        <v>27</v>
      </c>
      <c r="J770">
        <v>7</v>
      </c>
      <c r="K770">
        <v>21.99</v>
      </c>
      <c r="L770" s="1" t="s">
        <v>28</v>
      </c>
      <c r="M770" s="1" t="s">
        <v>29</v>
      </c>
      <c r="N770" s="1" t="s">
        <v>30</v>
      </c>
      <c r="O770" s="1" t="s">
        <v>31</v>
      </c>
      <c r="P770" s="2">
        <v>45778</v>
      </c>
      <c r="Q770" s="1" t="s">
        <v>1506</v>
      </c>
      <c r="R770" s="1" t="s">
        <v>1507</v>
      </c>
      <c r="S770" s="1" t="s">
        <v>105</v>
      </c>
      <c r="T770" s="1" t="s">
        <v>35</v>
      </c>
      <c r="U770" s="1" t="s">
        <v>82</v>
      </c>
      <c r="V770" s="1" t="s">
        <v>37</v>
      </c>
      <c r="W770">
        <v>2</v>
      </c>
    </row>
    <row r="771" spans="1:23" x14ac:dyDescent="0.3">
      <c r="A771" s="1" t="s">
        <v>1818</v>
      </c>
      <c r="B771">
        <v>1</v>
      </c>
      <c r="C771">
        <v>27.99</v>
      </c>
      <c r="D771">
        <v>27.99</v>
      </c>
      <c r="E771" s="1" t="s">
        <v>929</v>
      </c>
      <c r="F771" s="1" t="s">
        <v>188</v>
      </c>
      <c r="G771">
        <v>0</v>
      </c>
      <c r="H771" s="1" t="s">
        <v>26</v>
      </c>
      <c r="I771" s="1" t="s">
        <v>75</v>
      </c>
      <c r="J771">
        <v>9</v>
      </c>
      <c r="K771">
        <v>27.99</v>
      </c>
      <c r="L771" s="1" t="s">
        <v>28</v>
      </c>
      <c r="M771" s="1" t="s">
        <v>61</v>
      </c>
      <c r="N771" s="1" t="s">
        <v>62</v>
      </c>
      <c r="O771" s="1" t="s">
        <v>31</v>
      </c>
      <c r="P771" s="2">
        <v>45726</v>
      </c>
      <c r="Q771" s="1" t="s">
        <v>1414</v>
      </c>
      <c r="R771" s="1" t="s">
        <v>1415</v>
      </c>
      <c r="S771" s="1" t="s">
        <v>88</v>
      </c>
      <c r="T771" s="1" t="s">
        <v>35</v>
      </c>
      <c r="U771" s="1" t="s">
        <v>48</v>
      </c>
      <c r="V771" s="1" t="s">
        <v>37</v>
      </c>
      <c r="W771">
        <v>2</v>
      </c>
    </row>
    <row r="772" spans="1:23" x14ac:dyDescent="0.3">
      <c r="A772" s="1" t="s">
        <v>1819</v>
      </c>
      <c r="B772">
        <v>1</v>
      </c>
      <c r="C772">
        <v>21.99</v>
      </c>
      <c r="D772">
        <v>21.99</v>
      </c>
      <c r="E772" s="1" t="s">
        <v>1820</v>
      </c>
      <c r="F772" s="1" t="s">
        <v>40</v>
      </c>
      <c r="G772">
        <v>2</v>
      </c>
      <c r="H772" s="1" t="s">
        <v>41</v>
      </c>
      <c r="I772" s="1" t="s">
        <v>27</v>
      </c>
      <c r="J772">
        <v>7</v>
      </c>
      <c r="K772">
        <v>21.99</v>
      </c>
      <c r="L772" s="1" t="s">
        <v>28</v>
      </c>
      <c r="M772" s="1" t="s">
        <v>29</v>
      </c>
      <c r="N772" s="1" t="s">
        <v>30</v>
      </c>
      <c r="O772" s="1" t="s">
        <v>31</v>
      </c>
      <c r="P772" s="2">
        <v>45778</v>
      </c>
      <c r="Q772" s="1" t="s">
        <v>1191</v>
      </c>
      <c r="R772" s="1" t="s">
        <v>1192</v>
      </c>
      <c r="S772" s="1" t="s">
        <v>88</v>
      </c>
      <c r="T772" s="1" t="s">
        <v>35</v>
      </c>
      <c r="U772" s="1" t="s">
        <v>55</v>
      </c>
      <c r="V772" s="1" t="s">
        <v>37</v>
      </c>
      <c r="W772">
        <v>2</v>
      </c>
    </row>
    <row r="773" spans="1:23" x14ac:dyDescent="0.3">
      <c r="A773" s="1" t="s">
        <v>1821</v>
      </c>
      <c r="B773">
        <v>2</v>
      </c>
      <c r="C773">
        <v>27.99</v>
      </c>
      <c r="D773">
        <v>48.96</v>
      </c>
      <c r="E773" s="1" t="s">
        <v>246</v>
      </c>
      <c r="F773" s="1" t="s">
        <v>40</v>
      </c>
      <c r="G773">
        <v>3</v>
      </c>
      <c r="H773" s="1" t="s">
        <v>96</v>
      </c>
      <c r="I773" s="1" t="s">
        <v>75</v>
      </c>
      <c r="J773">
        <v>9</v>
      </c>
      <c r="K773">
        <v>27.99</v>
      </c>
      <c r="L773" s="1" t="s">
        <v>28</v>
      </c>
      <c r="M773" s="1" t="s">
        <v>61</v>
      </c>
      <c r="N773" s="1" t="s">
        <v>62</v>
      </c>
      <c r="O773" s="1" t="s">
        <v>31</v>
      </c>
      <c r="P773" s="2">
        <v>45726</v>
      </c>
      <c r="Q773" s="1" t="s">
        <v>1822</v>
      </c>
      <c r="R773" s="1" t="s">
        <v>1823</v>
      </c>
      <c r="S773" s="1" t="s">
        <v>105</v>
      </c>
      <c r="T773" s="1" t="s">
        <v>35</v>
      </c>
      <c r="U773" s="1" t="s">
        <v>82</v>
      </c>
      <c r="V773" s="1" t="s">
        <v>37</v>
      </c>
      <c r="W773">
        <v>2</v>
      </c>
    </row>
    <row r="774" spans="1:23" x14ac:dyDescent="0.3">
      <c r="A774" s="1" t="s">
        <v>1824</v>
      </c>
      <c r="B774">
        <v>3</v>
      </c>
      <c r="C774">
        <v>30.99</v>
      </c>
      <c r="D774">
        <v>74.67</v>
      </c>
      <c r="E774" s="1" t="s">
        <v>1156</v>
      </c>
      <c r="F774" s="1" t="s">
        <v>40</v>
      </c>
      <c r="G774">
        <v>2</v>
      </c>
      <c r="H774" s="1" t="s">
        <v>26</v>
      </c>
      <c r="I774" s="1" t="s">
        <v>42</v>
      </c>
      <c r="J774">
        <v>10.5</v>
      </c>
      <c r="K774">
        <v>30.99</v>
      </c>
      <c r="L774" s="1" t="s">
        <v>28</v>
      </c>
      <c r="M774" s="1" t="s">
        <v>43</v>
      </c>
      <c r="N774" s="1" t="s">
        <v>44</v>
      </c>
      <c r="O774" s="1" t="s">
        <v>31</v>
      </c>
      <c r="P774" s="2">
        <v>45823</v>
      </c>
      <c r="Q774" s="1" t="s">
        <v>972</v>
      </c>
      <c r="R774" s="1" t="s">
        <v>973</v>
      </c>
      <c r="S774" s="1" t="s">
        <v>65</v>
      </c>
      <c r="T774" s="1" t="s">
        <v>35</v>
      </c>
      <c r="U774" s="1" t="s">
        <v>82</v>
      </c>
      <c r="V774" s="1" t="s">
        <v>37</v>
      </c>
      <c r="W774">
        <v>2</v>
      </c>
    </row>
    <row r="775" spans="1:23" x14ac:dyDescent="0.3">
      <c r="A775" s="1" t="s">
        <v>1825</v>
      </c>
      <c r="B775">
        <v>1</v>
      </c>
      <c r="C775">
        <v>21.99</v>
      </c>
      <c r="D775">
        <v>21.99</v>
      </c>
      <c r="E775" s="1" t="s">
        <v>1379</v>
      </c>
      <c r="F775" s="1" t="s">
        <v>70</v>
      </c>
      <c r="G775">
        <v>0</v>
      </c>
      <c r="H775" s="1" t="s">
        <v>58</v>
      </c>
      <c r="I775" s="1" t="s">
        <v>27</v>
      </c>
      <c r="J775">
        <v>7</v>
      </c>
      <c r="K775">
        <v>21.99</v>
      </c>
      <c r="L775" s="1" t="s">
        <v>28</v>
      </c>
      <c r="M775" s="1" t="s">
        <v>29</v>
      </c>
      <c r="N775" s="1" t="s">
        <v>30</v>
      </c>
      <c r="O775" s="1" t="s">
        <v>31</v>
      </c>
      <c r="P775" s="2">
        <v>45778</v>
      </c>
      <c r="Q775" s="1" t="s">
        <v>990</v>
      </c>
      <c r="R775" s="1" t="s">
        <v>1490</v>
      </c>
      <c r="S775" s="1" t="s">
        <v>88</v>
      </c>
      <c r="T775" s="1" t="s">
        <v>35</v>
      </c>
      <c r="U775" s="1" t="s">
        <v>82</v>
      </c>
      <c r="V775" s="1" t="s">
        <v>37</v>
      </c>
      <c r="W775">
        <v>2</v>
      </c>
    </row>
    <row r="776" spans="1:23" x14ac:dyDescent="0.3">
      <c r="A776" s="1" t="s">
        <v>1826</v>
      </c>
      <c r="B776">
        <v>1</v>
      </c>
      <c r="C776">
        <v>18.989999999999998</v>
      </c>
      <c r="D776">
        <v>18.989999999999998</v>
      </c>
      <c r="E776" s="1" t="s">
        <v>536</v>
      </c>
      <c r="F776" s="1" t="s">
        <v>40</v>
      </c>
      <c r="G776">
        <v>12</v>
      </c>
      <c r="H776" s="1" t="s">
        <v>58</v>
      </c>
      <c r="I776" s="1" t="s">
        <v>97</v>
      </c>
      <c r="J776">
        <v>6</v>
      </c>
      <c r="K776">
        <v>18.989999999999998</v>
      </c>
      <c r="L776" s="1" t="s">
        <v>60</v>
      </c>
      <c r="M776" s="1" t="s">
        <v>43</v>
      </c>
      <c r="N776" s="1" t="s">
        <v>44</v>
      </c>
      <c r="O776" s="1" t="s">
        <v>31</v>
      </c>
      <c r="P776" s="2">
        <v>45823</v>
      </c>
      <c r="Q776" s="1" t="s">
        <v>720</v>
      </c>
      <c r="R776" s="1" t="s">
        <v>1827</v>
      </c>
      <c r="S776" s="1" t="s">
        <v>47</v>
      </c>
      <c r="T776" s="1" t="s">
        <v>35</v>
      </c>
      <c r="U776" s="1" t="s">
        <v>36</v>
      </c>
      <c r="V776" s="1" t="s">
        <v>100</v>
      </c>
      <c r="W776">
        <v>3.2</v>
      </c>
    </row>
    <row r="777" spans="1:23" x14ac:dyDescent="0.3">
      <c r="A777" s="1" t="s">
        <v>1828</v>
      </c>
      <c r="B777">
        <v>1</v>
      </c>
      <c r="C777">
        <v>18.989999999999998</v>
      </c>
      <c r="D777">
        <v>18.989999999999998</v>
      </c>
      <c r="E777" s="1" t="s">
        <v>1634</v>
      </c>
      <c r="F777" s="1" t="s">
        <v>40</v>
      </c>
      <c r="G777">
        <v>13</v>
      </c>
      <c r="H777" s="1" t="s">
        <v>58</v>
      </c>
      <c r="I777" s="1" t="s">
        <v>97</v>
      </c>
      <c r="J777">
        <v>6</v>
      </c>
      <c r="K777">
        <v>18.989999999999998</v>
      </c>
      <c r="L777" s="1" t="s">
        <v>60</v>
      </c>
      <c r="M777" s="1" t="s">
        <v>43</v>
      </c>
      <c r="N777" s="1" t="s">
        <v>44</v>
      </c>
      <c r="O777" s="1" t="s">
        <v>31</v>
      </c>
      <c r="P777" s="2">
        <v>45823</v>
      </c>
      <c r="Q777" s="1" t="s">
        <v>1184</v>
      </c>
      <c r="R777" s="1" t="s">
        <v>1185</v>
      </c>
      <c r="S777" s="1" t="s">
        <v>105</v>
      </c>
      <c r="T777" s="1" t="s">
        <v>35</v>
      </c>
      <c r="U777" s="1" t="s">
        <v>55</v>
      </c>
      <c r="V777" s="1" t="s">
        <v>100</v>
      </c>
      <c r="W777">
        <v>3.2</v>
      </c>
    </row>
    <row r="778" spans="1:23" x14ac:dyDescent="0.3">
      <c r="A778" s="1" t="s">
        <v>1829</v>
      </c>
      <c r="B778">
        <v>1</v>
      </c>
      <c r="C778">
        <v>18.989999999999998</v>
      </c>
      <c r="D778">
        <v>18.989999999999998</v>
      </c>
      <c r="E778" s="1" t="s">
        <v>1271</v>
      </c>
      <c r="F778" s="1" t="s">
        <v>25</v>
      </c>
      <c r="G778">
        <v>18</v>
      </c>
      <c r="H778" s="1" t="s">
        <v>58</v>
      </c>
      <c r="I778" s="1" t="s">
        <v>97</v>
      </c>
      <c r="J778">
        <v>6</v>
      </c>
      <c r="K778">
        <v>18.989999999999998</v>
      </c>
      <c r="L778" s="1" t="s">
        <v>60</v>
      </c>
      <c r="M778" s="1" t="s">
        <v>43</v>
      </c>
      <c r="N778" s="1" t="s">
        <v>44</v>
      </c>
      <c r="O778" s="1" t="s">
        <v>31</v>
      </c>
      <c r="P778" s="2">
        <v>45823</v>
      </c>
      <c r="Q778" s="1" t="s">
        <v>147</v>
      </c>
      <c r="R778" s="1" t="s">
        <v>757</v>
      </c>
      <c r="S778" s="1" t="s">
        <v>47</v>
      </c>
      <c r="T778" s="1" t="s">
        <v>35</v>
      </c>
      <c r="U778" s="1" t="s">
        <v>48</v>
      </c>
      <c r="V778" s="1" t="s">
        <v>100</v>
      </c>
      <c r="W778">
        <v>3.2</v>
      </c>
    </row>
    <row r="779" spans="1:23" x14ac:dyDescent="0.3">
      <c r="A779" s="1" t="s">
        <v>1830</v>
      </c>
      <c r="B779">
        <v>3</v>
      </c>
      <c r="C779">
        <v>21.99</v>
      </c>
      <c r="D779">
        <v>52.8</v>
      </c>
      <c r="E779" s="1" t="s">
        <v>1174</v>
      </c>
      <c r="F779" s="1" t="s">
        <v>40</v>
      </c>
      <c r="G779">
        <v>3</v>
      </c>
      <c r="H779" s="1" t="s">
        <v>41</v>
      </c>
      <c r="I779" s="1" t="s">
        <v>27</v>
      </c>
      <c r="J779">
        <v>7</v>
      </c>
      <c r="K779">
        <v>21.99</v>
      </c>
      <c r="L779" s="1" t="s">
        <v>28</v>
      </c>
      <c r="M779" s="1" t="s">
        <v>29</v>
      </c>
      <c r="N779" s="1" t="s">
        <v>30</v>
      </c>
      <c r="O779" s="1" t="s">
        <v>31</v>
      </c>
      <c r="P779" s="2">
        <v>45778</v>
      </c>
      <c r="Q779" s="1" t="s">
        <v>869</v>
      </c>
      <c r="R779" s="1" t="s">
        <v>870</v>
      </c>
      <c r="S779" s="1" t="s">
        <v>88</v>
      </c>
      <c r="T779" s="1" t="s">
        <v>35</v>
      </c>
      <c r="U779" s="1" t="s">
        <v>55</v>
      </c>
      <c r="V779" s="1" t="s">
        <v>37</v>
      </c>
      <c r="W779">
        <v>2</v>
      </c>
    </row>
    <row r="780" spans="1:23" x14ac:dyDescent="0.3">
      <c r="A780" s="1" t="s">
        <v>1831</v>
      </c>
      <c r="B780">
        <v>1</v>
      </c>
      <c r="C780">
        <v>34.99</v>
      </c>
      <c r="D780">
        <v>34.99</v>
      </c>
      <c r="E780" s="1" t="s">
        <v>1832</v>
      </c>
      <c r="F780" s="1" t="s">
        <v>25</v>
      </c>
      <c r="G780">
        <v>5</v>
      </c>
      <c r="H780" s="1" t="s">
        <v>58</v>
      </c>
      <c r="I780" s="1" t="s">
        <v>85</v>
      </c>
      <c r="J780">
        <v>12.5</v>
      </c>
      <c r="K780">
        <v>34.99</v>
      </c>
      <c r="L780" s="1" t="s">
        <v>60</v>
      </c>
      <c r="M780" s="1" t="s">
        <v>29</v>
      </c>
      <c r="N780" s="1" t="s">
        <v>30</v>
      </c>
      <c r="O780" s="1" t="s">
        <v>31</v>
      </c>
      <c r="P780" s="2">
        <v>45778</v>
      </c>
      <c r="Q780" s="1" t="s">
        <v>1654</v>
      </c>
      <c r="R780" s="1" t="s">
        <v>1833</v>
      </c>
      <c r="S780" s="1" t="s">
        <v>65</v>
      </c>
      <c r="T780" s="1" t="s">
        <v>35</v>
      </c>
      <c r="U780" s="1" t="s">
        <v>82</v>
      </c>
      <c r="V780" s="1" t="s">
        <v>89</v>
      </c>
      <c r="W780">
        <v>2.4</v>
      </c>
    </row>
    <row r="781" spans="1:23" x14ac:dyDescent="0.3">
      <c r="A781" s="1" t="s">
        <v>1834</v>
      </c>
      <c r="B781">
        <v>3</v>
      </c>
      <c r="C781">
        <v>30.99</v>
      </c>
      <c r="D781">
        <v>73.64</v>
      </c>
      <c r="E781" s="1" t="s">
        <v>598</v>
      </c>
      <c r="F781" s="1" t="s">
        <v>40</v>
      </c>
      <c r="G781">
        <v>2</v>
      </c>
      <c r="H781" s="1" t="s">
        <v>58</v>
      </c>
      <c r="I781" s="1" t="s">
        <v>42</v>
      </c>
      <c r="J781">
        <v>10.5</v>
      </c>
      <c r="K781">
        <v>30.99</v>
      </c>
      <c r="L781" s="1" t="s">
        <v>28</v>
      </c>
      <c r="M781" s="1" t="s">
        <v>43</v>
      </c>
      <c r="N781" s="1" t="s">
        <v>44</v>
      </c>
      <c r="O781" s="1" t="s">
        <v>31</v>
      </c>
      <c r="P781" s="2">
        <v>45823</v>
      </c>
      <c r="Q781" s="1" t="s">
        <v>947</v>
      </c>
      <c r="R781" s="1" t="s">
        <v>948</v>
      </c>
      <c r="S781" s="1" t="s">
        <v>65</v>
      </c>
      <c r="T781" s="1" t="s">
        <v>35</v>
      </c>
      <c r="U781" s="1" t="s">
        <v>82</v>
      </c>
      <c r="V781" s="1" t="s">
        <v>37</v>
      </c>
      <c r="W781">
        <v>2</v>
      </c>
    </row>
    <row r="782" spans="1:23" x14ac:dyDescent="0.3">
      <c r="A782" s="1" t="s">
        <v>1835</v>
      </c>
      <c r="B782">
        <v>3</v>
      </c>
      <c r="C782">
        <v>30.99</v>
      </c>
      <c r="D782">
        <v>73.69</v>
      </c>
      <c r="E782" s="1" t="s">
        <v>57</v>
      </c>
      <c r="F782" s="1" t="s">
        <v>188</v>
      </c>
      <c r="G782">
        <v>0</v>
      </c>
      <c r="H782" s="1" t="s">
        <v>41</v>
      </c>
      <c r="I782" s="1" t="s">
        <v>42</v>
      </c>
      <c r="J782">
        <v>10.5</v>
      </c>
      <c r="K782">
        <v>30.99</v>
      </c>
      <c r="L782" s="1" t="s">
        <v>28</v>
      </c>
      <c r="M782" s="1" t="s">
        <v>43</v>
      </c>
      <c r="N782" s="1" t="s">
        <v>44</v>
      </c>
      <c r="O782" s="1" t="s">
        <v>31</v>
      </c>
      <c r="P782" s="2">
        <v>45823</v>
      </c>
      <c r="Q782" s="1" t="s">
        <v>787</v>
      </c>
      <c r="R782" s="1" t="s">
        <v>1836</v>
      </c>
      <c r="S782" s="1" t="s">
        <v>47</v>
      </c>
      <c r="T782" s="1" t="s">
        <v>35</v>
      </c>
      <c r="U782" s="1" t="s">
        <v>36</v>
      </c>
      <c r="V782" s="1" t="s">
        <v>37</v>
      </c>
      <c r="W782">
        <v>2</v>
      </c>
    </row>
    <row r="783" spans="1:23" x14ac:dyDescent="0.3">
      <c r="A783" s="1" t="s">
        <v>1837</v>
      </c>
      <c r="B783">
        <v>1</v>
      </c>
      <c r="C783">
        <v>30.99</v>
      </c>
      <c r="D783">
        <v>30.99</v>
      </c>
      <c r="E783" s="1" t="s">
        <v>872</v>
      </c>
      <c r="F783" s="1" t="s">
        <v>188</v>
      </c>
      <c r="G783">
        <v>0</v>
      </c>
      <c r="H783" s="1" t="s">
        <v>58</v>
      </c>
      <c r="I783" s="1" t="s">
        <v>42</v>
      </c>
      <c r="J783">
        <v>10.5</v>
      </c>
      <c r="K783">
        <v>30.99</v>
      </c>
      <c r="L783" s="1" t="s">
        <v>28</v>
      </c>
      <c r="M783" s="1" t="s">
        <v>43</v>
      </c>
      <c r="N783" s="1" t="s">
        <v>44</v>
      </c>
      <c r="O783" s="1" t="s">
        <v>31</v>
      </c>
      <c r="P783" s="2">
        <v>45823</v>
      </c>
      <c r="Q783" s="1" t="s">
        <v>1838</v>
      </c>
      <c r="R783" s="1" t="s">
        <v>1839</v>
      </c>
      <c r="S783" s="1" t="s">
        <v>54</v>
      </c>
      <c r="T783" s="1" t="s">
        <v>35</v>
      </c>
      <c r="U783" s="1" t="s">
        <v>82</v>
      </c>
      <c r="V783" s="1" t="s">
        <v>37</v>
      </c>
      <c r="W783">
        <v>2</v>
      </c>
    </row>
    <row r="784" spans="1:23" x14ac:dyDescent="0.3">
      <c r="A784" s="1" t="s">
        <v>1840</v>
      </c>
      <c r="B784">
        <v>1</v>
      </c>
      <c r="C784">
        <v>21.99</v>
      </c>
      <c r="D784">
        <v>21.99</v>
      </c>
      <c r="E784" s="1" t="s">
        <v>272</v>
      </c>
      <c r="F784" s="1" t="s">
        <v>25</v>
      </c>
      <c r="G784">
        <v>2</v>
      </c>
      <c r="H784" s="1" t="s">
        <v>41</v>
      </c>
      <c r="I784" s="1" t="s">
        <v>27</v>
      </c>
      <c r="J784">
        <v>7</v>
      </c>
      <c r="K784">
        <v>21.99</v>
      </c>
      <c r="L784" s="1" t="s">
        <v>28</v>
      </c>
      <c r="M784" s="1" t="s">
        <v>29</v>
      </c>
      <c r="N784" s="1" t="s">
        <v>30</v>
      </c>
      <c r="O784" s="1" t="s">
        <v>31</v>
      </c>
      <c r="P784" s="2">
        <v>45778</v>
      </c>
      <c r="Q784" s="1" t="s">
        <v>1009</v>
      </c>
      <c r="R784" s="1" t="s">
        <v>1010</v>
      </c>
      <c r="S784" s="1" t="s">
        <v>47</v>
      </c>
      <c r="T784" s="1" t="s">
        <v>35</v>
      </c>
      <c r="U784" s="1" t="s">
        <v>82</v>
      </c>
      <c r="V784" s="1" t="s">
        <v>37</v>
      </c>
      <c r="W784">
        <v>2</v>
      </c>
    </row>
    <row r="785" spans="1:23" x14ac:dyDescent="0.3">
      <c r="A785" s="1" t="s">
        <v>1841</v>
      </c>
      <c r="B785">
        <v>3</v>
      </c>
      <c r="C785">
        <v>30.99</v>
      </c>
      <c r="D785">
        <v>74.790000000000006</v>
      </c>
      <c r="E785" s="1" t="s">
        <v>1093</v>
      </c>
      <c r="F785" s="1" t="s">
        <v>51</v>
      </c>
      <c r="G785">
        <v>0</v>
      </c>
      <c r="H785" s="1" t="s">
        <v>58</v>
      </c>
      <c r="I785" s="1" t="s">
        <v>42</v>
      </c>
      <c r="J785">
        <v>10.5</v>
      </c>
      <c r="K785">
        <v>30.99</v>
      </c>
      <c r="L785" s="1" t="s">
        <v>28</v>
      </c>
      <c r="M785" s="1" t="s">
        <v>43</v>
      </c>
      <c r="N785" s="1" t="s">
        <v>44</v>
      </c>
      <c r="O785" s="1" t="s">
        <v>31</v>
      </c>
      <c r="P785" s="2">
        <v>45823</v>
      </c>
      <c r="Q785" s="1" t="s">
        <v>1822</v>
      </c>
      <c r="R785" s="1" t="s">
        <v>1823</v>
      </c>
      <c r="S785" s="1" t="s">
        <v>105</v>
      </c>
      <c r="T785" s="1" t="s">
        <v>35</v>
      </c>
      <c r="U785" s="1" t="s">
        <v>82</v>
      </c>
      <c r="V785" s="1" t="s">
        <v>37</v>
      </c>
      <c r="W785">
        <v>2</v>
      </c>
    </row>
    <row r="786" spans="1:23" x14ac:dyDescent="0.3">
      <c r="A786" s="1" t="s">
        <v>1842</v>
      </c>
      <c r="B786">
        <v>1</v>
      </c>
      <c r="C786">
        <v>27.99</v>
      </c>
      <c r="D786">
        <v>27.99</v>
      </c>
      <c r="E786" s="1" t="s">
        <v>1648</v>
      </c>
      <c r="F786" s="1" t="s">
        <v>40</v>
      </c>
      <c r="G786">
        <v>3</v>
      </c>
      <c r="H786" s="1" t="s">
        <v>41</v>
      </c>
      <c r="I786" s="1" t="s">
        <v>75</v>
      </c>
      <c r="J786">
        <v>9</v>
      </c>
      <c r="K786">
        <v>27.99</v>
      </c>
      <c r="L786" s="1" t="s">
        <v>28</v>
      </c>
      <c r="M786" s="1" t="s">
        <v>61</v>
      </c>
      <c r="N786" s="1" t="s">
        <v>62</v>
      </c>
      <c r="O786" s="1" t="s">
        <v>31</v>
      </c>
      <c r="P786" s="2">
        <v>45726</v>
      </c>
      <c r="Q786" s="1" t="s">
        <v>425</v>
      </c>
      <c r="R786" s="1" t="s">
        <v>1435</v>
      </c>
      <c r="S786" s="1" t="s">
        <v>54</v>
      </c>
      <c r="T786" s="1" t="s">
        <v>35</v>
      </c>
      <c r="U786" s="1" t="s">
        <v>48</v>
      </c>
      <c r="V786" s="1" t="s">
        <v>37</v>
      </c>
      <c r="W786">
        <v>2</v>
      </c>
    </row>
    <row r="787" spans="1:23" x14ac:dyDescent="0.3">
      <c r="A787" s="1" t="s">
        <v>1843</v>
      </c>
      <c r="B787">
        <v>1</v>
      </c>
      <c r="C787">
        <v>34.99</v>
      </c>
      <c r="D787">
        <v>34.99</v>
      </c>
      <c r="E787" s="1" t="s">
        <v>1844</v>
      </c>
      <c r="F787" s="1" t="s">
        <v>40</v>
      </c>
      <c r="G787">
        <v>5</v>
      </c>
      <c r="H787" s="1" t="s">
        <v>58</v>
      </c>
      <c r="I787" s="1" t="s">
        <v>85</v>
      </c>
      <c r="J787">
        <v>12.5</v>
      </c>
      <c r="K787">
        <v>34.99</v>
      </c>
      <c r="L787" s="1" t="s">
        <v>60</v>
      </c>
      <c r="M787" s="1" t="s">
        <v>29</v>
      </c>
      <c r="N787" s="1" t="s">
        <v>30</v>
      </c>
      <c r="O787" s="1" t="s">
        <v>31</v>
      </c>
      <c r="P787" s="2">
        <v>45778</v>
      </c>
      <c r="Q787" s="1" t="s">
        <v>1119</v>
      </c>
      <c r="R787" s="1" t="s">
        <v>1120</v>
      </c>
      <c r="S787" s="1" t="s">
        <v>34</v>
      </c>
      <c r="T787" s="1" t="s">
        <v>35</v>
      </c>
      <c r="U787" s="1" t="s">
        <v>66</v>
      </c>
      <c r="V787" s="1" t="s">
        <v>89</v>
      </c>
      <c r="W787">
        <v>2.4</v>
      </c>
    </row>
    <row r="788" spans="1:23" x14ac:dyDescent="0.3">
      <c r="A788" s="1" t="s">
        <v>1845</v>
      </c>
      <c r="B788">
        <v>1</v>
      </c>
      <c r="C788">
        <v>18.989999999999998</v>
      </c>
      <c r="D788">
        <v>18.989999999999998</v>
      </c>
      <c r="E788" s="1" t="s">
        <v>937</v>
      </c>
      <c r="F788" s="1" t="s">
        <v>40</v>
      </c>
      <c r="G788">
        <v>11</v>
      </c>
      <c r="H788" s="1" t="s">
        <v>96</v>
      </c>
      <c r="I788" s="1" t="s">
        <v>97</v>
      </c>
      <c r="J788">
        <v>6</v>
      </c>
      <c r="K788">
        <v>18.989999999999998</v>
      </c>
      <c r="L788" s="1" t="s">
        <v>60</v>
      </c>
      <c r="M788" s="1" t="s">
        <v>43</v>
      </c>
      <c r="N788" s="1" t="s">
        <v>44</v>
      </c>
      <c r="O788" s="1" t="s">
        <v>31</v>
      </c>
      <c r="P788" s="2">
        <v>45823</v>
      </c>
      <c r="Q788" s="1" t="s">
        <v>544</v>
      </c>
      <c r="R788" s="1" t="s">
        <v>1225</v>
      </c>
      <c r="S788" s="1" t="s">
        <v>88</v>
      </c>
      <c r="T788" s="1" t="s">
        <v>35</v>
      </c>
      <c r="U788" s="1" t="s">
        <v>36</v>
      </c>
      <c r="V788" s="1" t="s">
        <v>100</v>
      </c>
      <c r="W788">
        <v>3.2</v>
      </c>
    </row>
    <row r="789" spans="1:23" x14ac:dyDescent="0.3">
      <c r="A789" s="1" t="s">
        <v>1846</v>
      </c>
      <c r="B789">
        <v>1</v>
      </c>
      <c r="C789">
        <v>16.989999999999998</v>
      </c>
      <c r="D789">
        <v>16.989999999999998</v>
      </c>
      <c r="E789" s="1" t="s">
        <v>1156</v>
      </c>
      <c r="F789" s="1" t="s">
        <v>25</v>
      </c>
      <c r="G789">
        <v>15</v>
      </c>
      <c r="H789" s="1" t="s">
        <v>96</v>
      </c>
      <c r="I789" s="1" t="s">
        <v>59</v>
      </c>
      <c r="J789">
        <v>5</v>
      </c>
      <c r="K789">
        <v>16.989999999999998</v>
      </c>
      <c r="L789" s="1" t="s">
        <v>60</v>
      </c>
      <c r="M789" s="1" t="s">
        <v>61</v>
      </c>
      <c r="N789" s="1" t="s">
        <v>62</v>
      </c>
      <c r="O789" s="1" t="s">
        <v>31</v>
      </c>
      <c r="P789" s="2">
        <v>45726</v>
      </c>
      <c r="Q789" s="1" t="s">
        <v>836</v>
      </c>
      <c r="R789" s="1" t="s">
        <v>1847</v>
      </c>
      <c r="S789" s="1" t="s">
        <v>105</v>
      </c>
      <c r="T789" s="1" t="s">
        <v>35</v>
      </c>
      <c r="U789" s="1" t="s">
        <v>66</v>
      </c>
      <c r="V789" s="1" t="s">
        <v>67</v>
      </c>
      <c r="W789">
        <v>3</v>
      </c>
    </row>
    <row r="790" spans="1:23" x14ac:dyDescent="0.3">
      <c r="A790" s="1" t="s">
        <v>1848</v>
      </c>
      <c r="B790">
        <v>1</v>
      </c>
      <c r="C790">
        <v>34.99</v>
      </c>
      <c r="D790">
        <v>34.99</v>
      </c>
      <c r="E790" s="1" t="s">
        <v>786</v>
      </c>
      <c r="F790" s="1" t="s">
        <v>40</v>
      </c>
      <c r="G790">
        <v>9</v>
      </c>
      <c r="H790" s="1" t="s">
        <v>58</v>
      </c>
      <c r="I790" s="1" t="s">
        <v>85</v>
      </c>
      <c r="J790">
        <v>12.5</v>
      </c>
      <c r="K790">
        <v>34.99</v>
      </c>
      <c r="L790" s="1" t="s">
        <v>60</v>
      </c>
      <c r="M790" s="1" t="s">
        <v>29</v>
      </c>
      <c r="N790" s="1" t="s">
        <v>30</v>
      </c>
      <c r="O790" s="1" t="s">
        <v>31</v>
      </c>
      <c r="P790" s="2">
        <v>45778</v>
      </c>
      <c r="Q790" s="1" t="s">
        <v>1028</v>
      </c>
      <c r="R790" s="1" t="s">
        <v>1029</v>
      </c>
      <c r="S790" s="1" t="s">
        <v>105</v>
      </c>
      <c r="T790" s="1" t="s">
        <v>35</v>
      </c>
      <c r="U790" s="1" t="s">
        <v>36</v>
      </c>
      <c r="V790" s="1" t="s">
        <v>89</v>
      </c>
      <c r="W790">
        <v>2.4</v>
      </c>
    </row>
    <row r="791" spans="1:23" x14ac:dyDescent="0.3">
      <c r="A791" s="1" t="s">
        <v>1849</v>
      </c>
      <c r="B791">
        <v>1</v>
      </c>
      <c r="C791">
        <v>18.989999999999998</v>
      </c>
      <c r="D791">
        <v>18.989999999999998</v>
      </c>
      <c r="E791" s="1" t="s">
        <v>457</v>
      </c>
      <c r="F791" s="1" t="s">
        <v>40</v>
      </c>
      <c r="G791">
        <v>15</v>
      </c>
      <c r="H791" s="1" t="s">
        <v>96</v>
      </c>
      <c r="I791" s="1" t="s">
        <v>97</v>
      </c>
      <c r="J791">
        <v>6</v>
      </c>
      <c r="K791">
        <v>18.989999999999998</v>
      </c>
      <c r="L791" s="1" t="s">
        <v>60</v>
      </c>
      <c r="M791" s="1" t="s">
        <v>43</v>
      </c>
      <c r="N791" s="1" t="s">
        <v>44</v>
      </c>
      <c r="O791" s="1" t="s">
        <v>31</v>
      </c>
      <c r="P791" s="2">
        <v>45823</v>
      </c>
      <c r="Q791" s="1" t="s">
        <v>1850</v>
      </c>
      <c r="R791" s="1" t="s">
        <v>1851</v>
      </c>
      <c r="S791" s="1" t="s">
        <v>47</v>
      </c>
      <c r="T791" s="1" t="s">
        <v>35</v>
      </c>
      <c r="U791" s="1" t="s">
        <v>66</v>
      </c>
      <c r="V791" s="1" t="s">
        <v>100</v>
      </c>
      <c r="W791">
        <v>3.2</v>
      </c>
    </row>
    <row r="792" spans="1:23" x14ac:dyDescent="0.3">
      <c r="A792" s="1" t="s">
        <v>1852</v>
      </c>
      <c r="B792">
        <v>1</v>
      </c>
      <c r="C792">
        <v>34.99</v>
      </c>
      <c r="D792">
        <v>34.99</v>
      </c>
      <c r="E792" s="1" t="s">
        <v>1796</v>
      </c>
      <c r="F792" s="1" t="s">
        <v>51</v>
      </c>
      <c r="G792">
        <v>0</v>
      </c>
      <c r="H792" s="1" t="s">
        <v>41</v>
      </c>
      <c r="I792" s="1" t="s">
        <v>85</v>
      </c>
      <c r="J792">
        <v>12.5</v>
      </c>
      <c r="K792">
        <v>34.99</v>
      </c>
      <c r="L792" s="1" t="s">
        <v>60</v>
      </c>
      <c r="M792" s="1" t="s">
        <v>29</v>
      </c>
      <c r="N792" s="1" t="s">
        <v>30</v>
      </c>
      <c r="O792" s="1" t="s">
        <v>31</v>
      </c>
      <c r="P792" s="2">
        <v>45778</v>
      </c>
      <c r="Q792" s="1" t="s">
        <v>926</v>
      </c>
      <c r="R792" s="1" t="s">
        <v>927</v>
      </c>
      <c r="S792" s="1" t="s">
        <v>47</v>
      </c>
      <c r="T792" s="1" t="s">
        <v>35</v>
      </c>
      <c r="U792" s="1" t="s">
        <v>36</v>
      </c>
      <c r="V792" s="1" t="s">
        <v>89</v>
      </c>
      <c r="W792">
        <v>2.4</v>
      </c>
    </row>
    <row r="793" spans="1:23" x14ac:dyDescent="0.3">
      <c r="A793" s="1" t="s">
        <v>1853</v>
      </c>
      <c r="B793">
        <v>1</v>
      </c>
      <c r="C793">
        <v>18.989999999999998</v>
      </c>
      <c r="D793">
        <v>18.989999999999998</v>
      </c>
      <c r="E793" s="1" t="s">
        <v>102</v>
      </c>
      <c r="F793" s="1" t="s">
        <v>51</v>
      </c>
      <c r="G793">
        <v>0</v>
      </c>
      <c r="H793" s="1" t="s">
        <v>26</v>
      </c>
      <c r="I793" s="1" t="s">
        <v>97</v>
      </c>
      <c r="J793">
        <v>6</v>
      </c>
      <c r="K793">
        <v>18.989999999999998</v>
      </c>
      <c r="L793" s="1" t="s">
        <v>60</v>
      </c>
      <c r="M793" s="1" t="s">
        <v>43</v>
      </c>
      <c r="N793" s="1" t="s">
        <v>44</v>
      </c>
      <c r="O793" s="1" t="s">
        <v>31</v>
      </c>
      <c r="P793" s="2">
        <v>45823</v>
      </c>
      <c r="Q793" s="1" t="s">
        <v>1024</v>
      </c>
      <c r="R793" s="1" t="s">
        <v>1854</v>
      </c>
      <c r="S793" s="1" t="s">
        <v>65</v>
      </c>
      <c r="T793" s="1" t="s">
        <v>35</v>
      </c>
      <c r="U793" s="1" t="s">
        <v>82</v>
      </c>
      <c r="V793" s="1" t="s">
        <v>100</v>
      </c>
      <c r="W793">
        <v>3.2</v>
      </c>
    </row>
    <row r="794" spans="1:23" x14ac:dyDescent="0.3">
      <c r="A794" s="1" t="s">
        <v>1855</v>
      </c>
      <c r="B794">
        <v>2</v>
      </c>
      <c r="C794">
        <v>30.99</v>
      </c>
      <c r="D794">
        <v>53.16</v>
      </c>
      <c r="E794" s="1" t="s">
        <v>24</v>
      </c>
      <c r="F794" s="1" t="s">
        <v>40</v>
      </c>
      <c r="G794">
        <v>2</v>
      </c>
      <c r="H794" s="1" t="s">
        <v>26</v>
      </c>
      <c r="I794" s="1" t="s">
        <v>42</v>
      </c>
      <c r="J794">
        <v>10.5</v>
      </c>
      <c r="K794">
        <v>30.99</v>
      </c>
      <c r="L794" s="1" t="s">
        <v>28</v>
      </c>
      <c r="M794" s="1" t="s">
        <v>43</v>
      </c>
      <c r="N794" s="1" t="s">
        <v>44</v>
      </c>
      <c r="O794" s="1" t="s">
        <v>31</v>
      </c>
      <c r="P794" s="2">
        <v>45823</v>
      </c>
      <c r="Q794" s="1" t="s">
        <v>1856</v>
      </c>
      <c r="R794" s="1" t="s">
        <v>1857</v>
      </c>
      <c r="S794" s="1" t="s">
        <v>34</v>
      </c>
      <c r="T794" s="1" t="s">
        <v>35</v>
      </c>
      <c r="U794" s="1" t="s">
        <v>36</v>
      </c>
      <c r="V794" s="1" t="s">
        <v>37</v>
      </c>
      <c r="W794">
        <v>2</v>
      </c>
    </row>
    <row r="795" spans="1:23" x14ac:dyDescent="0.3">
      <c r="A795" s="1" t="s">
        <v>1858</v>
      </c>
      <c r="B795">
        <v>1</v>
      </c>
      <c r="C795">
        <v>18.989999999999998</v>
      </c>
      <c r="D795">
        <v>18.989999999999998</v>
      </c>
      <c r="E795" s="1" t="s">
        <v>79</v>
      </c>
      <c r="F795" s="1" t="s">
        <v>40</v>
      </c>
      <c r="G795">
        <v>12</v>
      </c>
      <c r="H795" s="1" t="s">
        <v>41</v>
      </c>
      <c r="I795" s="1" t="s">
        <v>97</v>
      </c>
      <c r="J795">
        <v>6</v>
      </c>
      <c r="K795">
        <v>18.989999999999998</v>
      </c>
      <c r="L795" s="1" t="s">
        <v>60</v>
      </c>
      <c r="M795" s="1" t="s">
        <v>43</v>
      </c>
      <c r="N795" s="1" t="s">
        <v>44</v>
      </c>
      <c r="O795" s="1" t="s">
        <v>31</v>
      </c>
      <c r="P795" s="2">
        <v>45823</v>
      </c>
      <c r="Q795" s="1" t="s">
        <v>1241</v>
      </c>
      <c r="R795" s="1" t="s">
        <v>1722</v>
      </c>
      <c r="S795" s="1" t="s">
        <v>65</v>
      </c>
      <c r="T795" s="1" t="s">
        <v>35</v>
      </c>
      <c r="U795" s="1" t="s">
        <v>82</v>
      </c>
      <c r="V795" s="1" t="s">
        <v>100</v>
      </c>
      <c r="W795">
        <v>3.2</v>
      </c>
    </row>
    <row r="796" spans="1:23" x14ac:dyDescent="0.3">
      <c r="A796" s="1" t="s">
        <v>1859</v>
      </c>
      <c r="B796">
        <v>3</v>
      </c>
      <c r="C796">
        <v>21.99</v>
      </c>
      <c r="D796">
        <v>52.37</v>
      </c>
      <c r="E796" s="1" t="s">
        <v>1860</v>
      </c>
      <c r="F796" s="1" t="s">
        <v>188</v>
      </c>
      <c r="G796">
        <v>0</v>
      </c>
      <c r="H796" s="1" t="s">
        <v>58</v>
      </c>
      <c r="I796" s="1" t="s">
        <v>27</v>
      </c>
      <c r="J796">
        <v>7</v>
      </c>
      <c r="K796">
        <v>21.99</v>
      </c>
      <c r="L796" s="1" t="s">
        <v>28</v>
      </c>
      <c r="M796" s="1" t="s">
        <v>29</v>
      </c>
      <c r="N796" s="1" t="s">
        <v>30</v>
      </c>
      <c r="O796" s="1" t="s">
        <v>31</v>
      </c>
      <c r="P796" s="2">
        <v>45778</v>
      </c>
      <c r="Q796" s="1" t="s">
        <v>1286</v>
      </c>
      <c r="R796" s="1" t="s">
        <v>1861</v>
      </c>
      <c r="S796" s="1" t="s">
        <v>88</v>
      </c>
      <c r="T796" s="1" t="s">
        <v>35</v>
      </c>
      <c r="U796" s="1" t="s">
        <v>48</v>
      </c>
      <c r="V796" s="1" t="s">
        <v>37</v>
      </c>
      <c r="W796">
        <v>2</v>
      </c>
    </row>
    <row r="797" spans="1:23" x14ac:dyDescent="0.3">
      <c r="A797" s="1" t="s">
        <v>1862</v>
      </c>
      <c r="B797">
        <v>1</v>
      </c>
      <c r="C797">
        <v>27.99</v>
      </c>
      <c r="D797">
        <v>27.99</v>
      </c>
      <c r="E797" s="1" t="s">
        <v>117</v>
      </c>
      <c r="F797" s="1" t="s">
        <v>51</v>
      </c>
      <c r="G797">
        <v>0</v>
      </c>
      <c r="H797" s="1" t="s">
        <v>26</v>
      </c>
      <c r="I797" s="1" t="s">
        <v>75</v>
      </c>
      <c r="J797">
        <v>9</v>
      </c>
      <c r="K797">
        <v>27.99</v>
      </c>
      <c r="L797" s="1" t="s">
        <v>28</v>
      </c>
      <c r="M797" s="1" t="s">
        <v>61</v>
      </c>
      <c r="N797" s="1" t="s">
        <v>62</v>
      </c>
      <c r="O797" s="1" t="s">
        <v>31</v>
      </c>
      <c r="P797" s="2">
        <v>45726</v>
      </c>
      <c r="Q797" s="1" t="s">
        <v>1850</v>
      </c>
      <c r="R797" s="1" t="s">
        <v>1851</v>
      </c>
      <c r="S797" s="1" t="s">
        <v>47</v>
      </c>
      <c r="T797" s="1" t="s">
        <v>35</v>
      </c>
      <c r="U797" s="1" t="s">
        <v>66</v>
      </c>
      <c r="V797" s="1" t="s">
        <v>37</v>
      </c>
      <c r="W797">
        <v>2</v>
      </c>
    </row>
    <row r="798" spans="1:23" x14ac:dyDescent="0.3">
      <c r="A798" s="1" t="s">
        <v>1863</v>
      </c>
      <c r="B798">
        <v>1</v>
      </c>
      <c r="C798">
        <v>18.989999999999998</v>
      </c>
      <c r="D798">
        <v>18.989999999999998</v>
      </c>
      <c r="E798" s="1" t="s">
        <v>1590</v>
      </c>
      <c r="F798" s="1" t="s">
        <v>40</v>
      </c>
      <c r="G798">
        <v>12</v>
      </c>
      <c r="H798" s="1" t="s">
        <v>41</v>
      </c>
      <c r="I798" s="1" t="s">
        <v>97</v>
      </c>
      <c r="J798">
        <v>6</v>
      </c>
      <c r="K798">
        <v>18.989999999999998</v>
      </c>
      <c r="L798" s="1" t="s">
        <v>60</v>
      </c>
      <c r="M798" s="1" t="s">
        <v>43</v>
      </c>
      <c r="N798" s="1" t="s">
        <v>44</v>
      </c>
      <c r="O798" s="1" t="s">
        <v>31</v>
      </c>
      <c r="P798" s="2">
        <v>45823</v>
      </c>
      <c r="Q798" s="1" t="s">
        <v>278</v>
      </c>
      <c r="R798" s="1" t="s">
        <v>811</v>
      </c>
      <c r="S798" s="1" t="s">
        <v>65</v>
      </c>
      <c r="T798" s="1" t="s">
        <v>35</v>
      </c>
      <c r="U798" s="1" t="s">
        <v>66</v>
      </c>
      <c r="V798" s="1" t="s">
        <v>100</v>
      </c>
      <c r="W798">
        <v>3.2</v>
      </c>
    </row>
    <row r="799" spans="1:23" x14ac:dyDescent="0.3">
      <c r="A799" s="1" t="s">
        <v>1864</v>
      </c>
      <c r="B799">
        <v>1</v>
      </c>
      <c r="C799">
        <v>34.99</v>
      </c>
      <c r="D799">
        <v>34.99</v>
      </c>
      <c r="E799" s="1" t="s">
        <v>1865</v>
      </c>
      <c r="F799" s="1" t="s">
        <v>188</v>
      </c>
      <c r="G799">
        <v>0</v>
      </c>
      <c r="H799" s="1" t="s">
        <v>96</v>
      </c>
      <c r="I799" s="1" t="s">
        <v>85</v>
      </c>
      <c r="J799">
        <v>12.5</v>
      </c>
      <c r="K799">
        <v>34.99</v>
      </c>
      <c r="L799" s="1" t="s">
        <v>60</v>
      </c>
      <c r="M799" s="1" t="s">
        <v>29</v>
      </c>
      <c r="N799" s="1" t="s">
        <v>30</v>
      </c>
      <c r="O799" s="1" t="s">
        <v>31</v>
      </c>
      <c r="P799" s="2">
        <v>45778</v>
      </c>
      <c r="Q799" s="1" t="s">
        <v>1487</v>
      </c>
      <c r="R799" s="1" t="s">
        <v>1557</v>
      </c>
      <c r="S799" s="1" t="s">
        <v>47</v>
      </c>
      <c r="T799" s="1" t="s">
        <v>35</v>
      </c>
      <c r="U799" s="1" t="s">
        <v>82</v>
      </c>
      <c r="V799" s="1" t="s">
        <v>89</v>
      </c>
      <c r="W799">
        <v>2.4</v>
      </c>
    </row>
    <row r="800" spans="1:23" x14ac:dyDescent="0.3">
      <c r="A800" s="1" t="s">
        <v>1866</v>
      </c>
      <c r="B800">
        <v>2</v>
      </c>
      <c r="C800">
        <v>34.99</v>
      </c>
      <c r="D800">
        <v>61.13</v>
      </c>
      <c r="E800" s="1" t="s">
        <v>1122</v>
      </c>
      <c r="F800" s="1" t="s">
        <v>40</v>
      </c>
      <c r="G800">
        <v>6</v>
      </c>
      <c r="H800" s="1" t="s">
        <v>58</v>
      </c>
      <c r="I800" s="1" t="s">
        <v>85</v>
      </c>
      <c r="J800">
        <v>12.5</v>
      </c>
      <c r="K800">
        <v>34.99</v>
      </c>
      <c r="L800" s="1" t="s">
        <v>60</v>
      </c>
      <c r="M800" s="1" t="s">
        <v>29</v>
      </c>
      <c r="N800" s="1" t="s">
        <v>30</v>
      </c>
      <c r="O800" s="1" t="s">
        <v>31</v>
      </c>
      <c r="P800" s="2">
        <v>45778</v>
      </c>
      <c r="Q800" s="1" t="s">
        <v>189</v>
      </c>
      <c r="R800" s="1" t="s">
        <v>1016</v>
      </c>
      <c r="S800" s="1" t="s">
        <v>105</v>
      </c>
      <c r="T800" s="1" t="s">
        <v>35</v>
      </c>
      <c r="U800" s="1" t="s">
        <v>48</v>
      </c>
      <c r="V800" s="1" t="s">
        <v>89</v>
      </c>
      <c r="W800">
        <v>2.4</v>
      </c>
    </row>
    <row r="801" spans="1:23" x14ac:dyDescent="0.3">
      <c r="A801" s="1" t="s">
        <v>1867</v>
      </c>
      <c r="B801">
        <v>1</v>
      </c>
      <c r="C801">
        <v>34.99</v>
      </c>
      <c r="D801">
        <v>34.99</v>
      </c>
      <c r="E801" s="1" t="s">
        <v>1590</v>
      </c>
      <c r="F801" s="1" t="s">
        <v>40</v>
      </c>
      <c r="G801">
        <v>6</v>
      </c>
      <c r="H801" s="1" t="s">
        <v>96</v>
      </c>
      <c r="I801" s="1" t="s">
        <v>85</v>
      </c>
      <c r="J801">
        <v>12.5</v>
      </c>
      <c r="K801">
        <v>34.99</v>
      </c>
      <c r="L801" s="1" t="s">
        <v>60</v>
      </c>
      <c r="M801" s="1" t="s">
        <v>29</v>
      </c>
      <c r="N801" s="1" t="s">
        <v>30</v>
      </c>
      <c r="O801" s="1" t="s">
        <v>31</v>
      </c>
      <c r="P801" s="2">
        <v>45778</v>
      </c>
      <c r="Q801" s="1" t="s">
        <v>779</v>
      </c>
      <c r="R801" s="1" t="s">
        <v>780</v>
      </c>
      <c r="S801" s="1" t="s">
        <v>88</v>
      </c>
      <c r="T801" s="1" t="s">
        <v>35</v>
      </c>
      <c r="U801" s="1" t="s">
        <v>48</v>
      </c>
      <c r="V801" s="1" t="s">
        <v>89</v>
      </c>
      <c r="W801">
        <v>2.4</v>
      </c>
    </row>
    <row r="802" spans="1:23" x14ac:dyDescent="0.3">
      <c r="A802" s="1" t="s">
        <v>1868</v>
      </c>
      <c r="B802">
        <v>3</v>
      </c>
      <c r="C802">
        <v>34.99</v>
      </c>
      <c r="D802">
        <v>83.78</v>
      </c>
      <c r="E802" s="1" t="s">
        <v>923</v>
      </c>
      <c r="F802" s="1" t="s">
        <v>40</v>
      </c>
      <c r="G802">
        <v>6</v>
      </c>
      <c r="H802" s="1" t="s">
        <v>96</v>
      </c>
      <c r="I802" s="1" t="s">
        <v>85</v>
      </c>
      <c r="J802">
        <v>12.5</v>
      </c>
      <c r="K802">
        <v>34.99</v>
      </c>
      <c r="L802" s="1" t="s">
        <v>60</v>
      </c>
      <c r="M802" s="1" t="s">
        <v>29</v>
      </c>
      <c r="N802" s="1" t="s">
        <v>30</v>
      </c>
      <c r="O802" s="1" t="s">
        <v>31</v>
      </c>
      <c r="P802" s="2">
        <v>45778</v>
      </c>
      <c r="Q802" s="1" t="s">
        <v>1116</v>
      </c>
      <c r="R802" s="1" t="s">
        <v>1869</v>
      </c>
      <c r="S802" s="1" t="s">
        <v>105</v>
      </c>
      <c r="T802" s="1" t="s">
        <v>35</v>
      </c>
      <c r="U802" s="1" t="s">
        <v>66</v>
      </c>
      <c r="V802" s="1" t="s">
        <v>89</v>
      </c>
      <c r="W802">
        <v>2.4</v>
      </c>
    </row>
    <row r="803" spans="1:23" x14ac:dyDescent="0.3">
      <c r="A803" s="1" t="s">
        <v>1870</v>
      </c>
      <c r="B803">
        <v>1</v>
      </c>
      <c r="C803">
        <v>16.989999999999998</v>
      </c>
      <c r="D803">
        <v>16.989999999999998</v>
      </c>
      <c r="E803" s="1" t="s">
        <v>202</v>
      </c>
      <c r="F803" s="1" t="s">
        <v>40</v>
      </c>
      <c r="G803">
        <v>16</v>
      </c>
      <c r="H803" s="1" t="s">
        <v>58</v>
      </c>
      <c r="I803" s="1" t="s">
        <v>59</v>
      </c>
      <c r="J803">
        <v>5</v>
      </c>
      <c r="K803">
        <v>16.989999999999998</v>
      </c>
      <c r="L803" s="1" t="s">
        <v>60</v>
      </c>
      <c r="M803" s="1" t="s">
        <v>61</v>
      </c>
      <c r="N803" s="1" t="s">
        <v>62</v>
      </c>
      <c r="O803" s="1" t="s">
        <v>31</v>
      </c>
      <c r="P803" s="2">
        <v>45726</v>
      </c>
      <c r="Q803" s="1" t="s">
        <v>1024</v>
      </c>
      <c r="R803" s="1" t="s">
        <v>1025</v>
      </c>
      <c r="S803" s="1" t="s">
        <v>34</v>
      </c>
      <c r="T803" s="1" t="s">
        <v>35</v>
      </c>
      <c r="U803" s="1" t="s">
        <v>66</v>
      </c>
      <c r="V803" s="1" t="s">
        <v>67</v>
      </c>
      <c r="W803">
        <v>3</v>
      </c>
    </row>
    <row r="804" spans="1:23" x14ac:dyDescent="0.3">
      <c r="A804" s="1" t="s">
        <v>1871</v>
      </c>
      <c r="B804">
        <v>1</v>
      </c>
      <c r="C804">
        <v>16.989999999999998</v>
      </c>
      <c r="D804">
        <v>16.989999999999998</v>
      </c>
      <c r="E804" s="1" t="s">
        <v>771</v>
      </c>
      <c r="F804" s="1" t="s">
        <v>40</v>
      </c>
      <c r="G804">
        <v>16</v>
      </c>
      <c r="H804" s="1" t="s">
        <v>58</v>
      </c>
      <c r="I804" s="1" t="s">
        <v>59</v>
      </c>
      <c r="J804">
        <v>5</v>
      </c>
      <c r="K804">
        <v>16.989999999999998</v>
      </c>
      <c r="L804" s="1" t="s">
        <v>60</v>
      </c>
      <c r="M804" s="1" t="s">
        <v>61</v>
      </c>
      <c r="N804" s="1" t="s">
        <v>62</v>
      </c>
      <c r="O804" s="1" t="s">
        <v>31</v>
      </c>
      <c r="P804" s="2">
        <v>45726</v>
      </c>
      <c r="Q804" s="1" t="s">
        <v>194</v>
      </c>
      <c r="R804" s="1" t="s">
        <v>1872</v>
      </c>
      <c r="S804" s="1" t="s">
        <v>34</v>
      </c>
      <c r="T804" s="1" t="s">
        <v>35</v>
      </c>
      <c r="U804" s="1" t="s">
        <v>66</v>
      </c>
      <c r="V804" s="1" t="s">
        <v>67</v>
      </c>
      <c r="W804">
        <v>3</v>
      </c>
    </row>
    <row r="805" spans="1:23" x14ac:dyDescent="0.3">
      <c r="A805" s="1" t="s">
        <v>1873</v>
      </c>
      <c r="B805">
        <v>2</v>
      </c>
      <c r="C805">
        <v>18.989999999999998</v>
      </c>
      <c r="D805">
        <v>32.979999999999997</v>
      </c>
      <c r="E805" s="1" t="s">
        <v>1874</v>
      </c>
      <c r="F805" s="1" t="s">
        <v>40</v>
      </c>
      <c r="G805">
        <v>10</v>
      </c>
      <c r="H805" s="1" t="s">
        <v>58</v>
      </c>
      <c r="I805" s="1" t="s">
        <v>97</v>
      </c>
      <c r="J805">
        <v>6</v>
      </c>
      <c r="K805">
        <v>18.989999999999998</v>
      </c>
      <c r="L805" s="1" t="s">
        <v>60</v>
      </c>
      <c r="M805" s="1" t="s">
        <v>43</v>
      </c>
      <c r="N805" s="1" t="s">
        <v>44</v>
      </c>
      <c r="O805" s="1" t="s">
        <v>31</v>
      </c>
      <c r="P805" s="2">
        <v>45823</v>
      </c>
      <c r="Q805" s="1" t="s">
        <v>1253</v>
      </c>
      <c r="R805" s="1" t="s">
        <v>1875</v>
      </c>
      <c r="S805" s="1" t="s">
        <v>105</v>
      </c>
      <c r="T805" s="1" t="s">
        <v>35</v>
      </c>
      <c r="U805" s="1" t="s">
        <v>66</v>
      </c>
      <c r="V805" s="1" t="s">
        <v>100</v>
      </c>
      <c r="W805">
        <v>3.2</v>
      </c>
    </row>
    <row r="806" spans="1:23" x14ac:dyDescent="0.3">
      <c r="A806" s="1" t="s">
        <v>1876</v>
      </c>
      <c r="B806">
        <v>1</v>
      </c>
      <c r="C806">
        <v>27.99</v>
      </c>
      <c r="D806">
        <v>27.99</v>
      </c>
      <c r="E806" s="1" t="s">
        <v>1877</v>
      </c>
      <c r="F806" s="1" t="s">
        <v>40</v>
      </c>
      <c r="G806">
        <v>2</v>
      </c>
      <c r="H806" s="1" t="s">
        <v>96</v>
      </c>
      <c r="I806" s="1" t="s">
        <v>75</v>
      </c>
      <c r="J806">
        <v>9</v>
      </c>
      <c r="K806">
        <v>27.99</v>
      </c>
      <c r="L806" s="1" t="s">
        <v>28</v>
      </c>
      <c r="M806" s="1" t="s">
        <v>61</v>
      </c>
      <c r="N806" s="1" t="s">
        <v>62</v>
      </c>
      <c r="O806" s="1" t="s">
        <v>31</v>
      </c>
      <c r="P806" s="2">
        <v>45726</v>
      </c>
      <c r="Q806" s="1" t="s">
        <v>1878</v>
      </c>
      <c r="R806" s="1" t="s">
        <v>1879</v>
      </c>
      <c r="S806" s="1" t="s">
        <v>54</v>
      </c>
      <c r="T806" s="1" t="s">
        <v>35</v>
      </c>
      <c r="U806" s="1" t="s">
        <v>66</v>
      </c>
      <c r="V806" s="1" t="s">
        <v>37</v>
      </c>
      <c r="W806">
        <v>2</v>
      </c>
    </row>
    <row r="807" spans="1:23" x14ac:dyDescent="0.3">
      <c r="A807" s="1" t="s">
        <v>1880</v>
      </c>
      <c r="B807">
        <v>1</v>
      </c>
      <c r="C807">
        <v>21.99</v>
      </c>
      <c r="D807">
        <v>21.99</v>
      </c>
      <c r="E807" s="1" t="s">
        <v>1881</v>
      </c>
      <c r="F807" s="1" t="s">
        <v>51</v>
      </c>
      <c r="G807">
        <v>0</v>
      </c>
      <c r="H807" s="1" t="s">
        <v>96</v>
      </c>
      <c r="I807" s="1" t="s">
        <v>27</v>
      </c>
      <c r="J807">
        <v>7</v>
      </c>
      <c r="K807">
        <v>21.99</v>
      </c>
      <c r="L807" s="1" t="s">
        <v>28</v>
      </c>
      <c r="M807" s="1" t="s">
        <v>29</v>
      </c>
      <c r="N807" s="1" t="s">
        <v>30</v>
      </c>
      <c r="O807" s="1" t="s">
        <v>31</v>
      </c>
      <c r="P807" s="2">
        <v>45778</v>
      </c>
      <c r="Q807" s="1" t="s">
        <v>850</v>
      </c>
      <c r="R807" s="1" t="s">
        <v>851</v>
      </c>
      <c r="S807" s="1" t="s">
        <v>65</v>
      </c>
      <c r="T807" s="1" t="s">
        <v>35</v>
      </c>
      <c r="U807" s="1" t="s">
        <v>36</v>
      </c>
      <c r="V807" s="1" t="s">
        <v>37</v>
      </c>
      <c r="W807">
        <v>2</v>
      </c>
    </row>
    <row r="808" spans="1:23" x14ac:dyDescent="0.3">
      <c r="A808" s="1" t="s">
        <v>1882</v>
      </c>
      <c r="B808">
        <v>3</v>
      </c>
      <c r="C808">
        <v>30.99</v>
      </c>
      <c r="D808">
        <v>74.48</v>
      </c>
      <c r="E808" s="1" t="s">
        <v>1883</v>
      </c>
      <c r="F808" s="1" t="s">
        <v>40</v>
      </c>
      <c r="G808">
        <v>2</v>
      </c>
      <c r="H808" s="1" t="s">
        <v>41</v>
      </c>
      <c r="I808" s="1" t="s">
        <v>42</v>
      </c>
      <c r="J808">
        <v>10.5</v>
      </c>
      <c r="K808">
        <v>30.99</v>
      </c>
      <c r="L808" s="1" t="s">
        <v>28</v>
      </c>
      <c r="M808" s="1" t="s">
        <v>43</v>
      </c>
      <c r="N808" s="1" t="s">
        <v>44</v>
      </c>
      <c r="O808" s="1" t="s">
        <v>31</v>
      </c>
      <c r="P808" s="2">
        <v>45823</v>
      </c>
      <c r="Q808" s="1" t="s">
        <v>1234</v>
      </c>
      <c r="R808" s="1" t="s">
        <v>1671</v>
      </c>
      <c r="S808" s="1" t="s">
        <v>47</v>
      </c>
      <c r="T808" s="1" t="s">
        <v>35</v>
      </c>
      <c r="U808" s="1" t="s">
        <v>82</v>
      </c>
      <c r="V808" s="1" t="s">
        <v>37</v>
      </c>
      <c r="W808">
        <v>2</v>
      </c>
    </row>
    <row r="809" spans="1:23" x14ac:dyDescent="0.3">
      <c r="A809" s="1" t="s">
        <v>1884</v>
      </c>
      <c r="B809">
        <v>1</v>
      </c>
      <c r="C809">
        <v>34.99</v>
      </c>
      <c r="D809">
        <v>34.99</v>
      </c>
      <c r="E809" s="1" t="s">
        <v>1002</v>
      </c>
      <c r="F809" s="1" t="s">
        <v>40</v>
      </c>
      <c r="G809">
        <v>6</v>
      </c>
      <c r="H809" s="1" t="s">
        <v>41</v>
      </c>
      <c r="I809" s="1" t="s">
        <v>85</v>
      </c>
      <c r="J809">
        <v>12.5</v>
      </c>
      <c r="K809">
        <v>34.99</v>
      </c>
      <c r="L809" s="1" t="s">
        <v>60</v>
      </c>
      <c r="M809" s="1" t="s">
        <v>29</v>
      </c>
      <c r="N809" s="1" t="s">
        <v>30</v>
      </c>
      <c r="O809" s="1" t="s">
        <v>31</v>
      </c>
      <c r="P809" s="2">
        <v>45778</v>
      </c>
      <c r="Q809" s="1" t="s">
        <v>790</v>
      </c>
      <c r="R809" s="1" t="s">
        <v>791</v>
      </c>
      <c r="S809" s="1" t="s">
        <v>47</v>
      </c>
      <c r="T809" s="1" t="s">
        <v>35</v>
      </c>
      <c r="U809" s="1" t="s">
        <v>55</v>
      </c>
      <c r="V809" s="1" t="s">
        <v>89</v>
      </c>
      <c r="W809">
        <v>2.4</v>
      </c>
    </row>
    <row r="810" spans="1:23" x14ac:dyDescent="0.3">
      <c r="A810" s="1" t="s">
        <v>1885</v>
      </c>
      <c r="B810">
        <v>1</v>
      </c>
      <c r="C810">
        <v>30.99</v>
      </c>
      <c r="D810">
        <v>30.99</v>
      </c>
      <c r="E810" s="1" t="s">
        <v>1886</v>
      </c>
      <c r="F810" s="1" t="s">
        <v>51</v>
      </c>
      <c r="G810">
        <v>0</v>
      </c>
      <c r="H810" s="1" t="s">
        <v>96</v>
      </c>
      <c r="I810" s="1" t="s">
        <v>42</v>
      </c>
      <c r="J810">
        <v>10.5</v>
      </c>
      <c r="K810">
        <v>30.99</v>
      </c>
      <c r="L810" s="1" t="s">
        <v>28</v>
      </c>
      <c r="M810" s="1" t="s">
        <v>43</v>
      </c>
      <c r="N810" s="1" t="s">
        <v>44</v>
      </c>
      <c r="O810" s="1" t="s">
        <v>31</v>
      </c>
      <c r="P810" s="2">
        <v>45823</v>
      </c>
      <c r="Q810" s="1" t="s">
        <v>1887</v>
      </c>
      <c r="R810" s="1" t="s">
        <v>1888</v>
      </c>
      <c r="S810" s="1" t="s">
        <v>88</v>
      </c>
      <c r="T810" s="1" t="s">
        <v>35</v>
      </c>
      <c r="U810" s="1" t="s">
        <v>82</v>
      </c>
      <c r="V810" s="1" t="s">
        <v>37</v>
      </c>
      <c r="W810">
        <v>2</v>
      </c>
    </row>
    <row r="811" spans="1:23" x14ac:dyDescent="0.3">
      <c r="A811" s="1" t="s">
        <v>1889</v>
      </c>
      <c r="B811">
        <v>1</v>
      </c>
      <c r="C811">
        <v>34.99</v>
      </c>
      <c r="D811">
        <v>34.99</v>
      </c>
      <c r="E811" s="1" t="s">
        <v>824</v>
      </c>
      <c r="F811" s="1" t="s">
        <v>40</v>
      </c>
      <c r="G811">
        <v>8</v>
      </c>
      <c r="H811" s="1" t="s">
        <v>26</v>
      </c>
      <c r="I811" s="1" t="s">
        <v>85</v>
      </c>
      <c r="J811">
        <v>12.5</v>
      </c>
      <c r="K811">
        <v>34.99</v>
      </c>
      <c r="L811" s="1" t="s">
        <v>60</v>
      </c>
      <c r="M811" s="1" t="s">
        <v>29</v>
      </c>
      <c r="N811" s="1" t="s">
        <v>30</v>
      </c>
      <c r="O811" s="1" t="s">
        <v>31</v>
      </c>
      <c r="P811" s="2">
        <v>45778</v>
      </c>
      <c r="Q811" s="1" t="s">
        <v>1385</v>
      </c>
      <c r="R811" s="1" t="s">
        <v>1630</v>
      </c>
      <c r="S811" s="1" t="s">
        <v>65</v>
      </c>
      <c r="T811" s="1" t="s">
        <v>35</v>
      </c>
      <c r="U811" s="1" t="s">
        <v>55</v>
      </c>
      <c r="V811" s="1" t="s">
        <v>89</v>
      </c>
      <c r="W811">
        <v>2.4</v>
      </c>
    </row>
    <row r="812" spans="1:23" x14ac:dyDescent="0.3">
      <c r="A812" s="1" t="s">
        <v>1890</v>
      </c>
      <c r="B812">
        <v>1</v>
      </c>
      <c r="C812">
        <v>30.99</v>
      </c>
      <c r="D812">
        <v>30.99</v>
      </c>
      <c r="E812" s="1" t="s">
        <v>923</v>
      </c>
      <c r="F812" s="1" t="s">
        <v>40</v>
      </c>
      <c r="G812">
        <v>2</v>
      </c>
      <c r="H812" s="1" t="s">
        <v>41</v>
      </c>
      <c r="I812" s="1" t="s">
        <v>42</v>
      </c>
      <c r="J812">
        <v>10.5</v>
      </c>
      <c r="K812">
        <v>30.99</v>
      </c>
      <c r="L812" s="1" t="s">
        <v>28</v>
      </c>
      <c r="M812" s="1" t="s">
        <v>43</v>
      </c>
      <c r="N812" s="1" t="s">
        <v>44</v>
      </c>
      <c r="O812" s="1" t="s">
        <v>31</v>
      </c>
      <c r="P812" s="2">
        <v>45823</v>
      </c>
      <c r="Q812" s="1" t="s">
        <v>1112</v>
      </c>
      <c r="R812" s="1" t="s">
        <v>1891</v>
      </c>
      <c r="S812" s="1" t="s">
        <v>47</v>
      </c>
      <c r="T812" s="1" t="s">
        <v>35</v>
      </c>
      <c r="U812" s="1" t="s">
        <v>82</v>
      </c>
      <c r="V812" s="1" t="s">
        <v>37</v>
      </c>
      <c r="W812">
        <v>2</v>
      </c>
    </row>
    <row r="813" spans="1:23" x14ac:dyDescent="0.3">
      <c r="A813" s="1" t="s">
        <v>1892</v>
      </c>
      <c r="B813">
        <v>2</v>
      </c>
      <c r="C813">
        <v>18.989999999999998</v>
      </c>
      <c r="D813">
        <v>33</v>
      </c>
      <c r="E813" s="1" t="s">
        <v>1893</v>
      </c>
      <c r="F813" s="1" t="s">
        <v>40</v>
      </c>
      <c r="G813">
        <v>10</v>
      </c>
      <c r="H813" s="1" t="s">
        <v>41</v>
      </c>
      <c r="I813" s="1" t="s">
        <v>97</v>
      </c>
      <c r="J813">
        <v>6</v>
      </c>
      <c r="K813">
        <v>18.989999999999998</v>
      </c>
      <c r="L813" s="1" t="s">
        <v>60</v>
      </c>
      <c r="M813" s="1" t="s">
        <v>43</v>
      </c>
      <c r="N813" s="1" t="s">
        <v>44</v>
      </c>
      <c r="O813" s="1" t="s">
        <v>31</v>
      </c>
      <c r="P813" s="2">
        <v>45823</v>
      </c>
      <c r="Q813" s="1" t="s">
        <v>804</v>
      </c>
      <c r="R813" s="1" t="s">
        <v>1038</v>
      </c>
      <c r="S813" s="1" t="s">
        <v>88</v>
      </c>
      <c r="T813" s="1" t="s">
        <v>35</v>
      </c>
      <c r="U813" s="1" t="s">
        <v>55</v>
      </c>
      <c r="V813" s="1" t="s">
        <v>100</v>
      </c>
      <c r="W813">
        <v>3.2</v>
      </c>
    </row>
    <row r="814" spans="1:23" x14ac:dyDescent="0.3">
      <c r="A814" s="1" t="s">
        <v>1894</v>
      </c>
      <c r="B814">
        <v>2</v>
      </c>
      <c r="C814">
        <v>18.989999999999998</v>
      </c>
      <c r="D814">
        <v>33.229999999999997</v>
      </c>
      <c r="E814" s="1" t="s">
        <v>1895</v>
      </c>
      <c r="F814" s="1" t="s">
        <v>188</v>
      </c>
      <c r="G814">
        <v>0</v>
      </c>
      <c r="H814" s="1" t="s">
        <v>58</v>
      </c>
      <c r="I814" s="1" t="s">
        <v>97</v>
      </c>
      <c r="J814">
        <v>6</v>
      </c>
      <c r="K814">
        <v>18.989999999999998</v>
      </c>
      <c r="L814" s="1" t="s">
        <v>60</v>
      </c>
      <c r="M814" s="1" t="s">
        <v>43</v>
      </c>
      <c r="N814" s="1" t="s">
        <v>44</v>
      </c>
      <c r="O814" s="1" t="s">
        <v>31</v>
      </c>
      <c r="P814" s="2">
        <v>45823</v>
      </c>
      <c r="Q814" s="1" t="s">
        <v>1253</v>
      </c>
      <c r="R814" s="1" t="s">
        <v>1875</v>
      </c>
      <c r="S814" s="1" t="s">
        <v>105</v>
      </c>
      <c r="T814" s="1" t="s">
        <v>35</v>
      </c>
      <c r="U814" s="1" t="s">
        <v>66</v>
      </c>
      <c r="V814" s="1" t="s">
        <v>100</v>
      </c>
      <c r="W814">
        <v>3.2</v>
      </c>
    </row>
    <row r="815" spans="1:23" x14ac:dyDescent="0.3">
      <c r="A815" s="1" t="s">
        <v>1896</v>
      </c>
      <c r="B815">
        <v>1</v>
      </c>
      <c r="C815">
        <v>18.989999999999998</v>
      </c>
      <c r="D815">
        <v>18.989999999999998</v>
      </c>
      <c r="E815" s="1" t="s">
        <v>1727</v>
      </c>
      <c r="F815" s="1" t="s">
        <v>51</v>
      </c>
      <c r="G815">
        <v>0</v>
      </c>
      <c r="H815" s="1" t="s">
        <v>26</v>
      </c>
      <c r="I815" s="1" t="s">
        <v>97</v>
      </c>
      <c r="J815">
        <v>6</v>
      </c>
      <c r="K815">
        <v>18.989999999999998</v>
      </c>
      <c r="L815" s="1" t="s">
        <v>60</v>
      </c>
      <c r="M815" s="1" t="s">
        <v>43</v>
      </c>
      <c r="N815" s="1" t="s">
        <v>44</v>
      </c>
      <c r="O815" s="1" t="s">
        <v>31</v>
      </c>
      <c r="P815" s="2">
        <v>45823</v>
      </c>
      <c r="Q815" s="1" t="s">
        <v>1654</v>
      </c>
      <c r="R815" s="1" t="s">
        <v>1655</v>
      </c>
      <c r="S815" s="1" t="s">
        <v>88</v>
      </c>
      <c r="T815" s="1" t="s">
        <v>35</v>
      </c>
      <c r="U815" s="1" t="s">
        <v>82</v>
      </c>
      <c r="V815" s="1" t="s">
        <v>100</v>
      </c>
      <c r="W815">
        <v>3.2</v>
      </c>
    </row>
    <row r="816" spans="1:23" x14ac:dyDescent="0.3">
      <c r="A816" s="1" t="s">
        <v>1897</v>
      </c>
      <c r="B816">
        <v>2</v>
      </c>
      <c r="C816">
        <v>27.99</v>
      </c>
      <c r="D816">
        <v>48.81</v>
      </c>
      <c r="E816" s="1" t="s">
        <v>577</v>
      </c>
      <c r="F816" s="1" t="s">
        <v>40</v>
      </c>
      <c r="G816">
        <v>2</v>
      </c>
      <c r="H816" s="1" t="s">
        <v>26</v>
      </c>
      <c r="I816" s="1" t="s">
        <v>75</v>
      </c>
      <c r="J816">
        <v>9</v>
      </c>
      <c r="K816">
        <v>27.99</v>
      </c>
      <c r="L816" s="1" t="s">
        <v>28</v>
      </c>
      <c r="M816" s="1" t="s">
        <v>61</v>
      </c>
      <c r="N816" s="1" t="s">
        <v>62</v>
      </c>
      <c r="O816" s="1" t="s">
        <v>31</v>
      </c>
      <c r="P816" s="2">
        <v>45726</v>
      </c>
      <c r="Q816" s="1" t="s">
        <v>1878</v>
      </c>
      <c r="R816" s="1" t="s">
        <v>1879</v>
      </c>
      <c r="S816" s="1" t="s">
        <v>54</v>
      </c>
      <c r="T816" s="1" t="s">
        <v>35</v>
      </c>
      <c r="U816" s="1" t="s">
        <v>66</v>
      </c>
      <c r="V816" s="1" t="s">
        <v>37</v>
      </c>
      <c r="W816">
        <v>2</v>
      </c>
    </row>
    <row r="817" spans="1:23" x14ac:dyDescent="0.3">
      <c r="A817" s="1" t="s">
        <v>1898</v>
      </c>
      <c r="B817">
        <v>1</v>
      </c>
      <c r="C817">
        <v>30.99</v>
      </c>
      <c r="D817">
        <v>30.99</v>
      </c>
      <c r="E817" s="1" t="s">
        <v>1379</v>
      </c>
      <c r="F817" s="1" t="s">
        <v>40</v>
      </c>
      <c r="G817">
        <v>3</v>
      </c>
      <c r="H817" s="1" t="s">
        <v>26</v>
      </c>
      <c r="I817" s="1" t="s">
        <v>42</v>
      </c>
      <c r="J817">
        <v>10.5</v>
      </c>
      <c r="K817">
        <v>30.99</v>
      </c>
      <c r="L817" s="1" t="s">
        <v>28</v>
      </c>
      <c r="M817" s="1" t="s">
        <v>43</v>
      </c>
      <c r="N817" s="1" t="s">
        <v>44</v>
      </c>
      <c r="O817" s="1" t="s">
        <v>31</v>
      </c>
      <c r="P817" s="2">
        <v>45823</v>
      </c>
      <c r="Q817" s="1" t="s">
        <v>1899</v>
      </c>
      <c r="R817" s="1" t="s">
        <v>1900</v>
      </c>
      <c r="S817" s="1" t="s">
        <v>65</v>
      </c>
      <c r="T817" s="1" t="s">
        <v>35</v>
      </c>
      <c r="U817" s="1" t="s">
        <v>48</v>
      </c>
      <c r="V817" s="1" t="s">
        <v>37</v>
      </c>
      <c r="W817">
        <v>2</v>
      </c>
    </row>
    <row r="818" spans="1:23" x14ac:dyDescent="0.3">
      <c r="A818" s="1" t="s">
        <v>1901</v>
      </c>
      <c r="B818">
        <v>3</v>
      </c>
      <c r="C818">
        <v>18.989999999999998</v>
      </c>
      <c r="D818">
        <v>44.89</v>
      </c>
      <c r="E818" s="1" t="s">
        <v>1031</v>
      </c>
      <c r="F818" s="1" t="s">
        <v>40</v>
      </c>
      <c r="G818">
        <v>20</v>
      </c>
      <c r="H818" s="1" t="s">
        <v>58</v>
      </c>
      <c r="I818" s="1" t="s">
        <v>97</v>
      </c>
      <c r="J818">
        <v>6</v>
      </c>
      <c r="K818">
        <v>18.989999999999998</v>
      </c>
      <c r="L818" s="1" t="s">
        <v>60</v>
      </c>
      <c r="M818" s="1" t="s">
        <v>43</v>
      </c>
      <c r="N818" s="1" t="s">
        <v>44</v>
      </c>
      <c r="O818" s="1" t="s">
        <v>31</v>
      </c>
      <c r="P818" s="2">
        <v>45823</v>
      </c>
      <c r="Q818" s="1" t="s">
        <v>947</v>
      </c>
      <c r="R818" s="1" t="s">
        <v>948</v>
      </c>
      <c r="S818" s="1" t="s">
        <v>65</v>
      </c>
      <c r="T818" s="1" t="s">
        <v>35</v>
      </c>
      <c r="U818" s="1" t="s">
        <v>82</v>
      </c>
      <c r="V818" s="1" t="s">
        <v>100</v>
      </c>
      <c r="W818">
        <v>3.2</v>
      </c>
    </row>
    <row r="819" spans="1:23" x14ac:dyDescent="0.3">
      <c r="A819" s="1" t="s">
        <v>1902</v>
      </c>
      <c r="B819">
        <v>2</v>
      </c>
      <c r="C819">
        <v>18.989999999999998</v>
      </c>
      <c r="D819">
        <v>32.92</v>
      </c>
      <c r="E819" s="1" t="s">
        <v>117</v>
      </c>
      <c r="F819" s="1" t="s">
        <v>51</v>
      </c>
      <c r="G819">
        <v>0</v>
      </c>
      <c r="H819" s="1" t="s">
        <v>96</v>
      </c>
      <c r="I819" s="1" t="s">
        <v>97</v>
      </c>
      <c r="J819">
        <v>6</v>
      </c>
      <c r="K819">
        <v>18.989999999999998</v>
      </c>
      <c r="L819" s="1" t="s">
        <v>60</v>
      </c>
      <c r="M819" s="1" t="s">
        <v>43</v>
      </c>
      <c r="N819" s="1" t="s">
        <v>44</v>
      </c>
      <c r="O819" s="1" t="s">
        <v>31</v>
      </c>
      <c r="P819" s="2">
        <v>45823</v>
      </c>
      <c r="Q819" s="1" t="s">
        <v>496</v>
      </c>
      <c r="R819" s="1" t="s">
        <v>1650</v>
      </c>
      <c r="S819" s="1" t="s">
        <v>47</v>
      </c>
      <c r="T819" s="1" t="s">
        <v>35</v>
      </c>
      <c r="U819" s="1" t="s">
        <v>48</v>
      </c>
      <c r="V819" s="1" t="s">
        <v>100</v>
      </c>
      <c r="W819">
        <v>3.2</v>
      </c>
    </row>
    <row r="820" spans="1:23" x14ac:dyDescent="0.3">
      <c r="A820" s="1" t="s">
        <v>1903</v>
      </c>
      <c r="B820">
        <v>1</v>
      </c>
      <c r="C820">
        <v>21.99</v>
      </c>
      <c r="D820">
        <v>21.99</v>
      </c>
      <c r="E820" s="1" t="s">
        <v>1727</v>
      </c>
      <c r="F820" s="1" t="s">
        <v>51</v>
      </c>
      <c r="G820">
        <v>0</v>
      </c>
      <c r="H820" s="1" t="s">
        <v>96</v>
      </c>
      <c r="I820" s="1" t="s">
        <v>27</v>
      </c>
      <c r="J820">
        <v>7</v>
      </c>
      <c r="K820">
        <v>21.99</v>
      </c>
      <c r="L820" s="1" t="s">
        <v>28</v>
      </c>
      <c r="M820" s="1" t="s">
        <v>29</v>
      </c>
      <c r="N820" s="1" t="s">
        <v>30</v>
      </c>
      <c r="O820" s="1" t="s">
        <v>31</v>
      </c>
      <c r="P820" s="2">
        <v>45778</v>
      </c>
      <c r="Q820" s="1" t="s">
        <v>1728</v>
      </c>
      <c r="R820" s="1" t="s">
        <v>1729</v>
      </c>
      <c r="S820" s="1" t="s">
        <v>65</v>
      </c>
      <c r="T820" s="1" t="s">
        <v>35</v>
      </c>
      <c r="U820" s="1" t="s">
        <v>55</v>
      </c>
      <c r="V820" s="1" t="s">
        <v>37</v>
      </c>
      <c r="W820">
        <v>2</v>
      </c>
    </row>
    <row r="821" spans="1:23" x14ac:dyDescent="0.3">
      <c r="A821" s="1" t="s">
        <v>1904</v>
      </c>
      <c r="B821">
        <v>1</v>
      </c>
      <c r="C821">
        <v>18.989999999999998</v>
      </c>
      <c r="D821">
        <v>18.989999999999998</v>
      </c>
      <c r="E821" s="1" t="s">
        <v>1108</v>
      </c>
      <c r="F821" s="1" t="s">
        <v>25</v>
      </c>
      <c r="G821">
        <v>15</v>
      </c>
      <c r="H821" s="1" t="s">
        <v>26</v>
      </c>
      <c r="I821" s="1" t="s">
        <v>97</v>
      </c>
      <c r="J821">
        <v>6</v>
      </c>
      <c r="K821">
        <v>18.989999999999998</v>
      </c>
      <c r="L821" s="1" t="s">
        <v>60</v>
      </c>
      <c r="M821" s="1" t="s">
        <v>43</v>
      </c>
      <c r="N821" s="1" t="s">
        <v>44</v>
      </c>
      <c r="O821" s="1" t="s">
        <v>31</v>
      </c>
      <c r="P821" s="2">
        <v>45823</v>
      </c>
      <c r="Q821" s="1" t="s">
        <v>1712</v>
      </c>
      <c r="R821" s="1" t="s">
        <v>1713</v>
      </c>
      <c r="S821" s="1" t="s">
        <v>34</v>
      </c>
      <c r="T821" s="1" t="s">
        <v>35</v>
      </c>
      <c r="U821" s="1" t="s">
        <v>48</v>
      </c>
      <c r="V821" s="1" t="s">
        <v>100</v>
      </c>
      <c r="W821">
        <v>3.2</v>
      </c>
    </row>
    <row r="822" spans="1:23" x14ac:dyDescent="0.3">
      <c r="A822" s="1" t="s">
        <v>1905</v>
      </c>
      <c r="B822">
        <v>1</v>
      </c>
      <c r="C822">
        <v>16.989999999999998</v>
      </c>
      <c r="D822">
        <v>16.989999999999998</v>
      </c>
      <c r="E822" s="1" t="s">
        <v>1093</v>
      </c>
      <c r="F822" s="1" t="s">
        <v>25</v>
      </c>
      <c r="G822">
        <v>15</v>
      </c>
      <c r="H822" s="1" t="s">
        <v>41</v>
      </c>
      <c r="I822" s="1" t="s">
        <v>59</v>
      </c>
      <c r="J822">
        <v>5</v>
      </c>
      <c r="K822">
        <v>16.989999999999998</v>
      </c>
      <c r="L822" s="1" t="s">
        <v>60</v>
      </c>
      <c r="M822" s="1" t="s">
        <v>61</v>
      </c>
      <c r="N822" s="1" t="s">
        <v>62</v>
      </c>
      <c r="O822" s="1" t="s">
        <v>31</v>
      </c>
      <c r="P822" s="2">
        <v>45726</v>
      </c>
      <c r="Q822" s="1" t="s">
        <v>1362</v>
      </c>
      <c r="R822" s="1" t="s">
        <v>1906</v>
      </c>
      <c r="S822" s="1" t="s">
        <v>47</v>
      </c>
      <c r="T822" s="1" t="s">
        <v>35</v>
      </c>
      <c r="U822" s="1" t="s">
        <v>48</v>
      </c>
      <c r="V822" s="1" t="s">
        <v>67</v>
      </c>
      <c r="W822">
        <v>3</v>
      </c>
    </row>
    <row r="823" spans="1:23" x14ac:dyDescent="0.3">
      <c r="A823" s="1" t="s">
        <v>1907</v>
      </c>
      <c r="B823">
        <v>3</v>
      </c>
      <c r="C823">
        <v>16.989999999999998</v>
      </c>
      <c r="D823">
        <v>40.86</v>
      </c>
      <c r="E823" s="1" t="s">
        <v>1515</v>
      </c>
      <c r="F823" s="1" t="s">
        <v>40</v>
      </c>
      <c r="G823">
        <v>20</v>
      </c>
      <c r="H823" s="1" t="s">
        <v>58</v>
      </c>
      <c r="I823" s="1" t="s">
        <v>59</v>
      </c>
      <c r="J823">
        <v>5</v>
      </c>
      <c r="K823">
        <v>16.989999999999998</v>
      </c>
      <c r="L823" s="1" t="s">
        <v>60</v>
      </c>
      <c r="M823" s="1" t="s">
        <v>61</v>
      </c>
      <c r="N823" s="1" t="s">
        <v>62</v>
      </c>
      <c r="O823" s="1" t="s">
        <v>31</v>
      </c>
      <c r="P823" s="2">
        <v>45726</v>
      </c>
      <c r="Q823" s="1" t="s">
        <v>814</v>
      </c>
      <c r="R823" s="1" t="s">
        <v>1041</v>
      </c>
      <c r="S823" s="1" t="s">
        <v>54</v>
      </c>
      <c r="T823" s="1" t="s">
        <v>35</v>
      </c>
      <c r="U823" s="1" t="s">
        <v>36</v>
      </c>
      <c r="V823" s="1" t="s">
        <v>67</v>
      </c>
      <c r="W823">
        <v>3</v>
      </c>
    </row>
    <row r="824" spans="1:23" x14ac:dyDescent="0.3">
      <c r="A824" s="1" t="s">
        <v>1908</v>
      </c>
      <c r="B824">
        <v>1</v>
      </c>
      <c r="C824">
        <v>21.99</v>
      </c>
      <c r="D824">
        <v>21.99</v>
      </c>
      <c r="E824" s="1" t="s">
        <v>1760</v>
      </c>
      <c r="F824" s="1" t="s">
        <v>188</v>
      </c>
      <c r="G824">
        <v>0</v>
      </c>
      <c r="H824" s="1" t="s">
        <v>26</v>
      </c>
      <c r="I824" s="1" t="s">
        <v>27</v>
      </c>
      <c r="J824">
        <v>7</v>
      </c>
      <c r="K824">
        <v>21.99</v>
      </c>
      <c r="L824" s="1" t="s">
        <v>28</v>
      </c>
      <c r="M824" s="1" t="s">
        <v>29</v>
      </c>
      <c r="N824" s="1" t="s">
        <v>30</v>
      </c>
      <c r="O824" s="1" t="s">
        <v>31</v>
      </c>
      <c r="P824" s="2">
        <v>45778</v>
      </c>
      <c r="Q824" s="1" t="s">
        <v>1336</v>
      </c>
      <c r="R824" s="1" t="s">
        <v>1337</v>
      </c>
      <c r="S824" s="1" t="s">
        <v>105</v>
      </c>
      <c r="T824" s="1" t="s">
        <v>35</v>
      </c>
      <c r="U824" s="1" t="s">
        <v>55</v>
      </c>
      <c r="V824" s="1" t="s">
        <v>37</v>
      </c>
      <c r="W824">
        <v>2</v>
      </c>
    </row>
    <row r="825" spans="1:23" x14ac:dyDescent="0.3">
      <c r="A825" s="1" t="s">
        <v>1909</v>
      </c>
      <c r="B825">
        <v>2</v>
      </c>
      <c r="C825">
        <v>34.99</v>
      </c>
      <c r="D825">
        <v>61.04</v>
      </c>
      <c r="E825" s="1" t="s">
        <v>598</v>
      </c>
      <c r="F825" s="1" t="s">
        <v>40</v>
      </c>
      <c r="G825">
        <v>8</v>
      </c>
      <c r="H825" s="1" t="s">
        <v>41</v>
      </c>
      <c r="I825" s="1" t="s">
        <v>85</v>
      </c>
      <c r="J825">
        <v>12.5</v>
      </c>
      <c r="K825">
        <v>34.99</v>
      </c>
      <c r="L825" s="1" t="s">
        <v>60</v>
      </c>
      <c r="M825" s="1" t="s">
        <v>29</v>
      </c>
      <c r="N825" s="1" t="s">
        <v>30</v>
      </c>
      <c r="O825" s="1" t="s">
        <v>31</v>
      </c>
      <c r="P825" s="2">
        <v>45778</v>
      </c>
      <c r="Q825" s="1" t="s">
        <v>1187</v>
      </c>
      <c r="R825" s="1" t="s">
        <v>1188</v>
      </c>
      <c r="S825" s="1" t="s">
        <v>47</v>
      </c>
      <c r="T825" s="1" t="s">
        <v>35</v>
      </c>
      <c r="U825" s="1" t="s">
        <v>48</v>
      </c>
      <c r="V825" s="1" t="s">
        <v>89</v>
      </c>
      <c r="W825">
        <v>2.4</v>
      </c>
    </row>
    <row r="826" spans="1:23" x14ac:dyDescent="0.3">
      <c r="A826" s="1" t="s">
        <v>1910</v>
      </c>
      <c r="B826">
        <v>1</v>
      </c>
      <c r="C826">
        <v>21.99</v>
      </c>
      <c r="D826">
        <v>21.99</v>
      </c>
      <c r="E826" s="1" t="s">
        <v>1685</v>
      </c>
      <c r="F826" s="1" t="s">
        <v>40</v>
      </c>
      <c r="G826">
        <v>2</v>
      </c>
      <c r="H826" s="1" t="s">
        <v>96</v>
      </c>
      <c r="I826" s="1" t="s">
        <v>27</v>
      </c>
      <c r="J826">
        <v>7</v>
      </c>
      <c r="K826">
        <v>21.99</v>
      </c>
      <c r="L826" s="1" t="s">
        <v>28</v>
      </c>
      <c r="M826" s="1" t="s">
        <v>29</v>
      </c>
      <c r="N826" s="1" t="s">
        <v>30</v>
      </c>
      <c r="O826" s="1" t="s">
        <v>31</v>
      </c>
      <c r="P826" s="2">
        <v>45778</v>
      </c>
      <c r="Q826" s="1" t="s">
        <v>1642</v>
      </c>
      <c r="R826" s="1" t="s">
        <v>1736</v>
      </c>
      <c r="S826" s="1" t="s">
        <v>47</v>
      </c>
      <c r="T826" s="1" t="s">
        <v>35</v>
      </c>
      <c r="U826" s="1" t="s">
        <v>48</v>
      </c>
      <c r="V826" s="1" t="s">
        <v>37</v>
      </c>
      <c r="W826">
        <v>2</v>
      </c>
    </row>
    <row r="827" spans="1:23" x14ac:dyDescent="0.3">
      <c r="A827" s="1" t="s">
        <v>1911</v>
      </c>
      <c r="B827">
        <v>2</v>
      </c>
      <c r="C827">
        <v>18.989999999999998</v>
      </c>
      <c r="D827">
        <v>32.83</v>
      </c>
      <c r="E827" s="1" t="s">
        <v>1240</v>
      </c>
      <c r="F827" s="1" t="s">
        <v>51</v>
      </c>
      <c r="G827">
        <v>0</v>
      </c>
      <c r="H827" s="1" t="s">
        <v>96</v>
      </c>
      <c r="I827" s="1" t="s">
        <v>97</v>
      </c>
      <c r="J827">
        <v>6</v>
      </c>
      <c r="K827">
        <v>18.989999999999998</v>
      </c>
      <c r="L827" s="1" t="s">
        <v>60</v>
      </c>
      <c r="M827" s="1" t="s">
        <v>43</v>
      </c>
      <c r="N827" s="1" t="s">
        <v>44</v>
      </c>
      <c r="O827" s="1" t="s">
        <v>31</v>
      </c>
      <c r="P827" s="2">
        <v>45823</v>
      </c>
      <c r="Q827" s="1" t="s">
        <v>979</v>
      </c>
      <c r="R827" s="1" t="s">
        <v>1912</v>
      </c>
      <c r="S827" s="1" t="s">
        <v>105</v>
      </c>
      <c r="T827" s="1" t="s">
        <v>35</v>
      </c>
      <c r="U827" s="1" t="s">
        <v>82</v>
      </c>
      <c r="V827" s="1" t="s">
        <v>100</v>
      </c>
      <c r="W827">
        <v>3.2</v>
      </c>
    </row>
    <row r="828" spans="1:23" x14ac:dyDescent="0.3">
      <c r="A828" s="1" t="s">
        <v>1913</v>
      </c>
      <c r="B828">
        <v>1</v>
      </c>
      <c r="C828">
        <v>27.99</v>
      </c>
      <c r="D828">
        <v>27.99</v>
      </c>
      <c r="E828" s="1" t="s">
        <v>775</v>
      </c>
      <c r="F828" s="1" t="s">
        <v>188</v>
      </c>
      <c r="G828">
        <v>0</v>
      </c>
      <c r="H828" s="1" t="s">
        <v>26</v>
      </c>
      <c r="I828" s="1" t="s">
        <v>75</v>
      </c>
      <c r="J828">
        <v>9</v>
      </c>
      <c r="K828">
        <v>27.99</v>
      </c>
      <c r="L828" s="1" t="s">
        <v>28</v>
      </c>
      <c r="M828" s="1" t="s">
        <v>61</v>
      </c>
      <c r="N828" s="1" t="s">
        <v>62</v>
      </c>
      <c r="O828" s="1" t="s">
        <v>31</v>
      </c>
      <c r="P828" s="2">
        <v>45726</v>
      </c>
      <c r="Q828" s="1" t="s">
        <v>1204</v>
      </c>
      <c r="R828" s="1" t="s">
        <v>1205</v>
      </c>
      <c r="S828" s="1" t="s">
        <v>34</v>
      </c>
      <c r="T828" s="1" t="s">
        <v>35</v>
      </c>
      <c r="U828" s="1" t="s">
        <v>48</v>
      </c>
      <c r="V828" s="1" t="s">
        <v>37</v>
      </c>
      <c r="W828">
        <v>2</v>
      </c>
    </row>
    <row r="829" spans="1:23" x14ac:dyDescent="0.3">
      <c r="A829" s="1" t="s">
        <v>1914</v>
      </c>
      <c r="B829">
        <v>3</v>
      </c>
      <c r="C829">
        <v>18.989999999999998</v>
      </c>
      <c r="D829">
        <v>45.36</v>
      </c>
      <c r="E829" s="1" t="s">
        <v>1915</v>
      </c>
      <c r="F829" s="1" t="s">
        <v>25</v>
      </c>
      <c r="G829">
        <v>15</v>
      </c>
      <c r="H829" s="1" t="s">
        <v>26</v>
      </c>
      <c r="I829" s="1" t="s">
        <v>97</v>
      </c>
      <c r="J829">
        <v>6</v>
      </c>
      <c r="K829">
        <v>18.989999999999998</v>
      </c>
      <c r="L829" s="1" t="s">
        <v>60</v>
      </c>
      <c r="M829" s="1" t="s">
        <v>43</v>
      </c>
      <c r="N829" s="1" t="s">
        <v>44</v>
      </c>
      <c r="O829" s="1" t="s">
        <v>31</v>
      </c>
      <c r="P829" s="2">
        <v>45823</v>
      </c>
      <c r="Q829" s="1" t="s">
        <v>1793</v>
      </c>
      <c r="R829" s="1" t="s">
        <v>1916</v>
      </c>
      <c r="S829" s="1" t="s">
        <v>88</v>
      </c>
      <c r="T829" s="1" t="s">
        <v>35</v>
      </c>
      <c r="U829" s="1" t="s">
        <v>36</v>
      </c>
      <c r="V829" s="1" t="s">
        <v>100</v>
      </c>
      <c r="W829">
        <v>3.2</v>
      </c>
    </row>
    <row r="830" spans="1:23" x14ac:dyDescent="0.3">
      <c r="A830" s="1" t="s">
        <v>1917</v>
      </c>
      <c r="B830">
        <v>1</v>
      </c>
      <c r="C830">
        <v>16.989999999999998</v>
      </c>
      <c r="D830">
        <v>16.989999999999998</v>
      </c>
      <c r="E830" s="1" t="s">
        <v>1556</v>
      </c>
      <c r="F830" s="1" t="s">
        <v>25</v>
      </c>
      <c r="G830">
        <v>19</v>
      </c>
      <c r="H830" s="1" t="s">
        <v>26</v>
      </c>
      <c r="I830" s="1" t="s">
        <v>59</v>
      </c>
      <c r="J830">
        <v>5</v>
      </c>
      <c r="K830">
        <v>16.989999999999998</v>
      </c>
      <c r="L830" s="1" t="s">
        <v>60</v>
      </c>
      <c r="M830" s="1" t="s">
        <v>61</v>
      </c>
      <c r="N830" s="1" t="s">
        <v>62</v>
      </c>
      <c r="O830" s="1" t="s">
        <v>31</v>
      </c>
      <c r="P830" s="2">
        <v>45726</v>
      </c>
      <c r="Q830" s="1" t="s">
        <v>817</v>
      </c>
      <c r="R830" s="1" t="s">
        <v>1478</v>
      </c>
      <c r="S830" s="1" t="s">
        <v>65</v>
      </c>
      <c r="T830" s="1" t="s">
        <v>35</v>
      </c>
      <c r="U830" s="1" t="s">
        <v>82</v>
      </c>
      <c r="V830" s="1" t="s">
        <v>67</v>
      </c>
      <c r="W830">
        <v>3</v>
      </c>
    </row>
    <row r="831" spans="1:23" x14ac:dyDescent="0.3">
      <c r="A831" s="1" t="s">
        <v>1918</v>
      </c>
      <c r="B831">
        <v>2</v>
      </c>
      <c r="C831">
        <v>27.99</v>
      </c>
      <c r="D831">
        <v>48.13</v>
      </c>
      <c r="E831" s="1" t="s">
        <v>1626</v>
      </c>
      <c r="F831" s="1" t="s">
        <v>188</v>
      </c>
      <c r="G831">
        <v>0</v>
      </c>
      <c r="H831" s="1" t="s">
        <v>26</v>
      </c>
      <c r="I831" s="1" t="s">
        <v>75</v>
      </c>
      <c r="J831">
        <v>9</v>
      </c>
      <c r="K831">
        <v>27.99</v>
      </c>
      <c r="L831" s="1" t="s">
        <v>28</v>
      </c>
      <c r="M831" s="1" t="s">
        <v>61</v>
      </c>
      <c r="N831" s="1" t="s">
        <v>62</v>
      </c>
      <c r="O831" s="1" t="s">
        <v>31</v>
      </c>
      <c r="P831" s="2">
        <v>45726</v>
      </c>
      <c r="Q831" s="1" t="s">
        <v>1385</v>
      </c>
      <c r="R831" s="1" t="s">
        <v>1386</v>
      </c>
      <c r="S831" s="1" t="s">
        <v>47</v>
      </c>
      <c r="T831" s="1" t="s">
        <v>35</v>
      </c>
      <c r="U831" s="1" t="s">
        <v>66</v>
      </c>
      <c r="V831" s="1" t="s">
        <v>37</v>
      </c>
      <c r="W831">
        <v>2</v>
      </c>
    </row>
    <row r="832" spans="1:23" x14ac:dyDescent="0.3">
      <c r="A832" s="1" t="s">
        <v>1919</v>
      </c>
      <c r="B832">
        <v>1</v>
      </c>
      <c r="C832">
        <v>30.99</v>
      </c>
      <c r="D832">
        <v>30.99</v>
      </c>
      <c r="E832" s="1" t="s">
        <v>175</v>
      </c>
      <c r="F832" s="1" t="s">
        <v>40</v>
      </c>
      <c r="G832">
        <v>3</v>
      </c>
      <c r="H832" s="1" t="s">
        <v>96</v>
      </c>
      <c r="I832" s="1" t="s">
        <v>42</v>
      </c>
      <c r="J832">
        <v>10.5</v>
      </c>
      <c r="K832">
        <v>30.99</v>
      </c>
      <c r="L832" s="1" t="s">
        <v>28</v>
      </c>
      <c r="M832" s="1" t="s">
        <v>43</v>
      </c>
      <c r="N832" s="1" t="s">
        <v>44</v>
      </c>
      <c r="O832" s="1" t="s">
        <v>31</v>
      </c>
      <c r="P832" s="2">
        <v>45823</v>
      </c>
      <c r="Q832" s="1" t="s">
        <v>1342</v>
      </c>
      <c r="R832" s="1" t="s">
        <v>1343</v>
      </c>
      <c r="S832" s="1" t="s">
        <v>88</v>
      </c>
      <c r="T832" s="1" t="s">
        <v>35</v>
      </c>
      <c r="U832" s="1" t="s">
        <v>48</v>
      </c>
      <c r="V832" s="1" t="s">
        <v>37</v>
      </c>
      <c r="W832">
        <v>2</v>
      </c>
    </row>
    <row r="833" spans="1:23" x14ac:dyDescent="0.3">
      <c r="A833" s="1" t="s">
        <v>1920</v>
      </c>
      <c r="B833">
        <v>1</v>
      </c>
      <c r="C833">
        <v>16.989999999999998</v>
      </c>
      <c r="D833">
        <v>16.989999999999998</v>
      </c>
      <c r="E833" s="1" t="s">
        <v>1031</v>
      </c>
      <c r="F833" s="1" t="s">
        <v>40</v>
      </c>
      <c r="G833">
        <v>20</v>
      </c>
      <c r="H833" s="1" t="s">
        <v>96</v>
      </c>
      <c r="I833" s="1" t="s">
        <v>59</v>
      </c>
      <c r="J833">
        <v>5</v>
      </c>
      <c r="K833">
        <v>16.989999999999998</v>
      </c>
      <c r="L833" s="1" t="s">
        <v>60</v>
      </c>
      <c r="M833" s="1" t="s">
        <v>61</v>
      </c>
      <c r="N833" s="1" t="s">
        <v>62</v>
      </c>
      <c r="O833" s="1" t="s">
        <v>31</v>
      </c>
      <c r="P833" s="2">
        <v>45726</v>
      </c>
      <c r="Q833" s="1" t="s">
        <v>797</v>
      </c>
      <c r="R833" s="1" t="s">
        <v>1921</v>
      </c>
      <c r="S833" s="1" t="s">
        <v>88</v>
      </c>
      <c r="T833" s="1" t="s">
        <v>35</v>
      </c>
      <c r="U833" s="1" t="s">
        <v>36</v>
      </c>
      <c r="V833" s="1" t="s">
        <v>67</v>
      </c>
      <c r="W833">
        <v>3</v>
      </c>
    </row>
    <row r="834" spans="1:23" x14ac:dyDescent="0.3">
      <c r="A834" s="1" t="s">
        <v>1922</v>
      </c>
      <c r="B834">
        <v>1</v>
      </c>
      <c r="C834">
        <v>18.989999999999998</v>
      </c>
      <c r="D834">
        <v>18.989999999999998</v>
      </c>
      <c r="E834" s="1" t="s">
        <v>1590</v>
      </c>
      <c r="F834" s="1" t="s">
        <v>70</v>
      </c>
      <c r="G834">
        <v>0</v>
      </c>
      <c r="H834" s="1" t="s">
        <v>41</v>
      </c>
      <c r="I834" s="1" t="s">
        <v>97</v>
      </c>
      <c r="J834">
        <v>6</v>
      </c>
      <c r="K834">
        <v>18.989999999999998</v>
      </c>
      <c r="L834" s="1" t="s">
        <v>60</v>
      </c>
      <c r="M834" s="1" t="s">
        <v>43</v>
      </c>
      <c r="N834" s="1" t="s">
        <v>44</v>
      </c>
      <c r="O834" s="1" t="s">
        <v>31</v>
      </c>
      <c r="P834" s="2">
        <v>45823</v>
      </c>
      <c r="Q834" s="1" t="s">
        <v>544</v>
      </c>
      <c r="R834" s="1" t="s">
        <v>1923</v>
      </c>
      <c r="S834" s="1" t="s">
        <v>105</v>
      </c>
      <c r="T834" s="1" t="s">
        <v>35</v>
      </c>
      <c r="U834" s="1" t="s">
        <v>36</v>
      </c>
      <c r="V834" s="1" t="s">
        <v>100</v>
      </c>
      <c r="W834">
        <v>3.2</v>
      </c>
    </row>
    <row r="835" spans="1:23" x14ac:dyDescent="0.3">
      <c r="A835" s="1" t="s">
        <v>1924</v>
      </c>
      <c r="B835">
        <v>1</v>
      </c>
      <c r="C835">
        <v>34.99</v>
      </c>
      <c r="D835">
        <v>34.99</v>
      </c>
      <c r="E835" s="1" t="s">
        <v>800</v>
      </c>
      <c r="F835" s="1" t="s">
        <v>51</v>
      </c>
      <c r="G835">
        <v>0</v>
      </c>
      <c r="H835" s="1" t="s">
        <v>26</v>
      </c>
      <c r="I835" s="1" t="s">
        <v>85</v>
      </c>
      <c r="J835">
        <v>12.5</v>
      </c>
      <c r="K835">
        <v>34.99</v>
      </c>
      <c r="L835" s="1" t="s">
        <v>60</v>
      </c>
      <c r="M835" s="1" t="s">
        <v>29</v>
      </c>
      <c r="N835" s="1" t="s">
        <v>30</v>
      </c>
      <c r="O835" s="1" t="s">
        <v>31</v>
      </c>
      <c r="P835" s="2">
        <v>45778</v>
      </c>
      <c r="Q835" s="1" t="s">
        <v>1494</v>
      </c>
      <c r="R835" s="1" t="s">
        <v>1925</v>
      </c>
      <c r="S835" s="1" t="s">
        <v>34</v>
      </c>
      <c r="T835" s="1" t="s">
        <v>35</v>
      </c>
      <c r="U835" s="1" t="s">
        <v>66</v>
      </c>
      <c r="V835" s="1" t="s">
        <v>89</v>
      </c>
      <c r="W835">
        <v>2.4</v>
      </c>
    </row>
    <row r="836" spans="1:23" x14ac:dyDescent="0.3">
      <c r="A836" s="1" t="s">
        <v>1926</v>
      </c>
      <c r="B836">
        <v>3</v>
      </c>
      <c r="C836">
        <v>21.99</v>
      </c>
      <c r="D836">
        <v>52.26</v>
      </c>
      <c r="E836" s="1" t="s">
        <v>1832</v>
      </c>
      <c r="F836" s="1" t="s">
        <v>40</v>
      </c>
      <c r="G836">
        <v>2</v>
      </c>
      <c r="H836" s="1" t="s">
        <v>26</v>
      </c>
      <c r="I836" s="1" t="s">
        <v>27</v>
      </c>
      <c r="J836">
        <v>7</v>
      </c>
      <c r="K836">
        <v>21.99</v>
      </c>
      <c r="L836" s="1" t="s">
        <v>28</v>
      </c>
      <c r="M836" s="1" t="s">
        <v>29</v>
      </c>
      <c r="N836" s="1" t="s">
        <v>30</v>
      </c>
      <c r="O836" s="1" t="s">
        <v>31</v>
      </c>
      <c r="P836" s="2">
        <v>45778</v>
      </c>
      <c r="Q836" s="1" t="s">
        <v>960</v>
      </c>
      <c r="R836" s="1" t="s">
        <v>961</v>
      </c>
      <c r="S836" s="1" t="s">
        <v>47</v>
      </c>
      <c r="T836" s="1" t="s">
        <v>35</v>
      </c>
      <c r="U836" s="1" t="s">
        <v>48</v>
      </c>
      <c r="V836" s="1" t="s">
        <v>37</v>
      </c>
      <c r="W836">
        <v>2</v>
      </c>
    </row>
    <row r="837" spans="1:23" x14ac:dyDescent="0.3">
      <c r="A837" s="1" t="s">
        <v>1927</v>
      </c>
      <c r="B837">
        <v>1</v>
      </c>
      <c r="C837">
        <v>21.99</v>
      </c>
      <c r="D837">
        <v>21.99</v>
      </c>
      <c r="E837" s="1" t="s">
        <v>246</v>
      </c>
      <c r="F837" s="1" t="s">
        <v>40</v>
      </c>
      <c r="G837">
        <v>3</v>
      </c>
      <c r="H837" s="1" t="s">
        <v>26</v>
      </c>
      <c r="I837" s="1" t="s">
        <v>27</v>
      </c>
      <c r="J837">
        <v>7</v>
      </c>
      <c r="K837">
        <v>21.99</v>
      </c>
      <c r="L837" s="1" t="s">
        <v>28</v>
      </c>
      <c r="M837" s="1" t="s">
        <v>29</v>
      </c>
      <c r="N837" s="1" t="s">
        <v>30</v>
      </c>
      <c r="O837" s="1" t="s">
        <v>31</v>
      </c>
      <c r="P837" s="2">
        <v>45778</v>
      </c>
      <c r="Q837" s="1" t="s">
        <v>869</v>
      </c>
      <c r="R837" s="1" t="s">
        <v>870</v>
      </c>
      <c r="S837" s="1" t="s">
        <v>88</v>
      </c>
      <c r="T837" s="1" t="s">
        <v>35</v>
      </c>
      <c r="U837" s="1" t="s">
        <v>55</v>
      </c>
      <c r="V837" s="1" t="s">
        <v>37</v>
      </c>
      <c r="W837">
        <v>2</v>
      </c>
    </row>
    <row r="838" spans="1:23" x14ac:dyDescent="0.3">
      <c r="A838" s="1" t="s">
        <v>1928</v>
      </c>
      <c r="B838">
        <v>3</v>
      </c>
      <c r="C838">
        <v>27.99</v>
      </c>
      <c r="D838">
        <v>67.010000000000005</v>
      </c>
      <c r="E838" s="1" t="s">
        <v>1111</v>
      </c>
      <c r="F838" s="1" t="s">
        <v>25</v>
      </c>
      <c r="G838">
        <v>3</v>
      </c>
      <c r="H838" s="1" t="s">
        <v>96</v>
      </c>
      <c r="I838" s="1" t="s">
        <v>75</v>
      </c>
      <c r="J838">
        <v>9</v>
      </c>
      <c r="K838">
        <v>27.99</v>
      </c>
      <c r="L838" s="1" t="s">
        <v>28</v>
      </c>
      <c r="M838" s="1" t="s">
        <v>61</v>
      </c>
      <c r="N838" s="1" t="s">
        <v>62</v>
      </c>
      <c r="O838" s="1" t="s">
        <v>31</v>
      </c>
      <c r="P838" s="2">
        <v>45726</v>
      </c>
      <c r="Q838" s="1" t="s">
        <v>893</v>
      </c>
      <c r="R838" s="1" t="s">
        <v>1405</v>
      </c>
      <c r="S838" s="1" t="s">
        <v>65</v>
      </c>
      <c r="T838" s="1" t="s">
        <v>35</v>
      </c>
      <c r="U838" s="1" t="s">
        <v>82</v>
      </c>
      <c r="V838" s="1" t="s">
        <v>37</v>
      </c>
      <c r="W838">
        <v>2</v>
      </c>
    </row>
    <row r="839" spans="1:23" x14ac:dyDescent="0.3">
      <c r="A839" s="1" t="s">
        <v>1929</v>
      </c>
      <c r="B839">
        <v>2</v>
      </c>
      <c r="C839">
        <v>34.99</v>
      </c>
      <c r="D839">
        <v>60.34</v>
      </c>
      <c r="E839" s="1" t="s">
        <v>1930</v>
      </c>
      <c r="F839" s="1" t="s">
        <v>40</v>
      </c>
      <c r="G839">
        <v>6</v>
      </c>
      <c r="H839" s="1" t="s">
        <v>58</v>
      </c>
      <c r="I839" s="1" t="s">
        <v>85</v>
      </c>
      <c r="J839">
        <v>12.5</v>
      </c>
      <c r="K839">
        <v>34.99</v>
      </c>
      <c r="L839" s="1" t="s">
        <v>60</v>
      </c>
      <c r="M839" s="1" t="s">
        <v>29</v>
      </c>
      <c r="N839" s="1" t="s">
        <v>30</v>
      </c>
      <c r="O839" s="1" t="s">
        <v>31</v>
      </c>
      <c r="P839" s="2">
        <v>45778</v>
      </c>
      <c r="Q839" s="1" t="s">
        <v>1931</v>
      </c>
      <c r="R839" s="1" t="s">
        <v>1932</v>
      </c>
      <c r="S839" s="1" t="s">
        <v>105</v>
      </c>
      <c r="T839" s="1" t="s">
        <v>35</v>
      </c>
      <c r="U839" s="1" t="s">
        <v>82</v>
      </c>
      <c r="V839" s="1" t="s">
        <v>89</v>
      </c>
      <c r="W839">
        <v>2.4</v>
      </c>
    </row>
    <row r="840" spans="1:23" x14ac:dyDescent="0.3">
      <c r="A840" s="1" t="s">
        <v>1933</v>
      </c>
      <c r="B840">
        <v>1</v>
      </c>
      <c r="C840">
        <v>16.989999999999998</v>
      </c>
      <c r="D840">
        <v>16.989999999999998</v>
      </c>
      <c r="E840" s="1" t="s">
        <v>1934</v>
      </c>
      <c r="F840" s="1" t="s">
        <v>51</v>
      </c>
      <c r="G840">
        <v>0</v>
      </c>
      <c r="H840" s="1" t="s">
        <v>41</v>
      </c>
      <c r="I840" s="1" t="s">
        <v>59</v>
      </c>
      <c r="J840">
        <v>5</v>
      </c>
      <c r="K840">
        <v>16.989999999999998</v>
      </c>
      <c r="L840" s="1" t="s">
        <v>60</v>
      </c>
      <c r="M840" s="1" t="s">
        <v>61</v>
      </c>
      <c r="N840" s="1" t="s">
        <v>62</v>
      </c>
      <c r="O840" s="1" t="s">
        <v>31</v>
      </c>
      <c r="P840" s="2">
        <v>45726</v>
      </c>
      <c r="Q840" s="1" t="s">
        <v>63</v>
      </c>
      <c r="R840" s="1" t="s">
        <v>1803</v>
      </c>
      <c r="S840" s="1" t="s">
        <v>105</v>
      </c>
      <c r="T840" s="1" t="s">
        <v>35</v>
      </c>
      <c r="U840" s="1" t="s">
        <v>48</v>
      </c>
      <c r="V840" s="1" t="s">
        <v>67</v>
      </c>
      <c r="W840">
        <v>3</v>
      </c>
    </row>
    <row r="841" spans="1:23" x14ac:dyDescent="0.3">
      <c r="A841" s="1" t="s">
        <v>1935</v>
      </c>
      <c r="B841">
        <v>3</v>
      </c>
      <c r="C841">
        <v>18.989999999999998</v>
      </c>
      <c r="D841">
        <v>44.92</v>
      </c>
      <c r="E841" s="1" t="s">
        <v>1936</v>
      </c>
      <c r="F841" s="1" t="s">
        <v>40</v>
      </c>
      <c r="G841">
        <v>15</v>
      </c>
      <c r="H841" s="1" t="s">
        <v>58</v>
      </c>
      <c r="I841" s="1" t="s">
        <v>97</v>
      </c>
      <c r="J841">
        <v>6</v>
      </c>
      <c r="K841">
        <v>18.989999999999998</v>
      </c>
      <c r="L841" s="1" t="s">
        <v>60</v>
      </c>
      <c r="M841" s="1" t="s">
        <v>43</v>
      </c>
      <c r="N841" s="1" t="s">
        <v>44</v>
      </c>
      <c r="O841" s="1" t="s">
        <v>31</v>
      </c>
      <c r="P841" s="2">
        <v>45823</v>
      </c>
      <c r="Q841" s="1" t="s">
        <v>934</v>
      </c>
      <c r="R841" s="1" t="s">
        <v>935</v>
      </c>
      <c r="S841" s="1" t="s">
        <v>105</v>
      </c>
      <c r="T841" s="1" t="s">
        <v>35</v>
      </c>
      <c r="U841" s="1" t="s">
        <v>82</v>
      </c>
      <c r="V841" s="1" t="s">
        <v>100</v>
      </c>
      <c r="W841">
        <v>3.2</v>
      </c>
    </row>
    <row r="842" spans="1:23" x14ac:dyDescent="0.3">
      <c r="A842" s="1" t="s">
        <v>1937</v>
      </c>
      <c r="B842">
        <v>2</v>
      </c>
      <c r="C842">
        <v>34.99</v>
      </c>
      <c r="D842">
        <v>61.11</v>
      </c>
      <c r="E842" s="1" t="s">
        <v>334</v>
      </c>
      <c r="F842" s="1" t="s">
        <v>40</v>
      </c>
      <c r="G842">
        <v>12</v>
      </c>
      <c r="H842" s="1" t="s">
        <v>96</v>
      </c>
      <c r="I842" s="1" t="s">
        <v>85</v>
      </c>
      <c r="J842">
        <v>12.5</v>
      </c>
      <c r="K842">
        <v>34.99</v>
      </c>
      <c r="L842" s="1" t="s">
        <v>60</v>
      </c>
      <c r="M842" s="1" t="s">
        <v>29</v>
      </c>
      <c r="N842" s="1" t="s">
        <v>30</v>
      </c>
      <c r="O842" s="1" t="s">
        <v>31</v>
      </c>
      <c r="P842" s="2">
        <v>45778</v>
      </c>
      <c r="Q842" s="1" t="s">
        <v>801</v>
      </c>
      <c r="R842" s="1" t="s">
        <v>802</v>
      </c>
      <c r="S842" s="1" t="s">
        <v>88</v>
      </c>
      <c r="T842" s="1" t="s">
        <v>35</v>
      </c>
      <c r="U842" s="1" t="s">
        <v>82</v>
      </c>
      <c r="V842" s="1" t="s">
        <v>89</v>
      </c>
      <c r="W842">
        <v>2.4</v>
      </c>
    </row>
    <row r="843" spans="1:23" x14ac:dyDescent="0.3">
      <c r="A843" s="1" t="s">
        <v>1938</v>
      </c>
      <c r="B843">
        <v>1</v>
      </c>
      <c r="C843">
        <v>34.99</v>
      </c>
      <c r="D843">
        <v>34.99</v>
      </c>
      <c r="E843" s="1" t="s">
        <v>1749</v>
      </c>
      <c r="F843" s="1" t="s">
        <v>40</v>
      </c>
      <c r="G843">
        <v>6</v>
      </c>
      <c r="H843" s="1" t="s">
        <v>96</v>
      </c>
      <c r="I843" s="1" t="s">
        <v>85</v>
      </c>
      <c r="J843">
        <v>12.5</v>
      </c>
      <c r="K843">
        <v>34.99</v>
      </c>
      <c r="L843" s="1" t="s">
        <v>60</v>
      </c>
      <c r="M843" s="1" t="s">
        <v>29</v>
      </c>
      <c r="N843" s="1" t="s">
        <v>30</v>
      </c>
      <c r="O843" s="1" t="s">
        <v>31</v>
      </c>
      <c r="P843" s="2">
        <v>45778</v>
      </c>
      <c r="Q843" s="1" t="s">
        <v>1191</v>
      </c>
      <c r="R843" s="1" t="s">
        <v>1365</v>
      </c>
      <c r="S843" s="1" t="s">
        <v>54</v>
      </c>
      <c r="T843" s="1" t="s">
        <v>35</v>
      </c>
      <c r="U843" s="1" t="s">
        <v>82</v>
      </c>
      <c r="V843" s="1" t="s">
        <v>89</v>
      </c>
      <c r="W843">
        <v>2.4</v>
      </c>
    </row>
    <row r="844" spans="1:23" x14ac:dyDescent="0.3">
      <c r="A844" s="1" t="s">
        <v>1939</v>
      </c>
      <c r="B844">
        <v>1</v>
      </c>
      <c r="C844">
        <v>21.99</v>
      </c>
      <c r="D844">
        <v>21.99</v>
      </c>
      <c r="E844" s="1" t="s">
        <v>327</v>
      </c>
      <c r="F844" s="1" t="s">
        <v>40</v>
      </c>
      <c r="G844">
        <v>3</v>
      </c>
      <c r="H844" s="1" t="s">
        <v>26</v>
      </c>
      <c r="I844" s="1" t="s">
        <v>27</v>
      </c>
      <c r="J844">
        <v>7</v>
      </c>
      <c r="K844">
        <v>21.99</v>
      </c>
      <c r="L844" s="1" t="s">
        <v>28</v>
      </c>
      <c r="M844" s="1" t="s">
        <v>29</v>
      </c>
      <c r="N844" s="1" t="s">
        <v>30</v>
      </c>
      <c r="O844" s="1" t="s">
        <v>31</v>
      </c>
      <c r="P844" s="2">
        <v>45778</v>
      </c>
      <c r="Q844" s="1" t="s">
        <v>1940</v>
      </c>
      <c r="R844" s="1" t="s">
        <v>1941</v>
      </c>
      <c r="S844" s="1" t="s">
        <v>34</v>
      </c>
      <c r="T844" s="1" t="s">
        <v>35</v>
      </c>
      <c r="U844" s="1" t="s">
        <v>48</v>
      </c>
      <c r="V844" s="1" t="s">
        <v>37</v>
      </c>
      <c r="W844">
        <v>2</v>
      </c>
    </row>
    <row r="845" spans="1:23" x14ac:dyDescent="0.3">
      <c r="A845" s="1" t="s">
        <v>1942</v>
      </c>
      <c r="B845">
        <v>1</v>
      </c>
      <c r="C845">
        <v>34.99</v>
      </c>
      <c r="D845">
        <v>34.99</v>
      </c>
      <c r="E845" s="1" t="s">
        <v>214</v>
      </c>
      <c r="F845" s="1" t="s">
        <v>70</v>
      </c>
      <c r="G845">
        <v>0</v>
      </c>
      <c r="H845" s="1" t="s">
        <v>41</v>
      </c>
      <c r="I845" s="1" t="s">
        <v>85</v>
      </c>
      <c r="J845">
        <v>12.5</v>
      </c>
      <c r="K845">
        <v>34.99</v>
      </c>
      <c r="L845" s="1" t="s">
        <v>60</v>
      </c>
      <c r="M845" s="1" t="s">
        <v>29</v>
      </c>
      <c r="N845" s="1" t="s">
        <v>30</v>
      </c>
      <c r="O845" s="1" t="s">
        <v>31</v>
      </c>
      <c r="P845" s="2">
        <v>45778</v>
      </c>
      <c r="Q845" s="1" t="s">
        <v>1943</v>
      </c>
      <c r="R845" s="1" t="s">
        <v>1944</v>
      </c>
      <c r="S845" s="1" t="s">
        <v>105</v>
      </c>
      <c r="T845" s="1" t="s">
        <v>35</v>
      </c>
      <c r="U845" s="1" t="s">
        <v>48</v>
      </c>
      <c r="V845" s="1" t="s">
        <v>89</v>
      </c>
      <c r="W845">
        <v>2.4</v>
      </c>
    </row>
    <row r="846" spans="1:23" x14ac:dyDescent="0.3">
      <c r="A846" s="1" t="s">
        <v>1945</v>
      </c>
      <c r="B846">
        <v>3</v>
      </c>
      <c r="C846">
        <v>21.99</v>
      </c>
      <c r="D846">
        <v>52.63</v>
      </c>
      <c r="E846" s="1" t="s">
        <v>1592</v>
      </c>
      <c r="F846" s="1" t="s">
        <v>40</v>
      </c>
      <c r="G846">
        <v>8</v>
      </c>
      <c r="H846" s="1" t="s">
        <v>41</v>
      </c>
      <c r="I846" s="1" t="s">
        <v>27</v>
      </c>
      <c r="J846">
        <v>7</v>
      </c>
      <c r="K846">
        <v>21.99</v>
      </c>
      <c r="L846" s="1" t="s">
        <v>28</v>
      </c>
      <c r="M846" s="1" t="s">
        <v>29</v>
      </c>
      <c r="N846" s="1" t="s">
        <v>30</v>
      </c>
      <c r="O846" s="1" t="s">
        <v>31</v>
      </c>
      <c r="P846" s="2">
        <v>45778</v>
      </c>
      <c r="Q846" s="1" t="s">
        <v>1009</v>
      </c>
      <c r="R846" s="1" t="s">
        <v>1010</v>
      </c>
      <c r="S846" s="1" t="s">
        <v>47</v>
      </c>
      <c r="T846" s="1" t="s">
        <v>35</v>
      </c>
      <c r="U846" s="1" t="s">
        <v>82</v>
      </c>
      <c r="V846" s="1" t="s">
        <v>37</v>
      </c>
      <c r="W846">
        <v>2</v>
      </c>
    </row>
    <row r="847" spans="1:23" x14ac:dyDescent="0.3">
      <c r="A847" s="1" t="s">
        <v>1946</v>
      </c>
      <c r="B847">
        <v>1</v>
      </c>
      <c r="C847">
        <v>21.99</v>
      </c>
      <c r="D847">
        <v>21.99</v>
      </c>
      <c r="E847" s="1" t="s">
        <v>868</v>
      </c>
      <c r="F847" s="1" t="s">
        <v>40</v>
      </c>
      <c r="G847">
        <v>3</v>
      </c>
      <c r="H847" s="1" t="s">
        <v>96</v>
      </c>
      <c r="I847" s="1" t="s">
        <v>27</v>
      </c>
      <c r="J847">
        <v>7</v>
      </c>
      <c r="K847">
        <v>21.99</v>
      </c>
      <c r="L847" s="1" t="s">
        <v>28</v>
      </c>
      <c r="M847" s="1" t="s">
        <v>29</v>
      </c>
      <c r="N847" s="1" t="s">
        <v>30</v>
      </c>
      <c r="O847" s="1" t="s">
        <v>31</v>
      </c>
      <c r="P847" s="2">
        <v>45778</v>
      </c>
      <c r="Q847" s="1" t="s">
        <v>1947</v>
      </c>
      <c r="R847" s="1" t="s">
        <v>1948</v>
      </c>
      <c r="S847" s="1" t="s">
        <v>34</v>
      </c>
      <c r="T847" s="1" t="s">
        <v>35</v>
      </c>
      <c r="U847" s="1" t="s">
        <v>55</v>
      </c>
      <c r="V847" s="1" t="s">
        <v>37</v>
      </c>
      <c r="W847">
        <v>2</v>
      </c>
    </row>
    <row r="848" spans="1:23" x14ac:dyDescent="0.3">
      <c r="A848" s="1" t="s">
        <v>1949</v>
      </c>
      <c r="B848">
        <v>1</v>
      </c>
      <c r="C848">
        <v>34.99</v>
      </c>
      <c r="D848">
        <v>34.99</v>
      </c>
      <c r="E848" s="1" t="s">
        <v>753</v>
      </c>
      <c r="F848" s="1" t="s">
        <v>40</v>
      </c>
      <c r="G848">
        <v>12</v>
      </c>
      <c r="H848" s="1" t="s">
        <v>96</v>
      </c>
      <c r="I848" s="1" t="s">
        <v>85</v>
      </c>
      <c r="J848">
        <v>12.5</v>
      </c>
      <c r="K848">
        <v>34.99</v>
      </c>
      <c r="L848" s="1" t="s">
        <v>60</v>
      </c>
      <c r="M848" s="1" t="s">
        <v>29</v>
      </c>
      <c r="N848" s="1" t="s">
        <v>30</v>
      </c>
      <c r="O848" s="1" t="s">
        <v>31</v>
      </c>
      <c r="P848" s="2">
        <v>45778</v>
      </c>
      <c r="Q848" s="1" t="s">
        <v>1316</v>
      </c>
      <c r="R848" s="1" t="s">
        <v>1317</v>
      </c>
      <c r="S848" s="1" t="s">
        <v>105</v>
      </c>
      <c r="T848" s="1" t="s">
        <v>35</v>
      </c>
      <c r="U848" s="1" t="s">
        <v>66</v>
      </c>
      <c r="V848" s="1" t="s">
        <v>89</v>
      </c>
      <c r="W848">
        <v>2.4</v>
      </c>
    </row>
    <row r="849" spans="1:23" x14ac:dyDescent="0.3">
      <c r="A849" s="1" t="s">
        <v>1950</v>
      </c>
      <c r="B849">
        <v>1</v>
      </c>
      <c r="C849">
        <v>18.989999999999998</v>
      </c>
      <c r="D849">
        <v>18.989999999999998</v>
      </c>
      <c r="E849" s="1" t="s">
        <v>1331</v>
      </c>
      <c r="F849" s="1" t="s">
        <v>40</v>
      </c>
      <c r="G849">
        <v>19</v>
      </c>
      <c r="H849" s="1" t="s">
        <v>26</v>
      </c>
      <c r="I849" s="1" t="s">
        <v>97</v>
      </c>
      <c r="J849">
        <v>6</v>
      </c>
      <c r="K849">
        <v>18.989999999999998</v>
      </c>
      <c r="L849" s="1" t="s">
        <v>60</v>
      </c>
      <c r="M849" s="1" t="s">
        <v>43</v>
      </c>
      <c r="N849" s="1" t="s">
        <v>44</v>
      </c>
      <c r="O849" s="1" t="s">
        <v>31</v>
      </c>
      <c r="P849" s="2">
        <v>45823</v>
      </c>
      <c r="Q849" s="1" t="s">
        <v>1234</v>
      </c>
      <c r="R849" s="1" t="s">
        <v>1671</v>
      </c>
      <c r="S849" s="1" t="s">
        <v>47</v>
      </c>
      <c r="T849" s="1" t="s">
        <v>35</v>
      </c>
      <c r="U849" s="1" t="s">
        <v>82</v>
      </c>
      <c r="V849" s="1" t="s">
        <v>100</v>
      </c>
      <c r="W849">
        <v>3.2</v>
      </c>
    </row>
    <row r="850" spans="1:23" x14ac:dyDescent="0.3">
      <c r="A850" s="1" t="s">
        <v>1951</v>
      </c>
      <c r="B850">
        <v>1</v>
      </c>
      <c r="C850">
        <v>30.99</v>
      </c>
      <c r="D850">
        <v>30.99</v>
      </c>
      <c r="E850" s="1" t="s">
        <v>950</v>
      </c>
      <c r="F850" s="1" t="s">
        <v>51</v>
      </c>
      <c r="G850">
        <v>0</v>
      </c>
      <c r="H850" s="1" t="s">
        <v>26</v>
      </c>
      <c r="I850" s="1" t="s">
        <v>42</v>
      </c>
      <c r="J850">
        <v>10.5</v>
      </c>
      <c r="K850">
        <v>30.99</v>
      </c>
      <c r="L850" s="1" t="s">
        <v>28</v>
      </c>
      <c r="M850" s="1" t="s">
        <v>43</v>
      </c>
      <c r="N850" s="1" t="s">
        <v>44</v>
      </c>
      <c r="O850" s="1" t="s">
        <v>31</v>
      </c>
      <c r="P850" s="2">
        <v>45823</v>
      </c>
      <c r="Q850" s="1" t="s">
        <v>1241</v>
      </c>
      <c r="R850" s="1" t="s">
        <v>1242</v>
      </c>
      <c r="S850" s="1" t="s">
        <v>54</v>
      </c>
      <c r="T850" s="1" t="s">
        <v>35</v>
      </c>
      <c r="U850" s="1" t="s">
        <v>48</v>
      </c>
      <c r="V850" s="1" t="s">
        <v>37</v>
      </c>
      <c r="W850">
        <v>2</v>
      </c>
    </row>
    <row r="851" spans="1:23" x14ac:dyDescent="0.3">
      <c r="A851" s="1" t="s">
        <v>1952</v>
      </c>
      <c r="B851">
        <v>3</v>
      </c>
      <c r="C851">
        <v>27.99</v>
      </c>
      <c r="D851">
        <v>65.92</v>
      </c>
      <c r="E851" s="1" t="s">
        <v>1953</v>
      </c>
      <c r="F851" s="1" t="s">
        <v>40</v>
      </c>
      <c r="G851">
        <v>2</v>
      </c>
      <c r="H851" s="1" t="s">
        <v>41</v>
      </c>
      <c r="I851" s="1" t="s">
        <v>75</v>
      </c>
      <c r="J851">
        <v>9</v>
      </c>
      <c r="K851">
        <v>27.99</v>
      </c>
      <c r="L851" s="1" t="s">
        <v>28</v>
      </c>
      <c r="M851" s="1" t="s">
        <v>61</v>
      </c>
      <c r="N851" s="1" t="s">
        <v>62</v>
      </c>
      <c r="O851" s="1" t="s">
        <v>31</v>
      </c>
      <c r="P851" s="2">
        <v>45726</v>
      </c>
      <c r="Q851" s="1" t="s">
        <v>428</v>
      </c>
      <c r="R851" s="1" t="s">
        <v>1094</v>
      </c>
      <c r="S851" s="1" t="s">
        <v>105</v>
      </c>
      <c r="T851" s="1" t="s">
        <v>35</v>
      </c>
      <c r="U851" s="1" t="s">
        <v>36</v>
      </c>
      <c r="V851" s="1" t="s">
        <v>37</v>
      </c>
      <c r="W851">
        <v>2</v>
      </c>
    </row>
    <row r="852" spans="1:23" x14ac:dyDescent="0.3">
      <c r="A852" s="1" t="s">
        <v>1954</v>
      </c>
      <c r="B852">
        <v>1</v>
      </c>
      <c r="C852">
        <v>18.989999999999998</v>
      </c>
      <c r="D852">
        <v>18.989999999999998</v>
      </c>
      <c r="E852" s="1" t="s">
        <v>1953</v>
      </c>
      <c r="F852" s="1" t="s">
        <v>40</v>
      </c>
      <c r="G852">
        <v>12</v>
      </c>
      <c r="H852" s="1" t="s">
        <v>41</v>
      </c>
      <c r="I852" s="1" t="s">
        <v>97</v>
      </c>
      <c r="J852">
        <v>6</v>
      </c>
      <c r="K852">
        <v>18.989999999999998</v>
      </c>
      <c r="L852" s="1" t="s">
        <v>60</v>
      </c>
      <c r="M852" s="1" t="s">
        <v>43</v>
      </c>
      <c r="N852" s="1" t="s">
        <v>44</v>
      </c>
      <c r="O852" s="1" t="s">
        <v>31</v>
      </c>
      <c r="P852" s="2">
        <v>45823</v>
      </c>
      <c r="Q852" s="1" t="s">
        <v>1955</v>
      </c>
      <c r="R852" s="1" t="s">
        <v>1956</v>
      </c>
      <c r="S852" s="1" t="s">
        <v>34</v>
      </c>
      <c r="T852" s="1" t="s">
        <v>35</v>
      </c>
      <c r="U852" s="1" t="s">
        <v>66</v>
      </c>
      <c r="V852" s="1" t="s">
        <v>100</v>
      </c>
      <c r="W852">
        <v>3.2</v>
      </c>
    </row>
    <row r="853" spans="1:23" x14ac:dyDescent="0.3">
      <c r="A853" s="1" t="s">
        <v>1957</v>
      </c>
      <c r="B853">
        <v>1</v>
      </c>
      <c r="C853">
        <v>34.99</v>
      </c>
      <c r="D853">
        <v>34.99</v>
      </c>
      <c r="E853" s="1" t="s">
        <v>419</v>
      </c>
      <c r="F853" s="1" t="s">
        <v>51</v>
      </c>
      <c r="G853">
        <v>0</v>
      </c>
      <c r="H853" s="1" t="s">
        <v>41</v>
      </c>
      <c r="I853" s="1" t="s">
        <v>85</v>
      </c>
      <c r="J853">
        <v>12.5</v>
      </c>
      <c r="K853">
        <v>34.99</v>
      </c>
      <c r="L853" s="1" t="s">
        <v>60</v>
      </c>
      <c r="M853" s="1" t="s">
        <v>29</v>
      </c>
      <c r="N853" s="1" t="s">
        <v>30</v>
      </c>
      <c r="O853" s="1" t="s">
        <v>31</v>
      </c>
      <c r="P853" s="2">
        <v>45778</v>
      </c>
      <c r="Q853" s="1" t="s">
        <v>1009</v>
      </c>
      <c r="R853" s="1" t="s">
        <v>1010</v>
      </c>
      <c r="S853" s="1" t="s">
        <v>47</v>
      </c>
      <c r="T853" s="1" t="s">
        <v>35</v>
      </c>
      <c r="U853" s="1" t="s">
        <v>82</v>
      </c>
      <c r="V853" s="1" t="s">
        <v>89</v>
      </c>
      <c r="W853">
        <v>2.4</v>
      </c>
    </row>
    <row r="854" spans="1:23" x14ac:dyDescent="0.3">
      <c r="A854" s="1" t="s">
        <v>1958</v>
      </c>
      <c r="B854">
        <v>1</v>
      </c>
      <c r="C854">
        <v>27.99</v>
      </c>
      <c r="D854">
        <v>27.99</v>
      </c>
      <c r="E854" s="1" t="s">
        <v>168</v>
      </c>
      <c r="F854" s="1" t="s">
        <v>70</v>
      </c>
      <c r="G854">
        <v>0</v>
      </c>
      <c r="H854" s="1" t="s">
        <v>58</v>
      </c>
      <c r="I854" s="1" t="s">
        <v>75</v>
      </c>
      <c r="J854">
        <v>9</v>
      </c>
      <c r="K854">
        <v>27.99</v>
      </c>
      <c r="L854" s="1" t="s">
        <v>28</v>
      </c>
      <c r="M854" s="1" t="s">
        <v>61</v>
      </c>
      <c r="N854" s="1" t="s">
        <v>62</v>
      </c>
      <c r="O854" s="1" t="s">
        <v>31</v>
      </c>
      <c r="P854" s="2">
        <v>45726</v>
      </c>
      <c r="Q854" s="1" t="s">
        <v>118</v>
      </c>
      <c r="R854" s="1" t="s">
        <v>1959</v>
      </c>
      <c r="S854" s="1" t="s">
        <v>65</v>
      </c>
      <c r="T854" s="1" t="s">
        <v>35</v>
      </c>
      <c r="U854" s="1" t="s">
        <v>36</v>
      </c>
      <c r="V854" s="1" t="s">
        <v>37</v>
      </c>
      <c r="W854">
        <v>2</v>
      </c>
    </row>
    <row r="855" spans="1:23" x14ac:dyDescent="0.3">
      <c r="A855" s="1" t="s">
        <v>1960</v>
      </c>
      <c r="B855">
        <v>3</v>
      </c>
      <c r="C855">
        <v>30.99</v>
      </c>
      <c r="D855">
        <v>73.27</v>
      </c>
      <c r="E855" s="1" t="s">
        <v>1961</v>
      </c>
      <c r="F855" s="1" t="s">
        <v>70</v>
      </c>
      <c r="G855">
        <v>0</v>
      </c>
      <c r="H855" s="1" t="s">
        <v>41</v>
      </c>
      <c r="I855" s="1" t="s">
        <v>42</v>
      </c>
      <c r="J855">
        <v>10.5</v>
      </c>
      <c r="K855">
        <v>30.99</v>
      </c>
      <c r="L855" s="1" t="s">
        <v>28</v>
      </c>
      <c r="M855" s="1" t="s">
        <v>43</v>
      </c>
      <c r="N855" s="1" t="s">
        <v>44</v>
      </c>
      <c r="O855" s="1" t="s">
        <v>31</v>
      </c>
      <c r="P855" s="2">
        <v>45823</v>
      </c>
      <c r="Q855" s="1" t="s">
        <v>140</v>
      </c>
      <c r="R855" s="1" t="s">
        <v>1199</v>
      </c>
      <c r="S855" s="1" t="s">
        <v>65</v>
      </c>
      <c r="T855" s="1" t="s">
        <v>35</v>
      </c>
      <c r="U855" s="1" t="s">
        <v>36</v>
      </c>
      <c r="V855" s="1" t="s">
        <v>37</v>
      </c>
      <c r="W855">
        <v>2</v>
      </c>
    </row>
    <row r="856" spans="1:23" x14ac:dyDescent="0.3">
      <c r="A856" s="1" t="s">
        <v>1962</v>
      </c>
      <c r="B856">
        <v>3</v>
      </c>
      <c r="C856">
        <v>16.989999999999998</v>
      </c>
      <c r="D856">
        <v>41.23</v>
      </c>
      <c r="E856" s="1" t="s">
        <v>1749</v>
      </c>
      <c r="F856" s="1" t="s">
        <v>40</v>
      </c>
      <c r="G856">
        <v>19</v>
      </c>
      <c r="H856" s="1" t="s">
        <v>96</v>
      </c>
      <c r="I856" s="1" t="s">
        <v>59</v>
      </c>
      <c r="J856">
        <v>5</v>
      </c>
      <c r="K856">
        <v>16.989999999999998</v>
      </c>
      <c r="L856" s="1" t="s">
        <v>60</v>
      </c>
      <c r="M856" s="1" t="s">
        <v>61</v>
      </c>
      <c r="N856" s="1" t="s">
        <v>62</v>
      </c>
      <c r="O856" s="1" t="s">
        <v>31</v>
      </c>
      <c r="P856" s="2">
        <v>45726</v>
      </c>
      <c r="Q856" s="1" t="s">
        <v>118</v>
      </c>
      <c r="R856" s="1" t="s">
        <v>751</v>
      </c>
      <c r="S856" s="1" t="s">
        <v>65</v>
      </c>
      <c r="T856" s="1" t="s">
        <v>35</v>
      </c>
      <c r="U856" s="1" t="s">
        <v>82</v>
      </c>
      <c r="V856" s="1" t="s">
        <v>67</v>
      </c>
      <c r="W856">
        <v>3</v>
      </c>
    </row>
    <row r="857" spans="1:23" x14ac:dyDescent="0.3">
      <c r="A857" s="1" t="s">
        <v>1963</v>
      </c>
      <c r="B857">
        <v>3</v>
      </c>
      <c r="C857">
        <v>34.99</v>
      </c>
      <c r="D857">
        <v>83.89</v>
      </c>
      <c r="E857" s="1" t="s">
        <v>252</v>
      </c>
      <c r="F857" s="1" t="s">
        <v>40</v>
      </c>
      <c r="G857">
        <v>5</v>
      </c>
      <c r="H857" s="1" t="s">
        <v>96</v>
      </c>
      <c r="I857" s="1" t="s">
        <v>85</v>
      </c>
      <c r="J857">
        <v>12.5</v>
      </c>
      <c r="K857">
        <v>34.99</v>
      </c>
      <c r="L857" s="1" t="s">
        <v>60</v>
      </c>
      <c r="M857" s="1" t="s">
        <v>29</v>
      </c>
      <c r="N857" s="1" t="s">
        <v>30</v>
      </c>
      <c r="O857" s="1" t="s">
        <v>31</v>
      </c>
      <c r="P857" s="2">
        <v>45778</v>
      </c>
      <c r="Q857" s="1" t="s">
        <v>884</v>
      </c>
      <c r="R857" s="1" t="s">
        <v>885</v>
      </c>
      <c r="S857" s="1" t="s">
        <v>34</v>
      </c>
      <c r="T857" s="1" t="s">
        <v>35</v>
      </c>
      <c r="U857" s="1" t="s">
        <v>36</v>
      </c>
      <c r="V857" s="1" t="s">
        <v>89</v>
      </c>
      <c r="W857">
        <v>2.4</v>
      </c>
    </row>
    <row r="858" spans="1:23" x14ac:dyDescent="0.3">
      <c r="A858" s="1" t="s">
        <v>1964</v>
      </c>
      <c r="B858">
        <v>1</v>
      </c>
      <c r="C858">
        <v>18.989999999999998</v>
      </c>
      <c r="D858">
        <v>18.989999999999998</v>
      </c>
      <c r="E858" s="1" t="s">
        <v>1965</v>
      </c>
      <c r="F858" s="1" t="s">
        <v>40</v>
      </c>
      <c r="G858">
        <v>11</v>
      </c>
      <c r="H858" s="1" t="s">
        <v>96</v>
      </c>
      <c r="I858" s="1" t="s">
        <v>97</v>
      </c>
      <c r="J858">
        <v>6</v>
      </c>
      <c r="K858">
        <v>18.989999999999998</v>
      </c>
      <c r="L858" s="1" t="s">
        <v>60</v>
      </c>
      <c r="M858" s="1" t="s">
        <v>43</v>
      </c>
      <c r="N858" s="1" t="s">
        <v>44</v>
      </c>
      <c r="O858" s="1" t="s">
        <v>31</v>
      </c>
      <c r="P858" s="2">
        <v>45823</v>
      </c>
      <c r="Q858" s="1" t="s">
        <v>1112</v>
      </c>
      <c r="R858" s="1" t="s">
        <v>1113</v>
      </c>
      <c r="S858" s="1" t="s">
        <v>105</v>
      </c>
      <c r="T858" s="1" t="s">
        <v>35</v>
      </c>
      <c r="U858" s="1" t="s">
        <v>66</v>
      </c>
      <c r="V858" s="1" t="s">
        <v>100</v>
      </c>
      <c r="W858">
        <v>3.2</v>
      </c>
    </row>
    <row r="859" spans="1:23" x14ac:dyDescent="0.3">
      <c r="A859" s="1" t="s">
        <v>1966</v>
      </c>
      <c r="B859">
        <v>1</v>
      </c>
      <c r="C859">
        <v>18.989999999999998</v>
      </c>
      <c r="D859">
        <v>18.989999999999998</v>
      </c>
      <c r="E859" s="1" t="s">
        <v>1832</v>
      </c>
      <c r="F859" s="1" t="s">
        <v>40</v>
      </c>
      <c r="G859">
        <v>14</v>
      </c>
      <c r="H859" s="1" t="s">
        <v>41</v>
      </c>
      <c r="I859" s="1" t="s">
        <v>97</v>
      </c>
      <c r="J859">
        <v>6</v>
      </c>
      <c r="K859">
        <v>18.989999999999998</v>
      </c>
      <c r="L859" s="1" t="s">
        <v>60</v>
      </c>
      <c r="M859" s="1" t="s">
        <v>43</v>
      </c>
      <c r="N859" s="1" t="s">
        <v>44</v>
      </c>
      <c r="O859" s="1" t="s">
        <v>31</v>
      </c>
      <c r="P859" s="2">
        <v>45823</v>
      </c>
      <c r="Q859" s="1" t="s">
        <v>358</v>
      </c>
      <c r="R859" s="1" t="s">
        <v>1391</v>
      </c>
      <c r="S859" s="1" t="s">
        <v>34</v>
      </c>
      <c r="T859" s="1" t="s">
        <v>35</v>
      </c>
      <c r="U859" s="1" t="s">
        <v>82</v>
      </c>
      <c r="V859" s="1" t="s">
        <v>100</v>
      </c>
      <c r="W859">
        <v>3.2</v>
      </c>
    </row>
    <row r="860" spans="1:23" x14ac:dyDescent="0.3">
      <c r="A860" s="1" t="s">
        <v>1967</v>
      </c>
      <c r="B860">
        <v>1</v>
      </c>
      <c r="C860">
        <v>18.989999999999998</v>
      </c>
      <c r="D860">
        <v>18.989999999999998</v>
      </c>
      <c r="E860" s="1" t="s">
        <v>1968</v>
      </c>
      <c r="F860" s="1" t="s">
        <v>25</v>
      </c>
      <c r="G860">
        <v>11</v>
      </c>
      <c r="H860" s="1" t="s">
        <v>26</v>
      </c>
      <c r="I860" s="1" t="s">
        <v>97</v>
      </c>
      <c r="J860">
        <v>6</v>
      </c>
      <c r="K860">
        <v>18.989999999999998</v>
      </c>
      <c r="L860" s="1" t="s">
        <v>60</v>
      </c>
      <c r="M860" s="1" t="s">
        <v>43</v>
      </c>
      <c r="N860" s="1" t="s">
        <v>44</v>
      </c>
      <c r="O860" s="1" t="s">
        <v>31</v>
      </c>
      <c r="P860" s="2">
        <v>45823</v>
      </c>
      <c r="Q860" s="1" t="s">
        <v>1969</v>
      </c>
      <c r="R860" s="1" t="s">
        <v>1970</v>
      </c>
      <c r="S860" s="1" t="s">
        <v>34</v>
      </c>
      <c r="T860" s="1" t="s">
        <v>35</v>
      </c>
      <c r="U860" s="1" t="s">
        <v>55</v>
      </c>
      <c r="V860" s="1" t="s">
        <v>100</v>
      </c>
      <c r="W860">
        <v>3.2</v>
      </c>
    </row>
    <row r="861" spans="1:23" x14ac:dyDescent="0.3">
      <c r="A861" s="1" t="s">
        <v>1971</v>
      </c>
      <c r="B861">
        <v>1</v>
      </c>
      <c r="C861">
        <v>34.99</v>
      </c>
      <c r="D861">
        <v>34.99</v>
      </c>
      <c r="E861" s="1" t="s">
        <v>252</v>
      </c>
      <c r="F861" s="1" t="s">
        <v>51</v>
      </c>
      <c r="G861">
        <v>0</v>
      </c>
      <c r="H861" s="1" t="s">
        <v>41</v>
      </c>
      <c r="I861" s="1" t="s">
        <v>85</v>
      </c>
      <c r="J861">
        <v>12.5</v>
      </c>
      <c r="K861">
        <v>34.99</v>
      </c>
      <c r="L861" s="1" t="s">
        <v>60</v>
      </c>
      <c r="M861" s="1" t="s">
        <v>29</v>
      </c>
      <c r="N861" s="1" t="s">
        <v>30</v>
      </c>
      <c r="O861" s="1" t="s">
        <v>31</v>
      </c>
      <c r="P861" s="2">
        <v>45778</v>
      </c>
      <c r="Q861" s="1" t="s">
        <v>842</v>
      </c>
      <c r="R861" s="1" t="s">
        <v>1972</v>
      </c>
      <c r="S861" s="1" t="s">
        <v>88</v>
      </c>
      <c r="T861" s="1" t="s">
        <v>35</v>
      </c>
      <c r="U861" s="1" t="s">
        <v>36</v>
      </c>
      <c r="V861" s="1" t="s">
        <v>89</v>
      </c>
      <c r="W861">
        <v>2.4</v>
      </c>
    </row>
    <row r="862" spans="1:23" x14ac:dyDescent="0.3">
      <c r="A862" s="1" t="s">
        <v>1973</v>
      </c>
      <c r="B862">
        <v>2</v>
      </c>
      <c r="C862">
        <v>30.99</v>
      </c>
      <c r="D862">
        <v>54.18</v>
      </c>
      <c r="E862" s="1" t="s">
        <v>1285</v>
      </c>
      <c r="F862" s="1" t="s">
        <v>40</v>
      </c>
      <c r="G862">
        <v>2</v>
      </c>
      <c r="H862" s="1" t="s">
        <v>41</v>
      </c>
      <c r="I862" s="1" t="s">
        <v>42</v>
      </c>
      <c r="J862">
        <v>10.5</v>
      </c>
      <c r="K862">
        <v>30.99</v>
      </c>
      <c r="L862" s="1" t="s">
        <v>28</v>
      </c>
      <c r="M862" s="1" t="s">
        <v>43</v>
      </c>
      <c r="N862" s="1" t="s">
        <v>44</v>
      </c>
      <c r="O862" s="1" t="s">
        <v>31</v>
      </c>
      <c r="P862" s="2">
        <v>45823</v>
      </c>
      <c r="Q862" s="1" t="s">
        <v>909</v>
      </c>
      <c r="R862" s="1" t="s">
        <v>996</v>
      </c>
      <c r="S862" s="1" t="s">
        <v>88</v>
      </c>
      <c r="T862" s="1" t="s">
        <v>35</v>
      </c>
      <c r="U862" s="1" t="s">
        <v>66</v>
      </c>
      <c r="V862" s="1" t="s">
        <v>37</v>
      </c>
      <c r="W862">
        <v>2</v>
      </c>
    </row>
    <row r="863" spans="1:23" x14ac:dyDescent="0.3">
      <c r="A863" s="1" t="s">
        <v>1974</v>
      </c>
      <c r="B863">
        <v>1</v>
      </c>
      <c r="C863">
        <v>30.99</v>
      </c>
      <c r="D863">
        <v>30.99</v>
      </c>
      <c r="E863" s="1" t="s">
        <v>1230</v>
      </c>
      <c r="F863" s="1" t="s">
        <v>25</v>
      </c>
      <c r="G863">
        <v>3</v>
      </c>
      <c r="H863" s="1" t="s">
        <v>26</v>
      </c>
      <c r="I863" s="1" t="s">
        <v>42</v>
      </c>
      <c r="J863">
        <v>10.5</v>
      </c>
      <c r="K863">
        <v>30.99</v>
      </c>
      <c r="L863" s="1" t="s">
        <v>28</v>
      </c>
      <c r="M863" s="1" t="s">
        <v>43</v>
      </c>
      <c r="N863" s="1" t="s">
        <v>44</v>
      </c>
      <c r="O863" s="1" t="s">
        <v>31</v>
      </c>
      <c r="P863" s="2">
        <v>45823</v>
      </c>
      <c r="Q863" s="1" t="s">
        <v>1058</v>
      </c>
      <c r="R863" s="1" t="s">
        <v>1059</v>
      </c>
      <c r="S863" s="1" t="s">
        <v>65</v>
      </c>
      <c r="T863" s="1" t="s">
        <v>35</v>
      </c>
      <c r="U863" s="1" t="s">
        <v>82</v>
      </c>
      <c r="V863" s="1" t="s">
        <v>37</v>
      </c>
      <c r="W863">
        <v>2</v>
      </c>
    </row>
    <row r="864" spans="1:23" x14ac:dyDescent="0.3">
      <c r="A864" s="1" t="s">
        <v>1975</v>
      </c>
      <c r="B864">
        <v>1</v>
      </c>
      <c r="C864">
        <v>34.99</v>
      </c>
      <c r="D864">
        <v>34.99</v>
      </c>
      <c r="E864" s="1" t="s">
        <v>1509</v>
      </c>
      <c r="F864" s="1" t="s">
        <v>40</v>
      </c>
      <c r="G864">
        <v>8</v>
      </c>
      <c r="H864" s="1" t="s">
        <v>58</v>
      </c>
      <c r="I864" s="1" t="s">
        <v>85</v>
      </c>
      <c r="J864">
        <v>12.5</v>
      </c>
      <c r="K864">
        <v>34.99</v>
      </c>
      <c r="L864" s="1" t="s">
        <v>60</v>
      </c>
      <c r="M864" s="1" t="s">
        <v>29</v>
      </c>
      <c r="N864" s="1" t="s">
        <v>30</v>
      </c>
      <c r="O864" s="1" t="s">
        <v>31</v>
      </c>
      <c r="P864" s="2">
        <v>45778</v>
      </c>
      <c r="Q864" s="1" t="s">
        <v>793</v>
      </c>
      <c r="R864" s="1" t="s">
        <v>794</v>
      </c>
      <c r="S864" s="1" t="s">
        <v>34</v>
      </c>
      <c r="T864" s="1" t="s">
        <v>35</v>
      </c>
      <c r="U864" s="1" t="s">
        <v>82</v>
      </c>
      <c r="V864" s="1" t="s">
        <v>89</v>
      </c>
      <c r="W864">
        <v>2.4</v>
      </c>
    </row>
    <row r="865" spans="1:23" x14ac:dyDescent="0.3">
      <c r="A865" s="1" t="s">
        <v>1976</v>
      </c>
      <c r="B865">
        <v>1</v>
      </c>
      <c r="C865">
        <v>34.99</v>
      </c>
      <c r="D865">
        <v>34.99</v>
      </c>
      <c r="E865" s="1" t="s">
        <v>1977</v>
      </c>
      <c r="F865" s="1" t="s">
        <v>40</v>
      </c>
      <c r="G865">
        <v>8</v>
      </c>
      <c r="H865" s="1" t="s">
        <v>96</v>
      </c>
      <c r="I865" s="1" t="s">
        <v>85</v>
      </c>
      <c r="J865">
        <v>12.5</v>
      </c>
      <c r="K865">
        <v>34.99</v>
      </c>
      <c r="L865" s="1" t="s">
        <v>60</v>
      </c>
      <c r="M865" s="1" t="s">
        <v>29</v>
      </c>
      <c r="N865" s="1" t="s">
        <v>30</v>
      </c>
      <c r="O865" s="1" t="s">
        <v>31</v>
      </c>
      <c r="P865" s="2">
        <v>45778</v>
      </c>
      <c r="Q865" s="1" t="s">
        <v>231</v>
      </c>
      <c r="R865" s="1" t="s">
        <v>1978</v>
      </c>
      <c r="S865" s="1" t="s">
        <v>65</v>
      </c>
      <c r="T865" s="1" t="s">
        <v>35</v>
      </c>
      <c r="U865" s="1" t="s">
        <v>66</v>
      </c>
      <c r="V865" s="1" t="s">
        <v>89</v>
      </c>
      <c r="W865">
        <v>2.4</v>
      </c>
    </row>
    <row r="866" spans="1:23" x14ac:dyDescent="0.3">
      <c r="A866" s="1" t="s">
        <v>1979</v>
      </c>
      <c r="B866">
        <v>1</v>
      </c>
      <c r="C866">
        <v>16.989999999999998</v>
      </c>
      <c r="D866">
        <v>16.989999999999998</v>
      </c>
      <c r="E866" s="1" t="s">
        <v>881</v>
      </c>
      <c r="F866" s="1" t="s">
        <v>188</v>
      </c>
      <c r="G866">
        <v>0</v>
      </c>
      <c r="H866" s="1" t="s">
        <v>41</v>
      </c>
      <c r="I866" s="1" t="s">
        <v>59</v>
      </c>
      <c r="J866">
        <v>5</v>
      </c>
      <c r="K866">
        <v>16.989999999999998</v>
      </c>
      <c r="L866" s="1" t="s">
        <v>60</v>
      </c>
      <c r="M866" s="1" t="s">
        <v>61</v>
      </c>
      <c r="N866" s="1" t="s">
        <v>62</v>
      </c>
      <c r="O866" s="1" t="s">
        <v>31</v>
      </c>
      <c r="P866" s="2">
        <v>45726</v>
      </c>
      <c r="Q866" s="1" t="s">
        <v>1980</v>
      </c>
      <c r="R866" s="1" t="s">
        <v>1981</v>
      </c>
      <c r="S866" s="1" t="s">
        <v>34</v>
      </c>
      <c r="T866" s="1" t="s">
        <v>35</v>
      </c>
      <c r="U866" s="1" t="s">
        <v>66</v>
      </c>
      <c r="V866" s="1" t="s">
        <v>67</v>
      </c>
      <c r="W866">
        <v>3</v>
      </c>
    </row>
    <row r="867" spans="1:23" x14ac:dyDescent="0.3">
      <c r="A867" s="1" t="s">
        <v>1982</v>
      </c>
      <c r="B867">
        <v>1</v>
      </c>
      <c r="C867">
        <v>18.989999999999998</v>
      </c>
      <c r="D867">
        <v>18.989999999999998</v>
      </c>
      <c r="E867" s="1" t="s">
        <v>1592</v>
      </c>
      <c r="F867" s="1" t="s">
        <v>70</v>
      </c>
      <c r="G867">
        <v>0</v>
      </c>
      <c r="H867" s="1" t="s">
        <v>41</v>
      </c>
      <c r="I867" s="1" t="s">
        <v>97</v>
      </c>
      <c r="J867">
        <v>6</v>
      </c>
      <c r="K867">
        <v>18.989999999999998</v>
      </c>
      <c r="L867" s="1" t="s">
        <v>60</v>
      </c>
      <c r="M867" s="1" t="s">
        <v>43</v>
      </c>
      <c r="N867" s="1" t="s">
        <v>44</v>
      </c>
      <c r="O867" s="1" t="s">
        <v>31</v>
      </c>
      <c r="P867" s="2">
        <v>45823</v>
      </c>
      <c r="Q867" s="1" t="s">
        <v>990</v>
      </c>
      <c r="R867" s="1" t="s">
        <v>1490</v>
      </c>
      <c r="S867" s="1" t="s">
        <v>88</v>
      </c>
      <c r="T867" s="1" t="s">
        <v>35</v>
      </c>
      <c r="U867" s="1" t="s">
        <v>82</v>
      </c>
      <c r="V867" s="1" t="s">
        <v>100</v>
      </c>
      <c r="W867">
        <v>3.2</v>
      </c>
    </row>
    <row r="868" spans="1:23" x14ac:dyDescent="0.3">
      <c r="A868" s="1" t="s">
        <v>1983</v>
      </c>
      <c r="B868">
        <v>1</v>
      </c>
      <c r="C868">
        <v>18.989999999999998</v>
      </c>
      <c r="D868">
        <v>18.989999999999998</v>
      </c>
      <c r="E868" s="1" t="s">
        <v>1424</v>
      </c>
      <c r="F868" s="1" t="s">
        <v>40</v>
      </c>
      <c r="G868">
        <v>15</v>
      </c>
      <c r="H868" s="1" t="s">
        <v>41</v>
      </c>
      <c r="I868" s="1" t="s">
        <v>97</v>
      </c>
      <c r="J868">
        <v>6</v>
      </c>
      <c r="K868">
        <v>18.989999999999998</v>
      </c>
      <c r="L868" s="1" t="s">
        <v>60</v>
      </c>
      <c r="M868" s="1" t="s">
        <v>43</v>
      </c>
      <c r="N868" s="1" t="s">
        <v>44</v>
      </c>
      <c r="O868" s="1" t="s">
        <v>31</v>
      </c>
      <c r="P868" s="2">
        <v>45823</v>
      </c>
      <c r="Q868" s="1" t="s">
        <v>1984</v>
      </c>
      <c r="R868" s="1" t="s">
        <v>1985</v>
      </c>
      <c r="S868" s="1" t="s">
        <v>65</v>
      </c>
      <c r="T868" s="1" t="s">
        <v>35</v>
      </c>
      <c r="U868" s="1" t="s">
        <v>82</v>
      </c>
      <c r="V868" s="1" t="s">
        <v>100</v>
      </c>
      <c r="W868">
        <v>3.2</v>
      </c>
    </row>
    <row r="869" spans="1:23" x14ac:dyDescent="0.3">
      <c r="A869" s="1" t="s">
        <v>1986</v>
      </c>
      <c r="B869">
        <v>3</v>
      </c>
      <c r="C869">
        <v>21.99</v>
      </c>
      <c r="D869">
        <v>53.16</v>
      </c>
      <c r="E869" s="1" t="s">
        <v>1115</v>
      </c>
      <c r="F869" s="1" t="s">
        <v>40</v>
      </c>
      <c r="G869">
        <v>6</v>
      </c>
      <c r="H869" s="1" t="s">
        <v>58</v>
      </c>
      <c r="I869" s="1" t="s">
        <v>27</v>
      </c>
      <c r="J869">
        <v>7</v>
      </c>
      <c r="K869">
        <v>21.99</v>
      </c>
      <c r="L869" s="1" t="s">
        <v>28</v>
      </c>
      <c r="M869" s="1" t="s">
        <v>29</v>
      </c>
      <c r="N869" s="1" t="s">
        <v>30</v>
      </c>
      <c r="O869" s="1" t="s">
        <v>31</v>
      </c>
      <c r="P869" s="2">
        <v>45778</v>
      </c>
      <c r="Q869" s="1" t="s">
        <v>1533</v>
      </c>
      <c r="R869" s="1" t="s">
        <v>1635</v>
      </c>
      <c r="S869" s="1" t="s">
        <v>105</v>
      </c>
      <c r="T869" s="1" t="s">
        <v>35</v>
      </c>
      <c r="U869" s="1" t="s">
        <v>36</v>
      </c>
      <c r="V869" s="1" t="s">
        <v>37</v>
      </c>
      <c r="W869">
        <v>2</v>
      </c>
    </row>
    <row r="870" spans="1:23" x14ac:dyDescent="0.3">
      <c r="A870" s="1" t="s">
        <v>1987</v>
      </c>
      <c r="B870">
        <v>3</v>
      </c>
      <c r="C870">
        <v>18.989999999999998</v>
      </c>
      <c r="D870">
        <v>45.8</v>
      </c>
      <c r="E870" s="1" t="s">
        <v>185</v>
      </c>
      <c r="F870" s="1" t="s">
        <v>40</v>
      </c>
      <c r="G870">
        <v>20</v>
      </c>
      <c r="H870" s="1" t="s">
        <v>26</v>
      </c>
      <c r="I870" s="1" t="s">
        <v>97</v>
      </c>
      <c r="J870">
        <v>6</v>
      </c>
      <c r="K870">
        <v>18.989999999999998</v>
      </c>
      <c r="L870" s="1" t="s">
        <v>60</v>
      </c>
      <c r="M870" s="1" t="s">
        <v>43</v>
      </c>
      <c r="N870" s="1" t="s">
        <v>44</v>
      </c>
      <c r="O870" s="1" t="s">
        <v>31</v>
      </c>
      <c r="P870" s="2">
        <v>45823</v>
      </c>
      <c r="Q870" s="1" t="s">
        <v>1988</v>
      </c>
      <c r="R870" s="1" t="s">
        <v>1989</v>
      </c>
      <c r="S870" s="1" t="s">
        <v>105</v>
      </c>
      <c r="T870" s="1" t="s">
        <v>35</v>
      </c>
      <c r="U870" s="1" t="s">
        <v>55</v>
      </c>
      <c r="V870" s="1" t="s">
        <v>100</v>
      </c>
      <c r="W870">
        <v>3.2</v>
      </c>
    </row>
    <row r="871" spans="1:23" x14ac:dyDescent="0.3">
      <c r="A871" s="1" t="s">
        <v>1990</v>
      </c>
      <c r="B871">
        <v>1</v>
      </c>
      <c r="C871">
        <v>18.989999999999998</v>
      </c>
      <c r="D871">
        <v>18.989999999999998</v>
      </c>
      <c r="E871" s="1" t="s">
        <v>325</v>
      </c>
      <c r="F871" s="1" t="s">
        <v>40</v>
      </c>
      <c r="G871">
        <v>15</v>
      </c>
      <c r="H871" s="1" t="s">
        <v>41</v>
      </c>
      <c r="I871" s="1" t="s">
        <v>97</v>
      </c>
      <c r="J871">
        <v>6</v>
      </c>
      <c r="K871">
        <v>18.989999999999998</v>
      </c>
      <c r="L871" s="1" t="s">
        <v>60</v>
      </c>
      <c r="M871" s="1" t="s">
        <v>43</v>
      </c>
      <c r="N871" s="1" t="s">
        <v>44</v>
      </c>
      <c r="O871" s="1" t="s">
        <v>31</v>
      </c>
      <c r="P871" s="2">
        <v>45823</v>
      </c>
      <c r="Q871" s="1" t="s">
        <v>1101</v>
      </c>
      <c r="R871" s="1" t="s">
        <v>1991</v>
      </c>
      <c r="S871" s="1" t="s">
        <v>411</v>
      </c>
      <c r="T871" s="1" t="s">
        <v>35</v>
      </c>
      <c r="U871" s="1" t="s">
        <v>82</v>
      </c>
      <c r="V871" s="1" t="s">
        <v>100</v>
      </c>
      <c r="W871">
        <v>3.2</v>
      </c>
    </row>
    <row r="872" spans="1:23" x14ac:dyDescent="0.3">
      <c r="A872" s="1" t="s">
        <v>1992</v>
      </c>
      <c r="B872">
        <v>1</v>
      </c>
      <c r="C872">
        <v>16.989999999999998</v>
      </c>
      <c r="D872">
        <v>16.989999999999998</v>
      </c>
      <c r="E872" s="1" t="s">
        <v>1993</v>
      </c>
      <c r="F872" s="1" t="s">
        <v>25</v>
      </c>
      <c r="G872">
        <v>16</v>
      </c>
      <c r="H872" s="1" t="s">
        <v>58</v>
      </c>
      <c r="I872" s="1" t="s">
        <v>59</v>
      </c>
      <c r="J872">
        <v>5</v>
      </c>
      <c r="K872">
        <v>16.989999999999998</v>
      </c>
      <c r="L872" s="1" t="s">
        <v>60</v>
      </c>
      <c r="M872" s="1" t="s">
        <v>61</v>
      </c>
      <c r="N872" s="1" t="s">
        <v>62</v>
      </c>
      <c r="O872" s="1" t="s">
        <v>31</v>
      </c>
      <c r="P872" s="2">
        <v>45726</v>
      </c>
      <c r="Q872" s="1" t="s">
        <v>1994</v>
      </c>
      <c r="R872" s="1" t="s">
        <v>1995</v>
      </c>
      <c r="S872" s="1" t="s">
        <v>88</v>
      </c>
      <c r="T872" s="1" t="s">
        <v>35</v>
      </c>
      <c r="U872" s="1" t="s">
        <v>48</v>
      </c>
      <c r="V872" s="1" t="s">
        <v>67</v>
      </c>
      <c r="W872">
        <v>3</v>
      </c>
    </row>
    <row r="873" spans="1:23" x14ac:dyDescent="0.3">
      <c r="A873" s="1" t="s">
        <v>1996</v>
      </c>
      <c r="B873">
        <v>1</v>
      </c>
      <c r="C873">
        <v>18.989999999999998</v>
      </c>
      <c r="D873">
        <v>18.989999999999998</v>
      </c>
      <c r="E873" s="1" t="s">
        <v>224</v>
      </c>
      <c r="F873" s="1" t="s">
        <v>70</v>
      </c>
      <c r="G873">
        <v>0</v>
      </c>
      <c r="H873" s="1" t="s">
        <v>58</v>
      </c>
      <c r="I873" s="1" t="s">
        <v>97</v>
      </c>
      <c r="J873">
        <v>6</v>
      </c>
      <c r="K873">
        <v>18.989999999999998</v>
      </c>
      <c r="L873" s="1" t="s">
        <v>60</v>
      </c>
      <c r="M873" s="1" t="s">
        <v>43</v>
      </c>
      <c r="N873" s="1" t="s">
        <v>44</v>
      </c>
      <c r="O873" s="1" t="s">
        <v>31</v>
      </c>
      <c r="P873" s="2">
        <v>45823</v>
      </c>
      <c r="Q873" s="1" t="s">
        <v>951</v>
      </c>
      <c r="R873" s="1" t="s">
        <v>952</v>
      </c>
      <c r="S873" s="1" t="s">
        <v>65</v>
      </c>
      <c r="T873" s="1" t="s">
        <v>35</v>
      </c>
      <c r="U873" s="1" t="s">
        <v>48</v>
      </c>
      <c r="V873" s="1" t="s">
        <v>100</v>
      </c>
      <c r="W873">
        <v>3.2</v>
      </c>
    </row>
    <row r="874" spans="1:23" x14ac:dyDescent="0.3">
      <c r="A874" s="1" t="s">
        <v>1997</v>
      </c>
      <c r="B874">
        <v>1</v>
      </c>
      <c r="C874">
        <v>34.99</v>
      </c>
      <c r="D874">
        <v>34.99</v>
      </c>
      <c r="E874" s="1" t="s">
        <v>1998</v>
      </c>
      <c r="F874" s="1" t="s">
        <v>40</v>
      </c>
      <c r="G874">
        <v>8</v>
      </c>
      <c r="H874" s="1" t="s">
        <v>41</v>
      </c>
      <c r="I874" s="1" t="s">
        <v>85</v>
      </c>
      <c r="J874">
        <v>12.5</v>
      </c>
      <c r="K874">
        <v>34.99</v>
      </c>
      <c r="L874" s="1" t="s">
        <v>60</v>
      </c>
      <c r="M874" s="1" t="s">
        <v>29</v>
      </c>
      <c r="N874" s="1" t="s">
        <v>30</v>
      </c>
      <c r="O874" s="1" t="s">
        <v>31</v>
      </c>
      <c r="P874" s="2">
        <v>45778</v>
      </c>
      <c r="Q874" s="1" t="s">
        <v>1112</v>
      </c>
      <c r="R874" s="1" t="s">
        <v>1113</v>
      </c>
      <c r="S874" s="1" t="s">
        <v>105</v>
      </c>
      <c r="T874" s="1" t="s">
        <v>35</v>
      </c>
      <c r="U874" s="1" t="s">
        <v>66</v>
      </c>
      <c r="V874" s="1" t="s">
        <v>89</v>
      </c>
      <c r="W874">
        <v>2.4</v>
      </c>
    </row>
    <row r="875" spans="1:23" x14ac:dyDescent="0.3">
      <c r="A875" s="1" t="s">
        <v>1999</v>
      </c>
      <c r="B875">
        <v>1</v>
      </c>
      <c r="C875">
        <v>30.99</v>
      </c>
      <c r="D875">
        <v>30.99</v>
      </c>
      <c r="E875" s="1" t="s">
        <v>228</v>
      </c>
      <c r="F875" s="1" t="s">
        <v>51</v>
      </c>
      <c r="G875">
        <v>0</v>
      </c>
      <c r="H875" s="1" t="s">
        <v>26</v>
      </c>
      <c r="I875" s="1" t="s">
        <v>42</v>
      </c>
      <c r="J875">
        <v>10.5</v>
      </c>
      <c r="K875">
        <v>30.99</v>
      </c>
      <c r="L875" s="1" t="s">
        <v>28</v>
      </c>
      <c r="M875" s="1" t="s">
        <v>43</v>
      </c>
      <c r="N875" s="1" t="s">
        <v>44</v>
      </c>
      <c r="O875" s="1" t="s">
        <v>31</v>
      </c>
      <c r="P875" s="2">
        <v>45823</v>
      </c>
      <c r="Q875" s="1" t="s">
        <v>2000</v>
      </c>
      <c r="R875" s="1" t="s">
        <v>2001</v>
      </c>
      <c r="S875" s="1" t="s">
        <v>54</v>
      </c>
      <c r="T875" s="1" t="s">
        <v>35</v>
      </c>
      <c r="U875" s="1" t="s">
        <v>55</v>
      </c>
      <c r="V875" s="1" t="s">
        <v>37</v>
      </c>
      <c r="W875">
        <v>2</v>
      </c>
    </row>
    <row r="876" spans="1:23" x14ac:dyDescent="0.3">
      <c r="A876" s="1" t="s">
        <v>2002</v>
      </c>
      <c r="B876">
        <v>1</v>
      </c>
      <c r="C876">
        <v>16.989999999999998</v>
      </c>
      <c r="D876">
        <v>16.989999999999998</v>
      </c>
      <c r="E876" s="1" t="s">
        <v>908</v>
      </c>
      <c r="F876" s="1" t="s">
        <v>40</v>
      </c>
      <c r="G876">
        <v>17</v>
      </c>
      <c r="H876" s="1" t="s">
        <v>26</v>
      </c>
      <c r="I876" s="1" t="s">
        <v>59</v>
      </c>
      <c r="J876">
        <v>5</v>
      </c>
      <c r="K876">
        <v>16.989999999999998</v>
      </c>
      <c r="L876" s="1" t="s">
        <v>60</v>
      </c>
      <c r="M876" s="1" t="s">
        <v>61</v>
      </c>
      <c r="N876" s="1" t="s">
        <v>62</v>
      </c>
      <c r="O876" s="1" t="s">
        <v>31</v>
      </c>
      <c r="P876" s="2">
        <v>45726</v>
      </c>
      <c r="Q876" s="1" t="s">
        <v>290</v>
      </c>
      <c r="R876" s="1" t="s">
        <v>1123</v>
      </c>
      <c r="S876" s="1" t="s">
        <v>34</v>
      </c>
      <c r="T876" s="1" t="s">
        <v>35</v>
      </c>
      <c r="U876" s="1" t="s">
        <v>55</v>
      </c>
      <c r="V876" s="1" t="s">
        <v>67</v>
      </c>
      <c r="W876">
        <v>3</v>
      </c>
    </row>
    <row r="877" spans="1:23" x14ac:dyDescent="0.3">
      <c r="A877" s="1" t="s">
        <v>2003</v>
      </c>
      <c r="B877">
        <v>2</v>
      </c>
      <c r="C877">
        <v>16.989999999999998</v>
      </c>
      <c r="D877">
        <v>29.71</v>
      </c>
      <c r="E877" s="1" t="s">
        <v>933</v>
      </c>
      <c r="F877" s="1" t="s">
        <v>40</v>
      </c>
      <c r="G877">
        <v>17</v>
      </c>
      <c r="H877" s="1" t="s">
        <v>41</v>
      </c>
      <c r="I877" s="1" t="s">
        <v>59</v>
      </c>
      <c r="J877">
        <v>5</v>
      </c>
      <c r="K877">
        <v>16.989999999999998</v>
      </c>
      <c r="L877" s="1" t="s">
        <v>60</v>
      </c>
      <c r="M877" s="1" t="s">
        <v>61</v>
      </c>
      <c r="N877" s="1" t="s">
        <v>62</v>
      </c>
      <c r="O877" s="1" t="s">
        <v>31</v>
      </c>
      <c r="P877" s="2">
        <v>45726</v>
      </c>
      <c r="Q877" s="1" t="s">
        <v>947</v>
      </c>
      <c r="R877" s="1" t="s">
        <v>948</v>
      </c>
      <c r="S877" s="1" t="s">
        <v>65</v>
      </c>
      <c r="T877" s="1" t="s">
        <v>35</v>
      </c>
      <c r="U877" s="1" t="s">
        <v>82</v>
      </c>
      <c r="V877" s="1" t="s">
        <v>67</v>
      </c>
      <c r="W877">
        <v>3</v>
      </c>
    </row>
    <row r="878" spans="1:23" x14ac:dyDescent="0.3">
      <c r="A878" s="1" t="s">
        <v>2004</v>
      </c>
      <c r="B878">
        <v>1</v>
      </c>
      <c r="C878">
        <v>30.99</v>
      </c>
      <c r="D878">
        <v>30.99</v>
      </c>
      <c r="E878" s="1" t="s">
        <v>224</v>
      </c>
      <c r="F878" s="1" t="s">
        <v>51</v>
      </c>
      <c r="G878">
        <v>0</v>
      </c>
      <c r="H878" s="1" t="s">
        <v>96</v>
      </c>
      <c r="I878" s="1" t="s">
        <v>42</v>
      </c>
      <c r="J878">
        <v>10.5</v>
      </c>
      <c r="K878">
        <v>30.99</v>
      </c>
      <c r="L878" s="1" t="s">
        <v>28</v>
      </c>
      <c r="M878" s="1" t="s">
        <v>43</v>
      </c>
      <c r="N878" s="1" t="s">
        <v>44</v>
      </c>
      <c r="O878" s="1" t="s">
        <v>31</v>
      </c>
      <c r="P878" s="2">
        <v>45823</v>
      </c>
      <c r="Q878" s="1" t="s">
        <v>2005</v>
      </c>
      <c r="R878" s="1" t="s">
        <v>2006</v>
      </c>
      <c r="S878" s="1" t="s">
        <v>88</v>
      </c>
      <c r="T878" s="1" t="s">
        <v>35</v>
      </c>
      <c r="U878" s="1" t="s">
        <v>82</v>
      </c>
      <c r="V878" s="1" t="s">
        <v>37</v>
      </c>
      <c r="W878">
        <v>2</v>
      </c>
    </row>
    <row r="879" spans="1:23" x14ac:dyDescent="0.3">
      <c r="A879" s="1" t="s">
        <v>2007</v>
      </c>
      <c r="B879">
        <v>1</v>
      </c>
      <c r="C879">
        <v>30.99</v>
      </c>
      <c r="D879">
        <v>30.99</v>
      </c>
      <c r="E879" s="1" t="s">
        <v>807</v>
      </c>
      <c r="F879" s="1" t="s">
        <v>40</v>
      </c>
      <c r="G879">
        <v>2</v>
      </c>
      <c r="H879" s="1" t="s">
        <v>96</v>
      </c>
      <c r="I879" s="1" t="s">
        <v>42</v>
      </c>
      <c r="J879">
        <v>10.5</v>
      </c>
      <c r="K879">
        <v>30.99</v>
      </c>
      <c r="L879" s="1" t="s">
        <v>28</v>
      </c>
      <c r="M879" s="1" t="s">
        <v>43</v>
      </c>
      <c r="N879" s="1" t="s">
        <v>44</v>
      </c>
      <c r="O879" s="1" t="s">
        <v>31</v>
      </c>
      <c r="P879" s="2">
        <v>45823</v>
      </c>
      <c r="Q879" s="1" t="s">
        <v>975</v>
      </c>
      <c r="R879" s="1" t="s">
        <v>1518</v>
      </c>
      <c r="S879" s="1" t="s">
        <v>105</v>
      </c>
      <c r="T879" s="1" t="s">
        <v>35</v>
      </c>
      <c r="U879" s="1" t="s">
        <v>48</v>
      </c>
      <c r="V879" s="1" t="s">
        <v>37</v>
      </c>
      <c r="W879">
        <v>2</v>
      </c>
    </row>
    <row r="880" spans="1:23" x14ac:dyDescent="0.3">
      <c r="A880" s="1" t="s">
        <v>2008</v>
      </c>
      <c r="B880">
        <v>1</v>
      </c>
      <c r="C880">
        <v>21.99</v>
      </c>
      <c r="D880">
        <v>21.99</v>
      </c>
      <c r="E880" s="1" t="s">
        <v>1570</v>
      </c>
      <c r="F880" s="1" t="s">
        <v>40</v>
      </c>
      <c r="G880">
        <v>3</v>
      </c>
      <c r="H880" s="1" t="s">
        <v>26</v>
      </c>
      <c r="I880" s="1" t="s">
        <v>27</v>
      </c>
      <c r="J880">
        <v>7</v>
      </c>
      <c r="K880">
        <v>21.99</v>
      </c>
      <c r="L880" s="1" t="s">
        <v>28</v>
      </c>
      <c r="M880" s="1" t="s">
        <v>29</v>
      </c>
      <c r="N880" s="1" t="s">
        <v>30</v>
      </c>
      <c r="O880" s="1" t="s">
        <v>31</v>
      </c>
      <c r="P880" s="2">
        <v>45778</v>
      </c>
      <c r="Q880" s="1" t="s">
        <v>1878</v>
      </c>
      <c r="R880" s="1" t="s">
        <v>1879</v>
      </c>
      <c r="S880" s="1" t="s">
        <v>54</v>
      </c>
      <c r="T880" s="1" t="s">
        <v>35</v>
      </c>
      <c r="U880" s="1" t="s">
        <v>66</v>
      </c>
      <c r="V880" s="1" t="s">
        <v>37</v>
      </c>
      <c r="W880">
        <v>2</v>
      </c>
    </row>
    <row r="881" spans="1:23" x14ac:dyDescent="0.3">
      <c r="A881" s="1" t="s">
        <v>2009</v>
      </c>
      <c r="B881">
        <v>1</v>
      </c>
      <c r="C881">
        <v>30.99</v>
      </c>
      <c r="D881">
        <v>30.99</v>
      </c>
      <c r="E881" s="1" t="s">
        <v>1291</v>
      </c>
      <c r="F881" s="1" t="s">
        <v>40</v>
      </c>
      <c r="G881">
        <v>2</v>
      </c>
      <c r="H881" s="1" t="s">
        <v>41</v>
      </c>
      <c r="I881" s="1" t="s">
        <v>42</v>
      </c>
      <c r="J881">
        <v>10.5</v>
      </c>
      <c r="K881">
        <v>30.99</v>
      </c>
      <c r="L881" s="1" t="s">
        <v>28</v>
      </c>
      <c r="M881" s="1" t="s">
        <v>43</v>
      </c>
      <c r="N881" s="1" t="s">
        <v>44</v>
      </c>
      <c r="O881" s="1" t="s">
        <v>31</v>
      </c>
      <c r="P881" s="2">
        <v>45823</v>
      </c>
      <c r="Q881" s="1" t="s">
        <v>814</v>
      </c>
      <c r="R881" s="1" t="s">
        <v>1041</v>
      </c>
      <c r="S881" s="1" t="s">
        <v>54</v>
      </c>
      <c r="T881" s="1" t="s">
        <v>35</v>
      </c>
      <c r="U881" s="1" t="s">
        <v>36</v>
      </c>
      <c r="V881" s="1" t="s">
        <v>37</v>
      </c>
      <c r="W881">
        <v>2</v>
      </c>
    </row>
    <row r="882" spans="1:23" x14ac:dyDescent="0.3">
      <c r="A882" s="1" t="s">
        <v>2010</v>
      </c>
      <c r="B882">
        <v>1</v>
      </c>
      <c r="C882">
        <v>21.99</v>
      </c>
      <c r="D882">
        <v>21.99</v>
      </c>
      <c r="E882" s="1" t="s">
        <v>719</v>
      </c>
      <c r="F882" s="1" t="s">
        <v>40</v>
      </c>
      <c r="G882">
        <v>3</v>
      </c>
      <c r="H882" s="1" t="s">
        <v>58</v>
      </c>
      <c r="I882" s="1" t="s">
        <v>27</v>
      </c>
      <c r="J882">
        <v>7</v>
      </c>
      <c r="K882">
        <v>21.99</v>
      </c>
      <c r="L882" s="1" t="s">
        <v>28</v>
      </c>
      <c r="M882" s="1" t="s">
        <v>29</v>
      </c>
      <c r="N882" s="1" t="s">
        <v>30</v>
      </c>
      <c r="O882" s="1" t="s">
        <v>31</v>
      </c>
      <c r="P882" s="2">
        <v>45778</v>
      </c>
      <c r="Q882" s="1" t="s">
        <v>544</v>
      </c>
      <c r="R882" s="1" t="s">
        <v>1923</v>
      </c>
      <c r="S882" s="1" t="s">
        <v>105</v>
      </c>
      <c r="T882" s="1" t="s">
        <v>35</v>
      </c>
      <c r="U882" s="1" t="s">
        <v>36</v>
      </c>
      <c r="V882" s="1" t="s">
        <v>37</v>
      </c>
      <c r="W882">
        <v>2</v>
      </c>
    </row>
    <row r="883" spans="1:23" x14ac:dyDescent="0.3">
      <c r="A883" s="1" t="s">
        <v>2011</v>
      </c>
      <c r="B883">
        <v>1</v>
      </c>
      <c r="C883">
        <v>34.99</v>
      </c>
      <c r="D883">
        <v>34.99</v>
      </c>
      <c r="E883" s="1" t="s">
        <v>796</v>
      </c>
      <c r="F883" s="1" t="s">
        <v>25</v>
      </c>
      <c r="G883">
        <v>5</v>
      </c>
      <c r="H883" s="1" t="s">
        <v>41</v>
      </c>
      <c r="I883" s="1" t="s">
        <v>85</v>
      </c>
      <c r="J883">
        <v>12.5</v>
      </c>
      <c r="K883">
        <v>34.99</v>
      </c>
      <c r="L883" s="1" t="s">
        <v>60</v>
      </c>
      <c r="M883" s="1" t="s">
        <v>29</v>
      </c>
      <c r="N883" s="1" t="s">
        <v>30</v>
      </c>
      <c r="O883" s="1" t="s">
        <v>31</v>
      </c>
      <c r="P883" s="2">
        <v>45778</v>
      </c>
      <c r="Q883" s="1" t="s">
        <v>1494</v>
      </c>
      <c r="R883" s="1" t="s">
        <v>2012</v>
      </c>
      <c r="S883" s="1" t="s">
        <v>88</v>
      </c>
      <c r="T883" s="1" t="s">
        <v>35</v>
      </c>
      <c r="U883" s="1" t="s">
        <v>66</v>
      </c>
      <c r="V883" s="1" t="s">
        <v>89</v>
      </c>
      <c r="W883">
        <v>2.4</v>
      </c>
    </row>
    <row r="884" spans="1:23" x14ac:dyDescent="0.3">
      <c r="A884" s="1" t="s">
        <v>2013</v>
      </c>
      <c r="B884">
        <v>1</v>
      </c>
      <c r="C884">
        <v>21.99</v>
      </c>
      <c r="D884">
        <v>21.99</v>
      </c>
      <c r="E884" s="1" t="s">
        <v>908</v>
      </c>
      <c r="F884" s="1" t="s">
        <v>51</v>
      </c>
      <c r="G884">
        <v>0</v>
      </c>
      <c r="H884" s="1" t="s">
        <v>26</v>
      </c>
      <c r="I884" s="1" t="s">
        <v>27</v>
      </c>
      <c r="J884">
        <v>7</v>
      </c>
      <c r="K884">
        <v>21.99</v>
      </c>
      <c r="L884" s="1" t="s">
        <v>28</v>
      </c>
      <c r="M884" s="1" t="s">
        <v>29</v>
      </c>
      <c r="N884" s="1" t="s">
        <v>30</v>
      </c>
      <c r="O884" s="1" t="s">
        <v>31</v>
      </c>
      <c r="P884" s="2">
        <v>45778</v>
      </c>
      <c r="Q884" s="1" t="s">
        <v>1286</v>
      </c>
      <c r="R884" s="1" t="s">
        <v>1861</v>
      </c>
      <c r="S884" s="1" t="s">
        <v>88</v>
      </c>
      <c r="T884" s="1" t="s">
        <v>35</v>
      </c>
      <c r="U884" s="1" t="s">
        <v>48</v>
      </c>
      <c r="V884" s="1" t="s">
        <v>37</v>
      </c>
      <c r="W884">
        <v>2</v>
      </c>
    </row>
    <row r="885" spans="1:23" x14ac:dyDescent="0.3">
      <c r="A885" s="1" t="s">
        <v>2014</v>
      </c>
      <c r="B885">
        <v>1</v>
      </c>
      <c r="C885">
        <v>34.99</v>
      </c>
      <c r="D885">
        <v>34.99</v>
      </c>
      <c r="E885" s="1" t="s">
        <v>881</v>
      </c>
      <c r="F885" s="1" t="s">
        <v>40</v>
      </c>
      <c r="G885">
        <v>8</v>
      </c>
      <c r="H885" s="1" t="s">
        <v>26</v>
      </c>
      <c r="I885" s="1" t="s">
        <v>85</v>
      </c>
      <c r="J885">
        <v>12.5</v>
      </c>
      <c r="K885">
        <v>34.99</v>
      </c>
      <c r="L885" s="1" t="s">
        <v>60</v>
      </c>
      <c r="M885" s="1" t="s">
        <v>29</v>
      </c>
      <c r="N885" s="1" t="s">
        <v>30</v>
      </c>
      <c r="O885" s="1" t="s">
        <v>31</v>
      </c>
      <c r="P885" s="2">
        <v>45778</v>
      </c>
      <c r="Q885" s="1" t="s">
        <v>2015</v>
      </c>
      <c r="R885" s="1" t="s">
        <v>2016</v>
      </c>
      <c r="S885" s="1" t="s">
        <v>65</v>
      </c>
      <c r="T885" s="1" t="s">
        <v>35</v>
      </c>
      <c r="U885" s="1" t="s">
        <v>48</v>
      </c>
      <c r="V885" s="1" t="s">
        <v>89</v>
      </c>
      <c r="W885">
        <v>2.4</v>
      </c>
    </row>
    <row r="886" spans="1:23" x14ac:dyDescent="0.3">
      <c r="A886" s="1" t="s">
        <v>2017</v>
      </c>
      <c r="B886">
        <v>2</v>
      </c>
      <c r="C886">
        <v>34.99</v>
      </c>
      <c r="D886">
        <v>61.09</v>
      </c>
      <c r="E886" s="1" t="s">
        <v>2018</v>
      </c>
      <c r="F886" s="1" t="s">
        <v>40</v>
      </c>
      <c r="G886">
        <v>8</v>
      </c>
      <c r="H886" s="1" t="s">
        <v>58</v>
      </c>
      <c r="I886" s="1" t="s">
        <v>85</v>
      </c>
      <c r="J886">
        <v>12.5</v>
      </c>
      <c r="K886">
        <v>34.99</v>
      </c>
      <c r="L886" s="1" t="s">
        <v>60</v>
      </c>
      <c r="M886" s="1" t="s">
        <v>29</v>
      </c>
      <c r="N886" s="1" t="s">
        <v>30</v>
      </c>
      <c r="O886" s="1" t="s">
        <v>31</v>
      </c>
      <c r="P886" s="2">
        <v>45778</v>
      </c>
      <c r="Q886" s="1" t="s">
        <v>654</v>
      </c>
      <c r="R886" s="1" t="s">
        <v>983</v>
      </c>
      <c r="S886" s="1" t="s">
        <v>88</v>
      </c>
      <c r="T886" s="1" t="s">
        <v>35</v>
      </c>
      <c r="U886" s="1" t="s">
        <v>48</v>
      </c>
      <c r="V886" s="1" t="s">
        <v>89</v>
      </c>
      <c r="W886">
        <v>2.4</v>
      </c>
    </row>
    <row r="887" spans="1:23" x14ac:dyDescent="0.3">
      <c r="A887" s="1" t="s">
        <v>2019</v>
      </c>
      <c r="B887">
        <v>1</v>
      </c>
      <c r="C887">
        <v>21.99</v>
      </c>
      <c r="D887">
        <v>21.99</v>
      </c>
      <c r="E887" s="1" t="s">
        <v>187</v>
      </c>
      <c r="F887" s="1" t="s">
        <v>40</v>
      </c>
      <c r="G887">
        <v>3</v>
      </c>
      <c r="H887" s="1" t="s">
        <v>96</v>
      </c>
      <c r="I887" s="1" t="s">
        <v>27</v>
      </c>
      <c r="J887">
        <v>7</v>
      </c>
      <c r="K887">
        <v>21.99</v>
      </c>
      <c r="L887" s="1" t="s">
        <v>28</v>
      </c>
      <c r="M887" s="1" t="s">
        <v>29</v>
      </c>
      <c r="N887" s="1" t="s">
        <v>30</v>
      </c>
      <c r="O887" s="1" t="s">
        <v>31</v>
      </c>
      <c r="P887" s="2">
        <v>45778</v>
      </c>
      <c r="Q887" s="1" t="s">
        <v>793</v>
      </c>
      <c r="R887" s="1" t="s">
        <v>794</v>
      </c>
      <c r="S887" s="1" t="s">
        <v>34</v>
      </c>
      <c r="T887" s="1" t="s">
        <v>35</v>
      </c>
      <c r="U887" s="1" t="s">
        <v>82</v>
      </c>
      <c r="V887" s="1" t="s">
        <v>37</v>
      </c>
      <c r="W887">
        <v>2</v>
      </c>
    </row>
    <row r="888" spans="1:23" x14ac:dyDescent="0.3">
      <c r="A888" s="1" t="s">
        <v>2020</v>
      </c>
      <c r="B888">
        <v>2</v>
      </c>
      <c r="C888">
        <v>16.989999999999998</v>
      </c>
      <c r="D888">
        <v>29.26</v>
      </c>
      <c r="E888" s="1" t="s">
        <v>1832</v>
      </c>
      <c r="F888" s="1" t="s">
        <v>40</v>
      </c>
      <c r="G888">
        <v>19</v>
      </c>
      <c r="H888" s="1" t="s">
        <v>96</v>
      </c>
      <c r="I888" s="1" t="s">
        <v>59</v>
      </c>
      <c r="J888">
        <v>5</v>
      </c>
      <c r="K888">
        <v>16.989999999999998</v>
      </c>
      <c r="L888" s="1" t="s">
        <v>60</v>
      </c>
      <c r="M888" s="1" t="s">
        <v>61</v>
      </c>
      <c r="N888" s="1" t="s">
        <v>62</v>
      </c>
      <c r="O888" s="1" t="s">
        <v>31</v>
      </c>
      <c r="P888" s="2">
        <v>45726</v>
      </c>
      <c r="Q888" s="1" t="s">
        <v>1012</v>
      </c>
      <c r="R888" s="1" t="s">
        <v>1013</v>
      </c>
      <c r="S888" s="1" t="s">
        <v>65</v>
      </c>
      <c r="T888" s="1" t="s">
        <v>35</v>
      </c>
      <c r="U888" s="1" t="s">
        <v>36</v>
      </c>
      <c r="V888" s="1" t="s">
        <v>67</v>
      </c>
      <c r="W888">
        <v>3</v>
      </c>
    </row>
    <row r="889" spans="1:23" x14ac:dyDescent="0.3">
      <c r="A889" s="1" t="s">
        <v>2021</v>
      </c>
      <c r="B889">
        <v>1</v>
      </c>
      <c r="C889">
        <v>27.99</v>
      </c>
      <c r="D889">
        <v>27.99</v>
      </c>
      <c r="E889" s="1" t="s">
        <v>856</v>
      </c>
      <c r="F889" s="1" t="s">
        <v>40</v>
      </c>
      <c r="G889">
        <v>2</v>
      </c>
      <c r="H889" s="1" t="s">
        <v>58</v>
      </c>
      <c r="I889" s="1" t="s">
        <v>75</v>
      </c>
      <c r="J889">
        <v>9</v>
      </c>
      <c r="K889">
        <v>27.99</v>
      </c>
      <c r="L889" s="1" t="s">
        <v>28</v>
      </c>
      <c r="M889" s="1" t="s">
        <v>61</v>
      </c>
      <c r="N889" s="1" t="s">
        <v>62</v>
      </c>
      <c r="O889" s="1" t="s">
        <v>31</v>
      </c>
      <c r="P889" s="2">
        <v>45726</v>
      </c>
      <c r="Q889" s="1" t="s">
        <v>1157</v>
      </c>
      <c r="R889" s="1" t="s">
        <v>2022</v>
      </c>
      <c r="S889" s="1" t="s">
        <v>34</v>
      </c>
      <c r="T889" s="1" t="s">
        <v>35</v>
      </c>
      <c r="U889" s="1" t="s">
        <v>82</v>
      </c>
      <c r="V889" s="1" t="s">
        <v>37</v>
      </c>
      <c r="W889">
        <v>2</v>
      </c>
    </row>
    <row r="890" spans="1:23" x14ac:dyDescent="0.3">
      <c r="A890" s="1" t="s">
        <v>2023</v>
      </c>
      <c r="B890">
        <v>1</v>
      </c>
      <c r="C890">
        <v>30.99</v>
      </c>
      <c r="D890">
        <v>30.99</v>
      </c>
      <c r="E890" s="1" t="s">
        <v>228</v>
      </c>
      <c r="F890" s="1" t="s">
        <v>40</v>
      </c>
      <c r="G890">
        <v>2</v>
      </c>
      <c r="H890" s="1" t="s">
        <v>41</v>
      </c>
      <c r="I890" s="1" t="s">
        <v>42</v>
      </c>
      <c r="J890">
        <v>10.5</v>
      </c>
      <c r="K890">
        <v>30.99</v>
      </c>
      <c r="L890" s="1" t="s">
        <v>28</v>
      </c>
      <c r="M890" s="1" t="s">
        <v>43</v>
      </c>
      <c r="N890" s="1" t="s">
        <v>44</v>
      </c>
      <c r="O890" s="1" t="s">
        <v>31</v>
      </c>
      <c r="P890" s="2">
        <v>45823</v>
      </c>
      <c r="Q890" s="1" t="s">
        <v>2000</v>
      </c>
      <c r="R890" s="1" t="s">
        <v>2001</v>
      </c>
      <c r="S890" s="1" t="s">
        <v>54</v>
      </c>
      <c r="T890" s="1" t="s">
        <v>35</v>
      </c>
      <c r="U890" s="1" t="s">
        <v>55</v>
      </c>
      <c r="V890" s="1" t="s">
        <v>37</v>
      </c>
      <c r="W890">
        <v>2</v>
      </c>
    </row>
    <row r="891" spans="1:23" x14ac:dyDescent="0.3">
      <c r="A891" s="1" t="s">
        <v>2024</v>
      </c>
      <c r="B891">
        <v>3</v>
      </c>
      <c r="C891">
        <v>27.99</v>
      </c>
      <c r="D891">
        <v>67.02</v>
      </c>
      <c r="E891" s="1" t="s">
        <v>69</v>
      </c>
      <c r="F891" s="1" t="s">
        <v>40</v>
      </c>
      <c r="G891">
        <v>3</v>
      </c>
      <c r="H891" s="1" t="s">
        <v>41</v>
      </c>
      <c r="I891" s="1" t="s">
        <v>75</v>
      </c>
      <c r="J891">
        <v>9</v>
      </c>
      <c r="K891">
        <v>27.99</v>
      </c>
      <c r="L891" s="1" t="s">
        <v>28</v>
      </c>
      <c r="M891" s="1" t="s">
        <v>61</v>
      </c>
      <c r="N891" s="1" t="s">
        <v>62</v>
      </c>
      <c r="O891" s="1" t="s">
        <v>31</v>
      </c>
      <c r="P891" s="2">
        <v>45726</v>
      </c>
      <c r="Q891" s="1" t="s">
        <v>1466</v>
      </c>
      <c r="R891" s="1" t="s">
        <v>1467</v>
      </c>
      <c r="S891" s="1" t="s">
        <v>65</v>
      </c>
      <c r="T891" s="1" t="s">
        <v>35</v>
      </c>
      <c r="U891" s="1" t="s">
        <v>48</v>
      </c>
      <c r="V891" s="1" t="s">
        <v>37</v>
      </c>
      <c r="W891">
        <v>2</v>
      </c>
    </row>
    <row r="892" spans="1:23" x14ac:dyDescent="0.3">
      <c r="A892" s="1" t="s">
        <v>2025</v>
      </c>
      <c r="B892">
        <v>3</v>
      </c>
      <c r="C892">
        <v>30.99</v>
      </c>
      <c r="D892">
        <v>73.319999999999993</v>
      </c>
      <c r="E892" s="1" t="s">
        <v>1227</v>
      </c>
      <c r="F892" s="1" t="s">
        <v>188</v>
      </c>
      <c r="G892">
        <v>0</v>
      </c>
      <c r="H892" s="1" t="s">
        <v>41</v>
      </c>
      <c r="I892" s="1" t="s">
        <v>42</v>
      </c>
      <c r="J892">
        <v>10.5</v>
      </c>
      <c r="K892">
        <v>30.99</v>
      </c>
      <c r="L892" s="1" t="s">
        <v>28</v>
      </c>
      <c r="M892" s="1" t="s">
        <v>43</v>
      </c>
      <c r="N892" s="1" t="s">
        <v>44</v>
      </c>
      <c r="O892" s="1" t="s">
        <v>31</v>
      </c>
      <c r="P892" s="2">
        <v>45823</v>
      </c>
      <c r="Q892" s="1" t="s">
        <v>1887</v>
      </c>
      <c r="R892" s="1" t="s">
        <v>1888</v>
      </c>
      <c r="S892" s="1" t="s">
        <v>88</v>
      </c>
      <c r="T892" s="1" t="s">
        <v>35</v>
      </c>
      <c r="U892" s="1" t="s">
        <v>82</v>
      </c>
      <c r="V892" s="1" t="s">
        <v>37</v>
      </c>
      <c r="W892">
        <v>2</v>
      </c>
    </row>
    <row r="893" spans="1:23" x14ac:dyDescent="0.3">
      <c r="A893" s="1" t="s">
        <v>2026</v>
      </c>
      <c r="B893">
        <v>1</v>
      </c>
      <c r="C893">
        <v>16.989999999999998</v>
      </c>
      <c r="D893">
        <v>16.989999999999998</v>
      </c>
      <c r="E893" s="1" t="s">
        <v>2027</v>
      </c>
      <c r="F893" s="1" t="s">
        <v>40</v>
      </c>
      <c r="G893">
        <v>16</v>
      </c>
      <c r="H893" s="1" t="s">
        <v>41</v>
      </c>
      <c r="I893" s="1" t="s">
        <v>59</v>
      </c>
      <c r="J893">
        <v>5</v>
      </c>
      <c r="K893">
        <v>16.989999999999998</v>
      </c>
      <c r="L893" s="1" t="s">
        <v>60</v>
      </c>
      <c r="M893" s="1" t="s">
        <v>61</v>
      </c>
      <c r="N893" s="1" t="s">
        <v>62</v>
      </c>
      <c r="O893" s="1" t="s">
        <v>31</v>
      </c>
      <c r="P893" s="2">
        <v>45726</v>
      </c>
      <c r="Q893" s="1" t="s">
        <v>1184</v>
      </c>
      <c r="R893" s="1" t="s">
        <v>2028</v>
      </c>
      <c r="S893" s="1" t="s">
        <v>105</v>
      </c>
      <c r="T893" s="1" t="s">
        <v>35</v>
      </c>
      <c r="U893" s="1" t="s">
        <v>36</v>
      </c>
      <c r="V893" s="1" t="s">
        <v>67</v>
      </c>
      <c r="W893">
        <v>3</v>
      </c>
    </row>
    <row r="894" spans="1:23" x14ac:dyDescent="0.3">
      <c r="A894" s="1" t="s">
        <v>2029</v>
      </c>
      <c r="B894">
        <v>3</v>
      </c>
      <c r="C894">
        <v>27.99</v>
      </c>
      <c r="D894">
        <v>67.39</v>
      </c>
      <c r="E894" s="1" t="s">
        <v>181</v>
      </c>
      <c r="F894" s="1" t="s">
        <v>40</v>
      </c>
      <c r="G894">
        <v>2</v>
      </c>
      <c r="H894" s="1" t="s">
        <v>96</v>
      </c>
      <c r="I894" s="1" t="s">
        <v>75</v>
      </c>
      <c r="J894">
        <v>9</v>
      </c>
      <c r="K894">
        <v>27.99</v>
      </c>
      <c r="L894" s="1" t="s">
        <v>28</v>
      </c>
      <c r="M894" s="1" t="s">
        <v>61</v>
      </c>
      <c r="N894" s="1" t="s">
        <v>62</v>
      </c>
      <c r="O894" s="1" t="s">
        <v>31</v>
      </c>
      <c r="P894" s="2">
        <v>45726</v>
      </c>
      <c r="Q894" s="1" t="s">
        <v>1739</v>
      </c>
      <c r="R894" s="1" t="s">
        <v>1740</v>
      </c>
      <c r="S894" s="1" t="s">
        <v>65</v>
      </c>
      <c r="T894" s="1" t="s">
        <v>35</v>
      </c>
      <c r="U894" s="1" t="s">
        <v>36</v>
      </c>
      <c r="V894" s="1" t="s">
        <v>37</v>
      </c>
      <c r="W894">
        <v>2</v>
      </c>
    </row>
    <row r="895" spans="1:23" x14ac:dyDescent="0.3">
      <c r="A895" s="1" t="s">
        <v>2030</v>
      </c>
      <c r="B895">
        <v>3</v>
      </c>
      <c r="C895">
        <v>18.989999999999998</v>
      </c>
      <c r="D895">
        <v>45.14</v>
      </c>
      <c r="E895" s="1" t="s">
        <v>348</v>
      </c>
      <c r="F895" s="1" t="s">
        <v>40</v>
      </c>
      <c r="G895">
        <v>19</v>
      </c>
      <c r="H895" s="1" t="s">
        <v>96</v>
      </c>
      <c r="I895" s="1" t="s">
        <v>97</v>
      </c>
      <c r="J895">
        <v>6</v>
      </c>
      <c r="K895">
        <v>18.989999999999998</v>
      </c>
      <c r="L895" s="1" t="s">
        <v>60</v>
      </c>
      <c r="M895" s="1" t="s">
        <v>43</v>
      </c>
      <c r="N895" s="1" t="s">
        <v>44</v>
      </c>
      <c r="O895" s="1" t="s">
        <v>31</v>
      </c>
      <c r="P895" s="2">
        <v>45823</v>
      </c>
      <c r="Q895" s="1" t="s">
        <v>1349</v>
      </c>
      <c r="R895" s="1" t="s">
        <v>1439</v>
      </c>
      <c r="S895" s="1" t="s">
        <v>65</v>
      </c>
      <c r="T895" s="1" t="s">
        <v>35</v>
      </c>
      <c r="U895" s="1" t="s">
        <v>36</v>
      </c>
      <c r="V895" s="1" t="s">
        <v>100</v>
      </c>
      <c r="W895">
        <v>3.2</v>
      </c>
    </row>
    <row r="896" spans="1:23" x14ac:dyDescent="0.3">
      <c r="A896" s="1" t="s">
        <v>2031</v>
      </c>
      <c r="B896">
        <v>1</v>
      </c>
      <c r="C896">
        <v>30.99</v>
      </c>
      <c r="D896">
        <v>30.99</v>
      </c>
      <c r="E896" s="1" t="s">
        <v>1194</v>
      </c>
      <c r="F896" s="1" t="s">
        <v>40</v>
      </c>
      <c r="G896">
        <v>3</v>
      </c>
      <c r="H896" s="1" t="s">
        <v>41</v>
      </c>
      <c r="I896" s="1" t="s">
        <v>42</v>
      </c>
      <c r="J896">
        <v>10.5</v>
      </c>
      <c r="K896">
        <v>30.99</v>
      </c>
      <c r="L896" s="1" t="s">
        <v>28</v>
      </c>
      <c r="M896" s="1" t="s">
        <v>43</v>
      </c>
      <c r="N896" s="1" t="s">
        <v>44</v>
      </c>
      <c r="O896" s="1" t="s">
        <v>31</v>
      </c>
      <c r="P896" s="2">
        <v>45823</v>
      </c>
      <c r="Q896" s="1" t="s">
        <v>305</v>
      </c>
      <c r="R896" s="1" t="s">
        <v>1560</v>
      </c>
      <c r="S896" s="1" t="s">
        <v>65</v>
      </c>
      <c r="T896" s="1" t="s">
        <v>35</v>
      </c>
      <c r="U896" s="1" t="s">
        <v>55</v>
      </c>
      <c r="V896" s="1" t="s">
        <v>37</v>
      </c>
      <c r="W896">
        <v>2</v>
      </c>
    </row>
    <row r="897" spans="1:23" x14ac:dyDescent="0.3">
      <c r="A897" s="1" t="s">
        <v>2032</v>
      </c>
      <c r="B897">
        <v>1</v>
      </c>
      <c r="C897">
        <v>34.99</v>
      </c>
      <c r="D897">
        <v>34.99</v>
      </c>
      <c r="E897" s="1" t="s">
        <v>933</v>
      </c>
      <c r="F897" s="1" t="s">
        <v>51</v>
      </c>
      <c r="G897">
        <v>0</v>
      </c>
      <c r="H897" s="1" t="s">
        <v>96</v>
      </c>
      <c r="I897" s="1" t="s">
        <v>85</v>
      </c>
      <c r="J897">
        <v>12.5</v>
      </c>
      <c r="K897">
        <v>34.99</v>
      </c>
      <c r="L897" s="1" t="s">
        <v>60</v>
      </c>
      <c r="M897" s="1" t="s">
        <v>29</v>
      </c>
      <c r="N897" s="1" t="s">
        <v>30</v>
      </c>
      <c r="O897" s="1" t="s">
        <v>31</v>
      </c>
      <c r="P897" s="2">
        <v>45778</v>
      </c>
      <c r="Q897" s="1" t="s">
        <v>909</v>
      </c>
      <c r="R897" s="1" t="s">
        <v>1247</v>
      </c>
      <c r="S897" s="1" t="s">
        <v>88</v>
      </c>
      <c r="T897" s="1" t="s">
        <v>35</v>
      </c>
      <c r="U897" s="1" t="s">
        <v>55</v>
      </c>
      <c r="V897" s="1" t="s">
        <v>89</v>
      </c>
      <c r="W897">
        <v>2.4</v>
      </c>
    </row>
    <row r="898" spans="1:23" x14ac:dyDescent="0.3">
      <c r="A898" s="1" t="s">
        <v>2033</v>
      </c>
      <c r="B898">
        <v>3</v>
      </c>
      <c r="C898">
        <v>34.99</v>
      </c>
      <c r="D898">
        <v>83.76</v>
      </c>
      <c r="E898" s="1" t="s">
        <v>946</v>
      </c>
      <c r="F898" s="1" t="s">
        <v>40</v>
      </c>
      <c r="G898">
        <v>8</v>
      </c>
      <c r="H898" s="1" t="s">
        <v>26</v>
      </c>
      <c r="I898" s="1" t="s">
        <v>85</v>
      </c>
      <c r="J898">
        <v>12.5</v>
      </c>
      <c r="K898">
        <v>34.99</v>
      </c>
      <c r="L898" s="1" t="s">
        <v>60</v>
      </c>
      <c r="M898" s="1" t="s">
        <v>29</v>
      </c>
      <c r="N898" s="1" t="s">
        <v>30</v>
      </c>
      <c r="O898" s="1" t="s">
        <v>31</v>
      </c>
      <c r="P898" s="2">
        <v>45778</v>
      </c>
      <c r="Q898" s="1" t="s">
        <v>1204</v>
      </c>
      <c r="R898" s="1" t="s">
        <v>1205</v>
      </c>
      <c r="S898" s="1" t="s">
        <v>34</v>
      </c>
      <c r="T898" s="1" t="s">
        <v>35</v>
      </c>
      <c r="U898" s="1" t="s">
        <v>48</v>
      </c>
      <c r="V898" s="1" t="s">
        <v>89</v>
      </c>
      <c r="W898">
        <v>2.4</v>
      </c>
    </row>
    <row r="899" spans="1:23" x14ac:dyDescent="0.3">
      <c r="A899" s="1" t="s">
        <v>2034</v>
      </c>
      <c r="B899">
        <v>2</v>
      </c>
      <c r="C899">
        <v>27.99</v>
      </c>
      <c r="D899">
        <v>48.78</v>
      </c>
      <c r="E899" s="1" t="s">
        <v>168</v>
      </c>
      <c r="F899" s="1" t="s">
        <v>40</v>
      </c>
      <c r="G899">
        <v>2</v>
      </c>
      <c r="H899" s="1" t="s">
        <v>96</v>
      </c>
      <c r="I899" s="1" t="s">
        <v>75</v>
      </c>
      <c r="J899">
        <v>9</v>
      </c>
      <c r="K899">
        <v>27.99</v>
      </c>
      <c r="L899" s="1" t="s">
        <v>28</v>
      </c>
      <c r="M899" s="1" t="s">
        <v>61</v>
      </c>
      <c r="N899" s="1" t="s">
        <v>62</v>
      </c>
      <c r="O899" s="1" t="s">
        <v>31</v>
      </c>
      <c r="P899" s="2">
        <v>45726</v>
      </c>
      <c r="Q899" s="1" t="s">
        <v>873</v>
      </c>
      <c r="R899" s="1" t="s">
        <v>874</v>
      </c>
      <c r="S899" s="1" t="s">
        <v>105</v>
      </c>
      <c r="T899" s="1" t="s">
        <v>35</v>
      </c>
      <c r="U899" s="1" t="s">
        <v>48</v>
      </c>
      <c r="V899" s="1" t="s">
        <v>37</v>
      </c>
      <c r="W899">
        <v>2</v>
      </c>
    </row>
    <row r="900" spans="1:23" x14ac:dyDescent="0.3">
      <c r="A900" s="1" t="s">
        <v>2035</v>
      </c>
      <c r="B900">
        <v>1</v>
      </c>
      <c r="C900">
        <v>30.99</v>
      </c>
      <c r="D900">
        <v>30.99</v>
      </c>
      <c r="E900" s="1" t="s">
        <v>1100</v>
      </c>
      <c r="F900" s="1" t="s">
        <v>40</v>
      </c>
      <c r="G900">
        <v>6</v>
      </c>
      <c r="H900" s="1" t="s">
        <v>96</v>
      </c>
      <c r="I900" s="1" t="s">
        <v>42</v>
      </c>
      <c r="J900">
        <v>10.5</v>
      </c>
      <c r="K900">
        <v>30.99</v>
      </c>
      <c r="L900" s="1" t="s">
        <v>28</v>
      </c>
      <c r="M900" s="1" t="s">
        <v>43</v>
      </c>
      <c r="N900" s="1" t="s">
        <v>44</v>
      </c>
      <c r="O900" s="1" t="s">
        <v>31</v>
      </c>
      <c r="P900" s="2">
        <v>45823</v>
      </c>
      <c r="Q900" s="1" t="s">
        <v>1147</v>
      </c>
      <c r="R900" s="1" t="s">
        <v>1148</v>
      </c>
      <c r="S900" s="1" t="s">
        <v>34</v>
      </c>
      <c r="T900" s="1" t="s">
        <v>35</v>
      </c>
      <c r="U900" s="1" t="s">
        <v>55</v>
      </c>
      <c r="V900" s="1" t="s">
        <v>37</v>
      </c>
      <c r="W900">
        <v>2</v>
      </c>
    </row>
    <row r="901" spans="1:23" x14ac:dyDescent="0.3">
      <c r="A901" s="1" t="s">
        <v>2036</v>
      </c>
      <c r="B901">
        <v>1</v>
      </c>
      <c r="C901">
        <v>27.99</v>
      </c>
      <c r="D901">
        <v>27.99</v>
      </c>
      <c r="E901" s="1" t="s">
        <v>274</v>
      </c>
      <c r="F901" s="1" t="s">
        <v>40</v>
      </c>
      <c r="G901">
        <v>6</v>
      </c>
      <c r="H901" s="1" t="s">
        <v>58</v>
      </c>
      <c r="I901" s="1" t="s">
        <v>75</v>
      </c>
      <c r="J901">
        <v>9</v>
      </c>
      <c r="K901">
        <v>27.99</v>
      </c>
      <c r="L901" s="1" t="s">
        <v>28</v>
      </c>
      <c r="M901" s="1" t="s">
        <v>61</v>
      </c>
      <c r="N901" s="1" t="s">
        <v>62</v>
      </c>
      <c r="O901" s="1" t="s">
        <v>31</v>
      </c>
      <c r="P901" s="2">
        <v>45726</v>
      </c>
      <c r="Q901" s="1" t="s">
        <v>518</v>
      </c>
      <c r="R901" s="1" t="s">
        <v>1463</v>
      </c>
      <c r="S901" s="1" t="s">
        <v>34</v>
      </c>
      <c r="T901" s="1" t="s">
        <v>35</v>
      </c>
      <c r="U901" s="1" t="s">
        <v>66</v>
      </c>
      <c r="V901" s="1" t="s">
        <v>37</v>
      </c>
      <c r="W901">
        <v>2</v>
      </c>
    </row>
    <row r="902" spans="1:23" x14ac:dyDescent="0.3">
      <c r="A902" s="1" t="s">
        <v>2037</v>
      </c>
      <c r="B902">
        <v>3</v>
      </c>
      <c r="C902">
        <v>27.99</v>
      </c>
      <c r="D902">
        <v>65.98</v>
      </c>
      <c r="E902" s="1" t="s">
        <v>2038</v>
      </c>
      <c r="F902" s="1" t="s">
        <v>51</v>
      </c>
      <c r="G902">
        <v>0</v>
      </c>
      <c r="H902" s="1" t="s">
        <v>41</v>
      </c>
      <c r="I902" s="1" t="s">
        <v>75</v>
      </c>
      <c r="J902">
        <v>9</v>
      </c>
      <c r="K902">
        <v>27.99</v>
      </c>
      <c r="L902" s="1" t="s">
        <v>28</v>
      </c>
      <c r="M902" s="1" t="s">
        <v>61</v>
      </c>
      <c r="N902" s="1" t="s">
        <v>62</v>
      </c>
      <c r="O902" s="1" t="s">
        <v>31</v>
      </c>
      <c r="P902" s="2">
        <v>45726</v>
      </c>
      <c r="Q902" s="1" t="s">
        <v>1272</v>
      </c>
      <c r="R902" s="1" t="s">
        <v>1273</v>
      </c>
      <c r="S902" s="1" t="s">
        <v>88</v>
      </c>
      <c r="T902" s="1" t="s">
        <v>35</v>
      </c>
      <c r="U902" s="1" t="s">
        <v>48</v>
      </c>
      <c r="V902" s="1" t="s">
        <v>37</v>
      </c>
      <c r="W902">
        <v>2</v>
      </c>
    </row>
    <row r="903" spans="1:23" x14ac:dyDescent="0.3">
      <c r="A903" s="1" t="s">
        <v>2039</v>
      </c>
      <c r="B903">
        <v>1</v>
      </c>
      <c r="C903">
        <v>27.99</v>
      </c>
      <c r="D903">
        <v>27.99</v>
      </c>
      <c r="E903" s="1" t="s">
        <v>2040</v>
      </c>
      <c r="F903" s="1" t="s">
        <v>70</v>
      </c>
      <c r="G903">
        <v>0</v>
      </c>
      <c r="H903" s="1" t="s">
        <v>41</v>
      </c>
      <c r="I903" s="1" t="s">
        <v>75</v>
      </c>
      <c r="J903">
        <v>9</v>
      </c>
      <c r="K903">
        <v>27.99</v>
      </c>
      <c r="L903" s="1" t="s">
        <v>28</v>
      </c>
      <c r="M903" s="1" t="s">
        <v>61</v>
      </c>
      <c r="N903" s="1" t="s">
        <v>62</v>
      </c>
      <c r="O903" s="1" t="s">
        <v>31</v>
      </c>
      <c r="P903" s="2">
        <v>45726</v>
      </c>
      <c r="Q903" s="1" t="s">
        <v>738</v>
      </c>
      <c r="R903" s="1" t="s">
        <v>739</v>
      </c>
      <c r="S903" s="1" t="s">
        <v>34</v>
      </c>
      <c r="T903" s="1" t="s">
        <v>35</v>
      </c>
      <c r="U903" s="1" t="s">
        <v>82</v>
      </c>
      <c r="V903" s="1" t="s">
        <v>37</v>
      </c>
      <c r="W903">
        <v>2</v>
      </c>
    </row>
    <row r="904" spans="1:23" x14ac:dyDescent="0.3">
      <c r="A904" s="1" t="s">
        <v>2041</v>
      </c>
      <c r="B904">
        <v>1</v>
      </c>
      <c r="C904">
        <v>21.99</v>
      </c>
      <c r="D904">
        <v>21.99</v>
      </c>
      <c r="E904" s="1" t="s">
        <v>1895</v>
      </c>
      <c r="F904" s="1" t="s">
        <v>40</v>
      </c>
      <c r="G904">
        <v>3</v>
      </c>
      <c r="H904" s="1" t="s">
        <v>41</v>
      </c>
      <c r="I904" s="1" t="s">
        <v>27</v>
      </c>
      <c r="J904">
        <v>7</v>
      </c>
      <c r="K904">
        <v>21.99</v>
      </c>
      <c r="L904" s="1" t="s">
        <v>28</v>
      </c>
      <c r="M904" s="1" t="s">
        <v>29</v>
      </c>
      <c r="N904" s="1" t="s">
        <v>30</v>
      </c>
      <c r="O904" s="1" t="s">
        <v>31</v>
      </c>
      <c r="P904" s="2">
        <v>45778</v>
      </c>
      <c r="Q904" s="1" t="s">
        <v>2042</v>
      </c>
      <c r="R904" s="1" t="s">
        <v>2043</v>
      </c>
      <c r="S904" s="1" t="s">
        <v>65</v>
      </c>
      <c r="T904" s="1" t="s">
        <v>35</v>
      </c>
      <c r="U904" s="1" t="s">
        <v>36</v>
      </c>
      <c r="V904" s="1" t="s">
        <v>37</v>
      </c>
      <c r="W904">
        <v>2</v>
      </c>
    </row>
    <row r="905" spans="1:23" x14ac:dyDescent="0.3">
      <c r="A905" s="1" t="s">
        <v>2044</v>
      </c>
      <c r="B905">
        <v>1</v>
      </c>
      <c r="C905">
        <v>34.99</v>
      </c>
      <c r="D905">
        <v>34.99</v>
      </c>
      <c r="E905" s="1" t="s">
        <v>2045</v>
      </c>
      <c r="F905" s="1" t="s">
        <v>40</v>
      </c>
      <c r="G905">
        <v>6</v>
      </c>
      <c r="H905" s="1" t="s">
        <v>41</v>
      </c>
      <c r="I905" s="1" t="s">
        <v>85</v>
      </c>
      <c r="J905">
        <v>12.5</v>
      </c>
      <c r="K905">
        <v>34.99</v>
      </c>
      <c r="L905" s="1" t="s">
        <v>60</v>
      </c>
      <c r="M905" s="1" t="s">
        <v>29</v>
      </c>
      <c r="N905" s="1" t="s">
        <v>30</v>
      </c>
      <c r="O905" s="1" t="s">
        <v>31</v>
      </c>
      <c r="P905" s="2">
        <v>45778</v>
      </c>
      <c r="Q905" s="1" t="s">
        <v>926</v>
      </c>
      <c r="R905" s="1" t="s">
        <v>2046</v>
      </c>
      <c r="S905" s="1" t="s">
        <v>34</v>
      </c>
      <c r="T905" s="1" t="s">
        <v>35</v>
      </c>
      <c r="U905" s="1" t="s">
        <v>55</v>
      </c>
      <c r="V905" s="1" t="s">
        <v>89</v>
      </c>
      <c r="W905">
        <v>2.4</v>
      </c>
    </row>
    <row r="906" spans="1:23" x14ac:dyDescent="0.3">
      <c r="A906" s="1" t="s">
        <v>2047</v>
      </c>
      <c r="B906">
        <v>2</v>
      </c>
      <c r="C906">
        <v>18.989999999999998</v>
      </c>
      <c r="D906">
        <v>32.76</v>
      </c>
      <c r="E906" s="1" t="s">
        <v>2048</v>
      </c>
      <c r="F906" s="1" t="s">
        <v>25</v>
      </c>
      <c r="G906">
        <v>15</v>
      </c>
      <c r="H906" s="1" t="s">
        <v>96</v>
      </c>
      <c r="I906" s="1" t="s">
        <v>97</v>
      </c>
      <c r="J906">
        <v>6</v>
      </c>
      <c r="K906">
        <v>18.989999999999998</v>
      </c>
      <c r="L906" s="1" t="s">
        <v>60</v>
      </c>
      <c r="M906" s="1" t="s">
        <v>43</v>
      </c>
      <c r="N906" s="1" t="s">
        <v>44</v>
      </c>
      <c r="O906" s="1" t="s">
        <v>31</v>
      </c>
      <c r="P906" s="2">
        <v>45823</v>
      </c>
      <c r="Q906" s="1" t="s">
        <v>385</v>
      </c>
      <c r="R906" s="1" t="s">
        <v>998</v>
      </c>
      <c r="S906" s="1" t="s">
        <v>54</v>
      </c>
      <c r="T906" s="1" t="s">
        <v>35</v>
      </c>
      <c r="U906" s="1" t="s">
        <v>48</v>
      </c>
      <c r="V906" s="1" t="s">
        <v>100</v>
      </c>
      <c r="W906">
        <v>3.2</v>
      </c>
    </row>
    <row r="907" spans="1:23" x14ac:dyDescent="0.3">
      <c r="A907" s="1" t="s">
        <v>2049</v>
      </c>
      <c r="B907">
        <v>3</v>
      </c>
      <c r="C907">
        <v>34.99</v>
      </c>
      <c r="D907">
        <v>83.85</v>
      </c>
      <c r="E907" s="1" t="s">
        <v>457</v>
      </c>
      <c r="F907" s="1" t="s">
        <v>40</v>
      </c>
      <c r="G907">
        <v>5</v>
      </c>
      <c r="H907" s="1" t="s">
        <v>96</v>
      </c>
      <c r="I907" s="1" t="s">
        <v>85</v>
      </c>
      <c r="J907">
        <v>12.5</v>
      </c>
      <c r="K907">
        <v>34.99</v>
      </c>
      <c r="L907" s="1" t="s">
        <v>60</v>
      </c>
      <c r="M907" s="1" t="s">
        <v>29</v>
      </c>
      <c r="N907" s="1" t="s">
        <v>30</v>
      </c>
      <c r="O907" s="1" t="s">
        <v>31</v>
      </c>
      <c r="P907" s="2">
        <v>45778</v>
      </c>
      <c r="Q907" s="1" t="s">
        <v>1032</v>
      </c>
      <c r="R907" s="1" t="s">
        <v>1033</v>
      </c>
      <c r="S907" s="1" t="s">
        <v>105</v>
      </c>
      <c r="T907" s="1" t="s">
        <v>35</v>
      </c>
      <c r="U907" s="1" t="s">
        <v>55</v>
      </c>
      <c r="V907" s="1" t="s">
        <v>89</v>
      </c>
      <c r="W907">
        <v>2.4</v>
      </c>
    </row>
    <row r="908" spans="1:23" x14ac:dyDescent="0.3">
      <c r="A908" s="1" t="s">
        <v>2050</v>
      </c>
      <c r="B908">
        <v>2</v>
      </c>
      <c r="C908">
        <v>30.99</v>
      </c>
      <c r="D908">
        <v>53.47</v>
      </c>
      <c r="E908" s="1" t="s">
        <v>1570</v>
      </c>
      <c r="F908" s="1" t="s">
        <v>40</v>
      </c>
      <c r="G908">
        <v>2</v>
      </c>
      <c r="H908" s="1" t="s">
        <v>58</v>
      </c>
      <c r="I908" s="1" t="s">
        <v>42</v>
      </c>
      <c r="J908">
        <v>10.5</v>
      </c>
      <c r="K908">
        <v>30.99</v>
      </c>
      <c r="L908" s="1" t="s">
        <v>28</v>
      </c>
      <c r="M908" s="1" t="s">
        <v>43</v>
      </c>
      <c r="N908" s="1" t="s">
        <v>44</v>
      </c>
      <c r="O908" s="1" t="s">
        <v>31</v>
      </c>
      <c r="P908" s="2">
        <v>45823</v>
      </c>
      <c r="Q908" s="1" t="s">
        <v>975</v>
      </c>
      <c r="R908" s="1" t="s">
        <v>1518</v>
      </c>
      <c r="S908" s="1" t="s">
        <v>105</v>
      </c>
      <c r="T908" s="1" t="s">
        <v>35</v>
      </c>
      <c r="U908" s="1" t="s">
        <v>48</v>
      </c>
      <c r="V908" s="1" t="s">
        <v>37</v>
      </c>
      <c r="W908">
        <v>2</v>
      </c>
    </row>
    <row r="909" spans="1:23" x14ac:dyDescent="0.3">
      <c r="A909" s="1" t="s">
        <v>2051</v>
      </c>
      <c r="B909">
        <v>1</v>
      </c>
      <c r="C909">
        <v>27.99</v>
      </c>
      <c r="D909">
        <v>27.99</v>
      </c>
      <c r="E909" s="1" t="s">
        <v>57</v>
      </c>
      <c r="F909" s="1" t="s">
        <v>51</v>
      </c>
      <c r="G909">
        <v>0</v>
      </c>
      <c r="H909" s="1" t="s">
        <v>58</v>
      </c>
      <c r="I909" s="1" t="s">
        <v>75</v>
      </c>
      <c r="J909">
        <v>9</v>
      </c>
      <c r="K909">
        <v>27.99</v>
      </c>
      <c r="L909" s="1" t="s">
        <v>28</v>
      </c>
      <c r="M909" s="1" t="s">
        <v>61</v>
      </c>
      <c r="N909" s="1" t="s">
        <v>62</v>
      </c>
      <c r="O909" s="1" t="s">
        <v>31</v>
      </c>
      <c r="P909" s="2">
        <v>45726</v>
      </c>
      <c r="Q909" s="1" t="s">
        <v>1676</v>
      </c>
      <c r="R909" s="1" t="s">
        <v>1677</v>
      </c>
      <c r="S909" s="1" t="s">
        <v>105</v>
      </c>
      <c r="T909" s="1" t="s">
        <v>35</v>
      </c>
      <c r="U909" s="1" t="s">
        <v>66</v>
      </c>
      <c r="V909" s="1" t="s">
        <v>37</v>
      </c>
      <c r="W909">
        <v>2</v>
      </c>
    </row>
    <row r="910" spans="1:23" x14ac:dyDescent="0.3">
      <c r="A910" s="1" t="s">
        <v>2052</v>
      </c>
      <c r="B910">
        <v>1</v>
      </c>
      <c r="C910">
        <v>27.99</v>
      </c>
      <c r="D910">
        <v>27.99</v>
      </c>
      <c r="E910" s="1" t="s">
        <v>1002</v>
      </c>
      <c r="F910" s="1" t="s">
        <v>51</v>
      </c>
      <c r="G910">
        <v>0</v>
      </c>
      <c r="H910" s="1" t="s">
        <v>41</v>
      </c>
      <c r="I910" s="1" t="s">
        <v>75</v>
      </c>
      <c r="J910">
        <v>9</v>
      </c>
      <c r="K910">
        <v>27.99</v>
      </c>
      <c r="L910" s="1" t="s">
        <v>28</v>
      </c>
      <c r="M910" s="1" t="s">
        <v>61</v>
      </c>
      <c r="N910" s="1" t="s">
        <v>62</v>
      </c>
      <c r="O910" s="1" t="s">
        <v>31</v>
      </c>
      <c r="P910" s="2">
        <v>45726</v>
      </c>
      <c r="Q910" s="1" t="s">
        <v>147</v>
      </c>
      <c r="R910" s="1" t="s">
        <v>1601</v>
      </c>
      <c r="S910" s="1" t="s">
        <v>105</v>
      </c>
      <c r="T910" s="1" t="s">
        <v>35</v>
      </c>
      <c r="U910" s="1" t="s">
        <v>55</v>
      </c>
      <c r="V910" s="1" t="s">
        <v>37</v>
      </c>
      <c r="W910">
        <v>2</v>
      </c>
    </row>
    <row r="911" spans="1:23" x14ac:dyDescent="0.3">
      <c r="A911" s="1" t="s">
        <v>2053</v>
      </c>
      <c r="B911">
        <v>3</v>
      </c>
      <c r="C911">
        <v>27.99</v>
      </c>
      <c r="D911">
        <v>66.14</v>
      </c>
      <c r="E911" s="1" t="s">
        <v>2054</v>
      </c>
      <c r="F911" s="1" t="s">
        <v>40</v>
      </c>
      <c r="G911">
        <v>2</v>
      </c>
      <c r="H911" s="1" t="s">
        <v>96</v>
      </c>
      <c r="I911" s="1" t="s">
        <v>75</v>
      </c>
      <c r="J911">
        <v>9</v>
      </c>
      <c r="K911">
        <v>27.99</v>
      </c>
      <c r="L911" s="1" t="s">
        <v>28</v>
      </c>
      <c r="M911" s="1" t="s">
        <v>61</v>
      </c>
      <c r="N911" s="1" t="s">
        <v>62</v>
      </c>
      <c r="O911" s="1" t="s">
        <v>31</v>
      </c>
      <c r="P911" s="2">
        <v>45726</v>
      </c>
      <c r="Q911" s="1" t="s">
        <v>1408</v>
      </c>
      <c r="R911" s="1" t="s">
        <v>2055</v>
      </c>
      <c r="S911" s="1" t="s">
        <v>54</v>
      </c>
      <c r="T911" s="1" t="s">
        <v>35</v>
      </c>
      <c r="U911" s="1" t="s">
        <v>82</v>
      </c>
      <c r="V911" s="1" t="s">
        <v>37</v>
      </c>
      <c r="W911">
        <v>2</v>
      </c>
    </row>
    <row r="912" spans="1:23" x14ac:dyDescent="0.3">
      <c r="A912" s="1" t="s">
        <v>2056</v>
      </c>
      <c r="B912">
        <v>1</v>
      </c>
      <c r="C912">
        <v>27.99</v>
      </c>
      <c r="D912">
        <v>27.99</v>
      </c>
      <c r="E912" s="1" t="s">
        <v>1002</v>
      </c>
      <c r="F912" s="1" t="s">
        <v>40</v>
      </c>
      <c r="G912">
        <v>2</v>
      </c>
      <c r="H912" s="1" t="s">
        <v>58</v>
      </c>
      <c r="I912" s="1" t="s">
        <v>75</v>
      </c>
      <c r="J912">
        <v>9</v>
      </c>
      <c r="K912">
        <v>27.99</v>
      </c>
      <c r="L912" s="1" t="s">
        <v>28</v>
      </c>
      <c r="M912" s="1" t="s">
        <v>61</v>
      </c>
      <c r="N912" s="1" t="s">
        <v>62</v>
      </c>
      <c r="O912" s="1" t="s">
        <v>31</v>
      </c>
      <c r="P912" s="2">
        <v>45726</v>
      </c>
      <c r="Q912" s="1" t="s">
        <v>797</v>
      </c>
      <c r="R912" s="1" t="s">
        <v>1810</v>
      </c>
      <c r="S912" s="1" t="s">
        <v>88</v>
      </c>
      <c r="T912" s="1" t="s">
        <v>35</v>
      </c>
      <c r="U912" s="1" t="s">
        <v>66</v>
      </c>
      <c r="V912" s="1" t="s">
        <v>37</v>
      </c>
      <c r="W912">
        <v>2</v>
      </c>
    </row>
    <row r="913" spans="1:23" x14ac:dyDescent="0.3">
      <c r="A913" s="1" t="s">
        <v>2057</v>
      </c>
      <c r="B913">
        <v>1</v>
      </c>
      <c r="C913">
        <v>21.99</v>
      </c>
      <c r="D913">
        <v>21.99</v>
      </c>
      <c r="E913" s="1" t="s">
        <v>143</v>
      </c>
      <c r="F913" s="1" t="s">
        <v>40</v>
      </c>
      <c r="G913">
        <v>2</v>
      </c>
      <c r="H913" s="1" t="s">
        <v>26</v>
      </c>
      <c r="I913" s="1" t="s">
        <v>27</v>
      </c>
      <c r="J913">
        <v>7</v>
      </c>
      <c r="K913">
        <v>21.99</v>
      </c>
      <c r="L913" s="1" t="s">
        <v>28</v>
      </c>
      <c r="M913" s="1" t="s">
        <v>29</v>
      </c>
      <c r="N913" s="1" t="s">
        <v>30</v>
      </c>
      <c r="O913" s="1" t="s">
        <v>31</v>
      </c>
      <c r="P913" s="2">
        <v>45778</v>
      </c>
      <c r="Q913" s="1" t="s">
        <v>335</v>
      </c>
      <c r="R913" s="1" t="s">
        <v>2058</v>
      </c>
      <c r="S913" s="1" t="s">
        <v>65</v>
      </c>
      <c r="T913" s="1" t="s">
        <v>35</v>
      </c>
      <c r="U913" s="1" t="s">
        <v>48</v>
      </c>
      <c r="V913" s="1" t="s">
        <v>37</v>
      </c>
      <c r="W913">
        <v>2</v>
      </c>
    </row>
    <row r="914" spans="1:23" x14ac:dyDescent="0.3">
      <c r="A914" s="1" t="s">
        <v>2059</v>
      </c>
      <c r="B914">
        <v>1</v>
      </c>
      <c r="C914">
        <v>30.99</v>
      </c>
      <c r="D914">
        <v>30.99</v>
      </c>
      <c r="E914" s="1" t="s">
        <v>1881</v>
      </c>
      <c r="F914" s="1" t="s">
        <v>40</v>
      </c>
      <c r="G914">
        <v>3</v>
      </c>
      <c r="H914" s="1" t="s">
        <v>96</v>
      </c>
      <c r="I914" s="1" t="s">
        <v>42</v>
      </c>
      <c r="J914">
        <v>10.5</v>
      </c>
      <c r="K914">
        <v>30.99</v>
      </c>
      <c r="L914" s="1" t="s">
        <v>28</v>
      </c>
      <c r="M914" s="1" t="s">
        <v>43</v>
      </c>
      <c r="N914" s="1" t="s">
        <v>44</v>
      </c>
      <c r="O914" s="1" t="s">
        <v>31</v>
      </c>
      <c r="P914" s="2">
        <v>45823</v>
      </c>
      <c r="Q914" s="1" t="s">
        <v>1191</v>
      </c>
      <c r="R914" s="1" t="s">
        <v>1192</v>
      </c>
      <c r="S914" s="1" t="s">
        <v>88</v>
      </c>
      <c r="T914" s="1" t="s">
        <v>35</v>
      </c>
      <c r="U914" s="1" t="s">
        <v>55</v>
      </c>
      <c r="V914" s="1" t="s">
        <v>37</v>
      </c>
      <c r="W914">
        <v>2</v>
      </c>
    </row>
    <row r="915" spans="1:23" x14ac:dyDescent="0.3">
      <c r="A915" s="1" t="s">
        <v>2060</v>
      </c>
      <c r="B915">
        <v>1</v>
      </c>
      <c r="C915">
        <v>16.989999999999998</v>
      </c>
      <c r="D915">
        <v>16.989999999999998</v>
      </c>
      <c r="E915" s="1" t="s">
        <v>91</v>
      </c>
      <c r="F915" s="1" t="s">
        <v>40</v>
      </c>
      <c r="G915">
        <v>20</v>
      </c>
      <c r="H915" s="1" t="s">
        <v>26</v>
      </c>
      <c r="I915" s="1" t="s">
        <v>59</v>
      </c>
      <c r="J915">
        <v>5</v>
      </c>
      <c r="K915">
        <v>16.989999999999998</v>
      </c>
      <c r="L915" s="1" t="s">
        <v>60</v>
      </c>
      <c r="M915" s="1" t="s">
        <v>61</v>
      </c>
      <c r="N915" s="1" t="s">
        <v>62</v>
      </c>
      <c r="O915" s="1" t="s">
        <v>31</v>
      </c>
      <c r="P915" s="2">
        <v>45726</v>
      </c>
      <c r="Q915" s="1" t="s">
        <v>1028</v>
      </c>
      <c r="R915" s="1" t="s">
        <v>1029</v>
      </c>
      <c r="S915" s="1" t="s">
        <v>105</v>
      </c>
      <c r="T915" s="1" t="s">
        <v>35</v>
      </c>
      <c r="U915" s="1" t="s">
        <v>36</v>
      </c>
      <c r="V915" s="1" t="s">
        <v>67</v>
      </c>
      <c r="W915">
        <v>3</v>
      </c>
    </row>
    <row r="916" spans="1:23" x14ac:dyDescent="0.3">
      <c r="A916" s="1" t="s">
        <v>2061</v>
      </c>
      <c r="B916">
        <v>1</v>
      </c>
      <c r="C916">
        <v>30.99</v>
      </c>
      <c r="D916">
        <v>30.99</v>
      </c>
      <c r="E916" s="1" t="s">
        <v>2062</v>
      </c>
      <c r="F916" s="1" t="s">
        <v>40</v>
      </c>
      <c r="G916">
        <v>3</v>
      </c>
      <c r="H916" s="1" t="s">
        <v>26</v>
      </c>
      <c r="I916" s="1" t="s">
        <v>42</v>
      </c>
      <c r="J916">
        <v>10.5</v>
      </c>
      <c r="K916">
        <v>30.99</v>
      </c>
      <c r="L916" s="1" t="s">
        <v>28</v>
      </c>
      <c r="M916" s="1" t="s">
        <v>43</v>
      </c>
      <c r="N916" s="1" t="s">
        <v>44</v>
      </c>
      <c r="O916" s="1" t="s">
        <v>31</v>
      </c>
      <c r="P916" s="2">
        <v>45823</v>
      </c>
      <c r="Q916" s="1" t="s">
        <v>1018</v>
      </c>
      <c r="R916" s="1" t="s">
        <v>1725</v>
      </c>
      <c r="S916" s="1" t="s">
        <v>47</v>
      </c>
      <c r="T916" s="1" t="s">
        <v>35</v>
      </c>
      <c r="U916" s="1" t="s">
        <v>55</v>
      </c>
      <c r="V916" s="1" t="s">
        <v>37</v>
      </c>
      <c r="W916">
        <v>2</v>
      </c>
    </row>
    <row r="917" spans="1:23" x14ac:dyDescent="0.3">
      <c r="A917" s="1" t="s">
        <v>2063</v>
      </c>
      <c r="B917">
        <v>1</v>
      </c>
      <c r="C917">
        <v>18.989999999999998</v>
      </c>
      <c r="D917">
        <v>18.989999999999998</v>
      </c>
      <c r="E917" s="1" t="s">
        <v>2064</v>
      </c>
      <c r="F917" s="1" t="s">
        <v>40</v>
      </c>
      <c r="G917">
        <v>14</v>
      </c>
      <c r="H917" s="1" t="s">
        <v>96</v>
      </c>
      <c r="I917" s="1" t="s">
        <v>97</v>
      </c>
      <c r="J917">
        <v>6</v>
      </c>
      <c r="K917">
        <v>18.989999999999998</v>
      </c>
      <c r="L917" s="1" t="s">
        <v>60</v>
      </c>
      <c r="M917" s="1" t="s">
        <v>43</v>
      </c>
      <c r="N917" s="1" t="s">
        <v>44</v>
      </c>
      <c r="O917" s="1" t="s">
        <v>31</v>
      </c>
      <c r="P917" s="2">
        <v>45823</v>
      </c>
      <c r="Q917" s="1" t="s">
        <v>2065</v>
      </c>
      <c r="R917" s="1" t="s">
        <v>2066</v>
      </c>
      <c r="S917" s="1" t="s">
        <v>47</v>
      </c>
      <c r="T917" s="1" t="s">
        <v>35</v>
      </c>
      <c r="U917" s="1" t="s">
        <v>66</v>
      </c>
      <c r="V917" s="1" t="s">
        <v>100</v>
      </c>
      <c r="W917">
        <v>3.2</v>
      </c>
    </row>
    <row r="918" spans="1:23" x14ac:dyDescent="0.3">
      <c r="A918" s="1" t="s">
        <v>2067</v>
      </c>
      <c r="B918">
        <v>1</v>
      </c>
      <c r="C918">
        <v>34.99</v>
      </c>
      <c r="D918">
        <v>34.99</v>
      </c>
      <c r="E918" s="1" t="s">
        <v>187</v>
      </c>
      <c r="F918" s="1" t="s">
        <v>40</v>
      </c>
      <c r="G918">
        <v>8</v>
      </c>
      <c r="H918" s="1" t="s">
        <v>58</v>
      </c>
      <c r="I918" s="1" t="s">
        <v>85</v>
      </c>
      <c r="J918">
        <v>12.5</v>
      </c>
      <c r="K918">
        <v>34.99</v>
      </c>
      <c r="L918" s="1" t="s">
        <v>60</v>
      </c>
      <c r="M918" s="1" t="s">
        <v>29</v>
      </c>
      <c r="N918" s="1" t="s">
        <v>30</v>
      </c>
      <c r="O918" s="1" t="s">
        <v>31</v>
      </c>
      <c r="P918" s="2">
        <v>45778</v>
      </c>
      <c r="Q918" s="1" t="s">
        <v>1116</v>
      </c>
      <c r="R918" s="1" t="s">
        <v>1117</v>
      </c>
      <c r="S918" s="1" t="s">
        <v>88</v>
      </c>
      <c r="T918" s="1" t="s">
        <v>35</v>
      </c>
      <c r="U918" s="1" t="s">
        <v>55</v>
      </c>
      <c r="V918" s="1" t="s">
        <v>89</v>
      </c>
      <c r="W918">
        <v>2.4</v>
      </c>
    </row>
    <row r="919" spans="1:23" x14ac:dyDescent="0.3">
      <c r="A919" s="1" t="s">
        <v>2068</v>
      </c>
      <c r="B919">
        <v>1</v>
      </c>
      <c r="C919">
        <v>34.99</v>
      </c>
      <c r="D919">
        <v>34.99</v>
      </c>
      <c r="E919" s="1" t="s">
        <v>1153</v>
      </c>
      <c r="F919" s="1" t="s">
        <v>188</v>
      </c>
      <c r="G919">
        <v>0</v>
      </c>
      <c r="H919" s="1" t="s">
        <v>41</v>
      </c>
      <c r="I919" s="1" t="s">
        <v>85</v>
      </c>
      <c r="J919">
        <v>12.5</v>
      </c>
      <c r="K919">
        <v>34.99</v>
      </c>
      <c r="L919" s="1" t="s">
        <v>60</v>
      </c>
      <c r="M919" s="1" t="s">
        <v>29</v>
      </c>
      <c r="N919" s="1" t="s">
        <v>30</v>
      </c>
      <c r="O919" s="1" t="s">
        <v>31</v>
      </c>
      <c r="P919" s="2">
        <v>45778</v>
      </c>
      <c r="Q919" s="1" t="s">
        <v>1052</v>
      </c>
      <c r="R919" s="1" t="s">
        <v>1053</v>
      </c>
      <c r="S919" s="1" t="s">
        <v>105</v>
      </c>
      <c r="T919" s="1" t="s">
        <v>35</v>
      </c>
      <c r="U919" s="1" t="s">
        <v>55</v>
      </c>
      <c r="V919" s="1" t="s">
        <v>89</v>
      </c>
      <c r="W919">
        <v>2.4</v>
      </c>
    </row>
    <row r="920" spans="1:23" x14ac:dyDescent="0.3">
      <c r="A920" s="1" t="s">
        <v>2069</v>
      </c>
      <c r="B920">
        <v>2</v>
      </c>
      <c r="C920">
        <v>16.989999999999998</v>
      </c>
      <c r="D920">
        <v>29.3</v>
      </c>
      <c r="E920" s="1" t="s">
        <v>2070</v>
      </c>
      <c r="F920" s="1" t="s">
        <v>40</v>
      </c>
      <c r="G920">
        <v>16</v>
      </c>
      <c r="H920" s="1" t="s">
        <v>96</v>
      </c>
      <c r="I920" s="1" t="s">
        <v>59</v>
      </c>
      <c r="J920">
        <v>5</v>
      </c>
      <c r="K920">
        <v>16.989999999999998</v>
      </c>
      <c r="L920" s="1" t="s">
        <v>60</v>
      </c>
      <c r="M920" s="1" t="s">
        <v>61</v>
      </c>
      <c r="N920" s="1" t="s">
        <v>62</v>
      </c>
      <c r="O920" s="1" t="s">
        <v>31</v>
      </c>
      <c r="P920" s="2">
        <v>45726</v>
      </c>
      <c r="Q920" s="1" t="s">
        <v>1275</v>
      </c>
      <c r="R920" s="1" t="s">
        <v>1276</v>
      </c>
      <c r="S920" s="1" t="s">
        <v>47</v>
      </c>
      <c r="T920" s="1" t="s">
        <v>35</v>
      </c>
      <c r="U920" s="1" t="s">
        <v>66</v>
      </c>
      <c r="V920" s="1" t="s">
        <v>67</v>
      </c>
      <c r="W920">
        <v>3</v>
      </c>
    </row>
    <row r="921" spans="1:23" x14ac:dyDescent="0.3">
      <c r="A921" s="1" t="s">
        <v>2071</v>
      </c>
      <c r="B921">
        <v>3</v>
      </c>
      <c r="C921">
        <v>16.989999999999998</v>
      </c>
      <c r="D921">
        <v>40.96</v>
      </c>
      <c r="E921" s="1" t="s">
        <v>763</v>
      </c>
      <c r="F921" s="1" t="s">
        <v>40</v>
      </c>
      <c r="G921">
        <v>17</v>
      </c>
      <c r="H921" s="1" t="s">
        <v>41</v>
      </c>
      <c r="I921" s="1" t="s">
        <v>59</v>
      </c>
      <c r="J921">
        <v>5</v>
      </c>
      <c r="K921">
        <v>16.989999999999998</v>
      </c>
      <c r="L921" s="1" t="s">
        <v>60</v>
      </c>
      <c r="M921" s="1" t="s">
        <v>61</v>
      </c>
      <c r="N921" s="1" t="s">
        <v>62</v>
      </c>
      <c r="O921" s="1" t="s">
        <v>31</v>
      </c>
      <c r="P921" s="2">
        <v>45726</v>
      </c>
      <c r="Q921" s="1" t="s">
        <v>118</v>
      </c>
      <c r="R921" s="1" t="s">
        <v>751</v>
      </c>
      <c r="S921" s="1" t="s">
        <v>65</v>
      </c>
      <c r="T921" s="1" t="s">
        <v>35</v>
      </c>
      <c r="U921" s="1" t="s">
        <v>82</v>
      </c>
      <c r="V921" s="1" t="s">
        <v>67</v>
      </c>
      <c r="W921">
        <v>3</v>
      </c>
    </row>
    <row r="922" spans="1:23" x14ac:dyDescent="0.3">
      <c r="A922" s="1" t="s">
        <v>2072</v>
      </c>
      <c r="B922">
        <v>3</v>
      </c>
      <c r="C922">
        <v>27.99</v>
      </c>
      <c r="D922">
        <v>66.09</v>
      </c>
      <c r="E922" s="1" t="s">
        <v>900</v>
      </c>
      <c r="F922" s="1" t="s">
        <v>40</v>
      </c>
      <c r="G922">
        <v>3</v>
      </c>
      <c r="H922" s="1" t="s">
        <v>26</v>
      </c>
      <c r="I922" s="1" t="s">
        <v>75</v>
      </c>
      <c r="J922">
        <v>9</v>
      </c>
      <c r="K922">
        <v>27.99</v>
      </c>
      <c r="L922" s="1" t="s">
        <v>28</v>
      </c>
      <c r="M922" s="1" t="s">
        <v>61</v>
      </c>
      <c r="N922" s="1" t="s">
        <v>62</v>
      </c>
      <c r="O922" s="1" t="s">
        <v>31</v>
      </c>
      <c r="P922" s="2">
        <v>45726</v>
      </c>
      <c r="Q922" s="1" t="s">
        <v>947</v>
      </c>
      <c r="R922" s="1" t="s">
        <v>1425</v>
      </c>
      <c r="S922" s="1" t="s">
        <v>88</v>
      </c>
      <c r="T922" s="1" t="s">
        <v>35</v>
      </c>
      <c r="U922" s="1" t="s">
        <v>55</v>
      </c>
      <c r="V922" s="1" t="s">
        <v>37</v>
      </c>
      <c r="W922">
        <v>2</v>
      </c>
    </row>
    <row r="923" spans="1:23" x14ac:dyDescent="0.3">
      <c r="A923" s="1" t="s">
        <v>2073</v>
      </c>
      <c r="B923">
        <v>1</v>
      </c>
      <c r="C923">
        <v>27.99</v>
      </c>
      <c r="D923">
        <v>27.99</v>
      </c>
      <c r="E923" s="1" t="s">
        <v>577</v>
      </c>
      <c r="F923" s="1" t="s">
        <v>40</v>
      </c>
      <c r="G923">
        <v>3</v>
      </c>
      <c r="H923" s="1" t="s">
        <v>41</v>
      </c>
      <c r="I923" s="1" t="s">
        <v>75</v>
      </c>
      <c r="J923">
        <v>9</v>
      </c>
      <c r="K923">
        <v>27.99</v>
      </c>
      <c r="L923" s="1" t="s">
        <v>28</v>
      </c>
      <c r="M923" s="1" t="s">
        <v>61</v>
      </c>
      <c r="N923" s="1" t="s">
        <v>62</v>
      </c>
      <c r="O923" s="1" t="s">
        <v>31</v>
      </c>
      <c r="P923" s="2">
        <v>45726</v>
      </c>
      <c r="Q923" s="1" t="s">
        <v>140</v>
      </c>
      <c r="R923" s="1" t="s">
        <v>1199</v>
      </c>
      <c r="S923" s="1" t="s">
        <v>65</v>
      </c>
      <c r="T923" s="1" t="s">
        <v>35</v>
      </c>
      <c r="U923" s="1" t="s">
        <v>36</v>
      </c>
      <c r="V923" s="1" t="s">
        <v>37</v>
      </c>
      <c r="W923">
        <v>2</v>
      </c>
    </row>
    <row r="924" spans="1:23" x14ac:dyDescent="0.3">
      <c r="A924" s="1" t="s">
        <v>2074</v>
      </c>
      <c r="B924">
        <v>1</v>
      </c>
      <c r="C924">
        <v>21.99</v>
      </c>
      <c r="D924">
        <v>21.99</v>
      </c>
      <c r="E924" s="1" t="s">
        <v>1006</v>
      </c>
      <c r="F924" s="1" t="s">
        <v>40</v>
      </c>
      <c r="G924">
        <v>3</v>
      </c>
      <c r="H924" s="1" t="s">
        <v>41</v>
      </c>
      <c r="I924" s="1" t="s">
        <v>27</v>
      </c>
      <c r="J924">
        <v>7</v>
      </c>
      <c r="K924">
        <v>21.99</v>
      </c>
      <c r="L924" s="1" t="s">
        <v>28</v>
      </c>
      <c r="M924" s="1" t="s">
        <v>29</v>
      </c>
      <c r="N924" s="1" t="s">
        <v>30</v>
      </c>
      <c r="O924" s="1" t="s">
        <v>31</v>
      </c>
      <c r="P924" s="2">
        <v>45778</v>
      </c>
      <c r="Q924" s="1" t="s">
        <v>2015</v>
      </c>
      <c r="R924" s="1" t="s">
        <v>2016</v>
      </c>
      <c r="S924" s="1" t="s">
        <v>65</v>
      </c>
      <c r="T924" s="1" t="s">
        <v>35</v>
      </c>
      <c r="U924" s="1" t="s">
        <v>48</v>
      </c>
      <c r="V924" s="1" t="s">
        <v>37</v>
      </c>
      <c r="W924">
        <v>2</v>
      </c>
    </row>
    <row r="925" spans="1:23" x14ac:dyDescent="0.3">
      <c r="A925" s="1" t="s">
        <v>2075</v>
      </c>
      <c r="B925">
        <v>3</v>
      </c>
      <c r="C925">
        <v>16.989999999999998</v>
      </c>
      <c r="D925">
        <v>40.92</v>
      </c>
      <c r="E925" s="1" t="s">
        <v>929</v>
      </c>
      <c r="F925" s="1" t="s">
        <v>25</v>
      </c>
      <c r="G925">
        <v>18</v>
      </c>
      <c r="H925" s="1" t="s">
        <v>58</v>
      </c>
      <c r="I925" s="1" t="s">
        <v>59</v>
      </c>
      <c r="J925">
        <v>5</v>
      </c>
      <c r="K925">
        <v>16.989999999999998</v>
      </c>
      <c r="L925" s="1" t="s">
        <v>60</v>
      </c>
      <c r="M925" s="1" t="s">
        <v>61</v>
      </c>
      <c r="N925" s="1" t="s">
        <v>62</v>
      </c>
      <c r="O925" s="1" t="s">
        <v>31</v>
      </c>
      <c r="P925" s="2">
        <v>45726</v>
      </c>
      <c r="Q925" s="1" t="s">
        <v>1018</v>
      </c>
      <c r="R925" s="1" t="s">
        <v>1019</v>
      </c>
      <c r="S925" s="1" t="s">
        <v>34</v>
      </c>
      <c r="T925" s="1" t="s">
        <v>35</v>
      </c>
      <c r="U925" s="1" t="s">
        <v>82</v>
      </c>
      <c r="V925" s="1" t="s">
        <v>67</v>
      </c>
      <c r="W925">
        <v>3</v>
      </c>
    </row>
    <row r="926" spans="1:23" x14ac:dyDescent="0.3">
      <c r="A926" s="1" t="s">
        <v>2076</v>
      </c>
      <c r="B926">
        <v>1</v>
      </c>
      <c r="C926">
        <v>30.99</v>
      </c>
      <c r="D926">
        <v>30.99</v>
      </c>
      <c r="E926" s="1" t="s">
        <v>1572</v>
      </c>
      <c r="F926" s="1" t="s">
        <v>40</v>
      </c>
      <c r="G926">
        <v>2</v>
      </c>
      <c r="H926" s="1" t="s">
        <v>58</v>
      </c>
      <c r="I926" s="1" t="s">
        <v>42</v>
      </c>
      <c r="J926">
        <v>10.5</v>
      </c>
      <c r="K926">
        <v>30.99</v>
      </c>
      <c r="L926" s="1" t="s">
        <v>28</v>
      </c>
      <c r="M926" s="1" t="s">
        <v>43</v>
      </c>
      <c r="N926" s="1" t="s">
        <v>44</v>
      </c>
      <c r="O926" s="1" t="s">
        <v>31</v>
      </c>
      <c r="P926" s="2">
        <v>45823</v>
      </c>
      <c r="Q926" s="1" t="s">
        <v>814</v>
      </c>
      <c r="R926" s="1" t="s">
        <v>2077</v>
      </c>
      <c r="S926" s="1" t="s">
        <v>34</v>
      </c>
      <c r="T926" s="1" t="s">
        <v>35</v>
      </c>
      <c r="U926" s="1" t="s">
        <v>55</v>
      </c>
      <c r="V926" s="1" t="s">
        <v>37</v>
      </c>
      <c r="W926">
        <v>2</v>
      </c>
    </row>
    <row r="927" spans="1:23" x14ac:dyDescent="0.3">
      <c r="A927" s="1" t="s">
        <v>2078</v>
      </c>
      <c r="B927">
        <v>3</v>
      </c>
      <c r="C927">
        <v>18.989999999999998</v>
      </c>
      <c r="D927">
        <v>45.8</v>
      </c>
      <c r="E927" s="1" t="s">
        <v>493</v>
      </c>
      <c r="F927" s="1" t="s">
        <v>40</v>
      </c>
      <c r="G927">
        <v>14</v>
      </c>
      <c r="H927" s="1" t="s">
        <v>96</v>
      </c>
      <c r="I927" s="1" t="s">
        <v>97</v>
      </c>
      <c r="J927">
        <v>6</v>
      </c>
      <c r="K927">
        <v>18.989999999999998</v>
      </c>
      <c r="L927" s="1" t="s">
        <v>60</v>
      </c>
      <c r="M927" s="1" t="s">
        <v>43</v>
      </c>
      <c r="N927" s="1" t="s">
        <v>44</v>
      </c>
      <c r="O927" s="1" t="s">
        <v>31</v>
      </c>
      <c r="P927" s="2">
        <v>45823</v>
      </c>
      <c r="Q927" s="1" t="s">
        <v>842</v>
      </c>
      <c r="R927" s="1" t="s">
        <v>843</v>
      </c>
      <c r="S927" s="1" t="s">
        <v>54</v>
      </c>
      <c r="T927" s="1" t="s">
        <v>35</v>
      </c>
      <c r="U927" s="1" t="s">
        <v>36</v>
      </c>
      <c r="V927" s="1" t="s">
        <v>100</v>
      </c>
      <c r="W927">
        <v>3.2</v>
      </c>
    </row>
    <row r="928" spans="1:23" x14ac:dyDescent="0.3">
      <c r="A928" s="1" t="s">
        <v>2079</v>
      </c>
      <c r="B928">
        <v>1</v>
      </c>
      <c r="C928">
        <v>16.989999999999998</v>
      </c>
      <c r="D928">
        <v>16.989999999999998</v>
      </c>
      <c r="E928" s="1" t="s">
        <v>1877</v>
      </c>
      <c r="F928" s="1" t="s">
        <v>40</v>
      </c>
      <c r="G928">
        <v>20</v>
      </c>
      <c r="H928" s="1" t="s">
        <v>26</v>
      </c>
      <c r="I928" s="1" t="s">
        <v>59</v>
      </c>
      <c r="J928">
        <v>5</v>
      </c>
      <c r="K928">
        <v>16.989999999999998</v>
      </c>
      <c r="L928" s="1" t="s">
        <v>60</v>
      </c>
      <c r="M928" s="1" t="s">
        <v>61</v>
      </c>
      <c r="N928" s="1" t="s">
        <v>62</v>
      </c>
      <c r="O928" s="1" t="s">
        <v>31</v>
      </c>
      <c r="P928" s="2">
        <v>45726</v>
      </c>
      <c r="Q928" s="1" t="s">
        <v>2042</v>
      </c>
      <c r="R928" s="1" t="s">
        <v>2043</v>
      </c>
      <c r="S928" s="1" t="s">
        <v>65</v>
      </c>
      <c r="T928" s="1" t="s">
        <v>35</v>
      </c>
      <c r="U928" s="1" t="s">
        <v>36</v>
      </c>
      <c r="V928" s="1" t="s">
        <v>67</v>
      </c>
      <c r="W928">
        <v>3</v>
      </c>
    </row>
    <row r="929" spans="1:23" x14ac:dyDescent="0.3">
      <c r="A929" s="1" t="s">
        <v>2080</v>
      </c>
      <c r="B929">
        <v>1</v>
      </c>
      <c r="C929">
        <v>27.99</v>
      </c>
      <c r="D929">
        <v>27.99</v>
      </c>
      <c r="E929" s="1" t="s">
        <v>1285</v>
      </c>
      <c r="F929" s="1" t="s">
        <v>40</v>
      </c>
      <c r="G929">
        <v>3</v>
      </c>
      <c r="H929" s="1" t="s">
        <v>26</v>
      </c>
      <c r="I929" s="1" t="s">
        <v>75</v>
      </c>
      <c r="J929">
        <v>9</v>
      </c>
      <c r="K929">
        <v>27.99</v>
      </c>
      <c r="L929" s="1" t="s">
        <v>28</v>
      </c>
      <c r="M929" s="1" t="s">
        <v>61</v>
      </c>
      <c r="N929" s="1" t="s">
        <v>62</v>
      </c>
      <c r="O929" s="1" t="s">
        <v>31</v>
      </c>
      <c r="P929" s="2">
        <v>45726</v>
      </c>
      <c r="Q929" s="1" t="s">
        <v>1003</v>
      </c>
      <c r="R929" s="1" t="s">
        <v>1542</v>
      </c>
      <c r="S929" s="1" t="s">
        <v>54</v>
      </c>
      <c r="T929" s="1" t="s">
        <v>35</v>
      </c>
      <c r="U929" s="1" t="s">
        <v>48</v>
      </c>
      <c r="V929" s="1" t="s">
        <v>37</v>
      </c>
      <c r="W929">
        <v>2</v>
      </c>
    </row>
    <row r="930" spans="1:23" x14ac:dyDescent="0.3">
      <c r="A930" s="1" t="s">
        <v>2081</v>
      </c>
      <c r="B930">
        <v>1</v>
      </c>
      <c r="C930">
        <v>34.99</v>
      </c>
      <c r="D930">
        <v>34.99</v>
      </c>
      <c r="E930" s="1" t="s">
        <v>2082</v>
      </c>
      <c r="F930" s="1" t="s">
        <v>51</v>
      </c>
      <c r="G930">
        <v>0</v>
      </c>
      <c r="H930" s="1" t="s">
        <v>58</v>
      </c>
      <c r="I930" s="1" t="s">
        <v>85</v>
      </c>
      <c r="J930">
        <v>12.5</v>
      </c>
      <c r="K930">
        <v>34.99</v>
      </c>
      <c r="L930" s="1" t="s">
        <v>60</v>
      </c>
      <c r="M930" s="1" t="s">
        <v>29</v>
      </c>
      <c r="N930" s="1" t="s">
        <v>30</v>
      </c>
      <c r="O930" s="1" t="s">
        <v>31</v>
      </c>
      <c r="P930" s="2">
        <v>45778</v>
      </c>
      <c r="Q930" s="1" t="s">
        <v>1018</v>
      </c>
      <c r="R930" s="1" t="s">
        <v>1019</v>
      </c>
      <c r="S930" s="1" t="s">
        <v>34</v>
      </c>
      <c r="T930" s="1" t="s">
        <v>35</v>
      </c>
      <c r="U930" s="1" t="s">
        <v>82</v>
      </c>
      <c r="V930" s="1" t="s">
        <v>89</v>
      </c>
      <c r="W930">
        <v>2.4</v>
      </c>
    </row>
    <row r="931" spans="1:23" x14ac:dyDescent="0.3">
      <c r="A931" s="1" t="s">
        <v>2083</v>
      </c>
      <c r="B931">
        <v>1</v>
      </c>
      <c r="C931">
        <v>21.99</v>
      </c>
      <c r="D931">
        <v>21.99</v>
      </c>
      <c r="E931" s="1" t="s">
        <v>2084</v>
      </c>
      <c r="F931" s="1" t="s">
        <v>40</v>
      </c>
      <c r="G931">
        <v>2</v>
      </c>
      <c r="H931" s="1" t="s">
        <v>26</v>
      </c>
      <c r="I931" s="1" t="s">
        <v>27</v>
      </c>
      <c r="J931">
        <v>7</v>
      </c>
      <c r="K931">
        <v>21.99</v>
      </c>
      <c r="L931" s="1" t="s">
        <v>28</v>
      </c>
      <c r="M931" s="1" t="s">
        <v>29</v>
      </c>
      <c r="N931" s="1" t="s">
        <v>30</v>
      </c>
      <c r="O931" s="1" t="s">
        <v>31</v>
      </c>
      <c r="P931" s="2">
        <v>45778</v>
      </c>
      <c r="Q931" s="1" t="s">
        <v>1822</v>
      </c>
      <c r="R931" s="1" t="s">
        <v>1823</v>
      </c>
      <c r="S931" s="1" t="s">
        <v>105</v>
      </c>
      <c r="T931" s="1" t="s">
        <v>35</v>
      </c>
      <c r="U931" s="1" t="s">
        <v>82</v>
      </c>
      <c r="V931" s="1" t="s">
        <v>37</v>
      </c>
      <c r="W931">
        <v>2</v>
      </c>
    </row>
    <row r="932" spans="1:23" x14ac:dyDescent="0.3">
      <c r="A932" s="1" t="s">
        <v>2085</v>
      </c>
      <c r="B932">
        <v>3</v>
      </c>
      <c r="C932">
        <v>16.989999999999998</v>
      </c>
      <c r="D932">
        <v>40.619999999999997</v>
      </c>
      <c r="E932" s="1" t="s">
        <v>1168</v>
      </c>
      <c r="F932" s="1" t="s">
        <v>40</v>
      </c>
      <c r="G932">
        <v>19</v>
      </c>
      <c r="H932" s="1" t="s">
        <v>26</v>
      </c>
      <c r="I932" s="1" t="s">
        <v>59</v>
      </c>
      <c r="J932">
        <v>5</v>
      </c>
      <c r="K932">
        <v>16.989999999999998</v>
      </c>
      <c r="L932" s="1" t="s">
        <v>60</v>
      </c>
      <c r="M932" s="1" t="s">
        <v>61</v>
      </c>
      <c r="N932" s="1" t="s">
        <v>62</v>
      </c>
      <c r="O932" s="1" t="s">
        <v>31</v>
      </c>
      <c r="P932" s="2">
        <v>45726</v>
      </c>
      <c r="Q932" s="1" t="s">
        <v>724</v>
      </c>
      <c r="R932" s="1" t="s">
        <v>725</v>
      </c>
      <c r="S932" s="1" t="s">
        <v>65</v>
      </c>
      <c r="T932" s="1" t="s">
        <v>35</v>
      </c>
      <c r="U932" s="1" t="s">
        <v>66</v>
      </c>
      <c r="V932" s="1" t="s">
        <v>67</v>
      </c>
      <c r="W932">
        <v>3</v>
      </c>
    </row>
    <row r="933" spans="1:23" x14ac:dyDescent="0.3">
      <c r="A933" s="1" t="s">
        <v>2086</v>
      </c>
      <c r="B933">
        <v>1</v>
      </c>
      <c r="C933">
        <v>16.989999999999998</v>
      </c>
      <c r="D933">
        <v>16.989999999999998</v>
      </c>
      <c r="E933" s="1" t="s">
        <v>246</v>
      </c>
      <c r="F933" s="1" t="s">
        <v>40</v>
      </c>
      <c r="G933">
        <v>18</v>
      </c>
      <c r="H933" s="1" t="s">
        <v>41</v>
      </c>
      <c r="I933" s="1" t="s">
        <v>59</v>
      </c>
      <c r="J933">
        <v>5</v>
      </c>
      <c r="K933">
        <v>16.989999999999998</v>
      </c>
      <c r="L933" s="1" t="s">
        <v>60</v>
      </c>
      <c r="M933" s="1" t="s">
        <v>61</v>
      </c>
      <c r="N933" s="1" t="s">
        <v>62</v>
      </c>
      <c r="O933" s="1" t="s">
        <v>31</v>
      </c>
      <c r="P933" s="2">
        <v>45726</v>
      </c>
      <c r="Q933" s="1" t="s">
        <v>133</v>
      </c>
      <c r="R933" s="1" t="s">
        <v>776</v>
      </c>
      <c r="S933" s="1" t="s">
        <v>88</v>
      </c>
      <c r="T933" s="1" t="s">
        <v>35</v>
      </c>
      <c r="U933" s="1" t="s">
        <v>48</v>
      </c>
      <c r="V933" s="1" t="s">
        <v>67</v>
      </c>
      <c r="W933">
        <v>3</v>
      </c>
    </row>
    <row r="934" spans="1:23" x14ac:dyDescent="0.3">
      <c r="A934" s="1" t="s">
        <v>2087</v>
      </c>
      <c r="B934">
        <v>1</v>
      </c>
      <c r="C934">
        <v>18.989999999999998</v>
      </c>
      <c r="D934">
        <v>18.989999999999998</v>
      </c>
      <c r="E934" s="1" t="s">
        <v>107</v>
      </c>
      <c r="F934" s="1" t="s">
        <v>40</v>
      </c>
      <c r="G934">
        <v>14</v>
      </c>
      <c r="H934" s="1" t="s">
        <v>41</v>
      </c>
      <c r="I934" s="1" t="s">
        <v>97</v>
      </c>
      <c r="J934">
        <v>6</v>
      </c>
      <c r="K934">
        <v>18.989999999999998</v>
      </c>
      <c r="L934" s="1" t="s">
        <v>60</v>
      </c>
      <c r="M934" s="1" t="s">
        <v>43</v>
      </c>
      <c r="N934" s="1" t="s">
        <v>44</v>
      </c>
      <c r="O934" s="1" t="s">
        <v>31</v>
      </c>
      <c r="P934" s="2">
        <v>45823</v>
      </c>
      <c r="Q934" s="1" t="s">
        <v>1116</v>
      </c>
      <c r="R934" s="1" t="s">
        <v>1117</v>
      </c>
      <c r="S934" s="1" t="s">
        <v>88</v>
      </c>
      <c r="T934" s="1" t="s">
        <v>35</v>
      </c>
      <c r="U934" s="1" t="s">
        <v>55</v>
      </c>
      <c r="V934" s="1" t="s">
        <v>100</v>
      </c>
      <c r="W934">
        <v>3.2</v>
      </c>
    </row>
    <row r="935" spans="1:23" x14ac:dyDescent="0.3">
      <c r="A935" s="1" t="s">
        <v>2088</v>
      </c>
      <c r="B935">
        <v>1</v>
      </c>
      <c r="C935">
        <v>16.989999999999998</v>
      </c>
      <c r="D935">
        <v>16.989999999999998</v>
      </c>
      <c r="E935" s="1" t="s">
        <v>2048</v>
      </c>
      <c r="F935" s="1" t="s">
        <v>40</v>
      </c>
      <c r="G935">
        <v>19</v>
      </c>
      <c r="H935" s="1" t="s">
        <v>26</v>
      </c>
      <c r="I935" s="1" t="s">
        <v>59</v>
      </c>
      <c r="J935">
        <v>5</v>
      </c>
      <c r="K935">
        <v>16.989999999999998</v>
      </c>
      <c r="L935" s="1" t="s">
        <v>60</v>
      </c>
      <c r="M935" s="1" t="s">
        <v>61</v>
      </c>
      <c r="N935" s="1" t="s">
        <v>62</v>
      </c>
      <c r="O935" s="1" t="s">
        <v>31</v>
      </c>
      <c r="P935" s="2">
        <v>45726</v>
      </c>
      <c r="Q935" s="1" t="s">
        <v>2089</v>
      </c>
      <c r="R935" s="1" t="s">
        <v>2090</v>
      </c>
      <c r="S935" s="1" t="s">
        <v>105</v>
      </c>
      <c r="T935" s="1" t="s">
        <v>35</v>
      </c>
      <c r="U935" s="1" t="s">
        <v>36</v>
      </c>
      <c r="V935" s="1" t="s">
        <v>67</v>
      </c>
      <c r="W935">
        <v>3</v>
      </c>
    </row>
    <row r="936" spans="1:23" x14ac:dyDescent="0.3">
      <c r="A936" s="1" t="s">
        <v>2091</v>
      </c>
      <c r="B936">
        <v>1</v>
      </c>
      <c r="C936">
        <v>16.989999999999998</v>
      </c>
      <c r="D936">
        <v>16.989999999999998</v>
      </c>
      <c r="E936" s="1" t="s">
        <v>272</v>
      </c>
      <c r="F936" s="1" t="s">
        <v>40</v>
      </c>
      <c r="G936">
        <v>15</v>
      </c>
      <c r="H936" s="1" t="s">
        <v>26</v>
      </c>
      <c r="I936" s="1" t="s">
        <v>59</v>
      </c>
      <c r="J936">
        <v>5</v>
      </c>
      <c r="K936">
        <v>16.989999999999998</v>
      </c>
      <c r="L936" s="1" t="s">
        <v>60</v>
      </c>
      <c r="M936" s="1" t="s">
        <v>61</v>
      </c>
      <c r="N936" s="1" t="s">
        <v>62</v>
      </c>
      <c r="O936" s="1" t="s">
        <v>31</v>
      </c>
      <c r="P936" s="2">
        <v>45726</v>
      </c>
      <c r="Q936" s="1" t="s">
        <v>1856</v>
      </c>
      <c r="R936" s="1" t="s">
        <v>1857</v>
      </c>
      <c r="S936" s="1" t="s">
        <v>34</v>
      </c>
      <c r="T936" s="1" t="s">
        <v>35</v>
      </c>
      <c r="U936" s="1" t="s">
        <v>36</v>
      </c>
      <c r="V936" s="1" t="s">
        <v>67</v>
      </c>
      <c r="W936">
        <v>3</v>
      </c>
    </row>
    <row r="937" spans="1:23" x14ac:dyDescent="0.3">
      <c r="A937" s="1" t="s">
        <v>2092</v>
      </c>
      <c r="B937">
        <v>1</v>
      </c>
      <c r="C937">
        <v>18.989999999999998</v>
      </c>
      <c r="D937">
        <v>18.989999999999998</v>
      </c>
      <c r="E937" s="1" t="s">
        <v>2093</v>
      </c>
      <c r="F937" s="1" t="s">
        <v>40</v>
      </c>
      <c r="G937">
        <v>13</v>
      </c>
      <c r="H937" s="1" t="s">
        <v>96</v>
      </c>
      <c r="I937" s="1" t="s">
        <v>97</v>
      </c>
      <c r="J937">
        <v>6</v>
      </c>
      <c r="K937">
        <v>18.989999999999998</v>
      </c>
      <c r="L937" s="1" t="s">
        <v>60</v>
      </c>
      <c r="M937" s="1" t="s">
        <v>43</v>
      </c>
      <c r="N937" s="1" t="s">
        <v>44</v>
      </c>
      <c r="O937" s="1" t="s">
        <v>31</v>
      </c>
      <c r="P937" s="2">
        <v>45823</v>
      </c>
      <c r="Q937" s="1" t="s">
        <v>1112</v>
      </c>
      <c r="R937" s="1" t="s">
        <v>1215</v>
      </c>
      <c r="S937" s="1" t="s">
        <v>54</v>
      </c>
      <c r="T937" s="1" t="s">
        <v>35</v>
      </c>
      <c r="U937" s="1" t="s">
        <v>48</v>
      </c>
      <c r="V937" s="1" t="s">
        <v>100</v>
      </c>
      <c r="W937">
        <v>3.2</v>
      </c>
    </row>
    <row r="938" spans="1:23" x14ac:dyDescent="0.3">
      <c r="A938" s="1" t="s">
        <v>2094</v>
      </c>
      <c r="B938">
        <v>2</v>
      </c>
      <c r="C938">
        <v>27.99</v>
      </c>
      <c r="D938">
        <v>48.98</v>
      </c>
      <c r="E938" s="1" t="s">
        <v>1883</v>
      </c>
      <c r="F938" s="1" t="s">
        <v>40</v>
      </c>
      <c r="G938">
        <v>5</v>
      </c>
      <c r="H938" s="1" t="s">
        <v>41</v>
      </c>
      <c r="I938" s="1" t="s">
        <v>75</v>
      </c>
      <c r="J938">
        <v>9</v>
      </c>
      <c r="K938">
        <v>27.99</v>
      </c>
      <c r="L938" s="1" t="s">
        <v>28</v>
      </c>
      <c r="M938" s="1" t="s">
        <v>61</v>
      </c>
      <c r="N938" s="1" t="s">
        <v>62</v>
      </c>
      <c r="O938" s="1" t="s">
        <v>31</v>
      </c>
      <c r="P938" s="2">
        <v>45726</v>
      </c>
      <c r="Q938" s="1" t="s">
        <v>1112</v>
      </c>
      <c r="R938" s="1" t="s">
        <v>1113</v>
      </c>
      <c r="S938" s="1" t="s">
        <v>105</v>
      </c>
      <c r="T938" s="1" t="s">
        <v>35</v>
      </c>
      <c r="U938" s="1" t="s">
        <v>66</v>
      </c>
      <c r="V938" s="1" t="s">
        <v>37</v>
      </c>
      <c r="W938">
        <v>2</v>
      </c>
    </row>
    <row r="939" spans="1:23" x14ac:dyDescent="0.3">
      <c r="A939" s="1" t="s">
        <v>2095</v>
      </c>
      <c r="B939">
        <v>1</v>
      </c>
      <c r="C939">
        <v>18.989999999999998</v>
      </c>
      <c r="D939">
        <v>18.989999999999998</v>
      </c>
      <c r="E939" s="1" t="s">
        <v>202</v>
      </c>
      <c r="F939" s="1" t="s">
        <v>188</v>
      </c>
      <c r="G939">
        <v>0</v>
      </c>
      <c r="H939" s="1" t="s">
        <v>96</v>
      </c>
      <c r="I939" s="1" t="s">
        <v>97</v>
      </c>
      <c r="J939">
        <v>6</v>
      </c>
      <c r="K939">
        <v>18.989999999999998</v>
      </c>
      <c r="L939" s="1" t="s">
        <v>60</v>
      </c>
      <c r="M939" s="1" t="s">
        <v>43</v>
      </c>
      <c r="N939" s="1" t="s">
        <v>44</v>
      </c>
      <c r="O939" s="1" t="s">
        <v>31</v>
      </c>
      <c r="P939" s="2">
        <v>45823</v>
      </c>
      <c r="Q939" s="1" t="s">
        <v>161</v>
      </c>
      <c r="R939" s="1" t="s">
        <v>2096</v>
      </c>
      <c r="S939" s="1" t="s">
        <v>34</v>
      </c>
      <c r="T939" s="1" t="s">
        <v>35</v>
      </c>
      <c r="U939" s="1" t="s">
        <v>48</v>
      </c>
      <c r="V939" s="1" t="s">
        <v>100</v>
      </c>
      <c r="W939">
        <v>3.2</v>
      </c>
    </row>
    <row r="940" spans="1:23" x14ac:dyDescent="0.3">
      <c r="A940" s="1" t="s">
        <v>2097</v>
      </c>
      <c r="B940">
        <v>1</v>
      </c>
      <c r="C940">
        <v>16.989999999999998</v>
      </c>
      <c r="D940">
        <v>16.989999999999998</v>
      </c>
      <c r="E940" s="1" t="s">
        <v>2098</v>
      </c>
      <c r="F940" s="1" t="s">
        <v>51</v>
      </c>
      <c r="G940">
        <v>0</v>
      </c>
      <c r="H940" s="1" t="s">
        <v>41</v>
      </c>
      <c r="I940" s="1" t="s">
        <v>59</v>
      </c>
      <c r="J940">
        <v>5</v>
      </c>
      <c r="K940">
        <v>16.989999999999998</v>
      </c>
      <c r="L940" s="1" t="s">
        <v>60</v>
      </c>
      <c r="M940" s="1" t="s">
        <v>61</v>
      </c>
      <c r="N940" s="1" t="s">
        <v>62</v>
      </c>
      <c r="O940" s="1" t="s">
        <v>31</v>
      </c>
      <c r="P940" s="2">
        <v>45726</v>
      </c>
      <c r="Q940" s="1" t="s">
        <v>1712</v>
      </c>
      <c r="R940" s="1" t="s">
        <v>1713</v>
      </c>
      <c r="S940" s="1" t="s">
        <v>34</v>
      </c>
      <c r="T940" s="1" t="s">
        <v>35</v>
      </c>
      <c r="U940" s="1" t="s">
        <v>48</v>
      </c>
      <c r="V940" s="1" t="s">
        <v>67</v>
      </c>
      <c r="W940">
        <v>3</v>
      </c>
    </row>
    <row r="941" spans="1:23" x14ac:dyDescent="0.3">
      <c r="A941" s="1" t="s">
        <v>2099</v>
      </c>
      <c r="B941">
        <v>1</v>
      </c>
      <c r="C941">
        <v>16.989999999999998</v>
      </c>
      <c r="D941">
        <v>16.989999999999998</v>
      </c>
      <c r="E941" s="1" t="s">
        <v>723</v>
      </c>
      <c r="F941" s="1" t="s">
        <v>25</v>
      </c>
      <c r="G941">
        <v>23</v>
      </c>
      <c r="H941" s="1" t="s">
        <v>58</v>
      </c>
      <c r="I941" s="1" t="s">
        <v>59</v>
      </c>
      <c r="J941">
        <v>5</v>
      </c>
      <c r="K941">
        <v>16.989999999999998</v>
      </c>
      <c r="L941" s="1" t="s">
        <v>60</v>
      </c>
      <c r="M941" s="1" t="s">
        <v>61</v>
      </c>
      <c r="N941" s="1" t="s">
        <v>62</v>
      </c>
      <c r="O941" s="1" t="s">
        <v>31</v>
      </c>
      <c r="P941" s="2">
        <v>45726</v>
      </c>
      <c r="Q941" s="1" t="s">
        <v>1256</v>
      </c>
      <c r="R941" s="1" t="s">
        <v>2100</v>
      </c>
      <c r="S941" s="1" t="s">
        <v>88</v>
      </c>
      <c r="T941" s="1" t="s">
        <v>35</v>
      </c>
      <c r="U941" s="1" t="s">
        <v>55</v>
      </c>
      <c r="V941" s="1" t="s">
        <v>67</v>
      </c>
      <c r="W941">
        <v>3</v>
      </c>
    </row>
    <row r="942" spans="1:23" x14ac:dyDescent="0.3">
      <c r="A942" s="1" t="s">
        <v>2101</v>
      </c>
      <c r="B942">
        <v>1</v>
      </c>
      <c r="C942">
        <v>30.99</v>
      </c>
      <c r="D942">
        <v>30.99</v>
      </c>
      <c r="E942" s="1" t="s">
        <v>862</v>
      </c>
      <c r="F942" s="1" t="s">
        <v>70</v>
      </c>
      <c r="G942">
        <v>0</v>
      </c>
      <c r="H942" s="1" t="s">
        <v>41</v>
      </c>
      <c r="I942" s="1" t="s">
        <v>42</v>
      </c>
      <c r="J942">
        <v>10.5</v>
      </c>
      <c r="K942">
        <v>30.99</v>
      </c>
      <c r="L942" s="1" t="s">
        <v>28</v>
      </c>
      <c r="M942" s="1" t="s">
        <v>43</v>
      </c>
      <c r="N942" s="1" t="s">
        <v>44</v>
      </c>
      <c r="O942" s="1" t="s">
        <v>31</v>
      </c>
      <c r="P942" s="2">
        <v>45823</v>
      </c>
      <c r="Q942" s="1" t="s">
        <v>917</v>
      </c>
      <c r="R942" s="1" t="s">
        <v>918</v>
      </c>
      <c r="S942" s="1" t="s">
        <v>54</v>
      </c>
      <c r="T942" s="1" t="s">
        <v>35</v>
      </c>
      <c r="U942" s="1" t="s">
        <v>36</v>
      </c>
      <c r="V942" s="1" t="s">
        <v>37</v>
      </c>
      <c r="W942">
        <v>2</v>
      </c>
    </row>
    <row r="943" spans="1:23" x14ac:dyDescent="0.3">
      <c r="A943" s="1" t="s">
        <v>2102</v>
      </c>
      <c r="B943">
        <v>1</v>
      </c>
      <c r="C943">
        <v>18.989999999999998</v>
      </c>
      <c r="D943">
        <v>18.989999999999998</v>
      </c>
      <c r="E943" s="1" t="s">
        <v>156</v>
      </c>
      <c r="F943" s="1" t="s">
        <v>51</v>
      </c>
      <c r="G943">
        <v>0</v>
      </c>
      <c r="H943" s="1" t="s">
        <v>58</v>
      </c>
      <c r="I943" s="1" t="s">
        <v>97</v>
      </c>
      <c r="J943">
        <v>6</v>
      </c>
      <c r="K943">
        <v>18.989999999999998</v>
      </c>
      <c r="L943" s="1" t="s">
        <v>60</v>
      </c>
      <c r="M943" s="1" t="s">
        <v>43</v>
      </c>
      <c r="N943" s="1" t="s">
        <v>44</v>
      </c>
      <c r="O943" s="1" t="s">
        <v>31</v>
      </c>
      <c r="P943" s="2">
        <v>45823</v>
      </c>
      <c r="Q943" s="1" t="s">
        <v>947</v>
      </c>
      <c r="R943" s="1" t="s">
        <v>1425</v>
      </c>
      <c r="S943" s="1" t="s">
        <v>88</v>
      </c>
      <c r="T943" s="1" t="s">
        <v>35</v>
      </c>
      <c r="U943" s="1" t="s">
        <v>55</v>
      </c>
      <c r="V943" s="1" t="s">
        <v>100</v>
      </c>
      <c r="W943">
        <v>3.2</v>
      </c>
    </row>
    <row r="944" spans="1:23" x14ac:dyDescent="0.3">
      <c r="A944" s="1" t="s">
        <v>2103</v>
      </c>
      <c r="B944">
        <v>1</v>
      </c>
      <c r="C944">
        <v>34.99</v>
      </c>
      <c r="D944">
        <v>34.99</v>
      </c>
      <c r="E944" s="1" t="s">
        <v>2104</v>
      </c>
      <c r="F944" s="1" t="s">
        <v>25</v>
      </c>
      <c r="G944">
        <v>7</v>
      </c>
      <c r="H944" s="1" t="s">
        <v>58</v>
      </c>
      <c r="I944" s="1" t="s">
        <v>85</v>
      </c>
      <c r="J944">
        <v>12.5</v>
      </c>
      <c r="K944">
        <v>34.99</v>
      </c>
      <c r="L944" s="1" t="s">
        <v>60</v>
      </c>
      <c r="M944" s="1" t="s">
        <v>29</v>
      </c>
      <c r="N944" s="1" t="s">
        <v>30</v>
      </c>
      <c r="O944" s="1" t="s">
        <v>31</v>
      </c>
      <c r="P944" s="2">
        <v>45778</v>
      </c>
      <c r="Q944" s="1" t="s">
        <v>1654</v>
      </c>
      <c r="R944" s="1" t="s">
        <v>2105</v>
      </c>
      <c r="S944" s="1" t="s">
        <v>34</v>
      </c>
      <c r="T944" s="1" t="s">
        <v>35</v>
      </c>
      <c r="U944" s="1" t="s">
        <v>48</v>
      </c>
      <c r="V944" s="1" t="s">
        <v>89</v>
      </c>
      <c r="W944">
        <v>2.4</v>
      </c>
    </row>
    <row r="945" spans="1:23" x14ac:dyDescent="0.3">
      <c r="A945" s="1" t="s">
        <v>2106</v>
      </c>
      <c r="B945">
        <v>1</v>
      </c>
      <c r="C945">
        <v>21.99</v>
      </c>
      <c r="D945">
        <v>21.99</v>
      </c>
      <c r="E945" s="1" t="s">
        <v>1111</v>
      </c>
      <c r="F945" s="1" t="s">
        <v>25</v>
      </c>
      <c r="G945">
        <v>8</v>
      </c>
      <c r="H945" s="1" t="s">
        <v>41</v>
      </c>
      <c r="I945" s="1" t="s">
        <v>27</v>
      </c>
      <c r="J945">
        <v>7</v>
      </c>
      <c r="K945">
        <v>21.99</v>
      </c>
      <c r="L945" s="1" t="s">
        <v>28</v>
      </c>
      <c r="M945" s="1" t="s">
        <v>29</v>
      </c>
      <c r="N945" s="1" t="s">
        <v>30</v>
      </c>
      <c r="O945" s="1" t="s">
        <v>31</v>
      </c>
      <c r="P945" s="2">
        <v>45778</v>
      </c>
      <c r="Q945" s="1" t="s">
        <v>2107</v>
      </c>
      <c r="R945" s="1" t="s">
        <v>2108</v>
      </c>
      <c r="S945" s="1" t="s">
        <v>88</v>
      </c>
      <c r="T945" s="1" t="s">
        <v>35</v>
      </c>
      <c r="U945" s="1" t="s">
        <v>82</v>
      </c>
      <c r="V945" s="1" t="s">
        <v>37</v>
      </c>
      <c r="W945">
        <v>2</v>
      </c>
    </row>
    <row r="946" spans="1:23" x14ac:dyDescent="0.3">
      <c r="A946" s="1" t="s">
        <v>2109</v>
      </c>
      <c r="B946">
        <v>1</v>
      </c>
      <c r="C946">
        <v>18.989999999999998</v>
      </c>
      <c r="D946">
        <v>18.989999999999998</v>
      </c>
      <c r="E946" s="1" t="s">
        <v>113</v>
      </c>
      <c r="F946" s="1" t="s">
        <v>25</v>
      </c>
      <c r="G946">
        <v>11</v>
      </c>
      <c r="H946" s="1" t="s">
        <v>41</v>
      </c>
      <c r="I946" s="1" t="s">
        <v>97</v>
      </c>
      <c r="J946">
        <v>6</v>
      </c>
      <c r="K946">
        <v>18.989999999999998</v>
      </c>
      <c r="L946" s="1" t="s">
        <v>60</v>
      </c>
      <c r="M946" s="1" t="s">
        <v>43</v>
      </c>
      <c r="N946" s="1" t="s">
        <v>44</v>
      </c>
      <c r="O946" s="1" t="s">
        <v>31</v>
      </c>
      <c r="P946" s="2">
        <v>45823</v>
      </c>
      <c r="Q946" s="1" t="s">
        <v>797</v>
      </c>
      <c r="R946" s="1" t="s">
        <v>798</v>
      </c>
      <c r="S946" s="1" t="s">
        <v>65</v>
      </c>
      <c r="T946" s="1" t="s">
        <v>35</v>
      </c>
      <c r="U946" s="1" t="s">
        <v>66</v>
      </c>
      <c r="V946" s="1" t="s">
        <v>100</v>
      </c>
      <c r="W946">
        <v>3.2</v>
      </c>
    </row>
    <row r="947" spans="1:23" x14ac:dyDescent="0.3">
      <c r="A947" s="1" t="s">
        <v>2110</v>
      </c>
      <c r="B947">
        <v>1</v>
      </c>
      <c r="C947">
        <v>18.989999999999998</v>
      </c>
      <c r="D947">
        <v>18.989999999999998</v>
      </c>
      <c r="E947" s="1" t="s">
        <v>1379</v>
      </c>
      <c r="F947" s="1" t="s">
        <v>40</v>
      </c>
      <c r="G947">
        <v>16</v>
      </c>
      <c r="H947" s="1" t="s">
        <v>96</v>
      </c>
      <c r="I947" s="1" t="s">
        <v>97</v>
      </c>
      <c r="J947">
        <v>6</v>
      </c>
      <c r="K947">
        <v>18.989999999999998</v>
      </c>
      <c r="L947" s="1" t="s">
        <v>60</v>
      </c>
      <c r="M947" s="1" t="s">
        <v>43</v>
      </c>
      <c r="N947" s="1" t="s">
        <v>44</v>
      </c>
      <c r="O947" s="1" t="s">
        <v>31</v>
      </c>
      <c r="P947" s="2">
        <v>45823</v>
      </c>
      <c r="Q947" s="1" t="s">
        <v>147</v>
      </c>
      <c r="R947" s="1" t="s">
        <v>1601</v>
      </c>
      <c r="S947" s="1" t="s">
        <v>105</v>
      </c>
      <c r="T947" s="1" t="s">
        <v>35</v>
      </c>
      <c r="U947" s="1" t="s">
        <v>55</v>
      </c>
      <c r="V947" s="1" t="s">
        <v>100</v>
      </c>
      <c r="W947">
        <v>3.2</v>
      </c>
    </row>
    <row r="948" spans="1:23" x14ac:dyDescent="0.3">
      <c r="A948" s="1" t="s">
        <v>2111</v>
      </c>
      <c r="B948">
        <v>1</v>
      </c>
      <c r="C948">
        <v>27.99</v>
      </c>
      <c r="D948">
        <v>27.99</v>
      </c>
      <c r="E948" s="1" t="s">
        <v>1393</v>
      </c>
      <c r="F948" s="1" t="s">
        <v>40</v>
      </c>
      <c r="G948">
        <v>5</v>
      </c>
      <c r="H948" s="1" t="s">
        <v>26</v>
      </c>
      <c r="I948" s="1" t="s">
        <v>75</v>
      </c>
      <c r="J948">
        <v>9</v>
      </c>
      <c r="K948">
        <v>27.99</v>
      </c>
      <c r="L948" s="1" t="s">
        <v>28</v>
      </c>
      <c r="M948" s="1" t="s">
        <v>61</v>
      </c>
      <c r="N948" s="1" t="s">
        <v>62</v>
      </c>
      <c r="O948" s="1" t="s">
        <v>31</v>
      </c>
      <c r="P948" s="2">
        <v>45726</v>
      </c>
      <c r="Q948" s="1" t="s">
        <v>1032</v>
      </c>
      <c r="R948" s="1" t="s">
        <v>2112</v>
      </c>
      <c r="S948" s="1" t="s">
        <v>105</v>
      </c>
      <c r="T948" s="1" t="s">
        <v>35</v>
      </c>
      <c r="U948" s="1" t="s">
        <v>82</v>
      </c>
      <c r="V948" s="1" t="s">
        <v>37</v>
      </c>
      <c r="W948">
        <v>2</v>
      </c>
    </row>
    <row r="949" spans="1:23" x14ac:dyDescent="0.3">
      <c r="A949" s="1" t="s">
        <v>2113</v>
      </c>
      <c r="B949">
        <v>1</v>
      </c>
      <c r="C949">
        <v>30.99</v>
      </c>
      <c r="D949">
        <v>30.99</v>
      </c>
      <c r="E949" s="1" t="s">
        <v>1375</v>
      </c>
      <c r="F949" s="1" t="s">
        <v>40</v>
      </c>
      <c r="G949">
        <v>4</v>
      </c>
      <c r="H949" s="1" t="s">
        <v>58</v>
      </c>
      <c r="I949" s="1" t="s">
        <v>42</v>
      </c>
      <c r="J949">
        <v>10.5</v>
      </c>
      <c r="K949">
        <v>30.99</v>
      </c>
      <c r="L949" s="1" t="s">
        <v>28</v>
      </c>
      <c r="M949" s="1" t="s">
        <v>43</v>
      </c>
      <c r="N949" s="1" t="s">
        <v>44</v>
      </c>
      <c r="O949" s="1" t="s">
        <v>31</v>
      </c>
      <c r="P949" s="2">
        <v>45823</v>
      </c>
      <c r="Q949" s="1" t="s">
        <v>1328</v>
      </c>
      <c r="R949" s="1" t="s">
        <v>1329</v>
      </c>
      <c r="S949" s="1" t="s">
        <v>105</v>
      </c>
      <c r="T949" s="1" t="s">
        <v>35</v>
      </c>
      <c r="U949" s="1" t="s">
        <v>36</v>
      </c>
      <c r="V949" s="1" t="s">
        <v>37</v>
      </c>
      <c r="W949">
        <v>2</v>
      </c>
    </row>
    <row r="950" spans="1:23" x14ac:dyDescent="0.3">
      <c r="A950" s="1" t="s">
        <v>2114</v>
      </c>
      <c r="B950">
        <v>1</v>
      </c>
      <c r="C950">
        <v>18.989999999999998</v>
      </c>
      <c r="D950">
        <v>18.989999999999998</v>
      </c>
      <c r="E950" s="1" t="s">
        <v>1411</v>
      </c>
      <c r="F950" s="1" t="s">
        <v>40</v>
      </c>
      <c r="G950">
        <v>10</v>
      </c>
      <c r="H950" s="1" t="s">
        <v>26</v>
      </c>
      <c r="I950" s="1" t="s">
        <v>97</v>
      </c>
      <c r="J950">
        <v>6</v>
      </c>
      <c r="K950">
        <v>18.989999999999998</v>
      </c>
      <c r="L950" s="1" t="s">
        <v>60</v>
      </c>
      <c r="M950" s="1" t="s">
        <v>43</v>
      </c>
      <c r="N950" s="1" t="s">
        <v>44</v>
      </c>
      <c r="O950" s="1" t="s">
        <v>31</v>
      </c>
      <c r="P950" s="2">
        <v>45823</v>
      </c>
      <c r="Q950" s="1" t="s">
        <v>975</v>
      </c>
      <c r="R950" s="1" t="s">
        <v>976</v>
      </c>
      <c r="S950" s="1" t="s">
        <v>54</v>
      </c>
      <c r="T950" s="1" t="s">
        <v>35</v>
      </c>
      <c r="U950" s="1" t="s">
        <v>66</v>
      </c>
      <c r="V950" s="1" t="s">
        <v>100</v>
      </c>
      <c r="W950">
        <v>3.2</v>
      </c>
    </row>
    <row r="951" spans="1:23" x14ac:dyDescent="0.3">
      <c r="A951" s="1" t="s">
        <v>2115</v>
      </c>
      <c r="B951">
        <v>2</v>
      </c>
      <c r="C951">
        <v>18.989999999999998</v>
      </c>
      <c r="D951">
        <v>32.880000000000003</v>
      </c>
      <c r="E951" s="1" t="s">
        <v>2116</v>
      </c>
      <c r="F951" s="1" t="s">
        <v>51</v>
      </c>
      <c r="G951">
        <v>0</v>
      </c>
      <c r="H951" s="1" t="s">
        <v>41</v>
      </c>
      <c r="I951" s="1" t="s">
        <v>97</v>
      </c>
      <c r="J951">
        <v>6</v>
      </c>
      <c r="K951">
        <v>18.989999999999998</v>
      </c>
      <c r="L951" s="1" t="s">
        <v>60</v>
      </c>
      <c r="M951" s="1" t="s">
        <v>43</v>
      </c>
      <c r="N951" s="1" t="s">
        <v>44</v>
      </c>
      <c r="O951" s="1" t="s">
        <v>31</v>
      </c>
      <c r="P951" s="2">
        <v>45823</v>
      </c>
      <c r="Q951" s="1" t="s">
        <v>934</v>
      </c>
      <c r="R951" s="1" t="s">
        <v>2117</v>
      </c>
      <c r="S951" s="1" t="s">
        <v>105</v>
      </c>
      <c r="T951" s="1" t="s">
        <v>35</v>
      </c>
      <c r="U951" s="1" t="s">
        <v>55</v>
      </c>
      <c r="V951" s="1" t="s">
        <v>100</v>
      </c>
      <c r="W951">
        <v>3.2</v>
      </c>
    </row>
    <row r="952" spans="1:23" x14ac:dyDescent="0.3">
      <c r="A952" s="1" t="s">
        <v>2118</v>
      </c>
      <c r="B952">
        <v>1</v>
      </c>
      <c r="C952">
        <v>18.989999999999998</v>
      </c>
      <c r="D952">
        <v>18.989999999999998</v>
      </c>
      <c r="E952" s="1" t="s">
        <v>248</v>
      </c>
      <c r="F952" s="1" t="s">
        <v>188</v>
      </c>
      <c r="G952">
        <v>0</v>
      </c>
      <c r="H952" s="1" t="s">
        <v>41</v>
      </c>
      <c r="I952" s="1" t="s">
        <v>97</v>
      </c>
      <c r="J952">
        <v>6</v>
      </c>
      <c r="K952">
        <v>18.989999999999998</v>
      </c>
      <c r="L952" s="1" t="s">
        <v>60</v>
      </c>
      <c r="M952" s="1" t="s">
        <v>43</v>
      </c>
      <c r="N952" s="1" t="s">
        <v>44</v>
      </c>
      <c r="O952" s="1" t="s">
        <v>31</v>
      </c>
      <c r="P952" s="2">
        <v>45823</v>
      </c>
      <c r="Q952" s="1" t="s">
        <v>884</v>
      </c>
      <c r="R952" s="1" t="s">
        <v>885</v>
      </c>
      <c r="S952" s="1" t="s">
        <v>34</v>
      </c>
      <c r="T952" s="1" t="s">
        <v>35</v>
      </c>
      <c r="U952" s="1" t="s">
        <v>36</v>
      </c>
      <c r="V952" s="1" t="s">
        <v>100</v>
      </c>
      <c r="W952">
        <v>3.2</v>
      </c>
    </row>
    <row r="953" spans="1:23" x14ac:dyDescent="0.3">
      <c r="A953" s="1" t="s">
        <v>2119</v>
      </c>
      <c r="B953">
        <v>2</v>
      </c>
      <c r="C953">
        <v>27.99</v>
      </c>
      <c r="D953">
        <v>48</v>
      </c>
      <c r="E953" s="1" t="s">
        <v>181</v>
      </c>
      <c r="F953" s="1" t="s">
        <v>40</v>
      </c>
      <c r="G953">
        <v>2</v>
      </c>
      <c r="H953" s="1" t="s">
        <v>41</v>
      </c>
      <c r="I953" s="1" t="s">
        <v>75</v>
      </c>
      <c r="J953">
        <v>9</v>
      </c>
      <c r="K953">
        <v>27.99</v>
      </c>
      <c r="L953" s="1" t="s">
        <v>28</v>
      </c>
      <c r="M953" s="1" t="s">
        <v>61</v>
      </c>
      <c r="N953" s="1" t="s">
        <v>62</v>
      </c>
      <c r="O953" s="1" t="s">
        <v>31</v>
      </c>
      <c r="P953" s="2">
        <v>45726</v>
      </c>
      <c r="Q953" s="1" t="s">
        <v>1048</v>
      </c>
      <c r="R953" s="1" t="s">
        <v>1701</v>
      </c>
      <c r="S953" s="1" t="s">
        <v>105</v>
      </c>
      <c r="T953" s="1" t="s">
        <v>35</v>
      </c>
      <c r="U953" s="1" t="s">
        <v>82</v>
      </c>
      <c r="V953" s="1" t="s">
        <v>37</v>
      </c>
      <c r="W953">
        <v>2</v>
      </c>
    </row>
    <row r="954" spans="1:23" x14ac:dyDescent="0.3">
      <c r="A954" s="1" t="s">
        <v>2120</v>
      </c>
      <c r="B954">
        <v>1</v>
      </c>
      <c r="C954">
        <v>16.989999999999998</v>
      </c>
      <c r="D954">
        <v>16.989999999999998</v>
      </c>
      <c r="E954" s="1" t="s">
        <v>84</v>
      </c>
      <c r="F954" s="1" t="s">
        <v>70</v>
      </c>
      <c r="G954">
        <v>0</v>
      </c>
      <c r="H954" s="1" t="s">
        <v>26</v>
      </c>
      <c r="I954" s="1" t="s">
        <v>59</v>
      </c>
      <c r="J954">
        <v>5</v>
      </c>
      <c r="K954">
        <v>16.989999999999998</v>
      </c>
      <c r="L954" s="1" t="s">
        <v>60</v>
      </c>
      <c r="M954" s="1" t="s">
        <v>61</v>
      </c>
      <c r="N954" s="1" t="s">
        <v>62</v>
      </c>
      <c r="O954" s="1" t="s">
        <v>31</v>
      </c>
      <c r="P954" s="2">
        <v>45726</v>
      </c>
      <c r="Q954" s="1" t="s">
        <v>990</v>
      </c>
      <c r="R954" s="1" t="s">
        <v>991</v>
      </c>
      <c r="S954" s="1" t="s">
        <v>54</v>
      </c>
      <c r="T954" s="1" t="s">
        <v>35</v>
      </c>
      <c r="U954" s="1" t="s">
        <v>48</v>
      </c>
      <c r="V954" s="1" t="s">
        <v>67</v>
      </c>
      <c r="W954">
        <v>3</v>
      </c>
    </row>
    <row r="955" spans="1:23" x14ac:dyDescent="0.3">
      <c r="A955" s="1" t="s">
        <v>2121</v>
      </c>
      <c r="B955">
        <v>3</v>
      </c>
      <c r="C955">
        <v>21.99</v>
      </c>
      <c r="D955">
        <v>52.91</v>
      </c>
      <c r="E955" s="1" t="s">
        <v>1345</v>
      </c>
      <c r="F955" s="1" t="s">
        <v>40</v>
      </c>
      <c r="G955">
        <v>3</v>
      </c>
      <c r="H955" s="1" t="s">
        <v>58</v>
      </c>
      <c r="I955" s="1" t="s">
        <v>27</v>
      </c>
      <c r="J955">
        <v>7</v>
      </c>
      <c r="K955">
        <v>21.99</v>
      </c>
      <c r="L955" s="1" t="s">
        <v>28</v>
      </c>
      <c r="M955" s="1" t="s">
        <v>29</v>
      </c>
      <c r="N955" s="1" t="s">
        <v>30</v>
      </c>
      <c r="O955" s="1" t="s">
        <v>31</v>
      </c>
      <c r="P955" s="2">
        <v>45778</v>
      </c>
      <c r="Q955" s="1" t="s">
        <v>1157</v>
      </c>
      <c r="R955" s="1" t="s">
        <v>1158</v>
      </c>
      <c r="S955" s="1" t="s">
        <v>105</v>
      </c>
      <c r="T955" s="1" t="s">
        <v>35</v>
      </c>
      <c r="U955" s="1" t="s">
        <v>55</v>
      </c>
      <c r="V955" s="1" t="s">
        <v>37</v>
      </c>
      <c r="W955">
        <v>2</v>
      </c>
    </row>
    <row r="956" spans="1:23" x14ac:dyDescent="0.3">
      <c r="A956" s="1" t="s">
        <v>2122</v>
      </c>
      <c r="B956">
        <v>1</v>
      </c>
      <c r="C956">
        <v>27.99</v>
      </c>
      <c r="D956">
        <v>27.99</v>
      </c>
      <c r="E956" s="1" t="s">
        <v>771</v>
      </c>
      <c r="F956" s="1" t="s">
        <v>40</v>
      </c>
      <c r="G956">
        <v>7</v>
      </c>
      <c r="H956" s="1" t="s">
        <v>58</v>
      </c>
      <c r="I956" s="1" t="s">
        <v>75</v>
      </c>
      <c r="J956">
        <v>9</v>
      </c>
      <c r="K956">
        <v>27.99</v>
      </c>
      <c r="L956" s="1" t="s">
        <v>28</v>
      </c>
      <c r="M956" s="1" t="s">
        <v>61</v>
      </c>
      <c r="N956" s="1" t="s">
        <v>62</v>
      </c>
      <c r="O956" s="1" t="s">
        <v>31</v>
      </c>
      <c r="P956" s="2">
        <v>45726</v>
      </c>
      <c r="Q956" s="1" t="s">
        <v>801</v>
      </c>
      <c r="R956" s="1" t="s">
        <v>802</v>
      </c>
      <c r="S956" s="1" t="s">
        <v>88</v>
      </c>
      <c r="T956" s="1" t="s">
        <v>35</v>
      </c>
      <c r="U956" s="1" t="s">
        <v>82</v>
      </c>
      <c r="V956" s="1" t="s">
        <v>37</v>
      </c>
      <c r="W956">
        <v>2</v>
      </c>
    </row>
    <row r="957" spans="1:23" x14ac:dyDescent="0.3">
      <c r="A957" s="1" t="s">
        <v>2123</v>
      </c>
      <c r="B957">
        <v>1</v>
      </c>
      <c r="C957">
        <v>27.99</v>
      </c>
      <c r="D957">
        <v>27.99</v>
      </c>
      <c r="E957" s="1" t="s">
        <v>2124</v>
      </c>
      <c r="F957" s="1" t="s">
        <v>40</v>
      </c>
      <c r="G957">
        <v>2</v>
      </c>
      <c r="H957" s="1" t="s">
        <v>41</v>
      </c>
      <c r="I957" s="1" t="s">
        <v>75</v>
      </c>
      <c r="J957">
        <v>9</v>
      </c>
      <c r="K957">
        <v>27.99</v>
      </c>
      <c r="L957" s="1" t="s">
        <v>28</v>
      </c>
      <c r="M957" s="1" t="s">
        <v>61</v>
      </c>
      <c r="N957" s="1" t="s">
        <v>62</v>
      </c>
      <c r="O957" s="1" t="s">
        <v>31</v>
      </c>
      <c r="P957" s="2">
        <v>45726</v>
      </c>
      <c r="Q957" s="1" t="s">
        <v>2065</v>
      </c>
      <c r="R957" s="1" t="s">
        <v>2066</v>
      </c>
      <c r="S957" s="1" t="s">
        <v>47</v>
      </c>
      <c r="T957" s="1" t="s">
        <v>35</v>
      </c>
      <c r="U957" s="1" t="s">
        <v>66</v>
      </c>
      <c r="V957" s="1" t="s">
        <v>37</v>
      </c>
      <c r="W957">
        <v>2</v>
      </c>
    </row>
    <row r="958" spans="1:23" x14ac:dyDescent="0.3">
      <c r="A958" s="1" t="s">
        <v>2125</v>
      </c>
      <c r="B958">
        <v>3</v>
      </c>
      <c r="C958">
        <v>21.99</v>
      </c>
      <c r="D958">
        <v>52.38</v>
      </c>
      <c r="E958" s="1" t="s">
        <v>325</v>
      </c>
      <c r="F958" s="1" t="s">
        <v>40</v>
      </c>
      <c r="G958">
        <v>3</v>
      </c>
      <c r="H958" s="1" t="s">
        <v>26</v>
      </c>
      <c r="I958" s="1" t="s">
        <v>27</v>
      </c>
      <c r="J958">
        <v>7</v>
      </c>
      <c r="K958">
        <v>21.99</v>
      </c>
      <c r="L958" s="1" t="s">
        <v>28</v>
      </c>
      <c r="M958" s="1" t="s">
        <v>29</v>
      </c>
      <c r="N958" s="1" t="s">
        <v>30</v>
      </c>
      <c r="O958" s="1" t="s">
        <v>31</v>
      </c>
      <c r="P958" s="2">
        <v>45778</v>
      </c>
      <c r="Q958" s="1" t="s">
        <v>1408</v>
      </c>
      <c r="R958" s="1" t="s">
        <v>2055</v>
      </c>
      <c r="S958" s="1" t="s">
        <v>54</v>
      </c>
      <c r="T958" s="1" t="s">
        <v>35</v>
      </c>
      <c r="U958" s="1" t="s">
        <v>82</v>
      </c>
      <c r="V958" s="1" t="s">
        <v>37</v>
      </c>
      <c r="W958">
        <v>2</v>
      </c>
    </row>
    <row r="959" spans="1:23" x14ac:dyDescent="0.3">
      <c r="A959" s="1" t="s">
        <v>2126</v>
      </c>
      <c r="B959">
        <v>1</v>
      </c>
      <c r="C959">
        <v>18.989999999999998</v>
      </c>
      <c r="D959">
        <v>18.989999999999998</v>
      </c>
      <c r="E959" s="1" t="s">
        <v>1136</v>
      </c>
      <c r="F959" s="1" t="s">
        <v>40</v>
      </c>
      <c r="G959">
        <v>10</v>
      </c>
      <c r="H959" s="1" t="s">
        <v>58</v>
      </c>
      <c r="I959" s="1" t="s">
        <v>97</v>
      </c>
      <c r="J959">
        <v>6</v>
      </c>
      <c r="K959">
        <v>18.989999999999998</v>
      </c>
      <c r="L959" s="1" t="s">
        <v>60</v>
      </c>
      <c r="M959" s="1" t="s">
        <v>43</v>
      </c>
      <c r="N959" s="1" t="s">
        <v>44</v>
      </c>
      <c r="O959" s="1" t="s">
        <v>31</v>
      </c>
      <c r="P959" s="2">
        <v>45823</v>
      </c>
      <c r="Q959" s="1" t="s">
        <v>2127</v>
      </c>
      <c r="R959" s="1" t="s">
        <v>2128</v>
      </c>
      <c r="S959" s="1" t="s">
        <v>88</v>
      </c>
      <c r="T959" s="1" t="s">
        <v>35</v>
      </c>
      <c r="U959" s="1" t="s">
        <v>66</v>
      </c>
      <c r="V959" s="1" t="s">
        <v>100</v>
      </c>
      <c r="W959">
        <v>3.2</v>
      </c>
    </row>
    <row r="960" spans="1:23" x14ac:dyDescent="0.3">
      <c r="A960" s="1" t="s">
        <v>2129</v>
      </c>
      <c r="B960">
        <v>1</v>
      </c>
      <c r="C960">
        <v>30.99</v>
      </c>
      <c r="D960">
        <v>30.99</v>
      </c>
      <c r="E960" s="1" t="s">
        <v>989</v>
      </c>
      <c r="F960" s="1" t="s">
        <v>40</v>
      </c>
      <c r="G960">
        <v>2</v>
      </c>
      <c r="H960" s="1" t="s">
        <v>96</v>
      </c>
      <c r="I960" s="1" t="s">
        <v>42</v>
      </c>
      <c r="J960">
        <v>10.5</v>
      </c>
      <c r="K960">
        <v>30.99</v>
      </c>
      <c r="L960" s="1" t="s">
        <v>28</v>
      </c>
      <c r="M960" s="1" t="s">
        <v>43</v>
      </c>
      <c r="N960" s="1" t="s">
        <v>44</v>
      </c>
      <c r="O960" s="1" t="s">
        <v>31</v>
      </c>
      <c r="P960" s="2">
        <v>45823</v>
      </c>
      <c r="Q960" s="1" t="s">
        <v>1024</v>
      </c>
      <c r="R960" s="1" t="s">
        <v>1854</v>
      </c>
      <c r="S960" s="1" t="s">
        <v>65</v>
      </c>
      <c r="T960" s="1" t="s">
        <v>35</v>
      </c>
      <c r="U960" s="1" t="s">
        <v>82</v>
      </c>
      <c r="V960" s="1" t="s">
        <v>37</v>
      </c>
      <c r="W960">
        <v>2</v>
      </c>
    </row>
    <row r="961" spans="1:23" x14ac:dyDescent="0.3">
      <c r="A961" s="1" t="s">
        <v>2130</v>
      </c>
      <c r="B961">
        <v>3</v>
      </c>
      <c r="C961">
        <v>16.989999999999998</v>
      </c>
      <c r="D961">
        <v>40.51</v>
      </c>
      <c r="E961" s="1" t="s">
        <v>1082</v>
      </c>
      <c r="F961" s="1" t="s">
        <v>51</v>
      </c>
      <c r="G961">
        <v>0</v>
      </c>
      <c r="H961" s="1" t="s">
        <v>96</v>
      </c>
      <c r="I961" s="1" t="s">
        <v>59</v>
      </c>
      <c r="J961">
        <v>5</v>
      </c>
      <c r="K961">
        <v>16.989999999999998</v>
      </c>
      <c r="L961" s="1" t="s">
        <v>60</v>
      </c>
      <c r="M961" s="1" t="s">
        <v>61</v>
      </c>
      <c r="N961" s="1" t="s">
        <v>62</v>
      </c>
      <c r="O961" s="1" t="s">
        <v>31</v>
      </c>
      <c r="P961" s="2">
        <v>45726</v>
      </c>
      <c r="Q961" s="1" t="s">
        <v>266</v>
      </c>
      <c r="R961" s="1" t="s">
        <v>764</v>
      </c>
      <c r="S961" s="1" t="s">
        <v>105</v>
      </c>
      <c r="T961" s="1" t="s">
        <v>35</v>
      </c>
      <c r="U961" s="1" t="s">
        <v>36</v>
      </c>
      <c r="V961" s="1" t="s">
        <v>67</v>
      </c>
      <c r="W961">
        <v>3</v>
      </c>
    </row>
    <row r="962" spans="1:23" x14ac:dyDescent="0.3">
      <c r="A962" s="1" t="s">
        <v>2131</v>
      </c>
      <c r="B962">
        <v>1</v>
      </c>
      <c r="C962">
        <v>16.989999999999998</v>
      </c>
      <c r="D962">
        <v>16.989999999999998</v>
      </c>
      <c r="E962" s="1" t="s">
        <v>1051</v>
      </c>
      <c r="F962" s="1" t="s">
        <v>40</v>
      </c>
      <c r="G962">
        <v>19</v>
      </c>
      <c r="H962" s="1" t="s">
        <v>26</v>
      </c>
      <c r="I962" s="1" t="s">
        <v>59</v>
      </c>
      <c r="J962">
        <v>5</v>
      </c>
      <c r="K962">
        <v>16.989999999999998</v>
      </c>
      <c r="L962" s="1" t="s">
        <v>60</v>
      </c>
      <c r="M962" s="1" t="s">
        <v>61</v>
      </c>
      <c r="N962" s="1" t="s">
        <v>62</v>
      </c>
      <c r="O962" s="1" t="s">
        <v>31</v>
      </c>
      <c r="P962" s="2">
        <v>45726</v>
      </c>
      <c r="Q962" s="1" t="s">
        <v>1414</v>
      </c>
      <c r="R962" s="1" t="s">
        <v>1415</v>
      </c>
      <c r="S962" s="1" t="s">
        <v>88</v>
      </c>
      <c r="T962" s="1" t="s">
        <v>35</v>
      </c>
      <c r="U962" s="1" t="s">
        <v>48</v>
      </c>
      <c r="V962" s="1" t="s">
        <v>67</v>
      </c>
      <c r="W962">
        <v>3</v>
      </c>
    </row>
    <row r="963" spans="1:23" x14ac:dyDescent="0.3">
      <c r="A963" s="1" t="s">
        <v>2132</v>
      </c>
      <c r="B963">
        <v>2</v>
      </c>
      <c r="C963">
        <v>30.99</v>
      </c>
      <c r="D963">
        <v>53.02</v>
      </c>
      <c r="E963" s="1" t="s">
        <v>2133</v>
      </c>
      <c r="F963" s="1" t="s">
        <v>70</v>
      </c>
      <c r="G963">
        <v>0</v>
      </c>
      <c r="H963" s="1" t="s">
        <v>58</v>
      </c>
      <c r="I963" s="1" t="s">
        <v>42</v>
      </c>
      <c r="J963">
        <v>10.5</v>
      </c>
      <c r="K963">
        <v>30.99</v>
      </c>
      <c r="L963" s="1" t="s">
        <v>28</v>
      </c>
      <c r="M963" s="1" t="s">
        <v>43</v>
      </c>
      <c r="N963" s="1" t="s">
        <v>44</v>
      </c>
      <c r="O963" s="1" t="s">
        <v>31</v>
      </c>
      <c r="P963" s="2">
        <v>45823</v>
      </c>
      <c r="Q963" s="1" t="s">
        <v>865</v>
      </c>
      <c r="R963" s="1" t="s">
        <v>866</v>
      </c>
      <c r="S963" s="1" t="s">
        <v>105</v>
      </c>
      <c r="T963" s="1" t="s">
        <v>35</v>
      </c>
      <c r="U963" s="1" t="s">
        <v>36</v>
      </c>
      <c r="V963" s="1" t="s">
        <v>37</v>
      </c>
      <c r="W963">
        <v>2</v>
      </c>
    </row>
    <row r="964" spans="1:23" x14ac:dyDescent="0.3">
      <c r="A964" s="1" t="s">
        <v>2134</v>
      </c>
      <c r="B964">
        <v>3</v>
      </c>
      <c r="C964">
        <v>30.99</v>
      </c>
      <c r="D964">
        <v>74.400000000000006</v>
      </c>
      <c r="E964" s="1" t="s">
        <v>1865</v>
      </c>
      <c r="F964" s="1" t="s">
        <v>40</v>
      </c>
      <c r="G964">
        <v>3</v>
      </c>
      <c r="H964" s="1" t="s">
        <v>41</v>
      </c>
      <c r="I964" s="1" t="s">
        <v>42</v>
      </c>
      <c r="J964">
        <v>10.5</v>
      </c>
      <c r="K964">
        <v>30.99</v>
      </c>
      <c r="L964" s="1" t="s">
        <v>28</v>
      </c>
      <c r="M964" s="1" t="s">
        <v>43</v>
      </c>
      <c r="N964" s="1" t="s">
        <v>44</v>
      </c>
      <c r="O964" s="1" t="s">
        <v>31</v>
      </c>
      <c r="P964" s="2">
        <v>45823</v>
      </c>
      <c r="Q964" s="1" t="s">
        <v>1234</v>
      </c>
      <c r="R964" s="1" t="s">
        <v>1235</v>
      </c>
      <c r="S964" s="1" t="s">
        <v>88</v>
      </c>
      <c r="T964" s="1" t="s">
        <v>35</v>
      </c>
      <c r="U964" s="1" t="s">
        <v>48</v>
      </c>
      <c r="V964" s="1" t="s">
        <v>37</v>
      </c>
      <c r="W964">
        <v>2</v>
      </c>
    </row>
    <row r="965" spans="1:23" x14ac:dyDescent="0.3">
      <c r="A965" s="1" t="s">
        <v>2135</v>
      </c>
      <c r="B965">
        <v>1</v>
      </c>
      <c r="C965">
        <v>21.99</v>
      </c>
      <c r="D965">
        <v>21.99</v>
      </c>
      <c r="E965" s="1" t="s">
        <v>701</v>
      </c>
      <c r="F965" s="1" t="s">
        <v>40</v>
      </c>
      <c r="G965">
        <v>3</v>
      </c>
      <c r="H965" s="1" t="s">
        <v>41</v>
      </c>
      <c r="I965" s="1" t="s">
        <v>27</v>
      </c>
      <c r="J965">
        <v>7</v>
      </c>
      <c r="K965">
        <v>21.99</v>
      </c>
      <c r="L965" s="1" t="s">
        <v>28</v>
      </c>
      <c r="M965" s="1" t="s">
        <v>29</v>
      </c>
      <c r="N965" s="1" t="s">
        <v>30</v>
      </c>
      <c r="O965" s="1" t="s">
        <v>31</v>
      </c>
      <c r="P965" s="2">
        <v>45778</v>
      </c>
      <c r="Q965" s="1" t="s">
        <v>1349</v>
      </c>
      <c r="R965" s="1" t="s">
        <v>1439</v>
      </c>
      <c r="S965" s="1" t="s">
        <v>65</v>
      </c>
      <c r="T965" s="1" t="s">
        <v>35</v>
      </c>
      <c r="U965" s="1" t="s">
        <v>36</v>
      </c>
      <c r="V965" s="1" t="s">
        <v>37</v>
      </c>
      <c r="W965">
        <v>2</v>
      </c>
    </row>
    <row r="966" spans="1:23" x14ac:dyDescent="0.3">
      <c r="A966" s="1" t="s">
        <v>2136</v>
      </c>
      <c r="B966">
        <v>1</v>
      </c>
      <c r="C966">
        <v>18.989999999999998</v>
      </c>
      <c r="D966">
        <v>18.989999999999998</v>
      </c>
      <c r="E966" s="1" t="s">
        <v>1574</v>
      </c>
      <c r="F966" s="1" t="s">
        <v>40</v>
      </c>
      <c r="G966">
        <v>12</v>
      </c>
      <c r="H966" s="1" t="s">
        <v>96</v>
      </c>
      <c r="I966" s="1" t="s">
        <v>97</v>
      </c>
      <c r="J966">
        <v>6</v>
      </c>
      <c r="K966">
        <v>18.989999999999998</v>
      </c>
      <c r="L966" s="1" t="s">
        <v>60</v>
      </c>
      <c r="M966" s="1" t="s">
        <v>43</v>
      </c>
      <c r="N966" s="1" t="s">
        <v>44</v>
      </c>
      <c r="O966" s="1" t="s">
        <v>31</v>
      </c>
      <c r="P966" s="2">
        <v>45823</v>
      </c>
      <c r="Q966" s="1" t="s">
        <v>1024</v>
      </c>
      <c r="R966" s="1" t="s">
        <v>1854</v>
      </c>
      <c r="S966" s="1" t="s">
        <v>65</v>
      </c>
      <c r="T966" s="1" t="s">
        <v>35</v>
      </c>
      <c r="U966" s="1" t="s">
        <v>82</v>
      </c>
      <c r="V966" s="1" t="s">
        <v>100</v>
      </c>
      <c r="W966">
        <v>3.2</v>
      </c>
    </row>
    <row r="967" spans="1:23" x14ac:dyDescent="0.3">
      <c r="A967" s="1" t="s">
        <v>2137</v>
      </c>
      <c r="B967">
        <v>1</v>
      </c>
      <c r="C967">
        <v>16.989999999999998</v>
      </c>
      <c r="D967">
        <v>16.989999999999998</v>
      </c>
      <c r="E967" s="1" t="s">
        <v>1082</v>
      </c>
      <c r="F967" s="1" t="s">
        <v>40</v>
      </c>
      <c r="G967">
        <v>20</v>
      </c>
      <c r="H967" s="1" t="s">
        <v>26</v>
      </c>
      <c r="I967" s="1" t="s">
        <v>59</v>
      </c>
      <c r="J967">
        <v>5</v>
      </c>
      <c r="K967">
        <v>16.989999999999998</v>
      </c>
      <c r="L967" s="1" t="s">
        <v>60</v>
      </c>
      <c r="M967" s="1" t="s">
        <v>61</v>
      </c>
      <c r="N967" s="1" t="s">
        <v>62</v>
      </c>
      <c r="O967" s="1" t="s">
        <v>31</v>
      </c>
      <c r="P967" s="2">
        <v>45726</v>
      </c>
      <c r="Q967" s="1" t="s">
        <v>1140</v>
      </c>
      <c r="R967" s="1" t="s">
        <v>1141</v>
      </c>
      <c r="S967" s="1" t="s">
        <v>34</v>
      </c>
      <c r="T967" s="1" t="s">
        <v>35</v>
      </c>
      <c r="U967" s="1" t="s">
        <v>36</v>
      </c>
      <c r="V967" s="1" t="s">
        <v>67</v>
      </c>
      <c r="W967">
        <v>3</v>
      </c>
    </row>
    <row r="968" spans="1:23" x14ac:dyDescent="0.3">
      <c r="A968" s="1" t="s">
        <v>2138</v>
      </c>
      <c r="B968">
        <v>1</v>
      </c>
      <c r="C968">
        <v>27.99</v>
      </c>
      <c r="D968">
        <v>27.99</v>
      </c>
      <c r="E968" s="1" t="s">
        <v>1000</v>
      </c>
      <c r="F968" s="1" t="s">
        <v>40</v>
      </c>
      <c r="G968">
        <v>3</v>
      </c>
      <c r="H968" s="1" t="s">
        <v>26</v>
      </c>
      <c r="I968" s="1" t="s">
        <v>75</v>
      </c>
      <c r="J968">
        <v>9</v>
      </c>
      <c r="K968">
        <v>27.99</v>
      </c>
      <c r="L968" s="1" t="s">
        <v>28</v>
      </c>
      <c r="M968" s="1" t="s">
        <v>61</v>
      </c>
      <c r="N968" s="1" t="s">
        <v>62</v>
      </c>
      <c r="O968" s="1" t="s">
        <v>31</v>
      </c>
      <c r="P968" s="2">
        <v>45726</v>
      </c>
      <c r="Q968" s="1" t="s">
        <v>1012</v>
      </c>
      <c r="R968" s="1" t="s">
        <v>2139</v>
      </c>
      <c r="S968" s="1" t="s">
        <v>65</v>
      </c>
      <c r="T968" s="1" t="s">
        <v>35</v>
      </c>
      <c r="U968" s="1" t="s">
        <v>55</v>
      </c>
      <c r="V968" s="1" t="s">
        <v>37</v>
      </c>
      <c r="W968">
        <v>2</v>
      </c>
    </row>
    <row r="969" spans="1:23" x14ac:dyDescent="0.3">
      <c r="A969" s="1" t="s">
        <v>2140</v>
      </c>
      <c r="B969">
        <v>3</v>
      </c>
      <c r="C969">
        <v>30.99</v>
      </c>
      <c r="D969">
        <v>75.11</v>
      </c>
      <c r="E969" s="1" t="s">
        <v>1359</v>
      </c>
      <c r="F969" s="1" t="s">
        <v>188</v>
      </c>
      <c r="G969">
        <v>0</v>
      </c>
      <c r="H969" s="1" t="s">
        <v>96</v>
      </c>
      <c r="I969" s="1" t="s">
        <v>42</v>
      </c>
      <c r="J969">
        <v>10.5</v>
      </c>
      <c r="K969">
        <v>30.99</v>
      </c>
      <c r="L969" s="1" t="s">
        <v>28</v>
      </c>
      <c r="M969" s="1" t="s">
        <v>43</v>
      </c>
      <c r="N969" s="1" t="s">
        <v>44</v>
      </c>
      <c r="O969" s="1" t="s">
        <v>31</v>
      </c>
      <c r="P969" s="2">
        <v>45823</v>
      </c>
      <c r="Q969" s="1" t="s">
        <v>738</v>
      </c>
      <c r="R969" s="1" t="s">
        <v>739</v>
      </c>
      <c r="S969" s="1" t="s">
        <v>34</v>
      </c>
      <c r="T969" s="1" t="s">
        <v>35</v>
      </c>
      <c r="U969" s="1" t="s">
        <v>82</v>
      </c>
      <c r="V969" s="1" t="s">
        <v>37</v>
      </c>
      <c r="W969">
        <v>2</v>
      </c>
    </row>
    <row r="970" spans="1:23" x14ac:dyDescent="0.3">
      <c r="A970" s="1" t="s">
        <v>2141</v>
      </c>
      <c r="B970">
        <v>3</v>
      </c>
      <c r="C970">
        <v>21.99</v>
      </c>
      <c r="D970">
        <v>52.23</v>
      </c>
      <c r="E970" s="1" t="s">
        <v>2142</v>
      </c>
      <c r="F970" s="1" t="s">
        <v>40</v>
      </c>
      <c r="G970">
        <v>2</v>
      </c>
      <c r="H970" s="1" t="s">
        <v>26</v>
      </c>
      <c r="I970" s="1" t="s">
        <v>27</v>
      </c>
      <c r="J970">
        <v>7</v>
      </c>
      <c r="K970">
        <v>21.99</v>
      </c>
      <c r="L970" s="1" t="s">
        <v>28</v>
      </c>
      <c r="M970" s="1" t="s">
        <v>29</v>
      </c>
      <c r="N970" s="1" t="s">
        <v>30</v>
      </c>
      <c r="O970" s="1" t="s">
        <v>31</v>
      </c>
      <c r="P970" s="2">
        <v>45778</v>
      </c>
      <c r="Q970" s="1" t="s">
        <v>790</v>
      </c>
      <c r="R970" s="1" t="s">
        <v>791</v>
      </c>
      <c r="S970" s="1" t="s">
        <v>47</v>
      </c>
      <c r="T970" s="1" t="s">
        <v>35</v>
      </c>
      <c r="U970" s="1" t="s">
        <v>55</v>
      </c>
      <c r="V970" s="1" t="s">
        <v>37</v>
      </c>
      <c r="W970">
        <v>2</v>
      </c>
    </row>
    <row r="971" spans="1:23" x14ac:dyDescent="0.3">
      <c r="A971" s="1" t="s">
        <v>2143</v>
      </c>
      <c r="B971">
        <v>1</v>
      </c>
      <c r="C971">
        <v>21.99</v>
      </c>
      <c r="D971">
        <v>21.99</v>
      </c>
      <c r="E971" s="1" t="s">
        <v>1180</v>
      </c>
      <c r="F971" s="1" t="s">
        <v>40</v>
      </c>
      <c r="G971">
        <v>3</v>
      </c>
      <c r="H971" s="1" t="s">
        <v>96</v>
      </c>
      <c r="I971" s="1" t="s">
        <v>27</v>
      </c>
      <c r="J971">
        <v>7</v>
      </c>
      <c r="K971">
        <v>21.99</v>
      </c>
      <c r="L971" s="1" t="s">
        <v>28</v>
      </c>
      <c r="M971" s="1" t="s">
        <v>29</v>
      </c>
      <c r="N971" s="1" t="s">
        <v>30</v>
      </c>
      <c r="O971" s="1" t="s">
        <v>31</v>
      </c>
      <c r="P971" s="2">
        <v>45778</v>
      </c>
      <c r="Q971" s="1" t="s">
        <v>814</v>
      </c>
      <c r="R971" s="1" t="s">
        <v>891</v>
      </c>
      <c r="S971" s="1" t="s">
        <v>88</v>
      </c>
      <c r="T971" s="1" t="s">
        <v>35</v>
      </c>
      <c r="U971" s="1" t="s">
        <v>82</v>
      </c>
      <c r="V971" s="1" t="s">
        <v>37</v>
      </c>
      <c r="W971">
        <v>2</v>
      </c>
    </row>
    <row r="972" spans="1:23" x14ac:dyDescent="0.3">
      <c r="A972" s="1" t="s">
        <v>2144</v>
      </c>
      <c r="B972">
        <v>2</v>
      </c>
      <c r="C972">
        <v>34.99</v>
      </c>
      <c r="D972">
        <v>60.42</v>
      </c>
      <c r="E972" s="1" t="s">
        <v>704</v>
      </c>
      <c r="F972" s="1" t="s">
        <v>25</v>
      </c>
      <c r="G972">
        <v>8</v>
      </c>
      <c r="H972" s="1" t="s">
        <v>58</v>
      </c>
      <c r="I972" s="1" t="s">
        <v>85</v>
      </c>
      <c r="J972">
        <v>12.5</v>
      </c>
      <c r="K972">
        <v>34.99</v>
      </c>
      <c r="L972" s="1" t="s">
        <v>60</v>
      </c>
      <c r="M972" s="1" t="s">
        <v>29</v>
      </c>
      <c r="N972" s="1" t="s">
        <v>30</v>
      </c>
      <c r="O972" s="1" t="s">
        <v>31</v>
      </c>
      <c r="P972" s="2">
        <v>45778</v>
      </c>
      <c r="Q972" s="1" t="s">
        <v>1654</v>
      </c>
      <c r="R972" s="1" t="s">
        <v>2145</v>
      </c>
      <c r="S972" s="1" t="s">
        <v>34</v>
      </c>
      <c r="T972" s="1" t="s">
        <v>35</v>
      </c>
      <c r="U972" s="1" t="s">
        <v>48</v>
      </c>
      <c r="V972" s="1" t="s">
        <v>89</v>
      </c>
      <c r="W972">
        <v>2.4</v>
      </c>
    </row>
    <row r="973" spans="1:23" x14ac:dyDescent="0.3">
      <c r="A973" s="1" t="s">
        <v>2146</v>
      </c>
      <c r="B973">
        <v>1</v>
      </c>
      <c r="C973">
        <v>34.99</v>
      </c>
      <c r="D973">
        <v>34.99</v>
      </c>
      <c r="E973" s="1" t="s">
        <v>577</v>
      </c>
      <c r="F973" s="1" t="s">
        <v>51</v>
      </c>
      <c r="G973">
        <v>0</v>
      </c>
      <c r="H973" s="1" t="s">
        <v>58</v>
      </c>
      <c r="I973" s="1" t="s">
        <v>85</v>
      </c>
      <c r="J973">
        <v>12.5</v>
      </c>
      <c r="K973">
        <v>34.99</v>
      </c>
      <c r="L973" s="1" t="s">
        <v>60</v>
      </c>
      <c r="M973" s="1" t="s">
        <v>29</v>
      </c>
      <c r="N973" s="1" t="s">
        <v>30</v>
      </c>
      <c r="O973" s="1" t="s">
        <v>31</v>
      </c>
      <c r="P973" s="2">
        <v>45778</v>
      </c>
      <c r="Q973" s="1" t="s">
        <v>1286</v>
      </c>
      <c r="R973" s="1" t="s">
        <v>1287</v>
      </c>
      <c r="S973" s="1" t="s">
        <v>47</v>
      </c>
      <c r="T973" s="1" t="s">
        <v>35</v>
      </c>
      <c r="U973" s="1" t="s">
        <v>66</v>
      </c>
      <c r="V973" s="1" t="s">
        <v>89</v>
      </c>
      <c r="W973">
        <v>2.4</v>
      </c>
    </row>
    <row r="974" spans="1:23" x14ac:dyDescent="0.3">
      <c r="A974" s="1" t="s">
        <v>2147</v>
      </c>
      <c r="B974">
        <v>1</v>
      </c>
      <c r="C974">
        <v>18.989999999999998</v>
      </c>
      <c r="D974">
        <v>18.989999999999998</v>
      </c>
      <c r="E974" s="1" t="s">
        <v>929</v>
      </c>
      <c r="F974" s="1" t="s">
        <v>40</v>
      </c>
      <c r="G974">
        <v>10</v>
      </c>
      <c r="H974" s="1" t="s">
        <v>41</v>
      </c>
      <c r="I974" s="1" t="s">
        <v>97</v>
      </c>
      <c r="J974">
        <v>6</v>
      </c>
      <c r="K974">
        <v>18.989999999999998</v>
      </c>
      <c r="L974" s="1" t="s">
        <v>60</v>
      </c>
      <c r="M974" s="1" t="s">
        <v>43</v>
      </c>
      <c r="N974" s="1" t="s">
        <v>44</v>
      </c>
      <c r="O974" s="1" t="s">
        <v>31</v>
      </c>
      <c r="P974" s="2">
        <v>45823</v>
      </c>
      <c r="Q974" s="1" t="s">
        <v>1097</v>
      </c>
      <c r="R974" s="1" t="s">
        <v>1098</v>
      </c>
      <c r="S974" s="1" t="s">
        <v>65</v>
      </c>
      <c r="T974" s="1" t="s">
        <v>35</v>
      </c>
      <c r="U974" s="1" t="s">
        <v>48</v>
      </c>
      <c r="V974" s="1" t="s">
        <v>100</v>
      </c>
      <c r="W974">
        <v>3.2</v>
      </c>
    </row>
    <row r="975" spans="1:23" x14ac:dyDescent="0.3">
      <c r="A975" s="1" t="s">
        <v>2148</v>
      </c>
      <c r="B975">
        <v>3</v>
      </c>
      <c r="C975">
        <v>34.99</v>
      </c>
      <c r="D975">
        <v>84.02</v>
      </c>
      <c r="E975" s="1" t="s">
        <v>2149</v>
      </c>
      <c r="F975" s="1" t="s">
        <v>40</v>
      </c>
      <c r="G975">
        <v>5</v>
      </c>
      <c r="H975" s="1" t="s">
        <v>41</v>
      </c>
      <c r="I975" s="1" t="s">
        <v>85</v>
      </c>
      <c r="J975">
        <v>12.5</v>
      </c>
      <c r="K975">
        <v>34.99</v>
      </c>
      <c r="L975" s="1" t="s">
        <v>60</v>
      </c>
      <c r="M975" s="1" t="s">
        <v>29</v>
      </c>
      <c r="N975" s="1" t="s">
        <v>30</v>
      </c>
      <c r="O975" s="1" t="s">
        <v>31</v>
      </c>
      <c r="P975" s="2">
        <v>45778</v>
      </c>
      <c r="Q975" s="1" t="s">
        <v>266</v>
      </c>
      <c r="R975" s="1" t="s">
        <v>764</v>
      </c>
      <c r="S975" s="1" t="s">
        <v>105</v>
      </c>
      <c r="T975" s="1" t="s">
        <v>35</v>
      </c>
      <c r="U975" s="1" t="s">
        <v>36</v>
      </c>
      <c r="V975" s="1" t="s">
        <v>89</v>
      </c>
      <c r="W975">
        <v>2.4</v>
      </c>
    </row>
    <row r="976" spans="1:23" x14ac:dyDescent="0.3">
      <c r="A976" s="1" t="s">
        <v>2150</v>
      </c>
      <c r="B976">
        <v>2</v>
      </c>
      <c r="C976">
        <v>30.99</v>
      </c>
      <c r="D976">
        <v>54.22</v>
      </c>
      <c r="E976" s="1" t="s">
        <v>2151</v>
      </c>
      <c r="F976" s="1" t="s">
        <v>40</v>
      </c>
      <c r="G976">
        <v>3</v>
      </c>
      <c r="H976" s="1" t="s">
        <v>26</v>
      </c>
      <c r="I976" s="1" t="s">
        <v>42</v>
      </c>
      <c r="J976">
        <v>10.5</v>
      </c>
      <c r="K976">
        <v>30.99</v>
      </c>
      <c r="L976" s="1" t="s">
        <v>28</v>
      </c>
      <c r="M976" s="1" t="s">
        <v>43</v>
      </c>
      <c r="N976" s="1" t="s">
        <v>44</v>
      </c>
      <c r="O976" s="1" t="s">
        <v>31</v>
      </c>
      <c r="P976" s="2">
        <v>45823</v>
      </c>
      <c r="Q976" s="1" t="s">
        <v>1119</v>
      </c>
      <c r="R976" s="1" t="s">
        <v>1120</v>
      </c>
      <c r="S976" s="1" t="s">
        <v>34</v>
      </c>
      <c r="T976" s="1" t="s">
        <v>35</v>
      </c>
      <c r="U976" s="1" t="s">
        <v>66</v>
      </c>
      <c r="V976" s="1" t="s">
        <v>37</v>
      </c>
      <c r="W976">
        <v>2</v>
      </c>
    </row>
    <row r="977" spans="1:23" x14ac:dyDescent="0.3">
      <c r="A977" s="1" t="s">
        <v>2152</v>
      </c>
      <c r="B977">
        <v>3</v>
      </c>
      <c r="C977">
        <v>34.99</v>
      </c>
      <c r="D977">
        <v>84.97</v>
      </c>
      <c r="E977" s="1" t="s">
        <v>1156</v>
      </c>
      <c r="F977" s="1" t="s">
        <v>188</v>
      </c>
      <c r="G977">
        <v>0</v>
      </c>
      <c r="H977" s="1" t="s">
        <v>41</v>
      </c>
      <c r="I977" s="1" t="s">
        <v>85</v>
      </c>
      <c r="J977">
        <v>12.5</v>
      </c>
      <c r="K977">
        <v>34.99</v>
      </c>
      <c r="L977" s="1" t="s">
        <v>60</v>
      </c>
      <c r="M977" s="1" t="s">
        <v>29</v>
      </c>
      <c r="N977" s="1" t="s">
        <v>30</v>
      </c>
      <c r="O977" s="1" t="s">
        <v>31</v>
      </c>
      <c r="P977" s="2">
        <v>45778</v>
      </c>
      <c r="Q977" s="1" t="s">
        <v>1028</v>
      </c>
      <c r="R977" s="1" t="s">
        <v>1029</v>
      </c>
      <c r="S977" s="1" t="s">
        <v>105</v>
      </c>
      <c r="T977" s="1" t="s">
        <v>35</v>
      </c>
      <c r="U977" s="1" t="s">
        <v>36</v>
      </c>
      <c r="V977" s="1" t="s">
        <v>89</v>
      </c>
      <c r="W977">
        <v>2.4</v>
      </c>
    </row>
    <row r="978" spans="1:23" x14ac:dyDescent="0.3">
      <c r="A978" s="1" t="s">
        <v>2153</v>
      </c>
      <c r="B978">
        <v>1</v>
      </c>
      <c r="C978">
        <v>30.99</v>
      </c>
      <c r="D978">
        <v>30.99</v>
      </c>
      <c r="E978" s="1" t="s">
        <v>84</v>
      </c>
      <c r="F978" s="1" t="s">
        <v>40</v>
      </c>
      <c r="G978">
        <v>2</v>
      </c>
      <c r="H978" s="1" t="s">
        <v>26</v>
      </c>
      <c r="I978" s="1" t="s">
        <v>42</v>
      </c>
      <c r="J978">
        <v>10.5</v>
      </c>
      <c r="K978">
        <v>30.99</v>
      </c>
      <c r="L978" s="1" t="s">
        <v>28</v>
      </c>
      <c r="M978" s="1" t="s">
        <v>43</v>
      </c>
      <c r="N978" s="1" t="s">
        <v>44</v>
      </c>
      <c r="O978" s="1" t="s">
        <v>31</v>
      </c>
      <c r="P978" s="2">
        <v>45823</v>
      </c>
      <c r="Q978" s="1" t="s">
        <v>1899</v>
      </c>
      <c r="R978" s="1" t="s">
        <v>1900</v>
      </c>
      <c r="S978" s="1" t="s">
        <v>65</v>
      </c>
      <c r="T978" s="1" t="s">
        <v>35</v>
      </c>
      <c r="U978" s="1" t="s">
        <v>48</v>
      </c>
      <c r="V978" s="1" t="s">
        <v>37</v>
      </c>
      <c r="W978">
        <v>2</v>
      </c>
    </row>
    <row r="979" spans="1:23" x14ac:dyDescent="0.3">
      <c r="A979" s="1" t="s">
        <v>2154</v>
      </c>
      <c r="B979">
        <v>3</v>
      </c>
      <c r="C979">
        <v>18.989999999999998</v>
      </c>
      <c r="D979">
        <v>44.98</v>
      </c>
      <c r="E979" s="1" t="s">
        <v>1411</v>
      </c>
      <c r="F979" s="1" t="s">
        <v>70</v>
      </c>
      <c r="G979">
        <v>0</v>
      </c>
      <c r="H979" s="1" t="s">
        <v>41</v>
      </c>
      <c r="I979" s="1" t="s">
        <v>97</v>
      </c>
      <c r="J979">
        <v>6</v>
      </c>
      <c r="K979">
        <v>18.989999999999998</v>
      </c>
      <c r="L979" s="1" t="s">
        <v>60</v>
      </c>
      <c r="M979" s="1" t="s">
        <v>43</v>
      </c>
      <c r="N979" s="1" t="s">
        <v>44</v>
      </c>
      <c r="O979" s="1" t="s">
        <v>31</v>
      </c>
      <c r="P979" s="2">
        <v>45823</v>
      </c>
      <c r="Q979" s="1" t="s">
        <v>1421</v>
      </c>
      <c r="R979" s="1" t="s">
        <v>1422</v>
      </c>
      <c r="S979" s="1" t="s">
        <v>105</v>
      </c>
      <c r="T979" s="1" t="s">
        <v>35</v>
      </c>
      <c r="U979" s="1" t="s">
        <v>82</v>
      </c>
      <c r="V979" s="1" t="s">
        <v>100</v>
      </c>
      <c r="W979">
        <v>3.2</v>
      </c>
    </row>
    <row r="980" spans="1:23" x14ac:dyDescent="0.3">
      <c r="A980" s="1" t="s">
        <v>2155</v>
      </c>
      <c r="B980">
        <v>1</v>
      </c>
      <c r="C980">
        <v>27.99</v>
      </c>
      <c r="D980">
        <v>27.99</v>
      </c>
      <c r="E980" s="1" t="s">
        <v>2156</v>
      </c>
      <c r="F980" s="1" t="s">
        <v>51</v>
      </c>
      <c r="G980">
        <v>0</v>
      </c>
      <c r="H980" s="1" t="s">
        <v>26</v>
      </c>
      <c r="I980" s="1" t="s">
        <v>75</v>
      </c>
      <c r="J980">
        <v>9</v>
      </c>
      <c r="K980">
        <v>27.99</v>
      </c>
      <c r="L980" s="1" t="s">
        <v>28</v>
      </c>
      <c r="M980" s="1" t="s">
        <v>61</v>
      </c>
      <c r="N980" s="1" t="s">
        <v>62</v>
      </c>
      <c r="O980" s="1" t="s">
        <v>31</v>
      </c>
      <c r="P980" s="2">
        <v>45726</v>
      </c>
      <c r="Q980" s="1" t="s">
        <v>1401</v>
      </c>
      <c r="R980" s="1" t="s">
        <v>1632</v>
      </c>
      <c r="S980" s="1" t="s">
        <v>88</v>
      </c>
      <c r="T980" s="1" t="s">
        <v>35</v>
      </c>
      <c r="U980" s="1" t="s">
        <v>36</v>
      </c>
      <c r="V980" s="1" t="s">
        <v>37</v>
      </c>
      <c r="W980">
        <v>2</v>
      </c>
    </row>
    <row r="981" spans="1:23" x14ac:dyDescent="0.3">
      <c r="A981" s="1" t="s">
        <v>2157</v>
      </c>
      <c r="B981">
        <v>1</v>
      </c>
      <c r="C981">
        <v>27.99</v>
      </c>
      <c r="D981">
        <v>27.99</v>
      </c>
      <c r="E981" s="1" t="s">
        <v>1207</v>
      </c>
      <c r="F981" s="1" t="s">
        <v>51</v>
      </c>
      <c r="G981">
        <v>0</v>
      </c>
      <c r="H981" s="1" t="s">
        <v>58</v>
      </c>
      <c r="I981" s="1" t="s">
        <v>75</v>
      </c>
      <c r="J981">
        <v>9</v>
      </c>
      <c r="K981">
        <v>27.99</v>
      </c>
      <c r="L981" s="1" t="s">
        <v>28</v>
      </c>
      <c r="M981" s="1" t="s">
        <v>61</v>
      </c>
      <c r="N981" s="1" t="s">
        <v>62</v>
      </c>
      <c r="O981" s="1" t="s">
        <v>31</v>
      </c>
      <c r="P981" s="2">
        <v>45726</v>
      </c>
      <c r="Q981" s="1" t="s">
        <v>589</v>
      </c>
      <c r="R981" s="1" t="s">
        <v>2158</v>
      </c>
      <c r="S981" s="1" t="s">
        <v>34</v>
      </c>
      <c r="T981" s="1" t="s">
        <v>35</v>
      </c>
      <c r="U981" s="1" t="s">
        <v>82</v>
      </c>
      <c r="V981" s="1" t="s">
        <v>37</v>
      </c>
      <c r="W981">
        <v>2</v>
      </c>
    </row>
    <row r="982" spans="1:23" x14ac:dyDescent="0.3">
      <c r="A982" s="1" t="s">
        <v>2159</v>
      </c>
      <c r="B982">
        <v>3</v>
      </c>
      <c r="C982">
        <v>21.99</v>
      </c>
      <c r="D982">
        <v>52.52</v>
      </c>
      <c r="E982" s="1" t="s">
        <v>1807</v>
      </c>
      <c r="F982" s="1" t="s">
        <v>70</v>
      </c>
      <c r="G982">
        <v>0</v>
      </c>
      <c r="H982" s="1" t="s">
        <v>58</v>
      </c>
      <c r="I982" s="1" t="s">
        <v>27</v>
      </c>
      <c r="J982">
        <v>7</v>
      </c>
      <c r="K982">
        <v>21.99</v>
      </c>
      <c r="L982" s="1" t="s">
        <v>28</v>
      </c>
      <c r="M982" s="1" t="s">
        <v>29</v>
      </c>
      <c r="N982" s="1" t="s">
        <v>30</v>
      </c>
      <c r="O982" s="1" t="s">
        <v>31</v>
      </c>
      <c r="P982" s="2">
        <v>45778</v>
      </c>
      <c r="Q982" s="1" t="s">
        <v>1175</v>
      </c>
      <c r="R982" s="1" t="s">
        <v>1176</v>
      </c>
      <c r="S982" s="1" t="s">
        <v>34</v>
      </c>
      <c r="T982" s="1" t="s">
        <v>35</v>
      </c>
      <c r="U982" s="1" t="s">
        <v>48</v>
      </c>
      <c r="V982" s="1" t="s">
        <v>37</v>
      </c>
      <c r="W982">
        <v>2</v>
      </c>
    </row>
    <row r="983" spans="1:23" x14ac:dyDescent="0.3">
      <c r="A983" s="1" t="s">
        <v>2160</v>
      </c>
      <c r="B983">
        <v>1</v>
      </c>
      <c r="C983">
        <v>30.99</v>
      </c>
      <c r="D983">
        <v>30.99</v>
      </c>
      <c r="E983" s="1" t="s">
        <v>1626</v>
      </c>
      <c r="F983" s="1" t="s">
        <v>25</v>
      </c>
      <c r="G983">
        <v>3</v>
      </c>
      <c r="H983" s="1" t="s">
        <v>58</v>
      </c>
      <c r="I983" s="1" t="s">
        <v>42</v>
      </c>
      <c r="J983">
        <v>10.5</v>
      </c>
      <c r="K983">
        <v>30.99</v>
      </c>
      <c r="L983" s="1" t="s">
        <v>28</v>
      </c>
      <c r="M983" s="1" t="s">
        <v>43</v>
      </c>
      <c r="N983" s="1" t="s">
        <v>44</v>
      </c>
      <c r="O983" s="1" t="s">
        <v>31</v>
      </c>
      <c r="P983" s="2">
        <v>45823</v>
      </c>
      <c r="Q983" s="1" t="s">
        <v>1512</v>
      </c>
      <c r="R983" s="1" t="s">
        <v>1513</v>
      </c>
      <c r="S983" s="1" t="s">
        <v>88</v>
      </c>
      <c r="T983" s="1" t="s">
        <v>35</v>
      </c>
      <c r="U983" s="1" t="s">
        <v>36</v>
      </c>
      <c r="V983" s="1" t="s">
        <v>37</v>
      </c>
      <c r="W983">
        <v>2</v>
      </c>
    </row>
    <row r="984" spans="1:23" x14ac:dyDescent="0.3">
      <c r="A984" s="1" t="s">
        <v>2161</v>
      </c>
      <c r="B984">
        <v>1</v>
      </c>
      <c r="C984">
        <v>30.99</v>
      </c>
      <c r="D984">
        <v>30.99</v>
      </c>
      <c r="E984" s="1" t="s">
        <v>2162</v>
      </c>
      <c r="F984" s="1" t="s">
        <v>25</v>
      </c>
      <c r="G984">
        <v>2</v>
      </c>
      <c r="H984" s="1" t="s">
        <v>26</v>
      </c>
      <c r="I984" s="1" t="s">
        <v>42</v>
      </c>
      <c r="J984">
        <v>10.5</v>
      </c>
      <c r="K984">
        <v>30.99</v>
      </c>
      <c r="L984" s="1" t="s">
        <v>28</v>
      </c>
      <c r="M984" s="1" t="s">
        <v>43</v>
      </c>
      <c r="N984" s="1" t="s">
        <v>44</v>
      </c>
      <c r="O984" s="1" t="s">
        <v>31</v>
      </c>
      <c r="P984" s="2">
        <v>45823</v>
      </c>
      <c r="Q984" s="1" t="s">
        <v>1593</v>
      </c>
      <c r="R984" s="1" t="s">
        <v>1594</v>
      </c>
      <c r="S984" s="1" t="s">
        <v>47</v>
      </c>
      <c r="T984" s="1" t="s">
        <v>35</v>
      </c>
      <c r="U984" s="1" t="s">
        <v>48</v>
      </c>
      <c r="V984" s="1" t="s">
        <v>37</v>
      </c>
      <c r="W984">
        <v>2</v>
      </c>
    </row>
    <row r="985" spans="1:23" x14ac:dyDescent="0.3">
      <c r="A985" s="1" t="s">
        <v>2163</v>
      </c>
      <c r="B985">
        <v>1</v>
      </c>
      <c r="C985">
        <v>27.99</v>
      </c>
      <c r="D985">
        <v>27.99</v>
      </c>
      <c r="E985" s="1" t="s">
        <v>2164</v>
      </c>
      <c r="F985" s="1" t="s">
        <v>51</v>
      </c>
      <c r="G985">
        <v>0</v>
      </c>
      <c r="H985" s="1" t="s">
        <v>58</v>
      </c>
      <c r="I985" s="1" t="s">
        <v>75</v>
      </c>
      <c r="J985">
        <v>9</v>
      </c>
      <c r="K985">
        <v>27.99</v>
      </c>
      <c r="L985" s="1" t="s">
        <v>28</v>
      </c>
      <c r="M985" s="1" t="s">
        <v>61</v>
      </c>
      <c r="N985" s="1" t="s">
        <v>62</v>
      </c>
      <c r="O985" s="1" t="s">
        <v>31</v>
      </c>
      <c r="P985" s="2">
        <v>45726</v>
      </c>
      <c r="Q985" s="1" t="s">
        <v>1940</v>
      </c>
      <c r="R985" s="1" t="s">
        <v>2165</v>
      </c>
      <c r="S985" s="1" t="s">
        <v>65</v>
      </c>
      <c r="T985" s="1" t="s">
        <v>35</v>
      </c>
      <c r="U985" s="1" t="s">
        <v>36</v>
      </c>
      <c r="V985" s="1" t="s">
        <v>37</v>
      </c>
      <c r="W985">
        <v>2</v>
      </c>
    </row>
    <row r="986" spans="1:23" x14ac:dyDescent="0.3">
      <c r="A986" s="1" t="s">
        <v>2166</v>
      </c>
      <c r="B986">
        <v>1</v>
      </c>
      <c r="C986">
        <v>27.99</v>
      </c>
      <c r="D986">
        <v>27.99</v>
      </c>
      <c r="E986" s="1" t="s">
        <v>2167</v>
      </c>
      <c r="F986" s="1" t="s">
        <v>40</v>
      </c>
      <c r="G986">
        <v>2</v>
      </c>
      <c r="H986" s="1" t="s">
        <v>41</v>
      </c>
      <c r="I986" s="1" t="s">
        <v>75</v>
      </c>
      <c r="J986">
        <v>9</v>
      </c>
      <c r="K986">
        <v>27.99</v>
      </c>
      <c r="L986" s="1" t="s">
        <v>28</v>
      </c>
      <c r="M986" s="1" t="s">
        <v>61</v>
      </c>
      <c r="N986" s="1" t="s">
        <v>62</v>
      </c>
      <c r="O986" s="1" t="s">
        <v>31</v>
      </c>
      <c r="P986" s="2">
        <v>45726</v>
      </c>
      <c r="Q986" s="1" t="s">
        <v>960</v>
      </c>
      <c r="R986" s="1" t="s">
        <v>961</v>
      </c>
      <c r="S986" s="1" t="s">
        <v>47</v>
      </c>
      <c r="T986" s="1" t="s">
        <v>35</v>
      </c>
      <c r="U986" s="1" t="s">
        <v>48</v>
      </c>
      <c r="V986" s="1" t="s">
        <v>37</v>
      </c>
      <c r="W986">
        <v>2</v>
      </c>
    </row>
    <row r="987" spans="1:23" x14ac:dyDescent="0.3">
      <c r="A987" s="1" t="s">
        <v>2168</v>
      </c>
      <c r="B987">
        <v>1</v>
      </c>
      <c r="C987">
        <v>34.99</v>
      </c>
      <c r="D987">
        <v>34.99</v>
      </c>
      <c r="E987" s="1" t="s">
        <v>2169</v>
      </c>
      <c r="F987" s="1" t="s">
        <v>40</v>
      </c>
      <c r="G987">
        <v>8</v>
      </c>
      <c r="H987" s="1" t="s">
        <v>96</v>
      </c>
      <c r="I987" s="1" t="s">
        <v>85</v>
      </c>
      <c r="J987">
        <v>12.5</v>
      </c>
      <c r="K987">
        <v>34.99</v>
      </c>
      <c r="L987" s="1" t="s">
        <v>60</v>
      </c>
      <c r="M987" s="1" t="s">
        <v>29</v>
      </c>
      <c r="N987" s="1" t="s">
        <v>30</v>
      </c>
      <c r="O987" s="1" t="s">
        <v>31</v>
      </c>
      <c r="P987" s="2">
        <v>45778</v>
      </c>
      <c r="Q987" s="1" t="s">
        <v>2170</v>
      </c>
      <c r="R987" s="1" t="s">
        <v>2171</v>
      </c>
      <c r="S987" s="1" t="s">
        <v>54</v>
      </c>
      <c r="T987" s="1" t="s">
        <v>35</v>
      </c>
      <c r="U987" s="1" t="s">
        <v>55</v>
      </c>
      <c r="V987" s="1" t="s">
        <v>89</v>
      </c>
      <c r="W987">
        <v>2.4</v>
      </c>
    </row>
    <row r="988" spans="1:23" x14ac:dyDescent="0.3">
      <c r="A988" s="1" t="s">
        <v>2172</v>
      </c>
      <c r="B988">
        <v>3</v>
      </c>
      <c r="C988">
        <v>18.989999999999998</v>
      </c>
      <c r="D988">
        <v>45.19</v>
      </c>
      <c r="E988" s="1" t="s">
        <v>1562</v>
      </c>
      <c r="F988" s="1" t="s">
        <v>51</v>
      </c>
      <c r="G988">
        <v>0</v>
      </c>
      <c r="H988" s="1" t="s">
        <v>26</v>
      </c>
      <c r="I988" s="1" t="s">
        <v>97</v>
      </c>
      <c r="J988">
        <v>6</v>
      </c>
      <c r="K988">
        <v>18.989999999999998</v>
      </c>
      <c r="L988" s="1" t="s">
        <v>60</v>
      </c>
      <c r="M988" s="1" t="s">
        <v>43</v>
      </c>
      <c r="N988" s="1" t="s">
        <v>44</v>
      </c>
      <c r="O988" s="1" t="s">
        <v>31</v>
      </c>
      <c r="P988" s="2">
        <v>45823</v>
      </c>
      <c r="Q988" s="1" t="s">
        <v>203</v>
      </c>
      <c r="R988" s="1" t="s">
        <v>876</v>
      </c>
      <c r="S988" s="1" t="s">
        <v>54</v>
      </c>
      <c r="T988" s="1" t="s">
        <v>35</v>
      </c>
      <c r="U988" s="1" t="s">
        <v>82</v>
      </c>
      <c r="V988" s="1" t="s">
        <v>100</v>
      </c>
      <c r="W988">
        <v>3.2</v>
      </c>
    </row>
    <row r="989" spans="1:23" x14ac:dyDescent="0.3">
      <c r="A989" s="1" t="s">
        <v>2173</v>
      </c>
      <c r="B989">
        <v>2</v>
      </c>
      <c r="C989">
        <v>21.99</v>
      </c>
      <c r="D989">
        <v>38.130000000000003</v>
      </c>
      <c r="E989" s="1" t="s">
        <v>214</v>
      </c>
      <c r="F989" s="1" t="s">
        <v>40</v>
      </c>
      <c r="G989">
        <v>3</v>
      </c>
      <c r="H989" s="1" t="s">
        <v>96</v>
      </c>
      <c r="I989" s="1" t="s">
        <v>27</v>
      </c>
      <c r="J989">
        <v>7</v>
      </c>
      <c r="K989">
        <v>21.99</v>
      </c>
      <c r="L989" s="1" t="s">
        <v>28</v>
      </c>
      <c r="M989" s="1" t="s">
        <v>29</v>
      </c>
      <c r="N989" s="1" t="s">
        <v>30</v>
      </c>
      <c r="O989" s="1" t="s">
        <v>31</v>
      </c>
      <c r="P989" s="2">
        <v>45778</v>
      </c>
      <c r="Q989" s="1" t="s">
        <v>741</v>
      </c>
      <c r="R989" s="1" t="s">
        <v>742</v>
      </c>
      <c r="S989" s="1" t="s">
        <v>47</v>
      </c>
      <c r="T989" s="1" t="s">
        <v>35</v>
      </c>
      <c r="U989" s="1" t="s">
        <v>48</v>
      </c>
      <c r="V989" s="1" t="s">
        <v>37</v>
      </c>
      <c r="W989">
        <v>2</v>
      </c>
    </row>
    <row r="990" spans="1:23" x14ac:dyDescent="0.3">
      <c r="A990" s="1" t="s">
        <v>2174</v>
      </c>
      <c r="B990">
        <v>2</v>
      </c>
      <c r="C990">
        <v>16.989999999999998</v>
      </c>
      <c r="D990">
        <v>29.31</v>
      </c>
      <c r="E990" s="1" t="s">
        <v>1796</v>
      </c>
      <c r="F990" s="1" t="s">
        <v>40</v>
      </c>
      <c r="G990">
        <v>19</v>
      </c>
      <c r="H990" s="1" t="s">
        <v>58</v>
      </c>
      <c r="I990" s="1" t="s">
        <v>59</v>
      </c>
      <c r="J990">
        <v>5</v>
      </c>
      <c r="K990">
        <v>16.989999999999998</v>
      </c>
      <c r="L990" s="1" t="s">
        <v>60</v>
      </c>
      <c r="M990" s="1" t="s">
        <v>61</v>
      </c>
      <c r="N990" s="1" t="s">
        <v>62</v>
      </c>
      <c r="O990" s="1" t="s">
        <v>31</v>
      </c>
      <c r="P990" s="2">
        <v>45726</v>
      </c>
      <c r="Q990" s="1" t="s">
        <v>425</v>
      </c>
      <c r="R990" s="1" t="s">
        <v>1469</v>
      </c>
      <c r="S990" s="1" t="s">
        <v>88</v>
      </c>
      <c r="T990" s="1" t="s">
        <v>35</v>
      </c>
      <c r="U990" s="1" t="s">
        <v>82</v>
      </c>
      <c r="V990" s="1" t="s">
        <v>67</v>
      </c>
      <c r="W990">
        <v>3</v>
      </c>
    </row>
    <row r="991" spans="1:23" x14ac:dyDescent="0.3">
      <c r="A991" s="1" t="s">
        <v>2175</v>
      </c>
      <c r="B991">
        <v>1</v>
      </c>
      <c r="C991">
        <v>16.989999999999998</v>
      </c>
      <c r="D991">
        <v>16.989999999999998</v>
      </c>
      <c r="E991" s="1" t="s">
        <v>2018</v>
      </c>
      <c r="F991" s="1" t="s">
        <v>40</v>
      </c>
      <c r="G991">
        <v>16</v>
      </c>
      <c r="H991" s="1" t="s">
        <v>26</v>
      </c>
      <c r="I991" s="1" t="s">
        <v>59</v>
      </c>
      <c r="J991">
        <v>5</v>
      </c>
      <c r="K991">
        <v>16.989999999999998</v>
      </c>
      <c r="L991" s="1" t="s">
        <v>60</v>
      </c>
      <c r="M991" s="1" t="s">
        <v>61</v>
      </c>
      <c r="N991" s="1" t="s">
        <v>62</v>
      </c>
      <c r="O991" s="1" t="s">
        <v>31</v>
      </c>
      <c r="P991" s="2">
        <v>45726</v>
      </c>
      <c r="Q991" s="1" t="s">
        <v>2176</v>
      </c>
      <c r="R991" s="1" t="s">
        <v>2177</v>
      </c>
      <c r="S991" s="1" t="s">
        <v>105</v>
      </c>
      <c r="T991" s="1" t="s">
        <v>35</v>
      </c>
      <c r="U991" s="1" t="s">
        <v>82</v>
      </c>
      <c r="V991" s="1" t="s">
        <v>67</v>
      </c>
      <c r="W991">
        <v>3</v>
      </c>
    </row>
    <row r="992" spans="1:23" x14ac:dyDescent="0.3">
      <c r="A992" s="1" t="s">
        <v>2178</v>
      </c>
      <c r="B992">
        <v>1</v>
      </c>
      <c r="C992">
        <v>30.99</v>
      </c>
      <c r="D992">
        <v>30.99</v>
      </c>
      <c r="E992" s="1" t="s">
        <v>727</v>
      </c>
      <c r="F992" s="1" t="s">
        <v>51</v>
      </c>
      <c r="G992">
        <v>0</v>
      </c>
      <c r="H992" s="1" t="s">
        <v>41</v>
      </c>
      <c r="I992" s="1" t="s">
        <v>42</v>
      </c>
      <c r="J992">
        <v>10.5</v>
      </c>
      <c r="K992">
        <v>30.99</v>
      </c>
      <c r="L992" s="1" t="s">
        <v>28</v>
      </c>
      <c r="M992" s="1" t="s">
        <v>43</v>
      </c>
      <c r="N992" s="1" t="s">
        <v>44</v>
      </c>
      <c r="O992" s="1" t="s">
        <v>31</v>
      </c>
      <c r="P992" s="2">
        <v>45823</v>
      </c>
      <c r="Q992" s="1" t="s">
        <v>133</v>
      </c>
      <c r="R992" s="1" t="s">
        <v>2179</v>
      </c>
      <c r="S992" s="1" t="s">
        <v>65</v>
      </c>
      <c r="T992" s="1" t="s">
        <v>35</v>
      </c>
      <c r="U992" s="1" t="s">
        <v>66</v>
      </c>
      <c r="V992" s="1" t="s">
        <v>37</v>
      </c>
      <c r="W992">
        <v>2</v>
      </c>
    </row>
    <row r="993" spans="1:23" x14ac:dyDescent="0.3">
      <c r="A993" s="1" t="s">
        <v>2180</v>
      </c>
      <c r="B993">
        <v>3</v>
      </c>
      <c r="C993">
        <v>34.99</v>
      </c>
      <c r="D993">
        <v>82.82</v>
      </c>
      <c r="E993" s="1" t="s">
        <v>2181</v>
      </c>
      <c r="F993" s="1" t="s">
        <v>51</v>
      </c>
      <c r="G993">
        <v>0</v>
      </c>
      <c r="H993" s="1" t="s">
        <v>41</v>
      </c>
      <c r="I993" s="1" t="s">
        <v>85</v>
      </c>
      <c r="J993">
        <v>12.5</v>
      </c>
      <c r="K993">
        <v>34.99</v>
      </c>
      <c r="L993" s="1" t="s">
        <v>60</v>
      </c>
      <c r="M993" s="1" t="s">
        <v>29</v>
      </c>
      <c r="N993" s="1" t="s">
        <v>30</v>
      </c>
      <c r="O993" s="1" t="s">
        <v>31</v>
      </c>
      <c r="P993" s="2">
        <v>45778</v>
      </c>
      <c r="Q993" s="1" t="s">
        <v>990</v>
      </c>
      <c r="R993" s="1" t="s">
        <v>1623</v>
      </c>
      <c r="S993" s="1" t="s">
        <v>54</v>
      </c>
      <c r="T993" s="1" t="s">
        <v>35</v>
      </c>
      <c r="U993" s="1" t="s">
        <v>48</v>
      </c>
      <c r="V993" s="1" t="s">
        <v>89</v>
      </c>
      <c r="W993">
        <v>2.4</v>
      </c>
    </row>
    <row r="994" spans="1:23" x14ac:dyDescent="0.3">
      <c r="A994" s="1" t="s">
        <v>2182</v>
      </c>
      <c r="B994">
        <v>1</v>
      </c>
      <c r="C994">
        <v>27.99</v>
      </c>
      <c r="D994">
        <v>27.99</v>
      </c>
      <c r="E994" s="1" t="s">
        <v>1724</v>
      </c>
      <c r="F994" s="1" t="s">
        <v>40</v>
      </c>
      <c r="G994">
        <v>2</v>
      </c>
      <c r="H994" s="1" t="s">
        <v>41</v>
      </c>
      <c r="I994" s="1" t="s">
        <v>75</v>
      </c>
      <c r="J994">
        <v>9</v>
      </c>
      <c r="K994">
        <v>27.99</v>
      </c>
      <c r="L994" s="1" t="s">
        <v>28</v>
      </c>
      <c r="M994" s="1" t="s">
        <v>61</v>
      </c>
      <c r="N994" s="1" t="s">
        <v>62</v>
      </c>
      <c r="O994" s="1" t="s">
        <v>31</v>
      </c>
      <c r="P994" s="2">
        <v>45726</v>
      </c>
      <c r="Q994" s="1" t="s">
        <v>2183</v>
      </c>
      <c r="R994" s="1" t="s">
        <v>2184</v>
      </c>
      <c r="S994" s="1" t="s">
        <v>34</v>
      </c>
      <c r="T994" s="1" t="s">
        <v>35</v>
      </c>
      <c r="U994" s="1" t="s">
        <v>48</v>
      </c>
      <c r="V994" s="1" t="s">
        <v>37</v>
      </c>
      <c r="W994">
        <v>2</v>
      </c>
    </row>
    <row r="995" spans="1:23" x14ac:dyDescent="0.3">
      <c r="A995" s="1" t="s">
        <v>2185</v>
      </c>
      <c r="B995">
        <v>1</v>
      </c>
      <c r="C995">
        <v>18.989999999999998</v>
      </c>
      <c r="D995">
        <v>18.989999999999998</v>
      </c>
      <c r="E995" s="1" t="s">
        <v>1724</v>
      </c>
      <c r="F995" s="1" t="s">
        <v>40</v>
      </c>
      <c r="G995">
        <v>19</v>
      </c>
      <c r="H995" s="1" t="s">
        <v>26</v>
      </c>
      <c r="I995" s="1" t="s">
        <v>97</v>
      </c>
      <c r="J995">
        <v>6</v>
      </c>
      <c r="K995">
        <v>18.989999999999998</v>
      </c>
      <c r="L995" s="1" t="s">
        <v>60</v>
      </c>
      <c r="M995" s="1" t="s">
        <v>43</v>
      </c>
      <c r="N995" s="1" t="s">
        <v>44</v>
      </c>
      <c r="O995" s="1" t="s">
        <v>31</v>
      </c>
      <c r="P995" s="2">
        <v>45823</v>
      </c>
      <c r="Q995" s="1" t="s">
        <v>1012</v>
      </c>
      <c r="R995" s="1" t="s">
        <v>1013</v>
      </c>
      <c r="S995" s="1" t="s">
        <v>65</v>
      </c>
      <c r="T995" s="1" t="s">
        <v>35</v>
      </c>
      <c r="U995" s="1" t="s">
        <v>36</v>
      </c>
      <c r="V995" s="1" t="s">
        <v>100</v>
      </c>
      <c r="W995">
        <v>3.2</v>
      </c>
    </row>
    <row r="996" spans="1:23" x14ac:dyDescent="0.3">
      <c r="A996" s="1" t="s">
        <v>2186</v>
      </c>
      <c r="B996">
        <v>1</v>
      </c>
      <c r="C996">
        <v>16.989999999999998</v>
      </c>
      <c r="D996">
        <v>16.989999999999998</v>
      </c>
      <c r="E996" s="1" t="s">
        <v>2187</v>
      </c>
      <c r="F996" s="1" t="s">
        <v>40</v>
      </c>
      <c r="G996">
        <v>18</v>
      </c>
      <c r="H996" s="1" t="s">
        <v>26</v>
      </c>
      <c r="I996" s="1" t="s">
        <v>59</v>
      </c>
      <c r="J996">
        <v>5</v>
      </c>
      <c r="K996">
        <v>16.989999999999998</v>
      </c>
      <c r="L996" s="1" t="s">
        <v>60</v>
      </c>
      <c r="M996" s="1" t="s">
        <v>61</v>
      </c>
      <c r="N996" s="1" t="s">
        <v>62</v>
      </c>
      <c r="O996" s="1" t="s">
        <v>31</v>
      </c>
      <c r="P996" s="2">
        <v>45726</v>
      </c>
      <c r="Q996" s="1" t="s">
        <v>1642</v>
      </c>
      <c r="R996" s="1" t="s">
        <v>1736</v>
      </c>
      <c r="S996" s="1" t="s">
        <v>47</v>
      </c>
      <c r="T996" s="1" t="s">
        <v>35</v>
      </c>
      <c r="U996" s="1" t="s">
        <v>48</v>
      </c>
      <c r="V996" s="1" t="s">
        <v>67</v>
      </c>
      <c r="W996">
        <v>3</v>
      </c>
    </row>
    <row r="997" spans="1:23" x14ac:dyDescent="0.3">
      <c r="A997" s="1" t="s">
        <v>2188</v>
      </c>
      <c r="B997">
        <v>1</v>
      </c>
      <c r="C997">
        <v>27.99</v>
      </c>
      <c r="D997">
        <v>27.99</v>
      </c>
      <c r="E997" s="1" t="s">
        <v>348</v>
      </c>
      <c r="F997" s="1" t="s">
        <v>40</v>
      </c>
      <c r="G997">
        <v>2</v>
      </c>
      <c r="H997" s="1" t="s">
        <v>41</v>
      </c>
      <c r="I997" s="1" t="s">
        <v>75</v>
      </c>
      <c r="J997">
        <v>9</v>
      </c>
      <c r="K997">
        <v>27.99</v>
      </c>
      <c r="L997" s="1" t="s">
        <v>28</v>
      </c>
      <c r="M997" s="1" t="s">
        <v>61</v>
      </c>
      <c r="N997" s="1" t="s">
        <v>62</v>
      </c>
      <c r="O997" s="1" t="s">
        <v>31</v>
      </c>
      <c r="P997" s="2">
        <v>45726</v>
      </c>
      <c r="Q997" s="1" t="s">
        <v>80</v>
      </c>
      <c r="R997" s="1" t="s">
        <v>1244</v>
      </c>
      <c r="S997" s="1" t="s">
        <v>54</v>
      </c>
      <c r="T997" s="1" t="s">
        <v>35</v>
      </c>
      <c r="U997" s="1" t="s">
        <v>82</v>
      </c>
      <c r="V997" s="1" t="s">
        <v>37</v>
      </c>
      <c r="W997">
        <v>2</v>
      </c>
    </row>
    <row r="998" spans="1:23" x14ac:dyDescent="0.3">
      <c r="A998" s="1" t="s">
        <v>2189</v>
      </c>
      <c r="B998">
        <v>1</v>
      </c>
      <c r="C998">
        <v>21.99</v>
      </c>
      <c r="D998">
        <v>21.99</v>
      </c>
      <c r="E998" s="1" t="s">
        <v>1652</v>
      </c>
      <c r="F998" s="1" t="s">
        <v>40</v>
      </c>
      <c r="G998">
        <v>2</v>
      </c>
      <c r="H998" s="1" t="s">
        <v>96</v>
      </c>
      <c r="I998" s="1" t="s">
        <v>27</v>
      </c>
      <c r="J998">
        <v>7</v>
      </c>
      <c r="K998">
        <v>21.99</v>
      </c>
      <c r="L998" s="1" t="s">
        <v>28</v>
      </c>
      <c r="M998" s="1" t="s">
        <v>29</v>
      </c>
      <c r="N998" s="1" t="s">
        <v>30</v>
      </c>
      <c r="O998" s="1" t="s">
        <v>31</v>
      </c>
      <c r="P998" s="2">
        <v>45778</v>
      </c>
      <c r="Q998" s="1" t="s">
        <v>783</v>
      </c>
      <c r="R998" s="1" t="s">
        <v>784</v>
      </c>
      <c r="S998" s="1" t="s">
        <v>34</v>
      </c>
      <c r="T998" s="1" t="s">
        <v>35</v>
      </c>
      <c r="U998" s="1" t="s">
        <v>55</v>
      </c>
      <c r="V998" s="1" t="s">
        <v>37</v>
      </c>
      <c r="W998">
        <v>2</v>
      </c>
    </row>
    <row r="999" spans="1:23" x14ac:dyDescent="0.3">
      <c r="A999" s="1" t="s">
        <v>2190</v>
      </c>
      <c r="B999">
        <v>2</v>
      </c>
      <c r="C999">
        <v>34.99</v>
      </c>
      <c r="D999">
        <v>61.02</v>
      </c>
      <c r="E999" s="1" t="s">
        <v>723</v>
      </c>
      <c r="F999" s="1" t="s">
        <v>40</v>
      </c>
      <c r="G999">
        <v>7</v>
      </c>
      <c r="H999" s="1" t="s">
        <v>41</v>
      </c>
      <c r="I999" s="1" t="s">
        <v>85</v>
      </c>
      <c r="J999">
        <v>12.5</v>
      </c>
      <c r="K999">
        <v>34.99</v>
      </c>
      <c r="L999" s="1" t="s">
        <v>60</v>
      </c>
      <c r="M999" s="1" t="s">
        <v>29</v>
      </c>
      <c r="N999" s="1" t="s">
        <v>30</v>
      </c>
      <c r="O999" s="1" t="s">
        <v>31</v>
      </c>
      <c r="P999" s="2">
        <v>45778</v>
      </c>
      <c r="Q999" s="1" t="s">
        <v>934</v>
      </c>
      <c r="R999" s="1" t="s">
        <v>1165</v>
      </c>
      <c r="S999" s="1" t="s">
        <v>65</v>
      </c>
      <c r="T999" s="1" t="s">
        <v>35</v>
      </c>
      <c r="U999" s="1" t="s">
        <v>82</v>
      </c>
      <c r="V999" s="1" t="s">
        <v>89</v>
      </c>
      <c r="W999">
        <v>2.4</v>
      </c>
    </row>
    <row r="1000" spans="1:23" x14ac:dyDescent="0.3">
      <c r="A1000" s="1" t="s">
        <v>2191</v>
      </c>
      <c r="B1000">
        <v>1</v>
      </c>
      <c r="C1000">
        <v>34.99</v>
      </c>
      <c r="D1000">
        <v>34.99</v>
      </c>
      <c r="E1000" s="1" t="s">
        <v>2192</v>
      </c>
      <c r="F1000" s="1" t="s">
        <v>40</v>
      </c>
      <c r="G1000">
        <v>6</v>
      </c>
      <c r="H1000" s="1" t="s">
        <v>41</v>
      </c>
      <c r="I1000" s="1" t="s">
        <v>85</v>
      </c>
      <c r="J1000">
        <v>12.5</v>
      </c>
      <c r="K1000">
        <v>34.99</v>
      </c>
      <c r="L1000" s="1" t="s">
        <v>60</v>
      </c>
      <c r="M1000" s="1" t="s">
        <v>29</v>
      </c>
      <c r="N1000" s="1" t="s">
        <v>30</v>
      </c>
      <c r="O1000" s="1" t="s">
        <v>31</v>
      </c>
      <c r="P1000" s="2">
        <v>45778</v>
      </c>
      <c r="Q1000" s="1" t="s">
        <v>425</v>
      </c>
      <c r="R1000" s="1" t="s">
        <v>1435</v>
      </c>
      <c r="S1000" s="1" t="s">
        <v>54</v>
      </c>
      <c r="T1000" s="1" t="s">
        <v>35</v>
      </c>
      <c r="U1000" s="1" t="s">
        <v>48</v>
      </c>
      <c r="V1000" s="1" t="s">
        <v>89</v>
      </c>
      <c r="W1000">
        <v>2.4</v>
      </c>
    </row>
    <row r="1001" spans="1:23" x14ac:dyDescent="0.3">
      <c r="A1001" s="1" t="s">
        <v>2193</v>
      </c>
      <c r="B1001">
        <v>1</v>
      </c>
      <c r="C1001">
        <v>34.99</v>
      </c>
      <c r="D1001">
        <v>34.99</v>
      </c>
      <c r="E1001" s="1" t="s">
        <v>1015</v>
      </c>
      <c r="F1001" s="1" t="s">
        <v>51</v>
      </c>
      <c r="G1001">
        <v>0</v>
      </c>
      <c r="H1001" s="1" t="s">
        <v>58</v>
      </c>
      <c r="I1001" s="1" t="s">
        <v>85</v>
      </c>
      <c r="J1001">
        <v>12.5</v>
      </c>
      <c r="K1001">
        <v>34.99</v>
      </c>
      <c r="L1001" s="1" t="s">
        <v>60</v>
      </c>
      <c r="M1001" s="1" t="s">
        <v>29</v>
      </c>
      <c r="N1001" s="1" t="s">
        <v>30</v>
      </c>
      <c r="O1001" s="1" t="s">
        <v>31</v>
      </c>
      <c r="P1001" s="2">
        <v>45778</v>
      </c>
      <c r="Q1001" s="1" t="s">
        <v>1385</v>
      </c>
      <c r="R1001" s="1" t="s">
        <v>1386</v>
      </c>
      <c r="S1001" s="1" t="s">
        <v>47</v>
      </c>
      <c r="T1001" s="1" t="s">
        <v>35</v>
      </c>
      <c r="U1001" s="1" t="s">
        <v>66</v>
      </c>
      <c r="V1001" s="1" t="s">
        <v>89</v>
      </c>
      <c r="W1001">
        <v>2.4</v>
      </c>
    </row>
    <row r="1002" spans="1:23" x14ac:dyDescent="0.3">
      <c r="A1002" s="1" t="s">
        <v>2194</v>
      </c>
      <c r="B1002">
        <v>1</v>
      </c>
      <c r="C1002">
        <v>30.99</v>
      </c>
      <c r="D1002">
        <v>30.99</v>
      </c>
      <c r="E1002" s="1" t="s">
        <v>1008</v>
      </c>
      <c r="F1002" s="1" t="s">
        <v>40</v>
      </c>
      <c r="G1002">
        <v>2</v>
      </c>
      <c r="H1002" s="1" t="s">
        <v>58</v>
      </c>
      <c r="I1002" s="1" t="s">
        <v>42</v>
      </c>
      <c r="J1002">
        <v>10.5</v>
      </c>
      <c r="K1002">
        <v>30.99</v>
      </c>
      <c r="L1002" s="1" t="s">
        <v>28</v>
      </c>
      <c r="M1002" s="1" t="s">
        <v>43</v>
      </c>
      <c r="N1002" s="1" t="s">
        <v>44</v>
      </c>
      <c r="O1002" s="1" t="s">
        <v>31</v>
      </c>
      <c r="P1002" s="2">
        <v>45823</v>
      </c>
      <c r="Q1002" s="1" t="s">
        <v>2195</v>
      </c>
      <c r="R1002" s="1" t="s">
        <v>2196</v>
      </c>
      <c r="S1002" s="1" t="s">
        <v>34</v>
      </c>
      <c r="T1002" s="1" t="s">
        <v>35</v>
      </c>
      <c r="U1002" s="1" t="s">
        <v>66</v>
      </c>
      <c r="V1002" s="1" t="s">
        <v>37</v>
      </c>
      <c r="W1002">
        <v>2</v>
      </c>
    </row>
    <row r="1003" spans="1:23" x14ac:dyDescent="0.3">
      <c r="A1003" s="1" t="s">
        <v>2197</v>
      </c>
      <c r="B1003">
        <v>2</v>
      </c>
      <c r="C1003">
        <v>27.99</v>
      </c>
      <c r="D1003">
        <v>48.61</v>
      </c>
      <c r="E1003" s="1" t="s">
        <v>1388</v>
      </c>
      <c r="F1003" s="1" t="s">
        <v>188</v>
      </c>
      <c r="G1003">
        <v>0</v>
      </c>
      <c r="H1003" s="1" t="s">
        <v>96</v>
      </c>
      <c r="I1003" s="1" t="s">
        <v>75</v>
      </c>
      <c r="J1003">
        <v>9</v>
      </c>
      <c r="K1003">
        <v>27.99</v>
      </c>
      <c r="L1003" s="1" t="s">
        <v>28</v>
      </c>
      <c r="M1003" s="1" t="s">
        <v>61</v>
      </c>
      <c r="N1003" s="1" t="s">
        <v>62</v>
      </c>
      <c r="O1003" s="1" t="s">
        <v>31</v>
      </c>
      <c r="P1003" s="2">
        <v>45726</v>
      </c>
      <c r="Q1003" s="1" t="s">
        <v>1719</v>
      </c>
      <c r="R1003" s="1" t="s">
        <v>2198</v>
      </c>
      <c r="S1003" s="1" t="s">
        <v>34</v>
      </c>
      <c r="T1003" s="1" t="s">
        <v>35</v>
      </c>
      <c r="U1003" s="1" t="s">
        <v>36</v>
      </c>
      <c r="V1003" s="1" t="s">
        <v>37</v>
      </c>
      <c r="W1003">
        <v>2</v>
      </c>
    </row>
    <row r="1004" spans="1:23" x14ac:dyDescent="0.3">
      <c r="A1004" s="1" t="s">
        <v>2199</v>
      </c>
      <c r="B1004">
        <v>1</v>
      </c>
      <c r="C1004">
        <v>34.99</v>
      </c>
      <c r="D1004">
        <v>34.99</v>
      </c>
      <c r="E1004" s="1" t="s">
        <v>1359</v>
      </c>
      <c r="F1004" s="1" t="s">
        <v>70</v>
      </c>
      <c r="G1004">
        <v>0</v>
      </c>
      <c r="H1004" s="1" t="s">
        <v>58</v>
      </c>
      <c r="I1004" s="1" t="s">
        <v>85</v>
      </c>
      <c r="J1004">
        <v>12.5</v>
      </c>
      <c r="K1004">
        <v>34.99</v>
      </c>
      <c r="L1004" s="1" t="s">
        <v>60</v>
      </c>
      <c r="M1004" s="1" t="s">
        <v>29</v>
      </c>
      <c r="N1004" s="1" t="s">
        <v>30</v>
      </c>
      <c r="O1004" s="1" t="s">
        <v>31</v>
      </c>
      <c r="P1004" s="2">
        <v>45778</v>
      </c>
      <c r="Q1004" s="1" t="s">
        <v>1850</v>
      </c>
      <c r="R1004" s="1" t="s">
        <v>1851</v>
      </c>
      <c r="S1004" s="1" t="s">
        <v>47</v>
      </c>
      <c r="T1004" s="1" t="s">
        <v>35</v>
      </c>
      <c r="U1004" s="1" t="s">
        <v>66</v>
      </c>
      <c r="V1004" s="1" t="s">
        <v>89</v>
      </c>
      <c r="W1004">
        <v>2.4</v>
      </c>
    </row>
    <row r="1005" spans="1:23" x14ac:dyDescent="0.3">
      <c r="A1005" s="1" t="s">
        <v>2200</v>
      </c>
      <c r="B1005">
        <v>1</v>
      </c>
      <c r="C1005">
        <v>27.99</v>
      </c>
      <c r="D1005">
        <v>27.99</v>
      </c>
      <c r="E1005" s="1" t="s">
        <v>1936</v>
      </c>
      <c r="F1005" s="1" t="s">
        <v>40</v>
      </c>
      <c r="G1005">
        <v>3</v>
      </c>
      <c r="H1005" s="1" t="s">
        <v>58</v>
      </c>
      <c r="I1005" s="1" t="s">
        <v>75</v>
      </c>
      <c r="J1005">
        <v>9</v>
      </c>
      <c r="K1005">
        <v>27.99</v>
      </c>
      <c r="L1005" s="1" t="s">
        <v>28</v>
      </c>
      <c r="M1005" s="1" t="s">
        <v>61</v>
      </c>
      <c r="N1005" s="1" t="s">
        <v>62</v>
      </c>
      <c r="O1005" s="1" t="s">
        <v>31</v>
      </c>
      <c r="P1005" s="2">
        <v>45726</v>
      </c>
      <c r="Q1005" s="1" t="s">
        <v>1275</v>
      </c>
      <c r="R1005" s="1" t="s">
        <v>1276</v>
      </c>
      <c r="S1005" s="1" t="s">
        <v>47</v>
      </c>
      <c r="T1005" s="1" t="s">
        <v>35</v>
      </c>
      <c r="U1005" s="1" t="s">
        <v>66</v>
      </c>
      <c r="V1005" s="1" t="s">
        <v>37</v>
      </c>
      <c r="W1005">
        <v>2</v>
      </c>
    </row>
    <row r="1006" spans="1:23" x14ac:dyDescent="0.3">
      <c r="A1006" s="1" t="s">
        <v>2201</v>
      </c>
      <c r="B1006">
        <v>1</v>
      </c>
      <c r="C1006">
        <v>16.989999999999998</v>
      </c>
      <c r="D1006">
        <v>16.989999999999998</v>
      </c>
      <c r="E1006" s="1" t="s">
        <v>2202</v>
      </c>
      <c r="F1006" s="1" t="s">
        <v>40</v>
      </c>
      <c r="G1006">
        <v>16</v>
      </c>
      <c r="H1006" s="1" t="s">
        <v>26</v>
      </c>
      <c r="I1006" s="1" t="s">
        <v>59</v>
      </c>
      <c r="J1006">
        <v>5</v>
      </c>
      <c r="K1006">
        <v>16.989999999999998</v>
      </c>
      <c r="L1006" s="1" t="s">
        <v>60</v>
      </c>
      <c r="M1006" s="1" t="s">
        <v>61</v>
      </c>
      <c r="N1006" s="1" t="s">
        <v>62</v>
      </c>
      <c r="O1006" s="1" t="s">
        <v>31</v>
      </c>
      <c r="P1006" s="2">
        <v>45726</v>
      </c>
      <c r="Q1006" s="1" t="s">
        <v>1642</v>
      </c>
      <c r="R1006" s="1" t="s">
        <v>1643</v>
      </c>
      <c r="S1006" s="1" t="s">
        <v>88</v>
      </c>
      <c r="T1006" s="1" t="s">
        <v>35</v>
      </c>
      <c r="U1006" s="1" t="s">
        <v>36</v>
      </c>
      <c r="V1006" s="1" t="s">
        <v>67</v>
      </c>
      <c r="W1006">
        <v>3</v>
      </c>
    </row>
    <row r="1007" spans="1:23" x14ac:dyDescent="0.3">
      <c r="A1007" s="1" t="s">
        <v>2203</v>
      </c>
      <c r="B1007">
        <v>3</v>
      </c>
      <c r="C1007">
        <v>21.99</v>
      </c>
      <c r="D1007">
        <v>52.66</v>
      </c>
      <c r="E1007" s="1" t="s">
        <v>1156</v>
      </c>
      <c r="F1007" s="1" t="s">
        <v>40</v>
      </c>
      <c r="G1007">
        <v>3</v>
      </c>
      <c r="H1007" s="1" t="s">
        <v>41</v>
      </c>
      <c r="I1007" s="1" t="s">
        <v>27</v>
      </c>
      <c r="J1007">
        <v>7</v>
      </c>
      <c r="K1007">
        <v>21.99</v>
      </c>
      <c r="L1007" s="1" t="s">
        <v>28</v>
      </c>
      <c r="M1007" s="1" t="s">
        <v>29</v>
      </c>
      <c r="N1007" s="1" t="s">
        <v>30</v>
      </c>
      <c r="O1007" s="1" t="s">
        <v>31</v>
      </c>
      <c r="P1007" s="2">
        <v>45778</v>
      </c>
      <c r="Q1007" s="1" t="s">
        <v>1187</v>
      </c>
      <c r="R1007" s="1" t="s">
        <v>2204</v>
      </c>
      <c r="S1007" s="1" t="s">
        <v>88</v>
      </c>
      <c r="T1007" s="1" t="s">
        <v>35</v>
      </c>
      <c r="U1007" s="1" t="s">
        <v>55</v>
      </c>
      <c r="V1007" s="1" t="s">
        <v>37</v>
      </c>
      <c r="W1007">
        <v>2</v>
      </c>
    </row>
    <row r="1008" spans="1:23" x14ac:dyDescent="0.3">
      <c r="A1008" s="1" t="s">
        <v>2205</v>
      </c>
      <c r="B1008">
        <v>1</v>
      </c>
      <c r="C1008">
        <v>30.99</v>
      </c>
      <c r="D1008">
        <v>30.99</v>
      </c>
      <c r="E1008" s="1" t="s">
        <v>185</v>
      </c>
      <c r="F1008" s="1" t="s">
        <v>40</v>
      </c>
      <c r="G1008">
        <v>2</v>
      </c>
      <c r="H1008" s="1" t="s">
        <v>41</v>
      </c>
      <c r="I1008" s="1" t="s">
        <v>42</v>
      </c>
      <c r="J1008">
        <v>10.5</v>
      </c>
      <c r="K1008">
        <v>30.99</v>
      </c>
      <c r="L1008" s="1" t="s">
        <v>28</v>
      </c>
      <c r="M1008" s="1" t="s">
        <v>43</v>
      </c>
      <c r="N1008" s="1" t="s">
        <v>44</v>
      </c>
      <c r="O1008" s="1" t="s">
        <v>31</v>
      </c>
      <c r="P1008" s="2">
        <v>45823</v>
      </c>
      <c r="Q1008" s="1" t="s">
        <v>1639</v>
      </c>
      <c r="R1008" s="1" t="s">
        <v>1640</v>
      </c>
      <c r="S1008" s="1" t="s">
        <v>105</v>
      </c>
      <c r="T1008" s="1" t="s">
        <v>35</v>
      </c>
      <c r="U1008" s="1" t="s">
        <v>36</v>
      </c>
      <c r="V1008" s="1" t="s">
        <v>37</v>
      </c>
      <c r="W1008">
        <v>2</v>
      </c>
    </row>
    <row r="1009" spans="1:23" x14ac:dyDescent="0.3">
      <c r="A1009" s="1" t="s">
        <v>2206</v>
      </c>
      <c r="B1009">
        <v>3</v>
      </c>
      <c r="C1009">
        <v>21.99</v>
      </c>
      <c r="D1009">
        <v>51.96</v>
      </c>
      <c r="E1009" s="1" t="s">
        <v>2142</v>
      </c>
      <c r="F1009" s="1" t="s">
        <v>188</v>
      </c>
      <c r="G1009">
        <v>0</v>
      </c>
      <c r="H1009" s="1" t="s">
        <v>58</v>
      </c>
      <c r="I1009" s="1" t="s">
        <v>27</v>
      </c>
      <c r="J1009">
        <v>7</v>
      </c>
      <c r="K1009">
        <v>21.99</v>
      </c>
      <c r="L1009" s="1" t="s">
        <v>28</v>
      </c>
      <c r="M1009" s="1" t="s">
        <v>29</v>
      </c>
      <c r="N1009" s="1" t="s">
        <v>30</v>
      </c>
      <c r="O1009" s="1" t="s">
        <v>31</v>
      </c>
      <c r="P1009" s="2">
        <v>45778</v>
      </c>
      <c r="Q1009" s="1" t="s">
        <v>865</v>
      </c>
      <c r="R1009" s="1" t="s">
        <v>866</v>
      </c>
      <c r="S1009" s="1" t="s">
        <v>105</v>
      </c>
      <c r="T1009" s="1" t="s">
        <v>35</v>
      </c>
      <c r="U1009" s="1" t="s">
        <v>36</v>
      </c>
      <c r="V1009" s="1" t="s">
        <v>37</v>
      </c>
      <c r="W1009">
        <v>2</v>
      </c>
    </row>
    <row r="1010" spans="1:23" x14ac:dyDescent="0.3">
      <c r="A1010" s="1" t="s">
        <v>2207</v>
      </c>
      <c r="B1010">
        <v>2</v>
      </c>
      <c r="C1010">
        <v>27.99</v>
      </c>
      <c r="D1010">
        <v>48.1</v>
      </c>
      <c r="E1010" s="1" t="s">
        <v>727</v>
      </c>
      <c r="F1010" s="1" t="s">
        <v>40</v>
      </c>
      <c r="G1010">
        <v>2</v>
      </c>
      <c r="H1010" s="1" t="s">
        <v>58</v>
      </c>
      <c r="I1010" s="1" t="s">
        <v>75</v>
      </c>
      <c r="J1010">
        <v>9</v>
      </c>
      <c r="K1010">
        <v>27.99</v>
      </c>
      <c r="L1010" s="1" t="s">
        <v>28</v>
      </c>
      <c r="M1010" s="1" t="s">
        <v>61</v>
      </c>
      <c r="N1010" s="1" t="s">
        <v>62</v>
      </c>
      <c r="O1010" s="1" t="s">
        <v>31</v>
      </c>
      <c r="P1010" s="2">
        <v>45726</v>
      </c>
      <c r="Q1010" s="1" t="s">
        <v>234</v>
      </c>
      <c r="R1010" s="1" t="s">
        <v>1646</v>
      </c>
      <c r="S1010" s="1" t="s">
        <v>54</v>
      </c>
      <c r="T1010" s="1" t="s">
        <v>35</v>
      </c>
      <c r="U1010" s="1" t="s">
        <v>36</v>
      </c>
      <c r="V1010" s="1" t="s">
        <v>37</v>
      </c>
      <c r="W1010">
        <v>2</v>
      </c>
    </row>
    <row r="1011" spans="1:23" x14ac:dyDescent="0.3">
      <c r="A1011" s="1" t="s">
        <v>2208</v>
      </c>
      <c r="B1011">
        <v>1</v>
      </c>
      <c r="C1011">
        <v>30.99</v>
      </c>
      <c r="D1011">
        <v>30.99</v>
      </c>
      <c r="E1011" s="1" t="s">
        <v>348</v>
      </c>
      <c r="F1011" s="1" t="s">
        <v>40</v>
      </c>
      <c r="G1011">
        <v>3</v>
      </c>
      <c r="H1011" s="1" t="s">
        <v>96</v>
      </c>
      <c r="I1011" s="1" t="s">
        <v>42</v>
      </c>
      <c r="J1011">
        <v>10.5</v>
      </c>
      <c r="K1011">
        <v>30.99</v>
      </c>
      <c r="L1011" s="1" t="s">
        <v>28</v>
      </c>
      <c r="M1011" s="1" t="s">
        <v>43</v>
      </c>
      <c r="N1011" s="1" t="s">
        <v>44</v>
      </c>
      <c r="O1011" s="1" t="s">
        <v>31</v>
      </c>
      <c r="P1011" s="2">
        <v>45823</v>
      </c>
      <c r="Q1011" s="1" t="s">
        <v>1620</v>
      </c>
      <c r="R1011" s="1" t="s">
        <v>1621</v>
      </c>
      <c r="S1011" s="1" t="s">
        <v>88</v>
      </c>
      <c r="T1011" s="1" t="s">
        <v>35</v>
      </c>
      <c r="U1011" s="1" t="s">
        <v>82</v>
      </c>
      <c r="V1011" s="1" t="s">
        <v>37</v>
      </c>
      <c r="W1011">
        <v>2</v>
      </c>
    </row>
    <row r="1012" spans="1:23" x14ac:dyDescent="0.3">
      <c r="A1012" s="1" t="s">
        <v>2209</v>
      </c>
      <c r="B1012">
        <v>3</v>
      </c>
      <c r="C1012">
        <v>18.989999999999998</v>
      </c>
      <c r="D1012">
        <v>45.28</v>
      </c>
      <c r="E1012" s="1" t="s">
        <v>1749</v>
      </c>
      <c r="F1012" s="1" t="s">
        <v>40</v>
      </c>
      <c r="G1012">
        <v>14</v>
      </c>
      <c r="H1012" s="1" t="s">
        <v>26</v>
      </c>
      <c r="I1012" s="1" t="s">
        <v>97</v>
      </c>
      <c r="J1012">
        <v>6</v>
      </c>
      <c r="K1012">
        <v>18.989999999999998</v>
      </c>
      <c r="L1012" s="1" t="s">
        <v>60</v>
      </c>
      <c r="M1012" s="1" t="s">
        <v>43</v>
      </c>
      <c r="N1012" s="1" t="s">
        <v>44</v>
      </c>
      <c r="O1012" s="1" t="s">
        <v>31</v>
      </c>
      <c r="P1012" s="2">
        <v>45823</v>
      </c>
      <c r="Q1012" s="1" t="s">
        <v>1097</v>
      </c>
      <c r="R1012" s="1" t="s">
        <v>1098</v>
      </c>
      <c r="S1012" s="1" t="s">
        <v>65</v>
      </c>
      <c r="T1012" s="1" t="s">
        <v>35</v>
      </c>
      <c r="U1012" s="1" t="s">
        <v>48</v>
      </c>
      <c r="V1012" s="1" t="s">
        <v>100</v>
      </c>
      <c r="W1012">
        <v>3.2</v>
      </c>
    </row>
    <row r="1013" spans="1:23" x14ac:dyDescent="0.3">
      <c r="A1013" s="1" t="s">
        <v>2210</v>
      </c>
      <c r="B1013">
        <v>3</v>
      </c>
      <c r="C1013">
        <v>27.99</v>
      </c>
      <c r="D1013">
        <v>66.239999999999995</v>
      </c>
      <c r="E1013" s="1" t="s">
        <v>2093</v>
      </c>
      <c r="F1013" s="1" t="s">
        <v>51</v>
      </c>
      <c r="G1013">
        <v>0</v>
      </c>
      <c r="H1013" s="1" t="s">
        <v>41</v>
      </c>
      <c r="I1013" s="1" t="s">
        <v>75</v>
      </c>
      <c r="J1013">
        <v>9</v>
      </c>
      <c r="K1013">
        <v>27.99</v>
      </c>
      <c r="L1013" s="1" t="s">
        <v>28</v>
      </c>
      <c r="M1013" s="1" t="s">
        <v>61</v>
      </c>
      <c r="N1013" s="1" t="s">
        <v>62</v>
      </c>
      <c r="O1013" s="1" t="s">
        <v>31</v>
      </c>
      <c r="P1013" s="2">
        <v>45726</v>
      </c>
      <c r="Q1013" s="1" t="s">
        <v>140</v>
      </c>
      <c r="R1013" s="1" t="s">
        <v>1199</v>
      </c>
      <c r="S1013" s="1" t="s">
        <v>65</v>
      </c>
      <c r="T1013" s="1" t="s">
        <v>35</v>
      </c>
      <c r="U1013" s="1" t="s">
        <v>36</v>
      </c>
      <c r="V1013" s="1" t="s">
        <v>37</v>
      </c>
      <c r="W1013">
        <v>2</v>
      </c>
    </row>
    <row r="1014" spans="1:23" x14ac:dyDescent="0.3">
      <c r="A1014" s="1" t="s">
        <v>2211</v>
      </c>
      <c r="B1014">
        <v>1</v>
      </c>
      <c r="C1014">
        <v>27.99</v>
      </c>
      <c r="D1014">
        <v>27.99</v>
      </c>
      <c r="E1014" s="1" t="s">
        <v>252</v>
      </c>
      <c r="F1014" s="1" t="s">
        <v>40</v>
      </c>
      <c r="G1014">
        <v>3</v>
      </c>
      <c r="H1014" s="1" t="s">
        <v>58</v>
      </c>
      <c r="I1014" s="1" t="s">
        <v>75</v>
      </c>
      <c r="J1014">
        <v>9</v>
      </c>
      <c r="K1014">
        <v>27.99</v>
      </c>
      <c r="L1014" s="1" t="s">
        <v>28</v>
      </c>
      <c r="M1014" s="1" t="s">
        <v>61</v>
      </c>
      <c r="N1014" s="1" t="s">
        <v>62</v>
      </c>
      <c r="O1014" s="1" t="s">
        <v>31</v>
      </c>
      <c r="P1014" s="2">
        <v>45726</v>
      </c>
      <c r="Q1014" s="1" t="s">
        <v>1940</v>
      </c>
      <c r="R1014" s="1" t="s">
        <v>1941</v>
      </c>
      <c r="S1014" s="1" t="s">
        <v>34</v>
      </c>
      <c r="T1014" s="1" t="s">
        <v>35</v>
      </c>
      <c r="U1014" s="1" t="s">
        <v>48</v>
      </c>
      <c r="V1014" s="1" t="s">
        <v>37</v>
      </c>
      <c r="W1014">
        <v>2</v>
      </c>
    </row>
    <row r="1015" spans="1:23" x14ac:dyDescent="0.3">
      <c r="A1015" s="1" t="s">
        <v>2212</v>
      </c>
      <c r="B1015">
        <v>1</v>
      </c>
      <c r="C1015">
        <v>18.989999999999998</v>
      </c>
      <c r="D1015">
        <v>18.989999999999998</v>
      </c>
      <c r="E1015" s="1" t="s">
        <v>297</v>
      </c>
      <c r="F1015" s="1" t="s">
        <v>40</v>
      </c>
      <c r="G1015">
        <v>10</v>
      </c>
      <c r="H1015" s="1" t="s">
        <v>26</v>
      </c>
      <c r="I1015" s="1" t="s">
        <v>97</v>
      </c>
      <c r="J1015">
        <v>6</v>
      </c>
      <c r="K1015">
        <v>18.989999999999998</v>
      </c>
      <c r="L1015" s="1" t="s">
        <v>60</v>
      </c>
      <c r="M1015" s="1" t="s">
        <v>43</v>
      </c>
      <c r="N1015" s="1" t="s">
        <v>44</v>
      </c>
      <c r="O1015" s="1" t="s">
        <v>31</v>
      </c>
      <c r="P1015" s="2">
        <v>45823</v>
      </c>
      <c r="Q1015" s="1" t="s">
        <v>865</v>
      </c>
      <c r="R1015" s="1" t="s">
        <v>866</v>
      </c>
      <c r="S1015" s="1" t="s">
        <v>105</v>
      </c>
      <c r="T1015" s="1" t="s">
        <v>35</v>
      </c>
      <c r="U1015" s="1" t="s">
        <v>36</v>
      </c>
      <c r="V1015" s="1" t="s">
        <v>100</v>
      </c>
      <c r="W1015">
        <v>3.2</v>
      </c>
    </row>
    <row r="1016" spans="1:23" x14ac:dyDescent="0.3">
      <c r="A1016" s="1" t="s">
        <v>2213</v>
      </c>
      <c r="B1016">
        <v>2</v>
      </c>
      <c r="C1016">
        <v>27.99</v>
      </c>
      <c r="D1016">
        <v>48.54</v>
      </c>
      <c r="E1016" s="1" t="s">
        <v>1492</v>
      </c>
      <c r="F1016" s="1" t="s">
        <v>70</v>
      </c>
      <c r="G1016">
        <v>0</v>
      </c>
      <c r="H1016" s="1" t="s">
        <v>41</v>
      </c>
      <c r="I1016" s="1" t="s">
        <v>75</v>
      </c>
      <c r="J1016">
        <v>9</v>
      </c>
      <c r="K1016">
        <v>27.99</v>
      </c>
      <c r="L1016" s="1" t="s">
        <v>28</v>
      </c>
      <c r="M1016" s="1" t="s">
        <v>61</v>
      </c>
      <c r="N1016" s="1" t="s">
        <v>62</v>
      </c>
      <c r="O1016" s="1" t="s">
        <v>31</v>
      </c>
      <c r="P1016" s="2">
        <v>45726</v>
      </c>
      <c r="Q1016" s="1" t="s">
        <v>1887</v>
      </c>
      <c r="R1016" s="1" t="s">
        <v>1888</v>
      </c>
      <c r="S1016" s="1" t="s">
        <v>88</v>
      </c>
      <c r="T1016" s="1" t="s">
        <v>35</v>
      </c>
      <c r="U1016" s="1" t="s">
        <v>82</v>
      </c>
      <c r="V1016" s="1" t="s">
        <v>37</v>
      </c>
      <c r="W1016">
        <v>2</v>
      </c>
    </row>
    <row r="1017" spans="1:23" x14ac:dyDescent="0.3">
      <c r="A1017" s="1" t="s">
        <v>2214</v>
      </c>
      <c r="B1017">
        <v>3</v>
      </c>
      <c r="C1017">
        <v>16.989999999999998</v>
      </c>
      <c r="D1017">
        <v>41.09</v>
      </c>
      <c r="E1017" s="1" t="s">
        <v>1227</v>
      </c>
      <c r="F1017" s="1" t="s">
        <v>188</v>
      </c>
      <c r="G1017">
        <v>0</v>
      </c>
      <c r="H1017" s="1" t="s">
        <v>26</v>
      </c>
      <c r="I1017" s="1" t="s">
        <v>59</v>
      </c>
      <c r="J1017">
        <v>5</v>
      </c>
      <c r="K1017">
        <v>16.989999999999998</v>
      </c>
      <c r="L1017" s="1" t="s">
        <v>60</v>
      </c>
      <c r="M1017" s="1" t="s">
        <v>61</v>
      </c>
      <c r="N1017" s="1" t="s">
        <v>62</v>
      </c>
      <c r="O1017" s="1" t="s">
        <v>31</v>
      </c>
      <c r="P1017" s="2">
        <v>45726</v>
      </c>
      <c r="Q1017" s="1" t="s">
        <v>1218</v>
      </c>
      <c r="R1017" s="1" t="s">
        <v>1219</v>
      </c>
      <c r="S1017" s="1" t="s">
        <v>105</v>
      </c>
      <c r="T1017" s="1" t="s">
        <v>35</v>
      </c>
      <c r="U1017" s="1" t="s">
        <v>82</v>
      </c>
      <c r="V1017" s="1" t="s">
        <v>67</v>
      </c>
      <c r="W1017">
        <v>3</v>
      </c>
    </row>
    <row r="1018" spans="1:23" x14ac:dyDescent="0.3">
      <c r="A1018" s="1" t="s">
        <v>2215</v>
      </c>
      <c r="B1018">
        <v>1</v>
      </c>
      <c r="C1018">
        <v>30.99</v>
      </c>
      <c r="D1018">
        <v>30.99</v>
      </c>
      <c r="E1018" s="1" t="s">
        <v>1881</v>
      </c>
      <c r="F1018" s="1" t="s">
        <v>40</v>
      </c>
      <c r="G1018">
        <v>3</v>
      </c>
      <c r="H1018" s="1" t="s">
        <v>96</v>
      </c>
      <c r="I1018" s="1" t="s">
        <v>42</v>
      </c>
      <c r="J1018">
        <v>10.5</v>
      </c>
      <c r="K1018">
        <v>30.99</v>
      </c>
      <c r="L1018" s="1" t="s">
        <v>28</v>
      </c>
      <c r="M1018" s="1" t="s">
        <v>43</v>
      </c>
      <c r="N1018" s="1" t="s">
        <v>44</v>
      </c>
      <c r="O1018" s="1" t="s">
        <v>31</v>
      </c>
      <c r="P1018" s="2">
        <v>45823</v>
      </c>
      <c r="Q1018" s="1" t="s">
        <v>893</v>
      </c>
      <c r="R1018" s="1" t="s">
        <v>1300</v>
      </c>
      <c r="S1018" s="1" t="s">
        <v>34</v>
      </c>
      <c r="T1018" s="1" t="s">
        <v>35</v>
      </c>
      <c r="U1018" s="1" t="s">
        <v>66</v>
      </c>
      <c r="V1018" s="1" t="s">
        <v>37</v>
      </c>
      <c r="W1018">
        <v>2</v>
      </c>
    </row>
    <row r="1019" spans="1:23" x14ac:dyDescent="0.3">
      <c r="A1019" s="1" t="s">
        <v>2216</v>
      </c>
      <c r="B1019">
        <v>1</v>
      </c>
      <c r="C1019">
        <v>18.989999999999998</v>
      </c>
      <c r="D1019">
        <v>18.989999999999998</v>
      </c>
      <c r="E1019" s="1" t="s">
        <v>1233</v>
      </c>
      <c r="F1019" s="1" t="s">
        <v>51</v>
      </c>
      <c r="G1019">
        <v>0</v>
      </c>
      <c r="H1019" s="1" t="s">
        <v>26</v>
      </c>
      <c r="I1019" s="1" t="s">
        <v>97</v>
      </c>
      <c r="J1019">
        <v>6</v>
      </c>
      <c r="K1019">
        <v>18.989999999999998</v>
      </c>
      <c r="L1019" s="1" t="s">
        <v>60</v>
      </c>
      <c r="M1019" s="1" t="s">
        <v>43</v>
      </c>
      <c r="N1019" s="1" t="s">
        <v>44</v>
      </c>
      <c r="O1019" s="1" t="s">
        <v>31</v>
      </c>
      <c r="P1019" s="2">
        <v>45823</v>
      </c>
      <c r="Q1019" s="1" t="s">
        <v>1728</v>
      </c>
      <c r="R1019" s="1" t="s">
        <v>1729</v>
      </c>
      <c r="S1019" s="1" t="s">
        <v>65</v>
      </c>
      <c r="T1019" s="1" t="s">
        <v>35</v>
      </c>
      <c r="U1019" s="1" t="s">
        <v>55</v>
      </c>
      <c r="V1019" s="1" t="s">
        <v>100</v>
      </c>
      <c r="W1019">
        <v>3.2</v>
      </c>
    </row>
    <row r="1020" spans="1:23" x14ac:dyDescent="0.3">
      <c r="A1020" s="1" t="s">
        <v>2217</v>
      </c>
      <c r="B1020">
        <v>3</v>
      </c>
      <c r="C1020">
        <v>16.989999999999998</v>
      </c>
      <c r="D1020">
        <v>41.25</v>
      </c>
      <c r="E1020" s="1" t="s">
        <v>2218</v>
      </c>
      <c r="F1020" s="1" t="s">
        <v>40</v>
      </c>
      <c r="G1020">
        <v>18</v>
      </c>
      <c r="H1020" s="1" t="s">
        <v>96</v>
      </c>
      <c r="I1020" s="1" t="s">
        <v>59</v>
      </c>
      <c r="J1020">
        <v>5</v>
      </c>
      <c r="K1020">
        <v>16.989999999999998</v>
      </c>
      <c r="L1020" s="1" t="s">
        <v>60</v>
      </c>
      <c r="M1020" s="1" t="s">
        <v>61</v>
      </c>
      <c r="N1020" s="1" t="s">
        <v>62</v>
      </c>
      <c r="O1020" s="1" t="s">
        <v>31</v>
      </c>
      <c r="P1020" s="2">
        <v>45726</v>
      </c>
      <c r="Q1020" s="1" t="s">
        <v>779</v>
      </c>
      <c r="R1020" s="1" t="s">
        <v>780</v>
      </c>
      <c r="S1020" s="1" t="s">
        <v>88</v>
      </c>
      <c r="T1020" s="1" t="s">
        <v>35</v>
      </c>
      <c r="U1020" s="1" t="s">
        <v>48</v>
      </c>
      <c r="V1020" s="1" t="s">
        <v>67</v>
      </c>
      <c r="W1020">
        <v>3</v>
      </c>
    </row>
    <row r="1021" spans="1:23" x14ac:dyDescent="0.3">
      <c r="A1021" s="1" t="s">
        <v>2219</v>
      </c>
      <c r="B1021">
        <v>2</v>
      </c>
      <c r="C1021">
        <v>27.99</v>
      </c>
      <c r="D1021">
        <v>48.89</v>
      </c>
      <c r="E1021" s="1" t="s">
        <v>2220</v>
      </c>
      <c r="F1021" s="1" t="s">
        <v>40</v>
      </c>
      <c r="G1021">
        <v>3</v>
      </c>
      <c r="H1021" s="1" t="s">
        <v>58</v>
      </c>
      <c r="I1021" s="1" t="s">
        <v>75</v>
      </c>
      <c r="J1021">
        <v>9</v>
      </c>
      <c r="K1021">
        <v>27.99</v>
      </c>
      <c r="L1021" s="1" t="s">
        <v>28</v>
      </c>
      <c r="M1021" s="1" t="s">
        <v>61</v>
      </c>
      <c r="N1021" s="1" t="s">
        <v>62</v>
      </c>
      <c r="O1021" s="1" t="s">
        <v>31</v>
      </c>
      <c r="P1021" s="2">
        <v>45726</v>
      </c>
      <c r="Q1021" s="1" t="s">
        <v>804</v>
      </c>
      <c r="R1021" s="1" t="s">
        <v>805</v>
      </c>
      <c r="S1021" s="1" t="s">
        <v>88</v>
      </c>
      <c r="T1021" s="1" t="s">
        <v>35</v>
      </c>
      <c r="U1021" s="1" t="s">
        <v>82</v>
      </c>
      <c r="V1021" s="1" t="s">
        <v>37</v>
      </c>
      <c r="W1021">
        <v>2</v>
      </c>
    </row>
    <row r="1022" spans="1:23" x14ac:dyDescent="0.3">
      <c r="A1022" s="1" t="s">
        <v>2221</v>
      </c>
      <c r="B1022">
        <v>1</v>
      </c>
      <c r="C1022">
        <v>34.99</v>
      </c>
      <c r="D1022">
        <v>34.99</v>
      </c>
      <c r="E1022" s="1" t="s">
        <v>1153</v>
      </c>
      <c r="F1022" s="1" t="s">
        <v>51</v>
      </c>
      <c r="G1022">
        <v>0</v>
      </c>
      <c r="H1022" s="1" t="s">
        <v>41</v>
      </c>
      <c r="I1022" s="1" t="s">
        <v>85</v>
      </c>
      <c r="J1022">
        <v>12.5</v>
      </c>
      <c r="K1022">
        <v>34.99</v>
      </c>
      <c r="L1022" s="1" t="s">
        <v>60</v>
      </c>
      <c r="M1022" s="1" t="s">
        <v>29</v>
      </c>
      <c r="N1022" s="1" t="s">
        <v>30</v>
      </c>
      <c r="O1022" s="1" t="s">
        <v>31</v>
      </c>
      <c r="P1022" s="2">
        <v>45778</v>
      </c>
      <c r="Q1022" s="1" t="s">
        <v>1101</v>
      </c>
      <c r="R1022" s="1" t="s">
        <v>1102</v>
      </c>
      <c r="S1022" s="1" t="s">
        <v>47</v>
      </c>
      <c r="T1022" s="1" t="s">
        <v>35</v>
      </c>
      <c r="U1022" s="1" t="s">
        <v>48</v>
      </c>
      <c r="V1022" s="1" t="s">
        <v>89</v>
      </c>
      <c r="W1022">
        <v>2.4</v>
      </c>
    </row>
    <row r="1023" spans="1:23" x14ac:dyDescent="0.3">
      <c r="A1023" s="1" t="s">
        <v>2222</v>
      </c>
      <c r="B1023">
        <v>2</v>
      </c>
      <c r="C1023">
        <v>30.99</v>
      </c>
      <c r="D1023">
        <v>53.02</v>
      </c>
      <c r="E1023" s="1" t="s">
        <v>274</v>
      </c>
      <c r="F1023" s="1" t="s">
        <v>40</v>
      </c>
      <c r="G1023">
        <v>3</v>
      </c>
      <c r="H1023" s="1" t="s">
        <v>26</v>
      </c>
      <c r="I1023" s="1" t="s">
        <v>42</v>
      </c>
      <c r="J1023">
        <v>10.5</v>
      </c>
      <c r="K1023">
        <v>30.99</v>
      </c>
      <c r="L1023" s="1" t="s">
        <v>28</v>
      </c>
      <c r="M1023" s="1" t="s">
        <v>43</v>
      </c>
      <c r="N1023" s="1" t="s">
        <v>44</v>
      </c>
      <c r="O1023" s="1" t="s">
        <v>31</v>
      </c>
      <c r="P1023" s="2">
        <v>45823</v>
      </c>
      <c r="Q1023" s="1" t="s">
        <v>137</v>
      </c>
      <c r="R1023" s="1" t="s">
        <v>1278</v>
      </c>
      <c r="S1023" s="1" t="s">
        <v>34</v>
      </c>
      <c r="T1023" s="1" t="s">
        <v>35</v>
      </c>
      <c r="U1023" s="1" t="s">
        <v>36</v>
      </c>
      <c r="V1023" s="1" t="s">
        <v>37</v>
      </c>
      <c r="W1023">
        <v>2</v>
      </c>
    </row>
    <row r="1024" spans="1:23" x14ac:dyDescent="0.3">
      <c r="A1024" s="1" t="s">
        <v>2223</v>
      </c>
      <c r="B1024">
        <v>2</v>
      </c>
      <c r="C1024">
        <v>18.989999999999998</v>
      </c>
      <c r="D1024">
        <v>32.770000000000003</v>
      </c>
      <c r="E1024" s="1" t="s">
        <v>1596</v>
      </c>
      <c r="F1024" s="1" t="s">
        <v>188</v>
      </c>
      <c r="G1024">
        <v>0</v>
      </c>
      <c r="H1024" s="1" t="s">
        <v>26</v>
      </c>
      <c r="I1024" s="1" t="s">
        <v>97</v>
      </c>
      <c r="J1024">
        <v>6</v>
      </c>
      <c r="K1024">
        <v>18.989999999999998</v>
      </c>
      <c r="L1024" s="1" t="s">
        <v>60</v>
      </c>
      <c r="M1024" s="1" t="s">
        <v>43</v>
      </c>
      <c r="N1024" s="1" t="s">
        <v>44</v>
      </c>
      <c r="O1024" s="1" t="s">
        <v>31</v>
      </c>
      <c r="P1024" s="2">
        <v>45823</v>
      </c>
      <c r="Q1024" s="1" t="s">
        <v>1533</v>
      </c>
      <c r="R1024" s="1" t="s">
        <v>1635</v>
      </c>
      <c r="S1024" s="1" t="s">
        <v>105</v>
      </c>
      <c r="T1024" s="1" t="s">
        <v>35</v>
      </c>
      <c r="U1024" s="1" t="s">
        <v>36</v>
      </c>
      <c r="V1024" s="1" t="s">
        <v>100</v>
      </c>
      <c r="W1024">
        <v>3.2</v>
      </c>
    </row>
    <row r="1025" spans="1:23" x14ac:dyDescent="0.3">
      <c r="A1025" s="1" t="s">
        <v>2224</v>
      </c>
      <c r="B1025">
        <v>1</v>
      </c>
      <c r="C1025">
        <v>27.99</v>
      </c>
      <c r="D1025">
        <v>27.99</v>
      </c>
      <c r="E1025" s="1" t="s">
        <v>950</v>
      </c>
      <c r="F1025" s="1" t="s">
        <v>25</v>
      </c>
      <c r="G1025">
        <v>2</v>
      </c>
      <c r="H1025" s="1" t="s">
        <v>26</v>
      </c>
      <c r="I1025" s="1" t="s">
        <v>75</v>
      </c>
      <c r="J1025">
        <v>9</v>
      </c>
      <c r="K1025">
        <v>27.99</v>
      </c>
      <c r="L1025" s="1" t="s">
        <v>28</v>
      </c>
      <c r="M1025" s="1" t="s">
        <v>61</v>
      </c>
      <c r="N1025" s="1" t="s">
        <v>62</v>
      </c>
      <c r="O1025" s="1" t="s">
        <v>31</v>
      </c>
      <c r="P1025" s="2">
        <v>45726</v>
      </c>
      <c r="Q1025" s="1" t="s">
        <v>2225</v>
      </c>
      <c r="R1025" s="1" t="s">
        <v>2226</v>
      </c>
      <c r="S1025" s="1" t="s">
        <v>65</v>
      </c>
      <c r="T1025" s="1" t="s">
        <v>35</v>
      </c>
      <c r="U1025" s="1" t="s">
        <v>55</v>
      </c>
      <c r="V1025" s="1" t="s">
        <v>37</v>
      </c>
      <c r="W1025">
        <v>2</v>
      </c>
    </row>
    <row r="1026" spans="1:23" x14ac:dyDescent="0.3">
      <c r="A1026" s="1" t="s">
        <v>2227</v>
      </c>
      <c r="B1026">
        <v>1</v>
      </c>
      <c r="C1026">
        <v>21.99</v>
      </c>
      <c r="D1026">
        <v>21.99</v>
      </c>
      <c r="E1026" s="1" t="s">
        <v>1893</v>
      </c>
      <c r="F1026" s="1" t="s">
        <v>25</v>
      </c>
      <c r="G1026">
        <v>3</v>
      </c>
      <c r="H1026" s="1" t="s">
        <v>58</v>
      </c>
      <c r="I1026" s="1" t="s">
        <v>27</v>
      </c>
      <c r="J1026">
        <v>7</v>
      </c>
      <c r="K1026">
        <v>21.99</v>
      </c>
      <c r="L1026" s="1" t="s">
        <v>28</v>
      </c>
      <c r="M1026" s="1" t="s">
        <v>29</v>
      </c>
      <c r="N1026" s="1" t="s">
        <v>30</v>
      </c>
      <c r="O1026" s="1" t="s">
        <v>31</v>
      </c>
      <c r="P1026" s="2">
        <v>45778</v>
      </c>
      <c r="Q1026" s="1" t="s">
        <v>1878</v>
      </c>
      <c r="R1026" s="1" t="s">
        <v>1879</v>
      </c>
      <c r="S1026" s="1" t="s">
        <v>54</v>
      </c>
      <c r="T1026" s="1" t="s">
        <v>35</v>
      </c>
      <c r="U1026" s="1" t="s">
        <v>66</v>
      </c>
      <c r="V1026" s="1" t="s">
        <v>37</v>
      </c>
      <c r="W1026">
        <v>2</v>
      </c>
    </row>
    <row r="1027" spans="1:23" x14ac:dyDescent="0.3">
      <c r="A1027" s="1" t="s">
        <v>2228</v>
      </c>
      <c r="B1027">
        <v>1</v>
      </c>
      <c r="C1027">
        <v>21.99</v>
      </c>
      <c r="D1027">
        <v>21.99</v>
      </c>
      <c r="E1027" s="1" t="s">
        <v>2229</v>
      </c>
      <c r="F1027" s="1" t="s">
        <v>188</v>
      </c>
      <c r="G1027">
        <v>0</v>
      </c>
      <c r="H1027" s="1" t="s">
        <v>41</v>
      </c>
      <c r="I1027" s="1" t="s">
        <v>27</v>
      </c>
      <c r="J1027">
        <v>7</v>
      </c>
      <c r="K1027">
        <v>21.99</v>
      </c>
      <c r="L1027" s="1" t="s">
        <v>28</v>
      </c>
      <c r="M1027" s="1" t="s">
        <v>29</v>
      </c>
      <c r="N1027" s="1" t="s">
        <v>30</v>
      </c>
      <c r="O1027" s="1" t="s">
        <v>31</v>
      </c>
      <c r="P1027" s="2">
        <v>45778</v>
      </c>
      <c r="Q1027" s="1" t="s">
        <v>1157</v>
      </c>
      <c r="R1027" s="1" t="s">
        <v>1158</v>
      </c>
      <c r="S1027" s="1" t="s">
        <v>105</v>
      </c>
      <c r="T1027" s="1" t="s">
        <v>35</v>
      </c>
      <c r="U1027" s="1" t="s">
        <v>55</v>
      </c>
      <c r="V1027" s="1" t="s">
        <v>37</v>
      </c>
      <c r="W1027">
        <v>2</v>
      </c>
    </row>
    <row r="1028" spans="1:23" x14ac:dyDescent="0.3">
      <c r="A1028" s="1" t="s">
        <v>2230</v>
      </c>
      <c r="B1028">
        <v>2</v>
      </c>
      <c r="C1028">
        <v>34.99</v>
      </c>
      <c r="D1028">
        <v>61.18</v>
      </c>
      <c r="E1028" s="1" t="s">
        <v>146</v>
      </c>
      <c r="F1028" s="1" t="s">
        <v>40</v>
      </c>
      <c r="G1028">
        <v>8</v>
      </c>
      <c r="H1028" s="1" t="s">
        <v>58</v>
      </c>
      <c r="I1028" s="1" t="s">
        <v>85</v>
      </c>
      <c r="J1028">
        <v>12.5</v>
      </c>
      <c r="K1028">
        <v>34.99</v>
      </c>
      <c r="L1028" s="1" t="s">
        <v>60</v>
      </c>
      <c r="M1028" s="1" t="s">
        <v>29</v>
      </c>
      <c r="N1028" s="1" t="s">
        <v>30</v>
      </c>
      <c r="O1028" s="1" t="s">
        <v>31</v>
      </c>
      <c r="P1028" s="2">
        <v>45778</v>
      </c>
      <c r="Q1028" s="1" t="s">
        <v>1466</v>
      </c>
      <c r="R1028" s="1" t="s">
        <v>1467</v>
      </c>
      <c r="S1028" s="1" t="s">
        <v>65</v>
      </c>
      <c r="T1028" s="1" t="s">
        <v>35</v>
      </c>
      <c r="U1028" s="1" t="s">
        <v>48</v>
      </c>
      <c r="V1028" s="1" t="s">
        <v>89</v>
      </c>
      <c r="W1028">
        <v>2.4</v>
      </c>
    </row>
    <row r="1029" spans="1:23" x14ac:dyDescent="0.3">
      <c r="A1029" s="1" t="s">
        <v>2231</v>
      </c>
      <c r="B1029">
        <v>1</v>
      </c>
      <c r="C1029">
        <v>16.989999999999998</v>
      </c>
      <c r="D1029">
        <v>16.989999999999998</v>
      </c>
      <c r="E1029" s="1" t="s">
        <v>1172</v>
      </c>
      <c r="F1029" s="1" t="s">
        <v>40</v>
      </c>
      <c r="G1029">
        <v>16</v>
      </c>
      <c r="H1029" s="1" t="s">
        <v>41</v>
      </c>
      <c r="I1029" s="1" t="s">
        <v>59</v>
      </c>
      <c r="J1029">
        <v>5</v>
      </c>
      <c r="K1029">
        <v>16.989999999999998</v>
      </c>
      <c r="L1029" s="1" t="s">
        <v>60</v>
      </c>
      <c r="M1029" s="1" t="s">
        <v>61</v>
      </c>
      <c r="N1029" s="1" t="s">
        <v>62</v>
      </c>
      <c r="O1029" s="1" t="s">
        <v>31</v>
      </c>
      <c r="P1029" s="2">
        <v>45726</v>
      </c>
      <c r="Q1029" s="1" t="s">
        <v>1549</v>
      </c>
      <c r="R1029" s="1" t="s">
        <v>1550</v>
      </c>
      <c r="S1029" s="1" t="s">
        <v>34</v>
      </c>
      <c r="T1029" s="1" t="s">
        <v>35</v>
      </c>
      <c r="U1029" s="1" t="s">
        <v>48</v>
      </c>
      <c r="V1029" s="1" t="s">
        <v>67</v>
      </c>
      <c r="W1029">
        <v>3</v>
      </c>
    </row>
    <row r="1030" spans="1:23" x14ac:dyDescent="0.3">
      <c r="A1030" s="1" t="s">
        <v>2232</v>
      </c>
      <c r="B1030">
        <v>3</v>
      </c>
      <c r="C1030">
        <v>27.99</v>
      </c>
      <c r="D1030">
        <v>66.2</v>
      </c>
      <c r="E1030" s="1" t="s">
        <v>771</v>
      </c>
      <c r="F1030" s="1" t="s">
        <v>51</v>
      </c>
      <c r="G1030">
        <v>0</v>
      </c>
      <c r="H1030" s="1" t="s">
        <v>41</v>
      </c>
      <c r="I1030" s="1" t="s">
        <v>75</v>
      </c>
      <c r="J1030">
        <v>9</v>
      </c>
      <c r="K1030">
        <v>27.99</v>
      </c>
      <c r="L1030" s="1" t="s">
        <v>28</v>
      </c>
      <c r="M1030" s="1" t="s">
        <v>61</v>
      </c>
      <c r="N1030" s="1" t="s">
        <v>62</v>
      </c>
      <c r="O1030" s="1" t="s">
        <v>31</v>
      </c>
      <c r="P1030" s="2">
        <v>45726</v>
      </c>
      <c r="Q1030" s="1" t="s">
        <v>828</v>
      </c>
      <c r="R1030" s="1" t="s">
        <v>829</v>
      </c>
      <c r="S1030" s="1" t="s">
        <v>65</v>
      </c>
      <c r="T1030" s="1" t="s">
        <v>35</v>
      </c>
      <c r="U1030" s="1" t="s">
        <v>48</v>
      </c>
      <c r="V1030" s="1" t="s">
        <v>37</v>
      </c>
      <c r="W1030">
        <v>2</v>
      </c>
    </row>
    <row r="1031" spans="1:23" x14ac:dyDescent="0.3">
      <c r="A1031" s="1" t="s">
        <v>2233</v>
      </c>
      <c r="B1031">
        <v>1</v>
      </c>
      <c r="C1031">
        <v>34.99</v>
      </c>
      <c r="D1031">
        <v>34.99</v>
      </c>
      <c r="E1031" s="1" t="s">
        <v>1648</v>
      </c>
      <c r="F1031" s="1" t="s">
        <v>25</v>
      </c>
      <c r="G1031">
        <v>8</v>
      </c>
      <c r="H1031" s="1" t="s">
        <v>26</v>
      </c>
      <c r="I1031" s="1" t="s">
        <v>85</v>
      </c>
      <c r="J1031">
        <v>12.5</v>
      </c>
      <c r="K1031">
        <v>34.99</v>
      </c>
      <c r="L1031" s="1" t="s">
        <v>60</v>
      </c>
      <c r="M1031" s="1" t="s">
        <v>29</v>
      </c>
      <c r="N1031" s="1" t="s">
        <v>30</v>
      </c>
      <c r="O1031" s="1" t="s">
        <v>31</v>
      </c>
      <c r="P1031" s="2">
        <v>45778</v>
      </c>
      <c r="Q1031" s="1" t="s">
        <v>934</v>
      </c>
      <c r="R1031" s="1" t="s">
        <v>1165</v>
      </c>
      <c r="S1031" s="1" t="s">
        <v>65</v>
      </c>
      <c r="T1031" s="1" t="s">
        <v>35</v>
      </c>
      <c r="U1031" s="1" t="s">
        <v>82</v>
      </c>
      <c r="V1031" s="1" t="s">
        <v>89</v>
      </c>
      <c r="W1031">
        <v>2.4</v>
      </c>
    </row>
    <row r="1032" spans="1:23" x14ac:dyDescent="0.3">
      <c r="A1032" s="1" t="s">
        <v>2234</v>
      </c>
      <c r="B1032">
        <v>1</v>
      </c>
      <c r="C1032">
        <v>34.99</v>
      </c>
      <c r="D1032">
        <v>34.99</v>
      </c>
      <c r="E1032" s="1" t="s">
        <v>989</v>
      </c>
      <c r="F1032" s="1" t="s">
        <v>40</v>
      </c>
      <c r="G1032">
        <v>5</v>
      </c>
      <c r="H1032" s="1" t="s">
        <v>41</v>
      </c>
      <c r="I1032" s="1" t="s">
        <v>85</v>
      </c>
      <c r="J1032">
        <v>12.5</v>
      </c>
      <c r="K1032">
        <v>34.99</v>
      </c>
      <c r="L1032" s="1" t="s">
        <v>60</v>
      </c>
      <c r="M1032" s="1" t="s">
        <v>29</v>
      </c>
      <c r="N1032" s="1" t="s">
        <v>30</v>
      </c>
      <c r="O1032" s="1" t="s">
        <v>31</v>
      </c>
      <c r="P1032" s="2">
        <v>45778</v>
      </c>
      <c r="Q1032" s="1" t="s">
        <v>1187</v>
      </c>
      <c r="R1032" s="1" t="s">
        <v>2204</v>
      </c>
      <c r="S1032" s="1" t="s">
        <v>88</v>
      </c>
      <c r="T1032" s="1" t="s">
        <v>35</v>
      </c>
      <c r="U1032" s="1" t="s">
        <v>55</v>
      </c>
      <c r="V1032" s="1" t="s">
        <v>89</v>
      </c>
      <c r="W1032">
        <v>2.4</v>
      </c>
    </row>
    <row r="1033" spans="1:23" x14ac:dyDescent="0.3">
      <c r="A1033" s="1" t="s">
        <v>2235</v>
      </c>
      <c r="B1033">
        <v>1</v>
      </c>
      <c r="C1033">
        <v>34.99</v>
      </c>
      <c r="D1033">
        <v>34.99</v>
      </c>
      <c r="E1033" s="1" t="s">
        <v>457</v>
      </c>
      <c r="F1033" s="1" t="s">
        <v>40</v>
      </c>
      <c r="G1033">
        <v>5</v>
      </c>
      <c r="H1033" s="1" t="s">
        <v>41</v>
      </c>
      <c r="I1033" s="1" t="s">
        <v>85</v>
      </c>
      <c r="J1033">
        <v>12.5</v>
      </c>
      <c r="K1033">
        <v>34.99</v>
      </c>
      <c r="L1033" s="1" t="s">
        <v>60</v>
      </c>
      <c r="M1033" s="1" t="s">
        <v>29</v>
      </c>
      <c r="N1033" s="1" t="s">
        <v>30</v>
      </c>
      <c r="O1033" s="1" t="s">
        <v>31</v>
      </c>
      <c r="P1033" s="2">
        <v>45778</v>
      </c>
      <c r="Q1033" s="1" t="s">
        <v>219</v>
      </c>
      <c r="R1033" s="1" t="s">
        <v>2236</v>
      </c>
      <c r="S1033" s="1" t="s">
        <v>34</v>
      </c>
      <c r="T1033" s="1" t="s">
        <v>35</v>
      </c>
      <c r="U1033" s="1" t="s">
        <v>55</v>
      </c>
      <c r="V1033" s="1" t="s">
        <v>89</v>
      </c>
      <c r="W1033">
        <v>2.4</v>
      </c>
    </row>
    <row r="1034" spans="1:23" x14ac:dyDescent="0.3">
      <c r="A1034" s="1" t="s">
        <v>2237</v>
      </c>
      <c r="B1034">
        <v>1</v>
      </c>
      <c r="C1034">
        <v>30.99</v>
      </c>
      <c r="D1034">
        <v>30.99</v>
      </c>
      <c r="E1034" s="1" t="s">
        <v>1096</v>
      </c>
      <c r="F1034" s="1" t="s">
        <v>51</v>
      </c>
      <c r="G1034">
        <v>0</v>
      </c>
      <c r="H1034" s="1" t="s">
        <v>96</v>
      </c>
      <c r="I1034" s="1" t="s">
        <v>42</v>
      </c>
      <c r="J1034">
        <v>10.5</v>
      </c>
      <c r="K1034">
        <v>30.99</v>
      </c>
      <c r="L1034" s="1" t="s">
        <v>28</v>
      </c>
      <c r="M1034" s="1" t="s">
        <v>43</v>
      </c>
      <c r="N1034" s="1" t="s">
        <v>44</v>
      </c>
      <c r="O1034" s="1" t="s">
        <v>31</v>
      </c>
      <c r="P1034" s="2">
        <v>45823</v>
      </c>
      <c r="Q1034" s="1" t="s">
        <v>544</v>
      </c>
      <c r="R1034" s="1" t="s">
        <v>1756</v>
      </c>
      <c r="S1034" s="1" t="s">
        <v>54</v>
      </c>
      <c r="T1034" s="1" t="s">
        <v>35</v>
      </c>
      <c r="U1034" s="1" t="s">
        <v>55</v>
      </c>
      <c r="V1034" s="1" t="s">
        <v>37</v>
      </c>
      <c r="W1034">
        <v>2</v>
      </c>
    </row>
    <row r="1035" spans="1:23" x14ac:dyDescent="0.3">
      <c r="A1035" s="1" t="s">
        <v>2238</v>
      </c>
      <c r="B1035">
        <v>1</v>
      </c>
      <c r="C1035">
        <v>21.99</v>
      </c>
      <c r="D1035">
        <v>21.99</v>
      </c>
      <c r="E1035" s="1" t="s">
        <v>1552</v>
      </c>
      <c r="F1035" s="1" t="s">
        <v>51</v>
      </c>
      <c r="G1035">
        <v>0</v>
      </c>
      <c r="H1035" s="1" t="s">
        <v>58</v>
      </c>
      <c r="I1035" s="1" t="s">
        <v>27</v>
      </c>
      <c r="J1035">
        <v>7</v>
      </c>
      <c r="K1035">
        <v>21.99</v>
      </c>
      <c r="L1035" s="1" t="s">
        <v>28</v>
      </c>
      <c r="M1035" s="1" t="s">
        <v>29</v>
      </c>
      <c r="N1035" s="1" t="s">
        <v>30</v>
      </c>
      <c r="O1035" s="1" t="s">
        <v>31</v>
      </c>
      <c r="P1035" s="2">
        <v>45778</v>
      </c>
      <c r="Q1035" s="1" t="s">
        <v>1069</v>
      </c>
      <c r="R1035" s="1" t="s">
        <v>1070</v>
      </c>
      <c r="S1035" s="1" t="s">
        <v>65</v>
      </c>
      <c r="T1035" s="1" t="s">
        <v>35</v>
      </c>
      <c r="U1035" s="1" t="s">
        <v>66</v>
      </c>
      <c r="V1035" s="1" t="s">
        <v>37</v>
      </c>
      <c r="W1035">
        <v>2</v>
      </c>
    </row>
    <row r="1036" spans="1:23" x14ac:dyDescent="0.3">
      <c r="A1036" s="1" t="s">
        <v>2239</v>
      </c>
      <c r="B1036">
        <v>1</v>
      </c>
      <c r="C1036">
        <v>21.99</v>
      </c>
      <c r="D1036">
        <v>21.99</v>
      </c>
      <c r="E1036" s="1" t="s">
        <v>2240</v>
      </c>
      <c r="F1036" s="1" t="s">
        <v>40</v>
      </c>
      <c r="G1036">
        <v>3</v>
      </c>
      <c r="H1036" s="1" t="s">
        <v>41</v>
      </c>
      <c r="I1036" s="1" t="s">
        <v>27</v>
      </c>
      <c r="J1036">
        <v>7</v>
      </c>
      <c r="K1036">
        <v>21.99</v>
      </c>
      <c r="L1036" s="1" t="s">
        <v>28</v>
      </c>
      <c r="M1036" s="1" t="s">
        <v>29</v>
      </c>
      <c r="N1036" s="1" t="s">
        <v>30</v>
      </c>
      <c r="O1036" s="1" t="s">
        <v>31</v>
      </c>
      <c r="P1036" s="2">
        <v>45778</v>
      </c>
      <c r="Q1036" s="1" t="s">
        <v>140</v>
      </c>
      <c r="R1036" s="1" t="s">
        <v>2241</v>
      </c>
      <c r="S1036" s="1" t="s">
        <v>65</v>
      </c>
      <c r="T1036" s="1" t="s">
        <v>35</v>
      </c>
      <c r="U1036" s="1" t="s">
        <v>66</v>
      </c>
      <c r="V1036" s="1" t="s">
        <v>37</v>
      </c>
      <c r="W1036">
        <v>2</v>
      </c>
    </row>
    <row r="1037" spans="1:23" x14ac:dyDescent="0.3">
      <c r="A1037" s="1" t="s">
        <v>2242</v>
      </c>
      <c r="B1037">
        <v>1</v>
      </c>
      <c r="C1037">
        <v>34.99</v>
      </c>
      <c r="D1037">
        <v>34.99</v>
      </c>
      <c r="E1037" s="1" t="s">
        <v>1289</v>
      </c>
      <c r="F1037" s="1" t="s">
        <v>25</v>
      </c>
      <c r="G1037">
        <v>10</v>
      </c>
      <c r="H1037" s="1" t="s">
        <v>41</v>
      </c>
      <c r="I1037" s="1" t="s">
        <v>85</v>
      </c>
      <c r="J1037">
        <v>12.5</v>
      </c>
      <c r="K1037">
        <v>34.99</v>
      </c>
      <c r="L1037" s="1" t="s">
        <v>60</v>
      </c>
      <c r="M1037" s="1" t="s">
        <v>29</v>
      </c>
      <c r="N1037" s="1" t="s">
        <v>30</v>
      </c>
      <c r="O1037" s="1" t="s">
        <v>31</v>
      </c>
      <c r="P1037" s="2">
        <v>45778</v>
      </c>
      <c r="Q1037" s="1" t="s">
        <v>1994</v>
      </c>
      <c r="R1037" s="1" t="s">
        <v>1995</v>
      </c>
      <c r="S1037" s="1" t="s">
        <v>88</v>
      </c>
      <c r="T1037" s="1" t="s">
        <v>35</v>
      </c>
      <c r="U1037" s="1" t="s">
        <v>48</v>
      </c>
      <c r="V1037" s="1" t="s">
        <v>89</v>
      </c>
      <c r="W1037">
        <v>2.4</v>
      </c>
    </row>
    <row r="1038" spans="1:23" x14ac:dyDescent="0.3">
      <c r="A1038" s="1" t="s">
        <v>2243</v>
      </c>
      <c r="B1038">
        <v>1</v>
      </c>
      <c r="C1038">
        <v>27.99</v>
      </c>
      <c r="D1038">
        <v>27.99</v>
      </c>
      <c r="E1038" s="1" t="s">
        <v>1446</v>
      </c>
      <c r="F1038" s="1" t="s">
        <v>188</v>
      </c>
      <c r="G1038">
        <v>0</v>
      </c>
      <c r="H1038" s="1" t="s">
        <v>26</v>
      </c>
      <c r="I1038" s="1" t="s">
        <v>75</v>
      </c>
      <c r="J1038">
        <v>9</v>
      </c>
      <c r="K1038">
        <v>27.99</v>
      </c>
      <c r="L1038" s="1" t="s">
        <v>28</v>
      </c>
      <c r="M1038" s="1" t="s">
        <v>61</v>
      </c>
      <c r="N1038" s="1" t="s">
        <v>62</v>
      </c>
      <c r="O1038" s="1" t="s">
        <v>31</v>
      </c>
      <c r="P1038" s="2">
        <v>45726</v>
      </c>
      <c r="Q1038" s="1" t="s">
        <v>194</v>
      </c>
      <c r="R1038" s="1" t="s">
        <v>1872</v>
      </c>
      <c r="S1038" s="1" t="s">
        <v>34</v>
      </c>
      <c r="T1038" s="1" t="s">
        <v>35</v>
      </c>
      <c r="U1038" s="1" t="s">
        <v>66</v>
      </c>
      <c r="V1038" s="1" t="s">
        <v>37</v>
      </c>
      <c r="W1038">
        <v>2</v>
      </c>
    </row>
    <row r="1039" spans="1:23" x14ac:dyDescent="0.3">
      <c r="A1039" s="1" t="s">
        <v>2244</v>
      </c>
      <c r="B1039">
        <v>3</v>
      </c>
      <c r="C1039">
        <v>16.989999999999998</v>
      </c>
      <c r="D1039">
        <v>41.07</v>
      </c>
      <c r="E1039" s="1" t="s">
        <v>260</v>
      </c>
      <c r="F1039" s="1" t="s">
        <v>188</v>
      </c>
      <c r="G1039">
        <v>0</v>
      </c>
      <c r="H1039" s="1" t="s">
        <v>26</v>
      </c>
      <c r="I1039" s="1" t="s">
        <v>59</v>
      </c>
      <c r="J1039">
        <v>5</v>
      </c>
      <c r="K1039">
        <v>16.989999999999998</v>
      </c>
      <c r="L1039" s="1" t="s">
        <v>60</v>
      </c>
      <c r="M1039" s="1" t="s">
        <v>61</v>
      </c>
      <c r="N1039" s="1" t="s">
        <v>62</v>
      </c>
      <c r="O1039" s="1" t="s">
        <v>31</v>
      </c>
      <c r="P1039" s="2">
        <v>45726</v>
      </c>
      <c r="Q1039" s="1" t="s">
        <v>1545</v>
      </c>
      <c r="R1039" s="1" t="s">
        <v>1546</v>
      </c>
      <c r="S1039" s="1" t="s">
        <v>105</v>
      </c>
      <c r="T1039" s="1" t="s">
        <v>35</v>
      </c>
      <c r="U1039" s="1" t="s">
        <v>48</v>
      </c>
      <c r="V1039" s="1" t="s">
        <v>67</v>
      </c>
      <c r="W1039">
        <v>3</v>
      </c>
    </row>
    <row r="1040" spans="1:23" x14ac:dyDescent="0.3">
      <c r="A1040" s="1" t="s">
        <v>2245</v>
      </c>
      <c r="B1040">
        <v>1</v>
      </c>
      <c r="C1040">
        <v>18.989999999999998</v>
      </c>
      <c r="D1040">
        <v>18.989999999999998</v>
      </c>
      <c r="E1040" s="1" t="s">
        <v>1965</v>
      </c>
      <c r="F1040" s="1" t="s">
        <v>40</v>
      </c>
      <c r="G1040">
        <v>13</v>
      </c>
      <c r="H1040" s="1" t="s">
        <v>26</v>
      </c>
      <c r="I1040" s="1" t="s">
        <v>97</v>
      </c>
      <c r="J1040">
        <v>6</v>
      </c>
      <c r="K1040">
        <v>18.989999999999998</v>
      </c>
      <c r="L1040" s="1" t="s">
        <v>60</v>
      </c>
      <c r="M1040" s="1" t="s">
        <v>43</v>
      </c>
      <c r="N1040" s="1" t="s">
        <v>44</v>
      </c>
      <c r="O1040" s="1" t="s">
        <v>31</v>
      </c>
      <c r="P1040" s="2">
        <v>45823</v>
      </c>
      <c r="Q1040" s="1" t="s">
        <v>1887</v>
      </c>
      <c r="R1040" s="1" t="s">
        <v>1888</v>
      </c>
      <c r="S1040" s="1" t="s">
        <v>88</v>
      </c>
      <c r="T1040" s="1" t="s">
        <v>35</v>
      </c>
      <c r="U1040" s="1" t="s">
        <v>82</v>
      </c>
      <c r="V1040" s="1" t="s">
        <v>100</v>
      </c>
      <c r="W1040">
        <v>3.2</v>
      </c>
    </row>
    <row r="1041" spans="1:23" x14ac:dyDescent="0.3">
      <c r="A1041" s="1" t="s">
        <v>2246</v>
      </c>
      <c r="B1041">
        <v>3</v>
      </c>
      <c r="C1041">
        <v>18.989999999999998</v>
      </c>
      <c r="D1041">
        <v>45.69</v>
      </c>
      <c r="E1041" s="1" t="s">
        <v>2240</v>
      </c>
      <c r="F1041" s="1" t="s">
        <v>40</v>
      </c>
      <c r="G1041">
        <v>11</v>
      </c>
      <c r="H1041" s="1" t="s">
        <v>58</v>
      </c>
      <c r="I1041" s="1" t="s">
        <v>97</v>
      </c>
      <c r="J1041">
        <v>6</v>
      </c>
      <c r="K1041">
        <v>18.989999999999998</v>
      </c>
      <c r="L1041" s="1" t="s">
        <v>60</v>
      </c>
      <c r="M1041" s="1" t="s">
        <v>43</v>
      </c>
      <c r="N1041" s="1" t="s">
        <v>44</v>
      </c>
      <c r="O1041" s="1" t="s">
        <v>31</v>
      </c>
      <c r="P1041" s="2">
        <v>45823</v>
      </c>
      <c r="Q1041" s="1" t="s">
        <v>745</v>
      </c>
      <c r="R1041" s="1" t="s">
        <v>746</v>
      </c>
      <c r="S1041" s="1" t="s">
        <v>105</v>
      </c>
      <c r="T1041" s="1" t="s">
        <v>35</v>
      </c>
      <c r="U1041" s="1" t="s">
        <v>48</v>
      </c>
      <c r="V1041" s="1" t="s">
        <v>100</v>
      </c>
      <c r="W1041">
        <v>3.2</v>
      </c>
    </row>
    <row r="1042" spans="1:23" x14ac:dyDescent="0.3">
      <c r="A1042" s="1" t="s">
        <v>2247</v>
      </c>
      <c r="B1042">
        <v>1</v>
      </c>
      <c r="C1042">
        <v>34.99</v>
      </c>
      <c r="D1042">
        <v>34.99</v>
      </c>
      <c r="E1042" s="1" t="s">
        <v>2048</v>
      </c>
      <c r="F1042" s="1" t="s">
        <v>70</v>
      </c>
      <c r="G1042">
        <v>0</v>
      </c>
      <c r="H1042" s="1" t="s">
        <v>26</v>
      </c>
      <c r="I1042" s="1" t="s">
        <v>85</v>
      </c>
      <c r="J1042">
        <v>12.5</v>
      </c>
      <c r="K1042">
        <v>34.99</v>
      </c>
      <c r="L1042" s="1" t="s">
        <v>60</v>
      </c>
      <c r="M1042" s="1" t="s">
        <v>29</v>
      </c>
      <c r="N1042" s="1" t="s">
        <v>30</v>
      </c>
      <c r="O1042" s="1" t="s">
        <v>31</v>
      </c>
      <c r="P1042" s="2">
        <v>45778</v>
      </c>
      <c r="Q1042" s="1" t="s">
        <v>2042</v>
      </c>
      <c r="R1042" s="1" t="s">
        <v>2248</v>
      </c>
      <c r="S1042" s="1" t="s">
        <v>47</v>
      </c>
      <c r="T1042" s="1" t="s">
        <v>35</v>
      </c>
      <c r="U1042" s="1" t="s">
        <v>82</v>
      </c>
      <c r="V1042" s="1" t="s">
        <v>89</v>
      </c>
      <c r="W1042">
        <v>2.4</v>
      </c>
    </row>
    <row r="1043" spans="1:23" x14ac:dyDescent="0.3">
      <c r="A1043" s="1" t="s">
        <v>2249</v>
      </c>
      <c r="B1043">
        <v>2</v>
      </c>
      <c r="C1043">
        <v>27.99</v>
      </c>
      <c r="D1043">
        <v>48.8</v>
      </c>
      <c r="E1043" s="1" t="s">
        <v>1168</v>
      </c>
      <c r="F1043" s="1" t="s">
        <v>25</v>
      </c>
      <c r="G1043">
        <v>3</v>
      </c>
      <c r="H1043" s="1" t="s">
        <v>58</v>
      </c>
      <c r="I1043" s="1" t="s">
        <v>75</v>
      </c>
      <c r="J1043">
        <v>9</v>
      </c>
      <c r="K1043">
        <v>27.99</v>
      </c>
      <c r="L1043" s="1" t="s">
        <v>28</v>
      </c>
      <c r="M1043" s="1" t="s">
        <v>61</v>
      </c>
      <c r="N1043" s="1" t="s">
        <v>62</v>
      </c>
      <c r="O1043" s="1" t="s">
        <v>31</v>
      </c>
      <c r="P1043" s="2">
        <v>45726</v>
      </c>
      <c r="Q1043" s="1" t="s">
        <v>1187</v>
      </c>
      <c r="R1043" s="1" t="s">
        <v>2204</v>
      </c>
      <c r="S1043" s="1" t="s">
        <v>88</v>
      </c>
      <c r="T1043" s="1" t="s">
        <v>35</v>
      </c>
      <c r="U1043" s="1" t="s">
        <v>55</v>
      </c>
      <c r="V1043" s="1" t="s">
        <v>37</v>
      </c>
      <c r="W1043">
        <v>2</v>
      </c>
    </row>
    <row r="1044" spans="1:23" x14ac:dyDescent="0.3">
      <c r="A1044" s="1" t="s">
        <v>2250</v>
      </c>
      <c r="B1044">
        <v>3</v>
      </c>
      <c r="C1044">
        <v>30.99</v>
      </c>
      <c r="D1044">
        <v>73.47</v>
      </c>
      <c r="E1044" s="1" t="s">
        <v>2156</v>
      </c>
      <c r="F1044" s="1" t="s">
        <v>40</v>
      </c>
      <c r="G1044">
        <v>2</v>
      </c>
      <c r="H1044" s="1" t="s">
        <v>58</v>
      </c>
      <c r="I1044" s="1" t="s">
        <v>42</v>
      </c>
      <c r="J1044">
        <v>10.5</v>
      </c>
      <c r="K1044">
        <v>30.99</v>
      </c>
      <c r="L1044" s="1" t="s">
        <v>28</v>
      </c>
      <c r="M1044" s="1" t="s">
        <v>43</v>
      </c>
      <c r="N1044" s="1" t="s">
        <v>44</v>
      </c>
      <c r="O1044" s="1" t="s">
        <v>31</v>
      </c>
      <c r="P1044" s="2">
        <v>45823</v>
      </c>
      <c r="Q1044" s="1" t="s">
        <v>836</v>
      </c>
      <c r="R1044" s="1" t="s">
        <v>1847</v>
      </c>
      <c r="S1044" s="1" t="s">
        <v>105</v>
      </c>
      <c r="T1044" s="1" t="s">
        <v>35</v>
      </c>
      <c r="U1044" s="1" t="s">
        <v>66</v>
      </c>
      <c r="V1044" s="1" t="s">
        <v>37</v>
      </c>
      <c r="W1044">
        <v>2</v>
      </c>
    </row>
    <row r="1045" spans="1:23" x14ac:dyDescent="0.3">
      <c r="A1045" s="1" t="s">
        <v>2251</v>
      </c>
      <c r="B1045">
        <v>1</v>
      </c>
      <c r="C1045">
        <v>18.989999999999998</v>
      </c>
      <c r="D1045">
        <v>18.989999999999998</v>
      </c>
      <c r="E1045" s="1" t="s">
        <v>185</v>
      </c>
      <c r="F1045" s="1" t="s">
        <v>51</v>
      </c>
      <c r="G1045">
        <v>0</v>
      </c>
      <c r="H1045" s="1" t="s">
        <v>58</v>
      </c>
      <c r="I1045" s="1" t="s">
        <v>97</v>
      </c>
      <c r="J1045">
        <v>6</v>
      </c>
      <c r="K1045">
        <v>18.989999999999998</v>
      </c>
      <c r="L1045" s="1" t="s">
        <v>60</v>
      </c>
      <c r="M1045" s="1" t="s">
        <v>43</v>
      </c>
      <c r="N1045" s="1" t="s">
        <v>44</v>
      </c>
      <c r="O1045" s="1" t="s">
        <v>31</v>
      </c>
      <c r="P1045" s="2">
        <v>45823</v>
      </c>
      <c r="Q1045" s="1" t="s">
        <v>893</v>
      </c>
      <c r="R1045" s="1" t="s">
        <v>1300</v>
      </c>
      <c r="S1045" s="1" t="s">
        <v>34</v>
      </c>
      <c r="T1045" s="1" t="s">
        <v>35</v>
      </c>
      <c r="U1045" s="1" t="s">
        <v>66</v>
      </c>
      <c r="V1045" s="1" t="s">
        <v>100</v>
      </c>
      <c r="W1045">
        <v>3.2</v>
      </c>
    </row>
    <row r="1046" spans="1:23" x14ac:dyDescent="0.3">
      <c r="A1046" s="1" t="s">
        <v>2252</v>
      </c>
      <c r="B1046">
        <v>1</v>
      </c>
      <c r="C1046">
        <v>16.989999999999998</v>
      </c>
      <c r="D1046">
        <v>16.989999999999998</v>
      </c>
      <c r="E1046" s="1" t="s">
        <v>2253</v>
      </c>
      <c r="F1046" s="1" t="s">
        <v>51</v>
      </c>
      <c r="G1046">
        <v>0</v>
      </c>
      <c r="H1046" s="1" t="s">
        <v>96</v>
      </c>
      <c r="I1046" s="1" t="s">
        <v>59</v>
      </c>
      <c r="J1046">
        <v>5</v>
      </c>
      <c r="K1046">
        <v>16.989999999999998</v>
      </c>
      <c r="L1046" s="1" t="s">
        <v>60</v>
      </c>
      <c r="M1046" s="1" t="s">
        <v>61</v>
      </c>
      <c r="N1046" s="1" t="s">
        <v>62</v>
      </c>
      <c r="O1046" s="1" t="s">
        <v>31</v>
      </c>
      <c r="P1046" s="2">
        <v>45726</v>
      </c>
      <c r="Q1046" s="1" t="s">
        <v>1048</v>
      </c>
      <c r="R1046" s="1" t="s">
        <v>1701</v>
      </c>
      <c r="S1046" s="1" t="s">
        <v>105</v>
      </c>
      <c r="T1046" s="1" t="s">
        <v>35</v>
      </c>
      <c r="U1046" s="1" t="s">
        <v>82</v>
      </c>
      <c r="V1046" s="1" t="s">
        <v>67</v>
      </c>
      <c r="W1046">
        <v>3</v>
      </c>
    </row>
    <row r="1047" spans="1:23" x14ac:dyDescent="0.3">
      <c r="A1047" s="1" t="s">
        <v>2254</v>
      </c>
      <c r="B1047">
        <v>1</v>
      </c>
      <c r="C1047">
        <v>18.989999999999998</v>
      </c>
      <c r="D1047">
        <v>18.989999999999998</v>
      </c>
      <c r="E1047" s="1" t="s">
        <v>1407</v>
      </c>
      <c r="F1047" s="1" t="s">
        <v>40</v>
      </c>
      <c r="G1047">
        <v>12</v>
      </c>
      <c r="H1047" s="1" t="s">
        <v>58</v>
      </c>
      <c r="I1047" s="1" t="s">
        <v>97</v>
      </c>
      <c r="J1047">
        <v>6</v>
      </c>
      <c r="K1047">
        <v>18.989999999999998</v>
      </c>
      <c r="L1047" s="1" t="s">
        <v>60</v>
      </c>
      <c r="M1047" s="1" t="s">
        <v>43</v>
      </c>
      <c r="N1047" s="1" t="s">
        <v>44</v>
      </c>
      <c r="O1047" s="1" t="s">
        <v>31</v>
      </c>
      <c r="P1047" s="2">
        <v>45823</v>
      </c>
      <c r="Q1047" s="1" t="s">
        <v>1137</v>
      </c>
      <c r="R1047" s="1" t="s">
        <v>2255</v>
      </c>
      <c r="S1047" s="1" t="s">
        <v>65</v>
      </c>
      <c r="T1047" s="1" t="s">
        <v>35</v>
      </c>
      <c r="U1047" s="1" t="s">
        <v>36</v>
      </c>
      <c r="V1047" s="1" t="s">
        <v>100</v>
      </c>
      <c r="W1047">
        <v>3.2</v>
      </c>
    </row>
    <row r="1048" spans="1:23" x14ac:dyDescent="0.3">
      <c r="A1048" s="1" t="s">
        <v>2256</v>
      </c>
      <c r="B1048">
        <v>1</v>
      </c>
      <c r="C1048">
        <v>16.989999999999998</v>
      </c>
      <c r="D1048">
        <v>16.989999999999998</v>
      </c>
      <c r="E1048" s="1" t="s">
        <v>117</v>
      </c>
      <c r="F1048" s="1" t="s">
        <v>25</v>
      </c>
      <c r="G1048">
        <v>15</v>
      </c>
      <c r="H1048" s="1" t="s">
        <v>58</v>
      </c>
      <c r="I1048" s="1" t="s">
        <v>59</v>
      </c>
      <c r="J1048">
        <v>5</v>
      </c>
      <c r="K1048">
        <v>16.989999999999998</v>
      </c>
      <c r="L1048" s="1" t="s">
        <v>60</v>
      </c>
      <c r="M1048" s="1" t="s">
        <v>61</v>
      </c>
      <c r="N1048" s="1" t="s">
        <v>62</v>
      </c>
      <c r="O1048" s="1" t="s">
        <v>31</v>
      </c>
      <c r="P1048" s="2">
        <v>45726</v>
      </c>
      <c r="Q1048" s="1" t="s">
        <v>1253</v>
      </c>
      <c r="R1048" s="1" t="s">
        <v>1875</v>
      </c>
      <c r="S1048" s="1" t="s">
        <v>105</v>
      </c>
      <c r="T1048" s="1" t="s">
        <v>35</v>
      </c>
      <c r="U1048" s="1" t="s">
        <v>66</v>
      </c>
      <c r="V1048" s="1" t="s">
        <v>67</v>
      </c>
      <c r="W1048">
        <v>3</v>
      </c>
    </row>
    <row r="1049" spans="1:23" x14ac:dyDescent="0.3">
      <c r="A1049" s="1" t="s">
        <v>2257</v>
      </c>
      <c r="B1049">
        <v>1</v>
      </c>
      <c r="C1049">
        <v>27.99</v>
      </c>
      <c r="D1049">
        <v>27.99</v>
      </c>
      <c r="E1049" s="1" t="s">
        <v>858</v>
      </c>
      <c r="F1049" s="1" t="s">
        <v>51</v>
      </c>
      <c r="G1049">
        <v>0</v>
      </c>
      <c r="H1049" s="1" t="s">
        <v>58</v>
      </c>
      <c r="I1049" s="1" t="s">
        <v>75</v>
      </c>
      <c r="J1049">
        <v>9</v>
      </c>
      <c r="K1049">
        <v>27.99</v>
      </c>
      <c r="L1049" s="1" t="s">
        <v>28</v>
      </c>
      <c r="M1049" s="1" t="s">
        <v>61</v>
      </c>
      <c r="N1049" s="1" t="s">
        <v>62</v>
      </c>
      <c r="O1049" s="1" t="s">
        <v>31</v>
      </c>
      <c r="P1049" s="2">
        <v>45726</v>
      </c>
      <c r="Q1049" s="1" t="s">
        <v>1780</v>
      </c>
      <c r="R1049" s="1" t="s">
        <v>1781</v>
      </c>
      <c r="S1049" s="1" t="s">
        <v>65</v>
      </c>
      <c r="T1049" s="1" t="s">
        <v>35</v>
      </c>
      <c r="U1049" s="1" t="s">
        <v>36</v>
      </c>
      <c r="V1049" s="1" t="s">
        <v>37</v>
      </c>
      <c r="W1049">
        <v>2</v>
      </c>
    </row>
    <row r="1050" spans="1:23" x14ac:dyDescent="0.3">
      <c r="A1050" s="1" t="s">
        <v>2258</v>
      </c>
      <c r="B1050">
        <v>1</v>
      </c>
      <c r="C1050">
        <v>18.989999999999998</v>
      </c>
      <c r="D1050">
        <v>18.989999999999998</v>
      </c>
      <c r="E1050" s="1" t="s">
        <v>224</v>
      </c>
      <c r="F1050" s="1" t="s">
        <v>188</v>
      </c>
      <c r="G1050">
        <v>0</v>
      </c>
      <c r="H1050" s="1" t="s">
        <v>26</v>
      </c>
      <c r="I1050" s="1" t="s">
        <v>97</v>
      </c>
      <c r="J1050">
        <v>6</v>
      </c>
      <c r="K1050">
        <v>18.989999999999998</v>
      </c>
      <c r="L1050" s="1" t="s">
        <v>60</v>
      </c>
      <c r="M1050" s="1" t="s">
        <v>43</v>
      </c>
      <c r="N1050" s="1" t="s">
        <v>44</v>
      </c>
      <c r="O1050" s="1" t="s">
        <v>31</v>
      </c>
      <c r="P1050" s="2">
        <v>45823</v>
      </c>
      <c r="Q1050" s="1" t="s">
        <v>689</v>
      </c>
      <c r="R1050" s="1" t="s">
        <v>766</v>
      </c>
      <c r="S1050" s="1" t="s">
        <v>105</v>
      </c>
      <c r="T1050" s="1" t="s">
        <v>35</v>
      </c>
      <c r="U1050" s="1" t="s">
        <v>48</v>
      </c>
      <c r="V1050" s="1" t="s">
        <v>100</v>
      </c>
      <c r="W1050">
        <v>3.2</v>
      </c>
    </row>
    <row r="1051" spans="1:23" x14ac:dyDescent="0.3">
      <c r="A1051" s="1" t="s">
        <v>2259</v>
      </c>
      <c r="B1051">
        <v>1</v>
      </c>
      <c r="C1051">
        <v>21.99</v>
      </c>
      <c r="D1051">
        <v>21.99</v>
      </c>
      <c r="E1051" s="1" t="s">
        <v>1068</v>
      </c>
      <c r="F1051" s="1" t="s">
        <v>40</v>
      </c>
      <c r="G1051">
        <v>3</v>
      </c>
      <c r="H1051" s="1" t="s">
        <v>26</v>
      </c>
      <c r="I1051" s="1" t="s">
        <v>27</v>
      </c>
      <c r="J1051">
        <v>7</v>
      </c>
      <c r="K1051">
        <v>21.99</v>
      </c>
      <c r="L1051" s="1" t="s">
        <v>28</v>
      </c>
      <c r="M1051" s="1" t="s">
        <v>29</v>
      </c>
      <c r="N1051" s="1" t="s">
        <v>30</v>
      </c>
      <c r="O1051" s="1" t="s">
        <v>31</v>
      </c>
      <c r="P1051" s="2">
        <v>45778</v>
      </c>
      <c r="Q1051" s="1" t="s">
        <v>938</v>
      </c>
      <c r="R1051" s="1" t="s">
        <v>939</v>
      </c>
      <c r="S1051" s="1" t="s">
        <v>54</v>
      </c>
      <c r="T1051" s="1" t="s">
        <v>35</v>
      </c>
      <c r="U1051" s="1" t="s">
        <v>66</v>
      </c>
      <c r="V1051" s="1" t="s">
        <v>37</v>
      </c>
      <c r="W1051">
        <v>2</v>
      </c>
    </row>
    <row r="1052" spans="1:23" x14ac:dyDescent="0.3">
      <c r="A1052" s="1" t="s">
        <v>2260</v>
      </c>
      <c r="B1052">
        <v>1</v>
      </c>
      <c r="C1052">
        <v>30.99</v>
      </c>
      <c r="D1052">
        <v>30.99</v>
      </c>
      <c r="E1052" s="1" t="s">
        <v>2261</v>
      </c>
      <c r="F1052" s="1" t="s">
        <v>40</v>
      </c>
      <c r="G1052">
        <v>3</v>
      </c>
      <c r="H1052" s="1" t="s">
        <v>96</v>
      </c>
      <c r="I1052" s="1" t="s">
        <v>42</v>
      </c>
      <c r="J1052">
        <v>10.5</v>
      </c>
      <c r="K1052">
        <v>30.99</v>
      </c>
      <c r="L1052" s="1" t="s">
        <v>28</v>
      </c>
      <c r="M1052" s="1" t="s">
        <v>43</v>
      </c>
      <c r="N1052" s="1" t="s">
        <v>44</v>
      </c>
      <c r="O1052" s="1" t="s">
        <v>31</v>
      </c>
      <c r="P1052" s="2">
        <v>45823</v>
      </c>
      <c r="Q1052" s="1" t="s">
        <v>842</v>
      </c>
      <c r="R1052" s="1" t="s">
        <v>1504</v>
      </c>
      <c r="S1052" s="1" t="s">
        <v>47</v>
      </c>
      <c r="T1052" s="1" t="s">
        <v>35</v>
      </c>
      <c r="U1052" s="1" t="s">
        <v>66</v>
      </c>
      <c r="V1052" s="1" t="s">
        <v>37</v>
      </c>
      <c r="W1052">
        <v>2</v>
      </c>
    </row>
    <row r="1053" spans="1:23" x14ac:dyDescent="0.3">
      <c r="A1053" s="1" t="s">
        <v>2262</v>
      </c>
      <c r="B1053">
        <v>3</v>
      </c>
      <c r="C1053">
        <v>30.99</v>
      </c>
      <c r="D1053">
        <v>74.77</v>
      </c>
      <c r="E1053" s="1" t="s">
        <v>113</v>
      </c>
      <c r="F1053" s="1" t="s">
        <v>51</v>
      </c>
      <c r="G1053">
        <v>0</v>
      </c>
      <c r="H1053" s="1" t="s">
        <v>58</v>
      </c>
      <c r="I1053" s="1" t="s">
        <v>42</v>
      </c>
      <c r="J1053">
        <v>10.5</v>
      </c>
      <c r="K1053">
        <v>30.99</v>
      </c>
      <c r="L1053" s="1" t="s">
        <v>28</v>
      </c>
      <c r="M1053" s="1" t="s">
        <v>43</v>
      </c>
      <c r="N1053" s="1" t="s">
        <v>44</v>
      </c>
      <c r="O1053" s="1" t="s">
        <v>31</v>
      </c>
      <c r="P1053" s="2">
        <v>45823</v>
      </c>
      <c r="Q1053" s="1" t="s">
        <v>943</v>
      </c>
      <c r="R1053" s="1" t="s">
        <v>1346</v>
      </c>
      <c r="S1053" s="1" t="s">
        <v>54</v>
      </c>
      <c r="T1053" s="1" t="s">
        <v>35</v>
      </c>
      <c r="U1053" s="1" t="s">
        <v>55</v>
      </c>
      <c r="V1053" s="1" t="s">
        <v>37</v>
      </c>
      <c r="W1053">
        <v>2</v>
      </c>
    </row>
    <row r="1054" spans="1:23" x14ac:dyDescent="0.3">
      <c r="A1054" s="1" t="s">
        <v>2263</v>
      </c>
      <c r="B1054">
        <v>1</v>
      </c>
      <c r="C1054">
        <v>16.989999999999998</v>
      </c>
      <c r="D1054">
        <v>16.989999999999998</v>
      </c>
      <c r="E1054" s="1" t="s">
        <v>382</v>
      </c>
      <c r="F1054" s="1" t="s">
        <v>40</v>
      </c>
      <c r="G1054">
        <v>15</v>
      </c>
      <c r="H1054" s="1" t="s">
        <v>26</v>
      </c>
      <c r="I1054" s="1" t="s">
        <v>59</v>
      </c>
      <c r="J1054">
        <v>5</v>
      </c>
      <c r="K1054">
        <v>16.989999999999998</v>
      </c>
      <c r="L1054" s="1" t="s">
        <v>60</v>
      </c>
      <c r="M1054" s="1" t="s">
        <v>61</v>
      </c>
      <c r="N1054" s="1" t="s">
        <v>62</v>
      </c>
      <c r="O1054" s="1" t="s">
        <v>31</v>
      </c>
      <c r="P1054" s="2">
        <v>45726</v>
      </c>
      <c r="Q1054" s="1" t="s">
        <v>930</v>
      </c>
      <c r="R1054" s="1" t="s">
        <v>1251</v>
      </c>
      <c r="S1054" s="1" t="s">
        <v>47</v>
      </c>
      <c r="T1054" s="1" t="s">
        <v>35</v>
      </c>
      <c r="U1054" s="1" t="s">
        <v>66</v>
      </c>
      <c r="V1054" s="1" t="s">
        <v>67</v>
      </c>
      <c r="W1054">
        <v>3</v>
      </c>
    </row>
    <row r="1055" spans="1:23" x14ac:dyDescent="0.3">
      <c r="A1055" s="1" t="s">
        <v>2264</v>
      </c>
      <c r="B1055">
        <v>2</v>
      </c>
      <c r="C1055">
        <v>34.99</v>
      </c>
      <c r="D1055">
        <v>59.89</v>
      </c>
      <c r="E1055" s="1" t="s">
        <v>989</v>
      </c>
      <c r="F1055" s="1" t="s">
        <v>25</v>
      </c>
      <c r="G1055">
        <v>8</v>
      </c>
      <c r="H1055" s="1" t="s">
        <v>96</v>
      </c>
      <c r="I1055" s="1" t="s">
        <v>85</v>
      </c>
      <c r="J1055">
        <v>12.5</v>
      </c>
      <c r="K1055">
        <v>34.99</v>
      </c>
      <c r="L1055" s="1" t="s">
        <v>60</v>
      </c>
      <c r="M1055" s="1" t="s">
        <v>29</v>
      </c>
      <c r="N1055" s="1" t="s">
        <v>30</v>
      </c>
      <c r="O1055" s="1" t="s">
        <v>31</v>
      </c>
      <c r="P1055" s="2">
        <v>45778</v>
      </c>
      <c r="Q1055" s="1" t="s">
        <v>1024</v>
      </c>
      <c r="R1055" s="1" t="s">
        <v>1854</v>
      </c>
      <c r="S1055" s="1" t="s">
        <v>65</v>
      </c>
      <c r="T1055" s="1" t="s">
        <v>35</v>
      </c>
      <c r="U1055" s="1" t="s">
        <v>82</v>
      </c>
      <c r="V1055" s="1" t="s">
        <v>89</v>
      </c>
      <c r="W1055">
        <v>2.4</v>
      </c>
    </row>
    <row r="1056" spans="1:23" x14ac:dyDescent="0.3">
      <c r="A1056" s="1" t="s">
        <v>2265</v>
      </c>
      <c r="B1056">
        <v>1</v>
      </c>
      <c r="C1056">
        <v>30.99</v>
      </c>
      <c r="D1056">
        <v>30.99</v>
      </c>
      <c r="E1056" s="1" t="s">
        <v>1302</v>
      </c>
      <c r="F1056" s="1" t="s">
        <v>40</v>
      </c>
      <c r="G1056">
        <v>3</v>
      </c>
      <c r="H1056" s="1" t="s">
        <v>41</v>
      </c>
      <c r="I1056" s="1" t="s">
        <v>42</v>
      </c>
      <c r="J1056">
        <v>10.5</v>
      </c>
      <c r="K1056">
        <v>30.99</v>
      </c>
      <c r="L1056" s="1" t="s">
        <v>28</v>
      </c>
      <c r="M1056" s="1" t="s">
        <v>43</v>
      </c>
      <c r="N1056" s="1" t="s">
        <v>44</v>
      </c>
      <c r="O1056" s="1" t="s">
        <v>31</v>
      </c>
      <c r="P1056" s="2">
        <v>45823</v>
      </c>
      <c r="Q1056" s="1" t="s">
        <v>278</v>
      </c>
      <c r="R1056" s="1" t="s">
        <v>1202</v>
      </c>
      <c r="S1056" s="1" t="s">
        <v>54</v>
      </c>
      <c r="T1056" s="1" t="s">
        <v>35</v>
      </c>
      <c r="U1056" s="1" t="s">
        <v>36</v>
      </c>
      <c r="V1056" s="1" t="s">
        <v>37</v>
      </c>
      <c r="W1056">
        <v>2</v>
      </c>
    </row>
    <row r="1057" spans="1:23" x14ac:dyDescent="0.3">
      <c r="A1057" s="1" t="s">
        <v>2266</v>
      </c>
      <c r="B1057">
        <v>1</v>
      </c>
      <c r="C1057">
        <v>16.989999999999998</v>
      </c>
      <c r="D1057">
        <v>16.989999999999998</v>
      </c>
      <c r="E1057" s="1" t="s">
        <v>2267</v>
      </c>
      <c r="F1057" s="1" t="s">
        <v>40</v>
      </c>
      <c r="G1057">
        <v>17</v>
      </c>
      <c r="H1057" s="1" t="s">
        <v>26</v>
      </c>
      <c r="I1057" s="1" t="s">
        <v>59</v>
      </c>
      <c r="J1057">
        <v>5</v>
      </c>
      <c r="K1057">
        <v>16.989999999999998</v>
      </c>
      <c r="L1057" s="1" t="s">
        <v>60</v>
      </c>
      <c r="M1057" s="1" t="s">
        <v>61</v>
      </c>
      <c r="N1057" s="1" t="s">
        <v>62</v>
      </c>
      <c r="O1057" s="1" t="s">
        <v>31</v>
      </c>
      <c r="P1057" s="2">
        <v>45726</v>
      </c>
      <c r="Q1057" s="1" t="s">
        <v>990</v>
      </c>
      <c r="R1057" s="1" t="s">
        <v>1623</v>
      </c>
      <c r="S1057" s="1" t="s">
        <v>54</v>
      </c>
      <c r="T1057" s="1" t="s">
        <v>35</v>
      </c>
      <c r="U1057" s="1" t="s">
        <v>48</v>
      </c>
      <c r="V1057" s="1" t="s">
        <v>67</v>
      </c>
      <c r="W1057">
        <v>3</v>
      </c>
    </row>
    <row r="1058" spans="1:23" x14ac:dyDescent="0.3">
      <c r="A1058" s="1" t="s">
        <v>2268</v>
      </c>
      <c r="B1058">
        <v>1</v>
      </c>
      <c r="C1058">
        <v>18.989999999999998</v>
      </c>
      <c r="D1058">
        <v>18.989999999999998</v>
      </c>
      <c r="E1058" s="1" t="s">
        <v>1953</v>
      </c>
      <c r="F1058" s="1" t="s">
        <v>25</v>
      </c>
      <c r="G1058">
        <v>14</v>
      </c>
      <c r="H1058" s="1" t="s">
        <v>41</v>
      </c>
      <c r="I1058" s="1" t="s">
        <v>97</v>
      </c>
      <c r="J1058">
        <v>6</v>
      </c>
      <c r="K1058">
        <v>18.989999999999998</v>
      </c>
      <c r="L1058" s="1" t="s">
        <v>60</v>
      </c>
      <c r="M1058" s="1" t="s">
        <v>43</v>
      </c>
      <c r="N1058" s="1" t="s">
        <v>44</v>
      </c>
      <c r="O1058" s="1" t="s">
        <v>31</v>
      </c>
      <c r="P1058" s="2">
        <v>45823</v>
      </c>
      <c r="Q1058" s="1" t="s">
        <v>969</v>
      </c>
      <c r="R1058" s="1" t="s">
        <v>970</v>
      </c>
      <c r="S1058" s="1" t="s">
        <v>105</v>
      </c>
      <c r="T1058" s="1" t="s">
        <v>35</v>
      </c>
      <c r="U1058" s="1" t="s">
        <v>36</v>
      </c>
      <c r="V1058" s="1" t="s">
        <v>100</v>
      </c>
      <c r="W1058">
        <v>3.2</v>
      </c>
    </row>
    <row r="1059" spans="1:23" x14ac:dyDescent="0.3">
      <c r="A1059" s="1" t="s">
        <v>2269</v>
      </c>
      <c r="B1059">
        <v>3</v>
      </c>
      <c r="C1059">
        <v>21.99</v>
      </c>
      <c r="D1059">
        <v>53.17</v>
      </c>
      <c r="E1059" s="1" t="s">
        <v>1096</v>
      </c>
      <c r="F1059" s="1" t="s">
        <v>40</v>
      </c>
      <c r="G1059">
        <v>6</v>
      </c>
      <c r="H1059" s="1" t="s">
        <v>96</v>
      </c>
      <c r="I1059" s="1" t="s">
        <v>27</v>
      </c>
      <c r="J1059">
        <v>7</v>
      </c>
      <c r="K1059">
        <v>21.99</v>
      </c>
      <c r="L1059" s="1" t="s">
        <v>28</v>
      </c>
      <c r="M1059" s="1" t="s">
        <v>29</v>
      </c>
      <c r="N1059" s="1" t="s">
        <v>30</v>
      </c>
      <c r="O1059" s="1" t="s">
        <v>31</v>
      </c>
      <c r="P1059" s="2">
        <v>45778</v>
      </c>
      <c r="Q1059" s="1" t="s">
        <v>1211</v>
      </c>
      <c r="R1059" s="1" t="s">
        <v>1212</v>
      </c>
      <c r="S1059" s="1" t="s">
        <v>34</v>
      </c>
      <c r="T1059" s="1" t="s">
        <v>35</v>
      </c>
      <c r="U1059" s="1" t="s">
        <v>66</v>
      </c>
      <c r="V1059" s="1" t="s">
        <v>37</v>
      </c>
      <c r="W1059">
        <v>2</v>
      </c>
    </row>
    <row r="1060" spans="1:23" x14ac:dyDescent="0.3">
      <c r="A1060" s="1" t="s">
        <v>2270</v>
      </c>
      <c r="B1060">
        <v>2</v>
      </c>
      <c r="C1060">
        <v>16.989999999999998</v>
      </c>
      <c r="D1060">
        <v>29.69</v>
      </c>
      <c r="E1060" s="1" t="s">
        <v>2082</v>
      </c>
      <c r="F1060" s="1" t="s">
        <v>40</v>
      </c>
      <c r="G1060">
        <v>19</v>
      </c>
      <c r="H1060" s="1" t="s">
        <v>41</v>
      </c>
      <c r="I1060" s="1" t="s">
        <v>59</v>
      </c>
      <c r="J1060">
        <v>5</v>
      </c>
      <c r="K1060">
        <v>16.989999999999998</v>
      </c>
      <c r="L1060" s="1" t="s">
        <v>60</v>
      </c>
      <c r="M1060" s="1" t="s">
        <v>61</v>
      </c>
      <c r="N1060" s="1" t="s">
        <v>62</v>
      </c>
      <c r="O1060" s="1" t="s">
        <v>31</v>
      </c>
      <c r="P1060" s="2">
        <v>45726</v>
      </c>
      <c r="Q1060" s="1" t="s">
        <v>1187</v>
      </c>
      <c r="R1060" s="1" t="s">
        <v>2204</v>
      </c>
      <c r="S1060" s="1" t="s">
        <v>88</v>
      </c>
      <c r="T1060" s="1" t="s">
        <v>35</v>
      </c>
      <c r="U1060" s="1" t="s">
        <v>55</v>
      </c>
      <c r="V1060" s="1" t="s">
        <v>67</v>
      </c>
      <c r="W1060">
        <v>3</v>
      </c>
    </row>
    <row r="1061" spans="1:23" x14ac:dyDescent="0.3">
      <c r="A1061" s="1" t="s">
        <v>2271</v>
      </c>
      <c r="B1061">
        <v>3</v>
      </c>
      <c r="C1061">
        <v>27.99</v>
      </c>
      <c r="D1061">
        <v>67.5</v>
      </c>
      <c r="E1061" s="1" t="s">
        <v>435</v>
      </c>
      <c r="F1061" s="1" t="s">
        <v>40</v>
      </c>
      <c r="G1061">
        <v>2</v>
      </c>
      <c r="H1061" s="1" t="s">
        <v>96</v>
      </c>
      <c r="I1061" s="1" t="s">
        <v>75</v>
      </c>
      <c r="J1061">
        <v>9</v>
      </c>
      <c r="K1061">
        <v>27.99</v>
      </c>
      <c r="L1061" s="1" t="s">
        <v>28</v>
      </c>
      <c r="M1061" s="1" t="s">
        <v>61</v>
      </c>
      <c r="N1061" s="1" t="s">
        <v>62</v>
      </c>
      <c r="O1061" s="1" t="s">
        <v>31</v>
      </c>
      <c r="P1061" s="2">
        <v>45726</v>
      </c>
      <c r="Q1061" s="1" t="s">
        <v>1458</v>
      </c>
      <c r="R1061" s="1" t="s">
        <v>1459</v>
      </c>
      <c r="S1061" s="1" t="s">
        <v>88</v>
      </c>
      <c r="T1061" s="1" t="s">
        <v>35</v>
      </c>
      <c r="U1061" s="1" t="s">
        <v>82</v>
      </c>
      <c r="V1061" s="1" t="s">
        <v>37</v>
      </c>
      <c r="W1061">
        <v>2</v>
      </c>
    </row>
    <row r="1062" spans="1:23" x14ac:dyDescent="0.3">
      <c r="A1062" s="1" t="s">
        <v>2272</v>
      </c>
      <c r="B1062">
        <v>1</v>
      </c>
      <c r="C1062">
        <v>16.989999999999998</v>
      </c>
      <c r="D1062">
        <v>16.989999999999998</v>
      </c>
      <c r="E1062" s="1" t="s">
        <v>989</v>
      </c>
      <c r="F1062" s="1" t="s">
        <v>40</v>
      </c>
      <c r="G1062">
        <v>19</v>
      </c>
      <c r="H1062" s="1" t="s">
        <v>58</v>
      </c>
      <c r="I1062" s="1" t="s">
        <v>59</v>
      </c>
      <c r="J1062">
        <v>5</v>
      </c>
      <c r="K1062">
        <v>16.989999999999998</v>
      </c>
      <c r="L1062" s="1" t="s">
        <v>60</v>
      </c>
      <c r="M1062" s="1" t="s">
        <v>61</v>
      </c>
      <c r="N1062" s="1" t="s">
        <v>62</v>
      </c>
      <c r="O1062" s="1" t="s">
        <v>31</v>
      </c>
      <c r="P1062" s="2">
        <v>45726</v>
      </c>
      <c r="Q1062" s="1" t="s">
        <v>938</v>
      </c>
      <c r="R1062" s="1" t="s">
        <v>939</v>
      </c>
      <c r="S1062" s="1" t="s">
        <v>54</v>
      </c>
      <c r="T1062" s="1" t="s">
        <v>35</v>
      </c>
      <c r="U1062" s="1" t="s">
        <v>66</v>
      </c>
      <c r="V1062" s="1" t="s">
        <v>67</v>
      </c>
      <c r="W1062">
        <v>3</v>
      </c>
    </row>
    <row r="1063" spans="1:23" x14ac:dyDescent="0.3">
      <c r="A1063" s="1" t="s">
        <v>2273</v>
      </c>
      <c r="B1063">
        <v>2</v>
      </c>
      <c r="C1063">
        <v>34.99</v>
      </c>
      <c r="D1063">
        <v>60.72</v>
      </c>
      <c r="E1063" s="1" t="s">
        <v>2274</v>
      </c>
      <c r="F1063" s="1" t="s">
        <v>40</v>
      </c>
      <c r="G1063">
        <v>6</v>
      </c>
      <c r="H1063" s="1" t="s">
        <v>26</v>
      </c>
      <c r="I1063" s="1" t="s">
        <v>85</v>
      </c>
      <c r="J1063">
        <v>12.5</v>
      </c>
      <c r="K1063">
        <v>34.99</v>
      </c>
      <c r="L1063" s="1" t="s">
        <v>60</v>
      </c>
      <c r="M1063" s="1" t="s">
        <v>29</v>
      </c>
      <c r="N1063" s="1" t="s">
        <v>30</v>
      </c>
      <c r="O1063" s="1" t="s">
        <v>31</v>
      </c>
      <c r="P1063" s="2">
        <v>45778</v>
      </c>
      <c r="Q1063" s="1" t="s">
        <v>1947</v>
      </c>
      <c r="R1063" s="1" t="s">
        <v>1948</v>
      </c>
      <c r="S1063" s="1" t="s">
        <v>34</v>
      </c>
      <c r="T1063" s="1" t="s">
        <v>35</v>
      </c>
      <c r="U1063" s="1" t="s">
        <v>55</v>
      </c>
      <c r="V1063" s="1" t="s">
        <v>89</v>
      </c>
      <c r="W1063">
        <v>2.4</v>
      </c>
    </row>
    <row r="1064" spans="1:23" x14ac:dyDescent="0.3">
      <c r="A1064" s="1" t="s">
        <v>2275</v>
      </c>
      <c r="B1064">
        <v>1</v>
      </c>
      <c r="C1064">
        <v>18.989999999999998</v>
      </c>
      <c r="D1064">
        <v>18.989999999999998</v>
      </c>
      <c r="E1064" s="1" t="s">
        <v>1930</v>
      </c>
      <c r="F1064" s="1" t="s">
        <v>188</v>
      </c>
      <c r="G1064">
        <v>0</v>
      </c>
      <c r="H1064" s="1" t="s">
        <v>96</v>
      </c>
      <c r="I1064" s="1" t="s">
        <v>97</v>
      </c>
      <c r="J1064">
        <v>6</v>
      </c>
      <c r="K1064">
        <v>18.989999999999998</v>
      </c>
      <c r="L1064" s="1" t="s">
        <v>60</v>
      </c>
      <c r="M1064" s="1" t="s">
        <v>43</v>
      </c>
      <c r="N1064" s="1" t="s">
        <v>44</v>
      </c>
      <c r="O1064" s="1" t="s">
        <v>31</v>
      </c>
      <c r="P1064" s="2">
        <v>45823</v>
      </c>
      <c r="Q1064" s="1" t="s">
        <v>2276</v>
      </c>
      <c r="R1064" s="1" t="s">
        <v>2277</v>
      </c>
      <c r="S1064" s="1" t="s">
        <v>105</v>
      </c>
      <c r="T1064" s="1" t="s">
        <v>35</v>
      </c>
      <c r="U1064" s="1" t="s">
        <v>48</v>
      </c>
      <c r="V1064" s="1" t="s">
        <v>100</v>
      </c>
      <c r="W1064">
        <v>3.2</v>
      </c>
    </row>
    <row r="1065" spans="1:23" x14ac:dyDescent="0.3">
      <c r="A1065" s="1" t="s">
        <v>2278</v>
      </c>
      <c r="B1065">
        <v>3</v>
      </c>
      <c r="C1065">
        <v>34.99</v>
      </c>
      <c r="D1065">
        <v>83.42</v>
      </c>
      <c r="E1065" s="1" t="s">
        <v>1106</v>
      </c>
      <c r="F1065" s="1" t="s">
        <v>40</v>
      </c>
      <c r="G1065">
        <v>7</v>
      </c>
      <c r="H1065" s="1" t="s">
        <v>96</v>
      </c>
      <c r="I1065" s="1" t="s">
        <v>85</v>
      </c>
      <c r="J1065">
        <v>12.5</v>
      </c>
      <c r="K1065">
        <v>34.99</v>
      </c>
      <c r="L1065" s="1" t="s">
        <v>60</v>
      </c>
      <c r="M1065" s="1" t="s">
        <v>29</v>
      </c>
      <c r="N1065" s="1" t="s">
        <v>30</v>
      </c>
      <c r="O1065" s="1" t="s">
        <v>31</v>
      </c>
      <c r="P1065" s="2">
        <v>45778</v>
      </c>
      <c r="Q1065" s="1" t="s">
        <v>1083</v>
      </c>
      <c r="R1065" s="1" t="s">
        <v>1084</v>
      </c>
      <c r="S1065" s="1" t="s">
        <v>47</v>
      </c>
      <c r="T1065" s="1" t="s">
        <v>35</v>
      </c>
      <c r="U1065" s="1" t="s">
        <v>36</v>
      </c>
      <c r="V1065" s="1" t="s">
        <v>89</v>
      </c>
      <c r="W1065">
        <v>2.4</v>
      </c>
    </row>
    <row r="1066" spans="1:23" x14ac:dyDescent="0.3">
      <c r="A1066" s="1" t="s">
        <v>2279</v>
      </c>
      <c r="B1066">
        <v>1</v>
      </c>
      <c r="C1066">
        <v>18.989999999999998</v>
      </c>
      <c r="D1066">
        <v>18.989999999999998</v>
      </c>
      <c r="E1066" s="1" t="s">
        <v>946</v>
      </c>
      <c r="F1066" s="1" t="s">
        <v>40</v>
      </c>
      <c r="G1066">
        <v>11</v>
      </c>
      <c r="H1066" s="1" t="s">
        <v>96</v>
      </c>
      <c r="I1066" s="1" t="s">
        <v>97</v>
      </c>
      <c r="J1066">
        <v>6</v>
      </c>
      <c r="K1066">
        <v>18.989999999999998</v>
      </c>
      <c r="L1066" s="1" t="s">
        <v>60</v>
      </c>
      <c r="M1066" s="1" t="s">
        <v>43</v>
      </c>
      <c r="N1066" s="1" t="s">
        <v>44</v>
      </c>
      <c r="O1066" s="1" t="s">
        <v>31</v>
      </c>
      <c r="P1066" s="2">
        <v>45823</v>
      </c>
      <c r="Q1066" s="1" t="s">
        <v>1376</v>
      </c>
      <c r="R1066" s="1" t="s">
        <v>1456</v>
      </c>
      <c r="S1066" s="1" t="s">
        <v>105</v>
      </c>
      <c r="T1066" s="1" t="s">
        <v>35</v>
      </c>
      <c r="U1066" s="1" t="s">
        <v>36</v>
      </c>
      <c r="V1066" s="1" t="s">
        <v>100</v>
      </c>
      <c r="W1066">
        <v>3.2</v>
      </c>
    </row>
    <row r="1067" spans="1:23" x14ac:dyDescent="0.3">
      <c r="A1067" s="1" t="s">
        <v>2280</v>
      </c>
      <c r="B1067">
        <v>1</v>
      </c>
      <c r="C1067">
        <v>34.99</v>
      </c>
      <c r="D1067">
        <v>34.99</v>
      </c>
      <c r="E1067" s="1" t="s">
        <v>2133</v>
      </c>
      <c r="F1067" s="1" t="s">
        <v>188</v>
      </c>
      <c r="G1067">
        <v>0</v>
      </c>
      <c r="H1067" s="1" t="s">
        <v>58</v>
      </c>
      <c r="I1067" s="1" t="s">
        <v>85</v>
      </c>
      <c r="J1067">
        <v>12.5</v>
      </c>
      <c r="K1067">
        <v>34.99</v>
      </c>
      <c r="L1067" s="1" t="s">
        <v>60</v>
      </c>
      <c r="M1067" s="1" t="s">
        <v>29</v>
      </c>
      <c r="N1067" s="1" t="s">
        <v>30</v>
      </c>
      <c r="O1067" s="1" t="s">
        <v>31</v>
      </c>
      <c r="P1067" s="2">
        <v>45778</v>
      </c>
      <c r="Q1067" s="1" t="s">
        <v>979</v>
      </c>
      <c r="R1067" s="1" t="s">
        <v>1912</v>
      </c>
      <c r="S1067" s="1" t="s">
        <v>105</v>
      </c>
      <c r="T1067" s="1" t="s">
        <v>35</v>
      </c>
      <c r="U1067" s="1" t="s">
        <v>82</v>
      </c>
      <c r="V1067" s="1" t="s">
        <v>89</v>
      </c>
      <c r="W1067">
        <v>2.4</v>
      </c>
    </row>
    <row r="1068" spans="1:23" x14ac:dyDescent="0.3">
      <c r="A1068" s="1" t="s">
        <v>2281</v>
      </c>
      <c r="B1068">
        <v>3</v>
      </c>
      <c r="C1068">
        <v>34.99</v>
      </c>
      <c r="D1068">
        <v>82.45</v>
      </c>
      <c r="E1068" s="1" t="s">
        <v>933</v>
      </c>
      <c r="F1068" s="1" t="s">
        <v>51</v>
      </c>
      <c r="G1068">
        <v>0</v>
      </c>
      <c r="H1068" s="1" t="s">
        <v>96</v>
      </c>
      <c r="I1068" s="1" t="s">
        <v>85</v>
      </c>
      <c r="J1068">
        <v>12.5</v>
      </c>
      <c r="K1068">
        <v>34.99</v>
      </c>
      <c r="L1068" s="1" t="s">
        <v>60</v>
      </c>
      <c r="M1068" s="1" t="s">
        <v>29</v>
      </c>
      <c r="N1068" s="1" t="s">
        <v>30</v>
      </c>
      <c r="O1068" s="1" t="s">
        <v>31</v>
      </c>
      <c r="P1068" s="2">
        <v>45778</v>
      </c>
      <c r="Q1068" s="1" t="s">
        <v>1325</v>
      </c>
      <c r="R1068" s="1" t="s">
        <v>1326</v>
      </c>
      <c r="S1068" s="1" t="s">
        <v>105</v>
      </c>
      <c r="T1068" s="1" t="s">
        <v>35</v>
      </c>
      <c r="U1068" s="1" t="s">
        <v>82</v>
      </c>
      <c r="V1068" s="1" t="s">
        <v>89</v>
      </c>
      <c r="W1068">
        <v>2.4</v>
      </c>
    </row>
    <row r="1069" spans="1:23" x14ac:dyDescent="0.3">
      <c r="A1069" s="1" t="s">
        <v>2282</v>
      </c>
      <c r="B1069">
        <v>1</v>
      </c>
      <c r="C1069">
        <v>16.989999999999998</v>
      </c>
      <c r="D1069">
        <v>16.989999999999998</v>
      </c>
      <c r="E1069" s="1" t="s">
        <v>74</v>
      </c>
      <c r="F1069" s="1" t="s">
        <v>40</v>
      </c>
      <c r="G1069">
        <v>22</v>
      </c>
      <c r="H1069" s="1" t="s">
        <v>58</v>
      </c>
      <c r="I1069" s="1" t="s">
        <v>59</v>
      </c>
      <c r="J1069">
        <v>5</v>
      </c>
      <c r="K1069">
        <v>16.989999999999998</v>
      </c>
      <c r="L1069" s="1" t="s">
        <v>60</v>
      </c>
      <c r="M1069" s="1" t="s">
        <v>61</v>
      </c>
      <c r="N1069" s="1" t="s">
        <v>62</v>
      </c>
      <c r="O1069" s="1" t="s">
        <v>31</v>
      </c>
      <c r="P1069" s="2">
        <v>45726</v>
      </c>
      <c r="Q1069" s="1" t="s">
        <v>373</v>
      </c>
      <c r="R1069" s="1" t="s">
        <v>993</v>
      </c>
      <c r="S1069" s="1" t="s">
        <v>34</v>
      </c>
      <c r="T1069" s="1" t="s">
        <v>35</v>
      </c>
      <c r="U1069" s="1" t="s">
        <v>48</v>
      </c>
      <c r="V1069" s="1" t="s">
        <v>67</v>
      </c>
      <c r="W1069">
        <v>3</v>
      </c>
    </row>
    <row r="1070" spans="1:23" x14ac:dyDescent="0.3">
      <c r="A1070" s="1" t="s">
        <v>2283</v>
      </c>
      <c r="B1070">
        <v>2</v>
      </c>
      <c r="C1070">
        <v>18.989999999999998</v>
      </c>
      <c r="D1070">
        <v>32.89</v>
      </c>
      <c r="E1070" s="1" t="s">
        <v>338</v>
      </c>
      <c r="F1070" s="1" t="s">
        <v>40</v>
      </c>
      <c r="G1070">
        <v>13</v>
      </c>
      <c r="H1070" s="1" t="s">
        <v>58</v>
      </c>
      <c r="I1070" s="1" t="s">
        <v>97</v>
      </c>
      <c r="J1070">
        <v>6</v>
      </c>
      <c r="K1070">
        <v>18.989999999999998</v>
      </c>
      <c r="L1070" s="1" t="s">
        <v>60</v>
      </c>
      <c r="M1070" s="1" t="s">
        <v>43</v>
      </c>
      <c r="N1070" s="1" t="s">
        <v>44</v>
      </c>
      <c r="O1070" s="1" t="s">
        <v>31</v>
      </c>
      <c r="P1070" s="2">
        <v>45823</v>
      </c>
      <c r="Q1070" s="1" t="s">
        <v>1342</v>
      </c>
      <c r="R1070" s="1" t="s">
        <v>1731</v>
      </c>
      <c r="S1070" s="1" t="s">
        <v>34</v>
      </c>
      <c r="T1070" s="1" t="s">
        <v>35</v>
      </c>
      <c r="U1070" s="1" t="s">
        <v>48</v>
      </c>
      <c r="V1070" s="1" t="s">
        <v>100</v>
      </c>
      <c r="W1070">
        <v>3.2</v>
      </c>
    </row>
    <row r="1071" spans="1:23" x14ac:dyDescent="0.3">
      <c r="A1071" s="1" t="s">
        <v>2284</v>
      </c>
      <c r="B1071">
        <v>1</v>
      </c>
      <c r="C1071">
        <v>21.99</v>
      </c>
      <c r="D1071">
        <v>21.99</v>
      </c>
      <c r="E1071" s="1" t="s">
        <v>1652</v>
      </c>
      <c r="F1071" s="1" t="s">
        <v>70</v>
      </c>
      <c r="G1071">
        <v>0</v>
      </c>
      <c r="H1071" s="1" t="s">
        <v>26</v>
      </c>
      <c r="I1071" s="1" t="s">
        <v>27</v>
      </c>
      <c r="J1071">
        <v>7</v>
      </c>
      <c r="K1071">
        <v>21.99</v>
      </c>
      <c r="L1071" s="1" t="s">
        <v>28</v>
      </c>
      <c r="M1071" s="1" t="s">
        <v>29</v>
      </c>
      <c r="N1071" s="1" t="s">
        <v>30</v>
      </c>
      <c r="O1071" s="1" t="s">
        <v>31</v>
      </c>
      <c r="P1071" s="2">
        <v>45778</v>
      </c>
      <c r="Q1071" s="1" t="s">
        <v>219</v>
      </c>
      <c r="R1071" s="1" t="s">
        <v>2236</v>
      </c>
      <c r="S1071" s="1" t="s">
        <v>34</v>
      </c>
      <c r="T1071" s="1" t="s">
        <v>35</v>
      </c>
      <c r="U1071" s="1" t="s">
        <v>55</v>
      </c>
      <c r="V1071" s="1" t="s">
        <v>37</v>
      </c>
      <c r="W1071">
        <v>2</v>
      </c>
    </row>
    <row r="1072" spans="1:23" x14ac:dyDescent="0.3">
      <c r="A1072" s="1" t="s">
        <v>2285</v>
      </c>
      <c r="B1072">
        <v>1</v>
      </c>
      <c r="C1072">
        <v>30.99</v>
      </c>
      <c r="D1072">
        <v>30.99</v>
      </c>
      <c r="E1072" s="1" t="s">
        <v>1285</v>
      </c>
      <c r="F1072" s="1" t="s">
        <v>40</v>
      </c>
      <c r="G1072">
        <v>3</v>
      </c>
      <c r="H1072" s="1" t="s">
        <v>26</v>
      </c>
      <c r="I1072" s="1" t="s">
        <v>42</v>
      </c>
      <c r="J1072">
        <v>10.5</v>
      </c>
      <c r="K1072">
        <v>30.99</v>
      </c>
      <c r="L1072" s="1" t="s">
        <v>28</v>
      </c>
      <c r="M1072" s="1" t="s">
        <v>43</v>
      </c>
      <c r="N1072" s="1" t="s">
        <v>44</v>
      </c>
      <c r="O1072" s="1" t="s">
        <v>31</v>
      </c>
      <c r="P1072" s="2">
        <v>45823</v>
      </c>
      <c r="Q1072" s="1" t="s">
        <v>1398</v>
      </c>
      <c r="R1072" s="1" t="s">
        <v>1399</v>
      </c>
      <c r="S1072" s="1" t="s">
        <v>54</v>
      </c>
      <c r="T1072" s="1" t="s">
        <v>35</v>
      </c>
      <c r="U1072" s="1" t="s">
        <v>48</v>
      </c>
      <c r="V1072" s="1" t="s">
        <v>37</v>
      </c>
      <c r="W1072">
        <v>2</v>
      </c>
    </row>
    <row r="1073" spans="1:23" x14ac:dyDescent="0.3">
      <c r="A1073" s="1" t="s">
        <v>2286</v>
      </c>
      <c r="B1073">
        <v>2</v>
      </c>
      <c r="C1073">
        <v>16.989999999999998</v>
      </c>
      <c r="D1073">
        <v>29.44</v>
      </c>
      <c r="E1073" s="1" t="s">
        <v>2124</v>
      </c>
      <c r="F1073" s="1" t="s">
        <v>188</v>
      </c>
      <c r="G1073">
        <v>0</v>
      </c>
      <c r="H1073" s="1" t="s">
        <v>41</v>
      </c>
      <c r="I1073" s="1" t="s">
        <v>59</v>
      </c>
      <c r="J1073">
        <v>5</v>
      </c>
      <c r="K1073">
        <v>16.989999999999998</v>
      </c>
      <c r="L1073" s="1" t="s">
        <v>60</v>
      </c>
      <c r="M1073" s="1" t="s">
        <v>61</v>
      </c>
      <c r="N1073" s="1" t="s">
        <v>62</v>
      </c>
      <c r="O1073" s="1" t="s">
        <v>31</v>
      </c>
      <c r="P1073" s="2">
        <v>45726</v>
      </c>
      <c r="Q1073" s="1" t="s">
        <v>1157</v>
      </c>
      <c r="R1073" s="1" t="s">
        <v>2022</v>
      </c>
      <c r="S1073" s="1" t="s">
        <v>34</v>
      </c>
      <c r="T1073" s="1" t="s">
        <v>35</v>
      </c>
      <c r="U1073" s="1" t="s">
        <v>82</v>
      </c>
      <c r="V1073" s="1" t="s">
        <v>67</v>
      </c>
      <c r="W1073">
        <v>3</v>
      </c>
    </row>
    <row r="1074" spans="1:23" x14ac:dyDescent="0.3">
      <c r="A1074" s="1" t="s">
        <v>2287</v>
      </c>
      <c r="B1074">
        <v>1</v>
      </c>
      <c r="C1074">
        <v>34.99</v>
      </c>
      <c r="D1074">
        <v>34.99</v>
      </c>
      <c r="E1074" s="1" t="s">
        <v>723</v>
      </c>
      <c r="F1074" s="1" t="s">
        <v>40</v>
      </c>
      <c r="G1074">
        <v>5</v>
      </c>
      <c r="H1074" s="1" t="s">
        <v>58</v>
      </c>
      <c r="I1074" s="1" t="s">
        <v>85</v>
      </c>
      <c r="J1074">
        <v>12.5</v>
      </c>
      <c r="K1074">
        <v>34.99</v>
      </c>
      <c r="L1074" s="1" t="s">
        <v>60</v>
      </c>
      <c r="M1074" s="1" t="s">
        <v>29</v>
      </c>
      <c r="N1074" s="1" t="s">
        <v>30</v>
      </c>
      <c r="O1074" s="1" t="s">
        <v>31</v>
      </c>
      <c r="P1074" s="2">
        <v>45778</v>
      </c>
      <c r="Q1074" s="1" t="s">
        <v>1286</v>
      </c>
      <c r="R1074" s="1" t="s">
        <v>1861</v>
      </c>
      <c r="S1074" s="1" t="s">
        <v>88</v>
      </c>
      <c r="T1074" s="1" t="s">
        <v>35</v>
      </c>
      <c r="U1074" s="1" t="s">
        <v>48</v>
      </c>
      <c r="V1074" s="1" t="s">
        <v>89</v>
      </c>
      <c r="W1074">
        <v>2.4</v>
      </c>
    </row>
    <row r="1075" spans="1:23" x14ac:dyDescent="0.3">
      <c r="A1075" s="1" t="s">
        <v>2288</v>
      </c>
      <c r="B1075">
        <v>1</v>
      </c>
      <c r="C1075">
        <v>34.99</v>
      </c>
      <c r="D1075">
        <v>34.99</v>
      </c>
      <c r="E1075" s="1" t="s">
        <v>50</v>
      </c>
      <c r="F1075" s="1" t="s">
        <v>40</v>
      </c>
      <c r="G1075">
        <v>8</v>
      </c>
      <c r="H1075" s="1" t="s">
        <v>58</v>
      </c>
      <c r="I1075" s="1" t="s">
        <v>85</v>
      </c>
      <c r="J1075">
        <v>12.5</v>
      </c>
      <c r="K1075">
        <v>34.99</v>
      </c>
      <c r="L1075" s="1" t="s">
        <v>60</v>
      </c>
      <c r="M1075" s="1" t="s">
        <v>29</v>
      </c>
      <c r="N1075" s="1" t="s">
        <v>30</v>
      </c>
      <c r="O1075" s="1" t="s">
        <v>31</v>
      </c>
      <c r="P1075" s="2">
        <v>45778</v>
      </c>
      <c r="Q1075" s="1" t="s">
        <v>779</v>
      </c>
      <c r="R1075" s="1" t="s">
        <v>2289</v>
      </c>
      <c r="S1075" s="1" t="s">
        <v>65</v>
      </c>
      <c r="T1075" s="1" t="s">
        <v>35</v>
      </c>
      <c r="U1075" s="1" t="s">
        <v>55</v>
      </c>
      <c r="V1075" s="1" t="s">
        <v>89</v>
      </c>
      <c r="W1075">
        <v>2.4</v>
      </c>
    </row>
    <row r="1076" spans="1:23" x14ac:dyDescent="0.3">
      <c r="A1076" s="1" t="s">
        <v>2290</v>
      </c>
      <c r="B1076">
        <v>2</v>
      </c>
      <c r="C1076">
        <v>18.989999999999998</v>
      </c>
      <c r="D1076">
        <v>32.97</v>
      </c>
      <c r="E1076" s="1" t="s">
        <v>753</v>
      </c>
      <c r="F1076" s="1" t="s">
        <v>51</v>
      </c>
      <c r="G1076">
        <v>0</v>
      </c>
      <c r="H1076" s="1" t="s">
        <v>41</v>
      </c>
      <c r="I1076" s="1" t="s">
        <v>97</v>
      </c>
      <c r="J1076">
        <v>6</v>
      </c>
      <c r="K1076">
        <v>18.989999999999998</v>
      </c>
      <c r="L1076" s="1" t="s">
        <v>60</v>
      </c>
      <c r="M1076" s="1" t="s">
        <v>43</v>
      </c>
      <c r="N1076" s="1" t="s">
        <v>44</v>
      </c>
      <c r="O1076" s="1" t="s">
        <v>31</v>
      </c>
      <c r="P1076" s="2">
        <v>45823</v>
      </c>
      <c r="Q1076" s="1" t="s">
        <v>376</v>
      </c>
      <c r="R1076" s="1" t="s">
        <v>808</v>
      </c>
      <c r="S1076" s="1" t="s">
        <v>34</v>
      </c>
      <c r="T1076" s="1" t="s">
        <v>35</v>
      </c>
      <c r="U1076" s="1" t="s">
        <v>48</v>
      </c>
      <c r="V1076" s="1" t="s">
        <v>100</v>
      </c>
      <c r="W1076">
        <v>3.2</v>
      </c>
    </row>
    <row r="1077" spans="1:23" x14ac:dyDescent="0.3">
      <c r="A1077" s="1" t="s">
        <v>2291</v>
      </c>
      <c r="B1077">
        <v>1</v>
      </c>
      <c r="C1077">
        <v>27.99</v>
      </c>
      <c r="D1077">
        <v>27.99</v>
      </c>
      <c r="E1077" s="1" t="s">
        <v>1198</v>
      </c>
      <c r="F1077" s="1" t="s">
        <v>70</v>
      </c>
      <c r="G1077">
        <v>0</v>
      </c>
      <c r="H1077" s="1" t="s">
        <v>26</v>
      </c>
      <c r="I1077" s="1" t="s">
        <v>75</v>
      </c>
      <c r="J1077">
        <v>9</v>
      </c>
      <c r="K1077">
        <v>27.99</v>
      </c>
      <c r="L1077" s="1" t="s">
        <v>28</v>
      </c>
      <c r="M1077" s="1" t="s">
        <v>61</v>
      </c>
      <c r="N1077" s="1" t="s">
        <v>62</v>
      </c>
      <c r="O1077" s="1" t="s">
        <v>31</v>
      </c>
      <c r="P1077" s="2">
        <v>45726</v>
      </c>
      <c r="Q1077" s="1" t="s">
        <v>1487</v>
      </c>
      <c r="R1077" s="1" t="s">
        <v>1488</v>
      </c>
      <c r="S1077" s="1" t="s">
        <v>34</v>
      </c>
      <c r="T1077" s="1" t="s">
        <v>35</v>
      </c>
      <c r="U1077" s="1" t="s">
        <v>48</v>
      </c>
      <c r="V1077" s="1" t="s">
        <v>37</v>
      </c>
      <c r="W1077">
        <v>2</v>
      </c>
    </row>
    <row r="1078" spans="1:23" x14ac:dyDescent="0.3">
      <c r="A1078" s="1" t="s">
        <v>2292</v>
      </c>
      <c r="B1078">
        <v>1</v>
      </c>
      <c r="C1078">
        <v>16.989999999999998</v>
      </c>
      <c r="D1078">
        <v>16.989999999999998</v>
      </c>
      <c r="E1078" s="1" t="s">
        <v>325</v>
      </c>
      <c r="F1078" s="1" t="s">
        <v>188</v>
      </c>
      <c r="G1078">
        <v>0</v>
      </c>
      <c r="H1078" s="1" t="s">
        <v>96</v>
      </c>
      <c r="I1078" s="1" t="s">
        <v>59</v>
      </c>
      <c r="J1078">
        <v>5</v>
      </c>
      <c r="K1078">
        <v>16.989999999999998</v>
      </c>
      <c r="L1078" s="1" t="s">
        <v>60</v>
      </c>
      <c r="M1078" s="1" t="s">
        <v>61</v>
      </c>
      <c r="N1078" s="1" t="s">
        <v>62</v>
      </c>
      <c r="O1078" s="1" t="s">
        <v>31</v>
      </c>
      <c r="P1078" s="2">
        <v>45726</v>
      </c>
      <c r="Q1078" s="1" t="s">
        <v>1140</v>
      </c>
      <c r="R1078" s="1" t="s">
        <v>1799</v>
      </c>
      <c r="S1078" s="1" t="s">
        <v>65</v>
      </c>
      <c r="T1078" s="1" t="s">
        <v>35</v>
      </c>
      <c r="U1078" s="1" t="s">
        <v>48</v>
      </c>
      <c r="V1078" s="1" t="s">
        <v>67</v>
      </c>
      <c r="W1078">
        <v>3</v>
      </c>
    </row>
    <row r="1079" spans="1:23" x14ac:dyDescent="0.3">
      <c r="A1079" s="1" t="s">
        <v>2293</v>
      </c>
      <c r="B1079">
        <v>1</v>
      </c>
      <c r="C1079">
        <v>34.99</v>
      </c>
      <c r="D1079">
        <v>34.99</v>
      </c>
      <c r="E1079" s="1" t="s">
        <v>2169</v>
      </c>
      <c r="F1079" s="1" t="s">
        <v>40</v>
      </c>
      <c r="G1079">
        <v>7</v>
      </c>
      <c r="H1079" s="1" t="s">
        <v>26</v>
      </c>
      <c r="I1079" s="1" t="s">
        <v>85</v>
      </c>
      <c r="J1079">
        <v>12.5</v>
      </c>
      <c r="K1079">
        <v>34.99</v>
      </c>
      <c r="L1079" s="1" t="s">
        <v>60</v>
      </c>
      <c r="M1079" s="1" t="s">
        <v>29</v>
      </c>
      <c r="N1079" s="1" t="s">
        <v>30</v>
      </c>
      <c r="O1079" s="1" t="s">
        <v>31</v>
      </c>
      <c r="P1079" s="2">
        <v>45778</v>
      </c>
      <c r="Q1079" s="1" t="s">
        <v>1549</v>
      </c>
      <c r="R1079" s="1" t="s">
        <v>1550</v>
      </c>
      <c r="S1079" s="1" t="s">
        <v>34</v>
      </c>
      <c r="T1079" s="1" t="s">
        <v>35</v>
      </c>
      <c r="U1079" s="1" t="s">
        <v>48</v>
      </c>
      <c r="V1079" s="1" t="s">
        <v>89</v>
      </c>
      <c r="W1079">
        <v>2.4</v>
      </c>
    </row>
    <row r="1080" spans="1:23" x14ac:dyDescent="0.3">
      <c r="A1080" s="1" t="s">
        <v>2294</v>
      </c>
      <c r="B1080">
        <v>1</v>
      </c>
      <c r="C1080">
        <v>30.99</v>
      </c>
      <c r="D1080">
        <v>30.99</v>
      </c>
      <c r="E1080" s="1" t="s">
        <v>1289</v>
      </c>
      <c r="F1080" s="1" t="s">
        <v>51</v>
      </c>
      <c r="G1080">
        <v>0</v>
      </c>
      <c r="H1080" s="1" t="s">
        <v>58</v>
      </c>
      <c r="I1080" s="1" t="s">
        <v>42</v>
      </c>
      <c r="J1080">
        <v>10.5</v>
      </c>
      <c r="K1080">
        <v>30.99</v>
      </c>
      <c r="L1080" s="1" t="s">
        <v>28</v>
      </c>
      <c r="M1080" s="1" t="s">
        <v>43</v>
      </c>
      <c r="N1080" s="1" t="s">
        <v>44</v>
      </c>
      <c r="O1080" s="1" t="s">
        <v>31</v>
      </c>
      <c r="P1080" s="2">
        <v>45823</v>
      </c>
      <c r="Q1080" s="1" t="s">
        <v>1753</v>
      </c>
      <c r="R1080" s="1" t="s">
        <v>1754</v>
      </c>
      <c r="S1080" s="1" t="s">
        <v>54</v>
      </c>
      <c r="T1080" s="1" t="s">
        <v>35</v>
      </c>
      <c r="U1080" s="1" t="s">
        <v>66</v>
      </c>
      <c r="V1080" s="1" t="s">
        <v>37</v>
      </c>
      <c r="W1080">
        <v>2</v>
      </c>
    </row>
    <row r="1081" spans="1:23" x14ac:dyDescent="0.3">
      <c r="A1081" s="1" t="s">
        <v>2295</v>
      </c>
      <c r="B1081">
        <v>2</v>
      </c>
      <c r="C1081">
        <v>27.99</v>
      </c>
      <c r="D1081">
        <v>48.34</v>
      </c>
      <c r="E1081" s="1" t="s">
        <v>1455</v>
      </c>
      <c r="F1081" s="1" t="s">
        <v>188</v>
      </c>
      <c r="G1081">
        <v>0</v>
      </c>
      <c r="H1081" s="1" t="s">
        <v>41</v>
      </c>
      <c r="I1081" s="1" t="s">
        <v>75</v>
      </c>
      <c r="J1081">
        <v>9</v>
      </c>
      <c r="K1081">
        <v>27.99</v>
      </c>
      <c r="L1081" s="1" t="s">
        <v>28</v>
      </c>
      <c r="M1081" s="1" t="s">
        <v>61</v>
      </c>
      <c r="N1081" s="1" t="s">
        <v>62</v>
      </c>
      <c r="O1081" s="1" t="s">
        <v>31</v>
      </c>
      <c r="P1081" s="2">
        <v>45726</v>
      </c>
      <c r="Q1081" s="1" t="s">
        <v>2296</v>
      </c>
      <c r="R1081" s="1" t="s">
        <v>2297</v>
      </c>
      <c r="S1081" s="1" t="s">
        <v>34</v>
      </c>
      <c r="T1081" s="1" t="s">
        <v>35</v>
      </c>
      <c r="U1081" s="1" t="s">
        <v>48</v>
      </c>
      <c r="V1081" s="1" t="s">
        <v>37</v>
      </c>
      <c r="W1081">
        <v>2</v>
      </c>
    </row>
    <row r="1082" spans="1:23" x14ac:dyDescent="0.3">
      <c r="A1082" s="1" t="s">
        <v>2298</v>
      </c>
      <c r="B1082">
        <v>1</v>
      </c>
      <c r="C1082">
        <v>30.99</v>
      </c>
      <c r="D1082">
        <v>30.99</v>
      </c>
      <c r="E1082" s="1" t="s">
        <v>1895</v>
      </c>
      <c r="F1082" s="1" t="s">
        <v>40</v>
      </c>
      <c r="G1082">
        <v>2</v>
      </c>
      <c r="H1082" s="1" t="s">
        <v>41</v>
      </c>
      <c r="I1082" s="1" t="s">
        <v>42</v>
      </c>
      <c r="J1082">
        <v>10.5</v>
      </c>
      <c r="K1082">
        <v>30.99</v>
      </c>
      <c r="L1082" s="1" t="s">
        <v>28</v>
      </c>
      <c r="M1082" s="1" t="s">
        <v>43</v>
      </c>
      <c r="N1082" s="1" t="s">
        <v>44</v>
      </c>
      <c r="O1082" s="1" t="s">
        <v>31</v>
      </c>
      <c r="P1082" s="2">
        <v>45823</v>
      </c>
      <c r="Q1082" s="1" t="s">
        <v>1408</v>
      </c>
      <c r="R1082" s="1" t="s">
        <v>2299</v>
      </c>
      <c r="S1082" s="1" t="s">
        <v>47</v>
      </c>
      <c r="T1082" s="1" t="s">
        <v>35</v>
      </c>
      <c r="U1082" s="1" t="s">
        <v>55</v>
      </c>
      <c r="V1082" s="1" t="s">
        <v>37</v>
      </c>
      <c r="W1082">
        <v>2</v>
      </c>
    </row>
    <row r="1083" spans="1:23" x14ac:dyDescent="0.3">
      <c r="A1083" s="1" t="s">
        <v>2300</v>
      </c>
      <c r="B1083">
        <v>1</v>
      </c>
      <c r="C1083">
        <v>34.99</v>
      </c>
      <c r="D1083">
        <v>34.99</v>
      </c>
      <c r="E1083" s="1" t="s">
        <v>759</v>
      </c>
      <c r="F1083" s="1" t="s">
        <v>188</v>
      </c>
      <c r="G1083">
        <v>0</v>
      </c>
      <c r="H1083" s="1" t="s">
        <v>41</v>
      </c>
      <c r="I1083" s="1" t="s">
        <v>85</v>
      </c>
      <c r="J1083">
        <v>12.5</v>
      </c>
      <c r="K1083">
        <v>34.99</v>
      </c>
      <c r="L1083" s="1" t="s">
        <v>60</v>
      </c>
      <c r="M1083" s="1" t="s">
        <v>29</v>
      </c>
      <c r="N1083" s="1" t="s">
        <v>30</v>
      </c>
      <c r="O1083" s="1" t="s">
        <v>31</v>
      </c>
      <c r="P1083" s="2">
        <v>45778</v>
      </c>
      <c r="Q1083" s="1" t="s">
        <v>2301</v>
      </c>
      <c r="R1083" s="1" t="s">
        <v>2302</v>
      </c>
      <c r="S1083" s="1" t="s">
        <v>54</v>
      </c>
      <c r="T1083" s="1" t="s">
        <v>35</v>
      </c>
      <c r="U1083" s="1" t="s">
        <v>36</v>
      </c>
      <c r="V1083" s="1" t="s">
        <v>89</v>
      </c>
      <c r="W1083">
        <v>2.4</v>
      </c>
    </row>
    <row r="1084" spans="1:23" x14ac:dyDescent="0.3">
      <c r="A1084" s="1" t="s">
        <v>2303</v>
      </c>
      <c r="B1084">
        <v>1</v>
      </c>
      <c r="C1084">
        <v>18.989999999999998</v>
      </c>
      <c r="D1084">
        <v>18.989999999999998</v>
      </c>
      <c r="E1084" s="1" t="s">
        <v>69</v>
      </c>
      <c r="F1084" s="1" t="s">
        <v>40</v>
      </c>
      <c r="G1084">
        <v>11</v>
      </c>
      <c r="H1084" s="1" t="s">
        <v>96</v>
      </c>
      <c r="I1084" s="1" t="s">
        <v>97</v>
      </c>
      <c r="J1084">
        <v>6</v>
      </c>
      <c r="K1084">
        <v>18.989999999999998</v>
      </c>
      <c r="L1084" s="1" t="s">
        <v>60</v>
      </c>
      <c r="M1084" s="1" t="s">
        <v>43</v>
      </c>
      <c r="N1084" s="1" t="s">
        <v>44</v>
      </c>
      <c r="O1084" s="1" t="s">
        <v>31</v>
      </c>
      <c r="P1084" s="2">
        <v>45823</v>
      </c>
      <c r="Q1084" s="1" t="s">
        <v>2042</v>
      </c>
      <c r="R1084" s="1" t="s">
        <v>2043</v>
      </c>
      <c r="S1084" s="1" t="s">
        <v>65</v>
      </c>
      <c r="T1084" s="1" t="s">
        <v>35</v>
      </c>
      <c r="U1084" s="1" t="s">
        <v>36</v>
      </c>
      <c r="V1084" s="1" t="s">
        <v>100</v>
      </c>
      <c r="W1084">
        <v>3.2</v>
      </c>
    </row>
    <row r="1085" spans="1:23" x14ac:dyDescent="0.3">
      <c r="A1085" s="1" t="s">
        <v>2304</v>
      </c>
      <c r="B1085">
        <v>1</v>
      </c>
      <c r="C1085">
        <v>34.99</v>
      </c>
      <c r="D1085">
        <v>34.99</v>
      </c>
      <c r="E1085" s="1" t="s">
        <v>862</v>
      </c>
      <c r="F1085" s="1" t="s">
        <v>40</v>
      </c>
      <c r="G1085">
        <v>7</v>
      </c>
      <c r="H1085" s="1" t="s">
        <v>58</v>
      </c>
      <c r="I1085" s="1" t="s">
        <v>85</v>
      </c>
      <c r="J1085">
        <v>12.5</v>
      </c>
      <c r="K1085">
        <v>34.99</v>
      </c>
      <c r="L1085" s="1" t="s">
        <v>60</v>
      </c>
      <c r="M1085" s="1" t="s">
        <v>29</v>
      </c>
      <c r="N1085" s="1" t="s">
        <v>30</v>
      </c>
      <c r="O1085" s="1" t="s">
        <v>31</v>
      </c>
      <c r="P1085" s="2">
        <v>45778</v>
      </c>
      <c r="Q1085" s="1" t="s">
        <v>1075</v>
      </c>
      <c r="R1085" s="1" t="s">
        <v>1076</v>
      </c>
      <c r="S1085" s="1" t="s">
        <v>65</v>
      </c>
      <c r="T1085" s="1" t="s">
        <v>35</v>
      </c>
      <c r="U1085" s="1" t="s">
        <v>55</v>
      </c>
      <c r="V1085" s="1" t="s">
        <v>89</v>
      </c>
      <c r="W1085">
        <v>2.4</v>
      </c>
    </row>
    <row r="1086" spans="1:23" x14ac:dyDescent="0.3">
      <c r="A1086" s="1" t="s">
        <v>2305</v>
      </c>
      <c r="B1086">
        <v>1</v>
      </c>
      <c r="C1086">
        <v>30.99</v>
      </c>
      <c r="D1086">
        <v>30.99</v>
      </c>
      <c r="E1086" s="1" t="s">
        <v>989</v>
      </c>
      <c r="F1086" s="1" t="s">
        <v>51</v>
      </c>
      <c r="G1086">
        <v>0</v>
      </c>
      <c r="H1086" s="1" t="s">
        <v>41</v>
      </c>
      <c r="I1086" s="1" t="s">
        <v>42</v>
      </c>
      <c r="J1086">
        <v>10.5</v>
      </c>
      <c r="K1086">
        <v>30.99</v>
      </c>
      <c r="L1086" s="1" t="s">
        <v>28</v>
      </c>
      <c r="M1086" s="1" t="s">
        <v>43</v>
      </c>
      <c r="N1086" s="1" t="s">
        <v>44</v>
      </c>
      <c r="O1086" s="1" t="s">
        <v>31</v>
      </c>
      <c r="P1086" s="2">
        <v>45823</v>
      </c>
      <c r="Q1086" s="1" t="s">
        <v>873</v>
      </c>
      <c r="R1086" s="1" t="s">
        <v>1208</v>
      </c>
      <c r="S1086" s="1" t="s">
        <v>54</v>
      </c>
      <c r="T1086" s="1" t="s">
        <v>35</v>
      </c>
      <c r="U1086" s="1" t="s">
        <v>82</v>
      </c>
      <c r="V1086" s="1" t="s">
        <v>37</v>
      </c>
      <c r="W1086">
        <v>2</v>
      </c>
    </row>
    <row r="1087" spans="1:23" x14ac:dyDescent="0.3">
      <c r="A1087" s="1" t="s">
        <v>2306</v>
      </c>
      <c r="B1087">
        <v>2</v>
      </c>
      <c r="C1087">
        <v>21.99</v>
      </c>
      <c r="D1087">
        <v>38.229999999999997</v>
      </c>
      <c r="E1087" s="1" t="s">
        <v>727</v>
      </c>
      <c r="F1087" s="1" t="s">
        <v>70</v>
      </c>
      <c r="G1087">
        <v>0</v>
      </c>
      <c r="H1087" s="1" t="s">
        <v>26</v>
      </c>
      <c r="I1087" s="1" t="s">
        <v>27</v>
      </c>
      <c r="J1087">
        <v>7</v>
      </c>
      <c r="K1087">
        <v>21.99</v>
      </c>
      <c r="L1087" s="1" t="s">
        <v>28</v>
      </c>
      <c r="M1087" s="1" t="s">
        <v>29</v>
      </c>
      <c r="N1087" s="1" t="s">
        <v>30</v>
      </c>
      <c r="O1087" s="1" t="s">
        <v>31</v>
      </c>
      <c r="P1087" s="2">
        <v>45778</v>
      </c>
      <c r="Q1087" s="1" t="s">
        <v>2301</v>
      </c>
      <c r="R1087" s="1" t="s">
        <v>2302</v>
      </c>
      <c r="S1087" s="1" t="s">
        <v>54</v>
      </c>
      <c r="T1087" s="1" t="s">
        <v>35</v>
      </c>
      <c r="U1087" s="1" t="s">
        <v>36</v>
      </c>
      <c r="V1087" s="1" t="s">
        <v>37</v>
      </c>
      <c r="W1087">
        <v>2</v>
      </c>
    </row>
    <row r="1088" spans="1:23" x14ac:dyDescent="0.3">
      <c r="A1088" s="1" t="s">
        <v>2307</v>
      </c>
      <c r="B1088">
        <v>1</v>
      </c>
      <c r="C1088">
        <v>16.989999999999998</v>
      </c>
      <c r="D1088">
        <v>16.989999999999998</v>
      </c>
      <c r="E1088" s="1" t="s">
        <v>2308</v>
      </c>
      <c r="F1088" s="1" t="s">
        <v>40</v>
      </c>
      <c r="G1088">
        <v>16</v>
      </c>
      <c r="H1088" s="1" t="s">
        <v>58</v>
      </c>
      <c r="I1088" s="1" t="s">
        <v>59</v>
      </c>
      <c r="J1088">
        <v>5</v>
      </c>
      <c r="K1088">
        <v>16.989999999999998</v>
      </c>
      <c r="L1088" s="1" t="s">
        <v>60</v>
      </c>
      <c r="M1088" s="1" t="s">
        <v>61</v>
      </c>
      <c r="N1088" s="1" t="s">
        <v>62</v>
      </c>
      <c r="O1088" s="1" t="s">
        <v>31</v>
      </c>
      <c r="P1088" s="2">
        <v>45726</v>
      </c>
      <c r="Q1088" s="1" t="s">
        <v>1356</v>
      </c>
      <c r="R1088" s="1" t="s">
        <v>1357</v>
      </c>
      <c r="S1088" s="1" t="s">
        <v>34</v>
      </c>
      <c r="T1088" s="1" t="s">
        <v>35</v>
      </c>
      <c r="U1088" s="1" t="s">
        <v>55</v>
      </c>
      <c r="V1088" s="1" t="s">
        <v>67</v>
      </c>
      <c r="W1088">
        <v>3</v>
      </c>
    </row>
    <row r="1089" spans="1:23" x14ac:dyDescent="0.3">
      <c r="A1089" s="1" t="s">
        <v>2309</v>
      </c>
      <c r="B1089">
        <v>1</v>
      </c>
      <c r="C1089">
        <v>30.99</v>
      </c>
      <c r="D1089">
        <v>30.99</v>
      </c>
      <c r="E1089" s="1" t="s">
        <v>807</v>
      </c>
      <c r="F1089" s="1" t="s">
        <v>51</v>
      </c>
      <c r="G1089">
        <v>0</v>
      </c>
      <c r="H1089" s="1" t="s">
        <v>26</v>
      </c>
      <c r="I1089" s="1" t="s">
        <v>42</v>
      </c>
      <c r="J1089">
        <v>10.5</v>
      </c>
      <c r="K1089">
        <v>30.99</v>
      </c>
      <c r="L1089" s="1" t="s">
        <v>28</v>
      </c>
      <c r="M1089" s="1" t="s">
        <v>43</v>
      </c>
      <c r="N1089" s="1" t="s">
        <v>44</v>
      </c>
      <c r="O1089" s="1" t="s">
        <v>31</v>
      </c>
      <c r="P1089" s="2">
        <v>45823</v>
      </c>
      <c r="Q1089" s="1" t="s">
        <v>1116</v>
      </c>
      <c r="R1089" s="1" t="s">
        <v>1117</v>
      </c>
      <c r="S1089" s="1" t="s">
        <v>88</v>
      </c>
      <c r="T1089" s="1" t="s">
        <v>35</v>
      </c>
      <c r="U1089" s="1" t="s">
        <v>55</v>
      </c>
      <c r="V1089" s="1" t="s">
        <v>37</v>
      </c>
      <c r="W1089">
        <v>2</v>
      </c>
    </row>
    <row r="1090" spans="1:23" x14ac:dyDescent="0.3">
      <c r="A1090" s="1" t="s">
        <v>2310</v>
      </c>
      <c r="B1090">
        <v>3</v>
      </c>
      <c r="C1090">
        <v>16.989999999999998</v>
      </c>
      <c r="D1090">
        <v>41.23</v>
      </c>
      <c r="E1090" s="1" t="s">
        <v>1461</v>
      </c>
      <c r="F1090" s="1" t="s">
        <v>25</v>
      </c>
      <c r="G1090">
        <v>15</v>
      </c>
      <c r="H1090" s="1" t="s">
        <v>41</v>
      </c>
      <c r="I1090" s="1" t="s">
        <v>59</v>
      </c>
      <c r="J1090">
        <v>5</v>
      </c>
      <c r="K1090">
        <v>16.989999999999998</v>
      </c>
      <c r="L1090" s="1" t="s">
        <v>60</v>
      </c>
      <c r="M1090" s="1" t="s">
        <v>61</v>
      </c>
      <c r="N1090" s="1" t="s">
        <v>62</v>
      </c>
      <c r="O1090" s="1" t="s">
        <v>31</v>
      </c>
      <c r="P1090" s="2">
        <v>45726</v>
      </c>
      <c r="Q1090" s="1" t="s">
        <v>930</v>
      </c>
      <c r="R1090" s="1" t="s">
        <v>931</v>
      </c>
      <c r="S1090" s="1" t="s">
        <v>65</v>
      </c>
      <c r="T1090" s="1" t="s">
        <v>35</v>
      </c>
      <c r="U1090" s="1" t="s">
        <v>36</v>
      </c>
      <c r="V1090" s="1" t="s">
        <v>67</v>
      </c>
      <c r="W1090">
        <v>3</v>
      </c>
    </row>
    <row r="1091" spans="1:23" x14ac:dyDescent="0.3">
      <c r="A1091" s="1" t="s">
        <v>2311</v>
      </c>
      <c r="B1091">
        <v>2</v>
      </c>
      <c r="C1091">
        <v>18.989999999999998</v>
      </c>
      <c r="D1091">
        <v>33.200000000000003</v>
      </c>
      <c r="E1091" s="1" t="s">
        <v>1055</v>
      </c>
      <c r="F1091" s="1" t="s">
        <v>40</v>
      </c>
      <c r="G1091">
        <v>13</v>
      </c>
      <c r="H1091" s="1" t="s">
        <v>96</v>
      </c>
      <c r="I1091" s="1" t="s">
        <v>97</v>
      </c>
      <c r="J1091">
        <v>6</v>
      </c>
      <c r="K1091">
        <v>18.989999999999998</v>
      </c>
      <c r="L1091" s="1" t="s">
        <v>60</v>
      </c>
      <c r="M1091" s="1" t="s">
        <v>43</v>
      </c>
      <c r="N1091" s="1" t="s">
        <v>44</v>
      </c>
      <c r="O1091" s="1" t="s">
        <v>31</v>
      </c>
      <c r="P1091" s="2">
        <v>45823</v>
      </c>
      <c r="Q1091" s="1" t="s">
        <v>893</v>
      </c>
      <c r="R1091" s="1" t="s">
        <v>1300</v>
      </c>
      <c r="S1091" s="1" t="s">
        <v>34</v>
      </c>
      <c r="T1091" s="1" t="s">
        <v>35</v>
      </c>
      <c r="U1091" s="1" t="s">
        <v>66</v>
      </c>
      <c r="V1091" s="1" t="s">
        <v>100</v>
      </c>
      <c r="W1091">
        <v>3.2</v>
      </c>
    </row>
    <row r="1092" spans="1:23" x14ac:dyDescent="0.3">
      <c r="A1092" s="1" t="s">
        <v>2312</v>
      </c>
      <c r="B1092">
        <v>1</v>
      </c>
      <c r="C1092">
        <v>27.99</v>
      </c>
      <c r="D1092">
        <v>27.99</v>
      </c>
      <c r="E1092" s="1" t="s">
        <v>1743</v>
      </c>
      <c r="F1092" s="1" t="s">
        <v>51</v>
      </c>
      <c r="G1092">
        <v>0</v>
      </c>
      <c r="H1092" s="1" t="s">
        <v>41</v>
      </c>
      <c r="I1092" s="1" t="s">
        <v>75</v>
      </c>
      <c r="J1092">
        <v>9</v>
      </c>
      <c r="K1092">
        <v>27.99</v>
      </c>
      <c r="L1092" s="1" t="s">
        <v>28</v>
      </c>
      <c r="M1092" s="1" t="s">
        <v>61</v>
      </c>
      <c r="N1092" s="1" t="s">
        <v>62</v>
      </c>
      <c r="O1092" s="1" t="s">
        <v>31</v>
      </c>
      <c r="P1092" s="2">
        <v>45726</v>
      </c>
      <c r="Q1092" s="1" t="s">
        <v>814</v>
      </c>
      <c r="R1092" s="1" t="s">
        <v>1041</v>
      </c>
      <c r="S1092" s="1" t="s">
        <v>54</v>
      </c>
      <c r="T1092" s="1" t="s">
        <v>35</v>
      </c>
      <c r="U1092" s="1" t="s">
        <v>36</v>
      </c>
      <c r="V1092" s="1" t="s">
        <v>37</v>
      </c>
      <c r="W1092">
        <v>2</v>
      </c>
    </row>
    <row r="1093" spans="1:23" x14ac:dyDescent="0.3">
      <c r="A1093" s="1" t="s">
        <v>2313</v>
      </c>
      <c r="B1093">
        <v>3</v>
      </c>
      <c r="C1093">
        <v>18.989999999999998</v>
      </c>
      <c r="D1093">
        <v>46.09</v>
      </c>
      <c r="E1093" s="1" t="s">
        <v>1420</v>
      </c>
      <c r="F1093" s="1" t="s">
        <v>40</v>
      </c>
      <c r="G1093">
        <v>11</v>
      </c>
      <c r="H1093" s="1" t="s">
        <v>41</v>
      </c>
      <c r="I1093" s="1" t="s">
        <v>97</v>
      </c>
      <c r="J1093">
        <v>6</v>
      </c>
      <c r="K1093">
        <v>18.989999999999998</v>
      </c>
      <c r="L1093" s="1" t="s">
        <v>60</v>
      </c>
      <c r="M1093" s="1" t="s">
        <v>43</v>
      </c>
      <c r="N1093" s="1" t="s">
        <v>44</v>
      </c>
      <c r="O1093" s="1" t="s">
        <v>31</v>
      </c>
      <c r="P1093" s="2">
        <v>45823</v>
      </c>
      <c r="Q1093" s="1" t="s">
        <v>2314</v>
      </c>
      <c r="R1093" s="1" t="s">
        <v>2315</v>
      </c>
      <c r="S1093" s="1" t="s">
        <v>65</v>
      </c>
      <c r="T1093" s="1" t="s">
        <v>35</v>
      </c>
      <c r="U1093" s="1" t="s">
        <v>55</v>
      </c>
      <c r="V1093" s="1" t="s">
        <v>100</v>
      </c>
      <c r="W1093">
        <v>3.2</v>
      </c>
    </row>
    <row r="1094" spans="1:23" x14ac:dyDescent="0.3">
      <c r="A1094" s="1" t="s">
        <v>2316</v>
      </c>
      <c r="B1094">
        <v>3</v>
      </c>
      <c r="C1094">
        <v>27.99</v>
      </c>
      <c r="D1094">
        <v>66.78</v>
      </c>
      <c r="E1094" s="1" t="s">
        <v>1592</v>
      </c>
      <c r="F1094" s="1" t="s">
        <v>40</v>
      </c>
      <c r="G1094">
        <v>2</v>
      </c>
      <c r="H1094" s="1" t="s">
        <v>26</v>
      </c>
      <c r="I1094" s="1" t="s">
        <v>75</v>
      </c>
      <c r="J1094">
        <v>9</v>
      </c>
      <c r="K1094">
        <v>27.99</v>
      </c>
      <c r="L1094" s="1" t="s">
        <v>28</v>
      </c>
      <c r="M1094" s="1" t="s">
        <v>61</v>
      </c>
      <c r="N1094" s="1" t="s">
        <v>62</v>
      </c>
      <c r="O1094" s="1" t="s">
        <v>31</v>
      </c>
      <c r="P1094" s="2">
        <v>45726</v>
      </c>
      <c r="Q1094" s="1" t="s">
        <v>1856</v>
      </c>
      <c r="R1094" s="1" t="s">
        <v>1857</v>
      </c>
      <c r="S1094" s="1" t="s">
        <v>34</v>
      </c>
      <c r="T1094" s="1" t="s">
        <v>35</v>
      </c>
      <c r="U1094" s="1" t="s">
        <v>36</v>
      </c>
      <c r="V1094" s="1" t="s">
        <v>37</v>
      </c>
      <c r="W1094">
        <v>2</v>
      </c>
    </row>
    <row r="1095" spans="1:23" x14ac:dyDescent="0.3">
      <c r="A1095" s="1" t="s">
        <v>2317</v>
      </c>
      <c r="B1095">
        <v>2</v>
      </c>
      <c r="C1095">
        <v>30.99</v>
      </c>
      <c r="D1095">
        <v>53.73</v>
      </c>
      <c r="E1095" s="1" t="s">
        <v>2082</v>
      </c>
      <c r="F1095" s="1" t="s">
        <v>40</v>
      </c>
      <c r="G1095">
        <v>3</v>
      </c>
      <c r="H1095" s="1" t="s">
        <v>41</v>
      </c>
      <c r="I1095" s="1" t="s">
        <v>42</v>
      </c>
      <c r="J1095">
        <v>10.5</v>
      </c>
      <c r="K1095">
        <v>30.99</v>
      </c>
      <c r="L1095" s="1" t="s">
        <v>28</v>
      </c>
      <c r="M1095" s="1" t="s">
        <v>43</v>
      </c>
      <c r="N1095" s="1" t="s">
        <v>44</v>
      </c>
      <c r="O1095" s="1" t="s">
        <v>31</v>
      </c>
      <c r="P1095" s="2">
        <v>45823</v>
      </c>
      <c r="Q1095" s="1" t="s">
        <v>1184</v>
      </c>
      <c r="R1095" s="1" t="s">
        <v>1185</v>
      </c>
      <c r="S1095" s="1" t="s">
        <v>105</v>
      </c>
      <c r="T1095" s="1" t="s">
        <v>35</v>
      </c>
      <c r="U1095" s="1" t="s">
        <v>55</v>
      </c>
      <c r="V1095" s="1" t="s">
        <v>37</v>
      </c>
      <c r="W1095">
        <v>2</v>
      </c>
    </row>
    <row r="1096" spans="1:23" x14ac:dyDescent="0.3">
      <c r="A1096" s="1" t="s">
        <v>2318</v>
      </c>
      <c r="B1096">
        <v>1</v>
      </c>
      <c r="C1096">
        <v>16.989999999999998</v>
      </c>
      <c r="D1096">
        <v>16.989999999999998</v>
      </c>
      <c r="E1096" s="1" t="s">
        <v>2319</v>
      </c>
      <c r="F1096" s="1" t="s">
        <v>40</v>
      </c>
      <c r="G1096">
        <v>15</v>
      </c>
      <c r="H1096" s="1" t="s">
        <v>26</v>
      </c>
      <c r="I1096" s="1" t="s">
        <v>59</v>
      </c>
      <c r="J1096">
        <v>5</v>
      </c>
      <c r="K1096">
        <v>16.989999999999998</v>
      </c>
      <c r="L1096" s="1" t="s">
        <v>60</v>
      </c>
      <c r="M1096" s="1" t="s">
        <v>61</v>
      </c>
      <c r="N1096" s="1" t="s">
        <v>62</v>
      </c>
      <c r="O1096" s="1" t="s">
        <v>31</v>
      </c>
      <c r="P1096" s="2">
        <v>45726</v>
      </c>
      <c r="Q1096" s="1" t="s">
        <v>654</v>
      </c>
      <c r="R1096" s="1" t="s">
        <v>983</v>
      </c>
      <c r="S1096" s="1" t="s">
        <v>88</v>
      </c>
      <c r="T1096" s="1" t="s">
        <v>35</v>
      </c>
      <c r="U1096" s="1" t="s">
        <v>48</v>
      </c>
      <c r="V1096" s="1" t="s">
        <v>67</v>
      </c>
      <c r="W1096">
        <v>3</v>
      </c>
    </row>
    <row r="1097" spans="1:23" x14ac:dyDescent="0.3">
      <c r="A1097" s="1" t="s">
        <v>2320</v>
      </c>
      <c r="B1097">
        <v>1</v>
      </c>
      <c r="C1097">
        <v>21.99</v>
      </c>
      <c r="D1097">
        <v>21.99</v>
      </c>
      <c r="E1097" s="1" t="s">
        <v>2202</v>
      </c>
      <c r="F1097" s="1" t="s">
        <v>51</v>
      </c>
      <c r="G1097">
        <v>0</v>
      </c>
      <c r="H1097" s="1" t="s">
        <v>58</v>
      </c>
      <c r="I1097" s="1" t="s">
        <v>27</v>
      </c>
      <c r="J1097">
        <v>7</v>
      </c>
      <c r="K1097">
        <v>21.99</v>
      </c>
      <c r="L1097" s="1" t="s">
        <v>28</v>
      </c>
      <c r="M1097" s="1" t="s">
        <v>29</v>
      </c>
      <c r="N1097" s="1" t="s">
        <v>30</v>
      </c>
      <c r="O1097" s="1" t="s">
        <v>31</v>
      </c>
      <c r="P1097" s="2">
        <v>45778</v>
      </c>
      <c r="Q1097" s="1" t="s">
        <v>140</v>
      </c>
      <c r="R1097" s="1" t="s">
        <v>1199</v>
      </c>
      <c r="S1097" s="1" t="s">
        <v>65</v>
      </c>
      <c r="T1097" s="1" t="s">
        <v>35</v>
      </c>
      <c r="U1097" s="1" t="s">
        <v>36</v>
      </c>
      <c r="V1097" s="1" t="s">
        <v>37</v>
      </c>
      <c r="W1097">
        <v>2</v>
      </c>
    </row>
    <row r="1098" spans="1:23" x14ac:dyDescent="0.3">
      <c r="A1098" s="1" t="s">
        <v>2321</v>
      </c>
      <c r="B1098">
        <v>2</v>
      </c>
      <c r="C1098">
        <v>21.99</v>
      </c>
      <c r="D1098">
        <v>38.049999999999997</v>
      </c>
      <c r="E1098" s="1" t="s">
        <v>1577</v>
      </c>
      <c r="F1098" s="1" t="s">
        <v>40</v>
      </c>
      <c r="G1098">
        <v>8</v>
      </c>
      <c r="H1098" s="1" t="s">
        <v>41</v>
      </c>
      <c r="I1098" s="1" t="s">
        <v>27</v>
      </c>
      <c r="J1098">
        <v>7</v>
      </c>
      <c r="K1098">
        <v>21.99</v>
      </c>
      <c r="L1098" s="1" t="s">
        <v>28</v>
      </c>
      <c r="M1098" s="1" t="s">
        <v>29</v>
      </c>
      <c r="N1098" s="1" t="s">
        <v>30</v>
      </c>
      <c r="O1098" s="1" t="s">
        <v>31</v>
      </c>
      <c r="P1098" s="2">
        <v>45778</v>
      </c>
      <c r="Q1098" s="1" t="s">
        <v>1539</v>
      </c>
      <c r="R1098" s="1" t="s">
        <v>1540</v>
      </c>
      <c r="S1098" s="1" t="s">
        <v>47</v>
      </c>
      <c r="T1098" s="1" t="s">
        <v>35</v>
      </c>
      <c r="U1098" s="1" t="s">
        <v>36</v>
      </c>
      <c r="V1098" s="1" t="s">
        <v>37</v>
      </c>
      <c r="W1098">
        <v>2</v>
      </c>
    </row>
    <row r="1099" spans="1:23" x14ac:dyDescent="0.3">
      <c r="A1099" s="1" t="s">
        <v>2322</v>
      </c>
      <c r="B1099">
        <v>3</v>
      </c>
      <c r="C1099">
        <v>21.99</v>
      </c>
      <c r="D1099">
        <v>51.89</v>
      </c>
      <c r="E1099" s="1" t="s">
        <v>598</v>
      </c>
      <c r="F1099" s="1" t="s">
        <v>40</v>
      </c>
      <c r="G1099">
        <v>3</v>
      </c>
      <c r="H1099" s="1" t="s">
        <v>41</v>
      </c>
      <c r="I1099" s="1" t="s">
        <v>27</v>
      </c>
      <c r="J1099">
        <v>7</v>
      </c>
      <c r="K1099">
        <v>21.99</v>
      </c>
      <c r="L1099" s="1" t="s">
        <v>28</v>
      </c>
      <c r="M1099" s="1" t="s">
        <v>29</v>
      </c>
      <c r="N1099" s="1" t="s">
        <v>30</v>
      </c>
      <c r="O1099" s="1" t="s">
        <v>31</v>
      </c>
      <c r="P1099" s="2">
        <v>45778</v>
      </c>
      <c r="Q1099" s="1" t="s">
        <v>1654</v>
      </c>
      <c r="R1099" s="1" t="s">
        <v>1833</v>
      </c>
      <c r="S1099" s="1" t="s">
        <v>65</v>
      </c>
      <c r="T1099" s="1" t="s">
        <v>35</v>
      </c>
      <c r="U1099" s="1" t="s">
        <v>82</v>
      </c>
      <c r="V1099" s="1" t="s">
        <v>37</v>
      </c>
      <c r="W1099">
        <v>2</v>
      </c>
    </row>
    <row r="1100" spans="1:23" x14ac:dyDescent="0.3">
      <c r="A1100" s="1" t="s">
        <v>2323</v>
      </c>
      <c r="B1100">
        <v>1</v>
      </c>
      <c r="C1100">
        <v>34.99</v>
      </c>
      <c r="D1100">
        <v>34.99</v>
      </c>
      <c r="E1100" s="1" t="s">
        <v>222</v>
      </c>
      <c r="F1100" s="1" t="s">
        <v>51</v>
      </c>
      <c r="G1100">
        <v>0</v>
      </c>
      <c r="H1100" s="1" t="s">
        <v>96</v>
      </c>
      <c r="I1100" s="1" t="s">
        <v>85</v>
      </c>
      <c r="J1100">
        <v>12.5</v>
      </c>
      <c r="K1100">
        <v>34.99</v>
      </c>
      <c r="L1100" s="1" t="s">
        <v>60</v>
      </c>
      <c r="M1100" s="1" t="s">
        <v>29</v>
      </c>
      <c r="N1100" s="1" t="s">
        <v>30</v>
      </c>
      <c r="O1100" s="1" t="s">
        <v>31</v>
      </c>
      <c r="P1100" s="2">
        <v>45778</v>
      </c>
      <c r="Q1100" s="1" t="s">
        <v>732</v>
      </c>
      <c r="R1100" s="1" t="s">
        <v>1109</v>
      </c>
      <c r="S1100" s="1" t="s">
        <v>54</v>
      </c>
      <c r="T1100" s="1" t="s">
        <v>35</v>
      </c>
      <c r="U1100" s="1" t="s">
        <v>66</v>
      </c>
      <c r="V1100" s="1" t="s">
        <v>89</v>
      </c>
      <c r="W1100">
        <v>2.4</v>
      </c>
    </row>
    <row r="1101" spans="1:23" x14ac:dyDescent="0.3">
      <c r="A1101" s="1" t="s">
        <v>2324</v>
      </c>
      <c r="B1101">
        <v>1</v>
      </c>
      <c r="C1101">
        <v>30.99</v>
      </c>
      <c r="D1101">
        <v>30.99</v>
      </c>
      <c r="E1101" s="1" t="s">
        <v>1281</v>
      </c>
      <c r="F1101" s="1" t="s">
        <v>40</v>
      </c>
      <c r="G1101">
        <v>7</v>
      </c>
      <c r="H1101" s="1" t="s">
        <v>41</v>
      </c>
      <c r="I1101" s="1" t="s">
        <v>42</v>
      </c>
      <c r="J1101">
        <v>10.5</v>
      </c>
      <c r="K1101">
        <v>30.99</v>
      </c>
      <c r="L1101" s="1" t="s">
        <v>28</v>
      </c>
      <c r="M1101" s="1" t="s">
        <v>43</v>
      </c>
      <c r="N1101" s="1" t="s">
        <v>44</v>
      </c>
      <c r="O1101" s="1" t="s">
        <v>31</v>
      </c>
      <c r="P1101" s="2">
        <v>45823</v>
      </c>
      <c r="Q1101" s="1" t="s">
        <v>118</v>
      </c>
      <c r="R1101" s="1" t="s">
        <v>1959</v>
      </c>
      <c r="S1101" s="1" t="s">
        <v>65</v>
      </c>
      <c r="T1101" s="1" t="s">
        <v>35</v>
      </c>
      <c r="U1101" s="1" t="s">
        <v>36</v>
      </c>
      <c r="V1101" s="1" t="s">
        <v>37</v>
      </c>
      <c r="W1101">
        <v>2</v>
      </c>
    </row>
    <row r="1102" spans="1:23" x14ac:dyDescent="0.3">
      <c r="A1102" s="1" t="s">
        <v>2325</v>
      </c>
      <c r="B1102">
        <v>1</v>
      </c>
      <c r="C1102">
        <v>27.99</v>
      </c>
      <c r="D1102">
        <v>27.99</v>
      </c>
      <c r="E1102" s="1" t="s">
        <v>107</v>
      </c>
      <c r="F1102" s="1" t="s">
        <v>40</v>
      </c>
      <c r="G1102">
        <v>2</v>
      </c>
      <c r="H1102" s="1" t="s">
        <v>96</v>
      </c>
      <c r="I1102" s="1" t="s">
        <v>75</v>
      </c>
      <c r="J1102">
        <v>9</v>
      </c>
      <c r="K1102">
        <v>27.99</v>
      </c>
      <c r="L1102" s="1" t="s">
        <v>28</v>
      </c>
      <c r="M1102" s="1" t="s">
        <v>61</v>
      </c>
      <c r="N1102" s="1" t="s">
        <v>62</v>
      </c>
      <c r="O1102" s="1" t="s">
        <v>31</v>
      </c>
      <c r="P1102" s="2">
        <v>45726</v>
      </c>
      <c r="Q1102" s="1" t="s">
        <v>161</v>
      </c>
      <c r="R1102" s="1" t="s">
        <v>2096</v>
      </c>
      <c r="S1102" s="1" t="s">
        <v>34</v>
      </c>
      <c r="T1102" s="1" t="s">
        <v>35</v>
      </c>
      <c r="U1102" s="1" t="s">
        <v>48</v>
      </c>
      <c r="V1102" s="1" t="s">
        <v>37</v>
      </c>
      <c r="W1102">
        <v>2</v>
      </c>
    </row>
    <row r="1103" spans="1:23" x14ac:dyDescent="0.3">
      <c r="A1103" s="1" t="s">
        <v>2326</v>
      </c>
      <c r="B1103">
        <v>3</v>
      </c>
      <c r="C1103">
        <v>27.99</v>
      </c>
      <c r="D1103">
        <v>66.94</v>
      </c>
      <c r="E1103" s="1" t="s">
        <v>1420</v>
      </c>
      <c r="F1103" s="1" t="s">
        <v>188</v>
      </c>
      <c r="G1103">
        <v>0</v>
      </c>
      <c r="H1103" s="1" t="s">
        <v>58</v>
      </c>
      <c r="I1103" s="1" t="s">
        <v>75</v>
      </c>
      <c r="J1103">
        <v>9</v>
      </c>
      <c r="K1103">
        <v>27.99</v>
      </c>
      <c r="L1103" s="1" t="s">
        <v>28</v>
      </c>
      <c r="M1103" s="1" t="s">
        <v>61</v>
      </c>
      <c r="N1103" s="1" t="s">
        <v>62</v>
      </c>
      <c r="O1103" s="1" t="s">
        <v>31</v>
      </c>
      <c r="P1103" s="2">
        <v>45726</v>
      </c>
      <c r="Q1103" s="1" t="s">
        <v>1018</v>
      </c>
      <c r="R1103" s="1" t="s">
        <v>1725</v>
      </c>
      <c r="S1103" s="1" t="s">
        <v>47</v>
      </c>
      <c r="T1103" s="1" t="s">
        <v>35</v>
      </c>
      <c r="U1103" s="1" t="s">
        <v>55</v>
      </c>
      <c r="V1103" s="1" t="s">
        <v>37</v>
      </c>
      <c r="W1103">
        <v>2</v>
      </c>
    </row>
    <row r="1104" spans="1:23" x14ac:dyDescent="0.3">
      <c r="A1104" s="1" t="s">
        <v>2327</v>
      </c>
      <c r="B1104">
        <v>3</v>
      </c>
      <c r="C1104">
        <v>16.989999999999998</v>
      </c>
      <c r="D1104">
        <v>40.78</v>
      </c>
      <c r="E1104" s="1" t="s">
        <v>2328</v>
      </c>
      <c r="F1104" s="1" t="s">
        <v>40</v>
      </c>
      <c r="G1104">
        <v>15</v>
      </c>
      <c r="H1104" s="1" t="s">
        <v>96</v>
      </c>
      <c r="I1104" s="1" t="s">
        <v>59</v>
      </c>
      <c r="J1104">
        <v>5</v>
      </c>
      <c r="K1104">
        <v>16.989999999999998</v>
      </c>
      <c r="L1104" s="1" t="s">
        <v>60</v>
      </c>
      <c r="M1104" s="1" t="s">
        <v>61</v>
      </c>
      <c r="N1104" s="1" t="s">
        <v>62</v>
      </c>
      <c r="O1104" s="1" t="s">
        <v>31</v>
      </c>
      <c r="P1104" s="2">
        <v>45726</v>
      </c>
      <c r="Q1104" s="1" t="s">
        <v>1157</v>
      </c>
      <c r="R1104" s="1" t="s">
        <v>2329</v>
      </c>
      <c r="S1104" s="1" t="s">
        <v>65</v>
      </c>
      <c r="T1104" s="1" t="s">
        <v>35</v>
      </c>
      <c r="U1104" s="1" t="s">
        <v>48</v>
      </c>
      <c r="V1104" s="1" t="s">
        <v>67</v>
      </c>
      <c r="W1104">
        <v>3</v>
      </c>
    </row>
    <row r="1105" spans="1:23" x14ac:dyDescent="0.3">
      <c r="A1105" s="1" t="s">
        <v>2330</v>
      </c>
      <c r="B1105">
        <v>2</v>
      </c>
      <c r="C1105">
        <v>34.99</v>
      </c>
      <c r="D1105">
        <v>60.77</v>
      </c>
      <c r="E1105" s="1" t="s">
        <v>1648</v>
      </c>
      <c r="F1105" s="1" t="s">
        <v>40</v>
      </c>
      <c r="G1105">
        <v>5</v>
      </c>
      <c r="H1105" s="1" t="s">
        <v>26</v>
      </c>
      <c r="I1105" s="1" t="s">
        <v>85</v>
      </c>
      <c r="J1105">
        <v>12.5</v>
      </c>
      <c r="K1105">
        <v>34.99</v>
      </c>
      <c r="L1105" s="1" t="s">
        <v>60</v>
      </c>
      <c r="M1105" s="1" t="s">
        <v>29</v>
      </c>
      <c r="N1105" s="1" t="s">
        <v>30</v>
      </c>
      <c r="O1105" s="1" t="s">
        <v>31</v>
      </c>
      <c r="P1105" s="2">
        <v>45778</v>
      </c>
      <c r="Q1105" s="1" t="s">
        <v>979</v>
      </c>
      <c r="R1105" s="1" t="s">
        <v>980</v>
      </c>
      <c r="S1105" s="1" t="s">
        <v>105</v>
      </c>
      <c r="T1105" s="1" t="s">
        <v>35</v>
      </c>
      <c r="U1105" s="1" t="s">
        <v>82</v>
      </c>
      <c r="V1105" s="1" t="s">
        <v>89</v>
      </c>
      <c r="W1105">
        <v>2.4</v>
      </c>
    </row>
    <row r="1106" spans="1:23" x14ac:dyDescent="0.3">
      <c r="A1106" s="1" t="s">
        <v>2331</v>
      </c>
      <c r="B1106">
        <v>3</v>
      </c>
      <c r="C1106">
        <v>34.99</v>
      </c>
      <c r="D1106">
        <v>84.88</v>
      </c>
      <c r="E1106" s="1" t="s">
        <v>1233</v>
      </c>
      <c r="F1106" s="1" t="s">
        <v>51</v>
      </c>
      <c r="G1106">
        <v>0</v>
      </c>
      <c r="H1106" s="1" t="s">
        <v>96</v>
      </c>
      <c r="I1106" s="1" t="s">
        <v>85</v>
      </c>
      <c r="J1106">
        <v>12.5</v>
      </c>
      <c r="K1106">
        <v>34.99</v>
      </c>
      <c r="L1106" s="1" t="s">
        <v>60</v>
      </c>
      <c r="M1106" s="1" t="s">
        <v>29</v>
      </c>
      <c r="N1106" s="1" t="s">
        <v>30</v>
      </c>
      <c r="O1106" s="1" t="s">
        <v>31</v>
      </c>
      <c r="P1106" s="2">
        <v>45778</v>
      </c>
      <c r="Q1106" s="1" t="s">
        <v>990</v>
      </c>
      <c r="R1106" s="1" t="s">
        <v>1228</v>
      </c>
      <c r="S1106" s="1" t="s">
        <v>47</v>
      </c>
      <c r="T1106" s="1" t="s">
        <v>35</v>
      </c>
      <c r="U1106" s="1" t="s">
        <v>55</v>
      </c>
      <c r="V1106" s="1" t="s">
        <v>89</v>
      </c>
      <c r="W1106">
        <v>2.4</v>
      </c>
    </row>
    <row r="1107" spans="1:23" x14ac:dyDescent="0.3">
      <c r="A1107" s="1" t="s">
        <v>2332</v>
      </c>
      <c r="B1107">
        <v>3</v>
      </c>
      <c r="C1107">
        <v>16.989999999999998</v>
      </c>
      <c r="D1107">
        <v>41.26</v>
      </c>
      <c r="E1107" s="1" t="s">
        <v>2082</v>
      </c>
      <c r="F1107" s="1" t="s">
        <v>188</v>
      </c>
      <c r="G1107">
        <v>0</v>
      </c>
      <c r="H1107" s="1" t="s">
        <v>96</v>
      </c>
      <c r="I1107" s="1" t="s">
        <v>59</v>
      </c>
      <c r="J1107">
        <v>5</v>
      </c>
      <c r="K1107">
        <v>16.989999999999998</v>
      </c>
      <c r="L1107" s="1" t="s">
        <v>60</v>
      </c>
      <c r="M1107" s="1" t="s">
        <v>61</v>
      </c>
      <c r="N1107" s="1" t="s">
        <v>62</v>
      </c>
      <c r="O1107" s="1" t="s">
        <v>31</v>
      </c>
      <c r="P1107" s="2">
        <v>45726</v>
      </c>
      <c r="Q1107" s="1" t="s">
        <v>1506</v>
      </c>
      <c r="R1107" s="1" t="s">
        <v>2333</v>
      </c>
      <c r="S1107" s="1" t="s">
        <v>47</v>
      </c>
      <c r="T1107" s="1" t="s">
        <v>35</v>
      </c>
      <c r="U1107" s="1" t="s">
        <v>55</v>
      </c>
      <c r="V1107" s="1" t="s">
        <v>67</v>
      </c>
      <c r="W1107">
        <v>3</v>
      </c>
    </row>
    <row r="1108" spans="1:23" x14ac:dyDescent="0.3">
      <c r="A1108" s="1" t="s">
        <v>2334</v>
      </c>
      <c r="B1108">
        <v>1</v>
      </c>
      <c r="C1108">
        <v>18.989999999999998</v>
      </c>
      <c r="D1108">
        <v>18.989999999999998</v>
      </c>
      <c r="E1108" s="1" t="s">
        <v>1367</v>
      </c>
      <c r="F1108" s="1" t="s">
        <v>25</v>
      </c>
      <c r="G1108">
        <v>10</v>
      </c>
      <c r="H1108" s="1" t="s">
        <v>41</v>
      </c>
      <c r="I1108" s="1" t="s">
        <v>97</v>
      </c>
      <c r="J1108">
        <v>6</v>
      </c>
      <c r="K1108">
        <v>18.989999999999998</v>
      </c>
      <c r="L1108" s="1" t="s">
        <v>60</v>
      </c>
      <c r="M1108" s="1" t="s">
        <v>43</v>
      </c>
      <c r="N1108" s="1" t="s">
        <v>44</v>
      </c>
      <c r="O1108" s="1" t="s">
        <v>31</v>
      </c>
      <c r="P1108" s="2">
        <v>45823</v>
      </c>
      <c r="Q1108" s="1" t="s">
        <v>965</v>
      </c>
      <c r="R1108" s="1" t="s">
        <v>1221</v>
      </c>
      <c r="S1108" s="1" t="s">
        <v>34</v>
      </c>
      <c r="T1108" s="1" t="s">
        <v>35</v>
      </c>
      <c r="U1108" s="1" t="s">
        <v>48</v>
      </c>
      <c r="V1108" s="1" t="s">
        <v>100</v>
      </c>
      <c r="W1108">
        <v>3.2</v>
      </c>
    </row>
    <row r="1109" spans="1:23" x14ac:dyDescent="0.3">
      <c r="A1109" s="1" t="s">
        <v>2335</v>
      </c>
      <c r="B1109">
        <v>1</v>
      </c>
      <c r="C1109">
        <v>30.99</v>
      </c>
      <c r="D1109">
        <v>30.99</v>
      </c>
      <c r="E1109" s="1" t="s">
        <v>1965</v>
      </c>
      <c r="F1109" s="1" t="s">
        <v>188</v>
      </c>
      <c r="G1109">
        <v>0</v>
      </c>
      <c r="H1109" s="1" t="s">
        <v>41</v>
      </c>
      <c r="I1109" s="1" t="s">
        <v>42</v>
      </c>
      <c r="J1109">
        <v>10.5</v>
      </c>
      <c r="K1109">
        <v>30.99</v>
      </c>
      <c r="L1109" s="1" t="s">
        <v>28</v>
      </c>
      <c r="M1109" s="1" t="s">
        <v>43</v>
      </c>
      <c r="N1109" s="1" t="s">
        <v>44</v>
      </c>
      <c r="O1109" s="1" t="s">
        <v>31</v>
      </c>
      <c r="P1109" s="2">
        <v>45823</v>
      </c>
      <c r="Q1109" s="1" t="s">
        <v>1401</v>
      </c>
      <c r="R1109" s="1" t="s">
        <v>1402</v>
      </c>
      <c r="S1109" s="1" t="s">
        <v>65</v>
      </c>
      <c r="T1109" s="1" t="s">
        <v>35</v>
      </c>
      <c r="U1109" s="1" t="s">
        <v>66</v>
      </c>
      <c r="V1109" s="1" t="s">
        <v>37</v>
      </c>
      <c r="W1109">
        <v>2</v>
      </c>
    </row>
    <row r="1110" spans="1:23" x14ac:dyDescent="0.3">
      <c r="A1110" s="1" t="s">
        <v>2336</v>
      </c>
      <c r="B1110">
        <v>1</v>
      </c>
      <c r="C1110">
        <v>27.99</v>
      </c>
      <c r="D1110">
        <v>27.99</v>
      </c>
      <c r="E1110" s="1" t="s">
        <v>317</v>
      </c>
      <c r="F1110" s="1" t="s">
        <v>51</v>
      </c>
      <c r="G1110">
        <v>0</v>
      </c>
      <c r="H1110" s="1" t="s">
        <v>58</v>
      </c>
      <c r="I1110" s="1" t="s">
        <v>75</v>
      </c>
      <c r="J1110">
        <v>9</v>
      </c>
      <c r="K1110">
        <v>27.99</v>
      </c>
      <c r="L1110" s="1" t="s">
        <v>28</v>
      </c>
      <c r="M1110" s="1" t="s">
        <v>61</v>
      </c>
      <c r="N1110" s="1" t="s">
        <v>62</v>
      </c>
      <c r="O1110" s="1" t="s">
        <v>31</v>
      </c>
      <c r="P1110" s="2">
        <v>45726</v>
      </c>
      <c r="Q1110" s="1" t="s">
        <v>1385</v>
      </c>
      <c r="R1110" s="1" t="s">
        <v>1630</v>
      </c>
      <c r="S1110" s="1" t="s">
        <v>65</v>
      </c>
      <c r="T1110" s="1" t="s">
        <v>35</v>
      </c>
      <c r="U1110" s="1" t="s">
        <v>55</v>
      </c>
      <c r="V1110" s="1" t="s">
        <v>37</v>
      </c>
      <c r="W1110">
        <v>2</v>
      </c>
    </row>
    <row r="1111" spans="1:23" x14ac:dyDescent="0.3">
      <c r="A1111" s="1" t="s">
        <v>2337</v>
      </c>
      <c r="B1111">
        <v>1</v>
      </c>
      <c r="C1111">
        <v>16.989999999999998</v>
      </c>
      <c r="D1111">
        <v>16.989999999999998</v>
      </c>
      <c r="E1111" s="1" t="s">
        <v>916</v>
      </c>
      <c r="F1111" s="1" t="s">
        <v>40</v>
      </c>
      <c r="G1111">
        <v>19</v>
      </c>
      <c r="H1111" s="1" t="s">
        <v>26</v>
      </c>
      <c r="I1111" s="1" t="s">
        <v>59</v>
      </c>
      <c r="J1111">
        <v>5</v>
      </c>
      <c r="K1111">
        <v>16.989999999999998</v>
      </c>
      <c r="L1111" s="1" t="s">
        <v>60</v>
      </c>
      <c r="M1111" s="1" t="s">
        <v>61</v>
      </c>
      <c r="N1111" s="1" t="s">
        <v>62</v>
      </c>
      <c r="O1111" s="1" t="s">
        <v>31</v>
      </c>
      <c r="P1111" s="2">
        <v>45726</v>
      </c>
      <c r="Q1111" s="1" t="s">
        <v>1187</v>
      </c>
      <c r="R1111" s="1" t="s">
        <v>2338</v>
      </c>
      <c r="S1111" s="1" t="s">
        <v>34</v>
      </c>
      <c r="T1111" s="1" t="s">
        <v>35</v>
      </c>
      <c r="U1111" s="1" t="s">
        <v>48</v>
      </c>
      <c r="V1111" s="1" t="s">
        <v>67</v>
      </c>
      <c r="W1111">
        <v>3</v>
      </c>
    </row>
    <row r="1112" spans="1:23" x14ac:dyDescent="0.3">
      <c r="A1112" s="1" t="s">
        <v>2339</v>
      </c>
      <c r="B1112">
        <v>2</v>
      </c>
      <c r="C1112">
        <v>16.989999999999998</v>
      </c>
      <c r="D1112">
        <v>29.17</v>
      </c>
      <c r="E1112" s="1" t="s">
        <v>1285</v>
      </c>
      <c r="F1112" s="1" t="s">
        <v>40</v>
      </c>
      <c r="G1112">
        <v>15</v>
      </c>
      <c r="H1112" s="1" t="s">
        <v>26</v>
      </c>
      <c r="I1112" s="1" t="s">
        <v>59</v>
      </c>
      <c r="J1112">
        <v>5</v>
      </c>
      <c r="K1112">
        <v>16.989999999999998</v>
      </c>
      <c r="L1112" s="1" t="s">
        <v>60</v>
      </c>
      <c r="M1112" s="1" t="s">
        <v>61</v>
      </c>
      <c r="N1112" s="1" t="s">
        <v>62</v>
      </c>
      <c r="O1112" s="1" t="s">
        <v>31</v>
      </c>
      <c r="P1112" s="2">
        <v>45726</v>
      </c>
      <c r="Q1112" s="1" t="s">
        <v>1306</v>
      </c>
      <c r="R1112" s="1" t="s">
        <v>1307</v>
      </c>
      <c r="S1112" s="1" t="s">
        <v>47</v>
      </c>
      <c r="T1112" s="1" t="s">
        <v>35</v>
      </c>
      <c r="U1112" s="1" t="s">
        <v>66</v>
      </c>
      <c r="V1112" s="1" t="s">
        <v>67</v>
      </c>
      <c r="W1112">
        <v>3</v>
      </c>
    </row>
    <row r="1113" spans="1:23" x14ac:dyDescent="0.3">
      <c r="A1113" s="1" t="s">
        <v>2340</v>
      </c>
      <c r="B1113">
        <v>1</v>
      </c>
      <c r="C1113">
        <v>16.989999999999998</v>
      </c>
      <c r="D1113">
        <v>16.989999999999998</v>
      </c>
      <c r="E1113" s="1" t="s">
        <v>2070</v>
      </c>
      <c r="F1113" s="1" t="s">
        <v>40</v>
      </c>
      <c r="G1113">
        <v>19</v>
      </c>
      <c r="H1113" s="1" t="s">
        <v>96</v>
      </c>
      <c r="I1113" s="1" t="s">
        <v>59</v>
      </c>
      <c r="J1113">
        <v>5</v>
      </c>
      <c r="K1113">
        <v>16.989999999999998</v>
      </c>
      <c r="L1113" s="1" t="s">
        <v>60</v>
      </c>
      <c r="M1113" s="1" t="s">
        <v>61</v>
      </c>
      <c r="N1113" s="1" t="s">
        <v>62</v>
      </c>
      <c r="O1113" s="1" t="s">
        <v>31</v>
      </c>
      <c r="P1113" s="2">
        <v>45726</v>
      </c>
      <c r="Q1113" s="1" t="s">
        <v>385</v>
      </c>
      <c r="R1113" s="1" t="s">
        <v>1510</v>
      </c>
      <c r="S1113" s="1" t="s">
        <v>88</v>
      </c>
      <c r="T1113" s="1" t="s">
        <v>35</v>
      </c>
      <c r="U1113" s="1" t="s">
        <v>48</v>
      </c>
      <c r="V1113" s="1" t="s">
        <v>67</v>
      </c>
      <c r="W1113">
        <v>3</v>
      </c>
    </row>
    <row r="1114" spans="1:23" x14ac:dyDescent="0.3">
      <c r="A1114" s="1" t="s">
        <v>2341</v>
      </c>
      <c r="B1114">
        <v>3</v>
      </c>
      <c r="C1114">
        <v>30.99</v>
      </c>
      <c r="D1114">
        <v>74.86</v>
      </c>
      <c r="E1114" s="1" t="s">
        <v>1577</v>
      </c>
      <c r="F1114" s="1" t="s">
        <v>51</v>
      </c>
      <c r="G1114">
        <v>0</v>
      </c>
      <c r="H1114" s="1" t="s">
        <v>41</v>
      </c>
      <c r="I1114" s="1" t="s">
        <v>42</v>
      </c>
      <c r="J1114">
        <v>10.5</v>
      </c>
      <c r="K1114">
        <v>30.99</v>
      </c>
      <c r="L1114" s="1" t="s">
        <v>28</v>
      </c>
      <c r="M1114" s="1" t="s">
        <v>43</v>
      </c>
      <c r="N1114" s="1" t="s">
        <v>44</v>
      </c>
      <c r="O1114" s="1" t="s">
        <v>31</v>
      </c>
      <c r="P1114" s="2">
        <v>45823</v>
      </c>
      <c r="Q1114" s="1" t="s">
        <v>1728</v>
      </c>
      <c r="R1114" s="1" t="s">
        <v>1729</v>
      </c>
      <c r="S1114" s="1" t="s">
        <v>65</v>
      </c>
      <c r="T1114" s="1" t="s">
        <v>35</v>
      </c>
      <c r="U1114" s="1" t="s">
        <v>55</v>
      </c>
      <c r="V1114" s="1" t="s">
        <v>37</v>
      </c>
      <c r="W1114">
        <v>2</v>
      </c>
    </row>
    <row r="1115" spans="1:23" x14ac:dyDescent="0.3">
      <c r="A1115" s="1" t="s">
        <v>2342</v>
      </c>
      <c r="B1115">
        <v>1</v>
      </c>
      <c r="C1115">
        <v>30.99</v>
      </c>
      <c r="D1115">
        <v>30.99</v>
      </c>
      <c r="E1115" s="1" t="s">
        <v>50</v>
      </c>
      <c r="F1115" s="1" t="s">
        <v>40</v>
      </c>
      <c r="G1115">
        <v>8</v>
      </c>
      <c r="H1115" s="1" t="s">
        <v>26</v>
      </c>
      <c r="I1115" s="1" t="s">
        <v>42</v>
      </c>
      <c r="J1115">
        <v>10.5</v>
      </c>
      <c r="K1115">
        <v>30.99</v>
      </c>
      <c r="L1115" s="1" t="s">
        <v>28</v>
      </c>
      <c r="M1115" s="1" t="s">
        <v>43</v>
      </c>
      <c r="N1115" s="1" t="s">
        <v>44</v>
      </c>
      <c r="O1115" s="1" t="s">
        <v>31</v>
      </c>
      <c r="P1115" s="2">
        <v>45823</v>
      </c>
      <c r="Q1115" s="1" t="s">
        <v>1856</v>
      </c>
      <c r="R1115" s="1" t="s">
        <v>1857</v>
      </c>
      <c r="S1115" s="1" t="s">
        <v>34</v>
      </c>
      <c r="T1115" s="1" t="s">
        <v>35</v>
      </c>
      <c r="U1115" s="1" t="s">
        <v>36</v>
      </c>
      <c r="V1115" s="1" t="s">
        <v>37</v>
      </c>
      <c r="W1115">
        <v>2</v>
      </c>
    </row>
    <row r="1116" spans="1:23" x14ac:dyDescent="0.3">
      <c r="A1116" s="1" t="s">
        <v>2343</v>
      </c>
      <c r="B1116">
        <v>1</v>
      </c>
      <c r="C1116">
        <v>21.99</v>
      </c>
      <c r="D1116">
        <v>21.99</v>
      </c>
      <c r="E1116" s="1" t="s">
        <v>2344</v>
      </c>
      <c r="F1116" s="1" t="s">
        <v>40</v>
      </c>
      <c r="G1116">
        <v>4</v>
      </c>
      <c r="H1116" s="1" t="s">
        <v>26</v>
      </c>
      <c r="I1116" s="1" t="s">
        <v>27</v>
      </c>
      <c r="J1116">
        <v>7</v>
      </c>
      <c r="K1116">
        <v>21.99</v>
      </c>
      <c r="L1116" s="1" t="s">
        <v>28</v>
      </c>
      <c r="M1116" s="1" t="s">
        <v>29</v>
      </c>
      <c r="N1116" s="1" t="s">
        <v>30</v>
      </c>
      <c r="O1116" s="1" t="s">
        <v>31</v>
      </c>
      <c r="P1116" s="2">
        <v>45778</v>
      </c>
      <c r="Q1116" s="1" t="s">
        <v>1385</v>
      </c>
      <c r="R1116" s="1" t="s">
        <v>1630</v>
      </c>
      <c r="S1116" s="1" t="s">
        <v>65</v>
      </c>
      <c r="T1116" s="1" t="s">
        <v>35</v>
      </c>
      <c r="U1116" s="1" t="s">
        <v>55</v>
      </c>
      <c r="V1116" s="1" t="s">
        <v>37</v>
      </c>
      <c r="W1116">
        <v>2</v>
      </c>
    </row>
    <row r="1117" spans="1:23" x14ac:dyDescent="0.3">
      <c r="A1117" s="1" t="s">
        <v>2345</v>
      </c>
      <c r="B1117">
        <v>2</v>
      </c>
      <c r="C1117">
        <v>18.989999999999998</v>
      </c>
      <c r="D1117">
        <v>33.17</v>
      </c>
      <c r="E1117" s="1" t="s">
        <v>813</v>
      </c>
      <c r="F1117" s="1" t="s">
        <v>40</v>
      </c>
      <c r="G1117">
        <v>10</v>
      </c>
      <c r="H1117" s="1" t="s">
        <v>58</v>
      </c>
      <c r="I1117" s="1" t="s">
        <v>97</v>
      </c>
      <c r="J1117">
        <v>6</v>
      </c>
      <c r="K1117">
        <v>18.989999999999998</v>
      </c>
      <c r="L1117" s="1" t="s">
        <v>60</v>
      </c>
      <c r="M1117" s="1" t="s">
        <v>43</v>
      </c>
      <c r="N1117" s="1" t="s">
        <v>44</v>
      </c>
      <c r="O1117" s="1" t="s">
        <v>31</v>
      </c>
      <c r="P1117" s="2">
        <v>45823</v>
      </c>
      <c r="Q1117" s="1" t="s">
        <v>71</v>
      </c>
      <c r="R1117" s="1" t="s">
        <v>955</v>
      </c>
      <c r="S1117" s="1" t="s">
        <v>65</v>
      </c>
      <c r="T1117" s="1" t="s">
        <v>35</v>
      </c>
      <c r="U1117" s="1" t="s">
        <v>82</v>
      </c>
      <c r="V1117" s="1" t="s">
        <v>100</v>
      </c>
      <c r="W1117">
        <v>3.2</v>
      </c>
    </row>
    <row r="1118" spans="1:23" x14ac:dyDescent="0.3">
      <c r="A1118" s="1" t="s">
        <v>2346</v>
      </c>
      <c r="B1118">
        <v>3</v>
      </c>
      <c r="C1118">
        <v>27.99</v>
      </c>
      <c r="D1118">
        <v>66.44</v>
      </c>
      <c r="E1118" s="1" t="s">
        <v>288</v>
      </c>
      <c r="F1118" s="1" t="s">
        <v>25</v>
      </c>
      <c r="G1118">
        <v>2</v>
      </c>
      <c r="H1118" s="1" t="s">
        <v>41</v>
      </c>
      <c r="I1118" s="1" t="s">
        <v>75</v>
      </c>
      <c r="J1118">
        <v>9</v>
      </c>
      <c r="K1118">
        <v>27.99</v>
      </c>
      <c r="L1118" s="1" t="s">
        <v>28</v>
      </c>
      <c r="M1118" s="1" t="s">
        <v>61</v>
      </c>
      <c r="N1118" s="1" t="s">
        <v>62</v>
      </c>
      <c r="O1118" s="1" t="s">
        <v>31</v>
      </c>
      <c r="P1118" s="2">
        <v>45726</v>
      </c>
      <c r="Q1118" s="1" t="s">
        <v>1385</v>
      </c>
      <c r="R1118" s="1" t="s">
        <v>1386</v>
      </c>
      <c r="S1118" s="1" t="s">
        <v>47</v>
      </c>
      <c r="T1118" s="1" t="s">
        <v>35</v>
      </c>
      <c r="U1118" s="1" t="s">
        <v>66</v>
      </c>
      <c r="V1118" s="1" t="s">
        <v>37</v>
      </c>
      <c r="W1118">
        <v>2</v>
      </c>
    </row>
    <row r="1119" spans="1:23" x14ac:dyDescent="0.3">
      <c r="A1119" s="1" t="s">
        <v>2347</v>
      </c>
      <c r="B1119">
        <v>3</v>
      </c>
      <c r="C1119">
        <v>27.99</v>
      </c>
      <c r="D1119">
        <v>66.97</v>
      </c>
      <c r="E1119" s="1" t="s">
        <v>2348</v>
      </c>
      <c r="F1119" s="1" t="s">
        <v>40</v>
      </c>
      <c r="G1119">
        <v>3</v>
      </c>
      <c r="H1119" s="1" t="s">
        <v>96</v>
      </c>
      <c r="I1119" s="1" t="s">
        <v>75</v>
      </c>
      <c r="J1119">
        <v>9</v>
      </c>
      <c r="K1119">
        <v>27.99</v>
      </c>
      <c r="L1119" s="1" t="s">
        <v>28</v>
      </c>
      <c r="M1119" s="1" t="s">
        <v>61</v>
      </c>
      <c r="N1119" s="1" t="s">
        <v>62</v>
      </c>
      <c r="O1119" s="1" t="s">
        <v>31</v>
      </c>
      <c r="P1119" s="2">
        <v>45726</v>
      </c>
      <c r="Q1119" s="1" t="s">
        <v>1328</v>
      </c>
      <c r="R1119" s="1" t="s">
        <v>1329</v>
      </c>
      <c r="S1119" s="1" t="s">
        <v>105</v>
      </c>
      <c r="T1119" s="1" t="s">
        <v>35</v>
      </c>
      <c r="U1119" s="1" t="s">
        <v>36</v>
      </c>
      <c r="V1119" s="1" t="s">
        <v>37</v>
      </c>
      <c r="W1119">
        <v>2</v>
      </c>
    </row>
    <row r="1120" spans="1:23" x14ac:dyDescent="0.3">
      <c r="A1120" s="1" t="s">
        <v>2349</v>
      </c>
      <c r="B1120">
        <v>3</v>
      </c>
      <c r="C1120">
        <v>16.989999999999998</v>
      </c>
      <c r="D1120">
        <v>41.26</v>
      </c>
      <c r="E1120" s="1" t="s">
        <v>1548</v>
      </c>
      <c r="F1120" s="1" t="s">
        <v>40</v>
      </c>
      <c r="G1120">
        <v>15</v>
      </c>
      <c r="H1120" s="1" t="s">
        <v>58</v>
      </c>
      <c r="I1120" s="1" t="s">
        <v>59</v>
      </c>
      <c r="J1120">
        <v>5</v>
      </c>
      <c r="K1120">
        <v>16.989999999999998</v>
      </c>
      <c r="L1120" s="1" t="s">
        <v>60</v>
      </c>
      <c r="M1120" s="1" t="s">
        <v>61</v>
      </c>
      <c r="N1120" s="1" t="s">
        <v>62</v>
      </c>
      <c r="O1120" s="1" t="s">
        <v>31</v>
      </c>
      <c r="P1120" s="2">
        <v>45726</v>
      </c>
      <c r="Q1120" s="1" t="s">
        <v>836</v>
      </c>
      <c r="R1120" s="1" t="s">
        <v>1847</v>
      </c>
      <c r="S1120" s="1" t="s">
        <v>105</v>
      </c>
      <c r="T1120" s="1" t="s">
        <v>35</v>
      </c>
      <c r="U1120" s="1" t="s">
        <v>66</v>
      </c>
      <c r="V1120" s="1" t="s">
        <v>67</v>
      </c>
      <c r="W1120">
        <v>3</v>
      </c>
    </row>
    <row r="1121" spans="1:23" x14ac:dyDescent="0.3">
      <c r="A1121" s="1" t="s">
        <v>2350</v>
      </c>
      <c r="B1121">
        <v>1</v>
      </c>
      <c r="C1121">
        <v>27.99</v>
      </c>
      <c r="D1121">
        <v>27.99</v>
      </c>
      <c r="E1121" s="1" t="s">
        <v>1548</v>
      </c>
      <c r="F1121" s="1" t="s">
        <v>51</v>
      </c>
      <c r="G1121">
        <v>0</v>
      </c>
      <c r="H1121" s="1" t="s">
        <v>58</v>
      </c>
      <c r="I1121" s="1" t="s">
        <v>75</v>
      </c>
      <c r="J1121">
        <v>9</v>
      </c>
      <c r="K1121">
        <v>27.99</v>
      </c>
      <c r="L1121" s="1" t="s">
        <v>28</v>
      </c>
      <c r="M1121" s="1" t="s">
        <v>61</v>
      </c>
      <c r="N1121" s="1" t="s">
        <v>62</v>
      </c>
      <c r="O1121" s="1" t="s">
        <v>31</v>
      </c>
      <c r="P1121" s="2">
        <v>45726</v>
      </c>
      <c r="Q1121" s="1" t="s">
        <v>2065</v>
      </c>
      <c r="R1121" s="1" t="s">
        <v>2066</v>
      </c>
      <c r="S1121" s="1" t="s">
        <v>47</v>
      </c>
      <c r="T1121" s="1" t="s">
        <v>35</v>
      </c>
      <c r="U1121" s="1" t="s">
        <v>66</v>
      </c>
      <c r="V1121" s="1" t="s">
        <v>37</v>
      </c>
      <c r="W1121">
        <v>2</v>
      </c>
    </row>
    <row r="1122" spans="1:23" x14ac:dyDescent="0.3">
      <c r="A1122" s="1" t="s">
        <v>2351</v>
      </c>
      <c r="B1122">
        <v>1</v>
      </c>
      <c r="C1122">
        <v>30.99</v>
      </c>
      <c r="D1122">
        <v>30.99</v>
      </c>
      <c r="E1122" s="1" t="s">
        <v>2344</v>
      </c>
      <c r="F1122" s="1" t="s">
        <v>70</v>
      </c>
      <c r="G1122">
        <v>0</v>
      </c>
      <c r="H1122" s="1" t="s">
        <v>96</v>
      </c>
      <c r="I1122" s="1" t="s">
        <v>42</v>
      </c>
      <c r="J1122">
        <v>10.5</v>
      </c>
      <c r="K1122">
        <v>30.99</v>
      </c>
      <c r="L1122" s="1" t="s">
        <v>28</v>
      </c>
      <c r="M1122" s="1" t="s">
        <v>43</v>
      </c>
      <c r="N1122" s="1" t="s">
        <v>44</v>
      </c>
      <c r="O1122" s="1" t="s">
        <v>31</v>
      </c>
      <c r="P1122" s="2">
        <v>45823</v>
      </c>
      <c r="Q1122" s="1" t="s">
        <v>118</v>
      </c>
      <c r="R1122" s="1" t="s">
        <v>1959</v>
      </c>
      <c r="S1122" s="1" t="s">
        <v>65</v>
      </c>
      <c r="T1122" s="1" t="s">
        <v>35</v>
      </c>
      <c r="U1122" s="1" t="s">
        <v>36</v>
      </c>
      <c r="V1122" s="1" t="s">
        <v>37</v>
      </c>
      <c r="W1122">
        <v>2</v>
      </c>
    </row>
    <row r="1123" spans="1:23" x14ac:dyDescent="0.3">
      <c r="A1123" s="1" t="s">
        <v>2352</v>
      </c>
      <c r="B1123">
        <v>2</v>
      </c>
      <c r="C1123">
        <v>18.989999999999998</v>
      </c>
      <c r="D1123">
        <v>33.06</v>
      </c>
      <c r="E1123" s="1" t="s">
        <v>2098</v>
      </c>
      <c r="F1123" s="1" t="s">
        <v>40</v>
      </c>
      <c r="G1123">
        <v>15</v>
      </c>
      <c r="H1123" s="1" t="s">
        <v>58</v>
      </c>
      <c r="I1123" s="1" t="s">
        <v>97</v>
      </c>
      <c r="J1123">
        <v>6</v>
      </c>
      <c r="K1123">
        <v>18.989999999999998</v>
      </c>
      <c r="L1123" s="1" t="s">
        <v>60</v>
      </c>
      <c r="M1123" s="1" t="s">
        <v>43</v>
      </c>
      <c r="N1123" s="1" t="s">
        <v>44</v>
      </c>
      <c r="O1123" s="1" t="s">
        <v>31</v>
      </c>
      <c r="P1123" s="2">
        <v>45823</v>
      </c>
      <c r="Q1123" s="1" t="s">
        <v>787</v>
      </c>
      <c r="R1123" s="1" t="s">
        <v>1836</v>
      </c>
      <c r="S1123" s="1" t="s">
        <v>47</v>
      </c>
      <c r="T1123" s="1" t="s">
        <v>35</v>
      </c>
      <c r="U1123" s="1" t="s">
        <v>36</v>
      </c>
      <c r="V1123" s="1" t="s">
        <v>100</v>
      </c>
      <c r="W1123">
        <v>3.2</v>
      </c>
    </row>
    <row r="1124" spans="1:23" x14ac:dyDescent="0.3">
      <c r="A1124" s="1" t="s">
        <v>2353</v>
      </c>
      <c r="B1124">
        <v>1</v>
      </c>
      <c r="C1124">
        <v>27.99</v>
      </c>
      <c r="D1124">
        <v>27.99</v>
      </c>
      <c r="E1124" s="1" t="s">
        <v>763</v>
      </c>
      <c r="F1124" s="1" t="s">
        <v>40</v>
      </c>
      <c r="G1124">
        <v>3</v>
      </c>
      <c r="H1124" s="1" t="s">
        <v>58</v>
      </c>
      <c r="I1124" s="1" t="s">
        <v>75</v>
      </c>
      <c r="J1124">
        <v>9</v>
      </c>
      <c r="K1124">
        <v>27.99</v>
      </c>
      <c r="L1124" s="1" t="s">
        <v>28</v>
      </c>
      <c r="M1124" s="1" t="s">
        <v>61</v>
      </c>
      <c r="N1124" s="1" t="s">
        <v>62</v>
      </c>
      <c r="O1124" s="1" t="s">
        <v>31</v>
      </c>
      <c r="P1124" s="2">
        <v>45726</v>
      </c>
      <c r="Q1124" s="1" t="s">
        <v>1137</v>
      </c>
      <c r="R1124" s="1" t="s">
        <v>2255</v>
      </c>
      <c r="S1124" s="1" t="s">
        <v>65</v>
      </c>
      <c r="T1124" s="1" t="s">
        <v>35</v>
      </c>
      <c r="U1124" s="1" t="s">
        <v>36</v>
      </c>
      <c r="V1124" s="1" t="s">
        <v>37</v>
      </c>
      <c r="W1124">
        <v>2</v>
      </c>
    </row>
    <row r="1125" spans="1:23" x14ac:dyDescent="0.3">
      <c r="A1125" s="1" t="s">
        <v>2354</v>
      </c>
      <c r="B1125">
        <v>1</v>
      </c>
      <c r="C1125">
        <v>27.99</v>
      </c>
      <c r="D1125">
        <v>27.99</v>
      </c>
      <c r="E1125" s="1" t="s">
        <v>107</v>
      </c>
      <c r="F1125" s="1" t="s">
        <v>40</v>
      </c>
      <c r="G1125">
        <v>2</v>
      </c>
      <c r="H1125" s="1" t="s">
        <v>96</v>
      </c>
      <c r="I1125" s="1" t="s">
        <v>75</v>
      </c>
      <c r="J1125">
        <v>9</v>
      </c>
      <c r="K1125">
        <v>27.99</v>
      </c>
      <c r="L1125" s="1" t="s">
        <v>28</v>
      </c>
      <c r="M1125" s="1" t="s">
        <v>61</v>
      </c>
      <c r="N1125" s="1" t="s">
        <v>62</v>
      </c>
      <c r="O1125" s="1" t="s">
        <v>31</v>
      </c>
      <c r="P1125" s="2">
        <v>45726</v>
      </c>
      <c r="Q1125" s="1" t="s">
        <v>1342</v>
      </c>
      <c r="R1125" s="1" t="s">
        <v>1731</v>
      </c>
      <c r="S1125" s="1" t="s">
        <v>34</v>
      </c>
      <c r="T1125" s="1" t="s">
        <v>35</v>
      </c>
      <c r="U1125" s="1" t="s">
        <v>48</v>
      </c>
      <c r="V1125" s="1" t="s">
        <v>37</v>
      </c>
      <c r="W1125">
        <v>2</v>
      </c>
    </row>
    <row r="1126" spans="1:23" x14ac:dyDescent="0.3">
      <c r="A1126" s="1" t="s">
        <v>2355</v>
      </c>
      <c r="B1126">
        <v>1</v>
      </c>
      <c r="C1126">
        <v>34.99</v>
      </c>
      <c r="D1126">
        <v>34.99</v>
      </c>
      <c r="E1126" s="1" t="s">
        <v>2356</v>
      </c>
      <c r="F1126" s="1" t="s">
        <v>40</v>
      </c>
      <c r="G1126">
        <v>8</v>
      </c>
      <c r="H1126" s="1" t="s">
        <v>58</v>
      </c>
      <c r="I1126" s="1" t="s">
        <v>85</v>
      </c>
      <c r="J1126">
        <v>12.5</v>
      </c>
      <c r="K1126">
        <v>34.99</v>
      </c>
      <c r="L1126" s="1" t="s">
        <v>60</v>
      </c>
      <c r="M1126" s="1" t="s">
        <v>29</v>
      </c>
      <c r="N1126" s="1" t="s">
        <v>30</v>
      </c>
      <c r="O1126" s="1" t="s">
        <v>31</v>
      </c>
      <c r="P1126" s="2">
        <v>45778</v>
      </c>
      <c r="Q1126" s="1" t="s">
        <v>137</v>
      </c>
      <c r="R1126" s="1" t="s">
        <v>1278</v>
      </c>
      <c r="S1126" s="1" t="s">
        <v>34</v>
      </c>
      <c r="T1126" s="1" t="s">
        <v>35</v>
      </c>
      <c r="U1126" s="1" t="s">
        <v>36</v>
      </c>
      <c r="V1126" s="1" t="s">
        <v>89</v>
      </c>
      <c r="W1126">
        <v>2.4</v>
      </c>
    </row>
    <row r="1127" spans="1:23" x14ac:dyDescent="0.3">
      <c r="A1127" s="1" t="s">
        <v>2357</v>
      </c>
      <c r="B1127">
        <v>1</v>
      </c>
      <c r="C1127">
        <v>27.99</v>
      </c>
      <c r="D1127">
        <v>27.99</v>
      </c>
      <c r="E1127" s="1" t="s">
        <v>916</v>
      </c>
      <c r="F1127" s="1" t="s">
        <v>70</v>
      </c>
      <c r="G1127">
        <v>0</v>
      </c>
      <c r="H1127" s="1" t="s">
        <v>58</v>
      </c>
      <c r="I1127" s="1" t="s">
        <v>75</v>
      </c>
      <c r="J1127">
        <v>9</v>
      </c>
      <c r="K1127">
        <v>27.99</v>
      </c>
      <c r="L1127" s="1" t="s">
        <v>28</v>
      </c>
      <c r="M1127" s="1" t="s">
        <v>61</v>
      </c>
      <c r="N1127" s="1" t="s">
        <v>62</v>
      </c>
      <c r="O1127" s="1" t="s">
        <v>31</v>
      </c>
      <c r="P1127" s="2">
        <v>45726</v>
      </c>
      <c r="Q1127" s="1" t="s">
        <v>1260</v>
      </c>
      <c r="R1127" s="1" t="s">
        <v>1261</v>
      </c>
      <c r="S1127" s="1" t="s">
        <v>105</v>
      </c>
      <c r="T1127" s="1" t="s">
        <v>35</v>
      </c>
      <c r="U1127" s="1" t="s">
        <v>82</v>
      </c>
      <c r="V1127" s="1" t="s">
        <v>37</v>
      </c>
      <c r="W1127">
        <v>2</v>
      </c>
    </row>
    <row r="1128" spans="1:23" x14ac:dyDescent="0.3">
      <c r="A1128" s="1" t="s">
        <v>2358</v>
      </c>
      <c r="B1128">
        <v>1</v>
      </c>
      <c r="C1128">
        <v>27.99</v>
      </c>
      <c r="D1128">
        <v>27.99</v>
      </c>
      <c r="E1128" s="1" t="s">
        <v>2359</v>
      </c>
      <c r="F1128" s="1" t="s">
        <v>40</v>
      </c>
      <c r="G1128">
        <v>3</v>
      </c>
      <c r="H1128" s="1" t="s">
        <v>26</v>
      </c>
      <c r="I1128" s="1" t="s">
        <v>75</v>
      </c>
      <c r="J1128">
        <v>9</v>
      </c>
      <c r="K1128">
        <v>27.99</v>
      </c>
      <c r="L1128" s="1" t="s">
        <v>28</v>
      </c>
      <c r="M1128" s="1" t="s">
        <v>61</v>
      </c>
      <c r="N1128" s="1" t="s">
        <v>62</v>
      </c>
      <c r="O1128" s="1" t="s">
        <v>31</v>
      </c>
      <c r="P1128" s="2">
        <v>45726</v>
      </c>
      <c r="Q1128" s="1" t="s">
        <v>1408</v>
      </c>
      <c r="R1128" s="1" t="s">
        <v>2055</v>
      </c>
      <c r="S1128" s="1" t="s">
        <v>54</v>
      </c>
      <c r="T1128" s="1" t="s">
        <v>35</v>
      </c>
      <c r="U1128" s="1" t="s">
        <v>82</v>
      </c>
      <c r="V1128" s="1" t="s">
        <v>37</v>
      </c>
      <c r="W1128">
        <v>2</v>
      </c>
    </row>
    <row r="1129" spans="1:23" x14ac:dyDescent="0.3">
      <c r="A1129" s="1" t="s">
        <v>2360</v>
      </c>
      <c r="B1129">
        <v>1</v>
      </c>
      <c r="C1129">
        <v>18.989999999999998</v>
      </c>
      <c r="D1129">
        <v>18.989999999999998</v>
      </c>
      <c r="E1129" s="1" t="s">
        <v>2045</v>
      </c>
      <c r="F1129" s="1" t="s">
        <v>70</v>
      </c>
      <c r="G1129">
        <v>0</v>
      </c>
      <c r="H1129" s="1" t="s">
        <v>96</v>
      </c>
      <c r="I1129" s="1" t="s">
        <v>97</v>
      </c>
      <c r="J1129">
        <v>6</v>
      </c>
      <c r="K1129">
        <v>18.989999999999998</v>
      </c>
      <c r="L1129" s="1" t="s">
        <v>60</v>
      </c>
      <c r="M1129" s="1" t="s">
        <v>43</v>
      </c>
      <c r="N1129" s="1" t="s">
        <v>44</v>
      </c>
      <c r="O1129" s="1" t="s">
        <v>31</v>
      </c>
      <c r="P1129" s="2">
        <v>45823</v>
      </c>
      <c r="Q1129" s="1" t="s">
        <v>231</v>
      </c>
      <c r="R1129" s="1" t="s">
        <v>1978</v>
      </c>
      <c r="S1129" s="1" t="s">
        <v>65</v>
      </c>
      <c r="T1129" s="1" t="s">
        <v>35</v>
      </c>
      <c r="U1129" s="1" t="s">
        <v>66</v>
      </c>
      <c r="V1129" s="1" t="s">
        <v>100</v>
      </c>
      <c r="W1129">
        <v>3.2</v>
      </c>
    </row>
    <row r="1130" spans="1:23" x14ac:dyDescent="0.3">
      <c r="A1130" s="1" t="s">
        <v>2361</v>
      </c>
      <c r="B1130">
        <v>1</v>
      </c>
      <c r="C1130">
        <v>18.989999999999998</v>
      </c>
      <c r="D1130">
        <v>18.989999999999998</v>
      </c>
      <c r="E1130" s="1" t="s">
        <v>2181</v>
      </c>
      <c r="F1130" s="1" t="s">
        <v>40</v>
      </c>
      <c r="G1130">
        <v>13</v>
      </c>
      <c r="H1130" s="1" t="s">
        <v>41</v>
      </c>
      <c r="I1130" s="1" t="s">
        <v>97</v>
      </c>
      <c r="J1130">
        <v>6</v>
      </c>
      <c r="K1130">
        <v>18.989999999999998</v>
      </c>
      <c r="L1130" s="1" t="s">
        <v>60</v>
      </c>
      <c r="M1130" s="1" t="s">
        <v>43</v>
      </c>
      <c r="N1130" s="1" t="s">
        <v>44</v>
      </c>
      <c r="O1130" s="1" t="s">
        <v>31</v>
      </c>
      <c r="P1130" s="2">
        <v>45823</v>
      </c>
      <c r="Q1130" s="1" t="s">
        <v>1356</v>
      </c>
      <c r="R1130" s="1" t="s">
        <v>1357</v>
      </c>
      <c r="S1130" s="1" t="s">
        <v>34</v>
      </c>
      <c r="T1130" s="1" t="s">
        <v>35</v>
      </c>
      <c r="U1130" s="1" t="s">
        <v>55</v>
      </c>
      <c r="V1130" s="1" t="s">
        <v>100</v>
      </c>
      <c r="W1130">
        <v>3.2</v>
      </c>
    </row>
    <row r="1131" spans="1:23" x14ac:dyDescent="0.3">
      <c r="A1131" s="1" t="s">
        <v>2362</v>
      </c>
      <c r="B1131">
        <v>1</v>
      </c>
      <c r="C1131">
        <v>16.989999999999998</v>
      </c>
      <c r="D1131">
        <v>16.989999999999998</v>
      </c>
      <c r="E1131" s="1" t="s">
        <v>662</v>
      </c>
      <c r="F1131" s="1" t="s">
        <v>25</v>
      </c>
      <c r="G1131">
        <v>18</v>
      </c>
      <c r="H1131" s="1" t="s">
        <v>96</v>
      </c>
      <c r="I1131" s="1" t="s">
        <v>59</v>
      </c>
      <c r="J1131">
        <v>5</v>
      </c>
      <c r="K1131">
        <v>16.989999999999998</v>
      </c>
      <c r="L1131" s="1" t="s">
        <v>60</v>
      </c>
      <c r="M1131" s="1" t="s">
        <v>61</v>
      </c>
      <c r="N1131" s="1" t="s">
        <v>62</v>
      </c>
      <c r="O1131" s="1" t="s">
        <v>31</v>
      </c>
      <c r="P1131" s="2">
        <v>45726</v>
      </c>
      <c r="Q1131" s="1" t="s">
        <v>161</v>
      </c>
      <c r="R1131" s="1" t="s">
        <v>2096</v>
      </c>
      <c r="S1131" s="1" t="s">
        <v>34</v>
      </c>
      <c r="T1131" s="1" t="s">
        <v>35</v>
      </c>
      <c r="U1131" s="1" t="s">
        <v>48</v>
      </c>
      <c r="V1131" s="1" t="s">
        <v>67</v>
      </c>
      <c r="W1131">
        <v>3</v>
      </c>
    </row>
    <row r="1132" spans="1:23" x14ac:dyDescent="0.3">
      <c r="A1132" s="1" t="s">
        <v>2363</v>
      </c>
      <c r="B1132">
        <v>3</v>
      </c>
      <c r="C1132">
        <v>18.989999999999998</v>
      </c>
      <c r="D1132">
        <v>45.43</v>
      </c>
      <c r="E1132" s="1" t="s">
        <v>1299</v>
      </c>
      <c r="F1132" s="1" t="s">
        <v>40</v>
      </c>
      <c r="G1132">
        <v>13</v>
      </c>
      <c r="H1132" s="1" t="s">
        <v>96</v>
      </c>
      <c r="I1132" s="1" t="s">
        <v>97</v>
      </c>
      <c r="J1132">
        <v>6</v>
      </c>
      <c r="K1132">
        <v>18.989999999999998</v>
      </c>
      <c r="L1132" s="1" t="s">
        <v>60</v>
      </c>
      <c r="M1132" s="1" t="s">
        <v>43</v>
      </c>
      <c r="N1132" s="1" t="s">
        <v>44</v>
      </c>
      <c r="O1132" s="1" t="s">
        <v>31</v>
      </c>
      <c r="P1132" s="2">
        <v>45823</v>
      </c>
      <c r="Q1132" s="1" t="s">
        <v>1256</v>
      </c>
      <c r="R1132" s="1" t="s">
        <v>2100</v>
      </c>
      <c r="S1132" s="1" t="s">
        <v>88</v>
      </c>
      <c r="T1132" s="1" t="s">
        <v>35</v>
      </c>
      <c r="U1132" s="1" t="s">
        <v>55</v>
      </c>
      <c r="V1132" s="1" t="s">
        <v>100</v>
      </c>
      <c r="W1132">
        <v>3.2</v>
      </c>
    </row>
    <row r="1133" spans="1:23" x14ac:dyDescent="0.3">
      <c r="A1133" s="1" t="s">
        <v>2364</v>
      </c>
      <c r="B1133">
        <v>1</v>
      </c>
      <c r="C1133">
        <v>30.99</v>
      </c>
      <c r="D1133">
        <v>30.99</v>
      </c>
      <c r="E1133" s="1" t="s">
        <v>1168</v>
      </c>
      <c r="F1133" s="1" t="s">
        <v>70</v>
      </c>
      <c r="G1133">
        <v>0</v>
      </c>
      <c r="H1133" s="1" t="s">
        <v>41</v>
      </c>
      <c r="I1133" s="1" t="s">
        <v>42</v>
      </c>
      <c r="J1133">
        <v>10.5</v>
      </c>
      <c r="K1133">
        <v>30.99</v>
      </c>
      <c r="L1133" s="1" t="s">
        <v>28</v>
      </c>
      <c r="M1133" s="1" t="s">
        <v>43</v>
      </c>
      <c r="N1133" s="1" t="s">
        <v>44</v>
      </c>
      <c r="O1133" s="1" t="s">
        <v>31</v>
      </c>
      <c r="P1133" s="2">
        <v>45823</v>
      </c>
      <c r="Q1133" s="1" t="s">
        <v>290</v>
      </c>
      <c r="R1133" s="1" t="s">
        <v>1123</v>
      </c>
      <c r="S1133" s="1" t="s">
        <v>34</v>
      </c>
      <c r="T1133" s="1" t="s">
        <v>35</v>
      </c>
      <c r="U1133" s="1" t="s">
        <v>55</v>
      </c>
      <c r="V1133" s="1" t="s">
        <v>37</v>
      </c>
      <c r="W1133">
        <v>2</v>
      </c>
    </row>
    <row r="1134" spans="1:23" x14ac:dyDescent="0.3">
      <c r="A1134" s="1" t="s">
        <v>2365</v>
      </c>
      <c r="B1134">
        <v>1</v>
      </c>
      <c r="C1134">
        <v>30.99</v>
      </c>
      <c r="D1134">
        <v>30.99</v>
      </c>
      <c r="E1134" s="1" t="s">
        <v>113</v>
      </c>
      <c r="F1134" s="1" t="s">
        <v>40</v>
      </c>
      <c r="G1134">
        <v>3</v>
      </c>
      <c r="H1134" s="1" t="s">
        <v>41</v>
      </c>
      <c r="I1134" s="1" t="s">
        <v>42</v>
      </c>
      <c r="J1134">
        <v>10.5</v>
      </c>
      <c r="K1134">
        <v>30.99</v>
      </c>
      <c r="L1134" s="1" t="s">
        <v>28</v>
      </c>
      <c r="M1134" s="1" t="s">
        <v>43</v>
      </c>
      <c r="N1134" s="1" t="s">
        <v>44</v>
      </c>
      <c r="O1134" s="1" t="s">
        <v>31</v>
      </c>
      <c r="P1134" s="2">
        <v>45823</v>
      </c>
      <c r="Q1134" s="1" t="s">
        <v>1184</v>
      </c>
      <c r="R1134" s="1" t="s">
        <v>2028</v>
      </c>
      <c r="S1134" s="1" t="s">
        <v>105</v>
      </c>
      <c r="T1134" s="1" t="s">
        <v>35</v>
      </c>
      <c r="U1134" s="1" t="s">
        <v>36</v>
      </c>
      <c r="V1134" s="1" t="s">
        <v>37</v>
      </c>
      <c r="W1134">
        <v>2</v>
      </c>
    </row>
    <row r="1135" spans="1:23" x14ac:dyDescent="0.3">
      <c r="A1135" s="1" t="s">
        <v>2366</v>
      </c>
      <c r="B1135">
        <v>1</v>
      </c>
      <c r="C1135">
        <v>34.99</v>
      </c>
      <c r="D1135">
        <v>34.99</v>
      </c>
      <c r="E1135" s="1" t="s">
        <v>447</v>
      </c>
      <c r="F1135" s="1" t="s">
        <v>25</v>
      </c>
      <c r="G1135">
        <v>6</v>
      </c>
      <c r="H1135" s="1" t="s">
        <v>58</v>
      </c>
      <c r="I1135" s="1" t="s">
        <v>85</v>
      </c>
      <c r="J1135">
        <v>12.5</v>
      </c>
      <c r="K1135">
        <v>34.99</v>
      </c>
      <c r="L1135" s="1" t="s">
        <v>60</v>
      </c>
      <c r="M1135" s="1" t="s">
        <v>29</v>
      </c>
      <c r="N1135" s="1" t="s">
        <v>30</v>
      </c>
      <c r="O1135" s="1" t="s">
        <v>31</v>
      </c>
      <c r="P1135" s="2">
        <v>45778</v>
      </c>
      <c r="Q1135" s="1" t="s">
        <v>1211</v>
      </c>
      <c r="R1135" s="1" t="s">
        <v>1212</v>
      </c>
      <c r="S1135" s="1" t="s">
        <v>34</v>
      </c>
      <c r="T1135" s="1" t="s">
        <v>35</v>
      </c>
      <c r="U1135" s="1" t="s">
        <v>66</v>
      </c>
      <c r="V1135" s="1" t="s">
        <v>89</v>
      </c>
      <c r="W1135">
        <v>2.4</v>
      </c>
    </row>
    <row r="1136" spans="1:23" x14ac:dyDescent="0.3">
      <c r="A1136" s="1" t="s">
        <v>2367</v>
      </c>
      <c r="B1136">
        <v>1</v>
      </c>
      <c r="C1136">
        <v>34.99</v>
      </c>
      <c r="D1136">
        <v>34.99</v>
      </c>
      <c r="E1136" s="1" t="s">
        <v>2151</v>
      </c>
      <c r="F1136" s="1" t="s">
        <v>51</v>
      </c>
      <c r="G1136">
        <v>0</v>
      </c>
      <c r="H1136" s="1" t="s">
        <v>41</v>
      </c>
      <c r="I1136" s="1" t="s">
        <v>85</v>
      </c>
      <c r="J1136">
        <v>12.5</v>
      </c>
      <c r="K1136">
        <v>34.99</v>
      </c>
      <c r="L1136" s="1" t="s">
        <v>60</v>
      </c>
      <c r="M1136" s="1" t="s">
        <v>29</v>
      </c>
      <c r="N1136" s="1" t="s">
        <v>30</v>
      </c>
      <c r="O1136" s="1" t="s">
        <v>31</v>
      </c>
      <c r="P1136" s="2">
        <v>45778</v>
      </c>
      <c r="Q1136" s="1" t="s">
        <v>496</v>
      </c>
      <c r="R1136" s="1" t="s">
        <v>1650</v>
      </c>
      <c r="S1136" s="1" t="s">
        <v>47</v>
      </c>
      <c r="T1136" s="1" t="s">
        <v>35</v>
      </c>
      <c r="U1136" s="1" t="s">
        <v>48</v>
      </c>
      <c r="V1136" s="1" t="s">
        <v>89</v>
      </c>
      <c r="W1136">
        <v>2.4</v>
      </c>
    </row>
    <row r="1137" spans="1:23" x14ac:dyDescent="0.3">
      <c r="A1137" s="1" t="s">
        <v>2368</v>
      </c>
      <c r="B1137">
        <v>3</v>
      </c>
      <c r="C1137">
        <v>27.99</v>
      </c>
      <c r="D1137">
        <v>67.430000000000007</v>
      </c>
      <c r="E1137" s="1" t="s">
        <v>964</v>
      </c>
      <c r="F1137" s="1" t="s">
        <v>40</v>
      </c>
      <c r="G1137">
        <v>3</v>
      </c>
      <c r="H1137" s="1" t="s">
        <v>58</v>
      </c>
      <c r="I1137" s="1" t="s">
        <v>75</v>
      </c>
      <c r="J1137">
        <v>9</v>
      </c>
      <c r="K1137">
        <v>27.99</v>
      </c>
      <c r="L1137" s="1" t="s">
        <v>28</v>
      </c>
      <c r="M1137" s="1" t="s">
        <v>61</v>
      </c>
      <c r="N1137" s="1" t="s">
        <v>62</v>
      </c>
      <c r="O1137" s="1" t="s">
        <v>31</v>
      </c>
      <c r="P1137" s="2">
        <v>45726</v>
      </c>
      <c r="Q1137" s="1" t="s">
        <v>990</v>
      </c>
      <c r="R1137" s="1" t="s">
        <v>991</v>
      </c>
      <c r="S1137" s="1" t="s">
        <v>54</v>
      </c>
      <c r="T1137" s="1" t="s">
        <v>35</v>
      </c>
      <c r="U1137" s="1" t="s">
        <v>48</v>
      </c>
      <c r="V1137" s="1" t="s">
        <v>37</v>
      </c>
      <c r="W1137">
        <v>2</v>
      </c>
    </row>
    <row r="1138" spans="1:23" x14ac:dyDescent="0.3">
      <c r="A1138" s="1" t="s">
        <v>2369</v>
      </c>
      <c r="B1138">
        <v>3</v>
      </c>
      <c r="C1138">
        <v>18.989999999999998</v>
      </c>
      <c r="D1138">
        <v>44.87</v>
      </c>
      <c r="E1138" s="1" t="s">
        <v>1153</v>
      </c>
      <c r="F1138" s="1" t="s">
        <v>40</v>
      </c>
      <c r="G1138">
        <v>15</v>
      </c>
      <c r="H1138" s="1" t="s">
        <v>96</v>
      </c>
      <c r="I1138" s="1" t="s">
        <v>97</v>
      </c>
      <c r="J1138">
        <v>6</v>
      </c>
      <c r="K1138">
        <v>18.989999999999998</v>
      </c>
      <c r="L1138" s="1" t="s">
        <v>60</v>
      </c>
      <c r="M1138" s="1" t="s">
        <v>43</v>
      </c>
      <c r="N1138" s="1" t="s">
        <v>44</v>
      </c>
      <c r="O1138" s="1" t="s">
        <v>31</v>
      </c>
      <c r="P1138" s="2">
        <v>45823</v>
      </c>
      <c r="Q1138" s="1" t="s">
        <v>2042</v>
      </c>
      <c r="R1138" s="1" t="s">
        <v>2043</v>
      </c>
      <c r="S1138" s="1" t="s">
        <v>65</v>
      </c>
      <c r="T1138" s="1" t="s">
        <v>35</v>
      </c>
      <c r="U1138" s="1" t="s">
        <v>36</v>
      </c>
      <c r="V1138" s="1" t="s">
        <v>100</v>
      </c>
      <c r="W1138">
        <v>3.2</v>
      </c>
    </row>
    <row r="1139" spans="1:23" x14ac:dyDescent="0.3">
      <c r="A1139" s="1" t="s">
        <v>2370</v>
      </c>
      <c r="B1139">
        <v>1</v>
      </c>
      <c r="C1139">
        <v>21.99</v>
      </c>
      <c r="D1139">
        <v>21.99</v>
      </c>
      <c r="E1139" s="1" t="s">
        <v>954</v>
      </c>
      <c r="F1139" s="1" t="s">
        <v>51</v>
      </c>
      <c r="G1139">
        <v>0</v>
      </c>
      <c r="H1139" s="1" t="s">
        <v>26</v>
      </c>
      <c r="I1139" s="1" t="s">
        <v>27</v>
      </c>
      <c r="J1139">
        <v>7</v>
      </c>
      <c r="K1139">
        <v>21.99</v>
      </c>
      <c r="L1139" s="1" t="s">
        <v>28</v>
      </c>
      <c r="M1139" s="1" t="s">
        <v>29</v>
      </c>
      <c r="N1139" s="1" t="s">
        <v>30</v>
      </c>
      <c r="O1139" s="1" t="s">
        <v>31</v>
      </c>
      <c r="P1139" s="2">
        <v>45778</v>
      </c>
      <c r="Q1139" s="1" t="s">
        <v>1417</v>
      </c>
      <c r="R1139" s="1" t="s">
        <v>1418</v>
      </c>
      <c r="S1139" s="1" t="s">
        <v>65</v>
      </c>
      <c r="T1139" s="1" t="s">
        <v>35</v>
      </c>
      <c r="U1139" s="1" t="s">
        <v>55</v>
      </c>
      <c r="V1139" s="1" t="s">
        <v>37</v>
      </c>
      <c r="W1139">
        <v>2</v>
      </c>
    </row>
    <row r="1140" spans="1:23" x14ac:dyDescent="0.3">
      <c r="A1140" s="1" t="s">
        <v>2371</v>
      </c>
      <c r="B1140">
        <v>1</v>
      </c>
      <c r="C1140">
        <v>27.99</v>
      </c>
      <c r="D1140">
        <v>27.99</v>
      </c>
      <c r="E1140" s="1" t="s">
        <v>2372</v>
      </c>
      <c r="F1140" s="1" t="s">
        <v>51</v>
      </c>
      <c r="G1140">
        <v>0</v>
      </c>
      <c r="H1140" s="1" t="s">
        <v>41</v>
      </c>
      <c r="I1140" s="1" t="s">
        <v>75</v>
      </c>
      <c r="J1140">
        <v>9</v>
      </c>
      <c r="K1140">
        <v>27.99</v>
      </c>
      <c r="L1140" s="1" t="s">
        <v>28</v>
      </c>
      <c r="M1140" s="1" t="s">
        <v>61</v>
      </c>
      <c r="N1140" s="1" t="s">
        <v>62</v>
      </c>
      <c r="O1140" s="1" t="s">
        <v>31</v>
      </c>
      <c r="P1140" s="2">
        <v>45726</v>
      </c>
      <c r="Q1140" s="1" t="s">
        <v>748</v>
      </c>
      <c r="R1140" s="1" t="s">
        <v>749</v>
      </c>
      <c r="S1140" s="1" t="s">
        <v>88</v>
      </c>
      <c r="T1140" s="1" t="s">
        <v>35</v>
      </c>
      <c r="U1140" s="1" t="s">
        <v>48</v>
      </c>
      <c r="V1140" s="1" t="s">
        <v>37</v>
      </c>
      <c r="W1140">
        <v>2</v>
      </c>
    </row>
    <row r="1141" spans="1:23" x14ac:dyDescent="0.3">
      <c r="A1141" s="1" t="s">
        <v>2373</v>
      </c>
      <c r="B1141">
        <v>3</v>
      </c>
      <c r="C1141">
        <v>34.99</v>
      </c>
      <c r="D1141">
        <v>84.73</v>
      </c>
      <c r="E1141" s="1" t="s">
        <v>156</v>
      </c>
      <c r="F1141" s="1" t="s">
        <v>40</v>
      </c>
      <c r="G1141">
        <v>7</v>
      </c>
      <c r="H1141" s="1" t="s">
        <v>41</v>
      </c>
      <c r="I1141" s="1" t="s">
        <v>85</v>
      </c>
      <c r="J1141">
        <v>12.5</v>
      </c>
      <c r="K1141">
        <v>34.99</v>
      </c>
      <c r="L1141" s="1" t="s">
        <v>60</v>
      </c>
      <c r="M1141" s="1" t="s">
        <v>29</v>
      </c>
      <c r="N1141" s="1" t="s">
        <v>30</v>
      </c>
      <c r="O1141" s="1" t="s">
        <v>31</v>
      </c>
      <c r="P1141" s="2">
        <v>45778</v>
      </c>
      <c r="Q1141" s="1" t="s">
        <v>294</v>
      </c>
      <c r="R1141" s="1" t="s">
        <v>2374</v>
      </c>
      <c r="S1141" s="1" t="s">
        <v>34</v>
      </c>
      <c r="T1141" s="1" t="s">
        <v>35</v>
      </c>
      <c r="U1141" s="1" t="s">
        <v>36</v>
      </c>
      <c r="V1141" s="1" t="s">
        <v>89</v>
      </c>
      <c r="W1141">
        <v>2.4</v>
      </c>
    </row>
    <row r="1142" spans="1:23" x14ac:dyDescent="0.3">
      <c r="A1142" s="1" t="s">
        <v>2375</v>
      </c>
      <c r="B1142">
        <v>1</v>
      </c>
      <c r="C1142">
        <v>16.989999999999998</v>
      </c>
      <c r="D1142">
        <v>16.989999999999998</v>
      </c>
      <c r="E1142" s="1" t="s">
        <v>113</v>
      </c>
      <c r="F1142" s="1" t="s">
        <v>25</v>
      </c>
      <c r="G1142">
        <v>20</v>
      </c>
      <c r="H1142" s="1" t="s">
        <v>58</v>
      </c>
      <c r="I1142" s="1" t="s">
        <v>59</v>
      </c>
      <c r="J1142">
        <v>5</v>
      </c>
      <c r="K1142">
        <v>16.989999999999998</v>
      </c>
      <c r="L1142" s="1" t="s">
        <v>60</v>
      </c>
      <c r="M1142" s="1" t="s">
        <v>61</v>
      </c>
      <c r="N1142" s="1" t="s">
        <v>62</v>
      </c>
      <c r="O1142" s="1" t="s">
        <v>31</v>
      </c>
      <c r="P1142" s="2">
        <v>45726</v>
      </c>
      <c r="Q1142" s="1" t="s">
        <v>1187</v>
      </c>
      <c r="R1142" s="1" t="s">
        <v>2338</v>
      </c>
      <c r="S1142" s="1" t="s">
        <v>34</v>
      </c>
      <c r="T1142" s="1" t="s">
        <v>35</v>
      </c>
      <c r="U1142" s="1" t="s">
        <v>48</v>
      </c>
      <c r="V1142" s="1" t="s">
        <v>67</v>
      </c>
      <c r="W1142">
        <v>3</v>
      </c>
    </row>
    <row r="1143" spans="1:23" x14ac:dyDescent="0.3">
      <c r="A1143" s="1" t="s">
        <v>2376</v>
      </c>
      <c r="B1143">
        <v>1</v>
      </c>
      <c r="C1143">
        <v>21.99</v>
      </c>
      <c r="D1143">
        <v>21.99</v>
      </c>
      <c r="E1143" s="1" t="s">
        <v>246</v>
      </c>
      <c r="F1143" s="1" t="s">
        <v>70</v>
      </c>
      <c r="G1143">
        <v>0</v>
      </c>
      <c r="H1143" s="1" t="s">
        <v>41</v>
      </c>
      <c r="I1143" s="1" t="s">
        <v>27</v>
      </c>
      <c r="J1143">
        <v>7</v>
      </c>
      <c r="K1143">
        <v>21.99</v>
      </c>
      <c r="L1143" s="1" t="s">
        <v>28</v>
      </c>
      <c r="M1143" s="1" t="s">
        <v>29</v>
      </c>
      <c r="N1143" s="1" t="s">
        <v>30</v>
      </c>
      <c r="O1143" s="1" t="s">
        <v>31</v>
      </c>
      <c r="P1143" s="2">
        <v>45778</v>
      </c>
      <c r="Q1143" s="1" t="s">
        <v>1545</v>
      </c>
      <c r="R1143" s="1" t="s">
        <v>1546</v>
      </c>
      <c r="S1143" s="1" t="s">
        <v>105</v>
      </c>
      <c r="T1143" s="1" t="s">
        <v>35</v>
      </c>
      <c r="U1143" s="1" t="s">
        <v>48</v>
      </c>
      <c r="V1143" s="1" t="s">
        <v>37</v>
      </c>
      <c r="W1143">
        <v>2</v>
      </c>
    </row>
    <row r="1144" spans="1:23" x14ac:dyDescent="0.3">
      <c r="A1144" s="1" t="s">
        <v>2377</v>
      </c>
      <c r="B1144">
        <v>1</v>
      </c>
      <c r="C1144">
        <v>16.989999999999998</v>
      </c>
      <c r="D1144">
        <v>16.989999999999998</v>
      </c>
      <c r="E1144" s="1" t="s">
        <v>2274</v>
      </c>
      <c r="F1144" s="1" t="s">
        <v>51</v>
      </c>
      <c r="G1144">
        <v>0</v>
      </c>
      <c r="H1144" s="1" t="s">
        <v>41</v>
      </c>
      <c r="I1144" s="1" t="s">
        <v>59</v>
      </c>
      <c r="J1144">
        <v>5</v>
      </c>
      <c r="K1144">
        <v>16.989999999999998</v>
      </c>
      <c r="L1144" s="1" t="s">
        <v>60</v>
      </c>
      <c r="M1144" s="1" t="s">
        <v>61</v>
      </c>
      <c r="N1144" s="1" t="s">
        <v>62</v>
      </c>
      <c r="O1144" s="1" t="s">
        <v>31</v>
      </c>
      <c r="P1144" s="2">
        <v>45726</v>
      </c>
      <c r="Q1144" s="1" t="s">
        <v>219</v>
      </c>
      <c r="R1144" s="1" t="s">
        <v>2236</v>
      </c>
      <c r="S1144" s="1" t="s">
        <v>34</v>
      </c>
      <c r="T1144" s="1" t="s">
        <v>35</v>
      </c>
      <c r="U1144" s="1" t="s">
        <v>55</v>
      </c>
      <c r="V1144" s="1" t="s">
        <v>67</v>
      </c>
      <c r="W1144">
        <v>3</v>
      </c>
    </row>
    <row r="1145" spans="1:23" x14ac:dyDescent="0.3">
      <c r="A1145" s="1" t="s">
        <v>2378</v>
      </c>
      <c r="B1145">
        <v>2</v>
      </c>
      <c r="C1145">
        <v>30.99</v>
      </c>
      <c r="D1145">
        <v>53.81</v>
      </c>
      <c r="E1145" s="1" t="s">
        <v>1268</v>
      </c>
      <c r="F1145" s="1" t="s">
        <v>40</v>
      </c>
      <c r="G1145">
        <v>2</v>
      </c>
      <c r="H1145" s="1" t="s">
        <v>26</v>
      </c>
      <c r="I1145" s="1" t="s">
        <v>42</v>
      </c>
      <c r="J1145">
        <v>10.5</v>
      </c>
      <c r="K1145">
        <v>30.99</v>
      </c>
      <c r="L1145" s="1" t="s">
        <v>28</v>
      </c>
      <c r="M1145" s="1" t="s">
        <v>43</v>
      </c>
      <c r="N1145" s="1" t="s">
        <v>44</v>
      </c>
      <c r="O1145" s="1" t="s">
        <v>31</v>
      </c>
      <c r="P1145" s="2">
        <v>45823</v>
      </c>
      <c r="Q1145" s="1" t="s">
        <v>1032</v>
      </c>
      <c r="R1145" s="1" t="s">
        <v>2112</v>
      </c>
      <c r="S1145" s="1" t="s">
        <v>105</v>
      </c>
      <c r="T1145" s="1" t="s">
        <v>35</v>
      </c>
      <c r="U1145" s="1" t="s">
        <v>82</v>
      </c>
      <c r="V1145" s="1" t="s">
        <v>37</v>
      </c>
      <c r="W1145">
        <v>2</v>
      </c>
    </row>
    <row r="1146" spans="1:23" x14ac:dyDescent="0.3">
      <c r="A1146" s="1" t="s">
        <v>2379</v>
      </c>
      <c r="B1146">
        <v>1</v>
      </c>
      <c r="C1146">
        <v>21.99</v>
      </c>
      <c r="D1146">
        <v>21.99</v>
      </c>
      <c r="E1146" s="1" t="s">
        <v>2380</v>
      </c>
      <c r="F1146" s="1" t="s">
        <v>40</v>
      </c>
      <c r="G1146">
        <v>8</v>
      </c>
      <c r="H1146" s="1" t="s">
        <v>26</v>
      </c>
      <c r="I1146" s="1" t="s">
        <v>27</v>
      </c>
      <c r="J1146">
        <v>7</v>
      </c>
      <c r="K1146">
        <v>21.99</v>
      </c>
      <c r="L1146" s="1" t="s">
        <v>28</v>
      </c>
      <c r="M1146" s="1" t="s">
        <v>29</v>
      </c>
      <c r="N1146" s="1" t="s">
        <v>30</v>
      </c>
      <c r="O1146" s="1" t="s">
        <v>31</v>
      </c>
      <c r="P1146" s="2">
        <v>45778</v>
      </c>
      <c r="Q1146" s="1" t="s">
        <v>960</v>
      </c>
      <c r="R1146" s="1" t="s">
        <v>961</v>
      </c>
      <c r="S1146" s="1" t="s">
        <v>47</v>
      </c>
      <c r="T1146" s="1" t="s">
        <v>35</v>
      </c>
      <c r="U1146" s="1" t="s">
        <v>48</v>
      </c>
      <c r="V1146" s="1" t="s">
        <v>37</v>
      </c>
      <c r="W1146">
        <v>2</v>
      </c>
    </row>
    <row r="1147" spans="1:23" x14ac:dyDescent="0.3">
      <c r="A1147" s="1" t="s">
        <v>2381</v>
      </c>
      <c r="B1147">
        <v>1</v>
      </c>
      <c r="C1147">
        <v>34.99</v>
      </c>
      <c r="D1147">
        <v>34.99</v>
      </c>
      <c r="E1147" s="1" t="s">
        <v>536</v>
      </c>
      <c r="F1147" s="1" t="s">
        <v>40</v>
      </c>
      <c r="G1147">
        <v>11</v>
      </c>
      <c r="H1147" s="1" t="s">
        <v>41</v>
      </c>
      <c r="I1147" s="1" t="s">
        <v>85</v>
      </c>
      <c r="J1147">
        <v>12.5</v>
      </c>
      <c r="K1147">
        <v>34.99</v>
      </c>
      <c r="L1147" s="1" t="s">
        <v>60</v>
      </c>
      <c r="M1147" s="1" t="s">
        <v>29</v>
      </c>
      <c r="N1147" s="1" t="s">
        <v>30</v>
      </c>
      <c r="O1147" s="1" t="s">
        <v>31</v>
      </c>
      <c r="P1147" s="2">
        <v>45778</v>
      </c>
      <c r="Q1147" s="1" t="s">
        <v>2015</v>
      </c>
      <c r="R1147" s="1" t="s">
        <v>2016</v>
      </c>
      <c r="S1147" s="1" t="s">
        <v>65</v>
      </c>
      <c r="T1147" s="1" t="s">
        <v>35</v>
      </c>
      <c r="U1147" s="1" t="s">
        <v>48</v>
      </c>
      <c r="V1147" s="1" t="s">
        <v>89</v>
      </c>
      <c r="W1147">
        <v>2.4</v>
      </c>
    </row>
    <row r="1148" spans="1:23" x14ac:dyDescent="0.3">
      <c r="A1148" s="1" t="s">
        <v>2382</v>
      </c>
      <c r="B1148">
        <v>1</v>
      </c>
      <c r="C1148">
        <v>16.989999999999998</v>
      </c>
      <c r="D1148">
        <v>16.989999999999998</v>
      </c>
      <c r="E1148" s="1" t="s">
        <v>796</v>
      </c>
      <c r="F1148" s="1" t="s">
        <v>40</v>
      </c>
      <c r="G1148">
        <v>15</v>
      </c>
      <c r="H1148" s="1" t="s">
        <v>41</v>
      </c>
      <c r="I1148" s="1" t="s">
        <v>59</v>
      </c>
      <c r="J1148">
        <v>5</v>
      </c>
      <c r="K1148">
        <v>16.989999999999998</v>
      </c>
      <c r="L1148" s="1" t="s">
        <v>60</v>
      </c>
      <c r="M1148" s="1" t="s">
        <v>61</v>
      </c>
      <c r="N1148" s="1" t="s">
        <v>62</v>
      </c>
      <c r="O1148" s="1" t="s">
        <v>31</v>
      </c>
      <c r="P1148" s="2">
        <v>45726</v>
      </c>
      <c r="Q1148" s="1" t="s">
        <v>1253</v>
      </c>
      <c r="R1148" s="1" t="s">
        <v>1875</v>
      </c>
      <c r="S1148" s="1" t="s">
        <v>105</v>
      </c>
      <c r="T1148" s="1" t="s">
        <v>35</v>
      </c>
      <c r="U1148" s="1" t="s">
        <v>66</v>
      </c>
      <c r="V1148" s="1" t="s">
        <v>67</v>
      </c>
      <c r="W1148">
        <v>3</v>
      </c>
    </row>
    <row r="1149" spans="1:23" x14ac:dyDescent="0.3">
      <c r="A1149" s="1" t="s">
        <v>2383</v>
      </c>
      <c r="B1149">
        <v>1</v>
      </c>
      <c r="C1149">
        <v>34.99</v>
      </c>
      <c r="D1149">
        <v>34.99</v>
      </c>
      <c r="E1149" s="1" t="s">
        <v>393</v>
      </c>
      <c r="F1149" s="1" t="s">
        <v>25</v>
      </c>
      <c r="G1149">
        <v>7</v>
      </c>
      <c r="H1149" s="1" t="s">
        <v>26</v>
      </c>
      <c r="I1149" s="1" t="s">
        <v>85</v>
      </c>
      <c r="J1149">
        <v>12.5</v>
      </c>
      <c r="K1149">
        <v>34.99</v>
      </c>
      <c r="L1149" s="1" t="s">
        <v>60</v>
      </c>
      <c r="M1149" s="1" t="s">
        <v>29</v>
      </c>
      <c r="N1149" s="1" t="s">
        <v>30</v>
      </c>
      <c r="O1149" s="1" t="s">
        <v>31</v>
      </c>
      <c r="P1149" s="2">
        <v>45778</v>
      </c>
      <c r="Q1149" s="1" t="s">
        <v>689</v>
      </c>
      <c r="R1149" s="1" t="s">
        <v>766</v>
      </c>
      <c r="S1149" s="1" t="s">
        <v>105</v>
      </c>
      <c r="T1149" s="1" t="s">
        <v>35</v>
      </c>
      <c r="U1149" s="1" t="s">
        <v>48</v>
      </c>
      <c r="V1149" s="1" t="s">
        <v>89</v>
      </c>
      <c r="W1149">
        <v>2.4</v>
      </c>
    </row>
    <row r="1150" spans="1:23" x14ac:dyDescent="0.3">
      <c r="A1150" s="1" t="s">
        <v>2384</v>
      </c>
      <c r="B1150">
        <v>1</v>
      </c>
      <c r="C1150">
        <v>16.989999999999998</v>
      </c>
      <c r="D1150">
        <v>16.989999999999998</v>
      </c>
      <c r="E1150" s="1" t="s">
        <v>1281</v>
      </c>
      <c r="F1150" s="1" t="s">
        <v>40</v>
      </c>
      <c r="G1150">
        <v>20</v>
      </c>
      <c r="H1150" s="1" t="s">
        <v>96</v>
      </c>
      <c r="I1150" s="1" t="s">
        <v>59</v>
      </c>
      <c r="J1150">
        <v>5</v>
      </c>
      <c r="K1150">
        <v>16.989999999999998</v>
      </c>
      <c r="L1150" s="1" t="s">
        <v>60</v>
      </c>
      <c r="M1150" s="1" t="s">
        <v>61</v>
      </c>
      <c r="N1150" s="1" t="s">
        <v>62</v>
      </c>
      <c r="O1150" s="1" t="s">
        <v>31</v>
      </c>
      <c r="P1150" s="2">
        <v>45726</v>
      </c>
      <c r="Q1150" s="1" t="s">
        <v>1349</v>
      </c>
      <c r="R1150" s="1" t="s">
        <v>1432</v>
      </c>
      <c r="S1150" s="1" t="s">
        <v>47</v>
      </c>
      <c r="T1150" s="1" t="s">
        <v>35</v>
      </c>
      <c r="U1150" s="1" t="s">
        <v>36</v>
      </c>
      <c r="V1150" s="1" t="s">
        <v>67</v>
      </c>
      <c r="W1150">
        <v>3</v>
      </c>
    </row>
    <row r="1151" spans="1:23" x14ac:dyDescent="0.3">
      <c r="A1151" s="1" t="s">
        <v>2385</v>
      </c>
      <c r="B1151">
        <v>1</v>
      </c>
      <c r="C1151">
        <v>21.99</v>
      </c>
      <c r="D1151">
        <v>21.99</v>
      </c>
      <c r="E1151" s="1" t="s">
        <v>2162</v>
      </c>
      <c r="F1151" s="1" t="s">
        <v>40</v>
      </c>
      <c r="G1151">
        <v>3</v>
      </c>
      <c r="H1151" s="1" t="s">
        <v>41</v>
      </c>
      <c r="I1151" s="1" t="s">
        <v>27</v>
      </c>
      <c r="J1151">
        <v>7</v>
      </c>
      <c r="K1151">
        <v>21.99</v>
      </c>
      <c r="L1151" s="1" t="s">
        <v>28</v>
      </c>
      <c r="M1151" s="1" t="s">
        <v>29</v>
      </c>
      <c r="N1151" s="1" t="s">
        <v>30</v>
      </c>
      <c r="O1151" s="1" t="s">
        <v>31</v>
      </c>
      <c r="P1151" s="2">
        <v>45778</v>
      </c>
      <c r="Q1151" s="1" t="s">
        <v>1116</v>
      </c>
      <c r="R1151" s="1" t="s">
        <v>2386</v>
      </c>
      <c r="S1151" s="1" t="s">
        <v>65</v>
      </c>
      <c r="T1151" s="1" t="s">
        <v>35</v>
      </c>
      <c r="U1151" s="1" t="s">
        <v>55</v>
      </c>
      <c r="V1151" s="1" t="s">
        <v>37</v>
      </c>
      <c r="W1151">
        <v>2</v>
      </c>
    </row>
    <row r="1152" spans="1:23" x14ac:dyDescent="0.3">
      <c r="A1152" s="1" t="s">
        <v>2387</v>
      </c>
      <c r="B1152">
        <v>1</v>
      </c>
      <c r="C1152">
        <v>30.99</v>
      </c>
      <c r="D1152">
        <v>30.99</v>
      </c>
      <c r="E1152" s="1" t="s">
        <v>1281</v>
      </c>
      <c r="F1152" s="1" t="s">
        <v>40</v>
      </c>
      <c r="G1152">
        <v>3</v>
      </c>
      <c r="H1152" s="1" t="s">
        <v>41</v>
      </c>
      <c r="I1152" s="1" t="s">
        <v>42</v>
      </c>
      <c r="J1152">
        <v>10.5</v>
      </c>
      <c r="K1152">
        <v>30.99</v>
      </c>
      <c r="L1152" s="1" t="s">
        <v>28</v>
      </c>
      <c r="M1152" s="1" t="s">
        <v>43</v>
      </c>
      <c r="N1152" s="1" t="s">
        <v>44</v>
      </c>
      <c r="O1152" s="1" t="s">
        <v>31</v>
      </c>
      <c r="P1152" s="2">
        <v>45823</v>
      </c>
      <c r="Q1152" s="1" t="s">
        <v>972</v>
      </c>
      <c r="R1152" s="1" t="s">
        <v>1692</v>
      </c>
      <c r="S1152" s="1" t="s">
        <v>105</v>
      </c>
      <c r="T1152" s="1" t="s">
        <v>35</v>
      </c>
      <c r="U1152" s="1" t="s">
        <v>48</v>
      </c>
      <c r="V1152" s="1" t="s">
        <v>37</v>
      </c>
      <c r="W1152">
        <v>2</v>
      </c>
    </row>
    <row r="1153" spans="1:23" x14ac:dyDescent="0.3">
      <c r="A1153" s="1" t="s">
        <v>2388</v>
      </c>
      <c r="B1153">
        <v>1</v>
      </c>
      <c r="C1153">
        <v>30.99</v>
      </c>
      <c r="D1153">
        <v>30.99</v>
      </c>
      <c r="E1153" s="1" t="s">
        <v>1180</v>
      </c>
      <c r="F1153" s="1" t="s">
        <v>25</v>
      </c>
      <c r="G1153">
        <v>3</v>
      </c>
      <c r="H1153" s="1" t="s">
        <v>41</v>
      </c>
      <c r="I1153" s="1" t="s">
        <v>42</v>
      </c>
      <c r="J1153">
        <v>10.5</v>
      </c>
      <c r="K1153">
        <v>30.99</v>
      </c>
      <c r="L1153" s="1" t="s">
        <v>28</v>
      </c>
      <c r="M1153" s="1" t="s">
        <v>43</v>
      </c>
      <c r="N1153" s="1" t="s">
        <v>44</v>
      </c>
      <c r="O1153" s="1" t="s">
        <v>31</v>
      </c>
      <c r="P1153" s="2">
        <v>45823</v>
      </c>
      <c r="Q1153" s="1" t="s">
        <v>1336</v>
      </c>
      <c r="R1153" s="1" t="s">
        <v>1337</v>
      </c>
      <c r="S1153" s="1" t="s">
        <v>105</v>
      </c>
      <c r="T1153" s="1" t="s">
        <v>35</v>
      </c>
      <c r="U1153" s="1" t="s">
        <v>55</v>
      </c>
      <c r="V1153" s="1" t="s">
        <v>37</v>
      </c>
      <c r="W1153">
        <v>2</v>
      </c>
    </row>
    <row r="1154" spans="1:23" x14ac:dyDescent="0.3">
      <c r="A1154" s="1" t="s">
        <v>2389</v>
      </c>
      <c r="B1154">
        <v>1</v>
      </c>
      <c r="C1154">
        <v>30.99</v>
      </c>
      <c r="D1154">
        <v>30.99</v>
      </c>
      <c r="E1154" s="1" t="s">
        <v>327</v>
      </c>
      <c r="F1154" s="1" t="s">
        <v>40</v>
      </c>
      <c r="G1154">
        <v>3</v>
      </c>
      <c r="H1154" s="1" t="s">
        <v>41</v>
      </c>
      <c r="I1154" s="1" t="s">
        <v>42</v>
      </c>
      <c r="J1154">
        <v>10.5</v>
      </c>
      <c r="K1154">
        <v>30.99</v>
      </c>
      <c r="L1154" s="1" t="s">
        <v>28</v>
      </c>
      <c r="M1154" s="1" t="s">
        <v>43</v>
      </c>
      <c r="N1154" s="1" t="s">
        <v>44</v>
      </c>
      <c r="O1154" s="1" t="s">
        <v>31</v>
      </c>
      <c r="P1154" s="2">
        <v>45823</v>
      </c>
      <c r="Q1154" s="1" t="s">
        <v>741</v>
      </c>
      <c r="R1154" s="1" t="s">
        <v>1680</v>
      </c>
      <c r="S1154" s="1" t="s">
        <v>65</v>
      </c>
      <c r="T1154" s="1" t="s">
        <v>35</v>
      </c>
      <c r="U1154" s="1" t="s">
        <v>66</v>
      </c>
      <c r="V1154" s="1" t="s">
        <v>37</v>
      </c>
      <c r="W1154">
        <v>2</v>
      </c>
    </row>
    <row r="1155" spans="1:23" x14ac:dyDescent="0.3">
      <c r="A1155" s="1" t="s">
        <v>2390</v>
      </c>
      <c r="B1155">
        <v>2</v>
      </c>
      <c r="C1155">
        <v>16.989999999999998</v>
      </c>
      <c r="D1155">
        <v>29.54</v>
      </c>
      <c r="E1155" s="1" t="s">
        <v>2391</v>
      </c>
      <c r="F1155" s="1" t="s">
        <v>40</v>
      </c>
      <c r="G1155">
        <v>20</v>
      </c>
      <c r="H1155" s="1" t="s">
        <v>41</v>
      </c>
      <c r="I1155" s="1" t="s">
        <v>59</v>
      </c>
      <c r="J1155">
        <v>5</v>
      </c>
      <c r="K1155">
        <v>16.989999999999998</v>
      </c>
      <c r="L1155" s="1" t="s">
        <v>60</v>
      </c>
      <c r="M1155" s="1" t="s">
        <v>61</v>
      </c>
      <c r="N1155" s="1" t="s">
        <v>62</v>
      </c>
      <c r="O1155" s="1" t="s">
        <v>31</v>
      </c>
      <c r="P1155" s="2">
        <v>45726</v>
      </c>
      <c r="Q1155" s="1" t="s">
        <v>990</v>
      </c>
      <c r="R1155" s="1" t="s">
        <v>1087</v>
      </c>
      <c r="S1155" s="1" t="s">
        <v>105</v>
      </c>
      <c r="T1155" s="1" t="s">
        <v>35</v>
      </c>
      <c r="U1155" s="1" t="s">
        <v>48</v>
      </c>
      <c r="V1155" s="1" t="s">
        <v>67</v>
      </c>
      <c r="W1155">
        <v>3</v>
      </c>
    </row>
    <row r="1156" spans="1:23" x14ac:dyDescent="0.3">
      <c r="A1156" s="1" t="s">
        <v>2392</v>
      </c>
      <c r="B1156">
        <v>3</v>
      </c>
      <c r="C1156">
        <v>34.99</v>
      </c>
      <c r="D1156">
        <v>84.02</v>
      </c>
      <c r="E1156" s="1" t="s">
        <v>744</v>
      </c>
      <c r="F1156" s="1" t="s">
        <v>40</v>
      </c>
      <c r="G1156">
        <v>7</v>
      </c>
      <c r="H1156" s="1" t="s">
        <v>96</v>
      </c>
      <c r="I1156" s="1" t="s">
        <v>85</v>
      </c>
      <c r="J1156">
        <v>12.5</v>
      </c>
      <c r="K1156">
        <v>34.99</v>
      </c>
      <c r="L1156" s="1" t="s">
        <v>60</v>
      </c>
      <c r="M1156" s="1" t="s">
        <v>29</v>
      </c>
      <c r="N1156" s="1" t="s">
        <v>30</v>
      </c>
      <c r="O1156" s="1" t="s">
        <v>31</v>
      </c>
      <c r="P1156" s="2">
        <v>45778</v>
      </c>
      <c r="Q1156" s="1" t="s">
        <v>1349</v>
      </c>
      <c r="R1156" s="1" t="s">
        <v>1350</v>
      </c>
      <c r="S1156" s="1" t="s">
        <v>47</v>
      </c>
      <c r="T1156" s="1" t="s">
        <v>35</v>
      </c>
      <c r="U1156" s="1" t="s">
        <v>48</v>
      </c>
      <c r="V1156" s="1" t="s">
        <v>89</v>
      </c>
      <c r="W1156">
        <v>2.4</v>
      </c>
    </row>
    <row r="1157" spans="1:23" x14ac:dyDescent="0.3">
      <c r="A1157" s="1" t="s">
        <v>2393</v>
      </c>
      <c r="B1157">
        <v>1</v>
      </c>
      <c r="C1157">
        <v>30.99</v>
      </c>
      <c r="D1157">
        <v>30.99</v>
      </c>
      <c r="E1157" s="1" t="s">
        <v>1047</v>
      </c>
      <c r="F1157" s="1" t="s">
        <v>40</v>
      </c>
      <c r="G1157">
        <v>2</v>
      </c>
      <c r="H1157" s="1" t="s">
        <v>26</v>
      </c>
      <c r="I1157" s="1" t="s">
        <v>42</v>
      </c>
      <c r="J1157">
        <v>10.5</v>
      </c>
      <c r="K1157">
        <v>30.99</v>
      </c>
      <c r="L1157" s="1" t="s">
        <v>28</v>
      </c>
      <c r="M1157" s="1" t="s">
        <v>43</v>
      </c>
      <c r="N1157" s="1" t="s">
        <v>44</v>
      </c>
      <c r="O1157" s="1" t="s">
        <v>31</v>
      </c>
      <c r="P1157" s="2">
        <v>45823</v>
      </c>
      <c r="Q1157" s="1" t="s">
        <v>1955</v>
      </c>
      <c r="R1157" s="1" t="s">
        <v>2394</v>
      </c>
      <c r="S1157" s="1" t="s">
        <v>105</v>
      </c>
      <c r="T1157" s="1" t="s">
        <v>35</v>
      </c>
      <c r="U1157" s="1" t="s">
        <v>82</v>
      </c>
      <c r="V1157" s="1" t="s">
        <v>37</v>
      </c>
      <c r="W1157">
        <v>2</v>
      </c>
    </row>
    <row r="1158" spans="1:23" x14ac:dyDescent="0.3">
      <c r="A1158" s="1" t="s">
        <v>2395</v>
      </c>
      <c r="B1158">
        <v>1</v>
      </c>
      <c r="C1158">
        <v>27.99</v>
      </c>
      <c r="D1158">
        <v>27.99</v>
      </c>
      <c r="E1158" s="1" t="s">
        <v>2054</v>
      </c>
      <c r="F1158" s="1" t="s">
        <v>40</v>
      </c>
      <c r="G1158">
        <v>2</v>
      </c>
      <c r="H1158" s="1" t="s">
        <v>58</v>
      </c>
      <c r="I1158" s="1" t="s">
        <v>75</v>
      </c>
      <c r="J1158">
        <v>9</v>
      </c>
      <c r="K1158">
        <v>27.99</v>
      </c>
      <c r="L1158" s="1" t="s">
        <v>28</v>
      </c>
      <c r="M1158" s="1" t="s">
        <v>61</v>
      </c>
      <c r="N1158" s="1" t="s">
        <v>62</v>
      </c>
      <c r="O1158" s="1" t="s">
        <v>31</v>
      </c>
      <c r="P1158" s="2">
        <v>45726</v>
      </c>
      <c r="Q1158" s="1" t="s">
        <v>1260</v>
      </c>
      <c r="R1158" s="1" t="s">
        <v>1261</v>
      </c>
      <c r="S1158" s="1" t="s">
        <v>105</v>
      </c>
      <c r="T1158" s="1" t="s">
        <v>35</v>
      </c>
      <c r="U1158" s="1" t="s">
        <v>82</v>
      </c>
      <c r="V1158" s="1" t="s">
        <v>37</v>
      </c>
      <c r="W1158">
        <v>2</v>
      </c>
    </row>
    <row r="1159" spans="1:23" x14ac:dyDescent="0.3">
      <c r="A1159" s="1" t="s">
        <v>2396</v>
      </c>
      <c r="B1159">
        <v>1</v>
      </c>
      <c r="C1159">
        <v>34.99</v>
      </c>
      <c r="D1159">
        <v>34.99</v>
      </c>
      <c r="E1159" s="1" t="s">
        <v>813</v>
      </c>
      <c r="F1159" s="1" t="s">
        <v>40</v>
      </c>
      <c r="G1159">
        <v>7</v>
      </c>
      <c r="H1159" s="1" t="s">
        <v>58</v>
      </c>
      <c r="I1159" s="1" t="s">
        <v>85</v>
      </c>
      <c r="J1159">
        <v>12.5</v>
      </c>
      <c r="K1159">
        <v>34.99</v>
      </c>
      <c r="L1159" s="1" t="s">
        <v>60</v>
      </c>
      <c r="M1159" s="1" t="s">
        <v>29</v>
      </c>
      <c r="N1159" s="1" t="s">
        <v>30</v>
      </c>
      <c r="O1159" s="1" t="s">
        <v>31</v>
      </c>
      <c r="P1159" s="2">
        <v>45778</v>
      </c>
      <c r="Q1159" s="1" t="s">
        <v>118</v>
      </c>
      <c r="R1159" s="1" t="s">
        <v>1959</v>
      </c>
      <c r="S1159" s="1" t="s">
        <v>65</v>
      </c>
      <c r="T1159" s="1" t="s">
        <v>35</v>
      </c>
      <c r="U1159" s="1" t="s">
        <v>36</v>
      </c>
      <c r="V1159" s="1" t="s">
        <v>89</v>
      </c>
      <c r="W1159">
        <v>2.4</v>
      </c>
    </row>
    <row r="1160" spans="1:23" x14ac:dyDescent="0.3">
      <c r="A1160" s="1" t="s">
        <v>2397</v>
      </c>
      <c r="B1160">
        <v>1</v>
      </c>
      <c r="C1160">
        <v>30.99</v>
      </c>
      <c r="D1160">
        <v>30.99</v>
      </c>
      <c r="E1160" s="1" t="s">
        <v>1068</v>
      </c>
      <c r="F1160" s="1" t="s">
        <v>70</v>
      </c>
      <c r="G1160">
        <v>0</v>
      </c>
      <c r="H1160" s="1" t="s">
        <v>96</v>
      </c>
      <c r="I1160" s="1" t="s">
        <v>42</v>
      </c>
      <c r="J1160">
        <v>10.5</v>
      </c>
      <c r="K1160">
        <v>30.99</v>
      </c>
      <c r="L1160" s="1" t="s">
        <v>28</v>
      </c>
      <c r="M1160" s="1" t="s">
        <v>43</v>
      </c>
      <c r="N1160" s="1" t="s">
        <v>44</v>
      </c>
      <c r="O1160" s="1" t="s">
        <v>31</v>
      </c>
      <c r="P1160" s="2">
        <v>45823</v>
      </c>
      <c r="Q1160" s="1" t="s">
        <v>2398</v>
      </c>
      <c r="R1160" s="1" t="s">
        <v>2399</v>
      </c>
      <c r="S1160" s="1" t="s">
        <v>47</v>
      </c>
      <c r="T1160" s="1" t="s">
        <v>35</v>
      </c>
      <c r="U1160" s="1" t="s">
        <v>82</v>
      </c>
      <c r="V1160" s="1" t="s">
        <v>37</v>
      </c>
      <c r="W1160">
        <v>2</v>
      </c>
    </row>
    <row r="1161" spans="1:23" x14ac:dyDescent="0.3">
      <c r="A1161" s="1" t="s">
        <v>2400</v>
      </c>
      <c r="B1161">
        <v>3</v>
      </c>
      <c r="C1161">
        <v>16.989999999999998</v>
      </c>
      <c r="D1161">
        <v>40.85</v>
      </c>
      <c r="E1161" s="1" t="s">
        <v>447</v>
      </c>
      <c r="F1161" s="1" t="s">
        <v>40</v>
      </c>
      <c r="G1161">
        <v>18</v>
      </c>
      <c r="H1161" s="1" t="s">
        <v>41</v>
      </c>
      <c r="I1161" s="1" t="s">
        <v>59</v>
      </c>
      <c r="J1161">
        <v>5</v>
      </c>
      <c r="K1161">
        <v>16.989999999999998</v>
      </c>
      <c r="L1161" s="1" t="s">
        <v>60</v>
      </c>
      <c r="M1161" s="1" t="s">
        <v>61</v>
      </c>
      <c r="N1161" s="1" t="s">
        <v>62</v>
      </c>
      <c r="O1161" s="1" t="s">
        <v>31</v>
      </c>
      <c r="P1161" s="2">
        <v>45726</v>
      </c>
      <c r="Q1161" s="1" t="s">
        <v>1613</v>
      </c>
      <c r="R1161" s="1" t="s">
        <v>1614</v>
      </c>
      <c r="S1161" s="1" t="s">
        <v>34</v>
      </c>
      <c r="T1161" s="1" t="s">
        <v>35</v>
      </c>
      <c r="U1161" s="1" t="s">
        <v>55</v>
      </c>
      <c r="V1161" s="1" t="s">
        <v>67</v>
      </c>
      <c r="W1161">
        <v>3</v>
      </c>
    </row>
    <row r="1162" spans="1:23" x14ac:dyDescent="0.3">
      <c r="A1162" s="1" t="s">
        <v>2401</v>
      </c>
      <c r="B1162">
        <v>3</v>
      </c>
      <c r="C1162">
        <v>34.99</v>
      </c>
      <c r="D1162">
        <v>83.39</v>
      </c>
      <c r="E1162" s="1" t="s">
        <v>2348</v>
      </c>
      <c r="F1162" s="1" t="s">
        <v>40</v>
      </c>
      <c r="G1162">
        <v>6</v>
      </c>
      <c r="H1162" s="1" t="s">
        <v>41</v>
      </c>
      <c r="I1162" s="1" t="s">
        <v>85</v>
      </c>
      <c r="J1162">
        <v>12.5</v>
      </c>
      <c r="K1162">
        <v>34.99</v>
      </c>
      <c r="L1162" s="1" t="s">
        <v>60</v>
      </c>
      <c r="M1162" s="1" t="s">
        <v>29</v>
      </c>
      <c r="N1162" s="1" t="s">
        <v>30</v>
      </c>
      <c r="O1162" s="1" t="s">
        <v>31</v>
      </c>
      <c r="P1162" s="2">
        <v>45778</v>
      </c>
      <c r="Q1162" s="1" t="s">
        <v>1414</v>
      </c>
      <c r="R1162" s="1" t="s">
        <v>2402</v>
      </c>
      <c r="S1162" s="1" t="s">
        <v>34</v>
      </c>
      <c r="T1162" s="1" t="s">
        <v>35</v>
      </c>
      <c r="U1162" s="1" t="s">
        <v>55</v>
      </c>
      <c r="V1162" s="1" t="s">
        <v>89</v>
      </c>
      <c r="W1162">
        <v>2.4</v>
      </c>
    </row>
    <row r="1163" spans="1:23" x14ac:dyDescent="0.3">
      <c r="A1163" s="1" t="s">
        <v>2403</v>
      </c>
      <c r="B1163">
        <v>1</v>
      </c>
      <c r="C1163">
        <v>18.989999999999998</v>
      </c>
      <c r="D1163">
        <v>18.989999999999998</v>
      </c>
      <c r="E1163" s="1" t="s">
        <v>2404</v>
      </c>
      <c r="F1163" s="1" t="s">
        <v>70</v>
      </c>
      <c r="G1163">
        <v>0</v>
      </c>
      <c r="H1163" s="1" t="s">
        <v>41</v>
      </c>
      <c r="I1163" s="1" t="s">
        <v>97</v>
      </c>
      <c r="J1163">
        <v>6</v>
      </c>
      <c r="K1163">
        <v>18.989999999999998</v>
      </c>
      <c r="L1163" s="1" t="s">
        <v>60</v>
      </c>
      <c r="M1163" s="1" t="s">
        <v>43</v>
      </c>
      <c r="N1163" s="1" t="s">
        <v>44</v>
      </c>
      <c r="O1163" s="1" t="s">
        <v>31</v>
      </c>
      <c r="P1163" s="2">
        <v>45823</v>
      </c>
      <c r="Q1163" s="1" t="s">
        <v>720</v>
      </c>
      <c r="R1163" s="1" t="s">
        <v>721</v>
      </c>
      <c r="S1163" s="1" t="s">
        <v>54</v>
      </c>
      <c r="T1163" s="1" t="s">
        <v>35</v>
      </c>
      <c r="U1163" s="1" t="s">
        <v>82</v>
      </c>
      <c r="V1163" s="1" t="s">
        <v>100</v>
      </c>
      <c r="W1163">
        <v>3.2</v>
      </c>
    </row>
    <row r="1164" spans="1:23" x14ac:dyDescent="0.3">
      <c r="A1164" s="1" t="s">
        <v>2405</v>
      </c>
      <c r="B1164">
        <v>3</v>
      </c>
      <c r="C1164">
        <v>30.99</v>
      </c>
      <c r="D1164">
        <v>74.290000000000006</v>
      </c>
      <c r="E1164" s="1" t="s">
        <v>1895</v>
      </c>
      <c r="F1164" s="1" t="s">
        <v>188</v>
      </c>
      <c r="G1164">
        <v>0</v>
      </c>
      <c r="H1164" s="1" t="s">
        <v>26</v>
      </c>
      <c r="I1164" s="1" t="s">
        <v>42</v>
      </c>
      <c r="J1164">
        <v>10.5</v>
      </c>
      <c r="K1164">
        <v>30.99</v>
      </c>
      <c r="L1164" s="1" t="s">
        <v>28</v>
      </c>
      <c r="M1164" s="1" t="s">
        <v>43</v>
      </c>
      <c r="N1164" s="1" t="s">
        <v>44</v>
      </c>
      <c r="O1164" s="1" t="s">
        <v>31</v>
      </c>
      <c r="P1164" s="2">
        <v>45823</v>
      </c>
      <c r="Q1164" s="1" t="s">
        <v>118</v>
      </c>
      <c r="R1164" s="1" t="s">
        <v>2406</v>
      </c>
      <c r="S1164" s="1" t="s">
        <v>105</v>
      </c>
      <c r="T1164" s="1" t="s">
        <v>35</v>
      </c>
      <c r="U1164" s="1" t="s">
        <v>48</v>
      </c>
      <c r="V1164" s="1" t="s">
        <v>37</v>
      </c>
      <c r="W1164">
        <v>2</v>
      </c>
    </row>
    <row r="1165" spans="1:23" x14ac:dyDescent="0.3">
      <c r="A1165" s="1" t="s">
        <v>2407</v>
      </c>
      <c r="B1165">
        <v>1</v>
      </c>
      <c r="C1165">
        <v>30.99</v>
      </c>
      <c r="D1165">
        <v>30.99</v>
      </c>
      <c r="E1165" s="1" t="s">
        <v>107</v>
      </c>
      <c r="F1165" s="1" t="s">
        <v>40</v>
      </c>
      <c r="G1165">
        <v>2</v>
      </c>
      <c r="H1165" s="1" t="s">
        <v>41</v>
      </c>
      <c r="I1165" s="1" t="s">
        <v>42</v>
      </c>
      <c r="J1165">
        <v>10.5</v>
      </c>
      <c r="K1165">
        <v>30.99</v>
      </c>
      <c r="L1165" s="1" t="s">
        <v>28</v>
      </c>
      <c r="M1165" s="1" t="s">
        <v>43</v>
      </c>
      <c r="N1165" s="1" t="s">
        <v>44</v>
      </c>
      <c r="O1165" s="1" t="s">
        <v>31</v>
      </c>
      <c r="P1165" s="2">
        <v>45823</v>
      </c>
      <c r="Q1165" s="1" t="s">
        <v>1408</v>
      </c>
      <c r="R1165" s="1" t="s">
        <v>2055</v>
      </c>
      <c r="S1165" s="1" t="s">
        <v>54</v>
      </c>
      <c r="T1165" s="1" t="s">
        <v>35</v>
      </c>
      <c r="U1165" s="1" t="s">
        <v>82</v>
      </c>
      <c r="V1165" s="1" t="s">
        <v>37</v>
      </c>
      <c r="W1165">
        <v>2</v>
      </c>
    </row>
    <row r="1166" spans="1:23" x14ac:dyDescent="0.3">
      <c r="A1166" s="1" t="s">
        <v>2408</v>
      </c>
      <c r="B1166">
        <v>1</v>
      </c>
      <c r="C1166">
        <v>27.99</v>
      </c>
      <c r="D1166">
        <v>27.99</v>
      </c>
      <c r="E1166" s="1" t="s">
        <v>393</v>
      </c>
      <c r="F1166" s="1" t="s">
        <v>70</v>
      </c>
      <c r="G1166">
        <v>0</v>
      </c>
      <c r="H1166" s="1" t="s">
        <v>41</v>
      </c>
      <c r="I1166" s="1" t="s">
        <v>75</v>
      </c>
      <c r="J1166">
        <v>9</v>
      </c>
      <c r="K1166">
        <v>27.99</v>
      </c>
      <c r="L1166" s="1" t="s">
        <v>28</v>
      </c>
      <c r="M1166" s="1" t="s">
        <v>61</v>
      </c>
      <c r="N1166" s="1" t="s">
        <v>62</v>
      </c>
      <c r="O1166" s="1" t="s">
        <v>31</v>
      </c>
      <c r="P1166" s="2">
        <v>45726</v>
      </c>
      <c r="Q1166" s="1" t="s">
        <v>732</v>
      </c>
      <c r="R1166" s="1" t="s">
        <v>825</v>
      </c>
      <c r="S1166" s="1" t="s">
        <v>47</v>
      </c>
      <c r="T1166" s="1" t="s">
        <v>35</v>
      </c>
      <c r="U1166" s="1" t="s">
        <v>66</v>
      </c>
      <c r="V1166" s="1" t="s">
        <v>37</v>
      </c>
      <c r="W1166">
        <v>2</v>
      </c>
    </row>
    <row r="1167" spans="1:23" x14ac:dyDescent="0.3">
      <c r="A1167" s="1" t="s">
        <v>2409</v>
      </c>
      <c r="B1167">
        <v>3</v>
      </c>
      <c r="C1167">
        <v>18.989999999999998</v>
      </c>
      <c r="D1167">
        <v>44.78</v>
      </c>
      <c r="E1167" s="1" t="s">
        <v>1588</v>
      </c>
      <c r="F1167" s="1" t="s">
        <v>40</v>
      </c>
      <c r="G1167">
        <v>12</v>
      </c>
      <c r="H1167" s="1" t="s">
        <v>41</v>
      </c>
      <c r="I1167" s="1" t="s">
        <v>97</v>
      </c>
      <c r="J1167">
        <v>6</v>
      </c>
      <c r="K1167">
        <v>18.989999999999998</v>
      </c>
      <c r="L1167" s="1" t="s">
        <v>60</v>
      </c>
      <c r="M1167" s="1" t="s">
        <v>43</v>
      </c>
      <c r="N1167" s="1" t="s">
        <v>44</v>
      </c>
      <c r="O1167" s="1" t="s">
        <v>31</v>
      </c>
      <c r="P1167" s="2">
        <v>45823</v>
      </c>
      <c r="Q1167" s="1" t="s">
        <v>385</v>
      </c>
      <c r="R1167" s="1" t="s">
        <v>998</v>
      </c>
      <c r="S1167" s="1" t="s">
        <v>54</v>
      </c>
      <c r="T1167" s="1" t="s">
        <v>35</v>
      </c>
      <c r="U1167" s="1" t="s">
        <v>48</v>
      </c>
      <c r="V1167" s="1" t="s">
        <v>100</v>
      </c>
      <c r="W1167">
        <v>3.2</v>
      </c>
    </row>
    <row r="1168" spans="1:23" x14ac:dyDescent="0.3">
      <c r="A1168" s="1" t="s">
        <v>2410</v>
      </c>
      <c r="B1168">
        <v>1</v>
      </c>
      <c r="C1168">
        <v>18.989999999999998</v>
      </c>
      <c r="D1168">
        <v>18.989999999999998</v>
      </c>
      <c r="E1168" s="1" t="s">
        <v>831</v>
      </c>
      <c r="F1168" s="1" t="s">
        <v>51</v>
      </c>
      <c r="G1168">
        <v>0</v>
      </c>
      <c r="H1168" s="1" t="s">
        <v>26</v>
      </c>
      <c r="I1168" s="1" t="s">
        <v>97</v>
      </c>
      <c r="J1168">
        <v>6</v>
      </c>
      <c r="K1168">
        <v>18.989999999999998</v>
      </c>
      <c r="L1168" s="1" t="s">
        <v>60</v>
      </c>
      <c r="M1168" s="1" t="s">
        <v>43</v>
      </c>
      <c r="N1168" s="1" t="s">
        <v>44</v>
      </c>
      <c r="O1168" s="1" t="s">
        <v>31</v>
      </c>
      <c r="P1168" s="2">
        <v>45823</v>
      </c>
      <c r="Q1168" s="1" t="s">
        <v>161</v>
      </c>
      <c r="R1168" s="1" t="s">
        <v>2096</v>
      </c>
      <c r="S1168" s="1" t="s">
        <v>34</v>
      </c>
      <c r="T1168" s="1" t="s">
        <v>35</v>
      </c>
      <c r="U1168" s="1" t="s">
        <v>48</v>
      </c>
      <c r="V1168" s="1" t="s">
        <v>100</v>
      </c>
      <c r="W1168">
        <v>3.2</v>
      </c>
    </row>
    <row r="1169" spans="1:23" x14ac:dyDescent="0.3">
      <c r="A1169" s="1" t="s">
        <v>2411</v>
      </c>
      <c r="B1169">
        <v>1</v>
      </c>
      <c r="C1169">
        <v>18.989999999999998</v>
      </c>
      <c r="D1169">
        <v>18.989999999999998</v>
      </c>
      <c r="E1169" s="1" t="s">
        <v>2412</v>
      </c>
      <c r="F1169" s="1" t="s">
        <v>25</v>
      </c>
      <c r="G1169">
        <v>17</v>
      </c>
      <c r="H1169" s="1" t="s">
        <v>41</v>
      </c>
      <c r="I1169" s="1" t="s">
        <v>97</v>
      </c>
      <c r="J1169">
        <v>6</v>
      </c>
      <c r="K1169">
        <v>18.989999999999998</v>
      </c>
      <c r="L1169" s="1" t="s">
        <v>60</v>
      </c>
      <c r="M1169" s="1" t="s">
        <v>43</v>
      </c>
      <c r="N1169" s="1" t="s">
        <v>44</v>
      </c>
      <c r="O1169" s="1" t="s">
        <v>31</v>
      </c>
      <c r="P1169" s="2">
        <v>45823</v>
      </c>
      <c r="Q1169" s="1" t="s">
        <v>161</v>
      </c>
      <c r="R1169" s="1" t="s">
        <v>2096</v>
      </c>
      <c r="S1169" s="1" t="s">
        <v>34</v>
      </c>
      <c r="T1169" s="1" t="s">
        <v>35</v>
      </c>
      <c r="U1169" s="1" t="s">
        <v>48</v>
      </c>
      <c r="V1169" s="1" t="s">
        <v>100</v>
      </c>
      <c r="W1169">
        <v>3.2</v>
      </c>
    </row>
    <row r="1170" spans="1:23" x14ac:dyDescent="0.3">
      <c r="A1170" s="1" t="s">
        <v>2413</v>
      </c>
      <c r="B1170">
        <v>1</v>
      </c>
      <c r="C1170">
        <v>16.989999999999998</v>
      </c>
      <c r="D1170">
        <v>16.989999999999998</v>
      </c>
      <c r="E1170" s="1" t="s">
        <v>452</v>
      </c>
      <c r="F1170" s="1" t="s">
        <v>40</v>
      </c>
      <c r="G1170">
        <v>16</v>
      </c>
      <c r="H1170" s="1" t="s">
        <v>26</v>
      </c>
      <c r="I1170" s="1" t="s">
        <v>59</v>
      </c>
      <c r="J1170">
        <v>5</v>
      </c>
      <c r="K1170">
        <v>16.989999999999998</v>
      </c>
      <c r="L1170" s="1" t="s">
        <v>60</v>
      </c>
      <c r="M1170" s="1" t="s">
        <v>61</v>
      </c>
      <c r="N1170" s="1" t="s">
        <v>62</v>
      </c>
      <c r="O1170" s="1" t="s">
        <v>31</v>
      </c>
      <c r="P1170" s="2">
        <v>45726</v>
      </c>
      <c r="Q1170" s="1" t="s">
        <v>1487</v>
      </c>
      <c r="R1170" s="1" t="s">
        <v>1557</v>
      </c>
      <c r="S1170" s="1" t="s">
        <v>47</v>
      </c>
      <c r="T1170" s="1" t="s">
        <v>35</v>
      </c>
      <c r="U1170" s="1" t="s">
        <v>82</v>
      </c>
      <c r="V1170" s="1" t="s">
        <v>67</v>
      </c>
      <c r="W1170">
        <v>3</v>
      </c>
    </row>
    <row r="1171" spans="1:23" x14ac:dyDescent="0.3">
      <c r="A1171" s="1" t="s">
        <v>2414</v>
      </c>
      <c r="B1171">
        <v>1</v>
      </c>
      <c r="C1171">
        <v>34.99</v>
      </c>
      <c r="D1171">
        <v>34.99</v>
      </c>
      <c r="E1171" s="1" t="s">
        <v>1968</v>
      </c>
      <c r="F1171" s="1" t="s">
        <v>40</v>
      </c>
      <c r="G1171">
        <v>6</v>
      </c>
      <c r="H1171" s="1" t="s">
        <v>41</v>
      </c>
      <c r="I1171" s="1" t="s">
        <v>85</v>
      </c>
      <c r="J1171">
        <v>12.5</v>
      </c>
      <c r="K1171">
        <v>34.99</v>
      </c>
      <c r="L1171" s="1" t="s">
        <v>60</v>
      </c>
      <c r="M1171" s="1" t="s">
        <v>29</v>
      </c>
      <c r="N1171" s="1" t="s">
        <v>30</v>
      </c>
      <c r="O1171" s="1" t="s">
        <v>31</v>
      </c>
      <c r="P1171" s="2">
        <v>45778</v>
      </c>
      <c r="Q1171" s="1" t="s">
        <v>1157</v>
      </c>
      <c r="R1171" s="1" t="s">
        <v>1158</v>
      </c>
      <c r="S1171" s="1" t="s">
        <v>105</v>
      </c>
      <c r="T1171" s="1" t="s">
        <v>35</v>
      </c>
      <c r="U1171" s="1" t="s">
        <v>55</v>
      </c>
      <c r="V1171" s="1" t="s">
        <v>89</v>
      </c>
      <c r="W1171">
        <v>2.4</v>
      </c>
    </row>
    <row r="1172" spans="1:23" x14ac:dyDescent="0.3">
      <c r="A1172" s="1" t="s">
        <v>2415</v>
      </c>
      <c r="B1172">
        <v>1</v>
      </c>
      <c r="C1172">
        <v>27.99</v>
      </c>
      <c r="D1172">
        <v>27.99</v>
      </c>
      <c r="E1172" s="1" t="s">
        <v>2416</v>
      </c>
      <c r="F1172" s="1" t="s">
        <v>40</v>
      </c>
      <c r="G1172">
        <v>2</v>
      </c>
      <c r="H1172" s="1" t="s">
        <v>41</v>
      </c>
      <c r="I1172" s="1" t="s">
        <v>75</v>
      </c>
      <c r="J1172">
        <v>9</v>
      </c>
      <c r="K1172">
        <v>27.99</v>
      </c>
      <c r="L1172" s="1" t="s">
        <v>28</v>
      </c>
      <c r="M1172" s="1" t="s">
        <v>61</v>
      </c>
      <c r="N1172" s="1" t="s">
        <v>62</v>
      </c>
      <c r="O1172" s="1" t="s">
        <v>31</v>
      </c>
      <c r="P1172" s="2">
        <v>45726</v>
      </c>
      <c r="Q1172" s="1" t="s">
        <v>1083</v>
      </c>
      <c r="R1172" s="1" t="s">
        <v>1084</v>
      </c>
      <c r="S1172" s="1" t="s">
        <v>47</v>
      </c>
      <c r="T1172" s="1" t="s">
        <v>35</v>
      </c>
      <c r="U1172" s="1" t="s">
        <v>36</v>
      </c>
      <c r="V1172" s="1" t="s">
        <v>37</v>
      </c>
      <c r="W1172">
        <v>2</v>
      </c>
    </row>
    <row r="1173" spans="1:23" x14ac:dyDescent="0.3">
      <c r="A1173" s="1" t="s">
        <v>2417</v>
      </c>
      <c r="B1173">
        <v>1</v>
      </c>
      <c r="C1173">
        <v>16.989999999999998</v>
      </c>
      <c r="D1173">
        <v>16.989999999999998</v>
      </c>
      <c r="E1173" s="1" t="s">
        <v>2167</v>
      </c>
      <c r="F1173" s="1" t="s">
        <v>40</v>
      </c>
      <c r="G1173">
        <v>20</v>
      </c>
      <c r="H1173" s="1" t="s">
        <v>58</v>
      </c>
      <c r="I1173" s="1" t="s">
        <v>59</v>
      </c>
      <c r="J1173">
        <v>5</v>
      </c>
      <c r="K1173">
        <v>16.989999999999998</v>
      </c>
      <c r="L1173" s="1" t="s">
        <v>60</v>
      </c>
      <c r="M1173" s="1" t="s">
        <v>61</v>
      </c>
      <c r="N1173" s="1" t="s">
        <v>62</v>
      </c>
      <c r="O1173" s="1" t="s">
        <v>31</v>
      </c>
      <c r="P1173" s="2">
        <v>45726</v>
      </c>
      <c r="Q1173" s="1" t="s">
        <v>1398</v>
      </c>
      <c r="R1173" s="1" t="s">
        <v>1399</v>
      </c>
      <c r="S1173" s="1" t="s">
        <v>54</v>
      </c>
      <c r="T1173" s="1" t="s">
        <v>35</v>
      </c>
      <c r="U1173" s="1" t="s">
        <v>48</v>
      </c>
      <c r="V1173" s="1" t="s">
        <v>67</v>
      </c>
      <c r="W1173">
        <v>3</v>
      </c>
    </row>
    <row r="1174" spans="1:23" x14ac:dyDescent="0.3">
      <c r="A1174" s="1" t="s">
        <v>2418</v>
      </c>
      <c r="B1174">
        <v>1</v>
      </c>
      <c r="C1174">
        <v>21.99</v>
      </c>
      <c r="D1174">
        <v>21.99</v>
      </c>
      <c r="E1174" s="1" t="s">
        <v>2419</v>
      </c>
      <c r="F1174" s="1" t="s">
        <v>40</v>
      </c>
      <c r="G1174">
        <v>8</v>
      </c>
      <c r="H1174" s="1" t="s">
        <v>58</v>
      </c>
      <c r="I1174" s="1" t="s">
        <v>27</v>
      </c>
      <c r="J1174">
        <v>7</v>
      </c>
      <c r="K1174">
        <v>21.99</v>
      </c>
      <c r="L1174" s="1" t="s">
        <v>28</v>
      </c>
      <c r="M1174" s="1" t="s">
        <v>29</v>
      </c>
      <c r="N1174" s="1" t="s">
        <v>30</v>
      </c>
      <c r="O1174" s="1" t="s">
        <v>31</v>
      </c>
      <c r="P1174" s="2">
        <v>45778</v>
      </c>
      <c r="Q1174" s="1" t="s">
        <v>2276</v>
      </c>
      <c r="R1174" s="1" t="s">
        <v>2277</v>
      </c>
      <c r="S1174" s="1" t="s">
        <v>105</v>
      </c>
      <c r="T1174" s="1" t="s">
        <v>35</v>
      </c>
      <c r="U1174" s="1" t="s">
        <v>48</v>
      </c>
      <c r="V1174" s="1" t="s">
        <v>37</v>
      </c>
      <c r="W1174">
        <v>2</v>
      </c>
    </row>
    <row r="1175" spans="1:23" x14ac:dyDescent="0.3">
      <c r="A1175" s="1" t="s">
        <v>2420</v>
      </c>
      <c r="B1175">
        <v>3</v>
      </c>
      <c r="C1175">
        <v>18.989999999999998</v>
      </c>
      <c r="D1175">
        <v>45.11</v>
      </c>
      <c r="E1175" s="1" t="s">
        <v>2421</v>
      </c>
      <c r="F1175" s="1" t="s">
        <v>40</v>
      </c>
      <c r="G1175">
        <v>20</v>
      </c>
      <c r="H1175" s="1" t="s">
        <v>58</v>
      </c>
      <c r="I1175" s="1" t="s">
        <v>97</v>
      </c>
      <c r="J1175">
        <v>6</v>
      </c>
      <c r="K1175">
        <v>18.989999999999998</v>
      </c>
      <c r="L1175" s="1" t="s">
        <v>60</v>
      </c>
      <c r="M1175" s="1" t="s">
        <v>43</v>
      </c>
      <c r="N1175" s="1" t="s">
        <v>44</v>
      </c>
      <c r="O1175" s="1" t="s">
        <v>31</v>
      </c>
      <c r="P1175" s="2">
        <v>45823</v>
      </c>
      <c r="Q1175" s="1" t="s">
        <v>943</v>
      </c>
      <c r="R1175" s="1" t="s">
        <v>1346</v>
      </c>
      <c r="S1175" s="1" t="s">
        <v>54</v>
      </c>
      <c r="T1175" s="1" t="s">
        <v>35</v>
      </c>
      <c r="U1175" s="1" t="s">
        <v>55</v>
      </c>
      <c r="V1175" s="1" t="s">
        <v>100</v>
      </c>
      <c r="W1175">
        <v>3.2</v>
      </c>
    </row>
    <row r="1176" spans="1:23" x14ac:dyDescent="0.3">
      <c r="A1176" s="1" t="s">
        <v>2422</v>
      </c>
      <c r="B1176">
        <v>3</v>
      </c>
      <c r="C1176">
        <v>27.99</v>
      </c>
      <c r="D1176">
        <v>67.709999999999994</v>
      </c>
      <c r="E1176" s="1" t="s">
        <v>2062</v>
      </c>
      <c r="F1176" s="1" t="s">
        <v>51</v>
      </c>
      <c r="G1176">
        <v>0</v>
      </c>
      <c r="H1176" s="1" t="s">
        <v>58</v>
      </c>
      <c r="I1176" s="1" t="s">
        <v>75</v>
      </c>
      <c r="J1176">
        <v>9</v>
      </c>
      <c r="K1176">
        <v>27.99</v>
      </c>
      <c r="L1176" s="1" t="s">
        <v>28</v>
      </c>
      <c r="M1176" s="1" t="s">
        <v>61</v>
      </c>
      <c r="N1176" s="1" t="s">
        <v>62</v>
      </c>
      <c r="O1176" s="1" t="s">
        <v>31</v>
      </c>
      <c r="P1176" s="2">
        <v>45726</v>
      </c>
      <c r="Q1176" s="1" t="s">
        <v>1024</v>
      </c>
      <c r="R1176" s="1" t="s">
        <v>1025</v>
      </c>
      <c r="S1176" s="1" t="s">
        <v>34</v>
      </c>
      <c r="T1176" s="1" t="s">
        <v>35</v>
      </c>
      <c r="U1176" s="1" t="s">
        <v>66</v>
      </c>
      <c r="V1176" s="1" t="s">
        <v>37</v>
      </c>
      <c r="W1176">
        <v>2</v>
      </c>
    </row>
    <row r="1177" spans="1:23" x14ac:dyDescent="0.3">
      <c r="A1177" s="1" t="s">
        <v>2423</v>
      </c>
      <c r="B1177">
        <v>1</v>
      </c>
      <c r="C1177">
        <v>27.99</v>
      </c>
      <c r="D1177">
        <v>27.99</v>
      </c>
      <c r="E1177" s="1" t="s">
        <v>1832</v>
      </c>
      <c r="F1177" s="1" t="s">
        <v>70</v>
      </c>
      <c r="G1177">
        <v>0</v>
      </c>
      <c r="H1177" s="1" t="s">
        <v>58</v>
      </c>
      <c r="I1177" s="1" t="s">
        <v>75</v>
      </c>
      <c r="J1177">
        <v>9</v>
      </c>
      <c r="K1177">
        <v>27.99</v>
      </c>
      <c r="L1177" s="1" t="s">
        <v>28</v>
      </c>
      <c r="M1177" s="1" t="s">
        <v>61</v>
      </c>
      <c r="N1177" s="1" t="s">
        <v>62</v>
      </c>
      <c r="O1177" s="1" t="s">
        <v>31</v>
      </c>
      <c r="P1177" s="2">
        <v>45726</v>
      </c>
      <c r="Q1177" s="1" t="s">
        <v>2424</v>
      </c>
      <c r="R1177" s="1" t="s">
        <v>2425</v>
      </c>
      <c r="S1177" s="1" t="s">
        <v>47</v>
      </c>
      <c r="T1177" s="1" t="s">
        <v>35</v>
      </c>
      <c r="U1177" s="1" t="s">
        <v>66</v>
      </c>
      <c r="V1177" s="1" t="s">
        <v>37</v>
      </c>
      <c r="W1177">
        <v>2</v>
      </c>
    </row>
    <row r="1178" spans="1:23" x14ac:dyDescent="0.3">
      <c r="A1178" s="1" t="s">
        <v>2426</v>
      </c>
      <c r="B1178">
        <v>1</v>
      </c>
      <c r="C1178">
        <v>18.989999999999998</v>
      </c>
      <c r="D1178">
        <v>18.989999999999998</v>
      </c>
      <c r="E1178" s="1" t="s">
        <v>1230</v>
      </c>
      <c r="F1178" s="1" t="s">
        <v>51</v>
      </c>
      <c r="G1178">
        <v>0</v>
      </c>
      <c r="H1178" s="1" t="s">
        <v>96</v>
      </c>
      <c r="I1178" s="1" t="s">
        <v>97</v>
      </c>
      <c r="J1178">
        <v>6</v>
      </c>
      <c r="K1178">
        <v>18.989999999999998</v>
      </c>
      <c r="L1178" s="1" t="s">
        <v>60</v>
      </c>
      <c r="M1178" s="1" t="s">
        <v>43</v>
      </c>
      <c r="N1178" s="1" t="s">
        <v>44</v>
      </c>
      <c r="O1178" s="1" t="s">
        <v>31</v>
      </c>
      <c r="P1178" s="2">
        <v>45823</v>
      </c>
      <c r="Q1178" s="1" t="s">
        <v>2427</v>
      </c>
      <c r="R1178" s="1" t="s">
        <v>2428</v>
      </c>
      <c r="S1178" s="1" t="s">
        <v>54</v>
      </c>
      <c r="T1178" s="1" t="s">
        <v>35</v>
      </c>
      <c r="U1178" s="1" t="s">
        <v>48</v>
      </c>
      <c r="V1178" s="1" t="s">
        <v>100</v>
      </c>
      <c r="W1178">
        <v>3.2</v>
      </c>
    </row>
    <row r="1179" spans="1:23" x14ac:dyDescent="0.3">
      <c r="A1179" s="1" t="s">
        <v>2429</v>
      </c>
      <c r="B1179">
        <v>3</v>
      </c>
      <c r="C1179">
        <v>34.99</v>
      </c>
      <c r="D1179">
        <v>83.13</v>
      </c>
      <c r="E1179" s="1" t="s">
        <v>272</v>
      </c>
      <c r="F1179" s="1" t="s">
        <v>40</v>
      </c>
      <c r="G1179">
        <v>6</v>
      </c>
      <c r="H1179" s="1" t="s">
        <v>58</v>
      </c>
      <c r="I1179" s="1" t="s">
        <v>85</v>
      </c>
      <c r="J1179">
        <v>12.5</v>
      </c>
      <c r="K1179">
        <v>34.99</v>
      </c>
      <c r="L1179" s="1" t="s">
        <v>60</v>
      </c>
      <c r="M1179" s="1" t="s">
        <v>29</v>
      </c>
      <c r="N1179" s="1" t="s">
        <v>30</v>
      </c>
      <c r="O1179" s="1" t="s">
        <v>31</v>
      </c>
      <c r="P1179" s="2">
        <v>45778</v>
      </c>
      <c r="Q1179" s="1" t="s">
        <v>1253</v>
      </c>
      <c r="R1179" s="1" t="s">
        <v>1875</v>
      </c>
      <c r="S1179" s="1" t="s">
        <v>105</v>
      </c>
      <c r="T1179" s="1" t="s">
        <v>35</v>
      </c>
      <c r="U1179" s="1" t="s">
        <v>66</v>
      </c>
      <c r="V1179" s="1" t="s">
        <v>89</v>
      </c>
      <c r="W1179">
        <v>2.4</v>
      </c>
    </row>
    <row r="1180" spans="1:23" x14ac:dyDescent="0.3">
      <c r="A1180" s="1" t="s">
        <v>2430</v>
      </c>
      <c r="B1180">
        <v>3</v>
      </c>
      <c r="C1180">
        <v>30.99</v>
      </c>
      <c r="D1180">
        <v>73.66</v>
      </c>
      <c r="E1180" s="1" t="s">
        <v>1170</v>
      </c>
      <c r="F1180" s="1" t="s">
        <v>40</v>
      </c>
      <c r="G1180">
        <v>6</v>
      </c>
      <c r="H1180" s="1" t="s">
        <v>41</v>
      </c>
      <c r="I1180" s="1" t="s">
        <v>42</v>
      </c>
      <c r="J1180">
        <v>10.5</v>
      </c>
      <c r="K1180">
        <v>30.99</v>
      </c>
      <c r="L1180" s="1" t="s">
        <v>28</v>
      </c>
      <c r="M1180" s="1" t="s">
        <v>43</v>
      </c>
      <c r="N1180" s="1" t="s">
        <v>44</v>
      </c>
      <c r="O1180" s="1" t="s">
        <v>31</v>
      </c>
      <c r="P1180" s="2">
        <v>45823</v>
      </c>
      <c r="Q1180" s="1" t="s">
        <v>1349</v>
      </c>
      <c r="R1180" s="1" t="s">
        <v>1439</v>
      </c>
      <c r="S1180" s="1" t="s">
        <v>65</v>
      </c>
      <c r="T1180" s="1" t="s">
        <v>35</v>
      </c>
      <c r="U1180" s="1" t="s">
        <v>36</v>
      </c>
      <c r="V1180" s="1" t="s">
        <v>37</v>
      </c>
      <c r="W1180">
        <v>2</v>
      </c>
    </row>
    <row r="1181" spans="1:23" x14ac:dyDescent="0.3">
      <c r="A1181" s="1" t="s">
        <v>2431</v>
      </c>
      <c r="B1181">
        <v>1</v>
      </c>
      <c r="C1181">
        <v>34.99</v>
      </c>
      <c r="D1181">
        <v>34.99</v>
      </c>
      <c r="E1181" s="1" t="s">
        <v>1431</v>
      </c>
      <c r="F1181" s="1" t="s">
        <v>188</v>
      </c>
      <c r="G1181">
        <v>0</v>
      </c>
      <c r="H1181" s="1" t="s">
        <v>41</v>
      </c>
      <c r="I1181" s="1" t="s">
        <v>85</v>
      </c>
      <c r="J1181">
        <v>12.5</v>
      </c>
      <c r="K1181">
        <v>34.99</v>
      </c>
      <c r="L1181" s="1" t="s">
        <v>60</v>
      </c>
      <c r="M1181" s="1" t="s">
        <v>29</v>
      </c>
      <c r="N1181" s="1" t="s">
        <v>30</v>
      </c>
      <c r="O1181" s="1" t="s">
        <v>31</v>
      </c>
      <c r="P1181" s="2">
        <v>45778</v>
      </c>
      <c r="Q1181" s="1" t="s">
        <v>182</v>
      </c>
      <c r="R1181" s="1" t="s">
        <v>754</v>
      </c>
      <c r="S1181" s="1" t="s">
        <v>65</v>
      </c>
      <c r="T1181" s="1" t="s">
        <v>35</v>
      </c>
      <c r="U1181" s="1" t="s">
        <v>36</v>
      </c>
      <c r="V1181" s="1" t="s">
        <v>89</v>
      </c>
      <c r="W1181">
        <v>2.4</v>
      </c>
    </row>
    <row r="1182" spans="1:23" x14ac:dyDescent="0.3">
      <c r="A1182" s="1" t="s">
        <v>2432</v>
      </c>
      <c r="B1182">
        <v>1</v>
      </c>
      <c r="C1182">
        <v>18.989999999999998</v>
      </c>
      <c r="D1182">
        <v>18.989999999999998</v>
      </c>
      <c r="E1182" s="1" t="s">
        <v>2433</v>
      </c>
      <c r="F1182" s="1" t="s">
        <v>51</v>
      </c>
      <c r="G1182">
        <v>0</v>
      </c>
      <c r="H1182" s="1" t="s">
        <v>58</v>
      </c>
      <c r="I1182" s="1" t="s">
        <v>97</v>
      </c>
      <c r="J1182">
        <v>6</v>
      </c>
      <c r="K1182">
        <v>18.989999999999998</v>
      </c>
      <c r="L1182" s="1" t="s">
        <v>60</v>
      </c>
      <c r="M1182" s="1" t="s">
        <v>43</v>
      </c>
      <c r="N1182" s="1" t="s">
        <v>44</v>
      </c>
      <c r="O1182" s="1" t="s">
        <v>31</v>
      </c>
      <c r="P1182" s="2">
        <v>45823</v>
      </c>
      <c r="Q1182" s="1" t="s">
        <v>161</v>
      </c>
      <c r="R1182" s="1" t="s">
        <v>2096</v>
      </c>
      <c r="S1182" s="1" t="s">
        <v>34</v>
      </c>
      <c r="T1182" s="1" t="s">
        <v>35</v>
      </c>
      <c r="U1182" s="1" t="s">
        <v>48</v>
      </c>
      <c r="V1182" s="1" t="s">
        <v>100</v>
      </c>
      <c r="W1182">
        <v>3.2</v>
      </c>
    </row>
    <row r="1183" spans="1:23" x14ac:dyDescent="0.3">
      <c r="A1183" s="1" t="s">
        <v>2434</v>
      </c>
      <c r="B1183">
        <v>1</v>
      </c>
      <c r="C1183">
        <v>21.99</v>
      </c>
      <c r="D1183">
        <v>21.99</v>
      </c>
      <c r="E1183" s="1" t="s">
        <v>338</v>
      </c>
      <c r="F1183" s="1" t="s">
        <v>40</v>
      </c>
      <c r="G1183">
        <v>3</v>
      </c>
      <c r="H1183" s="1" t="s">
        <v>26</v>
      </c>
      <c r="I1183" s="1" t="s">
        <v>27</v>
      </c>
      <c r="J1183">
        <v>7</v>
      </c>
      <c r="K1183">
        <v>21.99</v>
      </c>
      <c r="L1183" s="1" t="s">
        <v>28</v>
      </c>
      <c r="M1183" s="1" t="s">
        <v>29</v>
      </c>
      <c r="N1183" s="1" t="s">
        <v>30</v>
      </c>
      <c r="O1183" s="1" t="s">
        <v>31</v>
      </c>
      <c r="P1183" s="2">
        <v>45778</v>
      </c>
      <c r="Q1183" s="1" t="s">
        <v>385</v>
      </c>
      <c r="R1183" s="1" t="s">
        <v>998</v>
      </c>
      <c r="S1183" s="1" t="s">
        <v>54</v>
      </c>
      <c r="T1183" s="1" t="s">
        <v>35</v>
      </c>
      <c r="U1183" s="1" t="s">
        <v>48</v>
      </c>
      <c r="V1183" s="1" t="s">
        <v>37</v>
      </c>
      <c r="W1183">
        <v>2</v>
      </c>
    </row>
    <row r="1184" spans="1:23" x14ac:dyDescent="0.3">
      <c r="A1184" s="1" t="s">
        <v>2435</v>
      </c>
      <c r="B1184">
        <v>3</v>
      </c>
      <c r="C1184">
        <v>21.99</v>
      </c>
      <c r="D1184">
        <v>52.8</v>
      </c>
      <c r="E1184" s="1" t="s">
        <v>209</v>
      </c>
      <c r="F1184" s="1" t="s">
        <v>70</v>
      </c>
      <c r="G1184">
        <v>0</v>
      </c>
      <c r="H1184" s="1" t="s">
        <v>41</v>
      </c>
      <c r="I1184" s="1" t="s">
        <v>27</v>
      </c>
      <c r="J1184">
        <v>7</v>
      </c>
      <c r="K1184">
        <v>21.99</v>
      </c>
      <c r="L1184" s="1" t="s">
        <v>28</v>
      </c>
      <c r="M1184" s="1" t="s">
        <v>29</v>
      </c>
      <c r="N1184" s="1" t="s">
        <v>30</v>
      </c>
      <c r="O1184" s="1" t="s">
        <v>31</v>
      </c>
      <c r="P1184" s="2">
        <v>45778</v>
      </c>
      <c r="Q1184" s="1" t="s">
        <v>1336</v>
      </c>
      <c r="R1184" s="1" t="s">
        <v>1337</v>
      </c>
      <c r="S1184" s="1" t="s">
        <v>105</v>
      </c>
      <c r="T1184" s="1" t="s">
        <v>35</v>
      </c>
      <c r="U1184" s="1" t="s">
        <v>55</v>
      </c>
      <c r="V1184" s="1" t="s">
        <v>37</v>
      </c>
      <c r="W1184">
        <v>2</v>
      </c>
    </row>
    <row r="1185" spans="1:23" x14ac:dyDescent="0.3">
      <c r="A1185" s="1" t="s">
        <v>2436</v>
      </c>
      <c r="B1185">
        <v>1</v>
      </c>
      <c r="C1185">
        <v>30.99</v>
      </c>
      <c r="D1185">
        <v>30.99</v>
      </c>
      <c r="E1185" s="1" t="s">
        <v>617</v>
      </c>
      <c r="F1185" s="1" t="s">
        <v>40</v>
      </c>
      <c r="G1185">
        <v>2</v>
      </c>
      <c r="H1185" s="1" t="s">
        <v>58</v>
      </c>
      <c r="I1185" s="1" t="s">
        <v>42</v>
      </c>
      <c r="J1185">
        <v>10.5</v>
      </c>
      <c r="K1185">
        <v>30.99</v>
      </c>
      <c r="L1185" s="1" t="s">
        <v>28</v>
      </c>
      <c r="M1185" s="1" t="s">
        <v>43</v>
      </c>
      <c r="N1185" s="1" t="s">
        <v>44</v>
      </c>
      <c r="O1185" s="1" t="s">
        <v>31</v>
      </c>
      <c r="P1185" s="2">
        <v>45823</v>
      </c>
      <c r="Q1185" s="1" t="s">
        <v>1480</v>
      </c>
      <c r="R1185" s="1" t="s">
        <v>1481</v>
      </c>
      <c r="S1185" s="1" t="s">
        <v>34</v>
      </c>
      <c r="T1185" s="1" t="s">
        <v>35</v>
      </c>
      <c r="U1185" s="1" t="s">
        <v>66</v>
      </c>
      <c r="V1185" s="1" t="s">
        <v>37</v>
      </c>
      <c r="W1185">
        <v>2</v>
      </c>
    </row>
    <row r="1186" spans="1:23" x14ac:dyDescent="0.3">
      <c r="A1186" s="1" t="s">
        <v>2437</v>
      </c>
      <c r="B1186">
        <v>1</v>
      </c>
      <c r="C1186">
        <v>18.989999999999998</v>
      </c>
      <c r="D1186">
        <v>18.989999999999998</v>
      </c>
      <c r="E1186" s="1" t="s">
        <v>109</v>
      </c>
      <c r="F1186" s="1" t="s">
        <v>51</v>
      </c>
      <c r="G1186">
        <v>0</v>
      </c>
      <c r="H1186" s="1" t="s">
        <v>26</v>
      </c>
      <c r="I1186" s="1" t="s">
        <v>97</v>
      </c>
      <c r="J1186">
        <v>6</v>
      </c>
      <c r="K1186">
        <v>18.989999999999998</v>
      </c>
      <c r="L1186" s="1" t="s">
        <v>60</v>
      </c>
      <c r="M1186" s="1" t="s">
        <v>43</v>
      </c>
      <c r="N1186" s="1" t="s">
        <v>44</v>
      </c>
      <c r="O1186" s="1" t="s">
        <v>31</v>
      </c>
      <c r="P1186" s="2">
        <v>45823</v>
      </c>
      <c r="Q1186" s="1" t="s">
        <v>1260</v>
      </c>
      <c r="R1186" s="1" t="s">
        <v>1261</v>
      </c>
      <c r="S1186" s="1" t="s">
        <v>105</v>
      </c>
      <c r="T1186" s="1" t="s">
        <v>35</v>
      </c>
      <c r="U1186" s="1" t="s">
        <v>82</v>
      </c>
      <c r="V1186" s="1" t="s">
        <v>100</v>
      </c>
      <c r="W1186">
        <v>3.2</v>
      </c>
    </row>
    <row r="1187" spans="1:23" x14ac:dyDescent="0.3">
      <c r="A1187" s="1" t="s">
        <v>2438</v>
      </c>
      <c r="B1187">
        <v>3</v>
      </c>
      <c r="C1187">
        <v>27.99</v>
      </c>
      <c r="D1187">
        <v>67.7</v>
      </c>
      <c r="E1187" s="1" t="s">
        <v>1271</v>
      </c>
      <c r="F1187" s="1" t="s">
        <v>40</v>
      </c>
      <c r="G1187">
        <v>3</v>
      </c>
      <c r="H1187" s="1" t="s">
        <v>58</v>
      </c>
      <c r="I1187" s="1" t="s">
        <v>75</v>
      </c>
      <c r="J1187">
        <v>9</v>
      </c>
      <c r="K1187">
        <v>27.99</v>
      </c>
      <c r="L1187" s="1" t="s">
        <v>28</v>
      </c>
      <c r="M1187" s="1" t="s">
        <v>61</v>
      </c>
      <c r="N1187" s="1" t="s">
        <v>62</v>
      </c>
      <c r="O1187" s="1" t="s">
        <v>31</v>
      </c>
      <c r="P1187" s="2">
        <v>45726</v>
      </c>
      <c r="Q1187" s="1" t="s">
        <v>1137</v>
      </c>
      <c r="R1187" s="1" t="s">
        <v>2255</v>
      </c>
      <c r="S1187" s="1" t="s">
        <v>65</v>
      </c>
      <c r="T1187" s="1" t="s">
        <v>35</v>
      </c>
      <c r="U1187" s="1" t="s">
        <v>36</v>
      </c>
      <c r="V1187" s="1" t="s">
        <v>37</v>
      </c>
      <c r="W1187">
        <v>2</v>
      </c>
    </row>
    <row r="1188" spans="1:23" x14ac:dyDescent="0.3">
      <c r="A1188" s="1" t="s">
        <v>2439</v>
      </c>
      <c r="B1188">
        <v>1</v>
      </c>
      <c r="C1188">
        <v>16.989999999999998</v>
      </c>
      <c r="D1188">
        <v>16.989999999999998</v>
      </c>
      <c r="E1188" s="1" t="s">
        <v>1574</v>
      </c>
      <c r="F1188" s="1" t="s">
        <v>70</v>
      </c>
      <c r="G1188">
        <v>0</v>
      </c>
      <c r="H1188" s="1" t="s">
        <v>96</v>
      </c>
      <c r="I1188" s="1" t="s">
        <v>59</v>
      </c>
      <c r="J1188">
        <v>5</v>
      </c>
      <c r="K1188">
        <v>16.989999999999998</v>
      </c>
      <c r="L1188" s="1" t="s">
        <v>60</v>
      </c>
      <c r="M1188" s="1" t="s">
        <v>61</v>
      </c>
      <c r="N1188" s="1" t="s">
        <v>62</v>
      </c>
      <c r="O1188" s="1" t="s">
        <v>31</v>
      </c>
      <c r="P1188" s="2">
        <v>45726</v>
      </c>
      <c r="Q1188" s="1" t="s">
        <v>1385</v>
      </c>
      <c r="R1188" s="1" t="s">
        <v>1386</v>
      </c>
      <c r="S1188" s="1" t="s">
        <v>47</v>
      </c>
      <c r="T1188" s="1" t="s">
        <v>35</v>
      </c>
      <c r="U1188" s="1" t="s">
        <v>66</v>
      </c>
      <c r="V1188" s="1" t="s">
        <v>67</v>
      </c>
      <c r="W1188">
        <v>3</v>
      </c>
    </row>
    <row r="1189" spans="1:23" x14ac:dyDescent="0.3">
      <c r="A1189" s="1" t="s">
        <v>2440</v>
      </c>
      <c r="B1189">
        <v>1</v>
      </c>
      <c r="C1189">
        <v>30.99</v>
      </c>
      <c r="D1189">
        <v>30.99</v>
      </c>
      <c r="E1189" s="1" t="s">
        <v>1086</v>
      </c>
      <c r="F1189" s="1" t="s">
        <v>40</v>
      </c>
      <c r="G1189">
        <v>6</v>
      </c>
      <c r="H1189" s="1" t="s">
        <v>41</v>
      </c>
      <c r="I1189" s="1" t="s">
        <v>42</v>
      </c>
      <c r="J1189">
        <v>10.5</v>
      </c>
      <c r="K1189">
        <v>30.99</v>
      </c>
      <c r="L1189" s="1" t="s">
        <v>28</v>
      </c>
      <c r="M1189" s="1" t="s">
        <v>43</v>
      </c>
      <c r="N1189" s="1" t="s">
        <v>44</v>
      </c>
      <c r="O1189" s="1" t="s">
        <v>31</v>
      </c>
      <c r="P1189" s="2">
        <v>45823</v>
      </c>
      <c r="Q1189" s="1" t="s">
        <v>428</v>
      </c>
      <c r="R1189" s="1" t="s">
        <v>1094</v>
      </c>
      <c r="S1189" s="1" t="s">
        <v>105</v>
      </c>
      <c r="T1189" s="1" t="s">
        <v>35</v>
      </c>
      <c r="U1189" s="1" t="s">
        <v>36</v>
      </c>
      <c r="V1189" s="1" t="s">
        <v>37</v>
      </c>
      <c r="W1189">
        <v>2</v>
      </c>
    </row>
    <row r="1190" spans="1:23" x14ac:dyDescent="0.3">
      <c r="A1190" s="1" t="s">
        <v>2441</v>
      </c>
      <c r="B1190">
        <v>1</v>
      </c>
      <c r="C1190">
        <v>27.99</v>
      </c>
      <c r="D1190">
        <v>27.99</v>
      </c>
      <c r="E1190" s="1" t="s">
        <v>1411</v>
      </c>
      <c r="F1190" s="1" t="s">
        <v>40</v>
      </c>
      <c r="G1190">
        <v>3</v>
      </c>
      <c r="H1190" s="1" t="s">
        <v>96</v>
      </c>
      <c r="I1190" s="1" t="s">
        <v>75</v>
      </c>
      <c r="J1190">
        <v>9</v>
      </c>
      <c r="K1190">
        <v>27.99</v>
      </c>
      <c r="L1190" s="1" t="s">
        <v>28</v>
      </c>
      <c r="M1190" s="1" t="s">
        <v>61</v>
      </c>
      <c r="N1190" s="1" t="s">
        <v>62</v>
      </c>
      <c r="O1190" s="1" t="s">
        <v>31</v>
      </c>
      <c r="P1190" s="2">
        <v>45726</v>
      </c>
      <c r="Q1190" s="1" t="s">
        <v>1676</v>
      </c>
      <c r="R1190" s="1" t="s">
        <v>1677</v>
      </c>
      <c r="S1190" s="1" t="s">
        <v>105</v>
      </c>
      <c r="T1190" s="1" t="s">
        <v>35</v>
      </c>
      <c r="U1190" s="1" t="s">
        <v>66</v>
      </c>
      <c r="V1190" s="1" t="s">
        <v>37</v>
      </c>
      <c r="W1190">
        <v>2</v>
      </c>
    </row>
    <row r="1191" spans="1:23" x14ac:dyDescent="0.3">
      <c r="A1191" s="1" t="s">
        <v>2442</v>
      </c>
      <c r="B1191">
        <v>3</v>
      </c>
      <c r="C1191">
        <v>21.99</v>
      </c>
      <c r="D1191">
        <v>52.66</v>
      </c>
      <c r="E1191" s="1" t="s">
        <v>1590</v>
      </c>
      <c r="F1191" s="1" t="s">
        <v>40</v>
      </c>
      <c r="G1191">
        <v>3</v>
      </c>
      <c r="H1191" s="1" t="s">
        <v>58</v>
      </c>
      <c r="I1191" s="1" t="s">
        <v>27</v>
      </c>
      <c r="J1191">
        <v>7</v>
      </c>
      <c r="K1191">
        <v>21.99</v>
      </c>
      <c r="L1191" s="1" t="s">
        <v>28</v>
      </c>
      <c r="M1191" s="1" t="s">
        <v>29</v>
      </c>
      <c r="N1191" s="1" t="s">
        <v>30</v>
      </c>
      <c r="O1191" s="1" t="s">
        <v>31</v>
      </c>
      <c r="P1191" s="2">
        <v>45778</v>
      </c>
      <c r="Q1191" s="1" t="s">
        <v>1256</v>
      </c>
      <c r="R1191" s="1" t="s">
        <v>1257</v>
      </c>
      <c r="S1191" s="1" t="s">
        <v>47</v>
      </c>
      <c r="T1191" s="1" t="s">
        <v>35</v>
      </c>
      <c r="U1191" s="1" t="s">
        <v>82</v>
      </c>
      <c r="V1191" s="1" t="s">
        <v>37</v>
      </c>
      <c r="W1191">
        <v>2</v>
      </c>
    </row>
    <row r="1192" spans="1:23" x14ac:dyDescent="0.3">
      <c r="A1192" s="1" t="s">
        <v>2443</v>
      </c>
      <c r="B1192">
        <v>1</v>
      </c>
      <c r="C1192">
        <v>21.99</v>
      </c>
      <c r="D1192">
        <v>21.99</v>
      </c>
      <c r="E1192" s="1" t="s">
        <v>2444</v>
      </c>
      <c r="F1192" s="1" t="s">
        <v>40</v>
      </c>
      <c r="G1192">
        <v>3</v>
      </c>
      <c r="H1192" s="1" t="s">
        <v>96</v>
      </c>
      <c r="I1192" s="1" t="s">
        <v>27</v>
      </c>
      <c r="J1192">
        <v>7</v>
      </c>
      <c r="K1192">
        <v>21.99</v>
      </c>
      <c r="L1192" s="1" t="s">
        <v>28</v>
      </c>
      <c r="M1192" s="1" t="s">
        <v>29</v>
      </c>
      <c r="N1192" s="1" t="s">
        <v>30</v>
      </c>
      <c r="O1192" s="1" t="s">
        <v>31</v>
      </c>
      <c r="P1192" s="2">
        <v>45778</v>
      </c>
      <c r="Q1192" s="1" t="s">
        <v>850</v>
      </c>
      <c r="R1192" s="1" t="s">
        <v>2445</v>
      </c>
      <c r="S1192" s="1" t="s">
        <v>65</v>
      </c>
      <c r="T1192" s="1" t="s">
        <v>35</v>
      </c>
      <c r="U1192" s="1" t="s">
        <v>48</v>
      </c>
      <c r="V1192" s="1" t="s">
        <v>37</v>
      </c>
      <c r="W1192">
        <v>2</v>
      </c>
    </row>
    <row r="1193" spans="1:23" x14ac:dyDescent="0.3">
      <c r="A1193" s="1" t="s">
        <v>2446</v>
      </c>
      <c r="B1193">
        <v>2</v>
      </c>
      <c r="C1193">
        <v>34.99</v>
      </c>
      <c r="D1193">
        <v>60.72</v>
      </c>
      <c r="E1193" s="1" t="s">
        <v>2149</v>
      </c>
      <c r="F1193" s="1" t="s">
        <v>70</v>
      </c>
      <c r="G1193">
        <v>0</v>
      </c>
      <c r="H1193" s="1" t="s">
        <v>26</v>
      </c>
      <c r="I1193" s="1" t="s">
        <v>85</v>
      </c>
      <c r="J1193">
        <v>12.5</v>
      </c>
      <c r="K1193">
        <v>34.99</v>
      </c>
      <c r="L1193" s="1" t="s">
        <v>60</v>
      </c>
      <c r="M1193" s="1" t="s">
        <v>29</v>
      </c>
      <c r="N1193" s="1" t="s">
        <v>30</v>
      </c>
      <c r="O1193" s="1" t="s">
        <v>31</v>
      </c>
      <c r="P1193" s="2">
        <v>45778</v>
      </c>
      <c r="Q1193" s="1" t="s">
        <v>738</v>
      </c>
      <c r="R1193" s="1" t="s">
        <v>739</v>
      </c>
      <c r="S1193" s="1" t="s">
        <v>34</v>
      </c>
      <c r="T1193" s="1" t="s">
        <v>35</v>
      </c>
      <c r="U1193" s="1" t="s">
        <v>82</v>
      </c>
      <c r="V1193" s="1" t="s">
        <v>89</v>
      </c>
      <c r="W1193">
        <v>2.4</v>
      </c>
    </row>
    <row r="1194" spans="1:23" x14ac:dyDescent="0.3">
      <c r="A1194" s="1" t="s">
        <v>2447</v>
      </c>
      <c r="B1194">
        <v>3</v>
      </c>
      <c r="C1194">
        <v>27.99</v>
      </c>
      <c r="D1194">
        <v>66.040000000000006</v>
      </c>
      <c r="E1194" s="1" t="s">
        <v>2045</v>
      </c>
      <c r="F1194" s="1" t="s">
        <v>51</v>
      </c>
      <c r="G1194">
        <v>0</v>
      </c>
      <c r="H1194" s="1" t="s">
        <v>96</v>
      </c>
      <c r="I1194" s="1" t="s">
        <v>75</v>
      </c>
      <c r="J1194">
        <v>9</v>
      </c>
      <c r="K1194">
        <v>27.99</v>
      </c>
      <c r="L1194" s="1" t="s">
        <v>28</v>
      </c>
      <c r="M1194" s="1" t="s">
        <v>61</v>
      </c>
      <c r="N1194" s="1" t="s">
        <v>62</v>
      </c>
      <c r="O1194" s="1" t="s">
        <v>31</v>
      </c>
      <c r="P1194" s="2">
        <v>45726</v>
      </c>
      <c r="Q1194" s="1" t="s">
        <v>732</v>
      </c>
      <c r="R1194" s="1" t="s">
        <v>1263</v>
      </c>
      <c r="S1194" s="1" t="s">
        <v>88</v>
      </c>
      <c r="T1194" s="1" t="s">
        <v>35</v>
      </c>
      <c r="U1194" s="1" t="s">
        <v>82</v>
      </c>
      <c r="V1194" s="1" t="s">
        <v>37</v>
      </c>
      <c r="W1194">
        <v>2</v>
      </c>
    </row>
    <row r="1195" spans="1:23" x14ac:dyDescent="0.3">
      <c r="A1195" s="1" t="s">
        <v>2448</v>
      </c>
      <c r="B1195">
        <v>1</v>
      </c>
      <c r="C1195">
        <v>30.99</v>
      </c>
      <c r="D1195">
        <v>30.99</v>
      </c>
      <c r="E1195" s="1" t="s">
        <v>1807</v>
      </c>
      <c r="F1195" s="1" t="s">
        <v>40</v>
      </c>
      <c r="G1195">
        <v>2</v>
      </c>
      <c r="H1195" s="1" t="s">
        <v>58</v>
      </c>
      <c r="I1195" s="1" t="s">
        <v>42</v>
      </c>
      <c r="J1195">
        <v>10.5</v>
      </c>
      <c r="K1195">
        <v>30.99</v>
      </c>
      <c r="L1195" s="1" t="s">
        <v>28</v>
      </c>
      <c r="M1195" s="1" t="s">
        <v>43</v>
      </c>
      <c r="N1195" s="1" t="s">
        <v>44</v>
      </c>
      <c r="O1195" s="1" t="s">
        <v>31</v>
      </c>
      <c r="P1195" s="2">
        <v>45823</v>
      </c>
      <c r="Q1195" s="1" t="s">
        <v>2449</v>
      </c>
      <c r="R1195" s="1" t="s">
        <v>2450</v>
      </c>
      <c r="S1195" s="1" t="s">
        <v>47</v>
      </c>
      <c r="T1195" s="1" t="s">
        <v>35</v>
      </c>
      <c r="U1195" s="1" t="s">
        <v>36</v>
      </c>
      <c r="V1195" s="1" t="s">
        <v>37</v>
      </c>
      <c r="W1195">
        <v>2</v>
      </c>
    </row>
    <row r="1196" spans="1:23" x14ac:dyDescent="0.3">
      <c r="A1196" s="1" t="s">
        <v>2451</v>
      </c>
      <c r="B1196">
        <v>1</v>
      </c>
      <c r="C1196">
        <v>30.99</v>
      </c>
      <c r="D1196">
        <v>30.99</v>
      </c>
      <c r="E1196" s="1" t="s">
        <v>2156</v>
      </c>
      <c r="F1196" s="1" t="s">
        <v>40</v>
      </c>
      <c r="G1196">
        <v>2</v>
      </c>
      <c r="H1196" s="1" t="s">
        <v>96</v>
      </c>
      <c r="I1196" s="1" t="s">
        <v>42</v>
      </c>
      <c r="J1196">
        <v>10.5</v>
      </c>
      <c r="K1196">
        <v>30.99</v>
      </c>
      <c r="L1196" s="1" t="s">
        <v>28</v>
      </c>
      <c r="M1196" s="1" t="s">
        <v>43</v>
      </c>
      <c r="N1196" s="1" t="s">
        <v>44</v>
      </c>
      <c r="O1196" s="1" t="s">
        <v>31</v>
      </c>
      <c r="P1196" s="2">
        <v>45823</v>
      </c>
      <c r="Q1196" s="1" t="s">
        <v>2452</v>
      </c>
      <c r="R1196" s="1" t="s">
        <v>2453</v>
      </c>
      <c r="S1196" s="1" t="s">
        <v>34</v>
      </c>
      <c r="T1196" s="1" t="s">
        <v>35</v>
      </c>
      <c r="U1196" s="1" t="s">
        <v>66</v>
      </c>
      <c r="V1196" s="1" t="s">
        <v>37</v>
      </c>
      <c r="W1196">
        <v>2</v>
      </c>
    </row>
    <row r="1197" spans="1:23" x14ac:dyDescent="0.3">
      <c r="A1197" s="1" t="s">
        <v>2454</v>
      </c>
      <c r="B1197">
        <v>1</v>
      </c>
      <c r="C1197">
        <v>30.99</v>
      </c>
      <c r="D1197">
        <v>30.99</v>
      </c>
      <c r="E1197" s="1" t="s">
        <v>1738</v>
      </c>
      <c r="F1197" s="1" t="s">
        <v>51</v>
      </c>
      <c r="G1197">
        <v>0</v>
      </c>
      <c r="H1197" s="1" t="s">
        <v>26</v>
      </c>
      <c r="I1197" s="1" t="s">
        <v>42</v>
      </c>
      <c r="J1197">
        <v>10.5</v>
      </c>
      <c r="K1197">
        <v>30.99</v>
      </c>
      <c r="L1197" s="1" t="s">
        <v>28</v>
      </c>
      <c r="M1197" s="1" t="s">
        <v>43</v>
      </c>
      <c r="N1197" s="1" t="s">
        <v>44</v>
      </c>
      <c r="O1197" s="1" t="s">
        <v>31</v>
      </c>
      <c r="P1197" s="2">
        <v>45823</v>
      </c>
      <c r="Q1197" s="1" t="s">
        <v>1286</v>
      </c>
      <c r="R1197" s="1" t="s">
        <v>1861</v>
      </c>
      <c r="S1197" s="1" t="s">
        <v>88</v>
      </c>
      <c r="T1197" s="1" t="s">
        <v>35</v>
      </c>
      <c r="U1197" s="1" t="s">
        <v>48</v>
      </c>
      <c r="V1197" s="1" t="s">
        <v>37</v>
      </c>
      <c r="W1197">
        <v>2</v>
      </c>
    </row>
    <row r="1198" spans="1:23" x14ac:dyDescent="0.3">
      <c r="A1198" s="1" t="s">
        <v>2455</v>
      </c>
      <c r="B1198">
        <v>3</v>
      </c>
      <c r="C1198">
        <v>27.99</v>
      </c>
      <c r="D1198">
        <v>68</v>
      </c>
      <c r="E1198" s="1" t="s">
        <v>2456</v>
      </c>
      <c r="F1198" s="1" t="s">
        <v>40</v>
      </c>
      <c r="G1198">
        <v>2</v>
      </c>
      <c r="H1198" s="1" t="s">
        <v>41</v>
      </c>
      <c r="I1198" s="1" t="s">
        <v>75</v>
      </c>
      <c r="J1198">
        <v>9</v>
      </c>
      <c r="K1198">
        <v>27.99</v>
      </c>
      <c r="L1198" s="1" t="s">
        <v>28</v>
      </c>
      <c r="M1198" s="1" t="s">
        <v>61</v>
      </c>
      <c r="N1198" s="1" t="s">
        <v>62</v>
      </c>
      <c r="O1198" s="1" t="s">
        <v>31</v>
      </c>
      <c r="P1198" s="2">
        <v>45726</v>
      </c>
      <c r="Q1198" s="1" t="s">
        <v>342</v>
      </c>
      <c r="R1198" s="1" t="s">
        <v>2457</v>
      </c>
      <c r="S1198" s="1" t="s">
        <v>65</v>
      </c>
      <c r="T1198" s="1" t="s">
        <v>35</v>
      </c>
      <c r="U1198" s="1" t="s">
        <v>36</v>
      </c>
      <c r="V1198" s="1" t="s">
        <v>37</v>
      </c>
      <c r="W1198">
        <v>2</v>
      </c>
    </row>
    <row r="1199" spans="1:23" x14ac:dyDescent="0.3">
      <c r="A1199" s="1" t="s">
        <v>2458</v>
      </c>
      <c r="B1199">
        <v>1</v>
      </c>
      <c r="C1199">
        <v>30.99</v>
      </c>
      <c r="D1199">
        <v>30.99</v>
      </c>
      <c r="E1199" s="1" t="s">
        <v>1168</v>
      </c>
      <c r="F1199" s="1" t="s">
        <v>40</v>
      </c>
      <c r="G1199">
        <v>2</v>
      </c>
      <c r="H1199" s="1" t="s">
        <v>96</v>
      </c>
      <c r="I1199" s="1" t="s">
        <v>42</v>
      </c>
      <c r="J1199">
        <v>10.5</v>
      </c>
      <c r="K1199">
        <v>30.99</v>
      </c>
      <c r="L1199" s="1" t="s">
        <v>28</v>
      </c>
      <c r="M1199" s="1" t="s">
        <v>43</v>
      </c>
      <c r="N1199" s="1" t="s">
        <v>44</v>
      </c>
      <c r="O1199" s="1" t="s">
        <v>31</v>
      </c>
      <c r="P1199" s="2">
        <v>45823</v>
      </c>
      <c r="Q1199" s="1" t="s">
        <v>1191</v>
      </c>
      <c r="R1199" s="1" t="s">
        <v>1365</v>
      </c>
      <c r="S1199" s="1" t="s">
        <v>54</v>
      </c>
      <c r="T1199" s="1" t="s">
        <v>35</v>
      </c>
      <c r="U1199" s="1" t="s">
        <v>82</v>
      </c>
      <c r="V1199" s="1" t="s">
        <v>37</v>
      </c>
      <c r="W1199">
        <v>2</v>
      </c>
    </row>
    <row r="1200" spans="1:23" x14ac:dyDescent="0.3">
      <c r="A1200" s="1" t="s">
        <v>2459</v>
      </c>
      <c r="B1200">
        <v>1</v>
      </c>
      <c r="C1200">
        <v>21.99</v>
      </c>
      <c r="D1200">
        <v>21.99</v>
      </c>
      <c r="E1200" s="1" t="s">
        <v>181</v>
      </c>
      <c r="F1200" s="1" t="s">
        <v>25</v>
      </c>
      <c r="G1200">
        <v>2</v>
      </c>
      <c r="H1200" s="1" t="s">
        <v>41</v>
      </c>
      <c r="I1200" s="1" t="s">
        <v>27</v>
      </c>
      <c r="J1200">
        <v>7</v>
      </c>
      <c r="K1200">
        <v>21.99</v>
      </c>
      <c r="L1200" s="1" t="s">
        <v>28</v>
      </c>
      <c r="M1200" s="1" t="s">
        <v>29</v>
      </c>
      <c r="N1200" s="1" t="s">
        <v>30</v>
      </c>
      <c r="O1200" s="1" t="s">
        <v>31</v>
      </c>
      <c r="P1200" s="2">
        <v>45778</v>
      </c>
      <c r="Q1200" s="1" t="s">
        <v>1272</v>
      </c>
      <c r="R1200" s="1" t="s">
        <v>1273</v>
      </c>
      <c r="S1200" s="1" t="s">
        <v>88</v>
      </c>
      <c r="T1200" s="1" t="s">
        <v>35</v>
      </c>
      <c r="U1200" s="1" t="s">
        <v>48</v>
      </c>
      <c r="V1200" s="1" t="s">
        <v>37</v>
      </c>
      <c r="W1200">
        <v>2</v>
      </c>
    </row>
    <row r="1201" spans="1:23" x14ac:dyDescent="0.3">
      <c r="A1201" s="1" t="s">
        <v>2460</v>
      </c>
      <c r="B1201">
        <v>1</v>
      </c>
      <c r="C1201">
        <v>16.989999999999998</v>
      </c>
      <c r="D1201">
        <v>16.989999999999998</v>
      </c>
      <c r="E1201" s="1" t="s">
        <v>102</v>
      </c>
      <c r="F1201" s="1" t="s">
        <v>40</v>
      </c>
      <c r="G1201">
        <v>17</v>
      </c>
      <c r="H1201" s="1" t="s">
        <v>58</v>
      </c>
      <c r="I1201" s="1" t="s">
        <v>59</v>
      </c>
      <c r="J1201">
        <v>5</v>
      </c>
      <c r="K1201">
        <v>16.989999999999998</v>
      </c>
      <c r="L1201" s="1" t="s">
        <v>60</v>
      </c>
      <c r="M1201" s="1" t="s">
        <v>61</v>
      </c>
      <c r="N1201" s="1" t="s">
        <v>62</v>
      </c>
      <c r="O1201" s="1" t="s">
        <v>31</v>
      </c>
      <c r="P1201" s="2">
        <v>45726</v>
      </c>
      <c r="Q1201" s="1" t="s">
        <v>137</v>
      </c>
      <c r="R1201" s="1" t="s">
        <v>2461</v>
      </c>
      <c r="S1201" s="1" t="s">
        <v>34</v>
      </c>
      <c r="T1201" s="1" t="s">
        <v>35</v>
      </c>
      <c r="U1201" s="1" t="s">
        <v>36</v>
      </c>
      <c r="V1201" s="1" t="s">
        <v>67</v>
      </c>
      <c r="W1201">
        <v>3</v>
      </c>
    </row>
    <row r="1202" spans="1:23" x14ac:dyDescent="0.3">
      <c r="A1202" s="1" t="s">
        <v>2462</v>
      </c>
      <c r="B1202">
        <v>1</v>
      </c>
      <c r="C1202">
        <v>34.99</v>
      </c>
      <c r="D1202">
        <v>34.99</v>
      </c>
      <c r="E1202" s="1" t="s">
        <v>2463</v>
      </c>
      <c r="F1202" s="1" t="s">
        <v>40</v>
      </c>
      <c r="G1202">
        <v>7</v>
      </c>
      <c r="H1202" s="1" t="s">
        <v>96</v>
      </c>
      <c r="I1202" s="1" t="s">
        <v>85</v>
      </c>
      <c r="J1202">
        <v>12.5</v>
      </c>
      <c r="K1202">
        <v>34.99</v>
      </c>
      <c r="L1202" s="1" t="s">
        <v>60</v>
      </c>
      <c r="M1202" s="1" t="s">
        <v>29</v>
      </c>
      <c r="N1202" s="1" t="s">
        <v>30</v>
      </c>
      <c r="O1202" s="1" t="s">
        <v>31</v>
      </c>
      <c r="P1202" s="2">
        <v>45778</v>
      </c>
      <c r="Q1202" s="1" t="s">
        <v>1211</v>
      </c>
      <c r="R1202" s="1" t="s">
        <v>1212</v>
      </c>
      <c r="S1202" s="1" t="s">
        <v>34</v>
      </c>
      <c r="T1202" s="1" t="s">
        <v>35</v>
      </c>
      <c r="U1202" s="1" t="s">
        <v>66</v>
      </c>
      <c r="V1202" s="1" t="s">
        <v>89</v>
      </c>
      <c r="W1202">
        <v>2.4</v>
      </c>
    </row>
    <row r="1203" spans="1:23" x14ac:dyDescent="0.3">
      <c r="A1203" s="1" t="s">
        <v>2464</v>
      </c>
      <c r="B1203">
        <v>1</v>
      </c>
      <c r="C1203">
        <v>16.989999999999998</v>
      </c>
      <c r="D1203">
        <v>16.989999999999998</v>
      </c>
      <c r="E1203" s="1" t="s">
        <v>1217</v>
      </c>
      <c r="F1203" s="1" t="s">
        <v>40</v>
      </c>
      <c r="G1203">
        <v>19</v>
      </c>
      <c r="H1203" s="1" t="s">
        <v>26</v>
      </c>
      <c r="I1203" s="1" t="s">
        <v>59</v>
      </c>
      <c r="J1203">
        <v>5</v>
      </c>
      <c r="K1203">
        <v>16.989999999999998</v>
      </c>
      <c r="L1203" s="1" t="s">
        <v>60</v>
      </c>
      <c r="M1203" s="1" t="s">
        <v>61</v>
      </c>
      <c r="N1203" s="1" t="s">
        <v>62</v>
      </c>
      <c r="O1203" s="1" t="s">
        <v>31</v>
      </c>
      <c r="P1203" s="2">
        <v>45726</v>
      </c>
      <c r="Q1203" s="1" t="s">
        <v>1028</v>
      </c>
      <c r="R1203" s="1" t="s">
        <v>2465</v>
      </c>
      <c r="S1203" s="1" t="s">
        <v>34</v>
      </c>
      <c r="T1203" s="1" t="s">
        <v>35</v>
      </c>
      <c r="U1203" s="1" t="s">
        <v>55</v>
      </c>
      <c r="V1203" s="1" t="s">
        <v>67</v>
      </c>
      <c r="W1203">
        <v>3</v>
      </c>
    </row>
    <row r="1204" spans="1:23" x14ac:dyDescent="0.3">
      <c r="A1204" s="1" t="s">
        <v>2466</v>
      </c>
      <c r="B1204">
        <v>2</v>
      </c>
      <c r="C1204">
        <v>18.989999999999998</v>
      </c>
      <c r="D1204">
        <v>32.53</v>
      </c>
      <c r="E1204" s="1" t="s">
        <v>744</v>
      </c>
      <c r="F1204" s="1" t="s">
        <v>51</v>
      </c>
      <c r="G1204">
        <v>0</v>
      </c>
      <c r="H1204" s="1" t="s">
        <v>41</v>
      </c>
      <c r="I1204" s="1" t="s">
        <v>97</v>
      </c>
      <c r="J1204">
        <v>6</v>
      </c>
      <c r="K1204">
        <v>18.989999999999998</v>
      </c>
      <c r="L1204" s="1" t="s">
        <v>60</v>
      </c>
      <c r="M1204" s="1" t="s">
        <v>43</v>
      </c>
      <c r="N1204" s="1" t="s">
        <v>44</v>
      </c>
      <c r="O1204" s="1" t="s">
        <v>31</v>
      </c>
      <c r="P1204" s="2">
        <v>45823</v>
      </c>
      <c r="Q1204" s="1" t="s">
        <v>917</v>
      </c>
      <c r="R1204" s="1" t="s">
        <v>2467</v>
      </c>
      <c r="S1204" s="1" t="s">
        <v>54</v>
      </c>
      <c r="T1204" s="1" t="s">
        <v>35</v>
      </c>
      <c r="U1204" s="1" t="s">
        <v>36</v>
      </c>
      <c r="V1204" s="1" t="s">
        <v>100</v>
      </c>
      <c r="W1204">
        <v>3.2</v>
      </c>
    </row>
    <row r="1205" spans="1:23" x14ac:dyDescent="0.3">
      <c r="A1205" s="1" t="s">
        <v>2468</v>
      </c>
      <c r="B1205">
        <v>3</v>
      </c>
      <c r="C1205">
        <v>27.99</v>
      </c>
      <c r="D1205">
        <v>65.959999999999994</v>
      </c>
      <c r="E1205" s="1" t="s">
        <v>1733</v>
      </c>
      <c r="F1205" s="1" t="s">
        <v>40</v>
      </c>
      <c r="G1205">
        <v>7</v>
      </c>
      <c r="H1205" s="1" t="s">
        <v>26</v>
      </c>
      <c r="I1205" s="1" t="s">
        <v>75</v>
      </c>
      <c r="J1205">
        <v>9</v>
      </c>
      <c r="K1205">
        <v>27.99</v>
      </c>
      <c r="L1205" s="1" t="s">
        <v>28</v>
      </c>
      <c r="M1205" s="1" t="s">
        <v>61</v>
      </c>
      <c r="N1205" s="1" t="s">
        <v>62</v>
      </c>
      <c r="O1205" s="1" t="s">
        <v>31</v>
      </c>
      <c r="P1205" s="2">
        <v>45726</v>
      </c>
      <c r="Q1205" s="1" t="s">
        <v>2065</v>
      </c>
      <c r="R1205" s="1" t="s">
        <v>2066</v>
      </c>
      <c r="S1205" s="1" t="s">
        <v>47</v>
      </c>
      <c r="T1205" s="1" t="s">
        <v>35</v>
      </c>
      <c r="U1205" s="1" t="s">
        <v>66</v>
      </c>
      <c r="V1205" s="1" t="s">
        <v>37</v>
      </c>
      <c r="W1205">
        <v>2</v>
      </c>
    </row>
    <row r="1206" spans="1:23" x14ac:dyDescent="0.3">
      <c r="A1206" s="1" t="s">
        <v>2469</v>
      </c>
      <c r="B1206">
        <v>1</v>
      </c>
      <c r="C1206">
        <v>16.989999999999998</v>
      </c>
      <c r="D1206">
        <v>16.989999999999998</v>
      </c>
      <c r="E1206" s="1" t="s">
        <v>2470</v>
      </c>
      <c r="F1206" s="1" t="s">
        <v>40</v>
      </c>
      <c r="G1206">
        <v>16</v>
      </c>
      <c r="H1206" s="1" t="s">
        <v>26</v>
      </c>
      <c r="I1206" s="1" t="s">
        <v>59</v>
      </c>
      <c r="J1206">
        <v>5</v>
      </c>
      <c r="K1206">
        <v>16.989999999999998</v>
      </c>
      <c r="L1206" s="1" t="s">
        <v>60</v>
      </c>
      <c r="M1206" s="1" t="s">
        <v>61</v>
      </c>
      <c r="N1206" s="1" t="s">
        <v>62</v>
      </c>
      <c r="O1206" s="1" t="s">
        <v>31</v>
      </c>
      <c r="P1206" s="2">
        <v>45726</v>
      </c>
      <c r="Q1206" s="1" t="s">
        <v>1480</v>
      </c>
      <c r="R1206" s="1" t="s">
        <v>1699</v>
      </c>
      <c r="S1206" s="1" t="s">
        <v>88</v>
      </c>
      <c r="T1206" s="1" t="s">
        <v>35</v>
      </c>
      <c r="U1206" s="1" t="s">
        <v>48</v>
      </c>
      <c r="V1206" s="1" t="s">
        <v>67</v>
      </c>
      <c r="W1206">
        <v>3</v>
      </c>
    </row>
    <row r="1207" spans="1:23" x14ac:dyDescent="0.3">
      <c r="A1207" s="1" t="s">
        <v>2471</v>
      </c>
      <c r="B1207">
        <v>1</v>
      </c>
      <c r="C1207">
        <v>18.989999999999998</v>
      </c>
      <c r="D1207">
        <v>18.989999999999998</v>
      </c>
      <c r="E1207" s="1" t="s">
        <v>1161</v>
      </c>
      <c r="F1207" s="1" t="s">
        <v>40</v>
      </c>
      <c r="G1207">
        <v>18</v>
      </c>
      <c r="H1207" s="1" t="s">
        <v>26</v>
      </c>
      <c r="I1207" s="1" t="s">
        <v>97</v>
      </c>
      <c r="J1207">
        <v>6</v>
      </c>
      <c r="K1207">
        <v>18.989999999999998</v>
      </c>
      <c r="L1207" s="1" t="s">
        <v>60</v>
      </c>
      <c r="M1207" s="1" t="s">
        <v>43</v>
      </c>
      <c r="N1207" s="1" t="s">
        <v>44</v>
      </c>
      <c r="O1207" s="1" t="s">
        <v>31</v>
      </c>
      <c r="P1207" s="2">
        <v>45823</v>
      </c>
      <c r="Q1207" s="1" t="s">
        <v>828</v>
      </c>
      <c r="R1207" s="1" t="s">
        <v>829</v>
      </c>
      <c r="S1207" s="1" t="s">
        <v>65</v>
      </c>
      <c r="T1207" s="1" t="s">
        <v>35</v>
      </c>
      <c r="U1207" s="1" t="s">
        <v>48</v>
      </c>
      <c r="V1207" s="1" t="s">
        <v>100</v>
      </c>
      <c r="W1207">
        <v>3.2</v>
      </c>
    </row>
    <row r="1208" spans="1:23" x14ac:dyDescent="0.3">
      <c r="A1208" s="1" t="s">
        <v>2472</v>
      </c>
      <c r="B1208">
        <v>1</v>
      </c>
      <c r="C1208">
        <v>21.99</v>
      </c>
      <c r="D1208">
        <v>21.99</v>
      </c>
      <c r="E1208" s="1" t="s">
        <v>2473</v>
      </c>
      <c r="F1208" s="1" t="s">
        <v>40</v>
      </c>
      <c r="G1208">
        <v>2</v>
      </c>
      <c r="H1208" s="1" t="s">
        <v>96</v>
      </c>
      <c r="I1208" s="1" t="s">
        <v>27</v>
      </c>
      <c r="J1208">
        <v>7</v>
      </c>
      <c r="K1208">
        <v>21.99</v>
      </c>
      <c r="L1208" s="1" t="s">
        <v>28</v>
      </c>
      <c r="M1208" s="1" t="s">
        <v>29</v>
      </c>
      <c r="N1208" s="1" t="s">
        <v>30</v>
      </c>
      <c r="O1208" s="1" t="s">
        <v>31</v>
      </c>
      <c r="P1208" s="2">
        <v>45778</v>
      </c>
      <c r="Q1208" s="1" t="s">
        <v>437</v>
      </c>
      <c r="R1208" s="1" t="s">
        <v>1045</v>
      </c>
      <c r="S1208" s="1" t="s">
        <v>34</v>
      </c>
      <c r="T1208" s="1" t="s">
        <v>35</v>
      </c>
      <c r="U1208" s="1" t="s">
        <v>66</v>
      </c>
      <c r="V1208" s="1" t="s">
        <v>37</v>
      </c>
      <c r="W1208">
        <v>2</v>
      </c>
    </row>
    <row r="1209" spans="1:23" x14ac:dyDescent="0.3">
      <c r="A1209" s="1" t="s">
        <v>2474</v>
      </c>
      <c r="B1209">
        <v>3</v>
      </c>
      <c r="C1209">
        <v>30.99</v>
      </c>
      <c r="D1209">
        <v>74.930000000000007</v>
      </c>
      <c r="E1209" s="1" t="s">
        <v>2475</v>
      </c>
      <c r="F1209" s="1" t="s">
        <v>51</v>
      </c>
      <c r="G1209">
        <v>0</v>
      </c>
      <c r="H1209" s="1" t="s">
        <v>58</v>
      </c>
      <c r="I1209" s="1" t="s">
        <v>42</v>
      </c>
      <c r="J1209">
        <v>10.5</v>
      </c>
      <c r="K1209">
        <v>30.99</v>
      </c>
      <c r="L1209" s="1" t="s">
        <v>28</v>
      </c>
      <c r="M1209" s="1" t="s">
        <v>43</v>
      </c>
      <c r="N1209" s="1" t="s">
        <v>44</v>
      </c>
      <c r="O1209" s="1" t="s">
        <v>31</v>
      </c>
      <c r="P1209" s="2">
        <v>45823</v>
      </c>
      <c r="Q1209" s="1" t="s">
        <v>884</v>
      </c>
      <c r="R1209" s="1" t="s">
        <v>885</v>
      </c>
      <c r="S1209" s="1" t="s">
        <v>34</v>
      </c>
      <c r="T1209" s="1" t="s">
        <v>35</v>
      </c>
      <c r="U1209" s="1" t="s">
        <v>36</v>
      </c>
      <c r="V1209" s="1" t="s">
        <v>37</v>
      </c>
      <c r="W1209">
        <v>2</v>
      </c>
    </row>
    <row r="1210" spans="1:23" x14ac:dyDescent="0.3">
      <c r="A1210" s="1" t="s">
        <v>2476</v>
      </c>
      <c r="B1210">
        <v>1</v>
      </c>
      <c r="C1210">
        <v>21.99</v>
      </c>
      <c r="D1210">
        <v>21.99</v>
      </c>
      <c r="E1210" s="1" t="s">
        <v>246</v>
      </c>
      <c r="F1210" s="1" t="s">
        <v>51</v>
      </c>
      <c r="G1210">
        <v>0</v>
      </c>
      <c r="H1210" s="1" t="s">
        <v>41</v>
      </c>
      <c r="I1210" s="1" t="s">
        <v>27</v>
      </c>
      <c r="J1210">
        <v>7</v>
      </c>
      <c r="K1210">
        <v>21.99</v>
      </c>
      <c r="L1210" s="1" t="s">
        <v>28</v>
      </c>
      <c r="M1210" s="1" t="s">
        <v>29</v>
      </c>
      <c r="N1210" s="1" t="s">
        <v>30</v>
      </c>
      <c r="O1210" s="1" t="s">
        <v>31</v>
      </c>
      <c r="P1210" s="2">
        <v>45778</v>
      </c>
      <c r="Q1210" s="1" t="s">
        <v>1003</v>
      </c>
      <c r="R1210" s="1" t="s">
        <v>2477</v>
      </c>
      <c r="S1210" s="1" t="s">
        <v>54</v>
      </c>
      <c r="T1210" s="1" t="s">
        <v>35</v>
      </c>
      <c r="U1210" s="1" t="s">
        <v>66</v>
      </c>
      <c r="V1210" s="1" t="s">
        <v>37</v>
      </c>
      <c r="W1210">
        <v>2</v>
      </c>
    </row>
    <row r="1211" spans="1:23" x14ac:dyDescent="0.3">
      <c r="A1211" s="1" t="s">
        <v>2478</v>
      </c>
      <c r="B1211">
        <v>2</v>
      </c>
      <c r="C1211">
        <v>16.989999999999998</v>
      </c>
      <c r="D1211">
        <v>29.44</v>
      </c>
      <c r="E1211" s="1" t="s">
        <v>1122</v>
      </c>
      <c r="F1211" s="1" t="s">
        <v>188</v>
      </c>
      <c r="G1211">
        <v>0</v>
      </c>
      <c r="H1211" s="1" t="s">
        <v>41</v>
      </c>
      <c r="I1211" s="1" t="s">
        <v>59</v>
      </c>
      <c r="J1211">
        <v>5</v>
      </c>
      <c r="K1211">
        <v>16.989999999999998</v>
      </c>
      <c r="L1211" s="1" t="s">
        <v>60</v>
      </c>
      <c r="M1211" s="1" t="s">
        <v>61</v>
      </c>
      <c r="N1211" s="1" t="s">
        <v>62</v>
      </c>
      <c r="O1211" s="1" t="s">
        <v>31</v>
      </c>
      <c r="P1211" s="2">
        <v>45726</v>
      </c>
      <c r="Q1211" s="1" t="s">
        <v>1408</v>
      </c>
      <c r="R1211" s="1" t="s">
        <v>2299</v>
      </c>
      <c r="S1211" s="1" t="s">
        <v>47</v>
      </c>
      <c r="T1211" s="1" t="s">
        <v>35</v>
      </c>
      <c r="U1211" s="1" t="s">
        <v>55</v>
      </c>
      <c r="V1211" s="1" t="s">
        <v>67</v>
      </c>
      <c r="W1211">
        <v>3</v>
      </c>
    </row>
    <row r="1212" spans="1:23" x14ac:dyDescent="0.3">
      <c r="A1212" s="1" t="s">
        <v>2479</v>
      </c>
      <c r="B1212">
        <v>1</v>
      </c>
      <c r="C1212">
        <v>18.989999999999998</v>
      </c>
      <c r="D1212">
        <v>18.989999999999998</v>
      </c>
      <c r="E1212" s="1" t="s">
        <v>786</v>
      </c>
      <c r="F1212" s="1" t="s">
        <v>40</v>
      </c>
      <c r="G1212">
        <v>10</v>
      </c>
      <c r="H1212" s="1" t="s">
        <v>26</v>
      </c>
      <c r="I1212" s="1" t="s">
        <v>97</v>
      </c>
      <c r="J1212">
        <v>6</v>
      </c>
      <c r="K1212">
        <v>18.989999999999998</v>
      </c>
      <c r="L1212" s="1" t="s">
        <v>60</v>
      </c>
      <c r="M1212" s="1" t="s">
        <v>43</v>
      </c>
      <c r="N1212" s="1" t="s">
        <v>44</v>
      </c>
      <c r="O1212" s="1" t="s">
        <v>31</v>
      </c>
      <c r="P1212" s="2">
        <v>45823</v>
      </c>
      <c r="Q1212" s="1" t="s">
        <v>913</v>
      </c>
      <c r="R1212" s="1" t="s">
        <v>914</v>
      </c>
      <c r="S1212" s="1" t="s">
        <v>65</v>
      </c>
      <c r="T1212" s="1" t="s">
        <v>35</v>
      </c>
      <c r="U1212" s="1" t="s">
        <v>48</v>
      </c>
      <c r="V1212" s="1" t="s">
        <v>100</v>
      </c>
      <c r="W1212">
        <v>3.2</v>
      </c>
    </row>
    <row r="1213" spans="1:23" x14ac:dyDescent="0.3">
      <c r="A1213" s="1" t="s">
        <v>2480</v>
      </c>
      <c r="B1213">
        <v>1</v>
      </c>
      <c r="C1213">
        <v>27.99</v>
      </c>
      <c r="D1213">
        <v>27.99</v>
      </c>
      <c r="E1213" s="1" t="s">
        <v>584</v>
      </c>
      <c r="F1213" s="1" t="s">
        <v>40</v>
      </c>
      <c r="G1213">
        <v>3</v>
      </c>
      <c r="H1213" s="1" t="s">
        <v>26</v>
      </c>
      <c r="I1213" s="1" t="s">
        <v>75</v>
      </c>
      <c r="J1213">
        <v>9</v>
      </c>
      <c r="K1213">
        <v>27.99</v>
      </c>
      <c r="L1213" s="1" t="s">
        <v>28</v>
      </c>
      <c r="M1213" s="1" t="s">
        <v>61</v>
      </c>
      <c r="N1213" s="1" t="s">
        <v>62</v>
      </c>
      <c r="O1213" s="1" t="s">
        <v>31</v>
      </c>
      <c r="P1213" s="2">
        <v>45726</v>
      </c>
      <c r="Q1213" s="1" t="s">
        <v>1878</v>
      </c>
      <c r="R1213" s="1" t="s">
        <v>1879</v>
      </c>
      <c r="S1213" s="1" t="s">
        <v>54</v>
      </c>
      <c r="T1213" s="1" t="s">
        <v>35</v>
      </c>
      <c r="U1213" s="1" t="s">
        <v>66</v>
      </c>
      <c r="V1213" s="1" t="s">
        <v>37</v>
      </c>
      <c r="W1213">
        <v>2</v>
      </c>
    </row>
    <row r="1214" spans="1:23" x14ac:dyDescent="0.3">
      <c r="A1214" s="1" t="s">
        <v>2481</v>
      </c>
      <c r="B1214">
        <v>2</v>
      </c>
      <c r="C1214">
        <v>21.99</v>
      </c>
      <c r="D1214">
        <v>38.26</v>
      </c>
      <c r="E1214" s="1" t="s">
        <v>1051</v>
      </c>
      <c r="F1214" s="1" t="s">
        <v>40</v>
      </c>
      <c r="G1214">
        <v>2</v>
      </c>
      <c r="H1214" s="1" t="s">
        <v>41</v>
      </c>
      <c r="I1214" s="1" t="s">
        <v>27</v>
      </c>
      <c r="J1214">
        <v>7</v>
      </c>
      <c r="K1214">
        <v>21.99</v>
      </c>
      <c r="L1214" s="1" t="s">
        <v>28</v>
      </c>
      <c r="M1214" s="1" t="s">
        <v>29</v>
      </c>
      <c r="N1214" s="1" t="s">
        <v>30</v>
      </c>
      <c r="O1214" s="1" t="s">
        <v>31</v>
      </c>
      <c r="P1214" s="2">
        <v>45778</v>
      </c>
      <c r="Q1214" s="1" t="s">
        <v>2398</v>
      </c>
      <c r="R1214" s="1" t="s">
        <v>2399</v>
      </c>
      <c r="S1214" s="1" t="s">
        <v>47</v>
      </c>
      <c r="T1214" s="1" t="s">
        <v>35</v>
      </c>
      <c r="U1214" s="1" t="s">
        <v>82</v>
      </c>
      <c r="V1214" s="1" t="s">
        <v>37</v>
      </c>
      <c r="W1214">
        <v>2</v>
      </c>
    </row>
    <row r="1215" spans="1:23" x14ac:dyDescent="0.3">
      <c r="A1215" s="1" t="s">
        <v>2482</v>
      </c>
      <c r="B1215">
        <v>3</v>
      </c>
      <c r="C1215">
        <v>18.989999999999998</v>
      </c>
      <c r="D1215">
        <v>45.03</v>
      </c>
      <c r="E1215" s="1" t="s">
        <v>1129</v>
      </c>
      <c r="F1215" s="1" t="s">
        <v>40</v>
      </c>
      <c r="G1215">
        <v>10</v>
      </c>
      <c r="H1215" s="1" t="s">
        <v>26</v>
      </c>
      <c r="I1215" s="1" t="s">
        <v>97</v>
      </c>
      <c r="J1215">
        <v>6</v>
      </c>
      <c r="K1215">
        <v>18.989999999999998</v>
      </c>
      <c r="L1215" s="1" t="s">
        <v>60</v>
      </c>
      <c r="M1215" s="1" t="s">
        <v>43</v>
      </c>
      <c r="N1215" s="1" t="s">
        <v>44</v>
      </c>
      <c r="O1215" s="1" t="s">
        <v>31</v>
      </c>
      <c r="P1215" s="2">
        <v>45823</v>
      </c>
      <c r="Q1215" s="1" t="s">
        <v>832</v>
      </c>
      <c r="R1215" s="1" t="s">
        <v>879</v>
      </c>
      <c r="S1215" s="1" t="s">
        <v>105</v>
      </c>
      <c r="T1215" s="1" t="s">
        <v>35</v>
      </c>
      <c r="U1215" s="1" t="s">
        <v>66</v>
      </c>
      <c r="V1215" s="1" t="s">
        <v>100</v>
      </c>
      <c r="W1215">
        <v>3.2</v>
      </c>
    </row>
    <row r="1216" spans="1:23" x14ac:dyDescent="0.3">
      <c r="A1216" s="1" t="s">
        <v>2483</v>
      </c>
      <c r="B1216">
        <v>1</v>
      </c>
      <c r="C1216">
        <v>18.989999999999998</v>
      </c>
      <c r="D1216">
        <v>18.989999999999998</v>
      </c>
      <c r="E1216" s="1" t="s">
        <v>175</v>
      </c>
      <c r="F1216" s="1" t="s">
        <v>40</v>
      </c>
      <c r="G1216">
        <v>10</v>
      </c>
      <c r="H1216" s="1" t="s">
        <v>58</v>
      </c>
      <c r="I1216" s="1" t="s">
        <v>97</v>
      </c>
      <c r="J1216">
        <v>6</v>
      </c>
      <c r="K1216">
        <v>18.989999999999998</v>
      </c>
      <c r="L1216" s="1" t="s">
        <v>60</v>
      </c>
      <c r="M1216" s="1" t="s">
        <v>43</v>
      </c>
      <c r="N1216" s="1" t="s">
        <v>44</v>
      </c>
      <c r="O1216" s="1" t="s">
        <v>31</v>
      </c>
      <c r="P1216" s="2">
        <v>45823</v>
      </c>
      <c r="Q1216" s="1" t="s">
        <v>917</v>
      </c>
      <c r="R1216" s="1" t="s">
        <v>918</v>
      </c>
      <c r="S1216" s="1" t="s">
        <v>54</v>
      </c>
      <c r="T1216" s="1" t="s">
        <v>35</v>
      </c>
      <c r="U1216" s="1" t="s">
        <v>36</v>
      </c>
      <c r="V1216" s="1" t="s">
        <v>100</v>
      </c>
      <c r="W1216">
        <v>3.2</v>
      </c>
    </row>
    <row r="1217" spans="1:23" x14ac:dyDescent="0.3">
      <c r="A1217" s="1" t="s">
        <v>2484</v>
      </c>
      <c r="B1217">
        <v>1</v>
      </c>
      <c r="C1217">
        <v>30.99</v>
      </c>
      <c r="D1217">
        <v>30.99</v>
      </c>
      <c r="E1217" s="1" t="s">
        <v>1122</v>
      </c>
      <c r="F1217" s="1" t="s">
        <v>40</v>
      </c>
      <c r="G1217">
        <v>2</v>
      </c>
      <c r="H1217" s="1" t="s">
        <v>26</v>
      </c>
      <c r="I1217" s="1" t="s">
        <v>42</v>
      </c>
      <c r="J1217">
        <v>10.5</v>
      </c>
      <c r="K1217">
        <v>30.99</v>
      </c>
      <c r="L1217" s="1" t="s">
        <v>28</v>
      </c>
      <c r="M1217" s="1" t="s">
        <v>43</v>
      </c>
      <c r="N1217" s="1" t="s">
        <v>44</v>
      </c>
      <c r="O1217" s="1" t="s">
        <v>31</v>
      </c>
      <c r="P1217" s="2">
        <v>45823</v>
      </c>
      <c r="Q1217" s="1" t="s">
        <v>1969</v>
      </c>
      <c r="R1217" s="1" t="s">
        <v>1970</v>
      </c>
      <c r="S1217" s="1" t="s">
        <v>34</v>
      </c>
      <c r="T1217" s="1" t="s">
        <v>35</v>
      </c>
      <c r="U1217" s="1" t="s">
        <v>55</v>
      </c>
      <c r="V1217" s="1" t="s">
        <v>37</v>
      </c>
      <c r="W1217">
        <v>2</v>
      </c>
    </row>
    <row r="1218" spans="1:23" x14ac:dyDescent="0.3">
      <c r="A1218" s="1" t="s">
        <v>2485</v>
      </c>
      <c r="B1218">
        <v>1</v>
      </c>
      <c r="C1218">
        <v>18.989999999999998</v>
      </c>
      <c r="D1218">
        <v>18.989999999999998</v>
      </c>
      <c r="E1218" s="1" t="s">
        <v>2486</v>
      </c>
      <c r="F1218" s="1" t="s">
        <v>40</v>
      </c>
      <c r="G1218">
        <v>16</v>
      </c>
      <c r="H1218" s="1" t="s">
        <v>58</v>
      </c>
      <c r="I1218" s="1" t="s">
        <v>97</v>
      </c>
      <c r="J1218">
        <v>6</v>
      </c>
      <c r="K1218">
        <v>18.989999999999998</v>
      </c>
      <c r="L1218" s="1" t="s">
        <v>60</v>
      </c>
      <c r="M1218" s="1" t="s">
        <v>43</v>
      </c>
      <c r="N1218" s="1" t="s">
        <v>44</v>
      </c>
      <c r="O1218" s="1" t="s">
        <v>31</v>
      </c>
      <c r="P1218" s="2">
        <v>45823</v>
      </c>
      <c r="Q1218" s="1" t="s">
        <v>176</v>
      </c>
      <c r="R1218" s="1" t="s">
        <v>1789</v>
      </c>
      <c r="S1218" s="1" t="s">
        <v>54</v>
      </c>
      <c r="T1218" s="1" t="s">
        <v>35</v>
      </c>
      <c r="U1218" s="1" t="s">
        <v>66</v>
      </c>
      <c r="V1218" s="1" t="s">
        <v>100</v>
      </c>
      <c r="W1218">
        <v>3.2</v>
      </c>
    </row>
    <row r="1219" spans="1:23" x14ac:dyDescent="0.3">
      <c r="A1219" s="1" t="s">
        <v>2487</v>
      </c>
      <c r="B1219">
        <v>1</v>
      </c>
      <c r="C1219">
        <v>30.99</v>
      </c>
      <c r="D1219">
        <v>30.99</v>
      </c>
      <c r="E1219" s="1" t="s">
        <v>1727</v>
      </c>
      <c r="F1219" s="1" t="s">
        <v>40</v>
      </c>
      <c r="G1219">
        <v>3</v>
      </c>
      <c r="H1219" s="1" t="s">
        <v>96</v>
      </c>
      <c r="I1219" s="1" t="s">
        <v>42</v>
      </c>
      <c r="J1219">
        <v>10.5</v>
      </c>
      <c r="K1219">
        <v>30.99</v>
      </c>
      <c r="L1219" s="1" t="s">
        <v>28</v>
      </c>
      <c r="M1219" s="1" t="s">
        <v>43</v>
      </c>
      <c r="N1219" s="1" t="s">
        <v>44</v>
      </c>
      <c r="O1219" s="1" t="s">
        <v>31</v>
      </c>
      <c r="P1219" s="2">
        <v>45823</v>
      </c>
      <c r="Q1219" s="1" t="s">
        <v>728</v>
      </c>
      <c r="R1219" s="1" t="s">
        <v>729</v>
      </c>
      <c r="S1219" s="1" t="s">
        <v>88</v>
      </c>
      <c r="T1219" s="1" t="s">
        <v>35</v>
      </c>
      <c r="U1219" s="1" t="s">
        <v>55</v>
      </c>
      <c r="V1219" s="1" t="s">
        <v>37</v>
      </c>
      <c r="W1219">
        <v>2</v>
      </c>
    </row>
    <row r="1220" spans="1:23" x14ac:dyDescent="0.3">
      <c r="A1220" s="1" t="s">
        <v>2488</v>
      </c>
      <c r="B1220">
        <v>3</v>
      </c>
      <c r="C1220">
        <v>18.989999999999998</v>
      </c>
      <c r="D1220">
        <v>45.15</v>
      </c>
      <c r="E1220" s="1" t="s">
        <v>113</v>
      </c>
      <c r="F1220" s="1" t="s">
        <v>51</v>
      </c>
      <c r="G1220">
        <v>0</v>
      </c>
      <c r="H1220" s="1" t="s">
        <v>96</v>
      </c>
      <c r="I1220" s="1" t="s">
        <v>97</v>
      </c>
      <c r="J1220">
        <v>6</v>
      </c>
      <c r="K1220">
        <v>18.989999999999998</v>
      </c>
      <c r="L1220" s="1" t="s">
        <v>60</v>
      </c>
      <c r="M1220" s="1" t="s">
        <v>43</v>
      </c>
      <c r="N1220" s="1" t="s">
        <v>44</v>
      </c>
      <c r="O1220" s="1" t="s">
        <v>31</v>
      </c>
      <c r="P1220" s="2">
        <v>45823</v>
      </c>
      <c r="Q1220" s="1" t="s">
        <v>294</v>
      </c>
      <c r="R1220" s="1" t="s">
        <v>2489</v>
      </c>
      <c r="S1220" s="1" t="s">
        <v>105</v>
      </c>
      <c r="T1220" s="1" t="s">
        <v>35</v>
      </c>
      <c r="U1220" s="1" t="s">
        <v>66</v>
      </c>
      <c r="V1220" s="1" t="s">
        <v>100</v>
      </c>
      <c r="W1220">
        <v>3.2</v>
      </c>
    </row>
    <row r="1221" spans="1:23" x14ac:dyDescent="0.3">
      <c r="A1221" s="1" t="s">
        <v>2490</v>
      </c>
      <c r="B1221">
        <v>1</v>
      </c>
      <c r="C1221">
        <v>18.989999999999998</v>
      </c>
      <c r="D1221">
        <v>18.989999999999998</v>
      </c>
      <c r="E1221" s="1" t="s">
        <v>900</v>
      </c>
      <c r="F1221" s="1" t="s">
        <v>51</v>
      </c>
      <c r="G1221">
        <v>0</v>
      </c>
      <c r="H1221" s="1" t="s">
        <v>96</v>
      </c>
      <c r="I1221" s="1" t="s">
        <v>97</v>
      </c>
      <c r="J1221">
        <v>6</v>
      </c>
      <c r="K1221">
        <v>18.989999999999998</v>
      </c>
      <c r="L1221" s="1" t="s">
        <v>60</v>
      </c>
      <c r="M1221" s="1" t="s">
        <v>43</v>
      </c>
      <c r="N1221" s="1" t="s">
        <v>44</v>
      </c>
      <c r="O1221" s="1" t="s">
        <v>31</v>
      </c>
      <c r="P1221" s="2">
        <v>45823</v>
      </c>
      <c r="Q1221" s="1" t="s">
        <v>732</v>
      </c>
      <c r="R1221" s="1" t="s">
        <v>1263</v>
      </c>
      <c r="S1221" s="1" t="s">
        <v>88</v>
      </c>
      <c r="T1221" s="1" t="s">
        <v>35</v>
      </c>
      <c r="U1221" s="1" t="s">
        <v>82</v>
      </c>
      <c r="V1221" s="1" t="s">
        <v>100</v>
      </c>
      <c r="W1221">
        <v>3.2</v>
      </c>
    </row>
    <row r="1222" spans="1:23" x14ac:dyDescent="0.3">
      <c r="A1222" s="1" t="s">
        <v>2491</v>
      </c>
      <c r="B1222">
        <v>1</v>
      </c>
      <c r="C1222">
        <v>16.989999999999998</v>
      </c>
      <c r="D1222">
        <v>16.989999999999998</v>
      </c>
      <c r="E1222" s="1" t="s">
        <v>2151</v>
      </c>
      <c r="F1222" s="1" t="s">
        <v>40</v>
      </c>
      <c r="G1222">
        <v>16</v>
      </c>
      <c r="H1222" s="1" t="s">
        <v>96</v>
      </c>
      <c r="I1222" s="1" t="s">
        <v>59</v>
      </c>
      <c r="J1222">
        <v>5</v>
      </c>
      <c r="K1222">
        <v>16.989999999999998</v>
      </c>
      <c r="L1222" s="1" t="s">
        <v>60</v>
      </c>
      <c r="M1222" s="1" t="s">
        <v>61</v>
      </c>
      <c r="N1222" s="1" t="s">
        <v>62</v>
      </c>
      <c r="O1222" s="1" t="s">
        <v>31</v>
      </c>
      <c r="P1222" s="2">
        <v>45726</v>
      </c>
      <c r="Q1222" s="1" t="s">
        <v>1856</v>
      </c>
      <c r="R1222" s="1" t="s">
        <v>2492</v>
      </c>
      <c r="S1222" s="1" t="s">
        <v>34</v>
      </c>
      <c r="T1222" s="1" t="s">
        <v>35</v>
      </c>
      <c r="U1222" s="1" t="s">
        <v>48</v>
      </c>
      <c r="V1222" s="1" t="s">
        <v>67</v>
      </c>
      <c r="W1222">
        <v>3</v>
      </c>
    </row>
    <row r="1223" spans="1:23" x14ac:dyDescent="0.3">
      <c r="A1223" s="1" t="s">
        <v>2493</v>
      </c>
      <c r="B1223">
        <v>1</v>
      </c>
      <c r="C1223">
        <v>27.99</v>
      </c>
      <c r="D1223">
        <v>27.99</v>
      </c>
      <c r="E1223" s="1" t="s">
        <v>1000</v>
      </c>
      <c r="F1223" s="1" t="s">
        <v>40</v>
      </c>
      <c r="G1223">
        <v>2</v>
      </c>
      <c r="H1223" s="1" t="s">
        <v>26</v>
      </c>
      <c r="I1223" s="1" t="s">
        <v>75</v>
      </c>
      <c r="J1223">
        <v>9</v>
      </c>
      <c r="K1223">
        <v>27.99</v>
      </c>
      <c r="L1223" s="1" t="s">
        <v>28</v>
      </c>
      <c r="M1223" s="1" t="s">
        <v>61</v>
      </c>
      <c r="N1223" s="1" t="s">
        <v>62</v>
      </c>
      <c r="O1223" s="1" t="s">
        <v>31</v>
      </c>
      <c r="P1223" s="2">
        <v>45726</v>
      </c>
      <c r="Q1223" s="1" t="s">
        <v>176</v>
      </c>
      <c r="R1223" s="1" t="s">
        <v>1789</v>
      </c>
      <c r="S1223" s="1" t="s">
        <v>54</v>
      </c>
      <c r="T1223" s="1" t="s">
        <v>35</v>
      </c>
      <c r="U1223" s="1" t="s">
        <v>66</v>
      </c>
      <c r="V1223" s="1" t="s">
        <v>37</v>
      </c>
      <c r="W1223">
        <v>2</v>
      </c>
    </row>
    <row r="1224" spans="1:23" x14ac:dyDescent="0.3">
      <c r="A1224" s="1" t="s">
        <v>2494</v>
      </c>
      <c r="B1224">
        <v>3</v>
      </c>
      <c r="C1224">
        <v>34.99</v>
      </c>
      <c r="D1224">
        <v>83.23</v>
      </c>
      <c r="E1224" s="1" t="s">
        <v>2404</v>
      </c>
      <c r="F1224" s="1" t="s">
        <v>40</v>
      </c>
      <c r="G1224">
        <v>6</v>
      </c>
      <c r="H1224" s="1" t="s">
        <v>96</v>
      </c>
      <c r="I1224" s="1" t="s">
        <v>85</v>
      </c>
      <c r="J1224">
        <v>12.5</v>
      </c>
      <c r="K1224">
        <v>34.99</v>
      </c>
      <c r="L1224" s="1" t="s">
        <v>60</v>
      </c>
      <c r="M1224" s="1" t="s">
        <v>29</v>
      </c>
      <c r="N1224" s="1" t="s">
        <v>30</v>
      </c>
      <c r="O1224" s="1" t="s">
        <v>31</v>
      </c>
      <c r="P1224" s="2">
        <v>45778</v>
      </c>
      <c r="Q1224" s="1" t="s">
        <v>926</v>
      </c>
      <c r="R1224" s="1" t="s">
        <v>2046</v>
      </c>
      <c r="S1224" s="1" t="s">
        <v>34</v>
      </c>
      <c r="T1224" s="1" t="s">
        <v>35</v>
      </c>
      <c r="U1224" s="1" t="s">
        <v>55</v>
      </c>
      <c r="V1224" s="1" t="s">
        <v>89</v>
      </c>
      <c r="W1224">
        <v>2.4</v>
      </c>
    </row>
    <row r="1225" spans="1:23" x14ac:dyDescent="0.3">
      <c r="A1225" s="1" t="s">
        <v>2495</v>
      </c>
      <c r="B1225">
        <v>1</v>
      </c>
      <c r="C1225">
        <v>16.989999999999998</v>
      </c>
      <c r="D1225">
        <v>16.989999999999998</v>
      </c>
      <c r="E1225" s="1" t="s">
        <v>753</v>
      </c>
      <c r="F1225" s="1" t="s">
        <v>70</v>
      </c>
      <c r="G1225">
        <v>0</v>
      </c>
      <c r="H1225" s="1" t="s">
        <v>41</v>
      </c>
      <c r="I1225" s="1" t="s">
        <v>59</v>
      </c>
      <c r="J1225">
        <v>5</v>
      </c>
      <c r="K1225">
        <v>16.989999999999998</v>
      </c>
      <c r="L1225" s="1" t="s">
        <v>60</v>
      </c>
      <c r="M1225" s="1" t="s">
        <v>61</v>
      </c>
      <c r="N1225" s="1" t="s">
        <v>62</v>
      </c>
      <c r="O1225" s="1" t="s">
        <v>31</v>
      </c>
      <c r="P1225" s="2">
        <v>45726</v>
      </c>
      <c r="Q1225" s="1" t="s">
        <v>768</v>
      </c>
      <c r="R1225" s="1" t="s">
        <v>769</v>
      </c>
      <c r="S1225" s="1" t="s">
        <v>54</v>
      </c>
      <c r="T1225" s="1" t="s">
        <v>35</v>
      </c>
      <c r="U1225" s="1" t="s">
        <v>36</v>
      </c>
      <c r="V1225" s="1" t="s">
        <v>67</v>
      </c>
      <c r="W1225">
        <v>3</v>
      </c>
    </row>
    <row r="1226" spans="1:23" x14ac:dyDescent="0.3">
      <c r="A1226" s="1" t="s">
        <v>2496</v>
      </c>
      <c r="B1226">
        <v>2</v>
      </c>
      <c r="C1226">
        <v>34.99</v>
      </c>
      <c r="D1226">
        <v>60.65</v>
      </c>
      <c r="E1226" s="1" t="s">
        <v>222</v>
      </c>
      <c r="F1226" s="1" t="s">
        <v>70</v>
      </c>
      <c r="G1226">
        <v>0</v>
      </c>
      <c r="H1226" s="1" t="s">
        <v>26</v>
      </c>
      <c r="I1226" s="1" t="s">
        <v>85</v>
      </c>
      <c r="J1226">
        <v>12.5</v>
      </c>
      <c r="K1226">
        <v>34.99</v>
      </c>
      <c r="L1226" s="1" t="s">
        <v>60</v>
      </c>
      <c r="M1226" s="1" t="s">
        <v>29</v>
      </c>
      <c r="N1226" s="1" t="s">
        <v>30</v>
      </c>
      <c r="O1226" s="1" t="s">
        <v>31</v>
      </c>
      <c r="P1226" s="2">
        <v>45778</v>
      </c>
      <c r="Q1226" s="1" t="s">
        <v>1112</v>
      </c>
      <c r="R1226" s="1" t="s">
        <v>1891</v>
      </c>
      <c r="S1226" s="1" t="s">
        <v>47</v>
      </c>
      <c r="T1226" s="1" t="s">
        <v>35</v>
      </c>
      <c r="U1226" s="1" t="s">
        <v>82</v>
      </c>
      <c r="V1226" s="1" t="s">
        <v>89</v>
      </c>
      <c r="W1226">
        <v>2.4</v>
      </c>
    </row>
    <row r="1227" spans="1:23" x14ac:dyDescent="0.3">
      <c r="A1227" s="1" t="s">
        <v>2497</v>
      </c>
      <c r="B1227">
        <v>1</v>
      </c>
      <c r="C1227">
        <v>16.989999999999998</v>
      </c>
      <c r="D1227">
        <v>16.989999999999998</v>
      </c>
      <c r="E1227" s="1" t="s">
        <v>121</v>
      </c>
      <c r="F1227" s="1" t="s">
        <v>40</v>
      </c>
      <c r="G1227">
        <v>17</v>
      </c>
      <c r="H1227" s="1" t="s">
        <v>96</v>
      </c>
      <c r="I1227" s="1" t="s">
        <v>59</v>
      </c>
      <c r="J1227">
        <v>5</v>
      </c>
      <c r="K1227">
        <v>16.989999999999998</v>
      </c>
      <c r="L1227" s="1" t="s">
        <v>60</v>
      </c>
      <c r="M1227" s="1" t="s">
        <v>61</v>
      </c>
      <c r="N1227" s="1" t="s">
        <v>62</v>
      </c>
      <c r="O1227" s="1" t="s">
        <v>31</v>
      </c>
      <c r="P1227" s="2">
        <v>45726</v>
      </c>
      <c r="Q1227" s="1" t="s">
        <v>71</v>
      </c>
      <c r="R1227" s="1" t="s">
        <v>955</v>
      </c>
      <c r="S1227" s="1" t="s">
        <v>65</v>
      </c>
      <c r="T1227" s="1" t="s">
        <v>35</v>
      </c>
      <c r="U1227" s="1" t="s">
        <v>82</v>
      </c>
      <c r="V1227" s="1" t="s">
        <v>67</v>
      </c>
      <c r="W1227">
        <v>3</v>
      </c>
    </row>
    <row r="1228" spans="1:23" x14ac:dyDescent="0.3">
      <c r="A1228" s="1" t="s">
        <v>2498</v>
      </c>
      <c r="B1228">
        <v>2</v>
      </c>
      <c r="C1228">
        <v>21.99</v>
      </c>
      <c r="D1228">
        <v>38.340000000000003</v>
      </c>
      <c r="E1228" s="1" t="s">
        <v>57</v>
      </c>
      <c r="F1228" s="1" t="s">
        <v>70</v>
      </c>
      <c r="G1228">
        <v>0</v>
      </c>
      <c r="H1228" s="1" t="s">
        <v>58</v>
      </c>
      <c r="I1228" s="1" t="s">
        <v>27</v>
      </c>
      <c r="J1228">
        <v>7</v>
      </c>
      <c r="K1228">
        <v>21.99</v>
      </c>
      <c r="L1228" s="1" t="s">
        <v>28</v>
      </c>
      <c r="M1228" s="1" t="s">
        <v>29</v>
      </c>
      <c r="N1228" s="1" t="s">
        <v>30</v>
      </c>
      <c r="O1228" s="1" t="s">
        <v>31</v>
      </c>
      <c r="P1228" s="2">
        <v>45778</v>
      </c>
      <c r="Q1228" s="1" t="s">
        <v>1316</v>
      </c>
      <c r="R1228" s="1" t="s">
        <v>1317</v>
      </c>
      <c r="S1228" s="1" t="s">
        <v>105</v>
      </c>
      <c r="T1228" s="1" t="s">
        <v>35</v>
      </c>
      <c r="U1228" s="1" t="s">
        <v>66</v>
      </c>
      <c r="V1228" s="1" t="s">
        <v>37</v>
      </c>
      <c r="W1228">
        <v>2</v>
      </c>
    </row>
    <row r="1229" spans="1:23" x14ac:dyDescent="0.3">
      <c r="A1229" s="1" t="s">
        <v>2499</v>
      </c>
      <c r="B1229">
        <v>3</v>
      </c>
      <c r="C1229">
        <v>34.99</v>
      </c>
      <c r="D1229">
        <v>82.94</v>
      </c>
      <c r="E1229" s="1" t="s">
        <v>2500</v>
      </c>
      <c r="F1229" s="1" t="s">
        <v>40</v>
      </c>
      <c r="G1229">
        <v>5</v>
      </c>
      <c r="H1229" s="1" t="s">
        <v>26</v>
      </c>
      <c r="I1229" s="1" t="s">
        <v>85</v>
      </c>
      <c r="J1229">
        <v>12.5</v>
      </c>
      <c r="K1229">
        <v>34.99</v>
      </c>
      <c r="L1229" s="1" t="s">
        <v>60</v>
      </c>
      <c r="M1229" s="1" t="s">
        <v>29</v>
      </c>
      <c r="N1229" s="1" t="s">
        <v>30</v>
      </c>
      <c r="O1229" s="1" t="s">
        <v>31</v>
      </c>
      <c r="P1229" s="2">
        <v>45778</v>
      </c>
      <c r="Q1229" s="1" t="s">
        <v>1793</v>
      </c>
      <c r="R1229" s="1" t="s">
        <v>1916</v>
      </c>
      <c r="S1229" s="1" t="s">
        <v>88</v>
      </c>
      <c r="T1229" s="1" t="s">
        <v>35</v>
      </c>
      <c r="U1229" s="1" t="s">
        <v>36</v>
      </c>
      <c r="V1229" s="1" t="s">
        <v>89</v>
      </c>
      <c r="W1229">
        <v>2.4</v>
      </c>
    </row>
    <row r="1230" spans="1:23" x14ac:dyDescent="0.3">
      <c r="A1230" s="1" t="s">
        <v>2501</v>
      </c>
      <c r="B1230">
        <v>2</v>
      </c>
      <c r="C1230">
        <v>21.99</v>
      </c>
      <c r="D1230">
        <v>37.619999999999997</v>
      </c>
      <c r="E1230" s="1" t="s">
        <v>900</v>
      </c>
      <c r="F1230" s="1" t="s">
        <v>40</v>
      </c>
      <c r="G1230">
        <v>2</v>
      </c>
      <c r="H1230" s="1" t="s">
        <v>58</v>
      </c>
      <c r="I1230" s="1" t="s">
        <v>27</v>
      </c>
      <c r="J1230">
        <v>7</v>
      </c>
      <c r="K1230">
        <v>21.99</v>
      </c>
      <c r="L1230" s="1" t="s">
        <v>28</v>
      </c>
      <c r="M1230" s="1" t="s">
        <v>29</v>
      </c>
      <c r="N1230" s="1" t="s">
        <v>30</v>
      </c>
      <c r="O1230" s="1" t="s">
        <v>31</v>
      </c>
      <c r="P1230" s="2">
        <v>45778</v>
      </c>
      <c r="Q1230" s="1" t="s">
        <v>720</v>
      </c>
      <c r="R1230" s="1" t="s">
        <v>1827</v>
      </c>
      <c r="S1230" s="1" t="s">
        <v>47</v>
      </c>
      <c r="T1230" s="1" t="s">
        <v>35</v>
      </c>
      <c r="U1230" s="1" t="s">
        <v>36</v>
      </c>
      <c r="V1230" s="1" t="s">
        <v>37</v>
      </c>
      <c r="W1230">
        <v>2</v>
      </c>
    </row>
    <row r="1231" spans="1:23" x14ac:dyDescent="0.3">
      <c r="A1231" s="1" t="s">
        <v>2502</v>
      </c>
      <c r="B1231">
        <v>1</v>
      </c>
      <c r="C1231">
        <v>18.989999999999998</v>
      </c>
      <c r="D1231">
        <v>18.989999999999998</v>
      </c>
      <c r="E1231" s="1" t="s">
        <v>1634</v>
      </c>
      <c r="F1231" s="1" t="s">
        <v>70</v>
      </c>
      <c r="G1231">
        <v>0</v>
      </c>
      <c r="H1231" s="1" t="s">
        <v>58</v>
      </c>
      <c r="I1231" s="1" t="s">
        <v>97</v>
      </c>
      <c r="J1231">
        <v>6</v>
      </c>
      <c r="K1231">
        <v>18.989999999999998</v>
      </c>
      <c r="L1231" s="1" t="s">
        <v>60</v>
      </c>
      <c r="M1231" s="1" t="s">
        <v>43</v>
      </c>
      <c r="N1231" s="1" t="s">
        <v>44</v>
      </c>
      <c r="O1231" s="1" t="s">
        <v>31</v>
      </c>
      <c r="P1231" s="2">
        <v>45823</v>
      </c>
      <c r="Q1231" s="1" t="s">
        <v>689</v>
      </c>
      <c r="R1231" s="1" t="s">
        <v>766</v>
      </c>
      <c r="S1231" s="1" t="s">
        <v>105</v>
      </c>
      <c r="T1231" s="1" t="s">
        <v>35</v>
      </c>
      <c r="U1231" s="1" t="s">
        <v>48</v>
      </c>
      <c r="V1231" s="1" t="s">
        <v>100</v>
      </c>
      <c r="W1231">
        <v>3.2</v>
      </c>
    </row>
    <row r="1232" spans="1:23" x14ac:dyDescent="0.3">
      <c r="A1232" s="1" t="s">
        <v>2503</v>
      </c>
      <c r="B1232">
        <v>1</v>
      </c>
      <c r="C1232">
        <v>21.99</v>
      </c>
      <c r="D1232">
        <v>21.99</v>
      </c>
      <c r="E1232" s="1" t="s">
        <v>1977</v>
      </c>
      <c r="F1232" s="1" t="s">
        <v>51</v>
      </c>
      <c r="G1232">
        <v>0</v>
      </c>
      <c r="H1232" s="1" t="s">
        <v>26</v>
      </c>
      <c r="I1232" s="1" t="s">
        <v>27</v>
      </c>
      <c r="J1232">
        <v>7</v>
      </c>
      <c r="K1232">
        <v>21.99</v>
      </c>
      <c r="L1232" s="1" t="s">
        <v>28</v>
      </c>
      <c r="M1232" s="1" t="s">
        <v>29</v>
      </c>
      <c r="N1232" s="1" t="s">
        <v>30</v>
      </c>
      <c r="O1232" s="1" t="s">
        <v>31</v>
      </c>
      <c r="P1232" s="2">
        <v>45778</v>
      </c>
      <c r="Q1232" s="1" t="s">
        <v>1349</v>
      </c>
      <c r="R1232" s="1" t="s">
        <v>1350</v>
      </c>
      <c r="S1232" s="1" t="s">
        <v>47</v>
      </c>
      <c r="T1232" s="1" t="s">
        <v>35</v>
      </c>
      <c r="U1232" s="1" t="s">
        <v>48</v>
      </c>
      <c r="V1232" s="1" t="s">
        <v>37</v>
      </c>
      <c r="W1232">
        <v>2</v>
      </c>
    </row>
    <row r="1233" spans="1:23" x14ac:dyDescent="0.3">
      <c r="A1233" s="1" t="s">
        <v>2504</v>
      </c>
      <c r="B1233">
        <v>1</v>
      </c>
      <c r="C1233">
        <v>18.989999999999998</v>
      </c>
      <c r="D1233">
        <v>18.989999999999998</v>
      </c>
      <c r="E1233" s="1" t="s">
        <v>2505</v>
      </c>
      <c r="F1233" s="1" t="s">
        <v>188</v>
      </c>
      <c r="G1233">
        <v>0</v>
      </c>
      <c r="H1233" s="1" t="s">
        <v>26</v>
      </c>
      <c r="I1233" s="1" t="s">
        <v>97</v>
      </c>
      <c r="J1233">
        <v>6</v>
      </c>
      <c r="K1233">
        <v>18.989999999999998</v>
      </c>
      <c r="L1233" s="1" t="s">
        <v>60</v>
      </c>
      <c r="M1233" s="1" t="s">
        <v>43</v>
      </c>
      <c r="N1233" s="1" t="s">
        <v>44</v>
      </c>
      <c r="O1233" s="1" t="s">
        <v>31</v>
      </c>
      <c r="P1233" s="2">
        <v>45823</v>
      </c>
      <c r="Q1233" s="1" t="s">
        <v>1770</v>
      </c>
      <c r="R1233" s="1" t="s">
        <v>1771</v>
      </c>
      <c r="S1233" s="1" t="s">
        <v>34</v>
      </c>
      <c r="T1233" s="1" t="s">
        <v>35</v>
      </c>
      <c r="U1233" s="1" t="s">
        <v>55</v>
      </c>
      <c r="V1233" s="1" t="s">
        <v>100</v>
      </c>
      <c r="W1233">
        <v>3.2</v>
      </c>
    </row>
    <row r="1234" spans="1:23" x14ac:dyDescent="0.3">
      <c r="A1234" s="1" t="s">
        <v>2506</v>
      </c>
      <c r="B1234">
        <v>1</v>
      </c>
      <c r="C1234">
        <v>18.989999999999998</v>
      </c>
      <c r="D1234">
        <v>18.989999999999998</v>
      </c>
      <c r="E1234" s="1" t="s">
        <v>916</v>
      </c>
      <c r="F1234" s="1" t="s">
        <v>51</v>
      </c>
      <c r="G1234">
        <v>0</v>
      </c>
      <c r="H1234" s="1" t="s">
        <v>41</v>
      </c>
      <c r="I1234" s="1" t="s">
        <v>97</v>
      </c>
      <c r="J1234">
        <v>6</v>
      </c>
      <c r="K1234">
        <v>18.989999999999998</v>
      </c>
      <c r="L1234" s="1" t="s">
        <v>60</v>
      </c>
      <c r="M1234" s="1" t="s">
        <v>43</v>
      </c>
      <c r="N1234" s="1" t="s">
        <v>44</v>
      </c>
      <c r="O1234" s="1" t="s">
        <v>31</v>
      </c>
      <c r="P1234" s="2">
        <v>45823</v>
      </c>
      <c r="Q1234" s="1" t="s">
        <v>526</v>
      </c>
      <c r="R1234" s="1" t="s">
        <v>846</v>
      </c>
      <c r="S1234" s="1" t="s">
        <v>47</v>
      </c>
      <c r="T1234" s="1" t="s">
        <v>35</v>
      </c>
      <c r="U1234" s="1" t="s">
        <v>55</v>
      </c>
      <c r="V1234" s="1" t="s">
        <v>100</v>
      </c>
      <c r="W1234">
        <v>3.2</v>
      </c>
    </row>
    <row r="1235" spans="1:23" x14ac:dyDescent="0.3">
      <c r="A1235" s="1" t="s">
        <v>2507</v>
      </c>
      <c r="B1235">
        <v>3</v>
      </c>
      <c r="C1235">
        <v>30.99</v>
      </c>
      <c r="D1235">
        <v>74.59</v>
      </c>
      <c r="E1235" s="1" t="s">
        <v>2508</v>
      </c>
      <c r="F1235" s="1" t="s">
        <v>40</v>
      </c>
      <c r="G1235">
        <v>2</v>
      </c>
      <c r="H1235" s="1" t="s">
        <v>26</v>
      </c>
      <c r="I1235" s="1" t="s">
        <v>42</v>
      </c>
      <c r="J1235">
        <v>10.5</v>
      </c>
      <c r="K1235">
        <v>30.99</v>
      </c>
      <c r="L1235" s="1" t="s">
        <v>28</v>
      </c>
      <c r="M1235" s="1" t="s">
        <v>43</v>
      </c>
      <c r="N1235" s="1" t="s">
        <v>44</v>
      </c>
      <c r="O1235" s="1" t="s">
        <v>31</v>
      </c>
      <c r="P1235" s="2">
        <v>45823</v>
      </c>
      <c r="Q1235" s="1" t="s">
        <v>2424</v>
      </c>
      <c r="R1235" s="1" t="s">
        <v>2425</v>
      </c>
      <c r="S1235" s="1" t="s">
        <v>47</v>
      </c>
      <c r="T1235" s="1" t="s">
        <v>35</v>
      </c>
      <c r="U1235" s="1" t="s">
        <v>66</v>
      </c>
      <c r="V1235" s="1" t="s">
        <v>37</v>
      </c>
      <c r="W1235">
        <v>2</v>
      </c>
    </row>
    <row r="1236" spans="1:23" x14ac:dyDescent="0.3">
      <c r="A1236" s="1" t="s">
        <v>2509</v>
      </c>
      <c r="B1236">
        <v>1</v>
      </c>
      <c r="C1236">
        <v>18.989999999999998</v>
      </c>
      <c r="D1236">
        <v>18.989999999999998</v>
      </c>
      <c r="E1236" s="1" t="s">
        <v>2510</v>
      </c>
      <c r="F1236" s="1" t="s">
        <v>51</v>
      </c>
      <c r="G1236">
        <v>0</v>
      </c>
      <c r="H1236" s="1" t="s">
        <v>58</v>
      </c>
      <c r="I1236" s="1" t="s">
        <v>97</v>
      </c>
      <c r="J1236">
        <v>6</v>
      </c>
      <c r="K1236">
        <v>18.989999999999998</v>
      </c>
      <c r="L1236" s="1" t="s">
        <v>60</v>
      </c>
      <c r="M1236" s="1" t="s">
        <v>43</v>
      </c>
      <c r="N1236" s="1" t="s">
        <v>44</v>
      </c>
      <c r="O1236" s="1" t="s">
        <v>31</v>
      </c>
      <c r="P1236" s="2">
        <v>45823</v>
      </c>
      <c r="Q1236" s="1" t="s">
        <v>147</v>
      </c>
      <c r="R1236" s="1" t="s">
        <v>1601</v>
      </c>
      <c r="S1236" s="1" t="s">
        <v>105</v>
      </c>
      <c r="T1236" s="1" t="s">
        <v>35</v>
      </c>
      <c r="U1236" s="1" t="s">
        <v>55</v>
      </c>
      <c r="V1236" s="1" t="s">
        <v>100</v>
      </c>
      <c r="W1236">
        <v>3.2</v>
      </c>
    </row>
    <row r="1237" spans="1:23" x14ac:dyDescent="0.3">
      <c r="A1237" s="1" t="s">
        <v>2511</v>
      </c>
      <c r="B1237">
        <v>2</v>
      </c>
      <c r="C1237">
        <v>18.989999999999998</v>
      </c>
      <c r="D1237">
        <v>32.950000000000003</v>
      </c>
      <c r="E1237" s="1" t="s">
        <v>1355</v>
      </c>
      <c r="F1237" s="1" t="s">
        <v>70</v>
      </c>
      <c r="G1237">
        <v>0</v>
      </c>
      <c r="H1237" s="1" t="s">
        <v>58</v>
      </c>
      <c r="I1237" s="1" t="s">
        <v>97</v>
      </c>
      <c r="J1237">
        <v>6</v>
      </c>
      <c r="K1237">
        <v>18.989999999999998</v>
      </c>
      <c r="L1237" s="1" t="s">
        <v>60</v>
      </c>
      <c r="M1237" s="1" t="s">
        <v>43</v>
      </c>
      <c r="N1237" s="1" t="s">
        <v>44</v>
      </c>
      <c r="O1237" s="1" t="s">
        <v>31</v>
      </c>
      <c r="P1237" s="2">
        <v>45823</v>
      </c>
      <c r="Q1237" s="1" t="s">
        <v>241</v>
      </c>
      <c r="R1237" s="1" t="s">
        <v>2512</v>
      </c>
      <c r="S1237" s="1" t="s">
        <v>47</v>
      </c>
      <c r="T1237" s="1" t="s">
        <v>35</v>
      </c>
      <c r="U1237" s="1" t="s">
        <v>36</v>
      </c>
      <c r="V1237" s="1" t="s">
        <v>100</v>
      </c>
      <c r="W1237">
        <v>3.2</v>
      </c>
    </row>
    <row r="1238" spans="1:23" x14ac:dyDescent="0.3">
      <c r="A1238" s="1" t="s">
        <v>2513</v>
      </c>
      <c r="B1238">
        <v>1</v>
      </c>
      <c r="C1238">
        <v>21.99</v>
      </c>
      <c r="D1238">
        <v>21.99</v>
      </c>
      <c r="E1238" s="1" t="s">
        <v>1652</v>
      </c>
      <c r="F1238" s="1" t="s">
        <v>40</v>
      </c>
      <c r="G1238">
        <v>2</v>
      </c>
      <c r="H1238" s="1" t="s">
        <v>58</v>
      </c>
      <c r="I1238" s="1" t="s">
        <v>27</v>
      </c>
      <c r="J1238">
        <v>7</v>
      </c>
      <c r="K1238">
        <v>21.99</v>
      </c>
      <c r="L1238" s="1" t="s">
        <v>28</v>
      </c>
      <c r="M1238" s="1" t="s">
        <v>29</v>
      </c>
      <c r="N1238" s="1" t="s">
        <v>30</v>
      </c>
      <c r="O1238" s="1" t="s">
        <v>31</v>
      </c>
      <c r="P1238" s="2">
        <v>45778</v>
      </c>
      <c r="Q1238" s="1" t="s">
        <v>1349</v>
      </c>
      <c r="R1238" s="1" t="s">
        <v>1439</v>
      </c>
      <c r="S1238" s="1" t="s">
        <v>65</v>
      </c>
      <c r="T1238" s="1" t="s">
        <v>35</v>
      </c>
      <c r="U1238" s="1" t="s">
        <v>36</v>
      </c>
      <c r="V1238" s="1" t="s">
        <v>37</v>
      </c>
      <c r="W1238">
        <v>2</v>
      </c>
    </row>
    <row r="1239" spans="1:23" x14ac:dyDescent="0.3">
      <c r="A1239" s="1" t="s">
        <v>2514</v>
      </c>
      <c r="B1239">
        <v>1</v>
      </c>
      <c r="C1239">
        <v>34.99</v>
      </c>
      <c r="D1239">
        <v>34.99</v>
      </c>
      <c r="E1239" s="1" t="s">
        <v>1743</v>
      </c>
      <c r="F1239" s="1" t="s">
        <v>25</v>
      </c>
      <c r="G1239">
        <v>8</v>
      </c>
      <c r="H1239" s="1" t="s">
        <v>58</v>
      </c>
      <c r="I1239" s="1" t="s">
        <v>85</v>
      </c>
      <c r="J1239">
        <v>12.5</v>
      </c>
      <c r="K1239">
        <v>34.99</v>
      </c>
      <c r="L1239" s="1" t="s">
        <v>60</v>
      </c>
      <c r="M1239" s="1" t="s">
        <v>29</v>
      </c>
      <c r="N1239" s="1" t="s">
        <v>30</v>
      </c>
      <c r="O1239" s="1" t="s">
        <v>31</v>
      </c>
      <c r="P1239" s="2">
        <v>45778</v>
      </c>
      <c r="Q1239" s="1" t="s">
        <v>118</v>
      </c>
      <c r="R1239" s="1" t="s">
        <v>1959</v>
      </c>
      <c r="S1239" s="1" t="s">
        <v>65</v>
      </c>
      <c r="T1239" s="1" t="s">
        <v>35</v>
      </c>
      <c r="U1239" s="1" t="s">
        <v>36</v>
      </c>
      <c r="V1239" s="1" t="s">
        <v>89</v>
      </c>
      <c r="W1239">
        <v>2.4</v>
      </c>
    </row>
    <row r="1240" spans="1:23" x14ac:dyDescent="0.3">
      <c r="A1240" s="1" t="s">
        <v>2515</v>
      </c>
      <c r="B1240">
        <v>2</v>
      </c>
      <c r="C1240">
        <v>34.99</v>
      </c>
      <c r="D1240">
        <v>60.24</v>
      </c>
      <c r="E1240" s="1" t="s">
        <v>1156</v>
      </c>
      <c r="F1240" s="1" t="s">
        <v>40</v>
      </c>
      <c r="G1240">
        <v>10</v>
      </c>
      <c r="H1240" s="1" t="s">
        <v>58</v>
      </c>
      <c r="I1240" s="1" t="s">
        <v>85</v>
      </c>
      <c r="J1240">
        <v>12.5</v>
      </c>
      <c r="K1240">
        <v>34.99</v>
      </c>
      <c r="L1240" s="1" t="s">
        <v>60</v>
      </c>
      <c r="M1240" s="1" t="s">
        <v>29</v>
      </c>
      <c r="N1240" s="1" t="s">
        <v>30</v>
      </c>
      <c r="O1240" s="1" t="s">
        <v>31</v>
      </c>
      <c r="P1240" s="2">
        <v>45778</v>
      </c>
      <c r="Q1240" s="1" t="s">
        <v>1676</v>
      </c>
      <c r="R1240" s="1" t="s">
        <v>1774</v>
      </c>
      <c r="S1240" s="1" t="s">
        <v>54</v>
      </c>
      <c r="T1240" s="1" t="s">
        <v>35</v>
      </c>
      <c r="U1240" s="1" t="s">
        <v>36</v>
      </c>
      <c r="V1240" s="1" t="s">
        <v>89</v>
      </c>
      <c r="W1240">
        <v>2.4</v>
      </c>
    </row>
    <row r="1241" spans="1:23" x14ac:dyDescent="0.3">
      <c r="A1241" s="1" t="s">
        <v>2516</v>
      </c>
      <c r="B1241">
        <v>1</v>
      </c>
      <c r="C1241">
        <v>21.99</v>
      </c>
      <c r="D1241">
        <v>21.99</v>
      </c>
      <c r="E1241" s="1" t="s">
        <v>2192</v>
      </c>
      <c r="F1241" s="1" t="s">
        <v>25</v>
      </c>
      <c r="G1241">
        <v>2</v>
      </c>
      <c r="H1241" s="1" t="s">
        <v>58</v>
      </c>
      <c r="I1241" s="1" t="s">
        <v>27</v>
      </c>
      <c r="J1241">
        <v>7</v>
      </c>
      <c r="K1241">
        <v>21.99</v>
      </c>
      <c r="L1241" s="1" t="s">
        <v>28</v>
      </c>
      <c r="M1241" s="1" t="s">
        <v>29</v>
      </c>
      <c r="N1241" s="1" t="s">
        <v>30</v>
      </c>
      <c r="O1241" s="1" t="s">
        <v>31</v>
      </c>
      <c r="P1241" s="2">
        <v>45778</v>
      </c>
      <c r="Q1241" s="1" t="s">
        <v>1028</v>
      </c>
      <c r="R1241" s="1" t="s">
        <v>1029</v>
      </c>
      <c r="S1241" s="1" t="s">
        <v>105</v>
      </c>
      <c r="T1241" s="1" t="s">
        <v>35</v>
      </c>
      <c r="U1241" s="1" t="s">
        <v>36</v>
      </c>
      <c r="V1241" s="1" t="s">
        <v>37</v>
      </c>
      <c r="W1241">
        <v>2</v>
      </c>
    </row>
    <row r="1242" spans="1:23" x14ac:dyDescent="0.3">
      <c r="A1242" s="1" t="s">
        <v>2517</v>
      </c>
      <c r="B1242">
        <v>2</v>
      </c>
      <c r="C1242">
        <v>34.99</v>
      </c>
      <c r="D1242">
        <v>60.49</v>
      </c>
      <c r="E1242" s="1" t="s">
        <v>187</v>
      </c>
      <c r="F1242" s="1" t="s">
        <v>188</v>
      </c>
      <c r="G1242">
        <v>0</v>
      </c>
      <c r="H1242" s="1" t="s">
        <v>26</v>
      </c>
      <c r="I1242" s="1" t="s">
        <v>85</v>
      </c>
      <c r="J1242">
        <v>12.5</v>
      </c>
      <c r="K1242">
        <v>34.99</v>
      </c>
      <c r="L1242" s="1" t="s">
        <v>60</v>
      </c>
      <c r="M1242" s="1" t="s">
        <v>29</v>
      </c>
      <c r="N1242" s="1" t="s">
        <v>30</v>
      </c>
      <c r="O1242" s="1" t="s">
        <v>31</v>
      </c>
      <c r="P1242" s="2">
        <v>45778</v>
      </c>
      <c r="Q1242" s="1" t="s">
        <v>1035</v>
      </c>
      <c r="R1242" s="1" t="s">
        <v>1036</v>
      </c>
      <c r="S1242" s="1" t="s">
        <v>54</v>
      </c>
      <c r="T1242" s="1" t="s">
        <v>35</v>
      </c>
      <c r="U1242" s="1" t="s">
        <v>66</v>
      </c>
      <c r="V1242" s="1" t="s">
        <v>89</v>
      </c>
      <c r="W1242">
        <v>2.4</v>
      </c>
    </row>
    <row r="1243" spans="1:23" x14ac:dyDescent="0.3">
      <c r="A1243" s="1" t="s">
        <v>2518</v>
      </c>
      <c r="B1243">
        <v>3</v>
      </c>
      <c r="C1243">
        <v>18.989999999999998</v>
      </c>
      <c r="D1243">
        <v>45.04</v>
      </c>
      <c r="E1243" s="1" t="s">
        <v>2519</v>
      </c>
      <c r="F1243" s="1" t="s">
        <v>188</v>
      </c>
      <c r="G1243">
        <v>0</v>
      </c>
      <c r="H1243" s="1" t="s">
        <v>26</v>
      </c>
      <c r="I1243" s="1" t="s">
        <v>97</v>
      </c>
      <c r="J1243">
        <v>6</v>
      </c>
      <c r="K1243">
        <v>18.989999999999998</v>
      </c>
      <c r="L1243" s="1" t="s">
        <v>60</v>
      </c>
      <c r="M1243" s="1" t="s">
        <v>43</v>
      </c>
      <c r="N1243" s="1" t="s">
        <v>44</v>
      </c>
      <c r="O1243" s="1" t="s">
        <v>31</v>
      </c>
      <c r="P1243" s="2">
        <v>45823</v>
      </c>
      <c r="Q1243" s="1" t="s">
        <v>814</v>
      </c>
      <c r="R1243" s="1" t="s">
        <v>1041</v>
      </c>
      <c r="S1243" s="1" t="s">
        <v>54</v>
      </c>
      <c r="T1243" s="1" t="s">
        <v>35</v>
      </c>
      <c r="U1243" s="1" t="s">
        <v>36</v>
      </c>
      <c r="V1243" s="1" t="s">
        <v>100</v>
      </c>
      <c r="W1243">
        <v>3.2</v>
      </c>
    </row>
    <row r="1244" spans="1:23" x14ac:dyDescent="0.3">
      <c r="A1244" s="1" t="s">
        <v>2520</v>
      </c>
      <c r="B1244">
        <v>1</v>
      </c>
      <c r="C1244">
        <v>30.99</v>
      </c>
      <c r="D1244">
        <v>30.99</v>
      </c>
      <c r="E1244" s="1" t="s">
        <v>244</v>
      </c>
      <c r="F1244" s="1" t="s">
        <v>25</v>
      </c>
      <c r="G1244">
        <v>2</v>
      </c>
      <c r="H1244" s="1" t="s">
        <v>58</v>
      </c>
      <c r="I1244" s="1" t="s">
        <v>42</v>
      </c>
      <c r="J1244">
        <v>10.5</v>
      </c>
      <c r="K1244">
        <v>30.99</v>
      </c>
      <c r="L1244" s="1" t="s">
        <v>28</v>
      </c>
      <c r="M1244" s="1" t="s">
        <v>43</v>
      </c>
      <c r="N1244" s="1" t="s">
        <v>44</v>
      </c>
      <c r="O1244" s="1" t="s">
        <v>31</v>
      </c>
      <c r="P1244" s="2">
        <v>45823</v>
      </c>
      <c r="Q1244" s="1" t="s">
        <v>1162</v>
      </c>
      <c r="R1244" s="1" t="s">
        <v>1163</v>
      </c>
      <c r="S1244" s="1" t="s">
        <v>65</v>
      </c>
      <c r="T1244" s="1" t="s">
        <v>35</v>
      </c>
      <c r="U1244" s="1" t="s">
        <v>48</v>
      </c>
      <c r="V1244" s="1" t="s">
        <v>37</v>
      </c>
      <c r="W1244">
        <v>2</v>
      </c>
    </row>
    <row r="1245" spans="1:23" x14ac:dyDescent="0.3">
      <c r="A1245" s="1" t="s">
        <v>2521</v>
      </c>
      <c r="B1245">
        <v>1</v>
      </c>
      <c r="C1245">
        <v>16.989999999999998</v>
      </c>
      <c r="D1245">
        <v>16.989999999999998</v>
      </c>
      <c r="E1245" s="1" t="s">
        <v>389</v>
      </c>
      <c r="F1245" s="1" t="s">
        <v>40</v>
      </c>
      <c r="G1245">
        <v>17</v>
      </c>
      <c r="H1245" s="1" t="s">
        <v>96</v>
      </c>
      <c r="I1245" s="1" t="s">
        <v>59</v>
      </c>
      <c r="J1245">
        <v>5</v>
      </c>
      <c r="K1245">
        <v>16.989999999999998</v>
      </c>
      <c r="L1245" s="1" t="s">
        <v>60</v>
      </c>
      <c r="M1245" s="1" t="s">
        <v>61</v>
      </c>
      <c r="N1245" s="1" t="s">
        <v>62</v>
      </c>
      <c r="O1245" s="1" t="s">
        <v>31</v>
      </c>
      <c r="P1245" s="2">
        <v>45726</v>
      </c>
      <c r="Q1245" s="1" t="s">
        <v>1657</v>
      </c>
      <c r="R1245" s="1" t="s">
        <v>1658</v>
      </c>
      <c r="S1245" s="1" t="s">
        <v>65</v>
      </c>
      <c r="T1245" s="1" t="s">
        <v>35</v>
      </c>
      <c r="U1245" s="1" t="s">
        <v>36</v>
      </c>
      <c r="V1245" s="1" t="s">
        <v>67</v>
      </c>
      <c r="W1245">
        <v>3</v>
      </c>
    </row>
    <row r="1246" spans="1:23" x14ac:dyDescent="0.3">
      <c r="A1246" s="1" t="s">
        <v>2522</v>
      </c>
      <c r="B1246">
        <v>1</v>
      </c>
      <c r="C1246">
        <v>34.99</v>
      </c>
      <c r="D1246">
        <v>34.99</v>
      </c>
      <c r="E1246" s="1" t="s">
        <v>113</v>
      </c>
      <c r="F1246" s="1" t="s">
        <v>40</v>
      </c>
      <c r="G1246">
        <v>5</v>
      </c>
      <c r="H1246" s="1" t="s">
        <v>41</v>
      </c>
      <c r="I1246" s="1" t="s">
        <v>85</v>
      </c>
      <c r="J1246">
        <v>12.5</v>
      </c>
      <c r="K1246">
        <v>34.99</v>
      </c>
      <c r="L1246" s="1" t="s">
        <v>60</v>
      </c>
      <c r="M1246" s="1" t="s">
        <v>29</v>
      </c>
      <c r="N1246" s="1" t="s">
        <v>30</v>
      </c>
      <c r="O1246" s="1" t="s">
        <v>31</v>
      </c>
      <c r="P1246" s="2">
        <v>45778</v>
      </c>
      <c r="Q1246" s="1" t="s">
        <v>161</v>
      </c>
      <c r="R1246" s="1" t="s">
        <v>2096</v>
      </c>
      <c r="S1246" s="1" t="s">
        <v>34</v>
      </c>
      <c r="T1246" s="1" t="s">
        <v>35</v>
      </c>
      <c r="U1246" s="1" t="s">
        <v>48</v>
      </c>
      <c r="V1246" s="1" t="s">
        <v>89</v>
      </c>
      <c r="W1246">
        <v>2.4</v>
      </c>
    </row>
    <row r="1247" spans="1:23" x14ac:dyDescent="0.3">
      <c r="A1247" s="1" t="s">
        <v>2523</v>
      </c>
      <c r="B1247">
        <v>1</v>
      </c>
      <c r="C1247">
        <v>16.989999999999998</v>
      </c>
      <c r="D1247">
        <v>16.989999999999998</v>
      </c>
      <c r="E1247" s="1" t="s">
        <v>1570</v>
      </c>
      <c r="F1247" s="1" t="s">
        <v>40</v>
      </c>
      <c r="G1247">
        <v>17</v>
      </c>
      <c r="H1247" s="1" t="s">
        <v>96</v>
      </c>
      <c r="I1247" s="1" t="s">
        <v>59</v>
      </c>
      <c r="J1247">
        <v>5</v>
      </c>
      <c r="K1247">
        <v>16.989999999999998</v>
      </c>
      <c r="L1247" s="1" t="s">
        <v>60</v>
      </c>
      <c r="M1247" s="1" t="s">
        <v>61</v>
      </c>
      <c r="N1247" s="1" t="s">
        <v>62</v>
      </c>
      <c r="O1247" s="1" t="s">
        <v>31</v>
      </c>
      <c r="P1247" s="2">
        <v>45726</v>
      </c>
      <c r="Q1247" s="1" t="s">
        <v>140</v>
      </c>
      <c r="R1247" s="1" t="s">
        <v>2241</v>
      </c>
      <c r="S1247" s="1" t="s">
        <v>65</v>
      </c>
      <c r="T1247" s="1" t="s">
        <v>35</v>
      </c>
      <c r="U1247" s="1" t="s">
        <v>66</v>
      </c>
      <c r="V1247" s="1" t="s">
        <v>67</v>
      </c>
      <c r="W1247">
        <v>3</v>
      </c>
    </row>
    <row r="1248" spans="1:23" x14ac:dyDescent="0.3">
      <c r="A1248" s="1" t="s">
        <v>2524</v>
      </c>
      <c r="B1248">
        <v>1</v>
      </c>
      <c r="C1248">
        <v>27.99</v>
      </c>
      <c r="D1248">
        <v>27.99</v>
      </c>
      <c r="E1248" s="1" t="s">
        <v>1233</v>
      </c>
      <c r="F1248" s="1" t="s">
        <v>51</v>
      </c>
      <c r="G1248">
        <v>0</v>
      </c>
      <c r="H1248" s="1" t="s">
        <v>26</v>
      </c>
      <c r="I1248" s="1" t="s">
        <v>75</v>
      </c>
      <c r="J1248">
        <v>9</v>
      </c>
      <c r="K1248">
        <v>27.99</v>
      </c>
      <c r="L1248" s="1" t="s">
        <v>28</v>
      </c>
      <c r="M1248" s="1" t="s">
        <v>61</v>
      </c>
      <c r="N1248" s="1" t="s">
        <v>62</v>
      </c>
      <c r="O1248" s="1" t="s">
        <v>31</v>
      </c>
      <c r="P1248" s="2">
        <v>45726</v>
      </c>
      <c r="Q1248" s="1" t="s">
        <v>1447</v>
      </c>
      <c r="R1248" s="1" t="s">
        <v>1448</v>
      </c>
      <c r="S1248" s="1" t="s">
        <v>47</v>
      </c>
      <c r="T1248" s="1" t="s">
        <v>35</v>
      </c>
      <c r="U1248" s="1" t="s">
        <v>36</v>
      </c>
      <c r="V1248" s="1" t="s">
        <v>37</v>
      </c>
      <c r="W1248">
        <v>2</v>
      </c>
    </row>
    <row r="1249" spans="1:23" x14ac:dyDescent="0.3">
      <c r="A1249" s="1" t="s">
        <v>2525</v>
      </c>
      <c r="B1249">
        <v>1</v>
      </c>
      <c r="C1249">
        <v>34.99</v>
      </c>
      <c r="D1249">
        <v>34.99</v>
      </c>
      <c r="E1249" s="1" t="s">
        <v>902</v>
      </c>
      <c r="F1249" s="1" t="s">
        <v>40</v>
      </c>
      <c r="G1249">
        <v>12</v>
      </c>
      <c r="H1249" s="1" t="s">
        <v>41</v>
      </c>
      <c r="I1249" s="1" t="s">
        <v>85</v>
      </c>
      <c r="J1249">
        <v>12.5</v>
      </c>
      <c r="K1249">
        <v>34.99</v>
      </c>
      <c r="L1249" s="1" t="s">
        <v>60</v>
      </c>
      <c r="M1249" s="1" t="s">
        <v>29</v>
      </c>
      <c r="N1249" s="1" t="s">
        <v>30</v>
      </c>
      <c r="O1249" s="1" t="s">
        <v>31</v>
      </c>
      <c r="P1249" s="2">
        <v>45778</v>
      </c>
      <c r="Q1249" s="1" t="s">
        <v>1237</v>
      </c>
      <c r="R1249" s="1" t="s">
        <v>1238</v>
      </c>
      <c r="S1249" s="1" t="s">
        <v>65</v>
      </c>
      <c r="T1249" s="1" t="s">
        <v>35</v>
      </c>
      <c r="U1249" s="1" t="s">
        <v>66</v>
      </c>
      <c r="V1249" s="1" t="s">
        <v>89</v>
      </c>
      <c r="W1249">
        <v>2.4</v>
      </c>
    </row>
    <row r="1250" spans="1:23" x14ac:dyDescent="0.3">
      <c r="A1250" s="1" t="s">
        <v>2526</v>
      </c>
      <c r="B1250">
        <v>1</v>
      </c>
      <c r="C1250">
        <v>18.989999999999998</v>
      </c>
      <c r="D1250">
        <v>18.989999999999998</v>
      </c>
      <c r="E1250" s="1" t="s">
        <v>719</v>
      </c>
      <c r="F1250" s="1" t="s">
        <v>40</v>
      </c>
      <c r="G1250">
        <v>19</v>
      </c>
      <c r="H1250" s="1" t="s">
        <v>26</v>
      </c>
      <c r="I1250" s="1" t="s">
        <v>97</v>
      </c>
      <c r="J1250">
        <v>6</v>
      </c>
      <c r="K1250">
        <v>18.989999999999998</v>
      </c>
      <c r="L1250" s="1" t="s">
        <v>60</v>
      </c>
      <c r="M1250" s="1" t="s">
        <v>43</v>
      </c>
      <c r="N1250" s="1" t="s">
        <v>44</v>
      </c>
      <c r="O1250" s="1" t="s">
        <v>31</v>
      </c>
      <c r="P1250" s="2">
        <v>45823</v>
      </c>
      <c r="Q1250" s="1" t="s">
        <v>850</v>
      </c>
      <c r="R1250" s="1" t="s">
        <v>2445</v>
      </c>
      <c r="S1250" s="1" t="s">
        <v>65</v>
      </c>
      <c r="T1250" s="1" t="s">
        <v>35</v>
      </c>
      <c r="U1250" s="1" t="s">
        <v>48</v>
      </c>
      <c r="V1250" s="1" t="s">
        <v>100</v>
      </c>
      <c r="W1250">
        <v>3.2</v>
      </c>
    </row>
    <row r="1251" spans="1:23" x14ac:dyDescent="0.3">
      <c r="A1251" s="1" t="s">
        <v>2527</v>
      </c>
      <c r="B1251">
        <v>1</v>
      </c>
      <c r="C1251">
        <v>30.99</v>
      </c>
      <c r="D1251">
        <v>30.99</v>
      </c>
      <c r="E1251" s="1" t="s">
        <v>810</v>
      </c>
      <c r="F1251" s="1" t="s">
        <v>40</v>
      </c>
      <c r="G1251">
        <v>3</v>
      </c>
      <c r="H1251" s="1" t="s">
        <v>96</v>
      </c>
      <c r="I1251" s="1" t="s">
        <v>42</v>
      </c>
      <c r="J1251">
        <v>10.5</v>
      </c>
      <c r="K1251">
        <v>30.99</v>
      </c>
      <c r="L1251" s="1" t="s">
        <v>28</v>
      </c>
      <c r="M1251" s="1" t="s">
        <v>43</v>
      </c>
      <c r="N1251" s="1" t="s">
        <v>44</v>
      </c>
      <c r="O1251" s="1" t="s">
        <v>31</v>
      </c>
      <c r="P1251" s="2">
        <v>45823</v>
      </c>
      <c r="Q1251" s="1" t="s">
        <v>990</v>
      </c>
      <c r="R1251" s="1" t="s">
        <v>1490</v>
      </c>
      <c r="S1251" s="1" t="s">
        <v>88</v>
      </c>
      <c r="T1251" s="1" t="s">
        <v>35</v>
      </c>
      <c r="U1251" s="1" t="s">
        <v>82</v>
      </c>
      <c r="V1251" s="1" t="s">
        <v>37</v>
      </c>
      <c r="W1251">
        <v>2</v>
      </c>
    </row>
    <row r="1252" spans="1:23" x14ac:dyDescent="0.3">
      <c r="A1252" s="1" t="s">
        <v>2528</v>
      </c>
      <c r="B1252">
        <v>1</v>
      </c>
      <c r="C1252">
        <v>16.989999999999998</v>
      </c>
      <c r="D1252">
        <v>16.989999999999998</v>
      </c>
      <c r="E1252" s="1" t="s">
        <v>1530</v>
      </c>
      <c r="F1252" s="1" t="s">
        <v>25</v>
      </c>
      <c r="G1252">
        <v>24</v>
      </c>
      <c r="H1252" s="1" t="s">
        <v>26</v>
      </c>
      <c r="I1252" s="1" t="s">
        <v>59</v>
      </c>
      <c r="J1252">
        <v>5</v>
      </c>
      <c r="K1252">
        <v>16.989999999999998</v>
      </c>
      <c r="L1252" s="1" t="s">
        <v>60</v>
      </c>
      <c r="M1252" s="1" t="s">
        <v>61</v>
      </c>
      <c r="N1252" s="1" t="s">
        <v>62</v>
      </c>
      <c r="O1252" s="1" t="s">
        <v>31</v>
      </c>
      <c r="P1252" s="2">
        <v>45726</v>
      </c>
      <c r="Q1252" s="1" t="s">
        <v>832</v>
      </c>
      <c r="R1252" s="1" t="s">
        <v>833</v>
      </c>
      <c r="S1252" s="1" t="s">
        <v>34</v>
      </c>
      <c r="T1252" s="1" t="s">
        <v>35</v>
      </c>
      <c r="U1252" s="1" t="s">
        <v>36</v>
      </c>
      <c r="V1252" s="1" t="s">
        <v>67</v>
      </c>
      <c r="W1252">
        <v>3</v>
      </c>
    </row>
    <row r="1253" spans="1:23" x14ac:dyDescent="0.3">
      <c r="A1253" s="1" t="s">
        <v>2529</v>
      </c>
      <c r="B1253">
        <v>1</v>
      </c>
      <c r="C1253">
        <v>21.99</v>
      </c>
      <c r="D1253">
        <v>21.99</v>
      </c>
      <c r="E1253" s="1" t="s">
        <v>1268</v>
      </c>
      <c r="F1253" s="1" t="s">
        <v>40</v>
      </c>
      <c r="G1253">
        <v>2</v>
      </c>
      <c r="H1253" s="1" t="s">
        <v>26</v>
      </c>
      <c r="I1253" s="1" t="s">
        <v>27</v>
      </c>
      <c r="J1253">
        <v>7</v>
      </c>
      <c r="K1253">
        <v>21.99</v>
      </c>
      <c r="L1253" s="1" t="s">
        <v>28</v>
      </c>
      <c r="M1253" s="1" t="s">
        <v>29</v>
      </c>
      <c r="N1253" s="1" t="s">
        <v>30</v>
      </c>
      <c r="O1253" s="1" t="s">
        <v>31</v>
      </c>
      <c r="P1253" s="2">
        <v>45778</v>
      </c>
      <c r="Q1253" s="1" t="s">
        <v>1112</v>
      </c>
      <c r="R1253" s="1" t="s">
        <v>1215</v>
      </c>
      <c r="S1253" s="1" t="s">
        <v>54</v>
      </c>
      <c r="T1253" s="1" t="s">
        <v>35</v>
      </c>
      <c r="U1253" s="1" t="s">
        <v>48</v>
      </c>
      <c r="V1253" s="1" t="s">
        <v>37</v>
      </c>
      <c r="W1253">
        <v>2</v>
      </c>
    </row>
    <row r="1254" spans="1:23" x14ac:dyDescent="0.3">
      <c r="A1254" s="1" t="s">
        <v>2530</v>
      </c>
      <c r="B1254">
        <v>1</v>
      </c>
      <c r="C1254">
        <v>16.989999999999998</v>
      </c>
      <c r="D1254">
        <v>16.989999999999998</v>
      </c>
      <c r="E1254" s="1" t="s">
        <v>1807</v>
      </c>
      <c r="F1254" s="1" t="s">
        <v>40</v>
      </c>
      <c r="G1254">
        <v>16</v>
      </c>
      <c r="H1254" s="1" t="s">
        <v>41</v>
      </c>
      <c r="I1254" s="1" t="s">
        <v>59</v>
      </c>
      <c r="J1254">
        <v>5</v>
      </c>
      <c r="K1254">
        <v>16.989999999999998</v>
      </c>
      <c r="L1254" s="1" t="s">
        <v>60</v>
      </c>
      <c r="M1254" s="1" t="s">
        <v>61</v>
      </c>
      <c r="N1254" s="1" t="s">
        <v>62</v>
      </c>
      <c r="O1254" s="1" t="s">
        <v>31</v>
      </c>
      <c r="P1254" s="2">
        <v>45726</v>
      </c>
      <c r="Q1254" s="1" t="s">
        <v>957</v>
      </c>
      <c r="R1254" s="1" t="s">
        <v>958</v>
      </c>
      <c r="S1254" s="1" t="s">
        <v>105</v>
      </c>
      <c r="T1254" s="1" t="s">
        <v>35</v>
      </c>
      <c r="U1254" s="1" t="s">
        <v>66</v>
      </c>
      <c r="V1254" s="1" t="s">
        <v>67</v>
      </c>
      <c r="W1254">
        <v>3</v>
      </c>
    </row>
    <row r="1255" spans="1:23" x14ac:dyDescent="0.3">
      <c r="A1255" s="1" t="s">
        <v>2531</v>
      </c>
      <c r="B1255">
        <v>1</v>
      </c>
      <c r="C1255">
        <v>21.99</v>
      </c>
      <c r="D1255">
        <v>21.99</v>
      </c>
      <c r="E1255" s="1" t="s">
        <v>954</v>
      </c>
      <c r="F1255" s="1" t="s">
        <v>70</v>
      </c>
      <c r="G1255">
        <v>0</v>
      </c>
      <c r="H1255" s="1" t="s">
        <v>58</v>
      </c>
      <c r="I1255" s="1" t="s">
        <v>27</v>
      </c>
      <c r="J1255">
        <v>7</v>
      </c>
      <c r="K1255">
        <v>21.99</v>
      </c>
      <c r="L1255" s="1" t="s">
        <v>28</v>
      </c>
      <c r="M1255" s="1" t="s">
        <v>29</v>
      </c>
      <c r="N1255" s="1" t="s">
        <v>30</v>
      </c>
      <c r="O1255" s="1" t="s">
        <v>31</v>
      </c>
      <c r="P1255" s="2">
        <v>45778</v>
      </c>
      <c r="Q1255" s="1" t="s">
        <v>1032</v>
      </c>
      <c r="R1255" s="1" t="s">
        <v>2112</v>
      </c>
      <c r="S1255" s="1" t="s">
        <v>105</v>
      </c>
      <c r="T1255" s="1" t="s">
        <v>35</v>
      </c>
      <c r="U1255" s="1" t="s">
        <v>82</v>
      </c>
      <c r="V1255" s="1" t="s">
        <v>37</v>
      </c>
      <c r="W1255">
        <v>2</v>
      </c>
    </row>
    <row r="1256" spans="1:23" x14ac:dyDescent="0.3">
      <c r="A1256" s="1" t="s">
        <v>2532</v>
      </c>
      <c r="B1256">
        <v>2</v>
      </c>
      <c r="C1256">
        <v>27.99</v>
      </c>
      <c r="D1256">
        <v>48.35</v>
      </c>
      <c r="E1256" s="1" t="s">
        <v>1446</v>
      </c>
      <c r="F1256" s="1" t="s">
        <v>51</v>
      </c>
      <c r="G1256">
        <v>0</v>
      </c>
      <c r="H1256" s="1" t="s">
        <v>96</v>
      </c>
      <c r="I1256" s="1" t="s">
        <v>75</v>
      </c>
      <c r="J1256">
        <v>9</v>
      </c>
      <c r="K1256">
        <v>27.99</v>
      </c>
      <c r="L1256" s="1" t="s">
        <v>28</v>
      </c>
      <c r="M1256" s="1" t="s">
        <v>61</v>
      </c>
      <c r="N1256" s="1" t="s">
        <v>62</v>
      </c>
      <c r="O1256" s="1" t="s">
        <v>31</v>
      </c>
      <c r="P1256" s="2">
        <v>45726</v>
      </c>
      <c r="Q1256" s="1" t="s">
        <v>1703</v>
      </c>
      <c r="R1256" s="1" t="s">
        <v>1704</v>
      </c>
      <c r="S1256" s="1" t="s">
        <v>105</v>
      </c>
      <c r="T1256" s="1" t="s">
        <v>35</v>
      </c>
      <c r="U1256" s="1" t="s">
        <v>82</v>
      </c>
      <c r="V1256" s="1" t="s">
        <v>37</v>
      </c>
      <c r="W1256">
        <v>2</v>
      </c>
    </row>
    <row r="1257" spans="1:23" x14ac:dyDescent="0.3">
      <c r="A1257" s="1" t="s">
        <v>2533</v>
      </c>
      <c r="B1257">
        <v>1</v>
      </c>
      <c r="C1257">
        <v>27.99</v>
      </c>
      <c r="D1257">
        <v>27.99</v>
      </c>
      <c r="E1257" s="1" t="s">
        <v>2534</v>
      </c>
      <c r="F1257" s="1" t="s">
        <v>40</v>
      </c>
      <c r="G1257">
        <v>2</v>
      </c>
      <c r="H1257" s="1" t="s">
        <v>41</v>
      </c>
      <c r="I1257" s="1" t="s">
        <v>75</v>
      </c>
      <c r="J1257">
        <v>9</v>
      </c>
      <c r="K1257">
        <v>27.99</v>
      </c>
      <c r="L1257" s="1" t="s">
        <v>28</v>
      </c>
      <c r="M1257" s="1" t="s">
        <v>61</v>
      </c>
      <c r="N1257" s="1" t="s">
        <v>62</v>
      </c>
      <c r="O1257" s="1" t="s">
        <v>31</v>
      </c>
      <c r="P1257" s="2">
        <v>45726</v>
      </c>
      <c r="Q1257" s="1" t="s">
        <v>420</v>
      </c>
      <c r="R1257" s="1" t="s">
        <v>1131</v>
      </c>
      <c r="S1257" s="1" t="s">
        <v>54</v>
      </c>
      <c r="T1257" s="1" t="s">
        <v>35</v>
      </c>
      <c r="U1257" s="1" t="s">
        <v>55</v>
      </c>
      <c r="V1257" s="1" t="s">
        <v>37</v>
      </c>
      <c r="W1257">
        <v>2</v>
      </c>
    </row>
    <row r="1258" spans="1:23" x14ac:dyDescent="0.3">
      <c r="A1258" s="1" t="s">
        <v>2535</v>
      </c>
      <c r="B1258">
        <v>1</v>
      </c>
      <c r="C1258">
        <v>21.99</v>
      </c>
      <c r="D1258">
        <v>21.99</v>
      </c>
      <c r="E1258" s="1" t="s">
        <v>978</v>
      </c>
      <c r="F1258" s="1" t="s">
        <v>40</v>
      </c>
      <c r="G1258">
        <v>3</v>
      </c>
      <c r="H1258" s="1" t="s">
        <v>58</v>
      </c>
      <c r="I1258" s="1" t="s">
        <v>27</v>
      </c>
      <c r="J1258">
        <v>7</v>
      </c>
      <c r="K1258">
        <v>21.99</v>
      </c>
      <c r="L1258" s="1" t="s">
        <v>28</v>
      </c>
      <c r="M1258" s="1" t="s">
        <v>29</v>
      </c>
      <c r="N1258" s="1" t="s">
        <v>30</v>
      </c>
      <c r="O1258" s="1" t="s">
        <v>31</v>
      </c>
      <c r="P1258" s="2">
        <v>45778</v>
      </c>
      <c r="Q1258" s="1" t="s">
        <v>2536</v>
      </c>
      <c r="R1258" s="1" t="s">
        <v>2537</v>
      </c>
      <c r="S1258" s="1" t="s">
        <v>105</v>
      </c>
      <c r="T1258" s="1" t="s">
        <v>35</v>
      </c>
      <c r="U1258" s="1" t="s">
        <v>48</v>
      </c>
      <c r="V1258" s="1" t="s">
        <v>37</v>
      </c>
      <c r="W1258">
        <v>2</v>
      </c>
    </row>
    <row r="1259" spans="1:23" x14ac:dyDescent="0.3">
      <c r="A1259" s="1" t="s">
        <v>2538</v>
      </c>
      <c r="B1259">
        <v>2</v>
      </c>
      <c r="C1259">
        <v>30.99</v>
      </c>
      <c r="D1259">
        <v>53.51</v>
      </c>
      <c r="E1259" s="1" t="s">
        <v>445</v>
      </c>
      <c r="F1259" s="1" t="s">
        <v>188</v>
      </c>
      <c r="G1259">
        <v>0</v>
      </c>
      <c r="H1259" s="1" t="s">
        <v>26</v>
      </c>
      <c r="I1259" s="1" t="s">
        <v>42</v>
      </c>
      <c r="J1259">
        <v>10.5</v>
      </c>
      <c r="K1259">
        <v>30.99</v>
      </c>
      <c r="L1259" s="1" t="s">
        <v>28</v>
      </c>
      <c r="M1259" s="1" t="s">
        <v>43</v>
      </c>
      <c r="N1259" s="1" t="s">
        <v>44</v>
      </c>
      <c r="O1259" s="1" t="s">
        <v>31</v>
      </c>
      <c r="P1259" s="2">
        <v>45823</v>
      </c>
      <c r="Q1259" s="1" t="s">
        <v>1187</v>
      </c>
      <c r="R1259" s="1" t="s">
        <v>2338</v>
      </c>
      <c r="S1259" s="1" t="s">
        <v>34</v>
      </c>
      <c r="T1259" s="1" t="s">
        <v>35</v>
      </c>
      <c r="U1259" s="1" t="s">
        <v>48</v>
      </c>
      <c r="V1259" s="1" t="s">
        <v>37</v>
      </c>
      <c r="W1259">
        <v>2</v>
      </c>
    </row>
    <row r="1260" spans="1:23" x14ac:dyDescent="0.3">
      <c r="A1260" s="1" t="s">
        <v>2539</v>
      </c>
      <c r="B1260">
        <v>1</v>
      </c>
      <c r="C1260">
        <v>16.989999999999998</v>
      </c>
      <c r="D1260">
        <v>16.989999999999998</v>
      </c>
      <c r="E1260" s="1" t="s">
        <v>2540</v>
      </c>
      <c r="F1260" s="1" t="s">
        <v>51</v>
      </c>
      <c r="G1260">
        <v>0</v>
      </c>
      <c r="H1260" s="1" t="s">
        <v>26</v>
      </c>
      <c r="I1260" s="1" t="s">
        <v>59</v>
      </c>
      <c r="J1260">
        <v>5</v>
      </c>
      <c r="K1260">
        <v>16.989999999999998</v>
      </c>
      <c r="L1260" s="1" t="s">
        <v>60</v>
      </c>
      <c r="M1260" s="1" t="s">
        <v>61</v>
      </c>
      <c r="N1260" s="1" t="s">
        <v>62</v>
      </c>
      <c r="O1260" s="1" t="s">
        <v>31</v>
      </c>
      <c r="P1260" s="2">
        <v>45726</v>
      </c>
      <c r="Q1260" s="1" t="s">
        <v>544</v>
      </c>
      <c r="R1260" s="1" t="s">
        <v>1923</v>
      </c>
      <c r="S1260" s="1" t="s">
        <v>105</v>
      </c>
      <c r="T1260" s="1" t="s">
        <v>35</v>
      </c>
      <c r="U1260" s="1" t="s">
        <v>36</v>
      </c>
      <c r="V1260" s="1" t="s">
        <v>67</v>
      </c>
      <c r="W1260">
        <v>3</v>
      </c>
    </row>
    <row r="1261" spans="1:23" x14ac:dyDescent="0.3">
      <c r="A1261" s="1" t="s">
        <v>2541</v>
      </c>
      <c r="B1261">
        <v>1</v>
      </c>
      <c r="C1261">
        <v>27.99</v>
      </c>
      <c r="D1261">
        <v>27.99</v>
      </c>
      <c r="E1261" s="1" t="s">
        <v>107</v>
      </c>
      <c r="F1261" s="1" t="s">
        <v>40</v>
      </c>
      <c r="G1261">
        <v>3</v>
      </c>
      <c r="H1261" s="1" t="s">
        <v>26</v>
      </c>
      <c r="I1261" s="1" t="s">
        <v>75</v>
      </c>
      <c r="J1261">
        <v>9</v>
      </c>
      <c r="K1261">
        <v>27.99</v>
      </c>
      <c r="L1261" s="1" t="s">
        <v>28</v>
      </c>
      <c r="M1261" s="1" t="s">
        <v>61</v>
      </c>
      <c r="N1261" s="1" t="s">
        <v>62</v>
      </c>
      <c r="O1261" s="1" t="s">
        <v>31</v>
      </c>
      <c r="P1261" s="2">
        <v>45726</v>
      </c>
      <c r="Q1261" s="1" t="s">
        <v>790</v>
      </c>
      <c r="R1261" s="1" t="s">
        <v>791</v>
      </c>
      <c r="S1261" s="1" t="s">
        <v>47</v>
      </c>
      <c r="T1261" s="1" t="s">
        <v>35</v>
      </c>
      <c r="U1261" s="1" t="s">
        <v>55</v>
      </c>
      <c r="V1261" s="1" t="s">
        <v>37</v>
      </c>
      <c r="W1261">
        <v>2</v>
      </c>
    </row>
    <row r="1262" spans="1:23" x14ac:dyDescent="0.3">
      <c r="A1262" s="1" t="s">
        <v>2542</v>
      </c>
      <c r="B1262">
        <v>3</v>
      </c>
      <c r="C1262">
        <v>34.99</v>
      </c>
      <c r="D1262">
        <v>82.46</v>
      </c>
      <c r="E1262" s="1" t="s">
        <v>1509</v>
      </c>
      <c r="F1262" s="1" t="s">
        <v>188</v>
      </c>
      <c r="G1262">
        <v>0</v>
      </c>
      <c r="H1262" s="1" t="s">
        <v>58</v>
      </c>
      <c r="I1262" s="1" t="s">
        <v>85</v>
      </c>
      <c r="J1262">
        <v>12.5</v>
      </c>
      <c r="K1262">
        <v>34.99</v>
      </c>
      <c r="L1262" s="1" t="s">
        <v>60</v>
      </c>
      <c r="M1262" s="1" t="s">
        <v>29</v>
      </c>
      <c r="N1262" s="1" t="s">
        <v>30</v>
      </c>
      <c r="O1262" s="1" t="s">
        <v>31</v>
      </c>
      <c r="P1262" s="2">
        <v>45778</v>
      </c>
      <c r="Q1262" s="1" t="s">
        <v>975</v>
      </c>
      <c r="R1262" s="1" t="s">
        <v>976</v>
      </c>
      <c r="S1262" s="1" t="s">
        <v>54</v>
      </c>
      <c r="T1262" s="1" t="s">
        <v>35</v>
      </c>
      <c r="U1262" s="1" t="s">
        <v>66</v>
      </c>
      <c r="V1262" s="1" t="s">
        <v>89</v>
      </c>
      <c r="W1262">
        <v>2.4</v>
      </c>
    </row>
    <row r="1263" spans="1:23" x14ac:dyDescent="0.3">
      <c r="A1263" s="1" t="s">
        <v>2543</v>
      </c>
      <c r="B1263">
        <v>1</v>
      </c>
      <c r="C1263">
        <v>27.99</v>
      </c>
      <c r="D1263">
        <v>27.99</v>
      </c>
      <c r="E1263" s="1" t="s">
        <v>862</v>
      </c>
      <c r="F1263" s="1" t="s">
        <v>40</v>
      </c>
      <c r="G1263">
        <v>2</v>
      </c>
      <c r="H1263" s="1" t="s">
        <v>41</v>
      </c>
      <c r="I1263" s="1" t="s">
        <v>75</v>
      </c>
      <c r="J1263">
        <v>9</v>
      </c>
      <c r="K1263">
        <v>27.99</v>
      </c>
      <c r="L1263" s="1" t="s">
        <v>28</v>
      </c>
      <c r="M1263" s="1" t="s">
        <v>61</v>
      </c>
      <c r="N1263" s="1" t="s">
        <v>62</v>
      </c>
      <c r="O1263" s="1" t="s">
        <v>31</v>
      </c>
      <c r="P1263" s="2">
        <v>45726</v>
      </c>
      <c r="Q1263" s="1" t="s">
        <v>137</v>
      </c>
      <c r="R1263" s="1" t="s">
        <v>2461</v>
      </c>
      <c r="S1263" s="1" t="s">
        <v>34</v>
      </c>
      <c r="T1263" s="1" t="s">
        <v>35</v>
      </c>
      <c r="U1263" s="1" t="s">
        <v>36</v>
      </c>
      <c r="V1263" s="1" t="s">
        <v>37</v>
      </c>
      <c r="W1263">
        <v>2</v>
      </c>
    </row>
    <row r="1264" spans="1:23" x14ac:dyDescent="0.3">
      <c r="A1264" s="1" t="s">
        <v>2544</v>
      </c>
      <c r="B1264">
        <v>2</v>
      </c>
      <c r="C1264">
        <v>18.989999999999998</v>
      </c>
      <c r="D1264">
        <v>32.71</v>
      </c>
      <c r="E1264" s="1" t="s">
        <v>1000</v>
      </c>
      <c r="F1264" s="1" t="s">
        <v>51</v>
      </c>
      <c r="G1264">
        <v>0</v>
      </c>
      <c r="H1264" s="1" t="s">
        <v>96</v>
      </c>
      <c r="I1264" s="1" t="s">
        <v>97</v>
      </c>
      <c r="J1264">
        <v>6</v>
      </c>
      <c r="K1264">
        <v>18.989999999999998</v>
      </c>
      <c r="L1264" s="1" t="s">
        <v>60</v>
      </c>
      <c r="M1264" s="1" t="s">
        <v>43</v>
      </c>
      <c r="N1264" s="1" t="s">
        <v>44</v>
      </c>
      <c r="O1264" s="1" t="s">
        <v>31</v>
      </c>
      <c r="P1264" s="2">
        <v>45823</v>
      </c>
      <c r="Q1264" s="1" t="s">
        <v>979</v>
      </c>
      <c r="R1264" s="1" t="s">
        <v>980</v>
      </c>
      <c r="S1264" s="1" t="s">
        <v>105</v>
      </c>
      <c r="T1264" s="1" t="s">
        <v>35</v>
      </c>
      <c r="U1264" s="1" t="s">
        <v>82</v>
      </c>
      <c r="V1264" s="1" t="s">
        <v>100</v>
      </c>
      <c r="W1264">
        <v>3.2</v>
      </c>
    </row>
    <row r="1265" spans="1:23" x14ac:dyDescent="0.3">
      <c r="A1265" s="1" t="s">
        <v>2545</v>
      </c>
      <c r="B1265">
        <v>3</v>
      </c>
      <c r="C1265">
        <v>18.989999999999998</v>
      </c>
      <c r="D1265">
        <v>45.65</v>
      </c>
      <c r="E1265" s="1" t="s">
        <v>1548</v>
      </c>
      <c r="F1265" s="1" t="s">
        <v>25</v>
      </c>
      <c r="G1265">
        <v>20</v>
      </c>
      <c r="H1265" s="1" t="s">
        <v>41</v>
      </c>
      <c r="I1265" s="1" t="s">
        <v>97</v>
      </c>
      <c r="J1265">
        <v>6</v>
      </c>
      <c r="K1265">
        <v>18.989999999999998</v>
      </c>
      <c r="L1265" s="1" t="s">
        <v>60</v>
      </c>
      <c r="M1265" s="1" t="s">
        <v>43</v>
      </c>
      <c r="N1265" s="1" t="s">
        <v>44</v>
      </c>
      <c r="O1265" s="1" t="s">
        <v>31</v>
      </c>
      <c r="P1265" s="2">
        <v>45823</v>
      </c>
      <c r="Q1265" s="1" t="s">
        <v>358</v>
      </c>
      <c r="R1265" s="1" t="s">
        <v>1154</v>
      </c>
      <c r="S1265" s="1" t="s">
        <v>65</v>
      </c>
      <c r="T1265" s="1" t="s">
        <v>35</v>
      </c>
      <c r="U1265" s="1" t="s">
        <v>48</v>
      </c>
      <c r="V1265" s="1" t="s">
        <v>100</v>
      </c>
      <c r="W1265">
        <v>3.2</v>
      </c>
    </row>
    <row r="1266" spans="1:23" x14ac:dyDescent="0.3">
      <c r="A1266" s="1" t="s">
        <v>2546</v>
      </c>
      <c r="B1266">
        <v>1</v>
      </c>
      <c r="C1266">
        <v>18.989999999999998</v>
      </c>
      <c r="D1266">
        <v>18.989999999999998</v>
      </c>
      <c r="E1266" s="1" t="s">
        <v>2070</v>
      </c>
      <c r="F1266" s="1" t="s">
        <v>40</v>
      </c>
      <c r="G1266">
        <v>13</v>
      </c>
      <c r="H1266" s="1" t="s">
        <v>96</v>
      </c>
      <c r="I1266" s="1" t="s">
        <v>97</v>
      </c>
      <c r="J1266">
        <v>6</v>
      </c>
      <c r="K1266">
        <v>18.989999999999998</v>
      </c>
      <c r="L1266" s="1" t="s">
        <v>60</v>
      </c>
      <c r="M1266" s="1" t="s">
        <v>43</v>
      </c>
      <c r="N1266" s="1" t="s">
        <v>44</v>
      </c>
      <c r="O1266" s="1" t="s">
        <v>31</v>
      </c>
      <c r="P1266" s="2">
        <v>45823</v>
      </c>
      <c r="Q1266" s="1" t="s">
        <v>1719</v>
      </c>
      <c r="R1266" s="1" t="s">
        <v>2198</v>
      </c>
      <c r="S1266" s="1" t="s">
        <v>34</v>
      </c>
      <c r="T1266" s="1" t="s">
        <v>35</v>
      </c>
      <c r="U1266" s="1" t="s">
        <v>36</v>
      </c>
      <c r="V1266" s="1" t="s">
        <v>100</v>
      </c>
      <c r="W1266">
        <v>3.2</v>
      </c>
    </row>
    <row r="1267" spans="1:23" x14ac:dyDescent="0.3">
      <c r="A1267" s="1" t="s">
        <v>2547</v>
      </c>
      <c r="B1267">
        <v>1</v>
      </c>
      <c r="C1267">
        <v>30.99</v>
      </c>
      <c r="D1267">
        <v>30.99</v>
      </c>
      <c r="E1267" s="1" t="s">
        <v>2548</v>
      </c>
      <c r="F1267" s="1" t="s">
        <v>40</v>
      </c>
      <c r="G1267">
        <v>3</v>
      </c>
      <c r="H1267" s="1" t="s">
        <v>96</v>
      </c>
      <c r="I1267" s="1" t="s">
        <v>42</v>
      </c>
      <c r="J1267">
        <v>10.5</v>
      </c>
      <c r="K1267">
        <v>30.99</v>
      </c>
      <c r="L1267" s="1" t="s">
        <v>28</v>
      </c>
      <c r="M1267" s="1" t="s">
        <v>43</v>
      </c>
      <c r="N1267" s="1" t="s">
        <v>44</v>
      </c>
      <c r="O1267" s="1" t="s">
        <v>31</v>
      </c>
      <c r="P1267" s="2">
        <v>45823</v>
      </c>
      <c r="Q1267" s="1" t="s">
        <v>147</v>
      </c>
      <c r="R1267" s="1" t="s">
        <v>1601</v>
      </c>
      <c r="S1267" s="1" t="s">
        <v>105</v>
      </c>
      <c r="T1267" s="1" t="s">
        <v>35</v>
      </c>
      <c r="U1267" s="1" t="s">
        <v>55</v>
      </c>
      <c r="V1267" s="1" t="s">
        <v>37</v>
      </c>
      <c r="W1267">
        <v>2</v>
      </c>
    </row>
    <row r="1268" spans="1:23" x14ac:dyDescent="0.3">
      <c r="A1268" s="1" t="s">
        <v>2549</v>
      </c>
      <c r="B1268">
        <v>1</v>
      </c>
      <c r="C1268">
        <v>16.989999999999998</v>
      </c>
      <c r="D1268">
        <v>16.989999999999998</v>
      </c>
      <c r="E1268" s="1" t="s">
        <v>1738</v>
      </c>
      <c r="F1268" s="1" t="s">
        <v>70</v>
      </c>
      <c r="G1268">
        <v>0</v>
      </c>
      <c r="H1268" s="1" t="s">
        <v>58</v>
      </c>
      <c r="I1268" s="1" t="s">
        <v>59</v>
      </c>
      <c r="J1268">
        <v>5</v>
      </c>
      <c r="K1268">
        <v>16.989999999999998</v>
      </c>
      <c r="L1268" s="1" t="s">
        <v>60</v>
      </c>
      <c r="M1268" s="1" t="s">
        <v>61</v>
      </c>
      <c r="N1268" s="1" t="s">
        <v>62</v>
      </c>
      <c r="O1268" s="1" t="s">
        <v>31</v>
      </c>
      <c r="P1268" s="2">
        <v>45726</v>
      </c>
      <c r="Q1268" s="1" t="s">
        <v>943</v>
      </c>
      <c r="R1268" s="1" t="s">
        <v>944</v>
      </c>
      <c r="S1268" s="1" t="s">
        <v>47</v>
      </c>
      <c r="T1268" s="1" t="s">
        <v>35</v>
      </c>
      <c r="U1268" s="1" t="s">
        <v>48</v>
      </c>
      <c r="V1268" s="1" t="s">
        <v>67</v>
      </c>
      <c r="W1268">
        <v>3</v>
      </c>
    </row>
    <row r="1269" spans="1:23" x14ac:dyDescent="0.3">
      <c r="A1269" s="1" t="s">
        <v>2550</v>
      </c>
      <c r="B1269">
        <v>1</v>
      </c>
      <c r="C1269">
        <v>21.99</v>
      </c>
      <c r="D1269">
        <v>21.99</v>
      </c>
      <c r="E1269" s="1" t="s">
        <v>2551</v>
      </c>
      <c r="F1269" s="1" t="s">
        <v>40</v>
      </c>
      <c r="G1269">
        <v>3</v>
      </c>
      <c r="H1269" s="1" t="s">
        <v>58</v>
      </c>
      <c r="I1269" s="1" t="s">
        <v>27</v>
      </c>
      <c r="J1269">
        <v>7</v>
      </c>
      <c r="K1269">
        <v>21.99</v>
      </c>
      <c r="L1269" s="1" t="s">
        <v>28</v>
      </c>
      <c r="M1269" s="1" t="s">
        <v>29</v>
      </c>
      <c r="N1269" s="1" t="s">
        <v>30</v>
      </c>
      <c r="O1269" s="1" t="s">
        <v>31</v>
      </c>
      <c r="P1269" s="2">
        <v>45778</v>
      </c>
      <c r="Q1269" s="1" t="s">
        <v>2065</v>
      </c>
      <c r="R1269" s="1" t="s">
        <v>2066</v>
      </c>
      <c r="S1269" s="1" t="s">
        <v>47</v>
      </c>
      <c r="T1269" s="1" t="s">
        <v>35</v>
      </c>
      <c r="U1269" s="1" t="s">
        <v>66</v>
      </c>
      <c r="V1269" s="1" t="s">
        <v>37</v>
      </c>
      <c r="W1269">
        <v>2</v>
      </c>
    </row>
    <row r="1270" spans="1:23" x14ac:dyDescent="0.3">
      <c r="A1270" s="1" t="s">
        <v>2552</v>
      </c>
      <c r="B1270">
        <v>1</v>
      </c>
      <c r="C1270">
        <v>27.99</v>
      </c>
      <c r="D1270">
        <v>27.99</v>
      </c>
      <c r="E1270" s="1" t="s">
        <v>91</v>
      </c>
      <c r="F1270" s="1" t="s">
        <v>40</v>
      </c>
      <c r="G1270">
        <v>3</v>
      </c>
      <c r="H1270" s="1" t="s">
        <v>96</v>
      </c>
      <c r="I1270" s="1" t="s">
        <v>75</v>
      </c>
      <c r="J1270">
        <v>9</v>
      </c>
      <c r="K1270">
        <v>27.99</v>
      </c>
      <c r="L1270" s="1" t="s">
        <v>28</v>
      </c>
      <c r="M1270" s="1" t="s">
        <v>61</v>
      </c>
      <c r="N1270" s="1" t="s">
        <v>62</v>
      </c>
      <c r="O1270" s="1" t="s">
        <v>31</v>
      </c>
      <c r="P1270" s="2">
        <v>45726</v>
      </c>
      <c r="Q1270" s="1" t="s">
        <v>1878</v>
      </c>
      <c r="R1270" s="1" t="s">
        <v>1879</v>
      </c>
      <c r="S1270" s="1" t="s">
        <v>54</v>
      </c>
      <c r="T1270" s="1" t="s">
        <v>35</v>
      </c>
      <c r="U1270" s="1" t="s">
        <v>66</v>
      </c>
      <c r="V1270" s="1" t="s">
        <v>37</v>
      </c>
      <c r="W1270">
        <v>2</v>
      </c>
    </row>
    <row r="1271" spans="1:23" x14ac:dyDescent="0.3">
      <c r="A1271" s="1" t="s">
        <v>2553</v>
      </c>
      <c r="B1271">
        <v>1</v>
      </c>
      <c r="C1271">
        <v>27.99</v>
      </c>
      <c r="D1271">
        <v>27.99</v>
      </c>
      <c r="E1271" s="1" t="s">
        <v>1093</v>
      </c>
      <c r="F1271" s="1" t="s">
        <v>40</v>
      </c>
      <c r="G1271">
        <v>2</v>
      </c>
      <c r="H1271" s="1" t="s">
        <v>96</v>
      </c>
      <c r="I1271" s="1" t="s">
        <v>75</v>
      </c>
      <c r="J1271">
        <v>9</v>
      </c>
      <c r="K1271">
        <v>27.99</v>
      </c>
      <c r="L1271" s="1" t="s">
        <v>28</v>
      </c>
      <c r="M1271" s="1" t="s">
        <v>61</v>
      </c>
      <c r="N1271" s="1" t="s">
        <v>62</v>
      </c>
      <c r="O1271" s="1" t="s">
        <v>31</v>
      </c>
      <c r="P1271" s="2">
        <v>45726</v>
      </c>
      <c r="Q1271" s="1" t="s">
        <v>466</v>
      </c>
      <c r="R1271" s="1" t="s">
        <v>1520</v>
      </c>
      <c r="S1271" s="1" t="s">
        <v>105</v>
      </c>
      <c r="T1271" s="1" t="s">
        <v>35</v>
      </c>
      <c r="U1271" s="1" t="s">
        <v>48</v>
      </c>
      <c r="V1271" s="1" t="s">
        <v>37</v>
      </c>
      <c r="W1271">
        <v>2</v>
      </c>
    </row>
    <row r="1272" spans="1:23" x14ac:dyDescent="0.3">
      <c r="A1272" s="1" t="s">
        <v>2554</v>
      </c>
      <c r="B1272">
        <v>2</v>
      </c>
      <c r="C1272">
        <v>18.989999999999998</v>
      </c>
      <c r="D1272">
        <v>32.75</v>
      </c>
      <c r="E1272" s="1" t="s">
        <v>1968</v>
      </c>
      <c r="F1272" s="1" t="s">
        <v>40</v>
      </c>
      <c r="G1272">
        <v>15</v>
      </c>
      <c r="H1272" s="1" t="s">
        <v>96</v>
      </c>
      <c r="I1272" s="1" t="s">
        <v>97</v>
      </c>
      <c r="J1272">
        <v>6</v>
      </c>
      <c r="K1272">
        <v>18.989999999999998</v>
      </c>
      <c r="L1272" s="1" t="s">
        <v>60</v>
      </c>
      <c r="M1272" s="1" t="s">
        <v>43</v>
      </c>
      <c r="N1272" s="1" t="s">
        <v>44</v>
      </c>
      <c r="O1272" s="1" t="s">
        <v>31</v>
      </c>
      <c r="P1272" s="2">
        <v>45823</v>
      </c>
      <c r="Q1272" s="1" t="s">
        <v>1887</v>
      </c>
      <c r="R1272" s="1" t="s">
        <v>1888</v>
      </c>
      <c r="S1272" s="1" t="s">
        <v>88</v>
      </c>
      <c r="T1272" s="1" t="s">
        <v>35</v>
      </c>
      <c r="U1272" s="1" t="s">
        <v>82</v>
      </c>
      <c r="V1272" s="1" t="s">
        <v>100</v>
      </c>
      <c r="W1272">
        <v>3.2</v>
      </c>
    </row>
    <row r="1273" spans="1:23" x14ac:dyDescent="0.3">
      <c r="A1273" s="1" t="s">
        <v>2555</v>
      </c>
      <c r="B1273">
        <v>1</v>
      </c>
      <c r="C1273">
        <v>30.99</v>
      </c>
      <c r="D1273">
        <v>30.99</v>
      </c>
      <c r="E1273" s="1" t="s">
        <v>74</v>
      </c>
      <c r="F1273" s="1" t="s">
        <v>40</v>
      </c>
      <c r="G1273">
        <v>4</v>
      </c>
      <c r="H1273" s="1" t="s">
        <v>26</v>
      </c>
      <c r="I1273" s="1" t="s">
        <v>42</v>
      </c>
      <c r="J1273">
        <v>10.5</v>
      </c>
      <c r="K1273">
        <v>30.99</v>
      </c>
      <c r="L1273" s="1" t="s">
        <v>28</v>
      </c>
      <c r="M1273" s="1" t="s">
        <v>43</v>
      </c>
      <c r="N1273" s="1" t="s">
        <v>44</v>
      </c>
      <c r="O1273" s="1" t="s">
        <v>31</v>
      </c>
      <c r="P1273" s="2">
        <v>45823</v>
      </c>
      <c r="Q1273" s="1" t="s">
        <v>787</v>
      </c>
      <c r="R1273" s="1" t="s">
        <v>1836</v>
      </c>
      <c r="S1273" s="1" t="s">
        <v>47</v>
      </c>
      <c r="T1273" s="1" t="s">
        <v>35</v>
      </c>
      <c r="U1273" s="1" t="s">
        <v>36</v>
      </c>
      <c r="V1273" s="1" t="s">
        <v>37</v>
      </c>
      <c r="W1273">
        <v>2</v>
      </c>
    </row>
    <row r="1274" spans="1:23" x14ac:dyDescent="0.3">
      <c r="A1274" s="1" t="s">
        <v>2556</v>
      </c>
      <c r="B1274">
        <v>1</v>
      </c>
      <c r="C1274">
        <v>30.99</v>
      </c>
      <c r="D1274">
        <v>30.99</v>
      </c>
      <c r="E1274" s="1" t="s">
        <v>1577</v>
      </c>
      <c r="F1274" s="1" t="s">
        <v>40</v>
      </c>
      <c r="G1274">
        <v>3</v>
      </c>
      <c r="H1274" s="1" t="s">
        <v>41</v>
      </c>
      <c r="I1274" s="1" t="s">
        <v>42</v>
      </c>
      <c r="J1274">
        <v>10.5</v>
      </c>
      <c r="K1274">
        <v>30.99</v>
      </c>
      <c r="L1274" s="1" t="s">
        <v>28</v>
      </c>
      <c r="M1274" s="1" t="s">
        <v>43</v>
      </c>
      <c r="N1274" s="1" t="s">
        <v>44</v>
      </c>
      <c r="O1274" s="1" t="s">
        <v>31</v>
      </c>
      <c r="P1274" s="2">
        <v>45823</v>
      </c>
      <c r="Q1274" s="1" t="s">
        <v>2176</v>
      </c>
      <c r="R1274" s="1" t="s">
        <v>2177</v>
      </c>
      <c r="S1274" s="1" t="s">
        <v>105</v>
      </c>
      <c r="T1274" s="1" t="s">
        <v>35</v>
      </c>
      <c r="U1274" s="1" t="s">
        <v>82</v>
      </c>
      <c r="V1274" s="1" t="s">
        <v>37</v>
      </c>
      <c r="W1274">
        <v>2</v>
      </c>
    </row>
    <row r="1275" spans="1:23" x14ac:dyDescent="0.3">
      <c r="A1275" s="1" t="s">
        <v>2557</v>
      </c>
      <c r="B1275">
        <v>3</v>
      </c>
      <c r="C1275">
        <v>30.99</v>
      </c>
      <c r="D1275">
        <v>73.5</v>
      </c>
      <c r="E1275" s="1" t="s">
        <v>921</v>
      </c>
      <c r="F1275" s="1" t="s">
        <v>40</v>
      </c>
      <c r="G1275">
        <v>3</v>
      </c>
      <c r="H1275" s="1" t="s">
        <v>58</v>
      </c>
      <c r="I1275" s="1" t="s">
        <v>42</v>
      </c>
      <c r="J1275">
        <v>10.5</v>
      </c>
      <c r="K1275">
        <v>30.99</v>
      </c>
      <c r="L1275" s="1" t="s">
        <v>28</v>
      </c>
      <c r="M1275" s="1" t="s">
        <v>43</v>
      </c>
      <c r="N1275" s="1" t="s">
        <v>44</v>
      </c>
      <c r="O1275" s="1" t="s">
        <v>31</v>
      </c>
      <c r="P1275" s="2">
        <v>45823</v>
      </c>
      <c r="Q1275" s="1" t="s">
        <v>249</v>
      </c>
      <c r="R1275" s="1" t="s">
        <v>924</v>
      </c>
      <c r="S1275" s="1" t="s">
        <v>34</v>
      </c>
      <c r="T1275" s="1" t="s">
        <v>35</v>
      </c>
      <c r="U1275" s="1" t="s">
        <v>55</v>
      </c>
      <c r="V1275" s="1" t="s">
        <v>37</v>
      </c>
      <c r="W1275">
        <v>2</v>
      </c>
    </row>
    <row r="1276" spans="1:23" x14ac:dyDescent="0.3">
      <c r="A1276" s="1" t="s">
        <v>2558</v>
      </c>
      <c r="B1276">
        <v>1</v>
      </c>
      <c r="C1276">
        <v>34.99</v>
      </c>
      <c r="D1276">
        <v>34.99</v>
      </c>
      <c r="E1276" s="1" t="s">
        <v>297</v>
      </c>
      <c r="F1276" s="1" t="s">
        <v>188</v>
      </c>
      <c r="G1276">
        <v>0</v>
      </c>
      <c r="H1276" s="1" t="s">
        <v>26</v>
      </c>
      <c r="I1276" s="1" t="s">
        <v>85</v>
      </c>
      <c r="J1276">
        <v>12.5</v>
      </c>
      <c r="K1276">
        <v>34.99</v>
      </c>
      <c r="L1276" s="1" t="s">
        <v>60</v>
      </c>
      <c r="M1276" s="1" t="s">
        <v>29</v>
      </c>
      <c r="N1276" s="1" t="s">
        <v>30</v>
      </c>
      <c r="O1276" s="1" t="s">
        <v>31</v>
      </c>
      <c r="P1276" s="2">
        <v>45778</v>
      </c>
      <c r="Q1276" s="1" t="s">
        <v>358</v>
      </c>
      <c r="R1276" s="1" t="s">
        <v>1154</v>
      </c>
      <c r="S1276" s="1" t="s">
        <v>65</v>
      </c>
      <c r="T1276" s="1" t="s">
        <v>35</v>
      </c>
      <c r="U1276" s="1" t="s">
        <v>48</v>
      </c>
      <c r="V1276" s="1" t="s">
        <v>89</v>
      </c>
      <c r="W1276">
        <v>2.4</v>
      </c>
    </row>
    <row r="1277" spans="1:23" x14ac:dyDescent="0.3">
      <c r="A1277" s="1" t="s">
        <v>2559</v>
      </c>
      <c r="B1277">
        <v>3</v>
      </c>
      <c r="C1277">
        <v>18.989999999999998</v>
      </c>
      <c r="D1277">
        <v>44.74</v>
      </c>
      <c r="E1277" s="1" t="s">
        <v>1359</v>
      </c>
      <c r="F1277" s="1" t="s">
        <v>51</v>
      </c>
      <c r="G1277">
        <v>0</v>
      </c>
      <c r="H1277" s="1" t="s">
        <v>58</v>
      </c>
      <c r="I1277" s="1" t="s">
        <v>97</v>
      </c>
      <c r="J1277">
        <v>6</v>
      </c>
      <c r="K1277">
        <v>18.989999999999998</v>
      </c>
      <c r="L1277" s="1" t="s">
        <v>60</v>
      </c>
      <c r="M1277" s="1" t="s">
        <v>43</v>
      </c>
      <c r="N1277" s="1" t="s">
        <v>44</v>
      </c>
      <c r="O1277" s="1" t="s">
        <v>31</v>
      </c>
      <c r="P1277" s="2">
        <v>45823</v>
      </c>
      <c r="Q1277" s="1" t="s">
        <v>2560</v>
      </c>
      <c r="R1277" s="1" t="s">
        <v>2561</v>
      </c>
      <c r="S1277" s="1" t="s">
        <v>65</v>
      </c>
      <c r="T1277" s="1" t="s">
        <v>35</v>
      </c>
      <c r="U1277" s="1" t="s">
        <v>82</v>
      </c>
      <c r="V1277" s="1" t="s">
        <v>100</v>
      </c>
      <c r="W1277">
        <v>3.2</v>
      </c>
    </row>
    <row r="1278" spans="1:23" x14ac:dyDescent="0.3">
      <c r="A1278" s="1" t="s">
        <v>2562</v>
      </c>
      <c r="B1278">
        <v>1</v>
      </c>
      <c r="C1278">
        <v>21.99</v>
      </c>
      <c r="D1278">
        <v>21.99</v>
      </c>
      <c r="E1278" s="1" t="s">
        <v>1592</v>
      </c>
      <c r="F1278" s="1" t="s">
        <v>51</v>
      </c>
      <c r="G1278">
        <v>0</v>
      </c>
      <c r="H1278" s="1" t="s">
        <v>26</v>
      </c>
      <c r="I1278" s="1" t="s">
        <v>27</v>
      </c>
      <c r="J1278">
        <v>7</v>
      </c>
      <c r="K1278">
        <v>21.99</v>
      </c>
      <c r="L1278" s="1" t="s">
        <v>28</v>
      </c>
      <c r="M1278" s="1" t="s">
        <v>29</v>
      </c>
      <c r="N1278" s="1" t="s">
        <v>30</v>
      </c>
      <c r="O1278" s="1" t="s">
        <v>31</v>
      </c>
      <c r="P1278" s="2">
        <v>45778</v>
      </c>
      <c r="Q1278" s="1" t="s">
        <v>1003</v>
      </c>
      <c r="R1278" s="1" t="s">
        <v>1542</v>
      </c>
      <c r="S1278" s="1" t="s">
        <v>54</v>
      </c>
      <c r="T1278" s="1" t="s">
        <v>35</v>
      </c>
      <c r="U1278" s="1" t="s">
        <v>48</v>
      </c>
      <c r="V1278" s="1" t="s">
        <v>37</v>
      </c>
      <c r="W1278">
        <v>2</v>
      </c>
    </row>
    <row r="1279" spans="1:23" x14ac:dyDescent="0.3">
      <c r="A1279" s="1" t="s">
        <v>2563</v>
      </c>
      <c r="B1279">
        <v>2</v>
      </c>
      <c r="C1279">
        <v>30.99</v>
      </c>
      <c r="D1279">
        <v>53.54</v>
      </c>
      <c r="E1279" s="1" t="s">
        <v>317</v>
      </c>
      <c r="F1279" s="1" t="s">
        <v>188</v>
      </c>
      <c r="G1279">
        <v>0</v>
      </c>
      <c r="H1279" s="1" t="s">
        <v>26</v>
      </c>
      <c r="I1279" s="1" t="s">
        <v>42</v>
      </c>
      <c r="J1279">
        <v>10.5</v>
      </c>
      <c r="K1279">
        <v>30.99</v>
      </c>
      <c r="L1279" s="1" t="s">
        <v>28</v>
      </c>
      <c r="M1279" s="1" t="s">
        <v>43</v>
      </c>
      <c r="N1279" s="1" t="s">
        <v>44</v>
      </c>
      <c r="O1279" s="1" t="s">
        <v>31</v>
      </c>
      <c r="P1279" s="2">
        <v>45823</v>
      </c>
      <c r="Q1279" s="1" t="s">
        <v>1332</v>
      </c>
      <c r="R1279" s="1" t="s">
        <v>1333</v>
      </c>
      <c r="S1279" s="1" t="s">
        <v>34</v>
      </c>
      <c r="T1279" s="1" t="s">
        <v>35</v>
      </c>
      <c r="U1279" s="1" t="s">
        <v>55</v>
      </c>
      <c r="V1279" s="1" t="s">
        <v>37</v>
      </c>
      <c r="W1279">
        <v>2</v>
      </c>
    </row>
    <row r="1280" spans="1:23" x14ac:dyDescent="0.3">
      <c r="A1280" s="1" t="s">
        <v>2564</v>
      </c>
      <c r="B1280">
        <v>1</v>
      </c>
      <c r="C1280">
        <v>21.99</v>
      </c>
      <c r="D1280">
        <v>21.99</v>
      </c>
      <c r="E1280" s="1" t="s">
        <v>678</v>
      </c>
      <c r="F1280" s="1" t="s">
        <v>40</v>
      </c>
      <c r="G1280">
        <v>2</v>
      </c>
      <c r="H1280" s="1" t="s">
        <v>96</v>
      </c>
      <c r="I1280" s="1" t="s">
        <v>27</v>
      </c>
      <c r="J1280">
        <v>7</v>
      </c>
      <c r="K1280">
        <v>21.99</v>
      </c>
      <c r="L1280" s="1" t="s">
        <v>28</v>
      </c>
      <c r="M1280" s="1" t="s">
        <v>29</v>
      </c>
      <c r="N1280" s="1" t="s">
        <v>30</v>
      </c>
      <c r="O1280" s="1" t="s">
        <v>31</v>
      </c>
      <c r="P1280" s="2">
        <v>45778</v>
      </c>
      <c r="Q1280" s="1" t="s">
        <v>1275</v>
      </c>
      <c r="R1280" s="1" t="s">
        <v>1276</v>
      </c>
      <c r="S1280" s="1" t="s">
        <v>47</v>
      </c>
      <c r="T1280" s="1" t="s">
        <v>35</v>
      </c>
      <c r="U1280" s="1" t="s">
        <v>66</v>
      </c>
      <c r="V1280" s="1" t="s">
        <v>37</v>
      </c>
      <c r="W1280">
        <v>2</v>
      </c>
    </row>
    <row r="1281" spans="1:23" x14ac:dyDescent="0.3">
      <c r="A1281" s="1" t="s">
        <v>2565</v>
      </c>
      <c r="B1281">
        <v>1</v>
      </c>
      <c r="C1281">
        <v>18.989999999999998</v>
      </c>
      <c r="D1281">
        <v>18.989999999999998</v>
      </c>
      <c r="E1281" s="1" t="s">
        <v>1129</v>
      </c>
      <c r="F1281" s="1" t="s">
        <v>188</v>
      </c>
      <c r="G1281">
        <v>0</v>
      </c>
      <c r="H1281" s="1" t="s">
        <v>41</v>
      </c>
      <c r="I1281" s="1" t="s">
        <v>97</v>
      </c>
      <c r="J1281">
        <v>6</v>
      </c>
      <c r="K1281">
        <v>18.989999999999998</v>
      </c>
      <c r="L1281" s="1" t="s">
        <v>60</v>
      </c>
      <c r="M1281" s="1" t="s">
        <v>43</v>
      </c>
      <c r="N1281" s="1" t="s">
        <v>44</v>
      </c>
      <c r="O1281" s="1" t="s">
        <v>31</v>
      </c>
      <c r="P1281" s="2">
        <v>45823</v>
      </c>
      <c r="Q1281" s="1" t="s">
        <v>1533</v>
      </c>
      <c r="R1281" s="1" t="s">
        <v>1635</v>
      </c>
      <c r="S1281" s="1" t="s">
        <v>105</v>
      </c>
      <c r="T1281" s="1" t="s">
        <v>35</v>
      </c>
      <c r="U1281" s="1" t="s">
        <v>36</v>
      </c>
      <c r="V1281" s="1" t="s">
        <v>100</v>
      </c>
      <c r="W1281">
        <v>3.2</v>
      </c>
    </row>
    <row r="1282" spans="1:23" x14ac:dyDescent="0.3">
      <c r="A1282" s="1" t="s">
        <v>2566</v>
      </c>
      <c r="B1282">
        <v>1</v>
      </c>
      <c r="C1282">
        <v>34.99</v>
      </c>
      <c r="D1282">
        <v>34.99</v>
      </c>
      <c r="E1282" s="1" t="s">
        <v>2567</v>
      </c>
      <c r="F1282" s="1" t="s">
        <v>40</v>
      </c>
      <c r="G1282">
        <v>5</v>
      </c>
      <c r="H1282" s="1" t="s">
        <v>41</v>
      </c>
      <c r="I1282" s="1" t="s">
        <v>85</v>
      </c>
      <c r="J1282">
        <v>12.5</v>
      </c>
      <c r="K1282">
        <v>34.99</v>
      </c>
      <c r="L1282" s="1" t="s">
        <v>60</v>
      </c>
      <c r="M1282" s="1" t="s">
        <v>29</v>
      </c>
      <c r="N1282" s="1" t="s">
        <v>30</v>
      </c>
      <c r="O1282" s="1" t="s">
        <v>31</v>
      </c>
      <c r="P1282" s="2">
        <v>45778</v>
      </c>
      <c r="Q1282" s="1" t="s">
        <v>1398</v>
      </c>
      <c r="R1282" s="1" t="s">
        <v>1399</v>
      </c>
      <c r="S1282" s="1" t="s">
        <v>54</v>
      </c>
      <c r="T1282" s="1" t="s">
        <v>35</v>
      </c>
      <c r="U1282" s="1" t="s">
        <v>48</v>
      </c>
      <c r="V1282" s="1" t="s">
        <v>89</v>
      </c>
      <c r="W1282">
        <v>2.4</v>
      </c>
    </row>
    <row r="1283" spans="1:23" x14ac:dyDescent="0.3">
      <c r="A1283" s="1" t="s">
        <v>2568</v>
      </c>
      <c r="B1283">
        <v>1</v>
      </c>
      <c r="C1283">
        <v>16.989999999999998</v>
      </c>
      <c r="D1283">
        <v>16.989999999999998</v>
      </c>
      <c r="E1283" s="1" t="s">
        <v>452</v>
      </c>
      <c r="F1283" s="1" t="s">
        <v>40</v>
      </c>
      <c r="G1283">
        <v>20</v>
      </c>
      <c r="H1283" s="1" t="s">
        <v>41</v>
      </c>
      <c r="I1283" s="1" t="s">
        <v>59</v>
      </c>
      <c r="J1283">
        <v>5</v>
      </c>
      <c r="K1283">
        <v>16.989999999999998</v>
      </c>
      <c r="L1283" s="1" t="s">
        <v>60</v>
      </c>
      <c r="M1283" s="1" t="s">
        <v>61</v>
      </c>
      <c r="N1283" s="1" t="s">
        <v>62</v>
      </c>
      <c r="O1283" s="1" t="s">
        <v>31</v>
      </c>
      <c r="P1283" s="2">
        <v>45726</v>
      </c>
      <c r="Q1283" s="1" t="s">
        <v>814</v>
      </c>
      <c r="R1283" s="1" t="s">
        <v>1041</v>
      </c>
      <c r="S1283" s="1" t="s">
        <v>54</v>
      </c>
      <c r="T1283" s="1" t="s">
        <v>35</v>
      </c>
      <c r="U1283" s="1" t="s">
        <v>36</v>
      </c>
      <c r="V1283" s="1" t="s">
        <v>67</v>
      </c>
      <c r="W1283">
        <v>3</v>
      </c>
    </row>
    <row r="1284" spans="1:23" x14ac:dyDescent="0.3">
      <c r="A1284" s="1" t="s">
        <v>2569</v>
      </c>
      <c r="B1284">
        <v>1</v>
      </c>
      <c r="C1284">
        <v>27.99</v>
      </c>
      <c r="D1284">
        <v>27.99</v>
      </c>
      <c r="E1284" s="1" t="s">
        <v>1434</v>
      </c>
      <c r="F1284" s="1" t="s">
        <v>51</v>
      </c>
      <c r="G1284">
        <v>0</v>
      </c>
      <c r="H1284" s="1" t="s">
        <v>58</v>
      </c>
      <c r="I1284" s="1" t="s">
        <v>75</v>
      </c>
      <c r="J1284">
        <v>9</v>
      </c>
      <c r="K1284">
        <v>27.99</v>
      </c>
      <c r="L1284" s="1" t="s">
        <v>28</v>
      </c>
      <c r="M1284" s="1" t="s">
        <v>61</v>
      </c>
      <c r="N1284" s="1" t="s">
        <v>62</v>
      </c>
      <c r="O1284" s="1" t="s">
        <v>31</v>
      </c>
      <c r="P1284" s="2">
        <v>45726</v>
      </c>
      <c r="Q1284" s="1" t="s">
        <v>1494</v>
      </c>
      <c r="R1284" s="1" t="s">
        <v>2012</v>
      </c>
      <c r="S1284" s="1" t="s">
        <v>88</v>
      </c>
      <c r="T1284" s="1" t="s">
        <v>35</v>
      </c>
      <c r="U1284" s="1" t="s">
        <v>66</v>
      </c>
      <c r="V1284" s="1" t="s">
        <v>37</v>
      </c>
      <c r="W1284">
        <v>2</v>
      </c>
    </row>
    <row r="1285" spans="1:23" x14ac:dyDescent="0.3">
      <c r="A1285" s="1" t="s">
        <v>2570</v>
      </c>
      <c r="B1285">
        <v>1</v>
      </c>
      <c r="C1285">
        <v>30.99</v>
      </c>
      <c r="D1285">
        <v>30.99</v>
      </c>
      <c r="E1285" s="1" t="s">
        <v>327</v>
      </c>
      <c r="F1285" s="1" t="s">
        <v>40</v>
      </c>
      <c r="G1285">
        <v>3</v>
      </c>
      <c r="H1285" s="1" t="s">
        <v>58</v>
      </c>
      <c r="I1285" s="1" t="s">
        <v>42</v>
      </c>
      <c r="J1285">
        <v>10.5</v>
      </c>
      <c r="K1285">
        <v>30.99</v>
      </c>
      <c r="L1285" s="1" t="s">
        <v>28</v>
      </c>
      <c r="M1285" s="1" t="s">
        <v>43</v>
      </c>
      <c r="N1285" s="1" t="s">
        <v>44</v>
      </c>
      <c r="O1285" s="1" t="s">
        <v>31</v>
      </c>
      <c r="P1285" s="2">
        <v>45823</v>
      </c>
      <c r="Q1285" s="1" t="s">
        <v>294</v>
      </c>
      <c r="R1285" s="1" t="s">
        <v>2374</v>
      </c>
      <c r="S1285" s="1" t="s">
        <v>34</v>
      </c>
      <c r="T1285" s="1" t="s">
        <v>35</v>
      </c>
      <c r="U1285" s="1" t="s">
        <v>36</v>
      </c>
      <c r="V1285" s="1" t="s">
        <v>37</v>
      </c>
      <c r="W1285">
        <v>2</v>
      </c>
    </row>
    <row r="1286" spans="1:23" x14ac:dyDescent="0.3">
      <c r="A1286" s="1" t="s">
        <v>2571</v>
      </c>
      <c r="B1286">
        <v>3</v>
      </c>
      <c r="C1286">
        <v>30.99</v>
      </c>
      <c r="D1286">
        <v>75.02</v>
      </c>
      <c r="E1286" s="1" t="s">
        <v>202</v>
      </c>
      <c r="F1286" s="1" t="s">
        <v>40</v>
      </c>
      <c r="G1286">
        <v>2</v>
      </c>
      <c r="H1286" s="1" t="s">
        <v>58</v>
      </c>
      <c r="I1286" s="1" t="s">
        <v>42</v>
      </c>
      <c r="J1286">
        <v>10.5</v>
      </c>
      <c r="K1286">
        <v>30.99</v>
      </c>
      <c r="L1286" s="1" t="s">
        <v>28</v>
      </c>
      <c r="M1286" s="1" t="s">
        <v>43</v>
      </c>
      <c r="N1286" s="1" t="s">
        <v>44</v>
      </c>
      <c r="O1286" s="1" t="s">
        <v>31</v>
      </c>
      <c r="P1286" s="2">
        <v>45823</v>
      </c>
      <c r="Q1286" s="1" t="s">
        <v>804</v>
      </c>
      <c r="R1286" s="1" t="s">
        <v>805</v>
      </c>
      <c r="S1286" s="1" t="s">
        <v>88</v>
      </c>
      <c r="T1286" s="1" t="s">
        <v>35</v>
      </c>
      <c r="U1286" s="1" t="s">
        <v>82</v>
      </c>
      <c r="V1286" s="1" t="s">
        <v>37</v>
      </c>
      <c r="W1286">
        <v>2</v>
      </c>
    </row>
    <row r="1287" spans="1:23" x14ac:dyDescent="0.3">
      <c r="A1287" s="1" t="s">
        <v>2572</v>
      </c>
      <c r="B1287">
        <v>1</v>
      </c>
      <c r="C1287">
        <v>16.989999999999998</v>
      </c>
      <c r="D1287">
        <v>16.989999999999998</v>
      </c>
      <c r="E1287" s="1" t="s">
        <v>1596</v>
      </c>
      <c r="F1287" s="1" t="s">
        <v>51</v>
      </c>
      <c r="G1287">
        <v>0</v>
      </c>
      <c r="H1287" s="1" t="s">
        <v>26</v>
      </c>
      <c r="I1287" s="1" t="s">
        <v>59</v>
      </c>
      <c r="J1287">
        <v>5</v>
      </c>
      <c r="K1287">
        <v>16.989999999999998</v>
      </c>
      <c r="L1287" s="1" t="s">
        <v>60</v>
      </c>
      <c r="M1287" s="1" t="s">
        <v>61</v>
      </c>
      <c r="N1287" s="1" t="s">
        <v>62</v>
      </c>
      <c r="O1287" s="1" t="s">
        <v>31</v>
      </c>
      <c r="P1287" s="2">
        <v>45726</v>
      </c>
      <c r="Q1287" s="1" t="s">
        <v>1770</v>
      </c>
      <c r="R1287" s="1" t="s">
        <v>2573</v>
      </c>
      <c r="S1287" s="1" t="s">
        <v>411</v>
      </c>
      <c r="T1287" s="1" t="s">
        <v>35</v>
      </c>
      <c r="U1287" s="1" t="s">
        <v>66</v>
      </c>
      <c r="V1287" s="1" t="s">
        <v>67</v>
      </c>
      <c r="W1287">
        <v>3</v>
      </c>
    </row>
    <row r="1288" spans="1:23" x14ac:dyDescent="0.3">
      <c r="A1288" s="1" t="s">
        <v>2574</v>
      </c>
      <c r="B1288">
        <v>1</v>
      </c>
      <c r="C1288">
        <v>30.99</v>
      </c>
      <c r="D1288">
        <v>30.99</v>
      </c>
      <c r="E1288" s="1" t="s">
        <v>2534</v>
      </c>
      <c r="F1288" s="1" t="s">
        <v>25</v>
      </c>
      <c r="G1288">
        <v>3</v>
      </c>
      <c r="H1288" s="1" t="s">
        <v>26</v>
      </c>
      <c r="I1288" s="1" t="s">
        <v>42</v>
      </c>
      <c r="J1288">
        <v>10.5</v>
      </c>
      <c r="K1288">
        <v>30.99</v>
      </c>
      <c r="L1288" s="1" t="s">
        <v>28</v>
      </c>
      <c r="M1288" s="1" t="s">
        <v>43</v>
      </c>
      <c r="N1288" s="1" t="s">
        <v>44</v>
      </c>
      <c r="O1288" s="1" t="s">
        <v>31</v>
      </c>
      <c r="P1288" s="2">
        <v>45823</v>
      </c>
      <c r="Q1288" s="1" t="s">
        <v>990</v>
      </c>
      <c r="R1288" s="1" t="s">
        <v>991</v>
      </c>
      <c r="S1288" s="1" t="s">
        <v>54</v>
      </c>
      <c r="T1288" s="1" t="s">
        <v>35</v>
      </c>
      <c r="U1288" s="1" t="s">
        <v>48</v>
      </c>
      <c r="V1288" s="1" t="s">
        <v>37</v>
      </c>
      <c r="W1288">
        <v>2</v>
      </c>
    </row>
    <row r="1289" spans="1:23" x14ac:dyDescent="0.3">
      <c r="A1289" s="1" t="s">
        <v>2575</v>
      </c>
      <c r="B1289">
        <v>1</v>
      </c>
      <c r="C1289">
        <v>27.99</v>
      </c>
      <c r="D1289">
        <v>27.99</v>
      </c>
      <c r="E1289" s="1" t="s">
        <v>759</v>
      </c>
      <c r="F1289" s="1" t="s">
        <v>51</v>
      </c>
      <c r="G1289">
        <v>0</v>
      </c>
      <c r="H1289" s="1" t="s">
        <v>96</v>
      </c>
      <c r="I1289" s="1" t="s">
        <v>75</v>
      </c>
      <c r="J1289">
        <v>9</v>
      </c>
      <c r="K1289">
        <v>27.99</v>
      </c>
      <c r="L1289" s="1" t="s">
        <v>28</v>
      </c>
      <c r="M1289" s="1" t="s">
        <v>61</v>
      </c>
      <c r="N1289" s="1" t="s">
        <v>62</v>
      </c>
      <c r="O1289" s="1" t="s">
        <v>31</v>
      </c>
      <c r="P1289" s="2">
        <v>45726</v>
      </c>
      <c r="Q1289" s="1" t="s">
        <v>934</v>
      </c>
      <c r="R1289" s="1" t="s">
        <v>935</v>
      </c>
      <c r="S1289" s="1" t="s">
        <v>105</v>
      </c>
      <c r="T1289" s="1" t="s">
        <v>35</v>
      </c>
      <c r="U1289" s="1" t="s">
        <v>82</v>
      </c>
      <c r="V1289" s="1" t="s">
        <v>37</v>
      </c>
      <c r="W1289">
        <v>2</v>
      </c>
    </row>
    <row r="1290" spans="1:23" x14ac:dyDescent="0.3">
      <c r="A1290" s="1" t="s">
        <v>2576</v>
      </c>
      <c r="B1290">
        <v>3</v>
      </c>
      <c r="C1290">
        <v>21.99</v>
      </c>
      <c r="D1290">
        <v>53.43</v>
      </c>
      <c r="E1290" s="1" t="s">
        <v>2577</v>
      </c>
      <c r="F1290" s="1" t="s">
        <v>40</v>
      </c>
      <c r="G1290">
        <v>2</v>
      </c>
      <c r="H1290" s="1" t="s">
        <v>58</v>
      </c>
      <c r="I1290" s="1" t="s">
        <v>27</v>
      </c>
      <c r="J1290">
        <v>7</v>
      </c>
      <c r="K1290">
        <v>21.99</v>
      </c>
      <c r="L1290" s="1" t="s">
        <v>28</v>
      </c>
      <c r="M1290" s="1" t="s">
        <v>29</v>
      </c>
      <c r="N1290" s="1" t="s">
        <v>30</v>
      </c>
      <c r="O1290" s="1" t="s">
        <v>31</v>
      </c>
      <c r="P1290" s="2">
        <v>45778</v>
      </c>
      <c r="Q1290" s="1" t="s">
        <v>943</v>
      </c>
      <c r="R1290" s="1" t="s">
        <v>944</v>
      </c>
      <c r="S1290" s="1" t="s">
        <v>47</v>
      </c>
      <c r="T1290" s="1" t="s">
        <v>35</v>
      </c>
      <c r="U1290" s="1" t="s">
        <v>48</v>
      </c>
      <c r="V1290" s="1" t="s">
        <v>37</v>
      </c>
      <c r="W1290">
        <v>2</v>
      </c>
    </row>
    <row r="1291" spans="1:23" x14ac:dyDescent="0.3">
      <c r="A1291" s="1" t="s">
        <v>2578</v>
      </c>
      <c r="B1291">
        <v>3</v>
      </c>
      <c r="C1291">
        <v>21.99</v>
      </c>
      <c r="D1291">
        <v>52.48</v>
      </c>
      <c r="E1291" s="1" t="s">
        <v>1429</v>
      </c>
      <c r="F1291" s="1" t="s">
        <v>51</v>
      </c>
      <c r="G1291">
        <v>0</v>
      </c>
      <c r="H1291" s="1" t="s">
        <v>96</v>
      </c>
      <c r="I1291" s="1" t="s">
        <v>27</v>
      </c>
      <c r="J1291">
        <v>7</v>
      </c>
      <c r="K1291">
        <v>21.99</v>
      </c>
      <c r="L1291" s="1" t="s">
        <v>28</v>
      </c>
      <c r="M1291" s="1" t="s">
        <v>29</v>
      </c>
      <c r="N1291" s="1" t="s">
        <v>30</v>
      </c>
      <c r="O1291" s="1" t="s">
        <v>31</v>
      </c>
      <c r="P1291" s="2">
        <v>45778</v>
      </c>
      <c r="Q1291" s="1" t="s">
        <v>1447</v>
      </c>
      <c r="R1291" s="1" t="s">
        <v>1448</v>
      </c>
      <c r="S1291" s="1" t="s">
        <v>47</v>
      </c>
      <c r="T1291" s="1" t="s">
        <v>35</v>
      </c>
      <c r="U1291" s="1" t="s">
        <v>36</v>
      </c>
      <c r="V1291" s="1" t="s">
        <v>37</v>
      </c>
      <c r="W1291">
        <v>2</v>
      </c>
    </row>
    <row r="1292" spans="1:23" x14ac:dyDescent="0.3">
      <c r="A1292" s="1" t="s">
        <v>2579</v>
      </c>
      <c r="B1292">
        <v>3</v>
      </c>
      <c r="C1292">
        <v>30.99</v>
      </c>
      <c r="D1292">
        <v>73.2</v>
      </c>
      <c r="E1292" s="1" t="s">
        <v>1230</v>
      </c>
      <c r="F1292" s="1" t="s">
        <v>40</v>
      </c>
      <c r="G1292">
        <v>5</v>
      </c>
      <c r="H1292" s="1" t="s">
        <v>58</v>
      </c>
      <c r="I1292" s="1" t="s">
        <v>42</v>
      </c>
      <c r="J1292">
        <v>10.5</v>
      </c>
      <c r="K1292">
        <v>30.99</v>
      </c>
      <c r="L1292" s="1" t="s">
        <v>28</v>
      </c>
      <c r="M1292" s="1" t="s">
        <v>43</v>
      </c>
      <c r="N1292" s="1" t="s">
        <v>44</v>
      </c>
      <c r="O1292" s="1" t="s">
        <v>31</v>
      </c>
      <c r="P1292" s="2">
        <v>45823</v>
      </c>
      <c r="Q1292" s="1" t="s">
        <v>1549</v>
      </c>
      <c r="R1292" s="1" t="s">
        <v>1550</v>
      </c>
      <c r="S1292" s="1" t="s">
        <v>34</v>
      </c>
      <c r="T1292" s="1" t="s">
        <v>35</v>
      </c>
      <c r="U1292" s="1" t="s">
        <v>48</v>
      </c>
      <c r="V1292" s="1" t="s">
        <v>37</v>
      </c>
      <c r="W1292">
        <v>2</v>
      </c>
    </row>
    <row r="1293" spans="1:23" x14ac:dyDescent="0.3">
      <c r="A1293" s="1" t="s">
        <v>2580</v>
      </c>
      <c r="B1293">
        <v>1</v>
      </c>
      <c r="C1293">
        <v>27.99</v>
      </c>
      <c r="D1293">
        <v>27.99</v>
      </c>
      <c r="E1293" s="1" t="s">
        <v>2581</v>
      </c>
      <c r="F1293" s="1" t="s">
        <v>51</v>
      </c>
      <c r="G1293">
        <v>0</v>
      </c>
      <c r="H1293" s="1" t="s">
        <v>58</v>
      </c>
      <c r="I1293" s="1" t="s">
        <v>75</v>
      </c>
      <c r="J1293">
        <v>9</v>
      </c>
      <c r="K1293">
        <v>27.99</v>
      </c>
      <c r="L1293" s="1" t="s">
        <v>28</v>
      </c>
      <c r="M1293" s="1" t="s">
        <v>61</v>
      </c>
      <c r="N1293" s="1" t="s">
        <v>62</v>
      </c>
      <c r="O1293" s="1" t="s">
        <v>31</v>
      </c>
      <c r="P1293" s="2">
        <v>45726</v>
      </c>
      <c r="Q1293" s="1" t="s">
        <v>1761</v>
      </c>
      <c r="R1293" s="1" t="s">
        <v>1762</v>
      </c>
      <c r="S1293" s="1" t="s">
        <v>88</v>
      </c>
      <c r="T1293" s="1" t="s">
        <v>35</v>
      </c>
      <c r="U1293" s="1" t="s">
        <v>82</v>
      </c>
      <c r="V1293" s="1" t="s">
        <v>37</v>
      </c>
      <c r="W1293">
        <v>2</v>
      </c>
    </row>
    <row r="1294" spans="1:23" x14ac:dyDescent="0.3">
      <c r="A1294" s="1" t="s">
        <v>2582</v>
      </c>
      <c r="B1294">
        <v>2</v>
      </c>
      <c r="C1294">
        <v>34.99</v>
      </c>
      <c r="D1294">
        <v>60.85</v>
      </c>
      <c r="E1294" s="1" t="s">
        <v>2404</v>
      </c>
      <c r="F1294" s="1" t="s">
        <v>51</v>
      </c>
      <c r="G1294">
        <v>0</v>
      </c>
      <c r="H1294" s="1" t="s">
        <v>26</v>
      </c>
      <c r="I1294" s="1" t="s">
        <v>85</v>
      </c>
      <c r="J1294">
        <v>12.5</v>
      </c>
      <c r="K1294">
        <v>34.99</v>
      </c>
      <c r="L1294" s="1" t="s">
        <v>60</v>
      </c>
      <c r="M1294" s="1" t="s">
        <v>29</v>
      </c>
      <c r="N1294" s="1" t="s">
        <v>30</v>
      </c>
      <c r="O1294" s="1" t="s">
        <v>31</v>
      </c>
      <c r="P1294" s="2">
        <v>45778</v>
      </c>
      <c r="Q1294" s="1" t="s">
        <v>1319</v>
      </c>
      <c r="R1294" s="1" t="s">
        <v>1320</v>
      </c>
      <c r="S1294" s="1" t="s">
        <v>54</v>
      </c>
      <c r="T1294" s="1" t="s">
        <v>35</v>
      </c>
      <c r="U1294" s="1" t="s">
        <v>82</v>
      </c>
      <c r="V1294" s="1" t="s">
        <v>89</v>
      </c>
      <c r="W1294">
        <v>2.4</v>
      </c>
    </row>
    <row r="1295" spans="1:23" x14ac:dyDescent="0.3">
      <c r="A1295" s="1" t="s">
        <v>2583</v>
      </c>
      <c r="B1295">
        <v>1</v>
      </c>
      <c r="C1295">
        <v>30.99</v>
      </c>
      <c r="D1295">
        <v>30.99</v>
      </c>
      <c r="E1295" s="1" t="s">
        <v>775</v>
      </c>
      <c r="F1295" s="1" t="s">
        <v>40</v>
      </c>
      <c r="G1295">
        <v>3</v>
      </c>
      <c r="H1295" s="1" t="s">
        <v>58</v>
      </c>
      <c r="I1295" s="1" t="s">
        <v>42</v>
      </c>
      <c r="J1295">
        <v>10.5</v>
      </c>
      <c r="K1295">
        <v>30.99</v>
      </c>
      <c r="L1295" s="1" t="s">
        <v>28</v>
      </c>
      <c r="M1295" s="1" t="s">
        <v>43</v>
      </c>
      <c r="N1295" s="1" t="s">
        <v>44</v>
      </c>
      <c r="O1295" s="1" t="s">
        <v>31</v>
      </c>
      <c r="P1295" s="2">
        <v>45823</v>
      </c>
      <c r="Q1295" s="1" t="s">
        <v>234</v>
      </c>
      <c r="R1295" s="1" t="s">
        <v>1646</v>
      </c>
      <c r="S1295" s="1" t="s">
        <v>54</v>
      </c>
      <c r="T1295" s="1" t="s">
        <v>35</v>
      </c>
      <c r="U1295" s="1" t="s">
        <v>36</v>
      </c>
      <c r="V1295" s="1" t="s">
        <v>37</v>
      </c>
      <c r="W1295">
        <v>2</v>
      </c>
    </row>
    <row r="1296" spans="1:23" x14ac:dyDescent="0.3">
      <c r="A1296" s="1" t="s">
        <v>2584</v>
      </c>
      <c r="B1296">
        <v>3</v>
      </c>
      <c r="C1296">
        <v>30.99</v>
      </c>
      <c r="D1296">
        <v>73.12</v>
      </c>
      <c r="E1296" s="1" t="s">
        <v>2585</v>
      </c>
      <c r="F1296" s="1" t="s">
        <v>40</v>
      </c>
      <c r="G1296">
        <v>3</v>
      </c>
      <c r="H1296" s="1" t="s">
        <v>41</v>
      </c>
      <c r="I1296" s="1" t="s">
        <v>42</v>
      </c>
      <c r="J1296">
        <v>10.5</v>
      </c>
      <c r="K1296">
        <v>30.99</v>
      </c>
      <c r="L1296" s="1" t="s">
        <v>28</v>
      </c>
      <c r="M1296" s="1" t="s">
        <v>43</v>
      </c>
      <c r="N1296" s="1" t="s">
        <v>44</v>
      </c>
      <c r="O1296" s="1" t="s">
        <v>31</v>
      </c>
      <c r="P1296" s="2">
        <v>45823</v>
      </c>
      <c r="Q1296" s="1" t="s">
        <v>1237</v>
      </c>
      <c r="R1296" s="1" t="s">
        <v>2586</v>
      </c>
      <c r="S1296" s="1" t="s">
        <v>34</v>
      </c>
      <c r="T1296" s="1" t="s">
        <v>35</v>
      </c>
      <c r="U1296" s="1" t="s">
        <v>36</v>
      </c>
      <c r="V1296" s="1" t="s">
        <v>37</v>
      </c>
      <c r="W1296">
        <v>2</v>
      </c>
    </row>
    <row r="1297" spans="1:23" x14ac:dyDescent="0.3">
      <c r="A1297" s="1" t="s">
        <v>2587</v>
      </c>
      <c r="B1297">
        <v>1</v>
      </c>
      <c r="C1297">
        <v>18.989999999999998</v>
      </c>
      <c r="D1297">
        <v>18.989999999999998</v>
      </c>
      <c r="E1297" s="1" t="s">
        <v>214</v>
      </c>
      <c r="F1297" s="1" t="s">
        <v>51</v>
      </c>
      <c r="G1297">
        <v>0</v>
      </c>
      <c r="H1297" s="1" t="s">
        <v>58</v>
      </c>
      <c r="I1297" s="1" t="s">
        <v>97</v>
      </c>
      <c r="J1297">
        <v>6</v>
      </c>
      <c r="K1297">
        <v>18.989999999999998</v>
      </c>
      <c r="L1297" s="1" t="s">
        <v>60</v>
      </c>
      <c r="M1297" s="1" t="s">
        <v>43</v>
      </c>
      <c r="N1297" s="1" t="s">
        <v>44</v>
      </c>
      <c r="O1297" s="1" t="s">
        <v>31</v>
      </c>
      <c r="P1297" s="2">
        <v>45823</v>
      </c>
      <c r="Q1297" s="1" t="s">
        <v>1719</v>
      </c>
      <c r="R1297" s="1" t="s">
        <v>1720</v>
      </c>
      <c r="S1297" s="1" t="s">
        <v>54</v>
      </c>
      <c r="T1297" s="1" t="s">
        <v>35</v>
      </c>
      <c r="U1297" s="1" t="s">
        <v>66</v>
      </c>
      <c r="V1297" s="1" t="s">
        <v>100</v>
      </c>
      <c r="W1297">
        <v>3.2</v>
      </c>
    </row>
    <row r="1298" spans="1:23" x14ac:dyDescent="0.3">
      <c r="A1298" s="1" t="s">
        <v>2588</v>
      </c>
      <c r="B1298">
        <v>1</v>
      </c>
      <c r="C1298">
        <v>34.99</v>
      </c>
      <c r="D1298">
        <v>34.99</v>
      </c>
      <c r="E1298" s="1" t="s">
        <v>2380</v>
      </c>
      <c r="F1298" s="1" t="s">
        <v>25</v>
      </c>
      <c r="G1298">
        <v>6</v>
      </c>
      <c r="H1298" s="1" t="s">
        <v>96</v>
      </c>
      <c r="I1298" s="1" t="s">
        <v>85</v>
      </c>
      <c r="J1298">
        <v>12.5</v>
      </c>
      <c r="K1298">
        <v>34.99</v>
      </c>
      <c r="L1298" s="1" t="s">
        <v>60</v>
      </c>
      <c r="M1298" s="1" t="s">
        <v>29</v>
      </c>
      <c r="N1298" s="1" t="s">
        <v>30</v>
      </c>
      <c r="O1298" s="1" t="s">
        <v>31</v>
      </c>
      <c r="P1298" s="2">
        <v>45778</v>
      </c>
      <c r="Q1298" s="1" t="s">
        <v>1253</v>
      </c>
      <c r="R1298" s="1" t="s">
        <v>1254</v>
      </c>
      <c r="S1298" s="1" t="s">
        <v>105</v>
      </c>
      <c r="T1298" s="1" t="s">
        <v>35</v>
      </c>
      <c r="U1298" s="1" t="s">
        <v>66</v>
      </c>
      <c r="V1298" s="1" t="s">
        <v>89</v>
      </c>
      <c r="W1298">
        <v>2.4</v>
      </c>
    </row>
    <row r="1299" spans="1:23" x14ac:dyDescent="0.3">
      <c r="A1299" s="1" t="s">
        <v>2589</v>
      </c>
      <c r="B1299">
        <v>1</v>
      </c>
      <c r="C1299">
        <v>21.99</v>
      </c>
      <c r="D1299">
        <v>21.99</v>
      </c>
      <c r="E1299" s="1" t="s">
        <v>1055</v>
      </c>
      <c r="F1299" s="1" t="s">
        <v>40</v>
      </c>
      <c r="G1299">
        <v>2</v>
      </c>
      <c r="H1299" s="1" t="s">
        <v>26</v>
      </c>
      <c r="I1299" s="1" t="s">
        <v>27</v>
      </c>
      <c r="J1299">
        <v>7</v>
      </c>
      <c r="K1299">
        <v>21.99</v>
      </c>
      <c r="L1299" s="1" t="s">
        <v>28</v>
      </c>
      <c r="M1299" s="1" t="s">
        <v>29</v>
      </c>
      <c r="N1299" s="1" t="s">
        <v>30</v>
      </c>
      <c r="O1299" s="1" t="s">
        <v>31</v>
      </c>
      <c r="P1299" s="2">
        <v>45778</v>
      </c>
      <c r="Q1299" s="1" t="s">
        <v>169</v>
      </c>
      <c r="R1299" s="1" t="s">
        <v>941</v>
      </c>
      <c r="S1299" s="1" t="s">
        <v>105</v>
      </c>
      <c r="T1299" s="1" t="s">
        <v>35</v>
      </c>
      <c r="U1299" s="1" t="s">
        <v>66</v>
      </c>
      <c r="V1299" s="1" t="s">
        <v>37</v>
      </c>
      <c r="W1299">
        <v>2</v>
      </c>
    </row>
    <row r="1300" spans="1:23" x14ac:dyDescent="0.3">
      <c r="A1300" s="1" t="s">
        <v>2590</v>
      </c>
      <c r="B1300">
        <v>1</v>
      </c>
      <c r="C1300">
        <v>16.989999999999998</v>
      </c>
      <c r="D1300">
        <v>16.989999999999998</v>
      </c>
      <c r="E1300" s="1" t="s">
        <v>775</v>
      </c>
      <c r="F1300" s="1" t="s">
        <v>40</v>
      </c>
      <c r="G1300">
        <v>20</v>
      </c>
      <c r="H1300" s="1" t="s">
        <v>58</v>
      </c>
      <c r="I1300" s="1" t="s">
        <v>59</v>
      </c>
      <c r="J1300">
        <v>5</v>
      </c>
      <c r="K1300">
        <v>16.989999999999998</v>
      </c>
      <c r="L1300" s="1" t="s">
        <v>60</v>
      </c>
      <c r="M1300" s="1" t="s">
        <v>61</v>
      </c>
      <c r="N1300" s="1" t="s">
        <v>62</v>
      </c>
      <c r="O1300" s="1" t="s">
        <v>31</v>
      </c>
      <c r="P1300" s="2">
        <v>45726</v>
      </c>
      <c r="Q1300" s="1" t="s">
        <v>298</v>
      </c>
      <c r="R1300" s="1" t="s">
        <v>2591</v>
      </c>
      <c r="S1300" s="1" t="s">
        <v>54</v>
      </c>
      <c r="T1300" s="1" t="s">
        <v>35</v>
      </c>
      <c r="U1300" s="1" t="s">
        <v>36</v>
      </c>
      <c r="V1300" s="1" t="s">
        <v>67</v>
      </c>
      <c r="W1300">
        <v>3</v>
      </c>
    </row>
    <row r="1301" spans="1:23" x14ac:dyDescent="0.3">
      <c r="A1301" s="1" t="s">
        <v>2592</v>
      </c>
      <c r="B1301">
        <v>3</v>
      </c>
      <c r="C1301">
        <v>16.989999999999998</v>
      </c>
      <c r="D1301">
        <v>40.07</v>
      </c>
      <c r="E1301" s="1" t="s">
        <v>325</v>
      </c>
      <c r="F1301" s="1" t="s">
        <v>40</v>
      </c>
      <c r="G1301">
        <v>19</v>
      </c>
      <c r="H1301" s="1" t="s">
        <v>41</v>
      </c>
      <c r="I1301" s="1" t="s">
        <v>59</v>
      </c>
      <c r="J1301">
        <v>5</v>
      </c>
      <c r="K1301">
        <v>16.989999999999998</v>
      </c>
      <c r="L1301" s="1" t="s">
        <v>60</v>
      </c>
      <c r="M1301" s="1" t="s">
        <v>61</v>
      </c>
      <c r="N1301" s="1" t="s">
        <v>62</v>
      </c>
      <c r="O1301" s="1" t="s">
        <v>31</v>
      </c>
      <c r="P1301" s="2">
        <v>45726</v>
      </c>
      <c r="Q1301" s="1" t="s">
        <v>972</v>
      </c>
      <c r="R1301" s="1" t="s">
        <v>973</v>
      </c>
      <c r="S1301" s="1" t="s">
        <v>65</v>
      </c>
      <c r="T1301" s="1" t="s">
        <v>35</v>
      </c>
      <c r="U1301" s="1" t="s">
        <v>82</v>
      </c>
      <c r="V1301" s="1" t="s">
        <v>67</v>
      </c>
      <c r="W1301">
        <v>3</v>
      </c>
    </row>
    <row r="1302" spans="1:23" x14ac:dyDescent="0.3">
      <c r="A1302" s="1" t="s">
        <v>2593</v>
      </c>
      <c r="B1302">
        <v>1</v>
      </c>
      <c r="C1302">
        <v>30.99</v>
      </c>
      <c r="D1302">
        <v>30.99</v>
      </c>
      <c r="E1302" s="1" t="s">
        <v>1881</v>
      </c>
      <c r="F1302" s="1" t="s">
        <v>25</v>
      </c>
      <c r="G1302">
        <v>3</v>
      </c>
      <c r="H1302" s="1" t="s">
        <v>41</v>
      </c>
      <c r="I1302" s="1" t="s">
        <v>42</v>
      </c>
      <c r="J1302">
        <v>10.5</v>
      </c>
      <c r="K1302">
        <v>30.99</v>
      </c>
      <c r="L1302" s="1" t="s">
        <v>28</v>
      </c>
      <c r="M1302" s="1" t="s">
        <v>43</v>
      </c>
      <c r="N1302" s="1" t="s">
        <v>44</v>
      </c>
      <c r="O1302" s="1" t="s">
        <v>31</v>
      </c>
      <c r="P1302" s="2">
        <v>45823</v>
      </c>
      <c r="Q1302" s="1" t="s">
        <v>2452</v>
      </c>
      <c r="R1302" s="1" t="s">
        <v>2453</v>
      </c>
      <c r="S1302" s="1" t="s">
        <v>34</v>
      </c>
      <c r="T1302" s="1" t="s">
        <v>35</v>
      </c>
      <c r="U1302" s="1" t="s">
        <v>66</v>
      </c>
      <c r="V1302" s="1" t="s">
        <v>37</v>
      </c>
      <c r="W1302">
        <v>2</v>
      </c>
    </row>
    <row r="1303" spans="1:23" x14ac:dyDescent="0.3">
      <c r="A1303" s="1" t="s">
        <v>2594</v>
      </c>
      <c r="B1303">
        <v>1</v>
      </c>
      <c r="C1303">
        <v>30.99</v>
      </c>
      <c r="D1303">
        <v>30.99</v>
      </c>
      <c r="E1303" s="1" t="s">
        <v>2595</v>
      </c>
      <c r="F1303" s="1" t="s">
        <v>70</v>
      </c>
      <c r="G1303">
        <v>0</v>
      </c>
      <c r="H1303" s="1" t="s">
        <v>26</v>
      </c>
      <c r="I1303" s="1" t="s">
        <v>42</v>
      </c>
      <c r="J1303">
        <v>10.5</v>
      </c>
      <c r="K1303">
        <v>30.99</v>
      </c>
      <c r="L1303" s="1" t="s">
        <v>28</v>
      </c>
      <c r="M1303" s="1" t="s">
        <v>43</v>
      </c>
      <c r="N1303" s="1" t="s">
        <v>44</v>
      </c>
      <c r="O1303" s="1" t="s">
        <v>31</v>
      </c>
      <c r="P1303" s="2">
        <v>45823</v>
      </c>
      <c r="Q1303" s="1" t="s">
        <v>1140</v>
      </c>
      <c r="R1303" s="1" t="s">
        <v>1799</v>
      </c>
      <c r="S1303" s="1" t="s">
        <v>65</v>
      </c>
      <c r="T1303" s="1" t="s">
        <v>35</v>
      </c>
      <c r="U1303" s="1" t="s">
        <v>48</v>
      </c>
      <c r="V1303" s="1" t="s">
        <v>37</v>
      </c>
      <c r="W1303">
        <v>2</v>
      </c>
    </row>
    <row r="1304" spans="1:23" x14ac:dyDescent="0.3">
      <c r="A1304" s="1" t="s">
        <v>2596</v>
      </c>
      <c r="B1304">
        <v>1</v>
      </c>
      <c r="C1304">
        <v>21.99</v>
      </c>
      <c r="D1304">
        <v>21.99</v>
      </c>
      <c r="E1304" s="1" t="s">
        <v>79</v>
      </c>
      <c r="F1304" s="1" t="s">
        <v>40</v>
      </c>
      <c r="G1304">
        <v>3</v>
      </c>
      <c r="H1304" s="1" t="s">
        <v>58</v>
      </c>
      <c r="I1304" s="1" t="s">
        <v>27</v>
      </c>
      <c r="J1304">
        <v>7</v>
      </c>
      <c r="K1304">
        <v>21.99</v>
      </c>
      <c r="L1304" s="1" t="s">
        <v>28</v>
      </c>
      <c r="M1304" s="1" t="s">
        <v>29</v>
      </c>
      <c r="N1304" s="1" t="s">
        <v>30</v>
      </c>
      <c r="O1304" s="1" t="s">
        <v>31</v>
      </c>
      <c r="P1304" s="2">
        <v>45778</v>
      </c>
      <c r="Q1304" s="1" t="s">
        <v>1639</v>
      </c>
      <c r="R1304" s="1" t="s">
        <v>1640</v>
      </c>
      <c r="S1304" s="1" t="s">
        <v>105</v>
      </c>
      <c r="T1304" s="1" t="s">
        <v>35</v>
      </c>
      <c r="U1304" s="1" t="s">
        <v>36</v>
      </c>
      <c r="V1304" s="1" t="s">
        <v>37</v>
      </c>
      <c r="W1304">
        <v>2</v>
      </c>
    </row>
    <row r="1305" spans="1:23" x14ac:dyDescent="0.3">
      <c r="A1305" s="1" t="s">
        <v>2597</v>
      </c>
      <c r="B1305">
        <v>1</v>
      </c>
      <c r="C1305">
        <v>16.989999999999998</v>
      </c>
      <c r="D1305">
        <v>16.989999999999998</v>
      </c>
      <c r="E1305" s="1" t="s">
        <v>1156</v>
      </c>
      <c r="F1305" s="1" t="s">
        <v>40</v>
      </c>
      <c r="G1305">
        <v>20</v>
      </c>
      <c r="H1305" s="1" t="s">
        <v>41</v>
      </c>
      <c r="I1305" s="1" t="s">
        <v>59</v>
      </c>
      <c r="J1305">
        <v>5</v>
      </c>
      <c r="K1305">
        <v>16.989999999999998</v>
      </c>
      <c r="L1305" s="1" t="s">
        <v>60</v>
      </c>
      <c r="M1305" s="1" t="s">
        <v>61</v>
      </c>
      <c r="N1305" s="1" t="s">
        <v>62</v>
      </c>
      <c r="O1305" s="1" t="s">
        <v>31</v>
      </c>
      <c r="P1305" s="2">
        <v>45726</v>
      </c>
      <c r="Q1305" s="1" t="s">
        <v>409</v>
      </c>
      <c r="R1305" s="1" t="s">
        <v>1583</v>
      </c>
      <c r="S1305" s="1" t="s">
        <v>105</v>
      </c>
      <c r="T1305" s="1" t="s">
        <v>35</v>
      </c>
      <c r="U1305" s="1" t="s">
        <v>48</v>
      </c>
      <c r="V1305" s="1" t="s">
        <v>67</v>
      </c>
      <c r="W1305">
        <v>3</v>
      </c>
    </row>
    <row r="1306" spans="1:23" x14ac:dyDescent="0.3">
      <c r="A1306" s="1" t="s">
        <v>2598</v>
      </c>
      <c r="B1306">
        <v>1</v>
      </c>
      <c r="C1306">
        <v>21.99</v>
      </c>
      <c r="D1306">
        <v>21.99</v>
      </c>
      <c r="E1306" s="1" t="s">
        <v>1461</v>
      </c>
      <c r="F1306" s="1" t="s">
        <v>40</v>
      </c>
      <c r="G1306">
        <v>2</v>
      </c>
      <c r="H1306" s="1" t="s">
        <v>41</v>
      </c>
      <c r="I1306" s="1" t="s">
        <v>27</v>
      </c>
      <c r="J1306">
        <v>7</v>
      </c>
      <c r="K1306">
        <v>21.99</v>
      </c>
      <c r="L1306" s="1" t="s">
        <v>28</v>
      </c>
      <c r="M1306" s="1" t="s">
        <v>29</v>
      </c>
      <c r="N1306" s="1" t="s">
        <v>30</v>
      </c>
      <c r="O1306" s="1" t="s">
        <v>31</v>
      </c>
      <c r="P1306" s="2">
        <v>45778</v>
      </c>
      <c r="Q1306" s="1" t="s">
        <v>828</v>
      </c>
      <c r="R1306" s="1" t="s">
        <v>829</v>
      </c>
      <c r="S1306" s="1" t="s">
        <v>65</v>
      </c>
      <c r="T1306" s="1" t="s">
        <v>35</v>
      </c>
      <c r="U1306" s="1" t="s">
        <v>48</v>
      </c>
      <c r="V1306" s="1" t="s">
        <v>37</v>
      </c>
      <c r="W1306">
        <v>2</v>
      </c>
    </row>
    <row r="1307" spans="1:23" x14ac:dyDescent="0.3">
      <c r="A1307" s="1" t="s">
        <v>2599</v>
      </c>
      <c r="B1307">
        <v>1</v>
      </c>
      <c r="C1307">
        <v>16.989999999999998</v>
      </c>
      <c r="D1307">
        <v>16.989999999999998</v>
      </c>
      <c r="E1307" s="1" t="s">
        <v>2218</v>
      </c>
      <c r="F1307" s="1" t="s">
        <v>40</v>
      </c>
      <c r="G1307">
        <v>16</v>
      </c>
      <c r="H1307" s="1" t="s">
        <v>58</v>
      </c>
      <c r="I1307" s="1" t="s">
        <v>59</v>
      </c>
      <c r="J1307">
        <v>5</v>
      </c>
      <c r="K1307">
        <v>16.989999999999998</v>
      </c>
      <c r="L1307" s="1" t="s">
        <v>60</v>
      </c>
      <c r="M1307" s="1" t="s">
        <v>61</v>
      </c>
      <c r="N1307" s="1" t="s">
        <v>62</v>
      </c>
      <c r="O1307" s="1" t="s">
        <v>31</v>
      </c>
      <c r="P1307" s="2">
        <v>45726</v>
      </c>
      <c r="Q1307" s="1" t="s">
        <v>1024</v>
      </c>
      <c r="R1307" s="1" t="s">
        <v>1025</v>
      </c>
      <c r="S1307" s="1" t="s">
        <v>34</v>
      </c>
      <c r="T1307" s="1" t="s">
        <v>35</v>
      </c>
      <c r="U1307" s="1" t="s">
        <v>66</v>
      </c>
      <c r="V1307" s="1" t="s">
        <v>67</v>
      </c>
      <c r="W1307">
        <v>3</v>
      </c>
    </row>
    <row r="1308" spans="1:23" x14ac:dyDescent="0.3">
      <c r="A1308" s="1" t="s">
        <v>2600</v>
      </c>
      <c r="B1308">
        <v>3</v>
      </c>
      <c r="C1308">
        <v>34.99</v>
      </c>
      <c r="D1308">
        <v>83.92</v>
      </c>
      <c r="E1308" s="1" t="s">
        <v>24</v>
      </c>
      <c r="F1308" s="1" t="s">
        <v>40</v>
      </c>
      <c r="G1308">
        <v>5</v>
      </c>
      <c r="H1308" s="1" t="s">
        <v>58</v>
      </c>
      <c r="I1308" s="1" t="s">
        <v>85</v>
      </c>
      <c r="J1308">
        <v>12.5</v>
      </c>
      <c r="K1308">
        <v>34.99</v>
      </c>
      <c r="L1308" s="1" t="s">
        <v>60</v>
      </c>
      <c r="M1308" s="1" t="s">
        <v>29</v>
      </c>
      <c r="N1308" s="1" t="s">
        <v>30</v>
      </c>
      <c r="O1308" s="1" t="s">
        <v>31</v>
      </c>
      <c r="P1308" s="2">
        <v>45778</v>
      </c>
      <c r="Q1308" s="1" t="s">
        <v>1253</v>
      </c>
      <c r="R1308" s="1" t="s">
        <v>1875</v>
      </c>
      <c r="S1308" s="1" t="s">
        <v>105</v>
      </c>
      <c r="T1308" s="1" t="s">
        <v>35</v>
      </c>
      <c r="U1308" s="1" t="s">
        <v>66</v>
      </c>
      <c r="V1308" s="1" t="s">
        <v>89</v>
      </c>
      <c r="W1308">
        <v>2.4</v>
      </c>
    </row>
    <row r="1309" spans="1:23" x14ac:dyDescent="0.3">
      <c r="A1309" s="1" t="s">
        <v>2601</v>
      </c>
      <c r="B1309">
        <v>1</v>
      </c>
      <c r="C1309">
        <v>30.99</v>
      </c>
      <c r="D1309">
        <v>30.99</v>
      </c>
      <c r="E1309" s="1" t="s">
        <v>744</v>
      </c>
      <c r="F1309" s="1" t="s">
        <v>40</v>
      </c>
      <c r="G1309">
        <v>2</v>
      </c>
      <c r="H1309" s="1" t="s">
        <v>26</v>
      </c>
      <c r="I1309" s="1" t="s">
        <v>42</v>
      </c>
      <c r="J1309">
        <v>10.5</v>
      </c>
      <c r="K1309">
        <v>30.99</v>
      </c>
      <c r="L1309" s="1" t="s">
        <v>28</v>
      </c>
      <c r="M1309" s="1" t="s">
        <v>43</v>
      </c>
      <c r="N1309" s="1" t="s">
        <v>44</v>
      </c>
      <c r="O1309" s="1" t="s">
        <v>31</v>
      </c>
      <c r="P1309" s="2">
        <v>45823</v>
      </c>
      <c r="Q1309" s="1" t="s">
        <v>2301</v>
      </c>
      <c r="R1309" s="1" t="s">
        <v>2302</v>
      </c>
      <c r="S1309" s="1" t="s">
        <v>54</v>
      </c>
      <c r="T1309" s="1" t="s">
        <v>35</v>
      </c>
      <c r="U1309" s="1" t="s">
        <v>36</v>
      </c>
      <c r="V1309" s="1" t="s">
        <v>37</v>
      </c>
      <c r="W1309">
        <v>2</v>
      </c>
    </row>
    <row r="1310" spans="1:23" x14ac:dyDescent="0.3">
      <c r="A1310" s="1" t="s">
        <v>2602</v>
      </c>
      <c r="B1310">
        <v>1</v>
      </c>
      <c r="C1310">
        <v>16.989999999999998</v>
      </c>
      <c r="D1310">
        <v>16.989999999999998</v>
      </c>
      <c r="E1310" s="1" t="s">
        <v>2164</v>
      </c>
      <c r="F1310" s="1" t="s">
        <v>188</v>
      </c>
      <c r="G1310">
        <v>0</v>
      </c>
      <c r="H1310" s="1" t="s">
        <v>41</v>
      </c>
      <c r="I1310" s="1" t="s">
        <v>59</v>
      </c>
      <c r="J1310">
        <v>5</v>
      </c>
      <c r="K1310">
        <v>16.989999999999998</v>
      </c>
      <c r="L1310" s="1" t="s">
        <v>60</v>
      </c>
      <c r="M1310" s="1" t="s">
        <v>61</v>
      </c>
      <c r="N1310" s="1" t="s">
        <v>62</v>
      </c>
      <c r="O1310" s="1" t="s">
        <v>31</v>
      </c>
      <c r="P1310" s="2">
        <v>45726</v>
      </c>
      <c r="Q1310" s="1" t="s">
        <v>182</v>
      </c>
      <c r="R1310" s="1" t="s">
        <v>1579</v>
      </c>
      <c r="S1310" s="1" t="s">
        <v>105</v>
      </c>
      <c r="T1310" s="1" t="s">
        <v>35</v>
      </c>
      <c r="U1310" s="1" t="s">
        <v>66</v>
      </c>
      <c r="V1310" s="1" t="s">
        <v>67</v>
      </c>
      <c r="W1310">
        <v>3</v>
      </c>
    </row>
    <row r="1311" spans="1:23" x14ac:dyDescent="0.3">
      <c r="A1311" s="1" t="s">
        <v>2603</v>
      </c>
      <c r="B1311">
        <v>1</v>
      </c>
      <c r="C1311">
        <v>18.989999999999998</v>
      </c>
      <c r="D1311">
        <v>18.989999999999998</v>
      </c>
      <c r="E1311" s="1" t="s">
        <v>1397</v>
      </c>
      <c r="F1311" s="1" t="s">
        <v>40</v>
      </c>
      <c r="G1311">
        <v>11</v>
      </c>
      <c r="H1311" s="1" t="s">
        <v>26</v>
      </c>
      <c r="I1311" s="1" t="s">
        <v>97</v>
      </c>
      <c r="J1311">
        <v>6</v>
      </c>
      <c r="K1311">
        <v>18.989999999999998</v>
      </c>
      <c r="L1311" s="1" t="s">
        <v>60</v>
      </c>
      <c r="M1311" s="1" t="s">
        <v>43</v>
      </c>
      <c r="N1311" s="1" t="s">
        <v>44</v>
      </c>
      <c r="O1311" s="1" t="s">
        <v>31</v>
      </c>
      <c r="P1311" s="2">
        <v>45823</v>
      </c>
      <c r="Q1311" s="1" t="s">
        <v>836</v>
      </c>
      <c r="R1311" s="1" t="s">
        <v>1847</v>
      </c>
      <c r="S1311" s="1" t="s">
        <v>105</v>
      </c>
      <c r="T1311" s="1" t="s">
        <v>35</v>
      </c>
      <c r="U1311" s="1" t="s">
        <v>66</v>
      </c>
      <c r="V1311" s="1" t="s">
        <v>100</v>
      </c>
      <c r="W1311">
        <v>3.2</v>
      </c>
    </row>
    <row r="1312" spans="1:23" x14ac:dyDescent="0.3">
      <c r="A1312" s="1" t="s">
        <v>2604</v>
      </c>
      <c r="B1312">
        <v>1</v>
      </c>
      <c r="C1312">
        <v>18.989999999999998</v>
      </c>
      <c r="D1312">
        <v>18.989999999999998</v>
      </c>
      <c r="E1312" s="1" t="s">
        <v>577</v>
      </c>
      <c r="F1312" s="1" t="s">
        <v>40</v>
      </c>
      <c r="G1312">
        <v>12</v>
      </c>
      <c r="H1312" s="1" t="s">
        <v>96</v>
      </c>
      <c r="I1312" s="1" t="s">
        <v>97</v>
      </c>
      <c r="J1312">
        <v>6</v>
      </c>
      <c r="K1312">
        <v>18.989999999999998</v>
      </c>
      <c r="L1312" s="1" t="s">
        <v>60</v>
      </c>
      <c r="M1312" s="1" t="s">
        <v>43</v>
      </c>
      <c r="N1312" s="1" t="s">
        <v>44</v>
      </c>
      <c r="O1312" s="1" t="s">
        <v>31</v>
      </c>
      <c r="P1312" s="2">
        <v>45823</v>
      </c>
      <c r="Q1312" s="1" t="s">
        <v>1137</v>
      </c>
      <c r="R1312" s="1" t="s">
        <v>2255</v>
      </c>
      <c r="S1312" s="1" t="s">
        <v>65</v>
      </c>
      <c r="T1312" s="1" t="s">
        <v>35</v>
      </c>
      <c r="U1312" s="1" t="s">
        <v>36</v>
      </c>
      <c r="V1312" s="1" t="s">
        <v>100</v>
      </c>
      <c r="W1312">
        <v>3.2</v>
      </c>
    </row>
    <row r="1313" spans="1:23" x14ac:dyDescent="0.3">
      <c r="A1313" s="1" t="s">
        <v>2605</v>
      </c>
      <c r="B1313">
        <v>1</v>
      </c>
      <c r="C1313">
        <v>34.99</v>
      </c>
      <c r="D1313">
        <v>34.99</v>
      </c>
      <c r="E1313" s="1" t="s">
        <v>1886</v>
      </c>
      <c r="F1313" s="1" t="s">
        <v>51</v>
      </c>
      <c r="G1313">
        <v>0</v>
      </c>
      <c r="H1313" s="1" t="s">
        <v>26</v>
      </c>
      <c r="I1313" s="1" t="s">
        <v>85</v>
      </c>
      <c r="J1313">
        <v>12.5</v>
      </c>
      <c r="K1313">
        <v>34.99</v>
      </c>
      <c r="L1313" s="1" t="s">
        <v>60</v>
      </c>
      <c r="M1313" s="1" t="s">
        <v>29</v>
      </c>
      <c r="N1313" s="1" t="s">
        <v>30</v>
      </c>
      <c r="O1313" s="1" t="s">
        <v>31</v>
      </c>
      <c r="P1313" s="2">
        <v>45778</v>
      </c>
      <c r="Q1313" s="1" t="s">
        <v>779</v>
      </c>
      <c r="R1313" s="1" t="s">
        <v>2289</v>
      </c>
      <c r="S1313" s="1" t="s">
        <v>65</v>
      </c>
      <c r="T1313" s="1" t="s">
        <v>35</v>
      </c>
      <c r="U1313" s="1" t="s">
        <v>55</v>
      </c>
      <c r="V1313" s="1" t="s">
        <v>89</v>
      </c>
      <c r="W1313">
        <v>2.4</v>
      </c>
    </row>
    <row r="1314" spans="1:23" x14ac:dyDescent="0.3">
      <c r="A1314" s="1" t="s">
        <v>2606</v>
      </c>
      <c r="B1314">
        <v>1</v>
      </c>
      <c r="C1314">
        <v>30.99</v>
      </c>
      <c r="D1314">
        <v>30.99</v>
      </c>
      <c r="E1314" s="1" t="s">
        <v>2607</v>
      </c>
      <c r="F1314" s="1" t="s">
        <v>40</v>
      </c>
      <c r="G1314">
        <v>3</v>
      </c>
      <c r="H1314" s="1" t="s">
        <v>41</v>
      </c>
      <c r="I1314" s="1" t="s">
        <v>42</v>
      </c>
      <c r="J1314">
        <v>10.5</v>
      </c>
      <c r="K1314">
        <v>30.99</v>
      </c>
      <c r="L1314" s="1" t="s">
        <v>28</v>
      </c>
      <c r="M1314" s="1" t="s">
        <v>43</v>
      </c>
      <c r="N1314" s="1" t="s">
        <v>44</v>
      </c>
      <c r="O1314" s="1" t="s">
        <v>31</v>
      </c>
      <c r="P1314" s="2">
        <v>45823</v>
      </c>
      <c r="Q1314" s="1" t="s">
        <v>1940</v>
      </c>
      <c r="R1314" s="1" t="s">
        <v>1941</v>
      </c>
      <c r="S1314" s="1" t="s">
        <v>34</v>
      </c>
      <c r="T1314" s="1" t="s">
        <v>35</v>
      </c>
      <c r="U1314" s="1" t="s">
        <v>48</v>
      </c>
      <c r="V1314" s="1" t="s">
        <v>37</v>
      </c>
      <c r="W1314">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A9D88-F210-49CB-A0E3-39A20C1D4FF4}">
  <dimension ref="A3:F413"/>
  <sheetViews>
    <sheetView topLeftCell="A389" workbookViewId="0">
      <selection activeCell="A19" sqref="A19:C412"/>
    </sheetView>
  </sheetViews>
  <sheetFormatPr defaultRowHeight="14.4" x14ac:dyDescent="0.3"/>
  <cols>
    <col min="1" max="1" width="12.44140625" bestFit="1" customWidth="1"/>
    <col min="2" max="2" width="16.5546875" bestFit="1" customWidth="1"/>
    <col min="3" max="3" width="15.88671875" bestFit="1" customWidth="1"/>
    <col min="5" max="5" width="11.33203125" bestFit="1" customWidth="1"/>
    <col min="6" max="6" width="16.5546875" bestFit="1" customWidth="1"/>
  </cols>
  <sheetData>
    <row r="3" spans="1:6" x14ac:dyDescent="0.3">
      <c r="A3" s="5" t="s">
        <v>2620</v>
      </c>
      <c r="B3" t="s">
        <v>2618</v>
      </c>
    </row>
    <row r="4" spans="1:6" x14ac:dyDescent="0.3">
      <c r="A4" s="6" t="s">
        <v>26</v>
      </c>
      <c r="B4" s="1">
        <v>8313.6899999999459</v>
      </c>
    </row>
    <row r="5" spans="1:6" x14ac:dyDescent="0.3">
      <c r="A5" s="7" t="s">
        <v>31</v>
      </c>
      <c r="B5" s="1">
        <v>8313.6899999999459</v>
      </c>
    </row>
    <row r="6" spans="1:6" x14ac:dyDescent="0.3">
      <c r="A6" s="6" t="s">
        <v>58</v>
      </c>
      <c r="B6" s="1">
        <v>8640.6199999999462</v>
      </c>
    </row>
    <row r="7" spans="1:6" x14ac:dyDescent="0.3">
      <c r="A7" s="7" t="s">
        <v>31</v>
      </c>
      <c r="B7" s="1">
        <v>8640.6199999999462</v>
      </c>
    </row>
    <row r="8" spans="1:6" x14ac:dyDescent="0.3">
      <c r="A8" s="6" t="s">
        <v>41</v>
      </c>
      <c r="B8" s="1">
        <v>8551.6499999999451</v>
      </c>
    </row>
    <row r="9" spans="1:6" x14ac:dyDescent="0.3">
      <c r="A9" s="7" t="s">
        <v>31</v>
      </c>
      <c r="B9" s="1">
        <v>8551.6499999999451</v>
      </c>
    </row>
    <row r="10" spans="1:6" x14ac:dyDescent="0.3">
      <c r="A10" s="6" t="s">
        <v>96</v>
      </c>
      <c r="B10" s="1">
        <v>7844.9099999999507</v>
      </c>
    </row>
    <row r="11" spans="1:6" x14ac:dyDescent="0.3">
      <c r="A11" s="7" t="s">
        <v>31</v>
      </c>
      <c r="B11" s="1">
        <v>7844.9099999999507</v>
      </c>
    </row>
    <row r="12" spans="1:6" x14ac:dyDescent="0.3">
      <c r="A12" s="6" t="s">
        <v>2617</v>
      </c>
      <c r="B12" s="1">
        <v>33350.869999999792</v>
      </c>
      <c r="E12" s="5" t="s">
        <v>2622</v>
      </c>
      <c r="F12" t="s">
        <v>2619</v>
      </c>
    </row>
    <row r="13" spans="1:6" x14ac:dyDescent="0.3">
      <c r="E13" s="6" t="s">
        <v>70</v>
      </c>
      <c r="F13" s="1">
        <v>3354.5699999999938</v>
      </c>
    </row>
    <row r="14" spans="1:6" x14ac:dyDescent="0.3">
      <c r="E14" s="6" t="s">
        <v>25</v>
      </c>
      <c r="F14" s="1">
        <v>3477.949999999993</v>
      </c>
    </row>
    <row r="15" spans="1:6" x14ac:dyDescent="0.3">
      <c r="E15" s="6" t="s">
        <v>51</v>
      </c>
      <c r="F15" s="1">
        <v>8232.8899999999703</v>
      </c>
    </row>
    <row r="16" spans="1:6" x14ac:dyDescent="0.3">
      <c r="E16" s="6" t="s">
        <v>40</v>
      </c>
      <c r="F16" s="1">
        <v>26463.430000000204</v>
      </c>
    </row>
    <row r="17" spans="1:6" x14ac:dyDescent="0.3">
      <c r="E17" s="6" t="s">
        <v>188</v>
      </c>
      <c r="F17" s="1">
        <v>4126.9699999999948</v>
      </c>
    </row>
    <row r="18" spans="1:6" x14ac:dyDescent="0.3">
      <c r="E18" s="6" t="s">
        <v>2617</v>
      </c>
      <c r="F18" s="1">
        <v>45655.81000000015</v>
      </c>
    </row>
    <row r="19" spans="1:6" x14ac:dyDescent="0.3">
      <c r="A19" s="5" t="s">
        <v>2621</v>
      </c>
      <c r="B19" t="s">
        <v>2619</v>
      </c>
      <c r="C19" t="s">
        <v>2618</v>
      </c>
    </row>
    <row r="20" spans="1:6" x14ac:dyDescent="0.3">
      <c r="A20" s="6" t="s">
        <v>778</v>
      </c>
      <c r="B20" s="1">
        <v>64.06</v>
      </c>
      <c r="C20" s="1">
        <v>51.980000000000004</v>
      </c>
    </row>
    <row r="21" spans="1:6" x14ac:dyDescent="0.3">
      <c r="A21" s="6" t="s">
        <v>646</v>
      </c>
      <c r="B21" s="1">
        <v>30.99</v>
      </c>
      <c r="C21" s="1">
        <v>30.99</v>
      </c>
    </row>
    <row r="22" spans="1:6" x14ac:dyDescent="0.3">
      <c r="A22" s="6" t="s">
        <v>2473</v>
      </c>
      <c r="B22" s="1">
        <v>21.99</v>
      </c>
      <c r="C22" s="1">
        <v>21.99</v>
      </c>
    </row>
    <row r="23" spans="1:6" x14ac:dyDescent="0.3">
      <c r="A23" s="6" t="s">
        <v>2319</v>
      </c>
      <c r="B23" s="1">
        <v>16.989999999999998</v>
      </c>
      <c r="C23" s="1">
        <v>16.989999999999998</v>
      </c>
    </row>
    <row r="24" spans="1:6" x14ac:dyDescent="0.3">
      <c r="A24" s="6" t="s">
        <v>2421</v>
      </c>
      <c r="B24" s="1">
        <v>45.11</v>
      </c>
      <c r="C24" s="1">
        <v>18.989999999999998</v>
      </c>
    </row>
    <row r="25" spans="1:6" x14ac:dyDescent="0.3">
      <c r="A25" s="6" t="s">
        <v>2577</v>
      </c>
      <c r="B25" s="1">
        <v>53.43</v>
      </c>
      <c r="C25" s="1">
        <v>21.99</v>
      </c>
    </row>
    <row r="26" spans="1:6" x14ac:dyDescent="0.3">
      <c r="A26" s="6" t="s">
        <v>2540</v>
      </c>
      <c r="B26" s="1">
        <v>16.989999999999998</v>
      </c>
      <c r="C26" s="1">
        <v>16.989999999999998</v>
      </c>
    </row>
    <row r="27" spans="1:6" x14ac:dyDescent="0.3">
      <c r="A27" s="6" t="s">
        <v>2027</v>
      </c>
      <c r="B27" s="1">
        <v>16.989999999999998</v>
      </c>
      <c r="C27" s="1">
        <v>16.989999999999998</v>
      </c>
    </row>
    <row r="28" spans="1:6" x14ac:dyDescent="0.3">
      <c r="A28" s="6" t="s">
        <v>2416</v>
      </c>
      <c r="B28" s="1">
        <v>27.99</v>
      </c>
      <c r="C28" s="1">
        <v>27.99</v>
      </c>
    </row>
    <row r="29" spans="1:6" x14ac:dyDescent="0.3">
      <c r="A29" s="6" t="s">
        <v>2054</v>
      </c>
      <c r="B29" s="1">
        <v>94.13</v>
      </c>
      <c r="C29" s="1">
        <v>55.98</v>
      </c>
    </row>
    <row r="30" spans="1:6" x14ac:dyDescent="0.3">
      <c r="A30" s="6" t="s">
        <v>662</v>
      </c>
      <c r="B30" s="1">
        <v>70.77</v>
      </c>
      <c r="C30" s="1">
        <v>47.98</v>
      </c>
    </row>
    <row r="31" spans="1:6" x14ac:dyDescent="0.3">
      <c r="A31" s="6" t="s">
        <v>1352</v>
      </c>
      <c r="B31" s="1">
        <v>27.99</v>
      </c>
      <c r="C31" s="1">
        <v>27.99</v>
      </c>
    </row>
    <row r="32" spans="1:6" x14ac:dyDescent="0.3">
      <c r="A32" s="6" t="s">
        <v>1266</v>
      </c>
      <c r="B32" s="1">
        <v>16.989999999999998</v>
      </c>
      <c r="C32" s="1">
        <v>16.989999999999998</v>
      </c>
    </row>
    <row r="33" spans="1:3" x14ac:dyDescent="0.3">
      <c r="A33" s="6" t="s">
        <v>1324</v>
      </c>
      <c r="B33" s="1">
        <v>104.47999999999999</v>
      </c>
      <c r="C33" s="1">
        <v>61.98</v>
      </c>
    </row>
    <row r="34" spans="1:3" x14ac:dyDescent="0.3">
      <c r="A34" s="6" t="s">
        <v>164</v>
      </c>
      <c r="B34" s="1">
        <v>40.18</v>
      </c>
      <c r="C34" s="1">
        <v>16.989999999999998</v>
      </c>
    </row>
    <row r="35" spans="1:3" x14ac:dyDescent="0.3">
      <c r="A35" s="6" t="s">
        <v>1679</v>
      </c>
      <c r="B35" s="1">
        <v>73.569999999999993</v>
      </c>
      <c r="C35" s="1">
        <v>30.99</v>
      </c>
    </row>
    <row r="36" spans="1:3" x14ac:dyDescent="0.3">
      <c r="A36" s="6" t="s">
        <v>1798</v>
      </c>
      <c r="B36" s="1">
        <v>37.85</v>
      </c>
      <c r="C36" s="1">
        <v>21.99</v>
      </c>
    </row>
    <row r="37" spans="1:3" x14ac:dyDescent="0.3">
      <c r="A37" s="6" t="s">
        <v>1638</v>
      </c>
      <c r="B37" s="1">
        <v>34.99</v>
      </c>
      <c r="C37" s="1">
        <v>34.99</v>
      </c>
    </row>
    <row r="38" spans="1:3" x14ac:dyDescent="0.3">
      <c r="A38" s="6" t="s">
        <v>1664</v>
      </c>
      <c r="B38" s="1">
        <v>30.99</v>
      </c>
      <c r="C38" s="1">
        <v>30.99</v>
      </c>
    </row>
    <row r="39" spans="1:3" x14ac:dyDescent="0.3">
      <c r="A39" s="6" t="s">
        <v>2372</v>
      </c>
      <c r="B39" s="1">
        <v>27.99</v>
      </c>
      <c r="C39" s="1">
        <v>27.99</v>
      </c>
    </row>
    <row r="40" spans="1:3" x14ac:dyDescent="0.3">
      <c r="A40" s="6" t="s">
        <v>2500</v>
      </c>
      <c r="B40" s="1">
        <v>82.94</v>
      </c>
      <c r="C40" s="1">
        <v>34.99</v>
      </c>
    </row>
    <row r="41" spans="1:3" x14ac:dyDescent="0.3">
      <c r="A41" s="6" t="s">
        <v>321</v>
      </c>
      <c r="B41" s="1">
        <v>58.98</v>
      </c>
      <c r="C41" s="1">
        <v>58.98</v>
      </c>
    </row>
    <row r="42" spans="1:3" x14ac:dyDescent="0.3">
      <c r="A42" s="6" t="s">
        <v>1078</v>
      </c>
      <c r="B42" s="1">
        <v>60.08</v>
      </c>
      <c r="C42" s="1">
        <v>34.99</v>
      </c>
    </row>
    <row r="43" spans="1:3" x14ac:dyDescent="0.3">
      <c r="A43" s="6" t="s">
        <v>1915</v>
      </c>
      <c r="B43" s="1">
        <v>45.36</v>
      </c>
      <c r="C43" s="1">
        <v>18.989999999999998</v>
      </c>
    </row>
    <row r="44" spans="1:3" x14ac:dyDescent="0.3">
      <c r="A44" s="6" t="s">
        <v>480</v>
      </c>
      <c r="B44" s="1">
        <v>27.99</v>
      </c>
      <c r="C44" s="1">
        <v>27.99</v>
      </c>
    </row>
    <row r="45" spans="1:3" x14ac:dyDescent="0.3">
      <c r="A45" s="6" t="s">
        <v>670</v>
      </c>
      <c r="B45" s="1">
        <v>84.73</v>
      </c>
      <c r="C45" s="1">
        <v>34.99</v>
      </c>
    </row>
    <row r="46" spans="1:3" x14ac:dyDescent="0.3">
      <c r="A46" s="6" t="s">
        <v>1883</v>
      </c>
      <c r="B46" s="1">
        <v>123.46000000000001</v>
      </c>
      <c r="C46" s="1">
        <v>58.98</v>
      </c>
    </row>
    <row r="47" spans="1:3" x14ac:dyDescent="0.3">
      <c r="A47" s="6" t="s">
        <v>2585</v>
      </c>
      <c r="B47" s="1">
        <v>73.12</v>
      </c>
      <c r="C47" s="1">
        <v>30.99</v>
      </c>
    </row>
    <row r="48" spans="1:3" x14ac:dyDescent="0.3">
      <c r="A48" s="6" t="s">
        <v>1043</v>
      </c>
      <c r="B48" s="1">
        <v>18.989999999999998</v>
      </c>
      <c r="C48" s="1">
        <v>18.989999999999998</v>
      </c>
    </row>
    <row r="49" spans="1:3" x14ac:dyDescent="0.3">
      <c r="A49" s="6" t="s">
        <v>912</v>
      </c>
      <c r="B49" s="1">
        <v>21.99</v>
      </c>
      <c r="C49" s="1">
        <v>21.99</v>
      </c>
    </row>
    <row r="50" spans="1:3" x14ac:dyDescent="0.3">
      <c r="A50" s="6" t="s">
        <v>281</v>
      </c>
      <c r="B50" s="1">
        <v>110.50999999999999</v>
      </c>
      <c r="C50" s="1">
        <v>66.97</v>
      </c>
    </row>
    <row r="51" spans="1:3" x14ac:dyDescent="0.3">
      <c r="A51" s="6" t="s">
        <v>414</v>
      </c>
      <c r="B51" s="1">
        <v>74.53</v>
      </c>
      <c r="C51" s="1">
        <v>30.99</v>
      </c>
    </row>
    <row r="52" spans="1:3" x14ac:dyDescent="0.3">
      <c r="A52" s="6" t="s">
        <v>2218</v>
      </c>
      <c r="B52" s="1">
        <v>58.239999999999995</v>
      </c>
      <c r="C52" s="1">
        <v>33.979999999999997</v>
      </c>
    </row>
    <row r="53" spans="1:3" x14ac:dyDescent="0.3">
      <c r="A53" s="6" t="s">
        <v>435</v>
      </c>
      <c r="B53" s="1">
        <v>102.49000000000001</v>
      </c>
      <c r="C53" s="1">
        <v>62.980000000000004</v>
      </c>
    </row>
    <row r="54" spans="1:3" x14ac:dyDescent="0.3">
      <c r="A54" s="6" t="s">
        <v>2116</v>
      </c>
      <c r="B54" s="1">
        <v>32.880000000000003</v>
      </c>
      <c r="C54" s="1">
        <v>18.989999999999998</v>
      </c>
    </row>
    <row r="55" spans="1:3" x14ac:dyDescent="0.3">
      <c r="A55" s="6" t="s">
        <v>293</v>
      </c>
      <c r="B55" s="1">
        <v>78.06</v>
      </c>
      <c r="C55" s="1">
        <v>37.979999999999997</v>
      </c>
    </row>
    <row r="56" spans="1:3" x14ac:dyDescent="0.3">
      <c r="A56" s="6" t="s">
        <v>1801</v>
      </c>
      <c r="B56" s="1">
        <v>40.08</v>
      </c>
      <c r="C56" s="1">
        <v>16.989999999999998</v>
      </c>
    </row>
    <row r="57" spans="1:3" x14ac:dyDescent="0.3">
      <c r="A57" s="6" t="s">
        <v>1527</v>
      </c>
      <c r="B57" s="1">
        <v>53.03</v>
      </c>
      <c r="C57" s="1">
        <v>30.99</v>
      </c>
    </row>
    <row r="58" spans="1:3" x14ac:dyDescent="0.3">
      <c r="A58" s="6" t="s">
        <v>1293</v>
      </c>
      <c r="B58" s="1">
        <v>29.64</v>
      </c>
      <c r="C58" s="1">
        <v>16.989999999999998</v>
      </c>
    </row>
    <row r="59" spans="1:3" x14ac:dyDescent="0.3">
      <c r="A59" s="6" t="s">
        <v>584</v>
      </c>
      <c r="B59" s="1">
        <v>46.98</v>
      </c>
      <c r="C59" s="1">
        <v>46.98</v>
      </c>
    </row>
    <row r="60" spans="1:3" x14ac:dyDescent="0.3">
      <c r="A60" s="6" t="s">
        <v>549</v>
      </c>
      <c r="B60" s="1">
        <v>60.98</v>
      </c>
      <c r="C60" s="1">
        <v>34.99</v>
      </c>
    </row>
    <row r="61" spans="1:3" x14ac:dyDescent="0.3">
      <c r="A61" s="6" t="s">
        <v>2328</v>
      </c>
      <c r="B61" s="1">
        <v>40.78</v>
      </c>
      <c r="C61" s="1">
        <v>16.989999999999998</v>
      </c>
    </row>
    <row r="62" spans="1:3" x14ac:dyDescent="0.3">
      <c r="A62" s="6" t="s">
        <v>1581</v>
      </c>
      <c r="B62" s="1">
        <v>32.71</v>
      </c>
      <c r="C62" s="1">
        <v>18.989999999999998</v>
      </c>
    </row>
    <row r="63" spans="1:3" x14ac:dyDescent="0.3">
      <c r="A63" s="6" t="s">
        <v>2040</v>
      </c>
      <c r="B63" s="1">
        <v>27.99</v>
      </c>
      <c r="C63" s="1">
        <v>27.99</v>
      </c>
    </row>
    <row r="64" spans="1:3" x14ac:dyDescent="0.3">
      <c r="A64" s="6" t="s">
        <v>644</v>
      </c>
      <c r="B64" s="1">
        <v>34.99</v>
      </c>
      <c r="C64" s="1">
        <v>34.99</v>
      </c>
    </row>
    <row r="65" spans="1:3" x14ac:dyDescent="0.3">
      <c r="A65" s="6" t="s">
        <v>2187</v>
      </c>
      <c r="B65" s="1">
        <v>16.989999999999998</v>
      </c>
      <c r="C65" s="1">
        <v>16.989999999999998</v>
      </c>
    </row>
    <row r="66" spans="1:3" x14ac:dyDescent="0.3">
      <c r="A66" s="6" t="s">
        <v>1299</v>
      </c>
      <c r="B66" s="1">
        <v>185.51000000000002</v>
      </c>
      <c r="C66" s="1">
        <v>110.96</v>
      </c>
    </row>
    <row r="67" spans="1:3" x14ac:dyDescent="0.3">
      <c r="A67" s="6" t="s">
        <v>902</v>
      </c>
      <c r="B67" s="1">
        <v>164.87</v>
      </c>
      <c r="C67" s="1">
        <v>139.96</v>
      </c>
    </row>
    <row r="68" spans="1:3" x14ac:dyDescent="0.3">
      <c r="A68" s="6" t="s">
        <v>1565</v>
      </c>
      <c r="B68" s="1">
        <v>41.04</v>
      </c>
      <c r="C68" s="1">
        <v>16.989999999999998</v>
      </c>
    </row>
    <row r="69" spans="1:3" x14ac:dyDescent="0.3">
      <c r="A69" s="6" t="s">
        <v>1588</v>
      </c>
      <c r="B69" s="1">
        <v>66.77</v>
      </c>
      <c r="C69" s="1">
        <v>40.98</v>
      </c>
    </row>
    <row r="70" spans="1:3" x14ac:dyDescent="0.3">
      <c r="A70" s="6" t="s">
        <v>1407</v>
      </c>
      <c r="B70" s="1">
        <v>108.82999999999998</v>
      </c>
      <c r="C70" s="1">
        <v>68.97</v>
      </c>
    </row>
    <row r="71" spans="1:3" x14ac:dyDescent="0.3">
      <c r="A71" s="6" t="s">
        <v>1556</v>
      </c>
      <c r="B71" s="1">
        <v>78.97</v>
      </c>
      <c r="C71" s="1">
        <v>78.97</v>
      </c>
    </row>
    <row r="72" spans="1:3" x14ac:dyDescent="0.3">
      <c r="A72" s="6" t="s">
        <v>763</v>
      </c>
      <c r="B72" s="1">
        <v>128.62</v>
      </c>
      <c r="C72" s="1">
        <v>88.96</v>
      </c>
    </row>
    <row r="73" spans="1:3" x14ac:dyDescent="0.3">
      <c r="A73" s="6" t="s">
        <v>1168</v>
      </c>
      <c r="B73" s="1">
        <v>189.4</v>
      </c>
      <c r="C73" s="1">
        <v>128.94999999999999</v>
      </c>
    </row>
    <row r="74" spans="1:3" x14ac:dyDescent="0.3">
      <c r="A74" s="6" t="s">
        <v>2261</v>
      </c>
      <c r="B74" s="1">
        <v>30.99</v>
      </c>
      <c r="C74" s="1">
        <v>30.99</v>
      </c>
    </row>
    <row r="75" spans="1:3" x14ac:dyDescent="0.3">
      <c r="A75" s="6" t="s">
        <v>881</v>
      </c>
      <c r="B75" s="1">
        <v>148.04999999999998</v>
      </c>
      <c r="C75" s="1">
        <v>117.94999999999999</v>
      </c>
    </row>
    <row r="76" spans="1:3" x14ac:dyDescent="0.3">
      <c r="A76" s="6" t="s">
        <v>985</v>
      </c>
      <c r="B76" s="1">
        <v>48.29</v>
      </c>
      <c r="C76" s="1">
        <v>27.99</v>
      </c>
    </row>
    <row r="77" spans="1:3" x14ac:dyDescent="0.3">
      <c r="A77" s="6" t="s">
        <v>1093</v>
      </c>
      <c r="B77" s="1">
        <v>232.49</v>
      </c>
      <c r="C77" s="1">
        <v>138.94999999999999</v>
      </c>
    </row>
    <row r="78" spans="1:3" x14ac:dyDescent="0.3">
      <c r="A78" s="6" t="s">
        <v>753</v>
      </c>
      <c r="B78" s="1">
        <v>103.94</v>
      </c>
      <c r="C78" s="1">
        <v>89.96</v>
      </c>
    </row>
    <row r="79" spans="1:3" x14ac:dyDescent="0.3">
      <c r="A79" s="6" t="s">
        <v>1153</v>
      </c>
      <c r="B79" s="1">
        <v>239.39000000000001</v>
      </c>
      <c r="C79" s="1">
        <v>166.94000000000003</v>
      </c>
    </row>
    <row r="80" spans="1:3" x14ac:dyDescent="0.3">
      <c r="A80" s="6" t="s">
        <v>1096</v>
      </c>
      <c r="B80" s="1">
        <v>138.36000000000001</v>
      </c>
      <c r="C80" s="1">
        <v>83.97</v>
      </c>
    </row>
    <row r="81" spans="1:3" x14ac:dyDescent="0.3">
      <c r="A81" s="6" t="s">
        <v>1727</v>
      </c>
      <c r="B81" s="1">
        <v>140.29</v>
      </c>
      <c r="C81" s="1">
        <v>116.94999999999999</v>
      </c>
    </row>
    <row r="82" spans="1:3" x14ac:dyDescent="0.3">
      <c r="A82" s="6" t="s">
        <v>1993</v>
      </c>
      <c r="B82" s="1">
        <v>16.989999999999998</v>
      </c>
      <c r="C82" s="1">
        <v>16.989999999999998</v>
      </c>
    </row>
    <row r="83" spans="1:3" x14ac:dyDescent="0.3">
      <c r="A83" s="6" t="s">
        <v>2253</v>
      </c>
      <c r="B83" s="1">
        <v>16.989999999999998</v>
      </c>
      <c r="C83" s="1">
        <v>16.989999999999998</v>
      </c>
    </row>
    <row r="84" spans="1:3" x14ac:dyDescent="0.3">
      <c r="A84" s="6" t="s">
        <v>849</v>
      </c>
      <c r="B84" s="1">
        <v>60.06</v>
      </c>
      <c r="C84" s="1">
        <v>34.99</v>
      </c>
    </row>
    <row r="85" spans="1:3" x14ac:dyDescent="0.3">
      <c r="A85" s="6" t="s">
        <v>1214</v>
      </c>
      <c r="B85" s="1">
        <v>94.85</v>
      </c>
      <c r="C85" s="1">
        <v>68.97</v>
      </c>
    </row>
    <row r="86" spans="1:3" x14ac:dyDescent="0.3">
      <c r="A86" s="6" t="s">
        <v>2162</v>
      </c>
      <c r="B86" s="1">
        <v>52.98</v>
      </c>
      <c r="C86" s="1">
        <v>52.98</v>
      </c>
    </row>
    <row r="87" spans="1:3" x14ac:dyDescent="0.3">
      <c r="A87" s="6" t="s">
        <v>887</v>
      </c>
      <c r="B87" s="1">
        <v>18.989999999999998</v>
      </c>
      <c r="C87" s="1">
        <v>18.989999999999998</v>
      </c>
    </row>
    <row r="88" spans="1:3" x14ac:dyDescent="0.3">
      <c r="A88" s="6" t="s">
        <v>2220</v>
      </c>
      <c r="B88" s="1">
        <v>48.89</v>
      </c>
      <c r="C88" s="1">
        <v>27.99</v>
      </c>
    </row>
    <row r="89" spans="1:3" x14ac:dyDescent="0.3">
      <c r="A89" s="6" t="s">
        <v>916</v>
      </c>
      <c r="B89" s="1">
        <v>110.94999999999999</v>
      </c>
      <c r="C89" s="1">
        <v>110.94999999999999</v>
      </c>
    </row>
    <row r="90" spans="1:3" x14ac:dyDescent="0.3">
      <c r="A90" s="6" t="s">
        <v>1743</v>
      </c>
      <c r="B90" s="1">
        <v>97.97</v>
      </c>
      <c r="C90" s="1">
        <v>97.97</v>
      </c>
    </row>
    <row r="91" spans="1:3" x14ac:dyDescent="0.3">
      <c r="A91" s="6" t="s">
        <v>995</v>
      </c>
      <c r="B91" s="1">
        <v>68.679999999999993</v>
      </c>
      <c r="C91" s="1">
        <v>52.98</v>
      </c>
    </row>
    <row r="92" spans="1:3" x14ac:dyDescent="0.3">
      <c r="A92" s="6" t="s">
        <v>2045</v>
      </c>
      <c r="B92" s="1">
        <v>120.02000000000001</v>
      </c>
      <c r="C92" s="1">
        <v>81.97</v>
      </c>
    </row>
    <row r="93" spans="1:3" x14ac:dyDescent="0.3">
      <c r="A93" s="6" t="s">
        <v>1315</v>
      </c>
      <c r="B93" s="1">
        <v>34.99</v>
      </c>
      <c r="C93" s="1">
        <v>34.99</v>
      </c>
    </row>
    <row r="94" spans="1:3" x14ac:dyDescent="0.3">
      <c r="A94" s="6" t="s">
        <v>921</v>
      </c>
      <c r="B94" s="1">
        <v>140.97</v>
      </c>
      <c r="C94" s="1">
        <v>84.97</v>
      </c>
    </row>
    <row r="95" spans="1:3" x14ac:dyDescent="0.3">
      <c r="A95" s="6" t="s">
        <v>1807</v>
      </c>
      <c r="B95" s="1">
        <v>131.49</v>
      </c>
      <c r="C95" s="1">
        <v>100.96</v>
      </c>
    </row>
    <row r="96" spans="1:3" x14ac:dyDescent="0.3">
      <c r="A96" s="6" t="s">
        <v>1503</v>
      </c>
      <c r="B96" s="1">
        <v>27.99</v>
      </c>
      <c r="C96" s="1">
        <v>27.99</v>
      </c>
    </row>
    <row r="97" spans="1:3" x14ac:dyDescent="0.3">
      <c r="A97" s="6" t="s">
        <v>1015</v>
      </c>
      <c r="B97" s="1">
        <v>173.54</v>
      </c>
      <c r="C97" s="1">
        <v>150.94999999999999</v>
      </c>
    </row>
    <row r="98" spans="1:3" x14ac:dyDescent="0.3">
      <c r="A98" s="6" t="s">
        <v>2142</v>
      </c>
      <c r="B98" s="1">
        <v>104.19</v>
      </c>
      <c r="C98" s="1">
        <v>43.98</v>
      </c>
    </row>
    <row r="99" spans="1:3" x14ac:dyDescent="0.3">
      <c r="A99" s="6" t="s">
        <v>1471</v>
      </c>
      <c r="B99" s="1">
        <v>53.980000000000004</v>
      </c>
      <c r="C99" s="1">
        <v>53.980000000000004</v>
      </c>
    </row>
    <row r="100" spans="1:3" x14ac:dyDescent="0.3">
      <c r="A100" s="6" t="s">
        <v>1820</v>
      </c>
      <c r="B100" s="1">
        <v>21.99</v>
      </c>
      <c r="C100" s="1">
        <v>21.99</v>
      </c>
    </row>
    <row r="101" spans="1:3" x14ac:dyDescent="0.3">
      <c r="A101" s="6" t="s">
        <v>1724</v>
      </c>
      <c r="B101" s="1">
        <v>99.02</v>
      </c>
      <c r="C101" s="1">
        <v>68.97</v>
      </c>
    </row>
    <row r="102" spans="1:3" x14ac:dyDescent="0.3">
      <c r="A102" s="6" t="s">
        <v>1450</v>
      </c>
      <c r="B102" s="1">
        <v>52.41</v>
      </c>
      <c r="C102" s="1">
        <v>21.99</v>
      </c>
    </row>
    <row r="103" spans="1:3" x14ac:dyDescent="0.3">
      <c r="A103" s="6" t="s">
        <v>1953</v>
      </c>
      <c r="B103" s="1">
        <v>103.89999999999999</v>
      </c>
      <c r="C103" s="1">
        <v>65.97</v>
      </c>
    </row>
    <row r="104" spans="1:3" x14ac:dyDescent="0.3">
      <c r="A104" s="6" t="s">
        <v>864</v>
      </c>
      <c r="B104" s="1">
        <v>18.989999999999998</v>
      </c>
      <c r="C104" s="1">
        <v>18.989999999999998</v>
      </c>
    </row>
    <row r="105" spans="1:3" x14ac:dyDescent="0.3">
      <c r="A105" s="6" t="s">
        <v>759</v>
      </c>
      <c r="B105" s="1">
        <v>147.70000000000002</v>
      </c>
      <c r="C105" s="1">
        <v>120.95</v>
      </c>
    </row>
    <row r="106" spans="1:3" x14ac:dyDescent="0.3">
      <c r="A106" s="6" t="s">
        <v>868</v>
      </c>
      <c r="B106" s="1">
        <v>113.80999999999999</v>
      </c>
      <c r="C106" s="1">
        <v>99.96</v>
      </c>
    </row>
    <row r="107" spans="1:3" x14ac:dyDescent="0.3">
      <c r="A107" s="6" t="s">
        <v>1492</v>
      </c>
      <c r="B107" s="1">
        <v>108.89</v>
      </c>
      <c r="C107" s="1">
        <v>62.980000000000004</v>
      </c>
    </row>
    <row r="108" spans="1:3" x14ac:dyDescent="0.3">
      <c r="A108" s="6" t="s">
        <v>1431</v>
      </c>
      <c r="B108" s="1">
        <v>122.07</v>
      </c>
      <c r="C108" s="1">
        <v>84.97</v>
      </c>
    </row>
    <row r="109" spans="1:3" x14ac:dyDescent="0.3">
      <c r="A109" s="6" t="s">
        <v>727</v>
      </c>
      <c r="B109" s="1">
        <v>167.29999999999998</v>
      </c>
      <c r="C109" s="1">
        <v>130.94999999999999</v>
      </c>
    </row>
    <row r="110" spans="1:3" x14ac:dyDescent="0.3">
      <c r="A110" s="6" t="s">
        <v>1170</v>
      </c>
      <c r="B110" s="1">
        <v>137.63</v>
      </c>
      <c r="C110" s="1">
        <v>94.96</v>
      </c>
    </row>
    <row r="111" spans="1:3" x14ac:dyDescent="0.3">
      <c r="A111" s="6" t="s">
        <v>1404</v>
      </c>
      <c r="B111" s="1">
        <v>18.989999999999998</v>
      </c>
      <c r="C111" s="1">
        <v>18.989999999999998</v>
      </c>
    </row>
    <row r="112" spans="1:3" x14ac:dyDescent="0.3">
      <c r="A112" s="6" t="s">
        <v>831</v>
      </c>
      <c r="B112" s="1">
        <v>53.980000000000004</v>
      </c>
      <c r="C112" s="1">
        <v>53.980000000000004</v>
      </c>
    </row>
    <row r="113" spans="1:3" x14ac:dyDescent="0.3">
      <c r="A113" s="6" t="s">
        <v>1390</v>
      </c>
      <c r="B113" s="1">
        <v>170.81</v>
      </c>
      <c r="C113" s="1">
        <v>106.96</v>
      </c>
    </row>
    <row r="114" spans="1:3" x14ac:dyDescent="0.3">
      <c r="A114" s="6" t="s">
        <v>1961</v>
      </c>
      <c r="B114" s="1">
        <v>73.27</v>
      </c>
      <c r="C114" s="1">
        <v>30.99</v>
      </c>
    </row>
    <row r="115" spans="1:3" x14ac:dyDescent="0.3">
      <c r="A115" s="6" t="s">
        <v>723</v>
      </c>
      <c r="B115" s="1">
        <v>172.04</v>
      </c>
      <c r="C115" s="1">
        <v>122.95000000000002</v>
      </c>
    </row>
    <row r="116" spans="1:3" x14ac:dyDescent="0.3">
      <c r="A116" s="6" t="s">
        <v>2581</v>
      </c>
      <c r="B116" s="1">
        <v>27.99</v>
      </c>
      <c r="C116" s="1">
        <v>27.99</v>
      </c>
    </row>
    <row r="117" spans="1:3" x14ac:dyDescent="0.3">
      <c r="A117" s="6" t="s">
        <v>1796</v>
      </c>
      <c r="B117" s="1">
        <v>131.51</v>
      </c>
      <c r="C117" s="1">
        <v>79.97</v>
      </c>
    </row>
    <row r="118" spans="1:3" x14ac:dyDescent="0.3">
      <c r="A118" s="6" t="s">
        <v>1002</v>
      </c>
      <c r="B118" s="1">
        <v>351.22</v>
      </c>
      <c r="C118" s="1">
        <v>222.92000000000002</v>
      </c>
    </row>
    <row r="119" spans="1:3" x14ac:dyDescent="0.3">
      <c r="A119" s="6" t="s">
        <v>964</v>
      </c>
      <c r="B119" s="1">
        <v>179.52</v>
      </c>
      <c r="C119" s="1">
        <v>96.96</v>
      </c>
    </row>
    <row r="120" spans="1:3" x14ac:dyDescent="0.3">
      <c r="A120" s="6" t="s">
        <v>1340</v>
      </c>
      <c r="B120" s="1">
        <v>133.85999999999999</v>
      </c>
      <c r="C120" s="1">
        <v>84.97</v>
      </c>
    </row>
    <row r="121" spans="1:3" x14ac:dyDescent="0.3">
      <c r="A121" s="6" t="s">
        <v>1388</v>
      </c>
      <c r="B121" s="1">
        <v>76.599999999999994</v>
      </c>
      <c r="C121" s="1">
        <v>55.98</v>
      </c>
    </row>
    <row r="122" spans="1:3" x14ac:dyDescent="0.3">
      <c r="A122" s="6" t="s">
        <v>1031</v>
      </c>
      <c r="B122" s="1">
        <v>135.19</v>
      </c>
      <c r="C122" s="1">
        <v>66.97</v>
      </c>
    </row>
    <row r="123" spans="1:3" x14ac:dyDescent="0.3">
      <c r="A123" s="6" t="s">
        <v>1268</v>
      </c>
      <c r="B123" s="1">
        <v>153.22000000000003</v>
      </c>
      <c r="C123" s="1">
        <v>104.96</v>
      </c>
    </row>
    <row r="124" spans="1:3" x14ac:dyDescent="0.3">
      <c r="A124" s="6" t="s">
        <v>1027</v>
      </c>
      <c r="B124" s="1">
        <v>135.22999999999999</v>
      </c>
      <c r="C124" s="1">
        <v>103.96000000000001</v>
      </c>
    </row>
    <row r="125" spans="1:3" x14ac:dyDescent="0.3">
      <c r="A125" s="6" t="s">
        <v>1530</v>
      </c>
      <c r="B125" s="1">
        <v>47.98</v>
      </c>
      <c r="C125" s="1">
        <v>47.98</v>
      </c>
    </row>
    <row r="126" spans="1:3" x14ac:dyDescent="0.3">
      <c r="A126" s="6" t="s">
        <v>1178</v>
      </c>
      <c r="B126" s="1">
        <v>102.94999999999999</v>
      </c>
      <c r="C126" s="1">
        <v>58.98</v>
      </c>
    </row>
    <row r="127" spans="1:3" x14ac:dyDescent="0.3">
      <c r="A127" s="6" t="s">
        <v>2444</v>
      </c>
      <c r="B127" s="1">
        <v>21.99</v>
      </c>
      <c r="C127" s="1">
        <v>21.99</v>
      </c>
    </row>
    <row r="128" spans="1:3" x14ac:dyDescent="0.3">
      <c r="A128" s="6" t="s">
        <v>1886</v>
      </c>
      <c r="B128" s="1">
        <v>65.98</v>
      </c>
      <c r="C128" s="1">
        <v>65.98</v>
      </c>
    </row>
    <row r="129" spans="1:3" x14ac:dyDescent="0.3">
      <c r="A129" s="6" t="s">
        <v>937</v>
      </c>
      <c r="B129" s="1">
        <v>92.83</v>
      </c>
      <c r="C129" s="1">
        <v>65.97</v>
      </c>
    </row>
    <row r="130" spans="1:3" x14ac:dyDescent="0.3">
      <c r="A130" s="6" t="s">
        <v>1785</v>
      </c>
      <c r="B130" s="1">
        <v>21.99</v>
      </c>
      <c r="C130" s="1">
        <v>21.99</v>
      </c>
    </row>
    <row r="131" spans="1:3" x14ac:dyDescent="0.3">
      <c r="A131" s="6" t="s">
        <v>1295</v>
      </c>
      <c r="B131" s="1">
        <v>57.97</v>
      </c>
      <c r="C131" s="1">
        <v>57.97</v>
      </c>
    </row>
    <row r="132" spans="1:3" x14ac:dyDescent="0.3">
      <c r="A132" s="6" t="s">
        <v>1068</v>
      </c>
      <c r="B132" s="1">
        <v>91.96</v>
      </c>
      <c r="C132" s="1">
        <v>91.96</v>
      </c>
    </row>
    <row r="133" spans="1:3" x14ac:dyDescent="0.3">
      <c r="A133" s="6" t="s">
        <v>1091</v>
      </c>
      <c r="B133" s="1">
        <v>18.989999999999998</v>
      </c>
      <c r="C133" s="1">
        <v>18.989999999999998</v>
      </c>
    </row>
    <row r="134" spans="1:3" x14ac:dyDescent="0.3">
      <c r="A134" s="6" t="s">
        <v>1552</v>
      </c>
      <c r="B134" s="1">
        <v>78.97</v>
      </c>
      <c r="C134" s="1">
        <v>78.97</v>
      </c>
    </row>
    <row r="135" spans="1:3" x14ac:dyDescent="0.3">
      <c r="A135" s="6" t="s">
        <v>1865</v>
      </c>
      <c r="B135" s="1">
        <v>109.39000000000001</v>
      </c>
      <c r="C135" s="1">
        <v>65.98</v>
      </c>
    </row>
    <row r="136" spans="1:3" x14ac:dyDescent="0.3">
      <c r="A136" s="6" t="s">
        <v>1577</v>
      </c>
      <c r="B136" s="1">
        <v>174.89</v>
      </c>
      <c r="C136" s="1">
        <v>114.96</v>
      </c>
    </row>
    <row r="137" spans="1:3" x14ac:dyDescent="0.3">
      <c r="A137" s="6" t="s">
        <v>1000</v>
      </c>
      <c r="B137" s="1">
        <v>136.66999999999999</v>
      </c>
      <c r="C137" s="1">
        <v>122.94999999999999</v>
      </c>
    </row>
    <row r="138" spans="1:3" x14ac:dyDescent="0.3">
      <c r="A138" s="6" t="s">
        <v>1291</v>
      </c>
      <c r="B138" s="1">
        <v>140.83000000000001</v>
      </c>
      <c r="C138" s="1">
        <v>96.97</v>
      </c>
    </row>
    <row r="139" spans="1:3" x14ac:dyDescent="0.3">
      <c r="A139" s="6" t="s">
        <v>1006</v>
      </c>
      <c r="B139" s="1">
        <v>43.98</v>
      </c>
      <c r="C139" s="1">
        <v>43.98</v>
      </c>
    </row>
    <row r="140" spans="1:3" x14ac:dyDescent="0.3">
      <c r="A140" s="6" t="s">
        <v>1718</v>
      </c>
      <c r="B140" s="1">
        <v>34.99</v>
      </c>
      <c r="C140" s="1">
        <v>34.99</v>
      </c>
    </row>
    <row r="141" spans="1:3" x14ac:dyDescent="0.3">
      <c r="A141" s="6" t="s">
        <v>2380</v>
      </c>
      <c r="B141" s="1">
        <v>56.980000000000004</v>
      </c>
      <c r="C141" s="1">
        <v>56.980000000000004</v>
      </c>
    </row>
    <row r="142" spans="1:3" x14ac:dyDescent="0.3">
      <c r="A142" s="6" t="s">
        <v>1310</v>
      </c>
      <c r="B142" s="1">
        <v>69.98</v>
      </c>
      <c r="C142" s="1">
        <v>69.98</v>
      </c>
    </row>
    <row r="143" spans="1:3" x14ac:dyDescent="0.3">
      <c r="A143" s="6" t="s">
        <v>1217</v>
      </c>
      <c r="B143" s="1">
        <v>46.519999999999996</v>
      </c>
      <c r="C143" s="1">
        <v>33.979999999999997</v>
      </c>
    </row>
    <row r="144" spans="1:3" x14ac:dyDescent="0.3">
      <c r="A144" s="6" t="s">
        <v>1420</v>
      </c>
      <c r="B144" s="1">
        <v>207</v>
      </c>
      <c r="C144" s="1">
        <v>140.94999999999999</v>
      </c>
    </row>
    <row r="145" spans="1:3" x14ac:dyDescent="0.3">
      <c r="A145" s="6" t="s">
        <v>771</v>
      </c>
      <c r="B145" s="1">
        <v>214.29000000000002</v>
      </c>
      <c r="C145" s="1">
        <v>153.94</v>
      </c>
    </row>
    <row r="146" spans="1:3" x14ac:dyDescent="0.3">
      <c r="A146" s="6" t="s">
        <v>1455</v>
      </c>
      <c r="B146" s="1">
        <v>147.29000000000002</v>
      </c>
      <c r="C146" s="1">
        <v>77.97</v>
      </c>
    </row>
    <row r="147" spans="1:3" x14ac:dyDescent="0.3">
      <c r="A147" s="6" t="s">
        <v>2149</v>
      </c>
      <c r="B147" s="1">
        <v>144.74</v>
      </c>
      <c r="C147" s="1">
        <v>69.98</v>
      </c>
    </row>
    <row r="148" spans="1:3" x14ac:dyDescent="0.3">
      <c r="A148" s="6" t="s">
        <v>1246</v>
      </c>
      <c r="B148" s="1">
        <v>66.67</v>
      </c>
      <c r="C148" s="1">
        <v>27.99</v>
      </c>
    </row>
    <row r="149" spans="1:3" x14ac:dyDescent="0.3">
      <c r="A149" s="6" t="s">
        <v>978</v>
      </c>
      <c r="B149" s="1">
        <v>95.449999999999989</v>
      </c>
      <c r="C149" s="1">
        <v>52.98</v>
      </c>
    </row>
    <row r="150" spans="1:3" x14ac:dyDescent="0.3">
      <c r="A150" s="6" t="s">
        <v>1434</v>
      </c>
      <c r="B150" s="1">
        <v>111.14</v>
      </c>
      <c r="C150" s="1">
        <v>90.97</v>
      </c>
    </row>
    <row r="151" spans="1:3" x14ac:dyDescent="0.3">
      <c r="A151" s="6" t="s">
        <v>2098</v>
      </c>
      <c r="B151" s="1">
        <v>50.05</v>
      </c>
      <c r="C151" s="1">
        <v>35.979999999999997</v>
      </c>
    </row>
    <row r="152" spans="1:3" x14ac:dyDescent="0.3">
      <c r="A152" s="6" t="s">
        <v>1115</v>
      </c>
      <c r="B152" s="1">
        <v>172.12</v>
      </c>
      <c r="C152" s="1">
        <v>140.94999999999999</v>
      </c>
    </row>
    <row r="153" spans="1:3" x14ac:dyDescent="0.3">
      <c r="A153" s="6" t="s">
        <v>1227</v>
      </c>
      <c r="B153" s="1">
        <v>152.38999999999999</v>
      </c>
      <c r="C153" s="1">
        <v>85.96</v>
      </c>
    </row>
    <row r="154" spans="1:3" x14ac:dyDescent="0.3">
      <c r="A154" s="6" t="s">
        <v>1787</v>
      </c>
      <c r="B154" s="1">
        <v>29.1</v>
      </c>
      <c r="C154" s="1">
        <v>16.989999999999998</v>
      </c>
    </row>
    <row r="155" spans="1:3" x14ac:dyDescent="0.3">
      <c r="A155" s="6" t="s">
        <v>1008</v>
      </c>
      <c r="B155" s="1">
        <v>84.97</v>
      </c>
      <c r="C155" s="1">
        <v>84.97</v>
      </c>
    </row>
    <row r="156" spans="1:3" x14ac:dyDescent="0.3">
      <c r="A156" s="6" t="s">
        <v>1367</v>
      </c>
      <c r="B156" s="1">
        <v>75.97</v>
      </c>
      <c r="C156" s="1">
        <v>75.97</v>
      </c>
    </row>
    <row r="157" spans="1:3" x14ac:dyDescent="0.3">
      <c r="A157" s="6" t="s">
        <v>1233</v>
      </c>
      <c r="B157" s="1">
        <v>221.20999999999998</v>
      </c>
      <c r="C157" s="1">
        <v>131.95000000000002</v>
      </c>
    </row>
    <row r="158" spans="1:3" x14ac:dyDescent="0.3">
      <c r="A158" s="6" t="s">
        <v>719</v>
      </c>
      <c r="B158" s="1">
        <v>190.18000000000004</v>
      </c>
      <c r="C158" s="1">
        <v>126.93999999999998</v>
      </c>
    </row>
    <row r="159" spans="1:3" x14ac:dyDescent="0.3">
      <c r="A159" s="6" t="s">
        <v>2018</v>
      </c>
      <c r="B159" s="1">
        <v>78.08</v>
      </c>
      <c r="C159" s="1">
        <v>51.980000000000004</v>
      </c>
    </row>
    <row r="160" spans="1:3" x14ac:dyDescent="0.3">
      <c r="A160" s="6" t="s">
        <v>1129</v>
      </c>
      <c r="B160" s="1">
        <v>99.01</v>
      </c>
      <c r="C160" s="1">
        <v>72.97</v>
      </c>
    </row>
    <row r="161" spans="1:3" x14ac:dyDescent="0.3">
      <c r="A161" s="6" t="s">
        <v>2202</v>
      </c>
      <c r="B161" s="1">
        <v>38.979999999999997</v>
      </c>
      <c r="C161" s="1">
        <v>38.979999999999997</v>
      </c>
    </row>
    <row r="162" spans="1:3" x14ac:dyDescent="0.3">
      <c r="A162" s="6" t="s">
        <v>2433</v>
      </c>
      <c r="B162" s="1">
        <v>18.989999999999998</v>
      </c>
      <c r="C162" s="1">
        <v>18.989999999999998</v>
      </c>
    </row>
    <row r="163" spans="1:3" x14ac:dyDescent="0.3">
      <c r="A163" s="6" t="s">
        <v>1538</v>
      </c>
      <c r="B163" s="1">
        <v>21.99</v>
      </c>
      <c r="C163" s="1">
        <v>21.99</v>
      </c>
    </row>
    <row r="164" spans="1:3" x14ac:dyDescent="0.3">
      <c r="A164" s="6" t="s">
        <v>929</v>
      </c>
      <c r="B164" s="1">
        <v>122.89</v>
      </c>
      <c r="C164" s="1">
        <v>98.96</v>
      </c>
    </row>
    <row r="165" spans="1:3" x14ac:dyDescent="0.3">
      <c r="A165" s="6" t="s">
        <v>2062</v>
      </c>
      <c r="B165" s="1">
        <v>98.699999999999989</v>
      </c>
      <c r="C165" s="1">
        <v>58.98</v>
      </c>
    </row>
    <row r="166" spans="1:3" x14ac:dyDescent="0.3">
      <c r="A166" s="6" t="s">
        <v>2344</v>
      </c>
      <c r="B166" s="1">
        <v>52.98</v>
      </c>
      <c r="C166" s="1">
        <v>52.98</v>
      </c>
    </row>
    <row r="167" spans="1:3" x14ac:dyDescent="0.3">
      <c r="A167" s="6" t="s">
        <v>1685</v>
      </c>
      <c r="B167" s="1">
        <v>104.42</v>
      </c>
      <c r="C167" s="1">
        <v>56.980000000000004</v>
      </c>
    </row>
    <row r="168" spans="1:3" x14ac:dyDescent="0.3">
      <c r="A168" s="6" t="s">
        <v>1634</v>
      </c>
      <c r="B168" s="1">
        <v>72.97</v>
      </c>
      <c r="C168" s="1">
        <v>72.97</v>
      </c>
    </row>
    <row r="169" spans="1:3" x14ac:dyDescent="0.3">
      <c r="A169" s="6" t="s">
        <v>1373</v>
      </c>
      <c r="B169" s="1">
        <v>38.18</v>
      </c>
      <c r="C169" s="1">
        <v>21.99</v>
      </c>
    </row>
    <row r="170" spans="1:3" x14ac:dyDescent="0.3">
      <c r="A170" s="6" t="s">
        <v>2475</v>
      </c>
      <c r="B170" s="1">
        <v>74.930000000000007</v>
      </c>
      <c r="C170" s="1">
        <v>30.99</v>
      </c>
    </row>
    <row r="171" spans="1:3" x14ac:dyDescent="0.3">
      <c r="A171" s="6" t="s">
        <v>1977</v>
      </c>
      <c r="B171" s="1">
        <v>56.980000000000004</v>
      </c>
      <c r="C171" s="1">
        <v>56.980000000000004</v>
      </c>
    </row>
    <row r="172" spans="1:3" x14ac:dyDescent="0.3">
      <c r="A172" s="6" t="s">
        <v>1443</v>
      </c>
      <c r="B172" s="1">
        <v>82.95</v>
      </c>
      <c r="C172" s="1">
        <v>52.98</v>
      </c>
    </row>
    <row r="173" spans="1:3" x14ac:dyDescent="0.3">
      <c r="A173" s="6" t="s">
        <v>800</v>
      </c>
      <c r="B173" s="1">
        <v>136.71</v>
      </c>
      <c r="C173" s="1">
        <v>93.97</v>
      </c>
    </row>
    <row r="174" spans="1:3" x14ac:dyDescent="0.3">
      <c r="A174" s="6" t="s">
        <v>1895</v>
      </c>
      <c r="B174" s="1">
        <v>160.5</v>
      </c>
      <c r="C174" s="1">
        <v>102.96</v>
      </c>
    </row>
    <row r="175" spans="1:3" x14ac:dyDescent="0.3">
      <c r="A175" s="6" t="s">
        <v>1051</v>
      </c>
      <c r="B175" s="1">
        <v>108.22999999999999</v>
      </c>
      <c r="C175" s="1">
        <v>91.96</v>
      </c>
    </row>
    <row r="176" spans="1:3" x14ac:dyDescent="0.3">
      <c r="A176" s="6" t="s">
        <v>1207</v>
      </c>
      <c r="B176" s="1">
        <v>46.98</v>
      </c>
      <c r="C176" s="1">
        <v>46.98</v>
      </c>
    </row>
    <row r="177" spans="1:3" x14ac:dyDescent="0.3">
      <c r="A177" s="6" t="s">
        <v>1515</v>
      </c>
      <c r="B177" s="1">
        <v>68.849999999999994</v>
      </c>
      <c r="C177" s="1">
        <v>44.98</v>
      </c>
    </row>
    <row r="178" spans="1:3" x14ac:dyDescent="0.3">
      <c r="A178" s="6" t="s">
        <v>1331</v>
      </c>
      <c r="B178" s="1">
        <v>46.98</v>
      </c>
      <c r="C178" s="1">
        <v>46.98</v>
      </c>
    </row>
    <row r="179" spans="1:3" x14ac:dyDescent="0.3">
      <c r="A179" s="6" t="s">
        <v>1832</v>
      </c>
      <c r="B179" s="1">
        <v>163.49</v>
      </c>
      <c r="C179" s="1">
        <v>120.94999999999999</v>
      </c>
    </row>
    <row r="180" spans="1:3" x14ac:dyDescent="0.3">
      <c r="A180" s="6" t="s">
        <v>2164</v>
      </c>
      <c r="B180" s="1">
        <v>44.98</v>
      </c>
      <c r="C180" s="1">
        <v>44.98</v>
      </c>
    </row>
    <row r="181" spans="1:3" x14ac:dyDescent="0.3">
      <c r="A181" s="6" t="s">
        <v>1816</v>
      </c>
      <c r="B181" s="1">
        <v>34.99</v>
      </c>
      <c r="C181" s="1">
        <v>34.99</v>
      </c>
    </row>
    <row r="182" spans="1:3" x14ac:dyDescent="0.3">
      <c r="A182" s="6" t="s">
        <v>2192</v>
      </c>
      <c r="B182" s="1">
        <v>56.980000000000004</v>
      </c>
      <c r="C182" s="1">
        <v>56.980000000000004</v>
      </c>
    </row>
    <row r="183" spans="1:3" x14ac:dyDescent="0.3">
      <c r="A183" s="6" t="s">
        <v>1180</v>
      </c>
      <c r="B183" s="1">
        <v>71.97</v>
      </c>
      <c r="C183" s="1">
        <v>71.97</v>
      </c>
    </row>
    <row r="184" spans="1:3" x14ac:dyDescent="0.3">
      <c r="A184" s="6" t="s">
        <v>1486</v>
      </c>
      <c r="B184" s="1">
        <v>105.11</v>
      </c>
      <c r="C184" s="1">
        <v>56.980000000000004</v>
      </c>
    </row>
    <row r="185" spans="1:3" x14ac:dyDescent="0.3">
      <c r="A185" s="6" t="s">
        <v>1381</v>
      </c>
      <c r="B185" s="1">
        <v>89.97</v>
      </c>
      <c r="C185" s="1">
        <v>89.97</v>
      </c>
    </row>
    <row r="186" spans="1:3" x14ac:dyDescent="0.3">
      <c r="A186" s="6" t="s">
        <v>1302</v>
      </c>
      <c r="B186" s="1">
        <v>60.47</v>
      </c>
      <c r="C186" s="1">
        <v>47.98</v>
      </c>
    </row>
    <row r="187" spans="1:3" x14ac:dyDescent="0.3">
      <c r="A187" s="6" t="s">
        <v>1230</v>
      </c>
      <c r="B187" s="1">
        <v>221.74</v>
      </c>
      <c r="C187" s="1">
        <v>152.94</v>
      </c>
    </row>
    <row r="188" spans="1:3" x14ac:dyDescent="0.3">
      <c r="A188" s="6" t="s">
        <v>1934</v>
      </c>
      <c r="B188" s="1">
        <v>16.989999999999998</v>
      </c>
      <c r="C188" s="1">
        <v>16.989999999999998</v>
      </c>
    </row>
    <row r="189" spans="1:3" x14ac:dyDescent="0.3">
      <c r="A189" s="6" t="s">
        <v>1590</v>
      </c>
      <c r="B189" s="1">
        <v>160.62</v>
      </c>
      <c r="C189" s="1">
        <v>129.94999999999999</v>
      </c>
    </row>
    <row r="190" spans="1:3" x14ac:dyDescent="0.3">
      <c r="A190" s="6" t="s">
        <v>1598</v>
      </c>
      <c r="B190" s="1">
        <v>91.98</v>
      </c>
      <c r="C190" s="1">
        <v>65.98</v>
      </c>
    </row>
    <row r="191" spans="1:3" x14ac:dyDescent="0.3">
      <c r="A191" s="6" t="s">
        <v>872</v>
      </c>
      <c r="B191" s="1">
        <v>61.98</v>
      </c>
      <c r="C191" s="1">
        <v>61.98</v>
      </c>
    </row>
    <row r="192" spans="1:3" x14ac:dyDescent="0.3">
      <c r="A192" s="6" t="s">
        <v>1136</v>
      </c>
      <c r="B192" s="1">
        <v>77.97</v>
      </c>
      <c r="C192" s="1">
        <v>77.97</v>
      </c>
    </row>
    <row r="193" spans="1:3" x14ac:dyDescent="0.3">
      <c r="A193" s="6" t="s">
        <v>1086</v>
      </c>
      <c r="B193" s="1">
        <v>86.039999999999992</v>
      </c>
      <c r="C193" s="1">
        <v>71.97</v>
      </c>
    </row>
    <row r="194" spans="1:3" x14ac:dyDescent="0.3">
      <c r="A194" s="6" t="s">
        <v>1174</v>
      </c>
      <c r="B194" s="1">
        <v>93.78</v>
      </c>
      <c r="C194" s="1">
        <v>62.97</v>
      </c>
    </row>
    <row r="195" spans="1:3" x14ac:dyDescent="0.3">
      <c r="A195" s="6" t="s">
        <v>1345</v>
      </c>
      <c r="B195" s="1">
        <v>140.88</v>
      </c>
      <c r="C195" s="1">
        <v>109.96</v>
      </c>
    </row>
    <row r="196" spans="1:3" x14ac:dyDescent="0.3">
      <c r="A196" s="6" t="s">
        <v>1429</v>
      </c>
      <c r="B196" s="1">
        <v>104.91</v>
      </c>
      <c r="C196" s="1">
        <v>43.98</v>
      </c>
    </row>
    <row r="197" spans="1:3" x14ac:dyDescent="0.3">
      <c r="A197" s="6" t="s">
        <v>2124</v>
      </c>
      <c r="B197" s="1">
        <v>57.43</v>
      </c>
      <c r="C197" s="1">
        <v>44.98</v>
      </c>
    </row>
    <row r="198" spans="1:3" x14ac:dyDescent="0.3">
      <c r="A198" s="6" t="s">
        <v>1082</v>
      </c>
      <c r="B198" s="1">
        <v>76.489999999999995</v>
      </c>
      <c r="C198" s="1">
        <v>52.97</v>
      </c>
    </row>
    <row r="199" spans="1:3" x14ac:dyDescent="0.3">
      <c r="A199" s="6" t="s">
        <v>1108</v>
      </c>
      <c r="B199" s="1">
        <v>85.96</v>
      </c>
      <c r="C199" s="1">
        <v>85.96</v>
      </c>
    </row>
    <row r="200" spans="1:3" x14ac:dyDescent="0.3">
      <c r="A200" s="6" t="s">
        <v>2404</v>
      </c>
      <c r="B200" s="1">
        <v>163.07</v>
      </c>
      <c r="C200" s="1">
        <v>88.97</v>
      </c>
    </row>
    <row r="201" spans="1:3" x14ac:dyDescent="0.3">
      <c r="A201" s="6" t="s">
        <v>1194</v>
      </c>
      <c r="B201" s="1">
        <v>61.98</v>
      </c>
      <c r="C201" s="1">
        <v>61.98</v>
      </c>
    </row>
    <row r="202" spans="1:3" x14ac:dyDescent="0.3">
      <c r="A202" s="6" t="s">
        <v>2348</v>
      </c>
      <c r="B202" s="1">
        <v>150.36000000000001</v>
      </c>
      <c r="C202" s="1">
        <v>62.980000000000004</v>
      </c>
    </row>
    <row r="203" spans="1:3" x14ac:dyDescent="0.3">
      <c r="A203" s="6" t="s">
        <v>923</v>
      </c>
      <c r="B203" s="1">
        <v>232.67000000000002</v>
      </c>
      <c r="C203" s="1">
        <v>153.95000000000002</v>
      </c>
    </row>
    <row r="204" spans="1:3" x14ac:dyDescent="0.3">
      <c r="A204" s="6" t="s">
        <v>1271</v>
      </c>
      <c r="B204" s="1">
        <v>165.66</v>
      </c>
      <c r="C204" s="1">
        <v>125.94999999999999</v>
      </c>
    </row>
    <row r="205" spans="1:3" x14ac:dyDescent="0.3">
      <c r="A205" s="6" t="s">
        <v>1285</v>
      </c>
      <c r="B205" s="1">
        <v>170.32</v>
      </c>
      <c r="C205" s="1">
        <v>134.94999999999999</v>
      </c>
    </row>
    <row r="206" spans="1:3" x14ac:dyDescent="0.3">
      <c r="A206" s="6" t="s">
        <v>1881</v>
      </c>
      <c r="B206" s="1">
        <v>114.96</v>
      </c>
      <c r="C206" s="1">
        <v>114.96</v>
      </c>
    </row>
    <row r="207" spans="1:3" x14ac:dyDescent="0.3">
      <c r="A207" s="6" t="s">
        <v>327</v>
      </c>
      <c r="B207" s="1">
        <v>252.26000000000002</v>
      </c>
      <c r="C207" s="1">
        <v>239.91000000000003</v>
      </c>
    </row>
    <row r="208" spans="1:3" x14ac:dyDescent="0.3">
      <c r="A208" s="6" t="s">
        <v>84</v>
      </c>
      <c r="B208" s="1">
        <v>402.06000000000006</v>
      </c>
      <c r="C208" s="1">
        <v>253.90000000000003</v>
      </c>
    </row>
    <row r="209" spans="1:3" x14ac:dyDescent="0.3">
      <c r="A209" s="6" t="s">
        <v>577</v>
      </c>
      <c r="B209" s="1">
        <v>288.8</v>
      </c>
      <c r="C209" s="1">
        <v>214.92000000000002</v>
      </c>
    </row>
    <row r="210" spans="1:3" x14ac:dyDescent="0.3">
      <c r="A210" s="6" t="s">
        <v>628</v>
      </c>
      <c r="B210" s="1">
        <v>104.44999999999999</v>
      </c>
      <c r="C210" s="1">
        <v>71.97</v>
      </c>
    </row>
    <row r="211" spans="1:3" x14ac:dyDescent="0.3">
      <c r="A211" s="6" t="s">
        <v>117</v>
      </c>
      <c r="B211" s="1">
        <v>239.71000000000004</v>
      </c>
      <c r="C211" s="1">
        <v>172.93</v>
      </c>
    </row>
    <row r="212" spans="1:3" x14ac:dyDescent="0.3">
      <c r="A212" s="6" t="s">
        <v>260</v>
      </c>
      <c r="B212" s="1">
        <v>344.84000000000003</v>
      </c>
      <c r="C212" s="1">
        <v>246.91000000000003</v>
      </c>
    </row>
    <row r="213" spans="1:3" x14ac:dyDescent="0.3">
      <c r="A213" s="6" t="s">
        <v>536</v>
      </c>
      <c r="B213" s="1">
        <v>120.94999999999999</v>
      </c>
      <c r="C213" s="1">
        <v>120.94999999999999</v>
      </c>
    </row>
    <row r="214" spans="1:3" x14ac:dyDescent="0.3">
      <c r="A214" s="6" t="s">
        <v>200</v>
      </c>
      <c r="B214" s="1">
        <v>150.88</v>
      </c>
      <c r="C214" s="1">
        <v>136.94999999999999</v>
      </c>
    </row>
    <row r="215" spans="1:3" x14ac:dyDescent="0.3">
      <c r="A215" s="6" t="s">
        <v>246</v>
      </c>
      <c r="B215" s="1">
        <v>606.61</v>
      </c>
      <c r="C215" s="1">
        <v>361.85000000000008</v>
      </c>
    </row>
    <row r="216" spans="1:3" x14ac:dyDescent="0.3">
      <c r="A216" s="6" t="s">
        <v>109</v>
      </c>
      <c r="B216" s="1">
        <v>176.61</v>
      </c>
      <c r="C216" s="1">
        <v>117.93999999999998</v>
      </c>
    </row>
    <row r="217" spans="1:3" x14ac:dyDescent="0.3">
      <c r="A217" s="6" t="s">
        <v>192</v>
      </c>
      <c r="B217" s="1">
        <v>312.94</v>
      </c>
      <c r="C217" s="1">
        <v>193.93</v>
      </c>
    </row>
    <row r="218" spans="1:3" x14ac:dyDescent="0.3">
      <c r="A218" s="6" t="s">
        <v>274</v>
      </c>
      <c r="B218" s="1">
        <v>188.46</v>
      </c>
      <c r="C218" s="1">
        <v>135.94</v>
      </c>
    </row>
    <row r="219" spans="1:3" x14ac:dyDescent="0.3">
      <c r="A219" s="6" t="s">
        <v>74</v>
      </c>
      <c r="B219" s="1">
        <v>194.43</v>
      </c>
      <c r="C219" s="1">
        <v>163.94000000000003</v>
      </c>
    </row>
    <row r="220" spans="1:3" x14ac:dyDescent="0.3">
      <c r="A220" s="6" t="s">
        <v>1749</v>
      </c>
      <c r="B220" s="1">
        <v>175.18</v>
      </c>
      <c r="C220" s="1">
        <v>101.96</v>
      </c>
    </row>
    <row r="221" spans="1:3" x14ac:dyDescent="0.3">
      <c r="A221" s="6" t="s">
        <v>136</v>
      </c>
      <c r="B221" s="1">
        <v>187.94000000000003</v>
      </c>
      <c r="C221" s="1">
        <v>187.94000000000003</v>
      </c>
    </row>
    <row r="222" spans="1:3" x14ac:dyDescent="0.3">
      <c r="A222" s="6" t="s">
        <v>181</v>
      </c>
      <c r="B222" s="1">
        <v>416.46000000000004</v>
      </c>
      <c r="C222" s="1">
        <v>260.89000000000004</v>
      </c>
    </row>
    <row r="223" spans="1:3" x14ac:dyDescent="0.3">
      <c r="A223" s="6" t="s">
        <v>457</v>
      </c>
      <c r="B223" s="1">
        <v>348.95000000000005</v>
      </c>
      <c r="C223" s="1">
        <v>205.92000000000002</v>
      </c>
    </row>
    <row r="224" spans="1:3" x14ac:dyDescent="0.3">
      <c r="A224" s="6" t="s">
        <v>102</v>
      </c>
      <c r="B224" s="1">
        <v>324.41000000000003</v>
      </c>
      <c r="C224" s="1">
        <v>246.90000000000003</v>
      </c>
    </row>
    <row r="225" spans="1:3" x14ac:dyDescent="0.3">
      <c r="A225" s="6" t="s">
        <v>168</v>
      </c>
      <c r="B225" s="1">
        <v>385.74</v>
      </c>
      <c r="C225" s="1">
        <v>315.87000000000006</v>
      </c>
    </row>
    <row r="226" spans="1:3" x14ac:dyDescent="0.3">
      <c r="A226" s="6" t="s">
        <v>121</v>
      </c>
      <c r="B226" s="1">
        <v>376.81</v>
      </c>
      <c r="C226" s="1">
        <v>288.89000000000004</v>
      </c>
    </row>
    <row r="227" spans="1:3" x14ac:dyDescent="0.3">
      <c r="A227" s="6" t="s">
        <v>209</v>
      </c>
      <c r="B227" s="1">
        <v>100.97</v>
      </c>
      <c r="C227" s="1">
        <v>57.97</v>
      </c>
    </row>
    <row r="228" spans="1:3" x14ac:dyDescent="0.3">
      <c r="A228" s="6" t="s">
        <v>187</v>
      </c>
      <c r="B228" s="1">
        <v>353.14000000000004</v>
      </c>
      <c r="C228" s="1">
        <v>277.90000000000003</v>
      </c>
    </row>
    <row r="229" spans="1:3" x14ac:dyDescent="0.3">
      <c r="A229" s="6" t="s">
        <v>704</v>
      </c>
      <c r="B229" s="1">
        <v>195.31</v>
      </c>
      <c r="C229" s="1">
        <v>129.94999999999999</v>
      </c>
    </row>
    <row r="230" spans="1:3" x14ac:dyDescent="0.3">
      <c r="A230" s="6" t="s">
        <v>79</v>
      </c>
      <c r="B230" s="1">
        <v>343.22</v>
      </c>
      <c r="C230" s="1">
        <v>249.90000000000003</v>
      </c>
    </row>
    <row r="231" spans="1:3" x14ac:dyDescent="0.3">
      <c r="A231" s="6" t="s">
        <v>617</v>
      </c>
      <c r="B231" s="1">
        <v>49.98</v>
      </c>
      <c r="C231" s="1">
        <v>49.98</v>
      </c>
    </row>
    <row r="232" spans="1:3" x14ac:dyDescent="0.3">
      <c r="A232" s="6" t="s">
        <v>132</v>
      </c>
      <c r="B232" s="1">
        <v>93.759999999999991</v>
      </c>
      <c r="C232" s="1">
        <v>53.980000000000004</v>
      </c>
    </row>
    <row r="233" spans="1:3" x14ac:dyDescent="0.3">
      <c r="A233" s="6" t="s">
        <v>128</v>
      </c>
      <c r="B233" s="1">
        <v>146.14000000000001</v>
      </c>
      <c r="C233" s="1">
        <v>133.95000000000002</v>
      </c>
    </row>
    <row r="234" spans="1:3" x14ac:dyDescent="0.3">
      <c r="A234" s="6" t="s">
        <v>272</v>
      </c>
      <c r="B234" s="1">
        <v>378.21</v>
      </c>
      <c r="C234" s="1">
        <v>233.91000000000003</v>
      </c>
    </row>
    <row r="235" spans="1:3" x14ac:dyDescent="0.3">
      <c r="A235" s="6" t="s">
        <v>331</v>
      </c>
      <c r="B235" s="1">
        <v>144.84</v>
      </c>
      <c r="C235" s="1">
        <v>114.94999999999999</v>
      </c>
    </row>
    <row r="236" spans="1:3" x14ac:dyDescent="0.3">
      <c r="A236" s="6" t="s">
        <v>325</v>
      </c>
      <c r="B236" s="1">
        <v>451.22</v>
      </c>
      <c r="C236" s="1">
        <v>286.88000000000005</v>
      </c>
    </row>
    <row r="237" spans="1:3" x14ac:dyDescent="0.3">
      <c r="A237" s="6" t="s">
        <v>678</v>
      </c>
      <c r="B237" s="1">
        <v>84.97</v>
      </c>
      <c r="C237" s="1">
        <v>84.97</v>
      </c>
    </row>
    <row r="238" spans="1:3" x14ac:dyDescent="0.3">
      <c r="A238" s="6" t="s">
        <v>91</v>
      </c>
      <c r="B238" s="1">
        <v>229.67000000000002</v>
      </c>
      <c r="C238" s="1">
        <v>179.93000000000004</v>
      </c>
    </row>
    <row r="239" spans="1:3" x14ac:dyDescent="0.3">
      <c r="A239" s="6" t="s">
        <v>701</v>
      </c>
      <c r="B239" s="1">
        <v>49.98</v>
      </c>
      <c r="C239" s="1">
        <v>49.98</v>
      </c>
    </row>
    <row r="240" spans="1:3" x14ac:dyDescent="0.3">
      <c r="A240" s="6" t="s">
        <v>334</v>
      </c>
      <c r="B240" s="1">
        <v>391.74000000000007</v>
      </c>
      <c r="C240" s="1">
        <v>315.88000000000005</v>
      </c>
    </row>
    <row r="241" spans="1:3" x14ac:dyDescent="0.3">
      <c r="A241" s="6" t="s">
        <v>449</v>
      </c>
      <c r="B241" s="1">
        <v>66.97</v>
      </c>
      <c r="C241" s="1">
        <v>66.97</v>
      </c>
    </row>
    <row r="242" spans="1:3" x14ac:dyDescent="0.3">
      <c r="A242" s="6" t="s">
        <v>317</v>
      </c>
      <c r="B242" s="1">
        <v>182.48999999999998</v>
      </c>
      <c r="C242" s="1">
        <v>159.94</v>
      </c>
    </row>
    <row r="243" spans="1:3" x14ac:dyDescent="0.3">
      <c r="A243" s="6" t="s">
        <v>95</v>
      </c>
      <c r="B243" s="1">
        <v>154.68</v>
      </c>
      <c r="C243" s="1">
        <v>105.96000000000001</v>
      </c>
    </row>
    <row r="244" spans="1:3" x14ac:dyDescent="0.3">
      <c r="A244" s="6" t="s">
        <v>143</v>
      </c>
      <c r="B244" s="1">
        <v>194.06</v>
      </c>
      <c r="C244" s="1">
        <v>153.94</v>
      </c>
    </row>
    <row r="245" spans="1:3" x14ac:dyDescent="0.3">
      <c r="A245" s="6" t="s">
        <v>160</v>
      </c>
      <c r="B245" s="1">
        <v>292.69</v>
      </c>
      <c r="C245" s="1">
        <v>235.91000000000005</v>
      </c>
    </row>
    <row r="246" spans="1:3" x14ac:dyDescent="0.3">
      <c r="A246" s="6" t="s">
        <v>313</v>
      </c>
      <c r="B246" s="1">
        <v>268.55</v>
      </c>
      <c r="C246" s="1">
        <v>205.92000000000002</v>
      </c>
    </row>
    <row r="247" spans="1:3" x14ac:dyDescent="0.3">
      <c r="A247" s="6" t="s">
        <v>146</v>
      </c>
      <c r="B247" s="1">
        <v>362.90000000000003</v>
      </c>
      <c r="C247" s="1">
        <v>260.89000000000004</v>
      </c>
    </row>
    <row r="248" spans="1:3" x14ac:dyDescent="0.3">
      <c r="A248" s="6" t="s">
        <v>69</v>
      </c>
      <c r="B248" s="1">
        <v>402.40000000000003</v>
      </c>
      <c r="C248" s="1">
        <v>257.90000000000003</v>
      </c>
    </row>
    <row r="249" spans="1:3" x14ac:dyDescent="0.3">
      <c r="A249" s="6" t="s">
        <v>24</v>
      </c>
      <c r="B249" s="1">
        <v>319.41000000000003</v>
      </c>
      <c r="C249" s="1">
        <v>184.93</v>
      </c>
    </row>
    <row r="250" spans="1:3" x14ac:dyDescent="0.3">
      <c r="A250" s="6" t="s">
        <v>228</v>
      </c>
      <c r="B250" s="1">
        <v>300.93</v>
      </c>
      <c r="C250" s="1">
        <v>210.91000000000003</v>
      </c>
    </row>
    <row r="251" spans="1:3" x14ac:dyDescent="0.3">
      <c r="A251" s="6" t="s">
        <v>389</v>
      </c>
      <c r="B251" s="1">
        <v>225.66000000000003</v>
      </c>
      <c r="C251" s="1">
        <v>159.93</v>
      </c>
    </row>
    <row r="252" spans="1:3" x14ac:dyDescent="0.3">
      <c r="A252" s="6" t="s">
        <v>297</v>
      </c>
      <c r="B252" s="1">
        <v>160.69999999999999</v>
      </c>
      <c r="C252" s="1">
        <v>110.96000000000001</v>
      </c>
    </row>
    <row r="253" spans="1:3" x14ac:dyDescent="0.3">
      <c r="A253" s="6" t="s">
        <v>113</v>
      </c>
      <c r="B253" s="1">
        <v>543.82000000000005</v>
      </c>
      <c r="C253" s="1">
        <v>373.83000000000004</v>
      </c>
    </row>
    <row r="254" spans="1:3" x14ac:dyDescent="0.3">
      <c r="A254" s="6" t="s">
        <v>39</v>
      </c>
      <c r="B254" s="1">
        <v>127.93999999999998</v>
      </c>
      <c r="C254" s="1">
        <v>81.96</v>
      </c>
    </row>
    <row r="255" spans="1:3" x14ac:dyDescent="0.3">
      <c r="A255" s="6" t="s">
        <v>598</v>
      </c>
      <c r="B255" s="1">
        <v>271.3</v>
      </c>
      <c r="C255" s="1">
        <v>122.96</v>
      </c>
    </row>
    <row r="256" spans="1:3" x14ac:dyDescent="0.3">
      <c r="A256" s="6" t="s">
        <v>419</v>
      </c>
      <c r="B256" s="1">
        <v>256.78999999999996</v>
      </c>
      <c r="C256" s="1">
        <v>172.93</v>
      </c>
    </row>
    <row r="257" spans="1:3" x14ac:dyDescent="0.3">
      <c r="A257" s="6" t="s">
        <v>338</v>
      </c>
      <c r="B257" s="1">
        <v>240.61</v>
      </c>
      <c r="C257" s="1">
        <v>177.93000000000004</v>
      </c>
    </row>
    <row r="258" spans="1:3" x14ac:dyDescent="0.3">
      <c r="A258" s="6" t="s">
        <v>447</v>
      </c>
      <c r="B258" s="1">
        <v>230.55</v>
      </c>
      <c r="C258" s="1">
        <v>156.95000000000002</v>
      </c>
    </row>
    <row r="259" spans="1:3" x14ac:dyDescent="0.3">
      <c r="A259" s="6" t="s">
        <v>107</v>
      </c>
      <c r="B259" s="1">
        <v>376.24000000000007</v>
      </c>
      <c r="C259" s="1">
        <v>308.87000000000006</v>
      </c>
    </row>
    <row r="260" spans="1:3" x14ac:dyDescent="0.3">
      <c r="A260" s="6" t="s">
        <v>175</v>
      </c>
      <c r="B260" s="1">
        <v>133.94999999999999</v>
      </c>
      <c r="C260" s="1">
        <v>133.94999999999999</v>
      </c>
    </row>
    <row r="261" spans="1:3" x14ac:dyDescent="0.3">
      <c r="A261" s="6" t="s">
        <v>393</v>
      </c>
      <c r="B261" s="1">
        <v>147.94</v>
      </c>
      <c r="C261" s="1">
        <v>147.94</v>
      </c>
    </row>
    <row r="262" spans="1:3" x14ac:dyDescent="0.3">
      <c r="A262" s="6" t="s">
        <v>57</v>
      </c>
      <c r="B262" s="1">
        <v>287.15000000000003</v>
      </c>
      <c r="C262" s="1">
        <v>215.91000000000003</v>
      </c>
    </row>
    <row r="263" spans="1:3" x14ac:dyDescent="0.3">
      <c r="A263" s="6" t="s">
        <v>452</v>
      </c>
      <c r="B263" s="1">
        <v>145.93</v>
      </c>
      <c r="C263" s="1">
        <v>119.93999999999998</v>
      </c>
    </row>
    <row r="264" spans="1:3" x14ac:dyDescent="0.3">
      <c r="A264" s="6" t="s">
        <v>185</v>
      </c>
      <c r="B264" s="1">
        <v>151.75</v>
      </c>
      <c r="C264" s="1">
        <v>124.93999999999998</v>
      </c>
    </row>
    <row r="265" spans="1:3" x14ac:dyDescent="0.3">
      <c r="A265" s="6" t="s">
        <v>288</v>
      </c>
      <c r="B265" s="1">
        <v>100.41999999999999</v>
      </c>
      <c r="C265" s="1">
        <v>61.97</v>
      </c>
    </row>
    <row r="266" spans="1:3" x14ac:dyDescent="0.3">
      <c r="A266" s="6" t="s">
        <v>50</v>
      </c>
      <c r="B266" s="1">
        <v>149.95000000000002</v>
      </c>
      <c r="C266" s="1">
        <v>149.95000000000002</v>
      </c>
    </row>
    <row r="267" spans="1:3" x14ac:dyDescent="0.3">
      <c r="A267" s="6" t="s">
        <v>248</v>
      </c>
      <c r="B267" s="1">
        <v>242.66000000000005</v>
      </c>
      <c r="C267" s="1">
        <v>186.93</v>
      </c>
    </row>
    <row r="268" spans="1:3" x14ac:dyDescent="0.3">
      <c r="A268" s="6" t="s">
        <v>445</v>
      </c>
      <c r="B268" s="1">
        <v>237.31</v>
      </c>
      <c r="C268" s="1">
        <v>178.92000000000002</v>
      </c>
    </row>
    <row r="269" spans="1:3" x14ac:dyDescent="0.3">
      <c r="A269" s="6" t="s">
        <v>493</v>
      </c>
      <c r="B269" s="1">
        <v>212.10000000000002</v>
      </c>
      <c r="C269" s="1">
        <v>122.94999999999999</v>
      </c>
    </row>
    <row r="270" spans="1:3" x14ac:dyDescent="0.3">
      <c r="A270" s="6" t="s">
        <v>202</v>
      </c>
      <c r="B270" s="1">
        <v>240.94</v>
      </c>
      <c r="C270" s="1">
        <v>196.91000000000003</v>
      </c>
    </row>
    <row r="271" spans="1:3" x14ac:dyDescent="0.3">
      <c r="A271" s="6" t="s">
        <v>252</v>
      </c>
      <c r="B271" s="1">
        <v>411.77000000000004</v>
      </c>
      <c r="C271" s="1">
        <v>336.88000000000005</v>
      </c>
    </row>
    <row r="272" spans="1:3" x14ac:dyDescent="0.3">
      <c r="A272" s="6" t="s">
        <v>224</v>
      </c>
      <c r="B272" s="1">
        <v>315.67000000000007</v>
      </c>
      <c r="C272" s="1">
        <v>249.90000000000003</v>
      </c>
    </row>
    <row r="273" spans="1:3" x14ac:dyDescent="0.3">
      <c r="A273" s="6" t="s">
        <v>214</v>
      </c>
      <c r="B273" s="1">
        <v>208.56</v>
      </c>
      <c r="C273" s="1">
        <v>161.93</v>
      </c>
    </row>
    <row r="274" spans="1:3" x14ac:dyDescent="0.3">
      <c r="A274" s="6" t="s">
        <v>382</v>
      </c>
      <c r="B274" s="1">
        <v>104.96</v>
      </c>
      <c r="C274" s="1">
        <v>104.96</v>
      </c>
    </row>
    <row r="275" spans="1:3" x14ac:dyDescent="0.3">
      <c r="A275" s="6" t="s">
        <v>244</v>
      </c>
      <c r="B275" s="1">
        <v>190.83</v>
      </c>
      <c r="C275" s="1">
        <v>151.94</v>
      </c>
    </row>
    <row r="276" spans="1:3" x14ac:dyDescent="0.3">
      <c r="A276" s="6" t="s">
        <v>348</v>
      </c>
      <c r="B276" s="1">
        <v>351.81</v>
      </c>
      <c r="C276" s="1">
        <v>265.89000000000004</v>
      </c>
    </row>
    <row r="277" spans="1:3" x14ac:dyDescent="0.3">
      <c r="A277" s="6" t="s">
        <v>156</v>
      </c>
      <c r="B277" s="1">
        <v>155.69999999999999</v>
      </c>
      <c r="C277" s="1">
        <v>105.96000000000001</v>
      </c>
    </row>
    <row r="278" spans="1:3" x14ac:dyDescent="0.3">
      <c r="A278" s="6" t="s">
        <v>197</v>
      </c>
      <c r="B278" s="1">
        <v>69.97</v>
      </c>
      <c r="C278" s="1">
        <v>69.97</v>
      </c>
    </row>
    <row r="279" spans="1:3" x14ac:dyDescent="0.3">
      <c r="A279" s="6" t="s">
        <v>222</v>
      </c>
      <c r="B279" s="1">
        <v>284.76</v>
      </c>
      <c r="C279" s="1">
        <v>235.91000000000003</v>
      </c>
    </row>
    <row r="280" spans="1:3" x14ac:dyDescent="0.3">
      <c r="A280" s="6" t="s">
        <v>561</v>
      </c>
      <c r="B280" s="1">
        <v>144.95000000000002</v>
      </c>
      <c r="C280" s="1">
        <v>144.95000000000002</v>
      </c>
    </row>
    <row r="281" spans="1:3" x14ac:dyDescent="0.3">
      <c r="A281" s="6" t="s">
        <v>1111</v>
      </c>
      <c r="B281" s="1">
        <v>173.84000000000003</v>
      </c>
      <c r="C281" s="1">
        <v>120.94999999999999</v>
      </c>
    </row>
    <row r="282" spans="1:3" x14ac:dyDescent="0.3">
      <c r="A282" s="6" t="s">
        <v>900</v>
      </c>
      <c r="B282" s="1">
        <v>177.71</v>
      </c>
      <c r="C282" s="1">
        <v>107.94999999999999</v>
      </c>
    </row>
    <row r="283" spans="1:3" x14ac:dyDescent="0.3">
      <c r="A283" s="6" t="s">
        <v>2463</v>
      </c>
      <c r="B283" s="1">
        <v>34.99</v>
      </c>
      <c r="C283" s="1">
        <v>34.99</v>
      </c>
    </row>
    <row r="284" spans="1:3" x14ac:dyDescent="0.3">
      <c r="A284" s="6" t="s">
        <v>2412</v>
      </c>
      <c r="B284" s="1">
        <v>18.989999999999998</v>
      </c>
      <c r="C284" s="1">
        <v>18.989999999999998</v>
      </c>
    </row>
    <row r="285" spans="1:3" x14ac:dyDescent="0.3">
      <c r="A285" s="6" t="s">
        <v>2359</v>
      </c>
      <c r="B285" s="1">
        <v>27.99</v>
      </c>
      <c r="C285" s="1">
        <v>27.99</v>
      </c>
    </row>
    <row r="286" spans="1:3" x14ac:dyDescent="0.3">
      <c r="A286" s="6" t="s">
        <v>1461</v>
      </c>
      <c r="B286" s="1">
        <v>126.15999999999998</v>
      </c>
      <c r="C286" s="1">
        <v>77.959999999999994</v>
      </c>
    </row>
    <row r="287" spans="1:3" x14ac:dyDescent="0.3">
      <c r="A287" s="6" t="s">
        <v>2470</v>
      </c>
      <c r="B287" s="1">
        <v>16.989999999999998</v>
      </c>
      <c r="C287" s="1">
        <v>16.989999999999998</v>
      </c>
    </row>
    <row r="288" spans="1:3" x14ac:dyDescent="0.3">
      <c r="A288" s="6" t="s">
        <v>954</v>
      </c>
      <c r="B288" s="1">
        <v>185.16000000000003</v>
      </c>
      <c r="C288" s="1">
        <v>135.94999999999999</v>
      </c>
    </row>
    <row r="289" spans="1:3" x14ac:dyDescent="0.3">
      <c r="A289" s="6" t="s">
        <v>1289</v>
      </c>
      <c r="B289" s="1">
        <v>126.99</v>
      </c>
      <c r="C289" s="1">
        <v>100.97</v>
      </c>
    </row>
    <row r="290" spans="1:3" x14ac:dyDescent="0.3">
      <c r="A290" s="6" t="s">
        <v>1764</v>
      </c>
      <c r="B290" s="1">
        <v>32.880000000000003</v>
      </c>
      <c r="C290" s="1">
        <v>18.989999999999998</v>
      </c>
    </row>
    <row r="291" spans="1:3" x14ac:dyDescent="0.3">
      <c r="A291" s="6" t="s">
        <v>1127</v>
      </c>
      <c r="B291" s="1">
        <v>16.989999999999998</v>
      </c>
      <c r="C291" s="1">
        <v>16.989999999999998</v>
      </c>
    </row>
    <row r="292" spans="1:3" x14ac:dyDescent="0.3">
      <c r="A292" s="6" t="s">
        <v>810</v>
      </c>
      <c r="B292" s="1">
        <v>58.98</v>
      </c>
      <c r="C292" s="1">
        <v>58.98</v>
      </c>
    </row>
    <row r="293" spans="1:3" x14ac:dyDescent="0.3">
      <c r="A293" s="6" t="s">
        <v>1509</v>
      </c>
      <c r="B293" s="1">
        <v>145.44</v>
      </c>
      <c r="C293" s="1">
        <v>97.97</v>
      </c>
    </row>
    <row r="294" spans="1:3" x14ac:dyDescent="0.3">
      <c r="A294" s="6" t="s">
        <v>933</v>
      </c>
      <c r="B294" s="1">
        <v>191.97000000000003</v>
      </c>
      <c r="C294" s="1">
        <v>105.96000000000001</v>
      </c>
    </row>
    <row r="295" spans="1:3" x14ac:dyDescent="0.3">
      <c r="A295" s="6" t="s">
        <v>1122</v>
      </c>
      <c r="B295" s="1">
        <v>260.20999999999998</v>
      </c>
      <c r="C295" s="1">
        <v>171.94000000000003</v>
      </c>
    </row>
    <row r="296" spans="1:3" x14ac:dyDescent="0.3">
      <c r="A296" s="6" t="s">
        <v>2167</v>
      </c>
      <c r="B296" s="1">
        <v>44.98</v>
      </c>
      <c r="C296" s="1">
        <v>44.98</v>
      </c>
    </row>
    <row r="297" spans="1:3" x14ac:dyDescent="0.3">
      <c r="A297" s="6" t="s">
        <v>2082</v>
      </c>
      <c r="B297" s="1">
        <v>159.66999999999999</v>
      </c>
      <c r="C297" s="1">
        <v>99.96</v>
      </c>
    </row>
    <row r="298" spans="1:3" x14ac:dyDescent="0.3">
      <c r="A298" s="6" t="s">
        <v>1548</v>
      </c>
      <c r="B298" s="1">
        <v>152.88</v>
      </c>
      <c r="C298" s="1">
        <v>101.94999999999999</v>
      </c>
    </row>
    <row r="299" spans="1:3" x14ac:dyDescent="0.3">
      <c r="A299" s="6" t="s">
        <v>2356</v>
      </c>
      <c r="B299" s="1">
        <v>34.99</v>
      </c>
      <c r="C299" s="1">
        <v>34.99</v>
      </c>
    </row>
    <row r="300" spans="1:3" x14ac:dyDescent="0.3">
      <c r="A300" s="6" t="s">
        <v>2133</v>
      </c>
      <c r="B300" s="1">
        <v>88.01</v>
      </c>
      <c r="C300" s="1">
        <v>65.98</v>
      </c>
    </row>
    <row r="301" spans="1:3" x14ac:dyDescent="0.3">
      <c r="A301" s="6" t="s">
        <v>1446</v>
      </c>
      <c r="B301" s="1">
        <v>121.83000000000001</v>
      </c>
      <c r="C301" s="1">
        <v>74.97</v>
      </c>
    </row>
    <row r="302" spans="1:3" x14ac:dyDescent="0.3">
      <c r="A302" s="6" t="s">
        <v>856</v>
      </c>
      <c r="B302" s="1">
        <v>58.98</v>
      </c>
      <c r="C302" s="1">
        <v>58.98</v>
      </c>
    </row>
    <row r="303" spans="1:3" x14ac:dyDescent="0.3">
      <c r="A303" s="6" t="s">
        <v>968</v>
      </c>
      <c r="B303" s="1">
        <v>46.98</v>
      </c>
      <c r="C303" s="1">
        <v>46.98</v>
      </c>
    </row>
    <row r="304" spans="1:3" x14ac:dyDescent="0.3">
      <c r="A304" s="6" t="s">
        <v>1752</v>
      </c>
      <c r="B304" s="1">
        <v>18.989999999999998</v>
      </c>
      <c r="C304" s="1">
        <v>18.989999999999998</v>
      </c>
    </row>
    <row r="305" spans="1:3" x14ac:dyDescent="0.3">
      <c r="A305" s="6" t="s">
        <v>2456</v>
      </c>
      <c r="B305" s="1">
        <v>68</v>
      </c>
      <c r="C305" s="1">
        <v>27.99</v>
      </c>
    </row>
    <row r="306" spans="1:3" x14ac:dyDescent="0.3">
      <c r="A306" s="6" t="s">
        <v>2267</v>
      </c>
      <c r="B306" s="1">
        <v>16.989999999999998</v>
      </c>
      <c r="C306" s="1">
        <v>16.989999999999998</v>
      </c>
    </row>
    <row r="307" spans="1:3" x14ac:dyDescent="0.3">
      <c r="A307" s="6" t="s">
        <v>1968</v>
      </c>
      <c r="B307" s="1">
        <v>86.73</v>
      </c>
      <c r="C307" s="1">
        <v>72.97</v>
      </c>
    </row>
    <row r="308" spans="1:3" x14ac:dyDescent="0.3">
      <c r="A308" s="6" t="s">
        <v>1572</v>
      </c>
      <c r="B308" s="1">
        <v>76.5</v>
      </c>
      <c r="C308" s="1">
        <v>49.98</v>
      </c>
    </row>
    <row r="309" spans="1:3" x14ac:dyDescent="0.3">
      <c r="A309" s="6" t="s">
        <v>1648</v>
      </c>
      <c r="B309" s="1">
        <v>171.73000000000002</v>
      </c>
      <c r="C309" s="1">
        <v>145.95000000000002</v>
      </c>
    </row>
    <row r="310" spans="1:3" x14ac:dyDescent="0.3">
      <c r="A310" s="6" t="s">
        <v>1930</v>
      </c>
      <c r="B310" s="1">
        <v>79.33</v>
      </c>
      <c r="C310" s="1">
        <v>53.980000000000004</v>
      </c>
    </row>
    <row r="311" spans="1:3" x14ac:dyDescent="0.3">
      <c r="A311" s="6" t="s">
        <v>858</v>
      </c>
      <c r="B311" s="1">
        <v>60.819999999999993</v>
      </c>
      <c r="C311" s="1">
        <v>46.98</v>
      </c>
    </row>
    <row r="312" spans="1:3" x14ac:dyDescent="0.3">
      <c r="A312" s="6" t="s">
        <v>775</v>
      </c>
      <c r="B312" s="1">
        <v>92.96</v>
      </c>
      <c r="C312" s="1">
        <v>92.96</v>
      </c>
    </row>
    <row r="313" spans="1:3" x14ac:dyDescent="0.3">
      <c r="A313" s="6" t="s">
        <v>782</v>
      </c>
      <c r="B313" s="1">
        <v>138.48000000000002</v>
      </c>
      <c r="C313" s="1">
        <v>98.96</v>
      </c>
    </row>
    <row r="314" spans="1:3" x14ac:dyDescent="0.3">
      <c r="A314" s="6" t="s">
        <v>1100</v>
      </c>
      <c r="B314" s="1">
        <v>123.94999999999999</v>
      </c>
      <c r="C314" s="1">
        <v>123.94999999999999</v>
      </c>
    </row>
    <row r="315" spans="1:3" x14ac:dyDescent="0.3">
      <c r="A315" s="6" t="s">
        <v>883</v>
      </c>
      <c r="B315" s="1">
        <v>21.99</v>
      </c>
      <c r="C315" s="1">
        <v>21.99</v>
      </c>
    </row>
    <row r="316" spans="1:3" x14ac:dyDescent="0.3">
      <c r="A316" s="6" t="s">
        <v>1281</v>
      </c>
      <c r="B316" s="1">
        <v>100.96</v>
      </c>
      <c r="C316" s="1">
        <v>100.96</v>
      </c>
    </row>
    <row r="317" spans="1:3" x14ac:dyDescent="0.3">
      <c r="A317" s="6" t="s">
        <v>1061</v>
      </c>
      <c r="B317" s="1">
        <v>67.69</v>
      </c>
      <c r="C317" s="1">
        <v>40.98</v>
      </c>
    </row>
    <row r="318" spans="1:3" x14ac:dyDescent="0.3">
      <c r="A318" s="6" t="s">
        <v>1760</v>
      </c>
      <c r="B318" s="1">
        <v>52.98</v>
      </c>
      <c r="C318" s="1">
        <v>52.98</v>
      </c>
    </row>
    <row r="319" spans="1:3" x14ac:dyDescent="0.3">
      <c r="A319" s="6" t="s">
        <v>735</v>
      </c>
      <c r="B319" s="1">
        <v>65.98</v>
      </c>
      <c r="C319" s="1">
        <v>65.98</v>
      </c>
    </row>
    <row r="320" spans="1:3" x14ac:dyDescent="0.3">
      <c r="A320" s="6" t="s">
        <v>2070</v>
      </c>
      <c r="B320" s="1">
        <v>65.28</v>
      </c>
      <c r="C320" s="1">
        <v>52.97</v>
      </c>
    </row>
    <row r="321" spans="1:3" x14ac:dyDescent="0.3">
      <c r="A321" s="6" t="s">
        <v>908</v>
      </c>
      <c r="B321" s="1">
        <v>55.97</v>
      </c>
      <c r="C321" s="1">
        <v>55.97</v>
      </c>
    </row>
    <row r="322" spans="1:3" x14ac:dyDescent="0.3">
      <c r="A322" s="6" t="s">
        <v>1411</v>
      </c>
      <c r="B322" s="1">
        <v>110.94999999999999</v>
      </c>
      <c r="C322" s="1">
        <v>84.96</v>
      </c>
    </row>
    <row r="323" spans="1:3" x14ac:dyDescent="0.3">
      <c r="A323" s="6" t="s">
        <v>2567</v>
      </c>
      <c r="B323" s="1">
        <v>34.99</v>
      </c>
      <c r="C323" s="1">
        <v>34.99</v>
      </c>
    </row>
    <row r="324" spans="1:3" x14ac:dyDescent="0.3">
      <c r="A324" s="6" t="s">
        <v>1652</v>
      </c>
      <c r="B324" s="1">
        <v>111.76999999999998</v>
      </c>
      <c r="C324" s="1">
        <v>84.96</v>
      </c>
    </row>
    <row r="325" spans="1:3" x14ac:dyDescent="0.3">
      <c r="A325" s="6" t="s">
        <v>1738</v>
      </c>
      <c r="B325" s="1">
        <v>66.97</v>
      </c>
      <c r="C325" s="1">
        <v>66.97</v>
      </c>
    </row>
    <row r="326" spans="1:3" x14ac:dyDescent="0.3">
      <c r="A326" s="6" t="s">
        <v>2093</v>
      </c>
      <c r="B326" s="1">
        <v>85.22999999999999</v>
      </c>
      <c r="C326" s="1">
        <v>46.98</v>
      </c>
    </row>
    <row r="327" spans="1:3" x14ac:dyDescent="0.3">
      <c r="A327" s="6" t="s">
        <v>2534</v>
      </c>
      <c r="B327" s="1">
        <v>58.98</v>
      </c>
      <c r="C327" s="1">
        <v>58.98</v>
      </c>
    </row>
    <row r="328" spans="1:3" x14ac:dyDescent="0.3">
      <c r="A328" s="6" t="s">
        <v>1596</v>
      </c>
      <c r="B328" s="1">
        <v>122.57000000000001</v>
      </c>
      <c r="C328" s="1">
        <v>85.96</v>
      </c>
    </row>
    <row r="329" spans="1:3" x14ac:dyDescent="0.3">
      <c r="A329" s="6" t="s">
        <v>1424</v>
      </c>
      <c r="B329" s="1">
        <v>46.98</v>
      </c>
      <c r="C329" s="1">
        <v>46.98</v>
      </c>
    </row>
    <row r="330" spans="1:3" x14ac:dyDescent="0.3">
      <c r="A330" s="6" t="s">
        <v>1965</v>
      </c>
      <c r="B330" s="1">
        <v>68.97</v>
      </c>
      <c r="C330" s="1">
        <v>68.97</v>
      </c>
    </row>
    <row r="331" spans="1:3" x14ac:dyDescent="0.3">
      <c r="A331" s="6" t="s">
        <v>989</v>
      </c>
      <c r="B331" s="1">
        <v>236.83000000000004</v>
      </c>
      <c r="C331" s="1">
        <v>211.93000000000004</v>
      </c>
    </row>
    <row r="332" spans="1:3" x14ac:dyDescent="0.3">
      <c r="A332" s="6" t="s">
        <v>1040</v>
      </c>
      <c r="B332" s="1">
        <v>18.989999999999998</v>
      </c>
      <c r="C332" s="1">
        <v>18.989999999999998</v>
      </c>
    </row>
    <row r="333" spans="1:3" x14ac:dyDescent="0.3">
      <c r="A333" s="6" t="s">
        <v>2240</v>
      </c>
      <c r="B333" s="1">
        <v>67.679999999999993</v>
      </c>
      <c r="C333" s="1">
        <v>40.98</v>
      </c>
    </row>
    <row r="334" spans="1:3" x14ac:dyDescent="0.3">
      <c r="A334" s="6" t="s">
        <v>1055</v>
      </c>
      <c r="B334" s="1">
        <v>90.179999999999993</v>
      </c>
      <c r="C334" s="1">
        <v>75.97</v>
      </c>
    </row>
    <row r="335" spans="1:3" x14ac:dyDescent="0.3">
      <c r="A335" s="6" t="s">
        <v>1397</v>
      </c>
      <c r="B335" s="1">
        <v>81.97</v>
      </c>
      <c r="C335" s="1">
        <v>81.97</v>
      </c>
    </row>
    <row r="336" spans="1:3" x14ac:dyDescent="0.3">
      <c r="A336" s="6" t="s">
        <v>1733</v>
      </c>
      <c r="B336" s="1">
        <v>87.949999999999989</v>
      </c>
      <c r="C336" s="1">
        <v>49.98</v>
      </c>
    </row>
    <row r="337" spans="1:3" x14ac:dyDescent="0.3">
      <c r="A337" s="6" t="s">
        <v>1574</v>
      </c>
      <c r="B337" s="1">
        <v>65.16</v>
      </c>
      <c r="C337" s="1">
        <v>52.97</v>
      </c>
    </row>
    <row r="338" spans="1:3" x14ac:dyDescent="0.3">
      <c r="A338" s="6" t="s">
        <v>1452</v>
      </c>
      <c r="B338" s="1">
        <v>40.98</v>
      </c>
      <c r="C338" s="1">
        <v>40.98</v>
      </c>
    </row>
    <row r="339" spans="1:3" x14ac:dyDescent="0.3">
      <c r="A339" s="6" t="s">
        <v>2419</v>
      </c>
      <c r="B339" s="1">
        <v>21.99</v>
      </c>
      <c r="C339" s="1">
        <v>21.99</v>
      </c>
    </row>
    <row r="340" spans="1:3" x14ac:dyDescent="0.3">
      <c r="A340" s="6" t="s">
        <v>1335</v>
      </c>
      <c r="B340" s="1">
        <v>18.989999999999998</v>
      </c>
      <c r="C340" s="1">
        <v>18.989999999999998</v>
      </c>
    </row>
    <row r="341" spans="1:3" x14ac:dyDescent="0.3">
      <c r="A341" s="6" t="s">
        <v>1626</v>
      </c>
      <c r="B341" s="1">
        <v>146.11000000000001</v>
      </c>
      <c r="C341" s="1">
        <v>86.97</v>
      </c>
    </row>
    <row r="342" spans="1:3" x14ac:dyDescent="0.3">
      <c r="A342" s="6" t="s">
        <v>1562</v>
      </c>
      <c r="B342" s="1">
        <v>76.179999999999993</v>
      </c>
      <c r="C342" s="1">
        <v>49.98</v>
      </c>
    </row>
    <row r="343" spans="1:3" x14ac:dyDescent="0.3">
      <c r="A343" s="6" t="s">
        <v>807</v>
      </c>
      <c r="B343" s="1">
        <v>145.97999999999999</v>
      </c>
      <c r="C343" s="1">
        <v>96.97</v>
      </c>
    </row>
    <row r="344" spans="1:3" x14ac:dyDescent="0.3">
      <c r="A344" s="6" t="s">
        <v>1608</v>
      </c>
      <c r="B344" s="1">
        <v>27.99</v>
      </c>
      <c r="C344" s="1">
        <v>27.99</v>
      </c>
    </row>
    <row r="345" spans="1:3" x14ac:dyDescent="0.3">
      <c r="A345" s="6" t="s">
        <v>2548</v>
      </c>
      <c r="B345" s="1">
        <v>30.99</v>
      </c>
      <c r="C345" s="1">
        <v>30.99</v>
      </c>
    </row>
    <row r="346" spans="1:3" x14ac:dyDescent="0.3">
      <c r="A346" s="6" t="s">
        <v>1592</v>
      </c>
      <c r="B346" s="1">
        <v>213.84000000000003</v>
      </c>
      <c r="C346" s="1">
        <v>121.94999999999999</v>
      </c>
    </row>
    <row r="347" spans="1:3" x14ac:dyDescent="0.3">
      <c r="A347" s="6" t="s">
        <v>1698</v>
      </c>
      <c r="B347" s="1">
        <v>27.99</v>
      </c>
      <c r="C347" s="1">
        <v>27.99</v>
      </c>
    </row>
    <row r="348" spans="1:3" x14ac:dyDescent="0.3">
      <c r="A348" s="6" t="s">
        <v>1936</v>
      </c>
      <c r="B348" s="1">
        <v>72.91</v>
      </c>
      <c r="C348" s="1">
        <v>46.98</v>
      </c>
    </row>
    <row r="349" spans="1:3" x14ac:dyDescent="0.3">
      <c r="A349" s="6" t="s">
        <v>2104</v>
      </c>
      <c r="B349" s="1">
        <v>34.99</v>
      </c>
      <c r="C349" s="1">
        <v>34.99</v>
      </c>
    </row>
    <row r="350" spans="1:3" x14ac:dyDescent="0.3">
      <c r="A350" s="6" t="s">
        <v>824</v>
      </c>
      <c r="B350" s="1">
        <v>140.85999999999999</v>
      </c>
      <c r="C350" s="1">
        <v>91.97</v>
      </c>
    </row>
    <row r="351" spans="1:3" x14ac:dyDescent="0.3">
      <c r="A351" s="6" t="s">
        <v>1161</v>
      </c>
      <c r="B351" s="1">
        <v>57.97</v>
      </c>
      <c r="C351" s="1">
        <v>57.97</v>
      </c>
    </row>
    <row r="352" spans="1:3" x14ac:dyDescent="0.3">
      <c r="A352" s="6" t="s">
        <v>845</v>
      </c>
      <c r="B352" s="1">
        <v>48.54</v>
      </c>
      <c r="C352" s="1">
        <v>27.99</v>
      </c>
    </row>
    <row r="353" spans="1:3" x14ac:dyDescent="0.3">
      <c r="A353" s="6" t="s">
        <v>813</v>
      </c>
      <c r="B353" s="1">
        <v>104.14000000000001</v>
      </c>
      <c r="C353" s="1">
        <v>89.960000000000008</v>
      </c>
    </row>
    <row r="354" spans="1:3" x14ac:dyDescent="0.3">
      <c r="A354" s="6" t="s">
        <v>2048</v>
      </c>
      <c r="B354" s="1">
        <v>84.740000000000009</v>
      </c>
      <c r="C354" s="1">
        <v>70.97</v>
      </c>
    </row>
    <row r="355" spans="1:3" x14ac:dyDescent="0.3">
      <c r="A355" s="6" t="s">
        <v>2486</v>
      </c>
      <c r="B355" s="1">
        <v>18.989999999999998</v>
      </c>
      <c r="C355" s="1">
        <v>18.989999999999998</v>
      </c>
    </row>
    <row r="356" spans="1:3" x14ac:dyDescent="0.3">
      <c r="A356" s="6" t="s">
        <v>2181</v>
      </c>
      <c r="B356" s="1">
        <v>101.80999999999999</v>
      </c>
      <c r="C356" s="1">
        <v>53.980000000000004</v>
      </c>
    </row>
    <row r="357" spans="1:3" x14ac:dyDescent="0.3">
      <c r="A357" s="6" t="s">
        <v>1570</v>
      </c>
      <c r="B357" s="1">
        <v>137.19</v>
      </c>
      <c r="C357" s="1">
        <v>88.96</v>
      </c>
    </row>
    <row r="358" spans="1:3" x14ac:dyDescent="0.3">
      <c r="A358" s="6" t="s">
        <v>827</v>
      </c>
      <c r="B358" s="1">
        <v>53.980000000000004</v>
      </c>
      <c r="C358" s="1">
        <v>53.980000000000004</v>
      </c>
    </row>
    <row r="359" spans="1:3" x14ac:dyDescent="0.3">
      <c r="A359" s="6" t="s">
        <v>822</v>
      </c>
      <c r="B359" s="1">
        <v>128.81</v>
      </c>
      <c r="C359" s="1">
        <v>84.97</v>
      </c>
    </row>
    <row r="360" spans="1:3" x14ac:dyDescent="0.3">
      <c r="A360" s="6" t="s">
        <v>1379</v>
      </c>
      <c r="B360" s="1">
        <v>190.68000000000004</v>
      </c>
      <c r="C360" s="1">
        <v>141.94999999999999</v>
      </c>
    </row>
    <row r="361" spans="1:3" x14ac:dyDescent="0.3">
      <c r="A361" s="6" t="s">
        <v>1156</v>
      </c>
      <c r="B361" s="1">
        <v>325.51</v>
      </c>
      <c r="C361" s="1">
        <v>175.93</v>
      </c>
    </row>
    <row r="362" spans="1:3" x14ac:dyDescent="0.3">
      <c r="A362" s="6" t="s">
        <v>731</v>
      </c>
      <c r="B362" s="1">
        <v>237.65</v>
      </c>
      <c r="C362" s="1">
        <v>168.94</v>
      </c>
    </row>
    <row r="363" spans="1:3" x14ac:dyDescent="0.3">
      <c r="A363" s="6" t="s">
        <v>1064</v>
      </c>
      <c r="B363" s="1">
        <v>108.33</v>
      </c>
      <c r="C363" s="1">
        <v>79.959999999999994</v>
      </c>
    </row>
    <row r="364" spans="1:3" x14ac:dyDescent="0.3">
      <c r="A364" s="6" t="s">
        <v>946</v>
      </c>
      <c r="B364" s="1">
        <v>243.13</v>
      </c>
      <c r="C364" s="1">
        <v>133.95000000000002</v>
      </c>
    </row>
    <row r="365" spans="1:3" x14ac:dyDescent="0.3">
      <c r="A365" s="6" t="s">
        <v>2151</v>
      </c>
      <c r="B365" s="1">
        <v>106.2</v>
      </c>
      <c r="C365" s="1">
        <v>82.97</v>
      </c>
    </row>
    <row r="366" spans="1:3" x14ac:dyDescent="0.3">
      <c r="A366" s="6" t="s">
        <v>950</v>
      </c>
      <c r="B366" s="1">
        <v>133.31</v>
      </c>
      <c r="C366" s="1">
        <v>89.97</v>
      </c>
    </row>
    <row r="367" spans="1:3" x14ac:dyDescent="0.3">
      <c r="A367" s="6" t="s">
        <v>1249</v>
      </c>
      <c r="B367" s="1">
        <v>29.3</v>
      </c>
      <c r="C367" s="1">
        <v>16.989999999999998</v>
      </c>
    </row>
    <row r="368" spans="1:3" x14ac:dyDescent="0.3">
      <c r="A368" s="6" t="s">
        <v>2156</v>
      </c>
      <c r="B368" s="1">
        <v>132.44999999999999</v>
      </c>
      <c r="C368" s="1">
        <v>89.97</v>
      </c>
    </row>
    <row r="369" spans="1:3" x14ac:dyDescent="0.3">
      <c r="A369" s="6" t="s">
        <v>1375</v>
      </c>
      <c r="B369" s="1">
        <v>84.97</v>
      </c>
      <c r="C369" s="1">
        <v>84.97</v>
      </c>
    </row>
    <row r="370" spans="1:3" x14ac:dyDescent="0.3">
      <c r="A370" s="6" t="s">
        <v>2169</v>
      </c>
      <c r="B370" s="1">
        <v>69.98</v>
      </c>
      <c r="C370" s="1">
        <v>69.98</v>
      </c>
    </row>
    <row r="371" spans="1:3" x14ac:dyDescent="0.3">
      <c r="A371" s="6" t="s">
        <v>756</v>
      </c>
      <c r="B371" s="1">
        <v>123.88999999999999</v>
      </c>
      <c r="C371" s="1">
        <v>80.97</v>
      </c>
    </row>
    <row r="372" spans="1:3" x14ac:dyDescent="0.3">
      <c r="A372" s="6" t="s">
        <v>1143</v>
      </c>
      <c r="B372" s="1">
        <v>34.99</v>
      </c>
      <c r="C372" s="1">
        <v>34.99</v>
      </c>
    </row>
    <row r="373" spans="1:3" x14ac:dyDescent="0.3">
      <c r="A373" s="6" t="s">
        <v>796</v>
      </c>
      <c r="B373" s="1">
        <v>178.22000000000003</v>
      </c>
      <c r="C373" s="1">
        <v>152.95000000000002</v>
      </c>
    </row>
    <row r="374" spans="1:3" x14ac:dyDescent="0.3">
      <c r="A374" s="6" t="s">
        <v>1393</v>
      </c>
      <c r="B374" s="1">
        <v>58.98</v>
      </c>
      <c r="C374" s="1">
        <v>58.98</v>
      </c>
    </row>
    <row r="375" spans="1:3" x14ac:dyDescent="0.3">
      <c r="A375" s="6" t="s">
        <v>2508</v>
      </c>
      <c r="B375" s="1">
        <v>74.59</v>
      </c>
      <c r="C375" s="1">
        <v>30.99</v>
      </c>
    </row>
    <row r="376" spans="1:3" x14ac:dyDescent="0.3">
      <c r="A376" s="6" t="s">
        <v>1047</v>
      </c>
      <c r="B376" s="1">
        <v>69.97</v>
      </c>
      <c r="C376" s="1">
        <v>69.97</v>
      </c>
    </row>
    <row r="377" spans="1:3" x14ac:dyDescent="0.3">
      <c r="A377" s="6" t="s">
        <v>1877</v>
      </c>
      <c r="B377" s="1">
        <v>44.98</v>
      </c>
      <c r="C377" s="1">
        <v>44.98</v>
      </c>
    </row>
    <row r="378" spans="1:3" x14ac:dyDescent="0.3">
      <c r="A378" s="6" t="s">
        <v>1359</v>
      </c>
      <c r="B378" s="1">
        <v>214.97000000000003</v>
      </c>
      <c r="C378" s="1">
        <v>119.96</v>
      </c>
    </row>
    <row r="379" spans="1:3" x14ac:dyDescent="0.3">
      <c r="A379" s="6" t="s">
        <v>820</v>
      </c>
      <c r="B379" s="1">
        <v>16.989999999999998</v>
      </c>
      <c r="C379" s="1">
        <v>16.989999999999998</v>
      </c>
    </row>
    <row r="380" spans="1:3" x14ac:dyDescent="0.3">
      <c r="A380" s="6" t="s">
        <v>1893</v>
      </c>
      <c r="B380" s="1">
        <v>54.989999999999995</v>
      </c>
      <c r="C380" s="1">
        <v>40.98</v>
      </c>
    </row>
    <row r="381" spans="1:3" x14ac:dyDescent="0.3">
      <c r="A381" s="6" t="s">
        <v>1198</v>
      </c>
      <c r="B381" s="1">
        <v>87.13</v>
      </c>
      <c r="C381" s="1">
        <v>63.97</v>
      </c>
    </row>
    <row r="382" spans="1:3" x14ac:dyDescent="0.3">
      <c r="A382" s="6" t="s">
        <v>786</v>
      </c>
      <c r="B382" s="1">
        <v>186.41000000000003</v>
      </c>
      <c r="C382" s="1">
        <v>138.95000000000002</v>
      </c>
    </row>
    <row r="383" spans="1:3" x14ac:dyDescent="0.3">
      <c r="A383" s="6" t="s">
        <v>1355</v>
      </c>
      <c r="B383" s="1">
        <v>66.930000000000007</v>
      </c>
      <c r="C383" s="1">
        <v>52.97</v>
      </c>
    </row>
    <row r="384" spans="1:3" x14ac:dyDescent="0.3">
      <c r="A384" s="6" t="s">
        <v>1172</v>
      </c>
      <c r="B384" s="1">
        <v>47.98</v>
      </c>
      <c r="C384" s="1">
        <v>47.98</v>
      </c>
    </row>
    <row r="385" spans="1:3" x14ac:dyDescent="0.3">
      <c r="A385" s="6" t="s">
        <v>1106</v>
      </c>
      <c r="B385" s="1">
        <v>135.9</v>
      </c>
      <c r="C385" s="1">
        <v>56.980000000000004</v>
      </c>
    </row>
    <row r="386" spans="1:3" x14ac:dyDescent="0.3">
      <c r="A386" s="6" t="s">
        <v>744</v>
      </c>
      <c r="B386" s="1">
        <v>216.48</v>
      </c>
      <c r="C386" s="1">
        <v>129.94999999999999</v>
      </c>
    </row>
    <row r="387" spans="1:3" x14ac:dyDescent="0.3">
      <c r="A387" s="6" t="s">
        <v>862</v>
      </c>
      <c r="B387" s="1">
        <v>115.96</v>
      </c>
      <c r="C387" s="1">
        <v>115.96</v>
      </c>
    </row>
    <row r="388" spans="1:3" x14ac:dyDescent="0.3">
      <c r="A388" s="6" t="s">
        <v>1240</v>
      </c>
      <c r="B388" s="1">
        <v>71.81</v>
      </c>
      <c r="C388" s="1">
        <v>57.97</v>
      </c>
    </row>
    <row r="389" spans="1:3" x14ac:dyDescent="0.3">
      <c r="A389" s="6" t="s">
        <v>2505</v>
      </c>
      <c r="B389" s="1">
        <v>18.989999999999998</v>
      </c>
      <c r="C389" s="1">
        <v>18.989999999999998</v>
      </c>
    </row>
    <row r="390" spans="1:3" x14ac:dyDescent="0.3">
      <c r="A390" s="6" t="s">
        <v>2308</v>
      </c>
      <c r="B390" s="1">
        <v>16.989999999999998</v>
      </c>
      <c r="C390" s="1">
        <v>16.989999999999998</v>
      </c>
    </row>
    <row r="391" spans="1:3" x14ac:dyDescent="0.3">
      <c r="A391" s="6" t="s">
        <v>2607</v>
      </c>
      <c r="B391" s="1">
        <v>30.99</v>
      </c>
      <c r="C391" s="1">
        <v>30.99</v>
      </c>
    </row>
    <row r="392" spans="1:3" x14ac:dyDescent="0.3">
      <c r="A392" s="6" t="s">
        <v>1874</v>
      </c>
      <c r="B392" s="1">
        <v>32.979999999999997</v>
      </c>
      <c r="C392" s="1">
        <v>18.989999999999998</v>
      </c>
    </row>
    <row r="393" spans="1:3" x14ac:dyDescent="0.3">
      <c r="A393" s="6" t="s">
        <v>2229</v>
      </c>
      <c r="B393" s="1">
        <v>21.99</v>
      </c>
      <c r="C393" s="1">
        <v>21.99</v>
      </c>
    </row>
    <row r="394" spans="1:3" x14ac:dyDescent="0.3">
      <c r="A394" s="6" t="s">
        <v>603</v>
      </c>
      <c r="B394" s="1">
        <v>117.21000000000001</v>
      </c>
      <c r="C394" s="1">
        <v>53.980000000000004</v>
      </c>
    </row>
    <row r="395" spans="1:3" x14ac:dyDescent="0.3">
      <c r="A395" s="6" t="s">
        <v>2551</v>
      </c>
      <c r="B395" s="1">
        <v>21.99</v>
      </c>
      <c r="C395" s="1">
        <v>21.99</v>
      </c>
    </row>
    <row r="396" spans="1:3" x14ac:dyDescent="0.3">
      <c r="A396" s="6" t="s">
        <v>237</v>
      </c>
      <c r="B396" s="1">
        <v>16.989999999999998</v>
      </c>
      <c r="C396" s="1">
        <v>16.989999999999998</v>
      </c>
    </row>
    <row r="397" spans="1:3" x14ac:dyDescent="0.3">
      <c r="A397" s="6" t="s">
        <v>1998</v>
      </c>
      <c r="B397" s="1">
        <v>34.99</v>
      </c>
      <c r="C397" s="1">
        <v>34.99</v>
      </c>
    </row>
    <row r="398" spans="1:3" x14ac:dyDescent="0.3">
      <c r="A398" s="6" t="s">
        <v>2038</v>
      </c>
      <c r="B398" s="1">
        <v>65.98</v>
      </c>
      <c r="C398" s="1">
        <v>27.99</v>
      </c>
    </row>
    <row r="399" spans="1:3" x14ac:dyDescent="0.3">
      <c r="A399" s="6" t="s">
        <v>835</v>
      </c>
      <c r="B399" s="1">
        <v>18.989999999999998</v>
      </c>
      <c r="C399" s="1">
        <v>18.989999999999998</v>
      </c>
    </row>
    <row r="400" spans="1:3" x14ac:dyDescent="0.3">
      <c r="A400" s="6" t="s">
        <v>1860</v>
      </c>
      <c r="B400" s="1">
        <v>52.37</v>
      </c>
      <c r="C400" s="1">
        <v>21.99</v>
      </c>
    </row>
    <row r="401" spans="1:3" x14ac:dyDescent="0.3">
      <c r="A401" s="6" t="s">
        <v>2519</v>
      </c>
      <c r="B401" s="1">
        <v>45.04</v>
      </c>
      <c r="C401" s="1">
        <v>18.989999999999998</v>
      </c>
    </row>
    <row r="402" spans="1:3" x14ac:dyDescent="0.3">
      <c r="A402" s="6" t="s">
        <v>1628</v>
      </c>
      <c r="B402" s="1">
        <v>74.650000000000006</v>
      </c>
      <c r="C402" s="1">
        <v>30.99</v>
      </c>
    </row>
    <row r="403" spans="1:3" x14ac:dyDescent="0.3">
      <c r="A403" s="6" t="s">
        <v>1844</v>
      </c>
      <c r="B403" s="1">
        <v>34.99</v>
      </c>
      <c r="C403" s="1">
        <v>34.99</v>
      </c>
    </row>
    <row r="404" spans="1:3" x14ac:dyDescent="0.3">
      <c r="A404" s="6" t="s">
        <v>1348</v>
      </c>
      <c r="B404" s="1">
        <v>61.06</v>
      </c>
      <c r="C404" s="1">
        <v>34.99</v>
      </c>
    </row>
    <row r="405" spans="1:3" x14ac:dyDescent="0.3">
      <c r="A405" s="6" t="s">
        <v>2064</v>
      </c>
      <c r="B405" s="1">
        <v>18.989999999999998</v>
      </c>
      <c r="C405" s="1">
        <v>18.989999999999998</v>
      </c>
    </row>
    <row r="406" spans="1:3" x14ac:dyDescent="0.3">
      <c r="A406" s="6" t="s">
        <v>2391</v>
      </c>
      <c r="B406" s="1">
        <v>29.54</v>
      </c>
      <c r="C406" s="1">
        <v>16.989999999999998</v>
      </c>
    </row>
    <row r="407" spans="1:3" x14ac:dyDescent="0.3">
      <c r="A407" s="6" t="s">
        <v>982</v>
      </c>
      <c r="B407" s="1">
        <v>43.98</v>
      </c>
      <c r="C407" s="1">
        <v>43.98</v>
      </c>
    </row>
    <row r="408" spans="1:3" x14ac:dyDescent="0.3">
      <c r="A408" s="6" t="s">
        <v>2274</v>
      </c>
      <c r="B408" s="1">
        <v>77.709999999999994</v>
      </c>
      <c r="C408" s="1">
        <v>51.980000000000004</v>
      </c>
    </row>
    <row r="409" spans="1:3" x14ac:dyDescent="0.3">
      <c r="A409" s="6" t="s">
        <v>651</v>
      </c>
      <c r="B409" s="1">
        <v>151.32999999999998</v>
      </c>
      <c r="C409" s="1">
        <v>62.980000000000004</v>
      </c>
    </row>
    <row r="410" spans="1:3" x14ac:dyDescent="0.3">
      <c r="A410" s="6" t="s">
        <v>2595</v>
      </c>
      <c r="B410" s="1">
        <v>30.99</v>
      </c>
      <c r="C410" s="1">
        <v>30.99</v>
      </c>
    </row>
    <row r="411" spans="1:3" x14ac:dyDescent="0.3">
      <c r="A411" s="6" t="s">
        <v>2510</v>
      </c>
      <c r="B411" s="1">
        <v>18.989999999999998</v>
      </c>
      <c r="C411" s="1">
        <v>18.989999999999998</v>
      </c>
    </row>
    <row r="412" spans="1:3" x14ac:dyDescent="0.3">
      <c r="A412" s="6" t="s">
        <v>2084</v>
      </c>
      <c r="B412" s="1">
        <v>21.99</v>
      </c>
      <c r="C412" s="1">
        <v>21.99</v>
      </c>
    </row>
    <row r="413" spans="1:3" x14ac:dyDescent="0.3">
      <c r="A413" s="6" t="s">
        <v>2617</v>
      </c>
      <c r="B413" s="1">
        <v>45655.80999999999</v>
      </c>
      <c r="C413" s="1">
        <v>33350.870000000017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0B92-B52F-4325-BF47-6F7C6980EFF5}">
  <dimension ref="A1:Z1314"/>
  <sheetViews>
    <sheetView topLeftCell="U1" workbookViewId="0">
      <selection activeCell="Y6" sqref="Y6"/>
    </sheetView>
  </sheetViews>
  <sheetFormatPr defaultRowHeight="14.4" x14ac:dyDescent="0.3"/>
  <cols>
    <col min="4" max="4" width="31.88671875" customWidth="1"/>
    <col min="5" max="5" width="15.88671875" customWidth="1"/>
    <col min="6" max="6" width="8.88671875" customWidth="1"/>
    <col min="8" max="8" width="39.21875" customWidth="1"/>
    <col min="9" max="9" width="35.77734375" customWidth="1"/>
    <col min="11" max="11" width="18.109375" customWidth="1"/>
    <col min="14" max="14" width="35.109375" customWidth="1"/>
    <col min="15" max="15" width="27.109375" customWidth="1"/>
    <col min="16" max="16" width="35.44140625" customWidth="1"/>
    <col min="21" max="22" width="26" customWidth="1"/>
    <col min="23" max="23" width="16.33203125" customWidth="1"/>
    <col min="24" max="24" width="40.109375" customWidth="1"/>
    <col min="25" max="25" width="94.109375" customWidth="1"/>
    <col min="26" max="26" width="89"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2614</v>
      </c>
      <c r="Y1" t="s">
        <v>2616</v>
      </c>
    </row>
    <row r="2" spans="1:25" x14ac:dyDescent="0.3">
      <c r="A2" s="1" t="s">
        <v>23</v>
      </c>
      <c r="B2">
        <v>2</v>
      </c>
      <c r="C2">
        <v>21.99</v>
      </c>
      <c r="D2">
        <v>37.979999999999997</v>
      </c>
      <c r="E2" s="1" t="s">
        <v>24</v>
      </c>
      <c r="F2" s="1" t="s">
        <v>25</v>
      </c>
      <c r="G2">
        <v>2</v>
      </c>
      <c r="H2" s="1" t="s">
        <v>26</v>
      </c>
      <c r="I2" s="1" t="s">
        <v>27</v>
      </c>
      <c r="J2">
        <v>7</v>
      </c>
      <c r="K2">
        <v>21.99</v>
      </c>
      <c r="L2" s="1" t="s">
        <v>28</v>
      </c>
      <c r="M2" s="1" t="s">
        <v>29</v>
      </c>
      <c r="N2" s="1" t="s">
        <v>30</v>
      </c>
      <c r="O2" s="1" t="s">
        <v>31</v>
      </c>
      <c r="P2" s="2">
        <v>45778</v>
      </c>
      <c r="Q2" s="1" t="s">
        <v>32</v>
      </c>
      <c r="R2" s="1" t="s">
        <v>33</v>
      </c>
      <c r="S2" s="1" t="s">
        <v>34</v>
      </c>
      <c r="T2" s="1" t="s">
        <v>35</v>
      </c>
      <c r="U2" s="1" t="s">
        <v>36</v>
      </c>
      <c r="V2" s="1" t="s">
        <v>37</v>
      </c>
      <c r="W2">
        <v>2</v>
      </c>
      <c r="X2" s="1">
        <f t="shared" ref="X2:X65" si="0">SUMIF(H:H,H2,K:K)</f>
        <v>8313.6899999999459</v>
      </c>
      <c r="Y2" s="1">
        <f>SUMIF(U:U,U2,K:K)</f>
        <v>6355.4899999999634</v>
      </c>
    </row>
    <row r="3" spans="1:25" x14ac:dyDescent="0.3">
      <c r="A3" s="1" t="s">
        <v>38</v>
      </c>
      <c r="B3">
        <v>2</v>
      </c>
      <c r="C3">
        <v>30.99</v>
      </c>
      <c r="D3">
        <v>53.78</v>
      </c>
      <c r="E3" s="1" t="s">
        <v>39</v>
      </c>
      <c r="F3" s="1" t="s">
        <v>40</v>
      </c>
      <c r="G3">
        <v>3</v>
      </c>
      <c r="H3" s="1" t="s">
        <v>41</v>
      </c>
      <c r="I3" s="1" t="s">
        <v>42</v>
      </c>
      <c r="J3">
        <v>10.5</v>
      </c>
      <c r="K3">
        <v>30.99</v>
      </c>
      <c r="L3" s="1" t="s">
        <v>28</v>
      </c>
      <c r="M3" s="1" t="s">
        <v>43</v>
      </c>
      <c r="N3" s="1" t="s">
        <v>44</v>
      </c>
      <c r="O3" s="1" t="s">
        <v>31</v>
      </c>
      <c r="P3" s="2">
        <v>45823</v>
      </c>
      <c r="Q3" s="1" t="s">
        <v>45</v>
      </c>
      <c r="R3" s="1" t="s">
        <v>46</v>
      </c>
      <c r="S3" s="1" t="s">
        <v>47</v>
      </c>
      <c r="T3" s="1" t="s">
        <v>35</v>
      </c>
      <c r="U3" s="1" t="s">
        <v>48</v>
      </c>
      <c r="V3" s="1" t="s">
        <v>37</v>
      </c>
      <c r="W3">
        <v>2</v>
      </c>
      <c r="X3" s="1">
        <f t="shared" si="0"/>
        <v>8551.6499999999451</v>
      </c>
      <c r="Y3" s="1">
        <f t="shared" ref="Y2:Y65" si="1">SUMIF(U:U,U3,K:K)</f>
        <v>7682.919999999951</v>
      </c>
    </row>
    <row r="4" spans="1:25" x14ac:dyDescent="0.3">
      <c r="A4" s="1" t="s">
        <v>49</v>
      </c>
      <c r="B4">
        <v>1</v>
      </c>
      <c r="C4">
        <v>21.99</v>
      </c>
      <c r="D4">
        <v>21.99</v>
      </c>
      <c r="E4" s="1" t="s">
        <v>50</v>
      </c>
      <c r="F4" s="1" t="s">
        <v>51</v>
      </c>
      <c r="G4">
        <v>0</v>
      </c>
      <c r="H4" s="1" t="s">
        <v>41</v>
      </c>
      <c r="I4" s="1" t="s">
        <v>27</v>
      </c>
      <c r="J4">
        <v>7</v>
      </c>
      <c r="K4">
        <v>21.99</v>
      </c>
      <c r="L4" s="1" t="s">
        <v>28</v>
      </c>
      <c r="M4" s="1" t="s">
        <v>29</v>
      </c>
      <c r="N4" s="1" t="s">
        <v>30</v>
      </c>
      <c r="O4" s="1" t="s">
        <v>31</v>
      </c>
      <c r="P4" s="2">
        <v>45778</v>
      </c>
      <c r="Q4" s="1" t="s">
        <v>52</v>
      </c>
      <c r="R4" s="1" t="s">
        <v>53</v>
      </c>
      <c r="S4" s="1" t="s">
        <v>54</v>
      </c>
      <c r="T4" s="1" t="s">
        <v>35</v>
      </c>
      <c r="U4" s="1" t="s">
        <v>55</v>
      </c>
      <c r="V4" s="1" t="s">
        <v>37</v>
      </c>
      <c r="W4">
        <v>2</v>
      </c>
      <c r="X4" s="1">
        <f t="shared" si="0"/>
        <v>8551.6499999999451</v>
      </c>
      <c r="Y4" s="1">
        <f t="shared" si="1"/>
        <v>5710.7699999999695</v>
      </c>
    </row>
    <row r="5" spans="1:25" x14ac:dyDescent="0.3">
      <c r="A5" s="1" t="s">
        <v>56</v>
      </c>
      <c r="B5">
        <v>2</v>
      </c>
      <c r="C5">
        <v>16.989999999999998</v>
      </c>
      <c r="D5">
        <v>29.18</v>
      </c>
      <c r="E5" s="1" t="s">
        <v>57</v>
      </c>
      <c r="F5" s="1" t="s">
        <v>40</v>
      </c>
      <c r="G5">
        <v>19</v>
      </c>
      <c r="H5" s="1" t="s">
        <v>58</v>
      </c>
      <c r="I5" s="1" t="s">
        <v>59</v>
      </c>
      <c r="J5">
        <v>5</v>
      </c>
      <c r="K5">
        <v>16.989999999999998</v>
      </c>
      <c r="L5" s="1" t="s">
        <v>60</v>
      </c>
      <c r="M5" s="1" t="s">
        <v>61</v>
      </c>
      <c r="N5" s="1" t="s">
        <v>62</v>
      </c>
      <c r="O5" s="1" t="s">
        <v>31</v>
      </c>
      <c r="P5" s="2">
        <v>45726</v>
      </c>
      <c r="Q5" s="1" t="s">
        <v>63</v>
      </c>
      <c r="R5" s="1" t="s">
        <v>64</v>
      </c>
      <c r="S5" s="1" t="s">
        <v>65</v>
      </c>
      <c r="T5" s="1" t="s">
        <v>35</v>
      </c>
      <c r="U5" s="1" t="s">
        <v>66</v>
      </c>
      <c r="V5" s="1" t="s">
        <v>67</v>
      </c>
      <c r="W5">
        <v>3</v>
      </c>
      <c r="X5" s="1">
        <f t="shared" si="0"/>
        <v>8640.6199999999462</v>
      </c>
      <c r="Y5" s="1">
        <f t="shared" si="1"/>
        <v>6397.4799999999632</v>
      </c>
    </row>
    <row r="6" spans="1:25" x14ac:dyDescent="0.3">
      <c r="A6" s="1" t="s">
        <v>68</v>
      </c>
      <c r="B6">
        <v>1</v>
      </c>
      <c r="C6">
        <v>16.989999999999998</v>
      </c>
      <c r="D6">
        <v>16.989999999999998</v>
      </c>
      <c r="E6" s="1" t="s">
        <v>69</v>
      </c>
      <c r="F6" s="1" t="s">
        <v>70</v>
      </c>
      <c r="G6">
        <v>0</v>
      </c>
      <c r="H6" s="1" t="s">
        <v>58</v>
      </c>
      <c r="I6" s="1" t="s">
        <v>59</v>
      </c>
      <c r="J6">
        <v>5</v>
      </c>
      <c r="K6">
        <v>16.989999999999998</v>
      </c>
      <c r="L6" s="1" t="s">
        <v>60</v>
      </c>
      <c r="M6" s="1" t="s">
        <v>61</v>
      </c>
      <c r="N6" s="1" t="s">
        <v>62</v>
      </c>
      <c r="O6" s="1" t="s">
        <v>31</v>
      </c>
      <c r="P6" s="2">
        <v>45726</v>
      </c>
      <c r="Q6" s="1" t="s">
        <v>71</v>
      </c>
      <c r="R6" s="1" t="s">
        <v>72</v>
      </c>
      <c r="S6" s="1" t="s">
        <v>47</v>
      </c>
      <c r="T6" s="1" t="s">
        <v>35</v>
      </c>
      <c r="U6" s="1" t="s">
        <v>36</v>
      </c>
      <c r="V6" s="1" t="s">
        <v>67</v>
      </c>
      <c r="W6">
        <v>3</v>
      </c>
      <c r="X6" s="1">
        <f t="shared" si="0"/>
        <v>8640.6199999999462</v>
      </c>
      <c r="Y6" s="1">
        <f t="shared" si="1"/>
        <v>6355.4899999999634</v>
      </c>
    </row>
    <row r="7" spans="1:25" x14ac:dyDescent="0.3">
      <c r="A7" s="1" t="s">
        <v>73</v>
      </c>
      <c r="B7">
        <v>1</v>
      </c>
      <c r="C7">
        <v>27.99</v>
      </c>
      <c r="D7">
        <v>27.99</v>
      </c>
      <c r="E7" s="1" t="s">
        <v>74</v>
      </c>
      <c r="F7" s="1" t="s">
        <v>40</v>
      </c>
      <c r="G7">
        <v>3</v>
      </c>
      <c r="H7" s="1" t="s">
        <v>26</v>
      </c>
      <c r="I7" s="1" t="s">
        <v>75</v>
      </c>
      <c r="J7">
        <v>9</v>
      </c>
      <c r="K7">
        <v>27.99</v>
      </c>
      <c r="L7" s="1" t="s">
        <v>28</v>
      </c>
      <c r="M7" s="1" t="s">
        <v>61</v>
      </c>
      <c r="N7" s="1" t="s">
        <v>62</v>
      </c>
      <c r="O7" s="1" t="s">
        <v>31</v>
      </c>
      <c r="P7" s="2">
        <v>45726</v>
      </c>
      <c r="Q7" s="1" t="s">
        <v>76</v>
      </c>
      <c r="R7" s="1" t="s">
        <v>77</v>
      </c>
      <c r="S7" s="1" t="s">
        <v>34</v>
      </c>
      <c r="T7" s="1" t="s">
        <v>35</v>
      </c>
      <c r="U7" s="1" t="s">
        <v>36</v>
      </c>
      <c r="V7" s="1" t="s">
        <v>37</v>
      </c>
      <c r="W7">
        <v>2</v>
      </c>
      <c r="X7" s="1">
        <f t="shared" si="0"/>
        <v>8313.6899999999459</v>
      </c>
      <c r="Y7" s="1">
        <f t="shared" si="1"/>
        <v>6355.4899999999634</v>
      </c>
    </row>
    <row r="8" spans="1:25" x14ac:dyDescent="0.3">
      <c r="A8" s="1" t="s">
        <v>78</v>
      </c>
      <c r="B8">
        <v>1</v>
      </c>
      <c r="C8">
        <v>30.99</v>
      </c>
      <c r="D8">
        <v>30.99</v>
      </c>
      <c r="E8" s="1" t="s">
        <v>79</v>
      </c>
      <c r="F8" s="1" t="s">
        <v>40</v>
      </c>
      <c r="G8">
        <v>2</v>
      </c>
      <c r="H8" s="1" t="s">
        <v>41</v>
      </c>
      <c r="I8" s="1" t="s">
        <v>42</v>
      </c>
      <c r="J8">
        <v>10.5</v>
      </c>
      <c r="K8">
        <v>30.99</v>
      </c>
      <c r="L8" s="1" t="s">
        <v>28</v>
      </c>
      <c r="M8" s="1" t="s">
        <v>43</v>
      </c>
      <c r="N8" s="1" t="s">
        <v>44</v>
      </c>
      <c r="O8" s="1" t="s">
        <v>31</v>
      </c>
      <c r="P8" s="2">
        <v>45823</v>
      </c>
      <c r="Q8" s="1" t="s">
        <v>80</v>
      </c>
      <c r="R8" s="1" t="s">
        <v>81</v>
      </c>
      <c r="S8" s="1" t="s">
        <v>34</v>
      </c>
      <c r="T8" s="1" t="s">
        <v>35</v>
      </c>
      <c r="U8" s="1" t="s">
        <v>82</v>
      </c>
      <c r="V8" s="1" t="s">
        <v>37</v>
      </c>
      <c r="W8">
        <v>2</v>
      </c>
      <c r="X8" s="1">
        <f t="shared" si="0"/>
        <v>8551.6499999999451</v>
      </c>
      <c r="Y8" s="1">
        <f t="shared" si="1"/>
        <v>7204.2099999999582</v>
      </c>
    </row>
    <row r="9" spans="1:25" x14ac:dyDescent="0.3">
      <c r="A9" s="1" t="s">
        <v>83</v>
      </c>
      <c r="B9">
        <v>3</v>
      </c>
      <c r="C9">
        <v>34.99</v>
      </c>
      <c r="D9">
        <v>84.73</v>
      </c>
      <c r="E9" s="1" t="s">
        <v>84</v>
      </c>
      <c r="F9" s="1" t="s">
        <v>70</v>
      </c>
      <c r="G9">
        <v>0</v>
      </c>
      <c r="H9" s="1" t="s">
        <v>26</v>
      </c>
      <c r="I9" s="1" t="s">
        <v>85</v>
      </c>
      <c r="J9">
        <v>12.5</v>
      </c>
      <c r="K9">
        <v>34.99</v>
      </c>
      <c r="L9" s="1" t="s">
        <v>60</v>
      </c>
      <c r="M9" s="1" t="s">
        <v>29</v>
      </c>
      <c r="N9" s="1" t="s">
        <v>30</v>
      </c>
      <c r="O9" s="1" t="s">
        <v>31</v>
      </c>
      <c r="P9" s="2">
        <v>45778</v>
      </c>
      <c r="Q9" s="1" t="s">
        <v>86</v>
      </c>
      <c r="R9" s="1" t="s">
        <v>87</v>
      </c>
      <c r="S9" s="1" t="s">
        <v>88</v>
      </c>
      <c r="T9" s="1" t="s">
        <v>35</v>
      </c>
      <c r="U9" s="1" t="s">
        <v>36</v>
      </c>
      <c r="V9" s="1" t="s">
        <v>89</v>
      </c>
      <c r="W9">
        <v>2.4</v>
      </c>
      <c r="X9" s="1">
        <f t="shared" si="0"/>
        <v>8313.6899999999459</v>
      </c>
      <c r="Y9" s="1">
        <f t="shared" si="1"/>
        <v>6355.4899999999634</v>
      </c>
    </row>
    <row r="10" spans="1:25" x14ac:dyDescent="0.3">
      <c r="A10" s="1" t="s">
        <v>90</v>
      </c>
      <c r="B10">
        <v>1</v>
      </c>
      <c r="C10">
        <v>21.99</v>
      </c>
      <c r="D10">
        <v>21.99</v>
      </c>
      <c r="E10" s="1" t="s">
        <v>91</v>
      </c>
      <c r="F10" s="1" t="s">
        <v>40</v>
      </c>
      <c r="G10">
        <v>3</v>
      </c>
      <c r="H10" s="1" t="s">
        <v>58</v>
      </c>
      <c r="I10" s="1" t="s">
        <v>27</v>
      </c>
      <c r="J10">
        <v>7</v>
      </c>
      <c r="K10">
        <v>21.99</v>
      </c>
      <c r="L10" s="1" t="s">
        <v>28</v>
      </c>
      <c r="M10" s="1" t="s">
        <v>29</v>
      </c>
      <c r="N10" s="1" t="s">
        <v>30</v>
      </c>
      <c r="O10" s="1" t="s">
        <v>31</v>
      </c>
      <c r="P10" s="2">
        <v>45778</v>
      </c>
      <c r="Q10" s="1" t="s">
        <v>92</v>
      </c>
      <c r="R10" s="1" t="s">
        <v>93</v>
      </c>
      <c r="S10" s="1" t="s">
        <v>65</v>
      </c>
      <c r="T10" s="1" t="s">
        <v>35</v>
      </c>
      <c r="U10" s="1" t="s">
        <v>82</v>
      </c>
      <c r="V10" s="1" t="s">
        <v>37</v>
      </c>
      <c r="W10">
        <v>2</v>
      </c>
      <c r="X10" s="1">
        <f t="shared" si="0"/>
        <v>8640.6199999999462</v>
      </c>
      <c r="Y10" s="1">
        <f t="shared" si="1"/>
        <v>7204.2099999999582</v>
      </c>
    </row>
    <row r="11" spans="1:25" x14ac:dyDescent="0.3">
      <c r="A11" s="1" t="s">
        <v>94</v>
      </c>
      <c r="B11">
        <v>1</v>
      </c>
      <c r="C11">
        <v>18.989999999999998</v>
      </c>
      <c r="D11">
        <v>18.989999999999998</v>
      </c>
      <c r="E11" s="1" t="s">
        <v>95</v>
      </c>
      <c r="F11" s="1" t="s">
        <v>40</v>
      </c>
      <c r="G11">
        <v>15</v>
      </c>
      <c r="H11" s="1" t="s">
        <v>96</v>
      </c>
      <c r="I11" s="1" t="s">
        <v>97</v>
      </c>
      <c r="J11">
        <v>6</v>
      </c>
      <c r="K11">
        <v>18.989999999999998</v>
      </c>
      <c r="L11" s="1" t="s">
        <v>60</v>
      </c>
      <c r="M11" s="1" t="s">
        <v>43</v>
      </c>
      <c r="N11" s="1" t="s">
        <v>44</v>
      </c>
      <c r="O11" s="1" t="s">
        <v>31</v>
      </c>
      <c r="P11" s="2">
        <v>45823</v>
      </c>
      <c r="Q11" s="1" t="s">
        <v>98</v>
      </c>
      <c r="R11" s="1" t="s">
        <v>99</v>
      </c>
      <c r="S11" s="1" t="s">
        <v>47</v>
      </c>
      <c r="T11" s="1" t="s">
        <v>35</v>
      </c>
      <c r="U11" s="1" t="s">
        <v>66</v>
      </c>
      <c r="V11" s="1" t="s">
        <v>100</v>
      </c>
      <c r="W11">
        <v>3.2</v>
      </c>
      <c r="X11" s="1">
        <f t="shared" si="0"/>
        <v>7844.9099999999507</v>
      </c>
      <c r="Y11" s="1">
        <f t="shared" si="1"/>
        <v>6397.4799999999632</v>
      </c>
    </row>
    <row r="12" spans="1:25" x14ac:dyDescent="0.3">
      <c r="A12" s="1" t="s">
        <v>101</v>
      </c>
      <c r="B12">
        <v>1</v>
      </c>
      <c r="C12">
        <v>34.99</v>
      </c>
      <c r="D12">
        <v>34.99</v>
      </c>
      <c r="E12" s="1" t="s">
        <v>102</v>
      </c>
      <c r="F12" s="1" t="s">
        <v>51</v>
      </c>
      <c r="G12">
        <v>0</v>
      </c>
      <c r="H12" s="1" t="s">
        <v>58</v>
      </c>
      <c r="I12" s="1" t="s">
        <v>85</v>
      </c>
      <c r="J12">
        <v>12.5</v>
      </c>
      <c r="K12">
        <v>34.99</v>
      </c>
      <c r="L12" s="1" t="s">
        <v>60</v>
      </c>
      <c r="M12" s="1" t="s">
        <v>29</v>
      </c>
      <c r="N12" s="1" t="s">
        <v>30</v>
      </c>
      <c r="O12" s="1" t="s">
        <v>31</v>
      </c>
      <c r="P12" s="2">
        <v>45778</v>
      </c>
      <c r="Q12" s="1" t="s">
        <v>103</v>
      </c>
      <c r="R12" s="1" t="s">
        <v>104</v>
      </c>
      <c r="S12" s="1" t="s">
        <v>105</v>
      </c>
      <c r="T12" s="1" t="s">
        <v>35</v>
      </c>
      <c r="U12" s="1" t="s">
        <v>55</v>
      </c>
      <c r="V12" s="1" t="s">
        <v>89</v>
      </c>
      <c r="W12">
        <v>2.4</v>
      </c>
      <c r="X12" s="1">
        <f t="shared" si="0"/>
        <v>8640.6199999999462</v>
      </c>
      <c r="Y12" s="1">
        <f t="shared" si="1"/>
        <v>5710.7699999999695</v>
      </c>
    </row>
    <row r="13" spans="1:25" x14ac:dyDescent="0.3">
      <c r="A13" s="1" t="s">
        <v>106</v>
      </c>
      <c r="B13">
        <v>3</v>
      </c>
      <c r="C13">
        <v>21.99</v>
      </c>
      <c r="D13">
        <v>52.48</v>
      </c>
      <c r="E13" s="1" t="s">
        <v>107</v>
      </c>
      <c r="F13" s="1" t="s">
        <v>40</v>
      </c>
      <c r="G13">
        <v>3</v>
      </c>
      <c r="H13" s="1" t="s">
        <v>26</v>
      </c>
      <c r="I13" s="1" t="s">
        <v>27</v>
      </c>
      <c r="J13">
        <v>7</v>
      </c>
      <c r="K13">
        <v>21.99</v>
      </c>
      <c r="L13" s="1" t="s">
        <v>28</v>
      </c>
      <c r="M13" s="1" t="s">
        <v>29</v>
      </c>
      <c r="N13" s="1" t="s">
        <v>30</v>
      </c>
      <c r="O13" s="1" t="s">
        <v>31</v>
      </c>
      <c r="P13" s="2">
        <v>45778</v>
      </c>
      <c r="Q13" s="1" t="s">
        <v>98</v>
      </c>
      <c r="R13" s="1" t="s">
        <v>99</v>
      </c>
      <c r="S13" s="1" t="s">
        <v>47</v>
      </c>
      <c r="T13" s="1" t="s">
        <v>35</v>
      </c>
      <c r="U13" s="1" t="s">
        <v>66</v>
      </c>
      <c r="V13" s="1" t="s">
        <v>37</v>
      </c>
      <c r="W13">
        <v>2</v>
      </c>
      <c r="X13" s="1">
        <f t="shared" si="0"/>
        <v>8313.6899999999459</v>
      </c>
      <c r="Y13" s="1">
        <f t="shared" si="1"/>
        <v>6397.4799999999632</v>
      </c>
    </row>
    <row r="14" spans="1:25" x14ac:dyDescent="0.3">
      <c r="A14" s="1" t="s">
        <v>108</v>
      </c>
      <c r="B14">
        <v>3</v>
      </c>
      <c r="C14">
        <v>21.99</v>
      </c>
      <c r="D14">
        <v>52.48</v>
      </c>
      <c r="E14" s="1" t="s">
        <v>109</v>
      </c>
      <c r="F14" s="1" t="s">
        <v>40</v>
      </c>
      <c r="G14">
        <v>3</v>
      </c>
      <c r="H14" s="1" t="s">
        <v>58</v>
      </c>
      <c r="I14" s="1" t="s">
        <v>27</v>
      </c>
      <c r="J14">
        <v>7</v>
      </c>
      <c r="K14">
        <v>21.99</v>
      </c>
      <c r="L14" s="1" t="s">
        <v>28</v>
      </c>
      <c r="M14" s="1" t="s">
        <v>29</v>
      </c>
      <c r="N14" s="1" t="s">
        <v>30</v>
      </c>
      <c r="O14" s="1" t="s">
        <v>31</v>
      </c>
      <c r="P14" s="2">
        <v>45778</v>
      </c>
      <c r="Q14" s="1" t="s">
        <v>110</v>
      </c>
      <c r="R14" s="1" t="s">
        <v>111</v>
      </c>
      <c r="S14" s="1" t="s">
        <v>47</v>
      </c>
      <c r="T14" s="1" t="s">
        <v>35</v>
      </c>
      <c r="U14" s="1" t="s">
        <v>36</v>
      </c>
      <c r="V14" s="1" t="s">
        <v>37</v>
      </c>
      <c r="W14">
        <v>2</v>
      </c>
      <c r="X14" s="1">
        <f t="shared" si="0"/>
        <v>8640.6199999999462</v>
      </c>
      <c r="Y14" s="1">
        <f t="shared" si="1"/>
        <v>6355.4899999999634</v>
      </c>
    </row>
    <row r="15" spans="1:25" x14ac:dyDescent="0.3">
      <c r="A15" s="1" t="s">
        <v>112</v>
      </c>
      <c r="B15">
        <v>3</v>
      </c>
      <c r="C15">
        <v>21.99</v>
      </c>
      <c r="D15">
        <v>52.48</v>
      </c>
      <c r="E15" s="1" t="s">
        <v>113</v>
      </c>
      <c r="F15" s="1" t="s">
        <v>40</v>
      </c>
      <c r="G15">
        <v>2</v>
      </c>
      <c r="H15" s="1" t="s">
        <v>26</v>
      </c>
      <c r="I15" s="1" t="s">
        <v>27</v>
      </c>
      <c r="J15">
        <v>7</v>
      </c>
      <c r="K15">
        <v>21.99</v>
      </c>
      <c r="L15" s="1" t="s">
        <v>28</v>
      </c>
      <c r="M15" s="1" t="s">
        <v>29</v>
      </c>
      <c r="N15" s="1" t="s">
        <v>30</v>
      </c>
      <c r="O15" s="1" t="s">
        <v>31</v>
      </c>
      <c r="P15" s="2">
        <v>45778</v>
      </c>
      <c r="Q15" s="1" t="s">
        <v>114</v>
      </c>
      <c r="R15" s="1" t="s">
        <v>115</v>
      </c>
      <c r="S15" s="1" t="s">
        <v>54</v>
      </c>
      <c r="T15" s="1" t="s">
        <v>35</v>
      </c>
      <c r="U15" s="1" t="s">
        <v>82</v>
      </c>
      <c r="V15" s="1" t="s">
        <v>37</v>
      </c>
      <c r="W15">
        <v>2</v>
      </c>
      <c r="X15" s="1">
        <f t="shared" si="0"/>
        <v>8313.6899999999459</v>
      </c>
      <c r="Y15" s="1">
        <f t="shared" si="1"/>
        <v>7204.2099999999582</v>
      </c>
    </row>
    <row r="16" spans="1:25" x14ac:dyDescent="0.3">
      <c r="A16" s="1" t="s">
        <v>116</v>
      </c>
      <c r="B16">
        <v>3</v>
      </c>
      <c r="C16">
        <v>27.99</v>
      </c>
      <c r="D16">
        <v>66.88</v>
      </c>
      <c r="E16" s="1" t="s">
        <v>117</v>
      </c>
      <c r="F16" s="1" t="s">
        <v>40</v>
      </c>
      <c r="G16">
        <v>3</v>
      </c>
      <c r="H16" s="1" t="s">
        <v>41</v>
      </c>
      <c r="I16" s="1" t="s">
        <v>75</v>
      </c>
      <c r="J16">
        <v>9</v>
      </c>
      <c r="K16">
        <v>27.99</v>
      </c>
      <c r="L16" s="1" t="s">
        <v>28</v>
      </c>
      <c r="M16" s="1" t="s">
        <v>61</v>
      </c>
      <c r="N16" s="1" t="s">
        <v>62</v>
      </c>
      <c r="O16" s="1" t="s">
        <v>31</v>
      </c>
      <c r="P16" s="2">
        <v>45726</v>
      </c>
      <c r="Q16" s="1" t="s">
        <v>118</v>
      </c>
      <c r="R16" s="1" t="s">
        <v>119</v>
      </c>
      <c r="S16" s="1" t="s">
        <v>105</v>
      </c>
      <c r="T16" s="1" t="s">
        <v>35</v>
      </c>
      <c r="U16" s="1" t="s">
        <v>66</v>
      </c>
      <c r="V16" s="1" t="s">
        <v>37</v>
      </c>
      <c r="W16">
        <v>2</v>
      </c>
      <c r="X16" s="1">
        <f t="shared" si="0"/>
        <v>8551.6499999999451</v>
      </c>
      <c r="Y16" s="1">
        <f t="shared" si="1"/>
        <v>6397.4799999999632</v>
      </c>
    </row>
    <row r="17" spans="1:26" x14ac:dyDescent="0.3">
      <c r="A17" s="1" t="s">
        <v>120</v>
      </c>
      <c r="B17">
        <v>2</v>
      </c>
      <c r="C17">
        <v>30.99</v>
      </c>
      <c r="D17">
        <v>53.78</v>
      </c>
      <c r="E17" s="1" t="s">
        <v>121</v>
      </c>
      <c r="F17" s="1" t="s">
        <v>70</v>
      </c>
      <c r="G17">
        <v>0</v>
      </c>
      <c r="H17" s="1" t="s">
        <v>58</v>
      </c>
      <c r="I17" s="1" t="s">
        <v>42</v>
      </c>
      <c r="J17">
        <v>10.5</v>
      </c>
      <c r="K17">
        <v>30.99</v>
      </c>
      <c r="L17" s="1" t="s">
        <v>28</v>
      </c>
      <c r="M17" s="1" t="s">
        <v>43</v>
      </c>
      <c r="N17" s="1" t="s">
        <v>44</v>
      </c>
      <c r="O17" s="1" t="s">
        <v>31</v>
      </c>
      <c r="P17" s="2">
        <v>45823</v>
      </c>
      <c r="Q17" s="1" t="s">
        <v>122</v>
      </c>
      <c r="R17" s="1" t="s">
        <v>123</v>
      </c>
      <c r="S17" s="1" t="s">
        <v>65</v>
      </c>
      <c r="T17" s="1" t="s">
        <v>35</v>
      </c>
      <c r="U17" s="1" t="s">
        <v>82</v>
      </c>
      <c r="V17" s="1" t="s">
        <v>37</v>
      </c>
      <c r="W17">
        <v>2</v>
      </c>
      <c r="X17" s="1">
        <f t="shared" si="0"/>
        <v>8640.6199999999462</v>
      </c>
      <c r="Y17" s="1">
        <f t="shared" si="1"/>
        <v>7204.2099999999582</v>
      </c>
      <c r="Z17" s="4" t="s">
        <v>2615</v>
      </c>
    </row>
    <row r="18" spans="1:26" x14ac:dyDescent="0.3">
      <c r="A18" s="1" t="s">
        <v>124</v>
      </c>
      <c r="B18">
        <v>1</v>
      </c>
      <c r="C18">
        <v>16.989999999999998</v>
      </c>
      <c r="D18">
        <v>16.989999999999998</v>
      </c>
      <c r="E18" s="1" t="s">
        <v>113</v>
      </c>
      <c r="F18" s="1" t="s">
        <v>40</v>
      </c>
      <c r="G18">
        <v>20</v>
      </c>
      <c r="H18" s="1" t="s">
        <v>26</v>
      </c>
      <c r="I18" s="1" t="s">
        <v>59</v>
      </c>
      <c r="J18">
        <v>5</v>
      </c>
      <c r="K18">
        <v>16.989999999999998</v>
      </c>
      <c r="L18" s="1" t="s">
        <v>60</v>
      </c>
      <c r="M18" s="1" t="s">
        <v>61</v>
      </c>
      <c r="N18" s="1" t="s">
        <v>62</v>
      </c>
      <c r="O18" s="1" t="s">
        <v>31</v>
      </c>
      <c r="P18" s="2">
        <v>45726</v>
      </c>
      <c r="Q18" s="1" t="s">
        <v>125</v>
      </c>
      <c r="R18" s="1" t="s">
        <v>126</v>
      </c>
      <c r="S18" s="1" t="s">
        <v>88</v>
      </c>
      <c r="T18" s="1" t="s">
        <v>35</v>
      </c>
      <c r="U18" s="1" t="s">
        <v>48</v>
      </c>
      <c r="V18" s="1" t="s">
        <v>67</v>
      </c>
      <c r="W18">
        <v>3</v>
      </c>
      <c r="X18" s="1">
        <f t="shared" si="0"/>
        <v>8313.6899999999459</v>
      </c>
      <c r="Y18" s="1">
        <f t="shared" si="1"/>
        <v>7682.919999999951</v>
      </c>
    </row>
    <row r="19" spans="1:26" x14ac:dyDescent="0.3">
      <c r="A19" s="1" t="s">
        <v>127</v>
      </c>
      <c r="B19">
        <v>1</v>
      </c>
      <c r="C19">
        <v>18.989999999999998</v>
      </c>
      <c r="D19">
        <v>18.989999999999998</v>
      </c>
      <c r="E19" s="1" t="s">
        <v>128</v>
      </c>
      <c r="F19" s="1" t="s">
        <v>51</v>
      </c>
      <c r="G19">
        <v>0</v>
      </c>
      <c r="H19" s="1" t="s">
        <v>26</v>
      </c>
      <c r="I19" s="1" t="s">
        <v>97</v>
      </c>
      <c r="J19">
        <v>6</v>
      </c>
      <c r="K19">
        <v>18.989999999999998</v>
      </c>
      <c r="L19" s="1" t="s">
        <v>60</v>
      </c>
      <c r="M19" s="1" t="s">
        <v>43</v>
      </c>
      <c r="N19" s="1" t="s">
        <v>44</v>
      </c>
      <c r="O19" s="1" t="s">
        <v>31</v>
      </c>
      <c r="P19" s="2">
        <v>45823</v>
      </c>
      <c r="Q19" s="1" t="s">
        <v>129</v>
      </c>
      <c r="R19" s="1" t="s">
        <v>130</v>
      </c>
      <c r="S19" s="1" t="s">
        <v>34</v>
      </c>
      <c r="T19" s="1" t="s">
        <v>35</v>
      </c>
      <c r="U19" s="1" t="s">
        <v>55</v>
      </c>
      <c r="V19" s="1" t="s">
        <v>100</v>
      </c>
      <c r="W19">
        <v>3.2</v>
      </c>
      <c r="X19" s="1">
        <f t="shared" si="0"/>
        <v>8313.6899999999459</v>
      </c>
      <c r="Y19" s="1">
        <f t="shared" si="1"/>
        <v>5710.7699999999695</v>
      </c>
    </row>
    <row r="20" spans="1:26" x14ac:dyDescent="0.3">
      <c r="A20" s="1" t="s">
        <v>131</v>
      </c>
      <c r="B20">
        <v>2</v>
      </c>
      <c r="C20">
        <v>18.989999999999998</v>
      </c>
      <c r="D20">
        <v>32.78</v>
      </c>
      <c r="E20" s="1" t="s">
        <v>132</v>
      </c>
      <c r="F20" s="1" t="s">
        <v>51</v>
      </c>
      <c r="G20">
        <v>0</v>
      </c>
      <c r="H20" s="1" t="s">
        <v>96</v>
      </c>
      <c r="I20" s="1" t="s">
        <v>97</v>
      </c>
      <c r="J20">
        <v>6</v>
      </c>
      <c r="K20">
        <v>18.989999999999998</v>
      </c>
      <c r="L20" s="1" t="s">
        <v>60</v>
      </c>
      <c r="M20" s="1" t="s">
        <v>43</v>
      </c>
      <c r="N20" s="1" t="s">
        <v>44</v>
      </c>
      <c r="O20" s="1" t="s">
        <v>31</v>
      </c>
      <c r="P20" s="2">
        <v>45823</v>
      </c>
      <c r="Q20" s="1" t="s">
        <v>133</v>
      </c>
      <c r="R20" s="1" t="s">
        <v>134</v>
      </c>
      <c r="S20" s="1" t="s">
        <v>65</v>
      </c>
      <c r="T20" s="1" t="s">
        <v>35</v>
      </c>
      <c r="U20" s="1" t="s">
        <v>66</v>
      </c>
      <c r="V20" s="1" t="s">
        <v>100</v>
      </c>
      <c r="W20">
        <v>3.2</v>
      </c>
      <c r="X20" s="1">
        <f t="shared" si="0"/>
        <v>7844.9099999999507</v>
      </c>
      <c r="Y20" s="1">
        <f t="shared" si="1"/>
        <v>6397.4799999999632</v>
      </c>
    </row>
    <row r="21" spans="1:26" x14ac:dyDescent="0.3">
      <c r="A21" s="1" t="s">
        <v>135</v>
      </c>
      <c r="B21">
        <v>1</v>
      </c>
      <c r="C21">
        <v>27.99</v>
      </c>
      <c r="D21">
        <v>27.99</v>
      </c>
      <c r="E21" s="1" t="s">
        <v>136</v>
      </c>
      <c r="F21" s="1" t="s">
        <v>51</v>
      </c>
      <c r="G21">
        <v>0</v>
      </c>
      <c r="H21" s="1" t="s">
        <v>41</v>
      </c>
      <c r="I21" s="1" t="s">
        <v>75</v>
      </c>
      <c r="J21">
        <v>9</v>
      </c>
      <c r="K21">
        <v>27.99</v>
      </c>
      <c r="L21" s="1" t="s">
        <v>28</v>
      </c>
      <c r="M21" s="1" t="s">
        <v>61</v>
      </c>
      <c r="N21" s="1" t="s">
        <v>62</v>
      </c>
      <c r="O21" s="1" t="s">
        <v>31</v>
      </c>
      <c r="P21" s="2">
        <v>45726</v>
      </c>
      <c r="Q21" s="1" t="s">
        <v>137</v>
      </c>
      <c r="R21" s="1" t="s">
        <v>138</v>
      </c>
      <c r="S21" s="1" t="s">
        <v>34</v>
      </c>
      <c r="T21" s="1" t="s">
        <v>35</v>
      </c>
      <c r="U21" s="1" t="s">
        <v>82</v>
      </c>
      <c r="V21" s="1" t="s">
        <v>37</v>
      </c>
      <c r="W21">
        <v>2</v>
      </c>
      <c r="X21" s="1">
        <f t="shared" si="0"/>
        <v>8551.6499999999451</v>
      </c>
      <c r="Y21" s="1">
        <f t="shared" si="1"/>
        <v>7204.2099999999582</v>
      </c>
    </row>
    <row r="22" spans="1:26" x14ac:dyDescent="0.3">
      <c r="A22" s="1" t="s">
        <v>139</v>
      </c>
      <c r="B22">
        <v>1</v>
      </c>
      <c r="C22">
        <v>18.989999999999998</v>
      </c>
      <c r="D22">
        <v>18.989999999999998</v>
      </c>
      <c r="E22" s="1" t="s">
        <v>107</v>
      </c>
      <c r="F22" s="1" t="s">
        <v>40</v>
      </c>
      <c r="G22">
        <v>12</v>
      </c>
      <c r="H22" s="1" t="s">
        <v>96</v>
      </c>
      <c r="I22" s="1" t="s">
        <v>97</v>
      </c>
      <c r="J22">
        <v>6</v>
      </c>
      <c r="K22">
        <v>18.989999999999998</v>
      </c>
      <c r="L22" s="1" t="s">
        <v>60</v>
      </c>
      <c r="M22" s="1" t="s">
        <v>43</v>
      </c>
      <c r="N22" s="1" t="s">
        <v>44</v>
      </c>
      <c r="O22" s="1" t="s">
        <v>31</v>
      </c>
      <c r="P22" s="2">
        <v>45823</v>
      </c>
      <c r="Q22" s="1" t="s">
        <v>140</v>
      </c>
      <c r="R22" s="1" t="s">
        <v>141</v>
      </c>
      <c r="S22" s="1" t="s">
        <v>54</v>
      </c>
      <c r="T22" s="1" t="s">
        <v>35</v>
      </c>
      <c r="U22" s="1" t="s">
        <v>55</v>
      </c>
      <c r="V22" s="1" t="s">
        <v>100</v>
      </c>
      <c r="W22">
        <v>3.2</v>
      </c>
      <c r="X22" s="1">
        <f t="shared" si="0"/>
        <v>7844.9099999999507</v>
      </c>
      <c r="Y22" s="1">
        <f t="shared" si="1"/>
        <v>5710.7699999999695</v>
      </c>
    </row>
    <row r="23" spans="1:26" x14ac:dyDescent="0.3">
      <c r="A23" s="1" t="s">
        <v>142</v>
      </c>
      <c r="B23">
        <v>1</v>
      </c>
      <c r="C23">
        <v>30.99</v>
      </c>
      <c r="D23">
        <v>30.99</v>
      </c>
      <c r="E23" s="1" t="s">
        <v>143</v>
      </c>
      <c r="F23" s="1" t="s">
        <v>40</v>
      </c>
      <c r="G23">
        <v>2</v>
      </c>
      <c r="H23" s="1" t="s">
        <v>58</v>
      </c>
      <c r="I23" s="1" t="s">
        <v>42</v>
      </c>
      <c r="J23">
        <v>10.5</v>
      </c>
      <c r="K23">
        <v>30.99</v>
      </c>
      <c r="L23" s="1" t="s">
        <v>28</v>
      </c>
      <c r="M23" s="1" t="s">
        <v>43</v>
      </c>
      <c r="N23" s="1" t="s">
        <v>44</v>
      </c>
      <c r="O23" s="1" t="s">
        <v>31</v>
      </c>
      <c r="P23" s="2">
        <v>45823</v>
      </c>
      <c r="Q23" s="1" t="s">
        <v>76</v>
      </c>
      <c r="R23" s="1" t="s">
        <v>144</v>
      </c>
      <c r="S23" s="1" t="s">
        <v>34</v>
      </c>
      <c r="T23" s="1" t="s">
        <v>35</v>
      </c>
      <c r="U23" s="1" t="s">
        <v>66</v>
      </c>
      <c r="V23" s="1" t="s">
        <v>37</v>
      </c>
      <c r="W23">
        <v>2</v>
      </c>
      <c r="X23" s="1">
        <f t="shared" si="0"/>
        <v>8640.6199999999462</v>
      </c>
      <c r="Y23" s="1">
        <f t="shared" si="1"/>
        <v>6397.4799999999632</v>
      </c>
    </row>
    <row r="24" spans="1:26" x14ac:dyDescent="0.3">
      <c r="A24" s="1" t="s">
        <v>145</v>
      </c>
      <c r="B24">
        <v>3</v>
      </c>
      <c r="C24">
        <v>16.989999999999998</v>
      </c>
      <c r="D24">
        <v>40.18</v>
      </c>
      <c r="E24" s="1" t="s">
        <v>146</v>
      </c>
      <c r="F24" s="1" t="s">
        <v>51</v>
      </c>
      <c r="G24">
        <v>0</v>
      </c>
      <c r="H24" s="1" t="s">
        <v>26</v>
      </c>
      <c r="I24" s="1" t="s">
        <v>59</v>
      </c>
      <c r="J24">
        <v>5</v>
      </c>
      <c r="K24">
        <v>16.989999999999998</v>
      </c>
      <c r="L24" s="1" t="s">
        <v>60</v>
      </c>
      <c r="M24" s="1" t="s">
        <v>61</v>
      </c>
      <c r="N24" s="1" t="s">
        <v>62</v>
      </c>
      <c r="O24" s="1" t="s">
        <v>31</v>
      </c>
      <c r="P24" s="2">
        <v>45726</v>
      </c>
      <c r="Q24" s="1" t="s">
        <v>147</v>
      </c>
      <c r="R24" s="1" t="s">
        <v>148</v>
      </c>
      <c r="S24" s="1" t="s">
        <v>65</v>
      </c>
      <c r="T24" s="1" t="s">
        <v>35</v>
      </c>
      <c r="U24" s="1" t="s">
        <v>48</v>
      </c>
      <c r="V24" s="1" t="s">
        <v>67</v>
      </c>
      <c r="W24">
        <v>3</v>
      </c>
      <c r="X24" s="1">
        <f t="shared" si="0"/>
        <v>8313.6899999999459</v>
      </c>
      <c r="Y24" s="1">
        <f t="shared" si="1"/>
        <v>7682.919999999951</v>
      </c>
    </row>
    <row r="25" spans="1:26" x14ac:dyDescent="0.3">
      <c r="A25" s="1" t="s">
        <v>149</v>
      </c>
      <c r="B25">
        <v>1</v>
      </c>
      <c r="C25">
        <v>27.99</v>
      </c>
      <c r="D25">
        <v>27.99</v>
      </c>
      <c r="E25" s="1" t="s">
        <v>136</v>
      </c>
      <c r="F25" s="1" t="s">
        <v>70</v>
      </c>
      <c r="G25">
        <v>0</v>
      </c>
      <c r="H25" s="1" t="s">
        <v>41</v>
      </c>
      <c r="I25" s="1" t="s">
        <v>75</v>
      </c>
      <c r="J25">
        <v>9</v>
      </c>
      <c r="K25">
        <v>27.99</v>
      </c>
      <c r="L25" s="1" t="s">
        <v>28</v>
      </c>
      <c r="M25" s="1" t="s">
        <v>61</v>
      </c>
      <c r="N25" s="1" t="s">
        <v>62</v>
      </c>
      <c r="O25" s="1" t="s">
        <v>31</v>
      </c>
      <c r="P25" s="2">
        <v>45726</v>
      </c>
      <c r="Q25" s="1" t="s">
        <v>150</v>
      </c>
      <c r="R25" s="1" t="s">
        <v>151</v>
      </c>
      <c r="S25" s="1" t="s">
        <v>105</v>
      </c>
      <c r="T25" s="1" t="s">
        <v>35</v>
      </c>
      <c r="U25" s="1" t="s">
        <v>55</v>
      </c>
      <c r="V25" s="1" t="s">
        <v>37</v>
      </c>
      <c r="W25">
        <v>2</v>
      </c>
      <c r="X25" s="1">
        <f t="shared" si="0"/>
        <v>8551.6499999999451</v>
      </c>
      <c r="Y25" s="1">
        <f t="shared" si="1"/>
        <v>5710.7699999999695</v>
      </c>
    </row>
    <row r="26" spans="1:26" x14ac:dyDescent="0.3">
      <c r="A26" s="1" t="s">
        <v>152</v>
      </c>
      <c r="B26">
        <v>3</v>
      </c>
      <c r="C26">
        <v>21.99</v>
      </c>
      <c r="D26">
        <v>52.48</v>
      </c>
      <c r="E26" s="1" t="s">
        <v>74</v>
      </c>
      <c r="F26" s="1" t="s">
        <v>40</v>
      </c>
      <c r="G26">
        <v>3</v>
      </c>
      <c r="H26" s="1" t="s">
        <v>41</v>
      </c>
      <c r="I26" s="1" t="s">
        <v>27</v>
      </c>
      <c r="J26">
        <v>7</v>
      </c>
      <c r="K26">
        <v>21.99</v>
      </c>
      <c r="L26" s="1" t="s">
        <v>28</v>
      </c>
      <c r="M26" s="1" t="s">
        <v>29</v>
      </c>
      <c r="N26" s="1" t="s">
        <v>30</v>
      </c>
      <c r="O26" s="1" t="s">
        <v>31</v>
      </c>
      <c r="P26" s="2">
        <v>45778</v>
      </c>
      <c r="Q26" s="1" t="s">
        <v>153</v>
      </c>
      <c r="R26" s="1" t="s">
        <v>154</v>
      </c>
      <c r="S26" s="1" t="s">
        <v>105</v>
      </c>
      <c r="T26" s="1" t="s">
        <v>35</v>
      </c>
      <c r="U26" s="1" t="s">
        <v>48</v>
      </c>
      <c r="V26" s="1" t="s">
        <v>37</v>
      </c>
      <c r="W26">
        <v>2</v>
      </c>
      <c r="X26" s="1">
        <f t="shared" si="0"/>
        <v>8551.6499999999451</v>
      </c>
      <c r="Y26" s="1">
        <f t="shared" si="1"/>
        <v>7682.919999999951</v>
      </c>
    </row>
    <row r="27" spans="1:26" x14ac:dyDescent="0.3">
      <c r="A27" s="1" t="s">
        <v>155</v>
      </c>
      <c r="B27">
        <v>1</v>
      </c>
      <c r="C27">
        <v>16.989999999999998</v>
      </c>
      <c r="D27">
        <v>16.989999999999998</v>
      </c>
      <c r="E27" s="1" t="s">
        <v>156</v>
      </c>
      <c r="F27" s="1" t="s">
        <v>40</v>
      </c>
      <c r="G27">
        <v>20</v>
      </c>
      <c r="H27" s="1" t="s">
        <v>96</v>
      </c>
      <c r="I27" s="1" t="s">
        <v>59</v>
      </c>
      <c r="J27">
        <v>5</v>
      </c>
      <c r="K27">
        <v>16.989999999999998</v>
      </c>
      <c r="L27" s="1" t="s">
        <v>60</v>
      </c>
      <c r="M27" s="1" t="s">
        <v>61</v>
      </c>
      <c r="N27" s="1" t="s">
        <v>62</v>
      </c>
      <c r="O27" s="1" t="s">
        <v>31</v>
      </c>
      <c r="P27" s="2">
        <v>45726</v>
      </c>
      <c r="Q27" s="1" t="s">
        <v>157</v>
      </c>
      <c r="R27" s="1" t="s">
        <v>158</v>
      </c>
      <c r="S27" s="1" t="s">
        <v>34</v>
      </c>
      <c r="T27" s="1" t="s">
        <v>35</v>
      </c>
      <c r="U27" s="1" t="s">
        <v>82</v>
      </c>
      <c r="V27" s="1" t="s">
        <v>67</v>
      </c>
      <c r="W27">
        <v>3</v>
      </c>
      <c r="X27" s="1">
        <f t="shared" si="0"/>
        <v>7844.9099999999507</v>
      </c>
      <c r="Y27" s="1">
        <f t="shared" si="1"/>
        <v>7204.2099999999582</v>
      </c>
    </row>
    <row r="28" spans="1:26" x14ac:dyDescent="0.3">
      <c r="A28" s="1" t="s">
        <v>159</v>
      </c>
      <c r="B28">
        <v>1</v>
      </c>
      <c r="C28">
        <v>18.989999999999998</v>
      </c>
      <c r="D28">
        <v>18.989999999999998</v>
      </c>
      <c r="E28" s="1" t="s">
        <v>160</v>
      </c>
      <c r="F28" s="1" t="s">
        <v>40</v>
      </c>
      <c r="G28">
        <v>12</v>
      </c>
      <c r="H28" s="1" t="s">
        <v>58</v>
      </c>
      <c r="I28" s="1" t="s">
        <v>97</v>
      </c>
      <c r="J28">
        <v>6</v>
      </c>
      <c r="K28">
        <v>18.989999999999998</v>
      </c>
      <c r="L28" s="1" t="s">
        <v>60</v>
      </c>
      <c r="M28" s="1" t="s">
        <v>43</v>
      </c>
      <c r="N28" s="1" t="s">
        <v>44</v>
      </c>
      <c r="O28" s="1" t="s">
        <v>31</v>
      </c>
      <c r="P28" s="2">
        <v>45823</v>
      </c>
      <c r="Q28" s="1" t="s">
        <v>161</v>
      </c>
      <c r="R28" s="1" t="s">
        <v>162</v>
      </c>
      <c r="S28" s="1" t="s">
        <v>54</v>
      </c>
      <c r="T28" s="1" t="s">
        <v>35</v>
      </c>
      <c r="U28" s="1" t="s">
        <v>36</v>
      </c>
      <c r="V28" s="1" t="s">
        <v>100</v>
      </c>
      <c r="W28">
        <v>3.2</v>
      </c>
      <c r="X28" s="1">
        <f t="shared" si="0"/>
        <v>8640.6199999999462</v>
      </c>
      <c r="Y28" s="1">
        <f t="shared" si="1"/>
        <v>6355.4899999999634</v>
      </c>
    </row>
    <row r="29" spans="1:26" x14ac:dyDescent="0.3">
      <c r="A29" s="1" t="s">
        <v>163</v>
      </c>
      <c r="B29">
        <v>3</v>
      </c>
      <c r="C29">
        <v>16.989999999999998</v>
      </c>
      <c r="D29">
        <v>40.18</v>
      </c>
      <c r="E29" s="1" t="s">
        <v>164</v>
      </c>
      <c r="F29" s="1" t="s">
        <v>51</v>
      </c>
      <c r="G29">
        <v>0</v>
      </c>
      <c r="H29" s="1" t="s">
        <v>96</v>
      </c>
      <c r="I29" s="1" t="s">
        <v>59</v>
      </c>
      <c r="J29">
        <v>5</v>
      </c>
      <c r="K29">
        <v>16.989999999999998</v>
      </c>
      <c r="L29" s="1" t="s">
        <v>60</v>
      </c>
      <c r="M29" s="1" t="s">
        <v>61</v>
      </c>
      <c r="N29" s="1" t="s">
        <v>62</v>
      </c>
      <c r="O29" s="1" t="s">
        <v>31</v>
      </c>
      <c r="P29" s="2">
        <v>45726</v>
      </c>
      <c r="Q29" s="1" t="s">
        <v>165</v>
      </c>
      <c r="R29" s="1" t="s">
        <v>166</v>
      </c>
      <c r="S29" s="1" t="s">
        <v>88</v>
      </c>
      <c r="T29" s="1" t="s">
        <v>35</v>
      </c>
      <c r="U29" s="1" t="s">
        <v>66</v>
      </c>
      <c r="V29" s="1" t="s">
        <v>67</v>
      </c>
      <c r="W29">
        <v>3</v>
      </c>
      <c r="X29" s="1">
        <f t="shared" si="0"/>
        <v>7844.9099999999507</v>
      </c>
      <c r="Y29" s="1">
        <f t="shared" si="1"/>
        <v>6397.4799999999632</v>
      </c>
    </row>
    <row r="30" spans="1:26" x14ac:dyDescent="0.3">
      <c r="A30" s="1" t="s">
        <v>167</v>
      </c>
      <c r="B30">
        <v>1</v>
      </c>
      <c r="C30">
        <v>27.99</v>
      </c>
      <c r="D30">
        <v>27.99</v>
      </c>
      <c r="E30" s="1" t="s">
        <v>168</v>
      </c>
      <c r="F30" s="1" t="s">
        <v>51</v>
      </c>
      <c r="G30">
        <v>0</v>
      </c>
      <c r="H30" s="1" t="s">
        <v>96</v>
      </c>
      <c r="I30" s="1" t="s">
        <v>75</v>
      </c>
      <c r="J30">
        <v>9</v>
      </c>
      <c r="K30">
        <v>27.99</v>
      </c>
      <c r="L30" s="1" t="s">
        <v>28</v>
      </c>
      <c r="M30" s="1" t="s">
        <v>61</v>
      </c>
      <c r="N30" s="1" t="s">
        <v>62</v>
      </c>
      <c r="O30" s="1" t="s">
        <v>31</v>
      </c>
      <c r="P30" s="2">
        <v>45726</v>
      </c>
      <c r="Q30" s="1" t="s">
        <v>169</v>
      </c>
      <c r="R30" s="1" t="s">
        <v>170</v>
      </c>
      <c r="S30" s="1" t="s">
        <v>54</v>
      </c>
      <c r="T30" s="1" t="s">
        <v>35</v>
      </c>
      <c r="U30" s="1" t="s">
        <v>66</v>
      </c>
      <c r="V30" s="1" t="s">
        <v>37</v>
      </c>
      <c r="W30">
        <v>2</v>
      </c>
      <c r="X30" s="1">
        <f t="shared" si="0"/>
        <v>7844.9099999999507</v>
      </c>
      <c r="Y30" s="1">
        <f t="shared" si="1"/>
        <v>6397.4799999999632</v>
      </c>
    </row>
    <row r="31" spans="1:26" x14ac:dyDescent="0.3">
      <c r="A31" s="1" t="s">
        <v>171</v>
      </c>
      <c r="B31">
        <v>1</v>
      </c>
      <c r="C31">
        <v>16.989999999999998</v>
      </c>
      <c r="D31">
        <v>16.989999999999998</v>
      </c>
      <c r="E31" s="1" t="s">
        <v>113</v>
      </c>
      <c r="F31" s="1" t="s">
        <v>40</v>
      </c>
      <c r="G31">
        <v>19</v>
      </c>
      <c r="H31" s="1" t="s">
        <v>96</v>
      </c>
      <c r="I31" s="1" t="s">
        <v>59</v>
      </c>
      <c r="J31">
        <v>5</v>
      </c>
      <c r="K31">
        <v>16.989999999999998</v>
      </c>
      <c r="L31" s="1" t="s">
        <v>60</v>
      </c>
      <c r="M31" s="1" t="s">
        <v>61</v>
      </c>
      <c r="N31" s="1" t="s">
        <v>62</v>
      </c>
      <c r="O31" s="1" t="s">
        <v>31</v>
      </c>
      <c r="P31" s="2">
        <v>45726</v>
      </c>
      <c r="Q31" s="1" t="s">
        <v>172</v>
      </c>
      <c r="R31" s="1" t="s">
        <v>173</v>
      </c>
      <c r="S31" s="1" t="s">
        <v>88</v>
      </c>
      <c r="T31" s="1" t="s">
        <v>35</v>
      </c>
      <c r="U31" s="1" t="s">
        <v>82</v>
      </c>
      <c r="V31" s="1" t="s">
        <v>67</v>
      </c>
      <c r="W31">
        <v>3</v>
      </c>
      <c r="X31" s="1">
        <f t="shared" si="0"/>
        <v>7844.9099999999507</v>
      </c>
      <c r="Y31" s="1">
        <f t="shared" si="1"/>
        <v>7204.2099999999582</v>
      </c>
    </row>
    <row r="32" spans="1:26" x14ac:dyDescent="0.3">
      <c r="A32" s="1" t="s">
        <v>174</v>
      </c>
      <c r="B32">
        <v>1</v>
      </c>
      <c r="C32">
        <v>30.99</v>
      </c>
      <c r="D32">
        <v>30.99</v>
      </c>
      <c r="E32" s="1" t="s">
        <v>175</v>
      </c>
      <c r="F32" s="1" t="s">
        <v>40</v>
      </c>
      <c r="G32">
        <v>7</v>
      </c>
      <c r="H32" s="1" t="s">
        <v>96</v>
      </c>
      <c r="I32" s="1" t="s">
        <v>42</v>
      </c>
      <c r="J32">
        <v>10.5</v>
      </c>
      <c r="K32">
        <v>30.99</v>
      </c>
      <c r="L32" s="1" t="s">
        <v>28</v>
      </c>
      <c r="M32" s="1" t="s">
        <v>43</v>
      </c>
      <c r="N32" s="1" t="s">
        <v>44</v>
      </c>
      <c r="O32" s="1" t="s">
        <v>31</v>
      </c>
      <c r="P32" s="2">
        <v>45823</v>
      </c>
      <c r="Q32" s="1" t="s">
        <v>176</v>
      </c>
      <c r="R32" s="1" t="s">
        <v>177</v>
      </c>
      <c r="S32" s="1" t="s">
        <v>65</v>
      </c>
      <c r="T32" s="1" t="s">
        <v>35</v>
      </c>
      <c r="U32" s="1" t="s">
        <v>82</v>
      </c>
      <c r="V32" s="1" t="s">
        <v>37</v>
      </c>
      <c r="W32">
        <v>2</v>
      </c>
      <c r="X32" s="1">
        <f t="shared" si="0"/>
        <v>7844.9099999999507</v>
      </c>
      <c r="Y32" s="1">
        <f t="shared" si="1"/>
        <v>7204.2099999999582</v>
      </c>
    </row>
    <row r="33" spans="1:25" x14ac:dyDescent="0.3">
      <c r="A33" s="1" t="s">
        <v>178</v>
      </c>
      <c r="B33">
        <v>3</v>
      </c>
      <c r="C33">
        <v>18.989999999999998</v>
      </c>
      <c r="D33">
        <v>45.28</v>
      </c>
      <c r="E33" s="1" t="s">
        <v>160</v>
      </c>
      <c r="F33" s="1" t="s">
        <v>40</v>
      </c>
      <c r="G33">
        <v>11</v>
      </c>
      <c r="H33" s="1" t="s">
        <v>96</v>
      </c>
      <c r="I33" s="1" t="s">
        <v>97</v>
      </c>
      <c r="J33">
        <v>6</v>
      </c>
      <c r="K33">
        <v>18.989999999999998</v>
      </c>
      <c r="L33" s="1" t="s">
        <v>60</v>
      </c>
      <c r="M33" s="1" t="s">
        <v>43</v>
      </c>
      <c r="N33" s="1" t="s">
        <v>44</v>
      </c>
      <c r="O33" s="1" t="s">
        <v>31</v>
      </c>
      <c r="P33" s="2">
        <v>45823</v>
      </c>
      <c r="Q33" s="1" t="s">
        <v>161</v>
      </c>
      <c r="R33" s="1" t="s">
        <v>179</v>
      </c>
      <c r="S33" s="1" t="s">
        <v>105</v>
      </c>
      <c r="T33" s="1" t="s">
        <v>35</v>
      </c>
      <c r="U33" s="1" t="s">
        <v>82</v>
      </c>
      <c r="V33" s="1" t="s">
        <v>100</v>
      </c>
      <c r="W33">
        <v>3.2</v>
      </c>
      <c r="X33" s="1">
        <f t="shared" si="0"/>
        <v>7844.9099999999507</v>
      </c>
      <c r="Y33" s="1">
        <f t="shared" si="1"/>
        <v>7204.2099999999582</v>
      </c>
    </row>
    <row r="34" spans="1:25" x14ac:dyDescent="0.3">
      <c r="A34" s="1" t="s">
        <v>180</v>
      </c>
      <c r="B34">
        <v>1</v>
      </c>
      <c r="C34">
        <v>34.99</v>
      </c>
      <c r="D34">
        <v>34.99</v>
      </c>
      <c r="E34" s="1" t="s">
        <v>181</v>
      </c>
      <c r="F34" s="1" t="s">
        <v>40</v>
      </c>
      <c r="G34">
        <v>8</v>
      </c>
      <c r="H34" s="1" t="s">
        <v>41</v>
      </c>
      <c r="I34" s="1" t="s">
        <v>85</v>
      </c>
      <c r="J34">
        <v>12.5</v>
      </c>
      <c r="K34">
        <v>34.99</v>
      </c>
      <c r="L34" s="1" t="s">
        <v>60</v>
      </c>
      <c r="M34" s="1" t="s">
        <v>29</v>
      </c>
      <c r="N34" s="1" t="s">
        <v>30</v>
      </c>
      <c r="O34" s="1" t="s">
        <v>31</v>
      </c>
      <c r="P34" s="2">
        <v>45778</v>
      </c>
      <c r="Q34" s="1" t="s">
        <v>182</v>
      </c>
      <c r="R34" s="1" t="s">
        <v>183</v>
      </c>
      <c r="S34" s="1" t="s">
        <v>47</v>
      </c>
      <c r="T34" s="1" t="s">
        <v>35</v>
      </c>
      <c r="U34" s="1" t="s">
        <v>48</v>
      </c>
      <c r="V34" s="1" t="s">
        <v>89</v>
      </c>
      <c r="W34">
        <v>2.4</v>
      </c>
      <c r="X34" s="1">
        <f t="shared" si="0"/>
        <v>8551.6499999999451</v>
      </c>
      <c r="Y34" s="1">
        <f t="shared" si="1"/>
        <v>7682.919999999951</v>
      </c>
    </row>
    <row r="35" spans="1:25" x14ac:dyDescent="0.3">
      <c r="A35" s="1" t="s">
        <v>184</v>
      </c>
      <c r="B35">
        <v>1</v>
      </c>
      <c r="C35">
        <v>16.989999999999998</v>
      </c>
      <c r="D35">
        <v>16.989999999999998</v>
      </c>
      <c r="E35" s="1" t="s">
        <v>185</v>
      </c>
      <c r="F35" s="1" t="s">
        <v>70</v>
      </c>
      <c r="G35">
        <v>0</v>
      </c>
      <c r="H35" s="1" t="s">
        <v>58</v>
      </c>
      <c r="I35" s="1" t="s">
        <v>59</v>
      </c>
      <c r="J35">
        <v>5</v>
      </c>
      <c r="K35">
        <v>16.989999999999998</v>
      </c>
      <c r="L35" s="1" t="s">
        <v>60</v>
      </c>
      <c r="M35" s="1" t="s">
        <v>61</v>
      </c>
      <c r="N35" s="1" t="s">
        <v>62</v>
      </c>
      <c r="O35" s="1" t="s">
        <v>31</v>
      </c>
      <c r="P35" s="2">
        <v>45726</v>
      </c>
      <c r="Q35" s="1" t="s">
        <v>76</v>
      </c>
      <c r="R35" s="1" t="s">
        <v>77</v>
      </c>
      <c r="S35" s="1" t="s">
        <v>34</v>
      </c>
      <c r="T35" s="1" t="s">
        <v>35</v>
      </c>
      <c r="U35" s="1" t="s">
        <v>36</v>
      </c>
      <c r="V35" s="1" t="s">
        <v>67</v>
      </c>
      <c r="W35">
        <v>3</v>
      </c>
      <c r="X35" s="1">
        <f t="shared" si="0"/>
        <v>8640.6199999999462</v>
      </c>
      <c r="Y35" s="1">
        <f t="shared" si="1"/>
        <v>6355.4899999999634</v>
      </c>
    </row>
    <row r="36" spans="1:25" x14ac:dyDescent="0.3">
      <c r="A36" s="1" t="s">
        <v>186</v>
      </c>
      <c r="B36">
        <v>3</v>
      </c>
      <c r="C36">
        <v>34.99</v>
      </c>
      <c r="D36">
        <v>84.73</v>
      </c>
      <c r="E36" s="1" t="s">
        <v>187</v>
      </c>
      <c r="F36" s="1" t="s">
        <v>188</v>
      </c>
      <c r="G36">
        <v>0</v>
      </c>
      <c r="H36" s="1" t="s">
        <v>26</v>
      </c>
      <c r="I36" s="1" t="s">
        <v>85</v>
      </c>
      <c r="J36">
        <v>12.5</v>
      </c>
      <c r="K36">
        <v>34.99</v>
      </c>
      <c r="L36" s="1" t="s">
        <v>60</v>
      </c>
      <c r="M36" s="1" t="s">
        <v>29</v>
      </c>
      <c r="N36" s="1" t="s">
        <v>30</v>
      </c>
      <c r="O36" s="1" t="s">
        <v>31</v>
      </c>
      <c r="P36" s="2">
        <v>45778</v>
      </c>
      <c r="Q36" s="1" t="s">
        <v>189</v>
      </c>
      <c r="R36" s="1" t="s">
        <v>190</v>
      </c>
      <c r="S36" s="1" t="s">
        <v>65</v>
      </c>
      <c r="T36" s="1" t="s">
        <v>35</v>
      </c>
      <c r="U36" s="1" t="s">
        <v>48</v>
      </c>
      <c r="V36" s="1" t="s">
        <v>89</v>
      </c>
      <c r="W36">
        <v>2.4</v>
      </c>
      <c r="X36" s="1">
        <f t="shared" si="0"/>
        <v>8313.6899999999459</v>
      </c>
      <c r="Y36" s="1">
        <f t="shared" si="1"/>
        <v>7682.919999999951</v>
      </c>
    </row>
    <row r="37" spans="1:25" x14ac:dyDescent="0.3">
      <c r="A37" s="1" t="s">
        <v>191</v>
      </c>
      <c r="B37">
        <v>3</v>
      </c>
      <c r="C37">
        <v>30.99</v>
      </c>
      <c r="D37">
        <v>74.53</v>
      </c>
      <c r="E37" s="1" t="s">
        <v>192</v>
      </c>
      <c r="F37" s="1" t="s">
        <v>40</v>
      </c>
      <c r="G37">
        <v>3</v>
      </c>
      <c r="H37" s="1" t="s">
        <v>26</v>
      </c>
      <c r="I37" s="1" t="s">
        <v>42</v>
      </c>
      <c r="J37">
        <v>10.5</v>
      </c>
      <c r="K37">
        <v>30.99</v>
      </c>
      <c r="L37" s="1" t="s">
        <v>28</v>
      </c>
      <c r="M37" s="1" t="s">
        <v>43</v>
      </c>
      <c r="N37" s="1" t="s">
        <v>44</v>
      </c>
      <c r="O37" s="1" t="s">
        <v>31</v>
      </c>
      <c r="P37" s="2">
        <v>45823</v>
      </c>
      <c r="Q37" s="1" t="s">
        <v>153</v>
      </c>
      <c r="R37" s="1" t="s">
        <v>154</v>
      </c>
      <c r="S37" s="1" t="s">
        <v>105</v>
      </c>
      <c r="T37" s="1" t="s">
        <v>35</v>
      </c>
      <c r="U37" s="1" t="s">
        <v>48</v>
      </c>
      <c r="V37" s="1" t="s">
        <v>37</v>
      </c>
      <c r="W37">
        <v>2</v>
      </c>
      <c r="X37" s="1">
        <f t="shared" si="0"/>
        <v>8313.6899999999459</v>
      </c>
      <c r="Y37" s="1">
        <f t="shared" si="1"/>
        <v>7682.919999999951</v>
      </c>
    </row>
    <row r="38" spans="1:25" x14ac:dyDescent="0.3">
      <c r="A38" s="1" t="s">
        <v>193</v>
      </c>
      <c r="B38">
        <v>1</v>
      </c>
      <c r="C38">
        <v>30.99</v>
      </c>
      <c r="D38">
        <v>30.99</v>
      </c>
      <c r="E38" s="1" t="s">
        <v>168</v>
      </c>
      <c r="F38" s="1" t="s">
        <v>40</v>
      </c>
      <c r="G38">
        <v>3</v>
      </c>
      <c r="H38" s="1" t="s">
        <v>41</v>
      </c>
      <c r="I38" s="1" t="s">
        <v>42</v>
      </c>
      <c r="J38">
        <v>10.5</v>
      </c>
      <c r="K38">
        <v>30.99</v>
      </c>
      <c r="L38" s="1" t="s">
        <v>28</v>
      </c>
      <c r="M38" s="1" t="s">
        <v>43</v>
      </c>
      <c r="N38" s="1" t="s">
        <v>44</v>
      </c>
      <c r="O38" s="1" t="s">
        <v>31</v>
      </c>
      <c r="P38" s="2">
        <v>45823</v>
      </c>
      <c r="Q38" s="1" t="s">
        <v>194</v>
      </c>
      <c r="R38" s="1" t="s">
        <v>195</v>
      </c>
      <c r="S38" s="1" t="s">
        <v>88</v>
      </c>
      <c r="T38" s="1" t="s">
        <v>35</v>
      </c>
      <c r="U38" s="1" t="s">
        <v>48</v>
      </c>
      <c r="V38" s="1" t="s">
        <v>37</v>
      </c>
      <c r="W38">
        <v>2</v>
      </c>
      <c r="X38" s="1">
        <f t="shared" si="0"/>
        <v>8551.6499999999451</v>
      </c>
      <c r="Y38" s="1">
        <f t="shared" si="1"/>
        <v>7682.919999999951</v>
      </c>
    </row>
    <row r="39" spans="1:25" x14ac:dyDescent="0.3">
      <c r="A39" s="1" t="s">
        <v>196</v>
      </c>
      <c r="B39">
        <v>1</v>
      </c>
      <c r="C39">
        <v>21.99</v>
      </c>
      <c r="D39">
        <v>21.99</v>
      </c>
      <c r="E39" s="1" t="s">
        <v>197</v>
      </c>
      <c r="F39" s="1" t="s">
        <v>51</v>
      </c>
      <c r="G39">
        <v>0</v>
      </c>
      <c r="H39" s="1" t="s">
        <v>26</v>
      </c>
      <c r="I39" s="1" t="s">
        <v>27</v>
      </c>
      <c r="J39">
        <v>7</v>
      </c>
      <c r="K39">
        <v>21.99</v>
      </c>
      <c r="L39" s="1" t="s">
        <v>28</v>
      </c>
      <c r="M39" s="1" t="s">
        <v>29</v>
      </c>
      <c r="N39" s="1" t="s">
        <v>30</v>
      </c>
      <c r="O39" s="1" t="s">
        <v>31</v>
      </c>
      <c r="P39" s="2">
        <v>45778</v>
      </c>
      <c r="Q39" s="1" t="s">
        <v>103</v>
      </c>
      <c r="R39" s="1" t="s">
        <v>198</v>
      </c>
      <c r="S39" s="1" t="s">
        <v>54</v>
      </c>
      <c r="T39" s="1" t="s">
        <v>35</v>
      </c>
      <c r="U39" s="1" t="s">
        <v>82</v>
      </c>
      <c r="V39" s="1" t="s">
        <v>37</v>
      </c>
      <c r="W39">
        <v>2</v>
      </c>
      <c r="X39" s="1">
        <f t="shared" si="0"/>
        <v>8313.6899999999459</v>
      </c>
      <c r="Y39" s="1">
        <f t="shared" si="1"/>
        <v>7204.2099999999582</v>
      </c>
    </row>
    <row r="40" spans="1:25" x14ac:dyDescent="0.3">
      <c r="A40" s="1" t="s">
        <v>199</v>
      </c>
      <c r="B40">
        <v>1</v>
      </c>
      <c r="C40">
        <v>30.99</v>
      </c>
      <c r="D40">
        <v>30.99</v>
      </c>
      <c r="E40" s="1" t="s">
        <v>200</v>
      </c>
      <c r="F40" s="1" t="s">
        <v>40</v>
      </c>
      <c r="G40">
        <v>3</v>
      </c>
      <c r="H40" s="1" t="s">
        <v>96</v>
      </c>
      <c r="I40" s="1" t="s">
        <v>42</v>
      </c>
      <c r="J40">
        <v>10.5</v>
      </c>
      <c r="K40">
        <v>30.99</v>
      </c>
      <c r="L40" s="1" t="s">
        <v>28</v>
      </c>
      <c r="M40" s="1" t="s">
        <v>43</v>
      </c>
      <c r="N40" s="1" t="s">
        <v>44</v>
      </c>
      <c r="O40" s="1" t="s">
        <v>31</v>
      </c>
      <c r="P40" s="2">
        <v>45823</v>
      </c>
      <c r="Q40" s="1" t="s">
        <v>32</v>
      </c>
      <c r="R40" s="1" t="s">
        <v>33</v>
      </c>
      <c r="S40" s="1" t="s">
        <v>34</v>
      </c>
      <c r="T40" s="1" t="s">
        <v>35</v>
      </c>
      <c r="U40" s="1" t="s">
        <v>36</v>
      </c>
      <c r="V40" s="1" t="s">
        <v>37</v>
      </c>
      <c r="W40">
        <v>2</v>
      </c>
      <c r="X40" s="1">
        <f t="shared" si="0"/>
        <v>7844.9099999999507</v>
      </c>
      <c r="Y40" s="1">
        <f t="shared" si="1"/>
        <v>6355.4899999999634</v>
      </c>
    </row>
    <row r="41" spans="1:25" x14ac:dyDescent="0.3">
      <c r="A41" s="1" t="s">
        <v>201</v>
      </c>
      <c r="B41">
        <v>1</v>
      </c>
      <c r="C41">
        <v>18.989999999999998</v>
      </c>
      <c r="D41">
        <v>18.989999999999998</v>
      </c>
      <c r="E41" s="1" t="s">
        <v>202</v>
      </c>
      <c r="F41" s="1" t="s">
        <v>40</v>
      </c>
      <c r="G41">
        <v>14</v>
      </c>
      <c r="H41" s="1" t="s">
        <v>96</v>
      </c>
      <c r="I41" s="1" t="s">
        <v>97</v>
      </c>
      <c r="J41">
        <v>6</v>
      </c>
      <c r="K41">
        <v>18.989999999999998</v>
      </c>
      <c r="L41" s="1" t="s">
        <v>60</v>
      </c>
      <c r="M41" s="1" t="s">
        <v>43</v>
      </c>
      <c r="N41" s="1" t="s">
        <v>44</v>
      </c>
      <c r="O41" s="1" t="s">
        <v>31</v>
      </c>
      <c r="P41" s="2">
        <v>45823</v>
      </c>
      <c r="Q41" s="1" t="s">
        <v>203</v>
      </c>
      <c r="R41" s="1" t="s">
        <v>204</v>
      </c>
      <c r="S41" s="1" t="s">
        <v>65</v>
      </c>
      <c r="T41" s="1" t="s">
        <v>35</v>
      </c>
      <c r="U41" s="1" t="s">
        <v>66</v>
      </c>
      <c r="V41" s="1" t="s">
        <v>100</v>
      </c>
      <c r="W41">
        <v>3.2</v>
      </c>
      <c r="X41" s="1">
        <f t="shared" si="0"/>
        <v>7844.9099999999507</v>
      </c>
      <c r="Y41" s="1">
        <f t="shared" si="1"/>
        <v>6397.4799999999632</v>
      </c>
    </row>
    <row r="42" spans="1:25" x14ac:dyDescent="0.3">
      <c r="A42" s="1" t="s">
        <v>205</v>
      </c>
      <c r="B42">
        <v>1</v>
      </c>
      <c r="C42">
        <v>27.99</v>
      </c>
      <c r="D42">
        <v>27.99</v>
      </c>
      <c r="E42" s="1" t="s">
        <v>200</v>
      </c>
      <c r="F42" s="1" t="s">
        <v>40</v>
      </c>
      <c r="G42">
        <v>3</v>
      </c>
      <c r="H42" s="1" t="s">
        <v>41</v>
      </c>
      <c r="I42" s="1" t="s">
        <v>75</v>
      </c>
      <c r="J42">
        <v>9</v>
      </c>
      <c r="K42">
        <v>27.99</v>
      </c>
      <c r="L42" s="1" t="s">
        <v>28</v>
      </c>
      <c r="M42" s="1" t="s">
        <v>61</v>
      </c>
      <c r="N42" s="1" t="s">
        <v>62</v>
      </c>
      <c r="O42" s="1" t="s">
        <v>31</v>
      </c>
      <c r="P42" s="2">
        <v>45726</v>
      </c>
      <c r="Q42" s="1" t="s">
        <v>206</v>
      </c>
      <c r="R42" s="1" t="s">
        <v>207</v>
      </c>
      <c r="S42" s="1" t="s">
        <v>34</v>
      </c>
      <c r="T42" s="1" t="s">
        <v>35</v>
      </c>
      <c r="U42" s="1" t="s">
        <v>66</v>
      </c>
      <c r="V42" s="1" t="s">
        <v>37</v>
      </c>
      <c r="W42">
        <v>2</v>
      </c>
      <c r="X42" s="1">
        <f t="shared" si="0"/>
        <v>8551.6499999999451</v>
      </c>
      <c r="Y42" s="1">
        <f t="shared" si="1"/>
        <v>6397.4799999999632</v>
      </c>
    </row>
    <row r="43" spans="1:25" x14ac:dyDescent="0.3">
      <c r="A43" s="1" t="s">
        <v>208</v>
      </c>
      <c r="B43">
        <v>1</v>
      </c>
      <c r="C43">
        <v>18.989999999999998</v>
      </c>
      <c r="D43">
        <v>18.989999999999998</v>
      </c>
      <c r="E43" s="1" t="s">
        <v>209</v>
      </c>
      <c r="F43" s="1" t="s">
        <v>40</v>
      </c>
      <c r="G43">
        <v>18</v>
      </c>
      <c r="H43" s="1" t="s">
        <v>96</v>
      </c>
      <c r="I43" s="1" t="s">
        <v>97</v>
      </c>
      <c r="J43">
        <v>6</v>
      </c>
      <c r="K43">
        <v>18.989999999999998</v>
      </c>
      <c r="L43" s="1" t="s">
        <v>60</v>
      </c>
      <c r="M43" s="1" t="s">
        <v>43</v>
      </c>
      <c r="N43" s="1" t="s">
        <v>44</v>
      </c>
      <c r="O43" s="1" t="s">
        <v>31</v>
      </c>
      <c r="P43" s="2">
        <v>45823</v>
      </c>
      <c r="Q43" s="1" t="s">
        <v>210</v>
      </c>
      <c r="R43" s="1" t="s">
        <v>211</v>
      </c>
      <c r="S43" s="1" t="s">
        <v>34</v>
      </c>
      <c r="T43" s="1" t="s">
        <v>35</v>
      </c>
      <c r="U43" s="1" t="s">
        <v>48</v>
      </c>
      <c r="V43" s="1" t="s">
        <v>100</v>
      </c>
      <c r="W43">
        <v>3.2</v>
      </c>
      <c r="X43" s="1">
        <f t="shared" si="0"/>
        <v>7844.9099999999507</v>
      </c>
      <c r="Y43" s="1">
        <f t="shared" si="1"/>
        <v>7682.919999999951</v>
      </c>
    </row>
    <row r="44" spans="1:25" x14ac:dyDescent="0.3">
      <c r="A44" s="1" t="s">
        <v>212</v>
      </c>
      <c r="B44">
        <v>1</v>
      </c>
      <c r="C44">
        <v>18.989999999999998</v>
      </c>
      <c r="D44">
        <v>18.989999999999998</v>
      </c>
      <c r="E44" s="1" t="s">
        <v>121</v>
      </c>
      <c r="F44" s="1" t="s">
        <v>40</v>
      </c>
      <c r="G44">
        <v>11</v>
      </c>
      <c r="H44" s="1" t="s">
        <v>26</v>
      </c>
      <c r="I44" s="1" t="s">
        <v>97</v>
      </c>
      <c r="J44">
        <v>6</v>
      </c>
      <c r="K44">
        <v>18.989999999999998</v>
      </c>
      <c r="L44" s="1" t="s">
        <v>60</v>
      </c>
      <c r="M44" s="1" t="s">
        <v>43</v>
      </c>
      <c r="N44" s="1" t="s">
        <v>44</v>
      </c>
      <c r="O44" s="1" t="s">
        <v>31</v>
      </c>
      <c r="P44" s="2">
        <v>45823</v>
      </c>
      <c r="Q44" s="1" t="s">
        <v>137</v>
      </c>
      <c r="R44" s="1" t="s">
        <v>138</v>
      </c>
      <c r="S44" s="1" t="s">
        <v>34</v>
      </c>
      <c r="T44" s="1" t="s">
        <v>35</v>
      </c>
      <c r="U44" s="1" t="s">
        <v>82</v>
      </c>
      <c r="V44" s="1" t="s">
        <v>100</v>
      </c>
      <c r="W44">
        <v>3.2</v>
      </c>
      <c r="X44" s="1">
        <f t="shared" si="0"/>
        <v>8313.6899999999459</v>
      </c>
      <c r="Y44" s="1">
        <f t="shared" si="1"/>
        <v>7204.2099999999582</v>
      </c>
    </row>
    <row r="45" spans="1:25" x14ac:dyDescent="0.3">
      <c r="A45" s="1" t="s">
        <v>213</v>
      </c>
      <c r="B45">
        <v>1</v>
      </c>
      <c r="C45">
        <v>18.989999999999998</v>
      </c>
      <c r="D45">
        <v>18.989999999999998</v>
      </c>
      <c r="E45" s="1" t="s">
        <v>214</v>
      </c>
      <c r="F45" s="1" t="s">
        <v>40</v>
      </c>
      <c r="G45">
        <v>20</v>
      </c>
      <c r="H45" s="1" t="s">
        <v>26</v>
      </c>
      <c r="I45" s="1" t="s">
        <v>97</v>
      </c>
      <c r="J45">
        <v>6</v>
      </c>
      <c r="K45">
        <v>18.989999999999998</v>
      </c>
      <c r="L45" s="1" t="s">
        <v>60</v>
      </c>
      <c r="M45" s="1" t="s">
        <v>43</v>
      </c>
      <c r="N45" s="1" t="s">
        <v>44</v>
      </c>
      <c r="O45" s="1" t="s">
        <v>31</v>
      </c>
      <c r="P45" s="2">
        <v>45823</v>
      </c>
      <c r="Q45" s="1" t="s">
        <v>140</v>
      </c>
      <c r="R45" s="1" t="s">
        <v>141</v>
      </c>
      <c r="S45" s="1" t="s">
        <v>54</v>
      </c>
      <c r="T45" s="1" t="s">
        <v>35</v>
      </c>
      <c r="U45" s="1" t="s">
        <v>55</v>
      </c>
      <c r="V45" s="1" t="s">
        <v>100</v>
      </c>
      <c r="W45">
        <v>3.2</v>
      </c>
      <c r="X45" s="1">
        <f t="shared" si="0"/>
        <v>8313.6899999999459</v>
      </c>
      <c r="Y45" s="1">
        <f t="shared" si="1"/>
        <v>5710.7699999999695</v>
      </c>
    </row>
    <row r="46" spans="1:25" x14ac:dyDescent="0.3">
      <c r="A46" s="1" t="s">
        <v>215</v>
      </c>
      <c r="B46">
        <v>1</v>
      </c>
      <c r="C46">
        <v>16.989999999999998</v>
      </c>
      <c r="D46">
        <v>16.989999999999998</v>
      </c>
      <c r="E46" s="1" t="s">
        <v>102</v>
      </c>
      <c r="F46" s="1" t="s">
        <v>40</v>
      </c>
      <c r="G46">
        <v>16</v>
      </c>
      <c r="H46" s="1" t="s">
        <v>96</v>
      </c>
      <c r="I46" s="1" t="s">
        <v>59</v>
      </c>
      <c r="J46">
        <v>5</v>
      </c>
      <c r="K46">
        <v>16.989999999999998</v>
      </c>
      <c r="L46" s="1" t="s">
        <v>60</v>
      </c>
      <c r="M46" s="1" t="s">
        <v>61</v>
      </c>
      <c r="N46" s="1" t="s">
        <v>62</v>
      </c>
      <c r="O46" s="1" t="s">
        <v>31</v>
      </c>
      <c r="P46" s="2">
        <v>45726</v>
      </c>
      <c r="Q46" s="1" t="s">
        <v>216</v>
      </c>
      <c r="R46" s="1" t="s">
        <v>217</v>
      </c>
      <c r="S46" s="1" t="s">
        <v>65</v>
      </c>
      <c r="T46" s="1" t="s">
        <v>35</v>
      </c>
      <c r="U46" s="1" t="s">
        <v>82</v>
      </c>
      <c r="V46" s="1" t="s">
        <v>67</v>
      </c>
      <c r="W46">
        <v>3</v>
      </c>
      <c r="X46" s="1">
        <f t="shared" si="0"/>
        <v>7844.9099999999507</v>
      </c>
      <c r="Y46" s="1">
        <f t="shared" si="1"/>
        <v>7204.2099999999582</v>
      </c>
    </row>
    <row r="47" spans="1:25" x14ac:dyDescent="0.3">
      <c r="A47" s="1" t="s">
        <v>218</v>
      </c>
      <c r="B47">
        <v>1</v>
      </c>
      <c r="C47">
        <v>18.989999999999998</v>
      </c>
      <c r="D47">
        <v>18.989999999999998</v>
      </c>
      <c r="E47" s="1" t="s">
        <v>57</v>
      </c>
      <c r="F47" s="1" t="s">
        <v>40</v>
      </c>
      <c r="G47">
        <v>14</v>
      </c>
      <c r="H47" s="1" t="s">
        <v>58</v>
      </c>
      <c r="I47" s="1" t="s">
        <v>97</v>
      </c>
      <c r="J47">
        <v>6</v>
      </c>
      <c r="K47">
        <v>18.989999999999998</v>
      </c>
      <c r="L47" s="1" t="s">
        <v>60</v>
      </c>
      <c r="M47" s="1" t="s">
        <v>43</v>
      </c>
      <c r="N47" s="1" t="s">
        <v>44</v>
      </c>
      <c r="O47" s="1" t="s">
        <v>31</v>
      </c>
      <c r="P47" s="2">
        <v>45823</v>
      </c>
      <c r="Q47" s="1" t="s">
        <v>219</v>
      </c>
      <c r="R47" s="1" t="s">
        <v>220</v>
      </c>
      <c r="S47" s="1" t="s">
        <v>54</v>
      </c>
      <c r="T47" s="1" t="s">
        <v>35</v>
      </c>
      <c r="U47" s="1" t="s">
        <v>55</v>
      </c>
      <c r="V47" s="1" t="s">
        <v>100</v>
      </c>
      <c r="W47">
        <v>3.2</v>
      </c>
      <c r="X47" s="1">
        <f t="shared" si="0"/>
        <v>8640.6199999999462</v>
      </c>
      <c r="Y47" s="1">
        <f t="shared" si="1"/>
        <v>5710.7699999999695</v>
      </c>
    </row>
    <row r="48" spans="1:25" x14ac:dyDescent="0.3">
      <c r="A48" s="1" t="s">
        <v>221</v>
      </c>
      <c r="B48">
        <v>1</v>
      </c>
      <c r="C48">
        <v>21.99</v>
      </c>
      <c r="D48">
        <v>21.99</v>
      </c>
      <c r="E48" s="1" t="s">
        <v>222</v>
      </c>
      <c r="F48" s="1" t="s">
        <v>25</v>
      </c>
      <c r="G48">
        <v>2</v>
      </c>
      <c r="H48" s="1" t="s">
        <v>58</v>
      </c>
      <c r="I48" s="1" t="s">
        <v>27</v>
      </c>
      <c r="J48">
        <v>7</v>
      </c>
      <c r="K48">
        <v>21.99</v>
      </c>
      <c r="L48" s="1" t="s">
        <v>28</v>
      </c>
      <c r="M48" s="1" t="s">
        <v>29</v>
      </c>
      <c r="N48" s="1" t="s">
        <v>30</v>
      </c>
      <c r="O48" s="1" t="s">
        <v>31</v>
      </c>
      <c r="P48" s="2">
        <v>45778</v>
      </c>
      <c r="Q48" s="1" t="s">
        <v>216</v>
      </c>
      <c r="R48" s="1" t="s">
        <v>217</v>
      </c>
      <c r="S48" s="1" t="s">
        <v>65</v>
      </c>
      <c r="T48" s="1" t="s">
        <v>35</v>
      </c>
      <c r="U48" s="1" t="s">
        <v>82</v>
      </c>
      <c r="V48" s="1" t="s">
        <v>37</v>
      </c>
      <c r="W48">
        <v>2</v>
      </c>
      <c r="X48" s="1">
        <f t="shared" si="0"/>
        <v>8640.6199999999462</v>
      </c>
      <c r="Y48" s="1">
        <f t="shared" si="1"/>
        <v>7204.2099999999582</v>
      </c>
    </row>
    <row r="49" spans="1:25" x14ac:dyDescent="0.3">
      <c r="A49" s="1" t="s">
        <v>223</v>
      </c>
      <c r="B49">
        <v>2</v>
      </c>
      <c r="C49">
        <v>30.99</v>
      </c>
      <c r="D49">
        <v>53.78</v>
      </c>
      <c r="E49" s="1" t="s">
        <v>224</v>
      </c>
      <c r="F49" s="1" t="s">
        <v>70</v>
      </c>
      <c r="G49">
        <v>0</v>
      </c>
      <c r="H49" s="1" t="s">
        <v>41</v>
      </c>
      <c r="I49" s="1" t="s">
        <v>42</v>
      </c>
      <c r="J49">
        <v>10.5</v>
      </c>
      <c r="K49">
        <v>30.99</v>
      </c>
      <c r="L49" s="1" t="s">
        <v>28</v>
      </c>
      <c r="M49" s="1" t="s">
        <v>43</v>
      </c>
      <c r="N49" s="1" t="s">
        <v>44</v>
      </c>
      <c r="O49" s="1" t="s">
        <v>31</v>
      </c>
      <c r="P49" s="2">
        <v>45823</v>
      </c>
      <c r="Q49" s="1" t="s">
        <v>225</v>
      </c>
      <c r="R49" s="1" t="s">
        <v>226</v>
      </c>
      <c r="S49" s="1" t="s">
        <v>105</v>
      </c>
      <c r="T49" s="1" t="s">
        <v>35</v>
      </c>
      <c r="U49" s="1" t="s">
        <v>36</v>
      </c>
      <c r="V49" s="1" t="s">
        <v>37</v>
      </c>
      <c r="W49">
        <v>2</v>
      </c>
      <c r="X49" s="1">
        <f t="shared" si="0"/>
        <v>8551.6499999999451</v>
      </c>
      <c r="Y49" s="1">
        <f t="shared" si="1"/>
        <v>6355.4899999999634</v>
      </c>
    </row>
    <row r="50" spans="1:25" x14ac:dyDescent="0.3">
      <c r="A50" s="1" t="s">
        <v>227</v>
      </c>
      <c r="B50">
        <v>2</v>
      </c>
      <c r="C50">
        <v>21.99</v>
      </c>
      <c r="D50">
        <v>37.979999999999997</v>
      </c>
      <c r="E50" s="1" t="s">
        <v>228</v>
      </c>
      <c r="F50" s="1" t="s">
        <v>25</v>
      </c>
      <c r="G50">
        <v>3</v>
      </c>
      <c r="H50" s="1" t="s">
        <v>26</v>
      </c>
      <c r="I50" s="1" t="s">
        <v>27</v>
      </c>
      <c r="J50">
        <v>7</v>
      </c>
      <c r="K50">
        <v>21.99</v>
      </c>
      <c r="L50" s="1" t="s">
        <v>28</v>
      </c>
      <c r="M50" s="1" t="s">
        <v>29</v>
      </c>
      <c r="N50" s="1" t="s">
        <v>30</v>
      </c>
      <c r="O50" s="1" t="s">
        <v>31</v>
      </c>
      <c r="P50" s="2">
        <v>45778</v>
      </c>
      <c r="Q50" s="1" t="s">
        <v>80</v>
      </c>
      <c r="R50" s="1" t="s">
        <v>229</v>
      </c>
      <c r="S50" s="1" t="s">
        <v>34</v>
      </c>
      <c r="T50" s="1" t="s">
        <v>35</v>
      </c>
      <c r="U50" s="1" t="s">
        <v>36</v>
      </c>
      <c r="V50" s="1" t="s">
        <v>37</v>
      </c>
      <c r="W50">
        <v>2</v>
      </c>
      <c r="X50" s="1">
        <f t="shared" si="0"/>
        <v>8313.6899999999459</v>
      </c>
      <c r="Y50" s="1">
        <f t="shared" si="1"/>
        <v>6355.4899999999634</v>
      </c>
    </row>
    <row r="51" spans="1:25" x14ac:dyDescent="0.3">
      <c r="A51" s="1" t="s">
        <v>230</v>
      </c>
      <c r="B51">
        <v>2</v>
      </c>
      <c r="C51">
        <v>16.989999999999998</v>
      </c>
      <c r="D51">
        <v>29.18</v>
      </c>
      <c r="E51" s="1" t="s">
        <v>69</v>
      </c>
      <c r="F51" s="1" t="s">
        <v>188</v>
      </c>
      <c r="G51">
        <v>0</v>
      </c>
      <c r="H51" s="1" t="s">
        <v>58</v>
      </c>
      <c r="I51" s="1" t="s">
        <v>59</v>
      </c>
      <c r="J51">
        <v>5</v>
      </c>
      <c r="K51">
        <v>16.989999999999998</v>
      </c>
      <c r="L51" s="1" t="s">
        <v>60</v>
      </c>
      <c r="M51" s="1" t="s">
        <v>61</v>
      </c>
      <c r="N51" s="1" t="s">
        <v>62</v>
      </c>
      <c r="O51" s="1" t="s">
        <v>31</v>
      </c>
      <c r="P51" s="2">
        <v>45726</v>
      </c>
      <c r="Q51" s="1" t="s">
        <v>231</v>
      </c>
      <c r="R51" s="1" t="s">
        <v>232</v>
      </c>
      <c r="S51" s="1" t="s">
        <v>105</v>
      </c>
      <c r="T51" s="1" t="s">
        <v>35</v>
      </c>
      <c r="U51" s="1" t="s">
        <v>36</v>
      </c>
      <c r="V51" s="1" t="s">
        <v>67</v>
      </c>
      <c r="W51">
        <v>3</v>
      </c>
      <c r="X51" s="1">
        <f t="shared" si="0"/>
        <v>8640.6199999999462</v>
      </c>
      <c r="Y51" s="1">
        <f t="shared" si="1"/>
        <v>6355.4899999999634</v>
      </c>
    </row>
    <row r="52" spans="1:25" x14ac:dyDescent="0.3">
      <c r="A52" s="1" t="s">
        <v>233</v>
      </c>
      <c r="B52">
        <v>1</v>
      </c>
      <c r="C52">
        <v>34.99</v>
      </c>
      <c r="D52">
        <v>34.99</v>
      </c>
      <c r="E52" s="1" t="s">
        <v>128</v>
      </c>
      <c r="F52" s="1" t="s">
        <v>188</v>
      </c>
      <c r="G52">
        <v>0</v>
      </c>
      <c r="H52" s="1" t="s">
        <v>58</v>
      </c>
      <c r="I52" s="1" t="s">
        <v>85</v>
      </c>
      <c r="J52">
        <v>12.5</v>
      </c>
      <c r="K52">
        <v>34.99</v>
      </c>
      <c r="L52" s="1" t="s">
        <v>60</v>
      </c>
      <c r="M52" s="1" t="s">
        <v>29</v>
      </c>
      <c r="N52" s="1" t="s">
        <v>30</v>
      </c>
      <c r="O52" s="1" t="s">
        <v>31</v>
      </c>
      <c r="P52" s="2">
        <v>45778</v>
      </c>
      <c r="Q52" s="1" t="s">
        <v>234</v>
      </c>
      <c r="R52" s="1" t="s">
        <v>235</v>
      </c>
      <c r="S52" s="1" t="s">
        <v>105</v>
      </c>
      <c r="T52" s="1" t="s">
        <v>35</v>
      </c>
      <c r="U52" s="1" t="s">
        <v>48</v>
      </c>
      <c r="V52" s="1" t="s">
        <v>89</v>
      </c>
      <c r="W52">
        <v>2.4</v>
      </c>
      <c r="X52" s="1">
        <f t="shared" si="0"/>
        <v>8640.6199999999462</v>
      </c>
      <c r="Y52" s="1">
        <f t="shared" si="1"/>
        <v>7682.919999999951</v>
      </c>
    </row>
    <row r="53" spans="1:25" x14ac:dyDescent="0.3">
      <c r="A53" s="1" t="s">
        <v>236</v>
      </c>
      <c r="B53">
        <v>1</v>
      </c>
      <c r="C53">
        <v>16.989999999999998</v>
      </c>
      <c r="D53">
        <v>16.989999999999998</v>
      </c>
      <c r="E53" s="1" t="s">
        <v>237</v>
      </c>
      <c r="F53" s="1" t="s">
        <v>51</v>
      </c>
      <c r="G53">
        <v>0</v>
      </c>
      <c r="H53" s="1" t="s">
        <v>58</v>
      </c>
      <c r="I53" s="1" t="s">
        <v>59</v>
      </c>
      <c r="J53">
        <v>5</v>
      </c>
      <c r="K53">
        <v>16.989999999999998</v>
      </c>
      <c r="L53" s="1" t="s">
        <v>60</v>
      </c>
      <c r="M53" s="1" t="s">
        <v>61</v>
      </c>
      <c r="N53" s="1" t="s">
        <v>62</v>
      </c>
      <c r="O53" s="1" t="s">
        <v>31</v>
      </c>
      <c r="P53" s="2">
        <v>45726</v>
      </c>
      <c r="Q53" s="1" t="s">
        <v>238</v>
      </c>
      <c r="R53" s="1" t="s">
        <v>239</v>
      </c>
      <c r="S53" s="1" t="s">
        <v>65</v>
      </c>
      <c r="T53" s="1" t="s">
        <v>35</v>
      </c>
      <c r="U53" s="1" t="s">
        <v>66</v>
      </c>
      <c r="V53" s="1" t="s">
        <v>67</v>
      </c>
      <c r="W53">
        <v>3</v>
      </c>
      <c r="X53" s="1">
        <f t="shared" si="0"/>
        <v>8640.6199999999462</v>
      </c>
      <c r="Y53" s="1">
        <f t="shared" si="1"/>
        <v>6397.4799999999632</v>
      </c>
    </row>
    <row r="54" spans="1:25" x14ac:dyDescent="0.3">
      <c r="A54" s="1" t="s">
        <v>240</v>
      </c>
      <c r="B54">
        <v>3</v>
      </c>
      <c r="C54">
        <v>18.989999999999998</v>
      </c>
      <c r="D54">
        <v>45.28</v>
      </c>
      <c r="E54" s="1" t="s">
        <v>168</v>
      </c>
      <c r="F54" s="1" t="s">
        <v>40</v>
      </c>
      <c r="G54">
        <v>10</v>
      </c>
      <c r="H54" s="1" t="s">
        <v>58</v>
      </c>
      <c r="I54" s="1" t="s">
        <v>97</v>
      </c>
      <c r="J54">
        <v>6</v>
      </c>
      <c r="K54">
        <v>18.989999999999998</v>
      </c>
      <c r="L54" s="1" t="s">
        <v>60</v>
      </c>
      <c r="M54" s="1" t="s">
        <v>43</v>
      </c>
      <c r="N54" s="1" t="s">
        <v>44</v>
      </c>
      <c r="O54" s="1" t="s">
        <v>31</v>
      </c>
      <c r="P54" s="2">
        <v>45823</v>
      </c>
      <c r="Q54" s="1" t="s">
        <v>241</v>
      </c>
      <c r="R54" s="1" t="s">
        <v>242</v>
      </c>
      <c r="S54" s="1" t="s">
        <v>65</v>
      </c>
      <c r="T54" s="1" t="s">
        <v>35</v>
      </c>
      <c r="U54" s="1" t="s">
        <v>55</v>
      </c>
      <c r="V54" s="1" t="s">
        <v>100</v>
      </c>
      <c r="W54">
        <v>3.2</v>
      </c>
      <c r="X54" s="1">
        <f t="shared" si="0"/>
        <v>8640.6199999999462</v>
      </c>
      <c r="Y54" s="1">
        <f t="shared" si="1"/>
        <v>5710.7699999999695</v>
      </c>
    </row>
    <row r="55" spans="1:25" x14ac:dyDescent="0.3">
      <c r="A55" s="1" t="s">
        <v>243</v>
      </c>
      <c r="B55">
        <v>1</v>
      </c>
      <c r="C55">
        <v>18.989999999999998</v>
      </c>
      <c r="D55">
        <v>18.989999999999998</v>
      </c>
      <c r="E55" s="1" t="s">
        <v>244</v>
      </c>
      <c r="F55" s="1" t="s">
        <v>40</v>
      </c>
      <c r="G55">
        <v>14</v>
      </c>
      <c r="H55" s="1" t="s">
        <v>58</v>
      </c>
      <c r="I55" s="1" t="s">
        <v>97</v>
      </c>
      <c r="J55">
        <v>6</v>
      </c>
      <c r="K55">
        <v>18.989999999999998</v>
      </c>
      <c r="L55" s="1" t="s">
        <v>60</v>
      </c>
      <c r="M55" s="1" t="s">
        <v>43</v>
      </c>
      <c r="N55" s="1" t="s">
        <v>44</v>
      </c>
      <c r="O55" s="1" t="s">
        <v>31</v>
      </c>
      <c r="P55" s="2">
        <v>45823</v>
      </c>
      <c r="Q55" s="1" t="s">
        <v>133</v>
      </c>
      <c r="R55" s="1" t="s">
        <v>134</v>
      </c>
      <c r="S55" s="1" t="s">
        <v>65</v>
      </c>
      <c r="T55" s="1" t="s">
        <v>35</v>
      </c>
      <c r="U55" s="1" t="s">
        <v>66</v>
      </c>
      <c r="V55" s="1" t="s">
        <v>100</v>
      </c>
      <c r="W55">
        <v>3.2</v>
      </c>
      <c r="X55" s="1">
        <f t="shared" si="0"/>
        <v>8640.6199999999462</v>
      </c>
      <c r="Y55" s="1">
        <f t="shared" si="1"/>
        <v>6397.4799999999632</v>
      </c>
    </row>
    <row r="56" spans="1:25" x14ac:dyDescent="0.3">
      <c r="A56" s="1" t="s">
        <v>245</v>
      </c>
      <c r="B56">
        <v>1</v>
      </c>
      <c r="C56">
        <v>21.99</v>
      </c>
      <c r="D56">
        <v>21.99</v>
      </c>
      <c r="E56" s="1" t="s">
        <v>246</v>
      </c>
      <c r="F56" s="1" t="s">
        <v>40</v>
      </c>
      <c r="G56">
        <v>2</v>
      </c>
      <c r="H56" s="1" t="s">
        <v>26</v>
      </c>
      <c r="I56" s="1" t="s">
        <v>27</v>
      </c>
      <c r="J56">
        <v>7</v>
      </c>
      <c r="K56">
        <v>21.99</v>
      </c>
      <c r="L56" s="1" t="s">
        <v>28</v>
      </c>
      <c r="M56" s="1" t="s">
        <v>29</v>
      </c>
      <c r="N56" s="1" t="s">
        <v>30</v>
      </c>
      <c r="O56" s="1" t="s">
        <v>31</v>
      </c>
      <c r="P56" s="2">
        <v>45778</v>
      </c>
      <c r="Q56" s="1" t="s">
        <v>234</v>
      </c>
      <c r="R56" s="1" t="s">
        <v>235</v>
      </c>
      <c r="S56" s="1" t="s">
        <v>105</v>
      </c>
      <c r="T56" s="1" t="s">
        <v>35</v>
      </c>
      <c r="U56" s="1" t="s">
        <v>48</v>
      </c>
      <c r="V56" s="1" t="s">
        <v>37</v>
      </c>
      <c r="W56">
        <v>2</v>
      </c>
      <c r="X56" s="1">
        <f t="shared" si="0"/>
        <v>8313.6899999999459</v>
      </c>
      <c r="Y56" s="1">
        <f t="shared" si="1"/>
        <v>7682.919999999951</v>
      </c>
    </row>
    <row r="57" spans="1:25" x14ac:dyDescent="0.3">
      <c r="A57" s="1" t="s">
        <v>247</v>
      </c>
      <c r="B57">
        <v>1</v>
      </c>
      <c r="C57">
        <v>34.99</v>
      </c>
      <c r="D57">
        <v>34.99</v>
      </c>
      <c r="E57" s="1" t="s">
        <v>248</v>
      </c>
      <c r="F57" s="1" t="s">
        <v>51</v>
      </c>
      <c r="G57">
        <v>0</v>
      </c>
      <c r="H57" s="1" t="s">
        <v>96</v>
      </c>
      <c r="I57" s="1" t="s">
        <v>85</v>
      </c>
      <c r="J57">
        <v>12.5</v>
      </c>
      <c r="K57">
        <v>34.99</v>
      </c>
      <c r="L57" s="1" t="s">
        <v>60</v>
      </c>
      <c r="M57" s="1" t="s">
        <v>29</v>
      </c>
      <c r="N57" s="1" t="s">
        <v>30</v>
      </c>
      <c r="O57" s="1" t="s">
        <v>31</v>
      </c>
      <c r="P57" s="2">
        <v>45778</v>
      </c>
      <c r="Q57" s="1" t="s">
        <v>249</v>
      </c>
      <c r="R57" s="1" t="s">
        <v>250</v>
      </c>
      <c r="S57" s="1" t="s">
        <v>47</v>
      </c>
      <c r="T57" s="1" t="s">
        <v>35</v>
      </c>
      <c r="U57" s="1" t="s">
        <v>82</v>
      </c>
      <c r="V57" s="1" t="s">
        <v>89</v>
      </c>
      <c r="W57">
        <v>2.4</v>
      </c>
      <c r="X57" s="1">
        <f t="shared" si="0"/>
        <v>7844.9099999999507</v>
      </c>
      <c r="Y57" s="1">
        <f t="shared" si="1"/>
        <v>7204.2099999999582</v>
      </c>
    </row>
    <row r="58" spans="1:25" x14ac:dyDescent="0.3">
      <c r="A58" s="1" t="s">
        <v>251</v>
      </c>
      <c r="B58">
        <v>1</v>
      </c>
      <c r="C58">
        <v>34.99</v>
      </c>
      <c r="D58">
        <v>34.99</v>
      </c>
      <c r="E58" s="1" t="s">
        <v>252</v>
      </c>
      <c r="F58" s="1" t="s">
        <v>40</v>
      </c>
      <c r="G58">
        <v>5</v>
      </c>
      <c r="H58" s="1" t="s">
        <v>41</v>
      </c>
      <c r="I58" s="1" t="s">
        <v>85</v>
      </c>
      <c r="J58">
        <v>12.5</v>
      </c>
      <c r="K58">
        <v>34.99</v>
      </c>
      <c r="L58" s="1" t="s">
        <v>60</v>
      </c>
      <c r="M58" s="1" t="s">
        <v>29</v>
      </c>
      <c r="N58" s="1" t="s">
        <v>30</v>
      </c>
      <c r="O58" s="1" t="s">
        <v>31</v>
      </c>
      <c r="P58" s="2">
        <v>45778</v>
      </c>
      <c r="Q58" s="1" t="s">
        <v>253</v>
      </c>
      <c r="R58" s="1" t="s">
        <v>254</v>
      </c>
      <c r="S58" s="1" t="s">
        <v>105</v>
      </c>
      <c r="T58" s="1" t="s">
        <v>35</v>
      </c>
      <c r="U58" s="1" t="s">
        <v>48</v>
      </c>
      <c r="V58" s="1" t="s">
        <v>89</v>
      </c>
      <c r="W58">
        <v>2.4</v>
      </c>
      <c r="X58" s="1">
        <f t="shared" si="0"/>
        <v>8551.6499999999451</v>
      </c>
      <c r="Y58" s="1">
        <f t="shared" si="1"/>
        <v>7682.919999999951</v>
      </c>
    </row>
    <row r="59" spans="1:25" x14ac:dyDescent="0.3">
      <c r="A59" s="1" t="s">
        <v>255</v>
      </c>
      <c r="B59">
        <v>2</v>
      </c>
      <c r="C59">
        <v>27.99</v>
      </c>
      <c r="D59">
        <v>48.38</v>
      </c>
      <c r="E59" s="1" t="s">
        <v>113</v>
      </c>
      <c r="F59" s="1" t="s">
        <v>40</v>
      </c>
      <c r="G59">
        <v>3</v>
      </c>
      <c r="H59" s="1" t="s">
        <v>26</v>
      </c>
      <c r="I59" s="1" t="s">
        <v>75</v>
      </c>
      <c r="J59">
        <v>9</v>
      </c>
      <c r="K59">
        <v>27.99</v>
      </c>
      <c r="L59" s="1" t="s">
        <v>28</v>
      </c>
      <c r="M59" s="1" t="s">
        <v>61</v>
      </c>
      <c r="N59" s="1" t="s">
        <v>62</v>
      </c>
      <c r="O59" s="1" t="s">
        <v>31</v>
      </c>
      <c r="P59" s="2">
        <v>45726</v>
      </c>
      <c r="Q59" s="1" t="s">
        <v>256</v>
      </c>
      <c r="R59" s="1" t="s">
        <v>257</v>
      </c>
      <c r="S59" s="1" t="s">
        <v>105</v>
      </c>
      <c r="T59" s="1" t="s">
        <v>35</v>
      </c>
      <c r="U59" s="1" t="s">
        <v>48</v>
      </c>
      <c r="V59" s="1" t="s">
        <v>37</v>
      </c>
      <c r="W59">
        <v>2</v>
      </c>
      <c r="X59" s="1">
        <f t="shared" si="0"/>
        <v>8313.6899999999459</v>
      </c>
      <c r="Y59" s="1">
        <f t="shared" si="1"/>
        <v>7682.919999999951</v>
      </c>
    </row>
    <row r="60" spans="1:25" x14ac:dyDescent="0.3">
      <c r="A60" s="1" t="s">
        <v>258</v>
      </c>
      <c r="B60">
        <v>1</v>
      </c>
      <c r="C60">
        <v>30.99</v>
      </c>
      <c r="D60">
        <v>30.99</v>
      </c>
      <c r="E60" s="1" t="s">
        <v>79</v>
      </c>
      <c r="F60" s="1" t="s">
        <v>40</v>
      </c>
      <c r="G60">
        <v>2</v>
      </c>
      <c r="H60" s="1" t="s">
        <v>26</v>
      </c>
      <c r="I60" s="1" t="s">
        <v>42</v>
      </c>
      <c r="J60">
        <v>10.5</v>
      </c>
      <c r="K60">
        <v>30.99</v>
      </c>
      <c r="L60" s="1" t="s">
        <v>28</v>
      </c>
      <c r="M60" s="1" t="s">
        <v>43</v>
      </c>
      <c r="N60" s="1" t="s">
        <v>44</v>
      </c>
      <c r="O60" s="1" t="s">
        <v>31</v>
      </c>
      <c r="P60" s="2">
        <v>45823</v>
      </c>
      <c r="Q60" s="1" t="s">
        <v>150</v>
      </c>
      <c r="R60" s="1" t="s">
        <v>151</v>
      </c>
      <c r="S60" s="1" t="s">
        <v>105</v>
      </c>
      <c r="T60" s="1" t="s">
        <v>35</v>
      </c>
      <c r="U60" s="1" t="s">
        <v>55</v>
      </c>
      <c r="V60" s="1" t="s">
        <v>37</v>
      </c>
      <c r="W60">
        <v>2</v>
      </c>
      <c r="X60" s="1">
        <f t="shared" si="0"/>
        <v>8313.6899999999459</v>
      </c>
      <c r="Y60" s="1">
        <f t="shared" si="1"/>
        <v>5710.7699999999695</v>
      </c>
    </row>
    <row r="61" spans="1:25" x14ac:dyDescent="0.3">
      <c r="A61" s="1" t="s">
        <v>259</v>
      </c>
      <c r="B61">
        <v>2</v>
      </c>
      <c r="C61">
        <v>34.99</v>
      </c>
      <c r="D61">
        <v>60.98</v>
      </c>
      <c r="E61" s="1" t="s">
        <v>260</v>
      </c>
      <c r="F61" s="1" t="s">
        <v>51</v>
      </c>
      <c r="G61">
        <v>0</v>
      </c>
      <c r="H61" s="1" t="s">
        <v>26</v>
      </c>
      <c r="I61" s="1" t="s">
        <v>85</v>
      </c>
      <c r="J61">
        <v>12.5</v>
      </c>
      <c r="K61">
        <v>34.99</v>
      </c>
      <c r="L61" s="1" t="s">
        <v>60</v>
      </c>
      <c r="M61" s="1" t="s">
        <v>29</v>
      </c>
      <c r="N61" s="1" t="s">
        <v>30</v>
      </c>
      <c r="O61" s="1" t="s">
        <v>31</v>
      </c>
      <c r="P61" s="2">
        <v>45778</v>
      </c>
      <c r="Q61" s="1" t="s">
        <v>194</v>
      </c>
      <c r="R61" s="1" t="s">
        <v>195</v>
      </c>
      <c r="S61" s="1" t="s">
        <v>88</v>
      </c>
      <c r="T61" s="1" t="s">
        <v>35</v>
      </c>
      <c r="U61" s="1" t="s">
        <v>48</v>
      </c>
      <c r="V61" s="1" t="s">
        <v>89</v>
      </c>
      <c r="W61">
        <v>2.4</v>
      </c>
      <c r="X61" s="1">
        <f t="shared" si="0"/>
        <v>8313.6899999999459</v>
      </c>
      <c r="Y61" s="1">
        <f t="shared" si="1"/>
        <v>7682.919999999951</v>
      </c>
    </row>
    <row r="62" spans="1:25" x14ac:dyDescent="0.3">
      <c r="A62" s="1" t="s">
        <v>261</v>
      </c>
      <c r="B62">
        <v>1</v>
      </c>
      <c r="C62">
        <v>27.99</v>
      </c>
      <c r="D62">
        <v>27.99</v>
      </c>
      <c r="E62" s="1" t="s">
        <v>57</v>
      </c>
      <c r="F62" s="1" t="s">
        <v>40</v>
      </c>
      <c r="G62">
        <v>2</v>
      </c>
      <c r="H62" s="1" t="s">
        <v>26</v>
      </c>
      <c r="I62" s="1" t="s">
        <v>75</v>
      </c>
      <c r="J62">
        <v>9</v>
      </c>
      <c r="K62">
        <v>27.99</v>
      </c>
      <c r="L62" s="1" t="s">
        <v>28</v>
      </c>
      <c r="M62" s="1" t="s">
        <v>61</v>
      </c>
      <c r="N62" s="1" t="s">
        <v>62</v>
      </c>
      <c r="O62" s="1" t="s">
        <v>31</v>
      </c>
      <c r="P62" s="2">
        <v>45726</v>
      </c>
      <c r="Q62" s="1" t="s">
        <v>262</v>
      </c>
      <c r="R62" s="1" t="s">
        <v>263</v>
      </c>
      <c r="S62" s="1" t="s">
        <v>105</v>
      </c>
      <c r="T62" s="1" t="s">
        <v>35</v>
      </c>
      <c r="U62" s="1" t="s">
        <v>82</v>
      </c>
      <c r="V62" s="1" t="s">
        <v>37</v>
      </c>
      <c r="W62">
        <v>2</v>
      </c>
      <c r="X62" s="1">
        <f t="shared" si="0"/>
        <v>8313.6899999999459</v>
      </c>
      <c r="Y62" s="1">
        <f t="shared" si="1"/>
        <v>7204.2099999999582</v>
      </c>
    </row>
    <row r="63" spans="1:25" x14ac:dyDescent="0.3">
      <c r="A63" s="1" t="s">
        <v>264</v>
      </c>
      <c r="B63">
        <v>1</v>
      </c>
      <c r="C63">
        <v>34.99</v>
      </c>
      <c r="D63">
        <v>34.99</v>
      </c>
      <c r="E63" s="1" t="s">
        <v>57</v>
      </c>
      <c r="F63" s="1" t="s">
        <v>188</v>
      </c>
      <c r="G63">
        <v>0</v>
      </c>
      <c r="H63" s="1" t="s">
        <v>26</v>
      </c>
      <c r="I63" s="1" t="s">
        <v>85</v>
      </c>
      <c r="J63">
        <v>12.5</v>
      </c>
      <c r="K63">
        <v>34.99</v>
      </c>
      <c r="L63" s="1" t="s">
        <v>60</v>
      </c>
      <c r="M63" s="1" t="s">
        <v>29</v>
      </c>
      <c r="N63" s="1" t="s">
        <v>30</v>
      </c>
      <c r="O63" s="1" t="s">
        <v>31</v>
      </c>
      <c r="P63" s="2">
        <v>45778</v>
      </c>
      <c r="Q63" s="1" t="s">
        <v>165</v>
      </c>
      <c r="R63" s="1" t="s">
        <v>166</v>
      </c>
      <c r="S63" s="1" t="s">
        <v>88</v>
      </c>
      <c r="T63" s="1" t="s">
        <v>35</v>
      </c>
      <c r="U63" s="1" t="s">
        <v>66</v>
      </c>
      <c r="V63" s="1" t="s">
        <v>89</v>
      </c>
      <c r="W63">
        <v>2.4</v>
      </c>
      <c r="X63" s="1">
        <f t="shared" si="0"/>
        <v>8313.6899999999459</v>
      </c>
      <c r="Y63" s="1">
        <f t="shared" si="1"/>
        <v>6397.4799999999632</v>
      </c>
    </row>
    <row r="64" spans="1:25" x14ac:dyDescent="0.3">
      <c r="A64" s="1" t="s">
        <v>265</v>
      </c>
      <c r="B64">
        <v>1</v>
      </c>
      <c r="C64">
        <v>30.99</v>
      </c>
      <c r="D64">
        <v>30.99</v>
      </c>
      <c r="E64" s="1" t="s">
        <v>79</v>
      </c>
      <c r="F64" s="1" t="s">
        <v>40</v>
      </c>
      <c r="G64">
        <v>4</v>
      </c>
      <c r="H64" s="1" t="s">
        <v>26</v>
      </c>
      <c r="I64" s="1" t="s">
        <v>42</v>
      </c>
      <c r="J64">
        <v>10.5</v>
      </c>
      <c r="K64">
        <v>30.99</v>
      </c>
      <c r="L64" s="1" t="s">
        <v>28</v>
      </c>
      <c r="M64" s="1" t="s">
        <v>43</v>
      </c>
      <c r="N64" s="1" t="s">
        <v>44</v>
      </c>
      <c r="O64" s="1" t="s">
        <v>31</v>
      </c>
      <c r="P64" s="2">
        <v>45823</v>
      </c>
      <c r="Q64" s="1" t="s">
        <v>266</v>
      </c>
      <c r="R64" s="1" t="s">
        <v>267</v>
      </c>
      <c r="S64" s="1" t="s">
        <v>47</v>
      </c>
      <c r="T64" s="1" t="s">
        <v>35</v>
      </c>
      <c r="U64" s="1" t="s">
        <v>36</v>
      </c>
      <c r="V64" s="1" t="s">
        <v>37</v>
      </c>
      <c r="W64">
        <v>2</v>
      </c>
      <c r="X64" s="1">
        <f t="shared" si="0"/>
        <v>8313.6899999999459</v>
      </c>
      <c r="Y64" s="1">
        <f t="shared" si="1"/>
        <v>6355.4899999999634</v>
      </c>
    </row>
    <row r="65" spans="1:25" x14ac:dyDescent="0.3">
      <c r="A65" s="1" t="s">
        <v>268</v>
      </c>
      <c r="B65">
        <v>1</v>
      </c>
      <c r="C65">
        <v>27.99</v>
      </c>
      <c r="D65">
        <v>27.99</v>
      </c>
      <c r="E65" s="1" t="s">
        <v>102</v>
      </c>
      <c r="F65" s="1" t="s">
        <v>70</v>
      </c>
      <c r="G65">
        <v>0</v>
      </c>
      <c r="H65" s="1" t="s">
        <v>58</v>
      </c>
      <c r="I65" s="1" t="s">
        <v>75</v>
      </c>
      <c r="J65">
        <v>9</v>
      </c>
      <c r="K65">
        <v>27.99</v>
      </c>
      <c r="L65" s="1" t="s">
        <v>28</v>
      </c>
      <c r="M65" s="1" t="s">
        <v>61</v>
      </c>
      <c r="N65" s="1" t="s">
        <v>62</v>
      </c>
      <c r="O65" s="1" t="s">
        <v>31</v>
      </c>
      <c r="P65" s="2">
        <v>45726</v>
      </c>
      <c r="Q65" s="1" t="s">
        <v>269</v>
      </c>
      <c r="R65" s="1" t="s">
        <v>270</v>
      </c>
      <c r="S65" s="1" t="s">
        <v>88</v>
      </c>
      <c r="T65" s="1" t="s">
        <v>35</v>
      </c>
      <c r="U65" s="1" t="s">
        <v>55</v>
      </c>
      <c r="V65" s="1" t="s">
        <v>37</v>
      </c>
      <c r="W65">
        <v>2</v>
      </c>
      <c r="X65" s="1">
        <f t="shared" si="0"/>
        <v>8640.6199999999462</v>
      </c>
      <c r="Y65" s="1">
        <f t="shared" si="1"/>
        <v>5710.7699999999695</v>
      </c>
    </row>
    <row r="66" spans="1:25" x14ac:dyDescent="0.3">
      <c r="A66" s="1" t="s">
        <v>271</v>
      </c>
      <c r="B66">
        <v>1</v>
      </c>
      <c r="C66">
        <v>18.989999999999998</v>
      </c>
      <c r="D66">
        <v>18.989999999999998</v>
      </c>
      <c r="E66" s="1" t="s">
        <v>272</v>
      </c>
      <c r="F66" s="1" t="s">
        <v>40</v>
      </c>
      <c r="G66">
        <v>14</v>
      </c>
      <c r="H66" s="1" t="s">
        <v>58</v>
      </c>
      <c r="I66" s="1" t="s">
        <v>97</v>
      </c>
      <c r="J66">
        <v>6</v>
      </c>
      <c r="K66">
        <v>18.989999999999998</v>
      </c>
      <c r="L66" s="1" t="s">
        <v>60</v>
      </c>
      <c r="M66" s="1" t="s">
        <v>43</v>
      </c>
      <c r="N66" s="1" t="s">
        <v>44</v>
      </c>
      <c r="O66" s="1" t="s">
        <v>31</v>
      </c>
      <c r="P66" s="2">
        <v>45823</v>
      </c>
      <c r="Q66" s="1" t="s">
        <v>125</v>
      </c>
      <c r="R66" s="1" t="s">
        <v>126</v>
      </c>
      <c r="S66" s="1" t="s">
        <v>88</v>
      </c>
      <c r="T66" s="1" t="s">
        <v>35</v>
      </c>
      <c r="U66" s="1" t="s">
        <v>48</v>
      </c>
      <c r="V66" s="1" t="s">
        <v>100</v>
      </c>
      <c r="W66">
        <v>3.2</v>
      </c>
      <c r="X66" s="1">
        <f t="shared" ref="X66:X129" si="2">SUMIF(H:H,H66,K:K)</f>
        <v>8640.6199999999462</v>
      </c>
      <c r="Y66" s="1">
        <f t="shared" ref="Y66:Y129" si="3">SUMIF(U:U,U66,K:K)</f>
        <v>7682.919999999951</v>
      </c>
    </row>
    <row r="67" spans="1:25" x14ac:dyDescent="0.3">
      <c r="A67" s="1" t="s">
        <v>273</v>
      </c>
      <c r="B67">
        <v>1</v>
      </c>
      <c r="C67">
        <v>18.989999999999998</v>
      </c>
      <c r="D67">
        <v>18.989999999999998</v>
      </c>
      <c r="E67" s="1" t="s">
        <v>274</v>
      </c>
      <c r="F67" s="1" t="s">
        <v>40</v>
      </c>
      <c r="G67">
        <v>11</v>
      </c>
      <c r="H67" s="1" t="s">
        <v>58</v>
      </c>
      <c r="I67" s="1" t="s">
        <v>97</v>
      </c>
      <c r="J67">
        <v>6</v>
      </c>
      <c r="K67">
        <v>18.989999999999998</v>
      </c>
      <c r="L67" s="1" t="s">
        <v>60</v>
      </c>
      <c r="M67" s="1" t="s">
        <v>43</v>
      </c>
      <c r="N67" s="1" t="s">
        <v>44</v>
      </c>
      <c r="O67" s="1" t="s">
        <v>31</v>
      </c>
      <c r="P67" s="2">
        <v>45823</v>
      </c>
      <c r="Q67" s="1" t="s">
        <v>216</v>
      </c>
      <c r="R67" s="1" t="s">
        <v>275</v>
      </c>
      <c r="S67" s="1" t="s">
        <v>105</v>
      </c>
      <c r="T67" s="1" t="s">
        <v>35</v>
      </c>
      <c r="U67" s="1" t="s">
        <v>82</v>
      </c>
      <c r="V67" s="1" t="s">
        <v>100</v>
      </c>
      <c r="W67">
        <v>3.2</v>
      </c>
      <c r="X67" s="1">
        <f t="shared" si="2"/>
        <v>8640.6199999999462</v>
      </c>
      <c r="Y67" s="1">
        <f t="shared" si="3"/>
        <v>7204.2099999999582</v>
      </c>
    </row>
    <row r="68" spans="1:25" x14ac:dyDescent="0.3">
      <c r="A68" s="1" t="s">
        <v>276</v>
      </c>
      <c r="B68">
        <v>2</v>
      </c>
      <c r="C68">
        <v>21.99</v>
      </c>
      <c r="D68">
        <v>37.979999999999997</v>
      </c>
      <c r="E68" s="1" t="s">
        <v>109</v>
      </c>
      <c r="F68" s="1" t="s">
        <v>40</v>
      </c>
      <c r="G68">
        <v>3</v>
      </c>
      <c r="H68" s="1" t="s">
        <v>41</v>
      </c>
      <c r="I68" s="1" t="s">
        <v>27</v>
      </c>
      <c r="J68">
        <v>7</v>
      </c>
      <c r="K68">
        <v>21.99</v>
      </c>
      <c r="L68" s="1" t="s">
        <v>28</v>
      </c>
      <c r="M68" s="1" t="s">
        <v>29</v>
      </c>
      <c r="N68" s="1" t="s">
        <v>30</v>
      </c>
      <c r="O68" s="1" t="s">
        <v>31</v>
      </c>
      <c r="P68" s="2">
        <v>45778</v>
      </c>
      <c r="Q68" s="1" t="s">
        <v>140</v>
      </c>
      <c r="R68" s="1" t="s">
        <v>141</v>
      </c>
      <c r="S68" s="1" t="s">
        <v>54</v>
      </c>
      <c r="T68" s="1" t="s">
        <v>35</v>
      </c>
      <c r="U68" s="1" t="s">
        <v>55</v>
      </c>
      <c r="V68" s="1" t="s">
        <v>37</v>
      </c>
      <c r="W68">
        <v>2</v>
      </c>
      <c r="X68" s="1">
        <f t="shared" si="2"/>
        <v>8551.6499999999451</v>
      </c>
      <c r="Y68" s="1">
        <f t="shared" si="3"/>
        <v>5710.7699999999695</v>
      </c>
    </row>
    <row r="69" spans="1:25" x14ac:dyDescent="0.3">
      <c r="A69" s="1" t="s">
        <v>277</v>
      </c>
      <c r="B69">
        <v>1</v>
      </c>
      <c r="C69">
        <v>21.99</v>
      </c>
      <c r="D69">
        <v>21.99</v>
      </c>
      <c r="E69" s="1" t="s">
        <v>187</v>
      </c>
      <c r="F69" s="1" t="s">
        <v>40</v>
      </c>
      <c r="G69">
        <v>2</v>
      </c>
      <c r="H69" s="1" t="s">
        <v>26</v>
      </c>
      <c r="I69" s="1" t="s">
        <v>27</v>
      </c>
      <c r="J69">
        <v>7</v>
      </c>
      <c r="K69">
        <v>21.99</v>
      </c>
      <c r="L69" s="1" t="s">
        <v>28</v>
      </c>
      <c r="M69" s="1" t="s">
        <v>29</v>
      </c>
      <c r="N69" s="1" t="s">
        <v>30</v>
      </c>
      <c r="O69" s="1" t="s">
        <v>31</v>
      </c>
      <c r="P69" s="2">
        <v>45778</v>
      </c>
      <c r="Q69" s="1" t="s">
        <v>278</v>
      </c>
      <c r="R69" s="1" t="s">
        <v>279</v>
      </c>
      <c r="S69" s="1" t="s">
        <v>54</v>
      </c>
      <c r="T69" s="1" t="s">
        <v>35</v>
      </c>
      <c r="U69" s="1" t="s">
        <v>36</v>
      </c>
      <c r="V69" s="1" t="s">
        <v>37</v>
      </c>
      <c r="W69">
        <v>2</v>
      </c>
      <c r="X69" s="1">
        <f t="shared" si="2"/>
        <v>8313.6899999999459</v>
      </c>
      <c r="Y69" s="1">
        <f t="shared" si="3"/>
        <v>6355.4899999999634</v>
      </c>
    </row>
    <row r="70" spans="1:25" x14ac:dyDescent="0.3">
      <c r="A70" s="1" t="s">
        <v>280</v>
      </c>
      <c r="B70">
        <v>3</v>
      </c>
      <c r="C70">
        <v>30.99</v>
      </c>
      <c r="D70">
        <v>74.53</v>
      </c>
      <c r="E70" s="1" t="s">
        <v>281</v>
      </c>
      <c r="F70" s="1" t="s">
        <v>40</v>
      </c>
      <c r="G70">
        <v>2</v>
      </c>
      <c r="H70" s="1" t="s">
        <v>41</v>
      </c>
      <c r="I70" s="1" t="s">
        <v>42</v>
      </c>
      <c r="J70">
        <v>10.5</v>
      </c>
      <c r="K70">
        <v>30.99</v>
      </c>
      <c r="L70" s="1" t="s">
        <v>28</v>
      </c>
      <c r="M70" s="1" t="s">
        <v>43</v>
      </c>
      <c r="N70" s="1" t="s">
        <v>44</v>
      </c>
      <c r="O70" s="1" t="s">
        <v>31</v>
      </c>
      <c r="P70" s="2">
        <v>45823</v>
      </c>
      <c r="Q70" s="1" t="s">
        <v>203</v>
      </c>
      <c r="R70" s="1" t="s">
        <v>204</v>
      </c>
      <c r="S70" s="1" t="s">
        <v>65</v>
      </c>
      <c r="T70" s="1" t="s">
        <v>35</v>
      </c>
      <c r="U70" s="1" t="s">
        <v>66</v>
      </c>
      <c r="V70" s="1" t="s">
        <v>37</v>
      </c>
      <c r="W70">
        <v>2</v>
      </c>
      <c r="X70" s="1">
        <f t="shared" si="2"/>
        <v>8551.6499999999451</v>
      </c>
      <c r="Y70" s="1">
        <f t="shared" si="3"/>
        <v>6397.4799999999632</v>
      </c>
    </row>
    <row r="71" spans="1:25" x14ac:dyDescent="0.3">
      <c r="A71" s="1" t="s">
        <v>282</v>
      </c>
      <c r="B71">
        <v>3</v>
      </c>
      <c r="C71">
        <v>27.99</v>
      </c>
      <c r="D71">
        <v>66.88</v>
      </c>
      <c r="E71" s="1" t="s">
        <v>192</v>
      </c>
      <c r="F71" s="1" t="s">
        <v>40</v>
      </c>
      <c r="G71">
        <v>2</v>
      </c>
      <c r="H71" s="1" t="s">
        <v>41</v>
      </c>
      <c r="I71" s="1" t="s">
        <v>75</v>
      </c>
      <c r="J71">
        <v>9</v>
      </c>
      <c r="K71">
        <v>27.99</v>
      </c>
      <c r="L71" s="1" t="s">
        <v>28</v>
      </c>
      <c r="M71" s="1" t="s">
        <v>61</v>
      </c>
      <c r="N71" s="1" t="s">
        <v>62</v>
      </c>
      <c r="O71" s="1" t="s">
        <v>31</v>
      </c>
      <c r="P71" s="2">
        <v>45726</v>
      </c>
      <c r="Q71" s="1" t="s">
        <v>283</v>
      </c>
      <c r="R71" s="1" t="s">
        <v>284</v>
      </c>
      <c r="S71" s="1" t="s">
        <v>105</v>
      </c>
      <c r="T71" s="1" t="s">
        <v>35</v>
      </c>
      <c r="U71" s="1" t="s">
        <v>55</v>
      </c>
      <c r="V71" s="1" t="s">
        <v>37</v>
      </c>
      <c r="W71">
        <v>2</v>
      </c>
      <c r="X71" s="1">
        <f t="shared" si="2"/>
        <v>8551.6499999999451</v>
      </c>
      <c r="Y71" s="1">
        <f t="shared" si="3"/>
        <v>5710.7699999999695</v>
      </c>
    </row>
    <row r="72" spans="1:25" x14ac:dyDescent="0.3">
      <c r="A72" s="1" t="s">
        <v>285</v>
      </c>
      <c r="B72">
        <v>1</v>
      </c>
      <c r="C72">
        <v>18.989999999999998</v>
      </c>
      <c r="D72">
        <v>18.989999999999998</v>
      </c>
      <c r="E72" s="1" t="s">
        <v>143</v>
      </c>
      <c r="F72" s="1" t="s">
        <v>40</v>
      </c>
      <c r="G72">
        <v>13</v>
      </c>
      <c r="H72" s="1" t="s">
        <v>96</v>
      </c>
      <c r="I72" s="1" t="s">
        <v>97</v>
      </c>
      <c r="J72">
        <v>6</v>
      </c>
      <c r="K72">
        <v>18.989999999999998</v>
      </c>
      <c r="L72" s="1" t="s">
        <v>60</v>
      </c>
      <c r="M72" s="1" t="s">
        <v>43</v>
      </c>
      <c r="N72" s="1" t="s">
        <v>44</v>
      </c>
      <c r="O72" s="1" t="s">
        <v>31</v>
      </c>
      <c r="P72" s="2">
        <v>45823</v>
      </c>
      <c r="Q72" s="1" t="s">
        <v>182</v>
      </c>
      <c r="R72" s="1" t="s">
        <v>183</v>
      </c>
      <c r="S72" s="1" t="s">
        <v>47</v>
      </c>
      <c r="T72" s="1" t="s">
        <v>35</v>
      </c>
      <c r="U72" s="1" t="s">
        <v>48</v>
      </c>
      <c r="V72" s="1" t="s">
        <v>100</v>
      </c>
      <c r="W72">
        <v>3.2</v>
      </c>
      <c r="X72" s="1">
        <f t="shared" si="2"/>
        <v>7844.9099999999507</v>
      </c>
      <c r="Y72" s="1">
        <f t="shared" si="3"/>
        <v>7682.919999999951</v>
      </c>
    </row>
    <row r="73" spans="1:25" x14ac:dyDescent="0.3">
      <c r="A73" s="1" t="s">
        <v>286</v>
      </c>
      <c r="B73">
        <v>2</v>
      </c>
      <c r="C73">
        <v>30.99</v>
      </c>
      <c r="D73">
        <v>53.78</v>
      </c>
      <c r="E73" s="1" t="s">
        <v>168</v>
      </c>
      <c r="F73" s="1" t="s">
        <v>40</v>
      </c>
      <c r="G73">
        <v>3</v>
      </c>
      <c r="H73" s="1" t="s">
        <v>58</v>
      </c>
      <c r="I73" s="1" t="s">
        <v>42</v>
      </c>
      <c r="J73">
        <v>10.5</v>
      </c>
      <c r="K73">
        <v>30.99</v>
      </c>
      <c r="L73" s="1" t="s">
        <v>28</v>
      </c>
      <c r="M73" s="1" t="s">
        <v>43</v>
      </c>
      <c r="N73" s="1" t="s">
        <v>44</v>
      </c>
      <c r="O73" s="1" t="s">
        <v>31</v>
      </c>
      <c r="P73" s="2">
        <v>45823</v>
      </c>
      <c r="Q73" s="1" t="s">
        <v>172</v>
      </c>
      <c r="R73" s="1" t="s">
        <v>173</v>
      </c>
      <c r="S73" s="1" t="s">
        <v>88</v>
      </c>
      <c r="T73" s="1" t="s">
        <v>35</v>
      </c>
      <c r="U73" s="1" t="s">
        <v>82</v>
      </c>
      <c r="V73" s="1" t="s">
        <v>37</v>
      </c>
      <c r="W73">
        <v>2</v>
      </c>
      <c r="X73" s="1">
        <f t="shared" si="2"/>
        <v>8640.6199999999462</v>
      </c>
      <c r="Y73" s="1">
        <f t="shared" si="3"/>
        <v>7204.2099999999582</v>
      </c>
    </row>
    <row r="74" spans="1:25" x14ac:dyDescent="0.3">
      <c r="A74" s="1" t="s">
        <v>287</v>
      </c>
      <c r="B74">
        <v>1</v>
      </c>
      <c r="C74">
        <v>16.989999999999998</v>
      </c>
      <c r="D74">
        <v>16.989999999999998</v>
      </c>
      <c r="E74" s="1" t="s">
        <v>288</v>
      </c>
      <c r="F74" s="1" t="s">
        <v>40</v>
      </c>
      <c r="G74">
        <v>20</v>
      </c>
      <c r="H74" s="1" t="s">
        <v>96</v>
      </c>
      <c r="I74" s="1" t="s">
        <v>59</v>
      </c>
      <c r="J74">
        <v>5</v>
      </c>
      <c r="K74">
        <v>16.989999999999998</v>
      </c>
      <c r="L74" s="1" t="s">
        <v>60</v>
      </c>
      <c r="M74" s="1" t="s">
        <v>61</v>
      </c>
      <c r="N74" s="1" t="s">
        <v>62</v>
      </c>
      <c r="O74" s="1" t="s">
        <v>31</v>
      </c>
      <c r="P74" s="2">
        <v>45726</v>
      </c>
      <c r="Q74" s="1" t="s">
        <v>231</v>
      </c>
      <c r="R74" s="1" t="s">
        <v>232</v>
      </c>
      <c r="S74" s="1" t="s">
        <v>105</v>
      </c>
      <c r="T74" s="1" t="s">
        <v>35</v>
      </c>
      <c r="U74" s="1" t="s">
        <v>36</v>
      </c>
      <c r="V74" s="1" t="s">
        <v>67</v>
      </c>
      <c r="W74">
        <v>3</v>
      </c>
      <c r="X74" s="1">
        <f t="shared" si="2"/>
        <v>7844.9099999999507</v>
      </c>
      <c r="Y74" s="1">
        <f t="shared" si="3"/>
        <v>6355.4899999999634</v>
      </c>
    </row>
    <row r="75" spans="1:25" x14ac:dyDescent="0.3">
      <c r="A75" s="1" t="s">
        <v>289</v>
      </c>
      <c r="B75">
        <v>1</v>
      </c>
      <c r="C75">
        <v>16.989999999999998</v>
      </c>
      <c r="D75">
        <v>16.989999999999998</v>
      </c>
      <c r="E75" s="1" t="s">
        <v>146</v>
      </c>
      <c r="F75" s="1" t="s">
        <v>25</v>
      </c>
      <c r="G75">
        <v>18</v>
      </c>
      <c r="H75" s="1" t="s">
        <v>58</v>
      </c>
      <c r="I75" s="1" t="s">
        <v>59</v>
      </c>
      <c r="J75">
        <v>5</v>
      </c>
      <c r="K75">
        <v>16.989999999999998</v>
      </c>
      <c r="L75" s="1" t="s">
        <v>60</v>
      </c>
      <c r="M75" s="1" t="s">
        <v>61</v>
      </c>
      <c r="N75" s="1" t="s">
        <v>62</v>
      </c>
      <c r="O75" s="1" t="s">
        <v>31</v>
      </c>
      <c r="P75" s="2">
        <v>45726</v>
      </c>
      <c r="Q75" s="1" t="s">
        <v>290</v>
      </c>
      <c r="R75" s="1" t="s">
        <v>291</v>
      </c>
      <c r="S75" s="1" t="s">
        <v>65</v>
      </c>
      <c r="T75" s="1" t="s">
        <v>35</v>
      </c>
      <c r="U75" s="1" t="s">
        <v>82</v>
      </c>
      <c r="V75" s="1" t="s">
        <v>67</v>
      </c>
      <c r="W75">
        <v>3</v>
      </c>
      <c r="X75" s="1">
        <f t="shared" si="2"/>
        <v>8640.6199999999462</v>
      </c>
      <c r="Y75" s="1">
        <f t="shared" si="3"/>
        <v>7204.2099999999582</v>
      </c>
    </row>
    <row r="76" spans="1:25" x14ac:dyDescent="0.3">
      <c r="A76" s="1" t="s">
        <v>292</v>
      </c>
      <c r="B76">
        <v>2</v>
      </c>
      <c r="C76">
        <v>18.989999999999998</v>
      </c>
      <c r="D76">
        <v>32.78</v>
      </c>
      <c r="E76" s="1" t="s">
        <v>293</v>
      </c>
      <c r="F76" s="1" t="s">
        <v>40</v>
      </c>
      <c r="G76">
        <v>12</v>
      </c>
      <c r="H76" s="1" t="s">
        <v>58</v>
      </c>
      <c r="I76" s="1" t="s">
        <v>97</v>
      </c>
      <c r="J76">
        <v>6</v>
      </c>
      <c r="K76">
        <v>18.989999999999998</v>
      </c>
      <c r="L76" s="1" t="s">
        <v>60</v>
      </c>
      <c r="M76" s="1" t="s">
        <v>43</v>
      </c>
      <c r="N76" s="1" t="s">
        <v>44</v>
      </c>
      <c r="O76" s="1" t="s">
        <v>31</v>
      </c>
      <c r="P76" s="2">
        <v>45823</v>
      </c>
      <c r="Q76" s="1" t="s">
        <v>294</v>
      </c>
      <c r="R76" s="1" t="s">
        <v>295</v>
      </c>
      <c r="S76" s="1" t="s">
        <v>47</v>
      </c>
      <c r="T76" s="1" t="s">
        <v>35</v>
      </c>
      <c r="U76" s="1" t="s">
        <v>55</v>
      </c>
      <c r="V76" s="1" t="s">
        <v>100</v>
      </c>
      <c r="W76">
        <v>3.2</v>
      </c>
      <c r="X76" s="1">
        <f t="shared" si="2"/>
        <v>8640.6199999999462</v>
      </c>
      <c r="Y76" s="1">
        <f t="shared" si="3"/>
        <v>5710.7699999999695</v>
      </c>
    </row>
    <row r="77" spans="1:25" x14ac:dyDescent="0.3">
      <c r="A77" s="1" t="s">
        <v>296</v>
      </c>
      <c r="B77">
        <v>3</v>
      </c>
      <c r="C77">
        <v>34.99</v>
      </c>
      <c r="D77">
        <v>84.73</v>
      </c>
      <c r="E77" s="1" t="s">
        <v>297</v>
      </c>
      <c r="F77" s="1" t="s">
        <v>188</v>
      </c>
      <c r="G77">
        <v>0</v>
      </c>
      <c r="H77" s="1" t="s">
        <v>96</v>
      </c>
      <c r="I77" s="1" t="s">
        <v>85</v>
      </c>
      <c r="J77">
        <v>12.5</v>
      </c>
      <c r="K77">
        <v>34.99</v>
      </c>
      <c r="L77" s="1" t="s">
        <v>60</v>
      </c>
      <c r="M77" s="1" t="s">
        <v>29</v>
      </c>
      <c r="N77" s="1" t="s">
        <v>30</v>
      </c>
      <c r="O77" s="1" t="s">
        <v>31</v>
      </c>
      <c r="P77" s="2">
        <v>45778</v>
      </c>
      <c r="Q77" s="1" t="s">
        <v>298</v>
      </c>
      <c r="R77" s="1" t="s">
        <v>299</v>
      </c>
      <c r="S77" s="1" t="s">
        <v>65</v>
      </c>
      <c r="T77" s="1" t="s">
        <v>35</v>
      </c>
      <c r="U77" s="1" t="s">
        <v>82</v>
      </c>
      <c r="V77" s="1" t="s">
        <v>89</v>
      </c>
      <c r="W77">
        <v>2.4</v>
      </c>
      <c r="X77" s="1">
        <f t="shared" si="2"/>
        <v>7844.9099999999507</v>
      </c>
      <c r="Y77" s="1">
        <f t="shared" si="3"/>
        <v>7204.2099999999582</v>
      </c>
    </row>
    <row r="78" spans="1:25" x14ac:dyDescent="0.3">
      <c r="A78" s="1" t="s">
        <v>300</v>
      </c>
      <c r="B78">
        <v>1</v>
      </c>
      <c r="C78">
        <v>21.99</v>
      </c>
      <c r="D78">
        <v>21.99</v>
      </c>
      <c r="E78" s="1" t="s">
        <v>202</v>
      </c>
      <c r="F78" s="1" t="s">
        <v>40</v>
      </c>
      <c r="G78">
        <v>2</v>
      </c>
      <c r="H78" s="1" t="s">
        <v>96</v>
      </c>
      <c r="I78" s="1" t="s">
        <v>27</v>
      </c>
      <c r="J78">
        <v>7</v>
      </c>
      <c r="K78">
        <v>21.99</v>
      </c>
      <c r="L78" s="1" t="s">
        <v>28</v>
      </c>
      <c r="M78" s="1" t="s">
        <v>29</v>
      </c>
      <c r="N78" s="1" t="s">
        <v>30</v>
      </c>
      <c r="O78" s="1" t="s">
        <v>31</v>
      </c>
      <c r="P78" s="2">
        <v>45778</v>
      </c>
      <c r="Q78" s="1" t="s">
        <v>147</v>
      </c>
      <c r="R78" s="1" t="s">
        <v>148</v>
      </c>
      <c r="S78" s="1" t="s">
        <v>65</v>
      </c>
      <c r="T78" s="1" t="s">
        <v>35</v>
      </c>
      <c r="U78" s="1" t="s">
        <v>48</v>
      </c>
      <c r="V78" s="1" t="s">
        <v>37</v>
      </c>
      <c r="W78">
        <v>2</v>
      </c>
      <c r="X78" s="1">
        <f t="shared" si="2"/>
        <v>7844.9099999999507</v>
      </c>
      <c r="Y78" s="1">
        <f t="shared" si="3"/>
        <v>7682.919999999951</v>
      </c>
    </row>
    <row r="79" spans="1:25" x14ac:dyDescent="0.3">
      <c r="A79" s="1" t="s">
        <v>301</v>
      </c>
      <c r="B79">
        <v>1</v>
      </c>
      <c r="C79">
        <v>21.99</v>
      </c>
      <c r="D79">
        <v>21.99</v>
      </c>
      <c r="E79" s="1" t="s">
        <v>168</v>
      </c>
      <c r="F79" s="1" t="s">
        <v>40</v>
      </c>
      <c r="G79">
        <v>2</v>
      </c>
      <c r="H79" s="1" t="s">
        <v>96</v>
      </c>
      <c r="I79" s="1" t="s">
        <v>27</v>
      </c>
      <c r="J79">
        <v>7</v>
      </c>
      <c r="K79">
        <v>21.99</v>
      </c>
      <c r="L79" s="1" t="s">
        <v>28</v>
      </c>
      <c r="M79" s="1" t="s">
        <v>29</v>
      </c>
      <c r="N79" s="1" t="s">
        <v>30</v>
      </c>
      <c r="O79" s="1" t="s">
        <v>31</v>
      </c>
      <c r="P79" s="2">
        <v>45778</v>
      </c>
      <c r="Q79" s="1" t="s">
        <v>302</v>
      </c>
      <c r="R79" s="1" t="s">
        <v>303</v>
      </c>
      <c r="S79" s="1" t="s">
        <v>105</v>
      </c>
      <c r="T79" s="1" t="s">
        <v>35</v>
      </c>
      <c r="U79" s="1" t="s">
        <v>55</v>
      </c>
      <c r="V79" s="1" t="s">
        <v>37</v>
      </c>
      <c r="W79">
        <v>2</v>
      </c>
      <c r="X79" s="1">
        <f t="shared" si="2"/>
        <v>7844.9099999999507</v>
      </c>
      <c r="Y79" s="1">
        <f t="shared" si="3"/>
        <v>5710.7699999999695</v>
      </c>
    </row>
    <row r="80" spans="1:25" x14ac:dyDescent="0.3">
      <c r="A80" s="1" t="s">
        <v>304</v>
      </c>
      <c r="B80">
        <v>1</v>
      </c>
      <c r="C80">
        <v>27.99</v>
      </c>
      <c r="D80">
        <v>27.99</v>
      </c>
      <c r="E80" s="1" t="s">
        <v>252</v>
      </c>
      <c r="F80" s="1" t="s">
        <v>40</v>
      </c>
      <c r="G80">
        <v>2</v>
      </c>
      <c r="H80" s="1" t="s">
        <v>26</v>
      </c>
      <c r="I80" s="1" t="s">
        <v>75</v>
      </c>
      <c r="J80">
        <v>9</v>
      </c>
      <c r="K80">
        <v>27.99</v>
      </c>
      <c r="L80" s="1" t="s">
        <v>28</v>
      </c>
      <c r="M80" s="1" t="s">
        <v>61</v>
      </c>
      <c r="N80" s="1" t="s">
        <v>62</v>
      </c>
      <c r="O80" s="1" t="s">
        <v>31</v>
      </c>
      <c r="P80" s="2">
        <v>45726</v>
      </c>
      <c r="Q80" s="1" t="s">
        <v>305</v>
      </c>
      <c r="R80" s="1" t="s">
        <v>306</v>
      </c>
      <c r="S80" s="1" t="s">
        <v>47</v>
      </c>
      <c r="T80" s="1" t="s">
        <v>35</v>
      </c>
      <c r="U80" s="1" t="s">
        <v>66</v>
      </c>
      <c r="V80" s="1" t="s">
        <v>37</v>
      </c>
      <c r="W80">
        <v>2</v>
      </c>
      <c r="X80" s="1">
        <f t="shared" si="2"/>
        <v>8313.6899999999459</v>
      </c>
      <c r="Y80" s="1">
        <f t="shared" si="3"/>
        <v>6397.4799999999632</v>
      </c>
    </row>
    <row r="81" spans="1:25" x14ac:dyDescent="0.3">
      <c r="A81" s="1" t="s">
        <v>307</v>
      </c>
      <c r="B81">
        <v>2</v>
      </c>
      <c r="C81">
        <v>16.989999999999998</v>
      </c>
      <c r="D81">
        <v>29.18</v>
      </c>
      <c r="E81" s="1" t="s">
        <v>113</v>
      </c>
      <c r="F81" s="1" t="s">
        <v>40</v>
      </c>
      <c r="G81">
        <v>20</v>
      </c>
      <c r="H81" s="1" t="s">
        <v>26</v>
      </c>
      <c r="I81" s="1" t="s">
        <v>59</v>
      </c>
      <c r="J81">
        <v>5</v>
      </c>
      <c r="K81">
        <v>16.989999999999998</v>
      </c>
      <c r="L81" s="1" t="s">
        <v>60</v>
      </c>
      <c r="M81" s="1" t="s">
        <v>61</v>
      </c>
      <c r="N81" s="1" t="s">
        <v>62</v>
      </c>
      <c r="O81" s="1" t="s">
        <v>31</v>
      </c>
      <c r="P81" s="2">
        <v>45726</v>
      </c>
      <c r="Q81" s="1" t="s">
        <v>308</v>
      </c>
      <c r="R81" s="1" t="s">
        <v>309</v>
      </c>
      <c r="S81" s="1" t="s">
        <v>47</v>
      </c>
      <c r="T81" s="1" t="s">
        <v>35</v>
      </c>
      <c r="U81" s="1" t="s">
        <v>82</v>
      </c>
      <c r="V81" s="1" t="s">
        <v>67</v>
      </c>
      <c r="W81">
        <v>3</v>
      </c>
      <c r="X81" s="1">
        <f t="shared" si="2"/>
        <v>8313.6899999999459</v>
      </c>
      <c r="Y81" s="1">
        <f t="shared" si="3"/>
        <v>7204.2099999999582</v>
      </c>
    </row>
    <row r="82" spans="1:25" x14ac:dyDescent="0.3">
      <c r="A82" s="1" t="s">
        <v>310</v>
      </c>
      <c r="B82">
        <v>1</v>
      </c>
      <c r="C82">
        <v>21.99</v>
      </c>
      <c r="D82">
        <v>21.99</v>
      </c>
      <c r="E82" s="1" t="s">
        <v>187</v>
      </c>
      <c r="F82" s="1" t="s">
        <v>40</v>
      </c>
      <c r="G82">
        <v>2</v>
      </c>
      <c r="H82" s="1" t="s">
        <v>41</v>
      </c>
      <c r="I82" s="1" t="s">
        <v>27</v>
      </c>
      <c r="J82">
        <v>7</v>
      </c>
      <c r="K82">
        <v>21.99</v>
      </c>
      <c r="L82" s="1" t="s">
        <v>28</v>
      </c>
      <c r="M82" s="1" t="s">
        <v>29</v>
      </c>
      <c r="N82" s="1" t="s">
        <v>30</v>
      </c>
      <c r="O82" s="1" t="s">
        <v>31</v>
      </c>
      <c r="P82" s="2">
        <v>45778</v>
      </c>
      <c r="Q82" s="1" t="s">
        <v>114</v>
      </c>
      <c r="R82" s="1" t="s">
        <v>115</v>
      </c>
      <c r="S82" s="1" t="s">
        <v>54</v>
      </c>
      <c r="T82" s="1" t="s">
        <v>35</v>
      </c>
      <c r="U82" s="1" t="s">
        <v>82</v>
      </c>
      <c r="V82" s="1" t="s">
        <v>37</v>
      </c>
      <c r="W82">
        <v>2</v>
      </c>
      <c r="X82" s="1">
        <f t="shared" si="2"/>
        <v>8551.6499999999451</v>
      </c>
      <c r="Y82" s="1">
        <f t="shared" si="3"/>
        <v>7204.2099999999582</v>
      </c>
    </row>
    <row r="83" spans="1:25" x14ac:dyDescent="0.3">
      <c r="A83" s="1" t="s">
        <v>311</v>
      </c>
      <c r="B83">
        <v>1</v>
      </c>
      <c r="C83">
        <v>34.99</v>
      </c>
      <c r="D83">
        <v>34.99</v>
      </c>
      <c r="E83" s="1" t="s">
        <v>121</v>
      </c>
      <c r="F83" s="1" t="s">
        <v>40</v>
      </c>
      <c r="G83">
        <v>10</v>
      </c>
      <c r="H83" s="1" t="s">
        <v>58</v>
      </c>
      <c r="I83" s="1" t="s">
        <v>85</v>
      </c>
      <c r="J83">
        <v>12.5</v>
      </c>
      <c r="K83">
        <v>34.99</v>
      </c>
      <c r="L83" s="1" t="s">
        <v>60</v>
      </c>
      <c r="M83" s="1" t="s">
        <v>29</v>
      </c>
      <c r="N83" s="1" t="s">
        <v>30</v>
      </c>
      <c r="O83" s="1" t="s">
        <v>31</v>
      </c>
      <c r="P83" s="2">
        <v>45778</v>
      </c>
      <c r="Q83" s="1" t="s">
        <v>253</v>
      </c>
      <c r="R83" s="1" t="s">
        <v>254</v>
      </c>
      <c r="S83" s="1" t="s">
        <v>105</v>
      </c>
      <c r="T83" s="1" t="s">
        <v>35</v>
      </c>
      <c r="U83" s="1" t="s">
        <v>48</v>
      </c>
      <c r="V83" s="1" t="s">
        <v>89</v>
      </c>
      <c r="W83">
        <v>2.4</v>
      </c>
      <c r="X83" s="1">
        <f t="shared" si="2"/>
        <v>8640.6199999999462</v>
      </c>
      <c r="Y83" s="1">
        <f t="shared" si="3"/>
        <v>7682.919999999951</v>
      </c>
    </row>
    <row r="84" spans="1:25" x14ac:dyDescent="0.3">
      <c r="A84" s="1" t="s">
        <v>312</v>
      </c>
      <c r="B84">
        <v>1</v>
      </c>
      <c r="C84">
        <v>21.99</v>
      </c>
      <c r="D84">
        <v>21.99</v>
      </c>
      <c r="E84" s="1" t="s">
        <v>313</v>
      </c>
      <c r="F84" s="1" t="s">
        <v>25</v>
      </c>
      <c r="G84">
        <v>3</v>
      </c>
      <c r="H84" s="1" t="s">
        <v>26</v>
      </c>
      <c r="I84" s="1" t="s">
        <v>27</v>
      </c>
      <c r="J84">
        <v>7</v>
      </c>
      <c r="K84">
        <v>21.99</v>
      </c>
      <c r="L84" s="1" t="s">
        <v>28</v>
      </c>
      <c r="M84" s="1" t="s">
        <v>29</v>
      </c>
      <c r="N84" s="1" t="s">
        <v>30</v>
      </c>
      <c r="O84" s="1" t="s">
        <v>31</v>
      </c>
      <c r="P84" s="2">
        <v>45778</v>
      </c>
      <c r="Q84" s="1" t="s">
        <v>314</v>
      </c>
      <c r="R84" s="1" t="s">
        <v>315</v>
      </c>
      <c r="S84" s="1" t="s">
        <v>34</v>
      </c>
      <c r="T84" s="1" t="s">
        <v>35</v>
      </c>
      <c r="U84" s="1" t="s">
        <v>82</v>
      </c>
      <c r="V84" s="1" t="s">
        <v>37</v>
      </c>
      <c r="W84">
        <v>2</v>
      </c>
      <c r="X84" s="1">
        <f t="shared" si="2"/>
        <v>8313.6899999999459</v>
      </c>
      <c r="Y84" s="1">
        <f t="shared" si="3"/>
        <v>7204.2099999999582</v>
      </c>
    </row>
    <row r="85" spans="1:25" x14ac:dyDescent="0.3">
      <c r="A85" s="1" t="s">
        <v>316</v>
      </c>
      <c r="B85">
        <v>1</v>
      </c>
      <c r="C85">
        <v>34.99</v>
      </c>
      <c r="D85">
        <v>34.99</v>
      </c>
      <c r="E85" s="1" t="s">
        <v>317</v>
      </c>
      <c r="F85" s="1" t="s">
        <v>51</v>
      </c>
      <c r="G85">
        <v>0</v>
      </c>
      <c r="H85" s="1" t="s">
        <v>26</v>
      </c>
      <c r="I85" s="1" t="s">
        <v>85</v>
      </c>
      <c r="J85">
        <v>12.5</v>
      </c>
      <c r="K85">
        <v>34.99</v>
      </c>
      <c r="L85" s="1" t="s">
        <v>60</v>
      </c>
      <c r="M85" s="1" t="s">
        <v>29</v>
      </c>
      <c r="N85" s="1" t="s">
        <v>30</v>
      </c>
      <c r="O85" s="1" t="s">
        <v>31</v>
      </c>
      <c r="P85" s="2">
        <v>45778</v>
      </c>
      <c r="Q85" s="1" t="s">
        <v>318</v>
      </c>
      <c r="R85" s="1" t="s">
        <v>319</v>
      </c>
      <c r="S85" s="1" t="s">
        <v>54</v>
      </c>
      <c r="T85" s="1" t="s">
        <v>35</v>
      </c>
      <c r="U85" s="1" t="s">
        <v>55</v>
      </c>
      <c r="V85" s="1" t="s">
        <v>89</v>
      </c>
      <c r="W85">
        <v>2.4</v>
      </c>
      <c r="X85" s="1">
        <f t="shared" si="2"/>
        <v>8313.6899999999459</v>
      </c>
      <c r="Y85" s="1">
        <f t="shared" si="3"/>
        <v>5710.7699999999695</v>
      </c>
    </row>
    <row r="86" spans="1:25" x14ac:dyDescent="0.3">
      <c r="A86" s="1" t="s">
        <v>320</v>
      </c>
      <c r="B86">
        <v>1</v>
      </c>
      <c r="C86">
        <v>27.99</v>
      </c>
      <c r="D86">
        <v>27.99</v>
      </c>
      <c r="E86" s="1" t="s">
        <v>321</v>
      </c>
      <c r="F86" s="1" t="s">
        <v>40</v>
      </c>
      <c r="G86">
        <v>2</v>
      </c>
      <c r="H86" s="1" t="s">
        <v>26</v>
      </c>
      <c r="I86" s="1" t="s">
        <v>75</v>
      </c>
      <c r="J86">
        <v>9</v>
      </c>
      <c r="K86">
        <v>27.99</v>
      </c>
      <c r="L86" s="1" t="s">
        <v>28</v>
      </c>
      <c r="M86" s="1" t="s">
        <v>61</v>
      </c>
      <c r="N86" s="1" t="s">
        <v>62</v>
      </c>
      <c r="O86" s="1" t="s">
        <v>31</v>
      </c>
      <c r="P86" s="2">
        <v>45726</v>
      </c>
      <c r="Q86" s="1" t="s">
        <v>322</v>
      </c>
      <c r="R86" s="1" t="s">
        <v>323</v>
      </c>
      <c r="S86" s="1" t="s">
        <v>88</v>
      </c>
      <c r="T86" s="1" t="s">
        <v>35</v>
      </c>
      <c r="U86" s="1" t="s">
        <v>55</v>
      </c>
      <c r="V86" s="1" t="s">
        <v>37</v>
      </c>
      <c r="W86">
        <v>2</v>
      </c>
      <c r="X86" s="1">
        <f t="shared" si="2"/>
        <v>8313.6899999999459</v>
      </c>
      <c r="Y86" s="1">
        <f t="shared" si="3"/>
        <v>5710.7699999999695</v>
      </c>
    </row>
    <row r="87" spans="1:25" x14ac:dyDescent="0.3">
      <c r="A87" s="1" t="s">
        <v>324</v>
      </c>
      <c r="B87">
        <v>3</v>
      </c>
      <c r="C87">
        <v>16.989999999999998</v>
      </c>
      <c r="D87">
        <v>40.18</v>
      </c>
      <c r="E87" s="1" t="s">
        <v>325</v>
      </c>
      <c r="F87" s="1" t="s">
        <v>40</v>
      </c>
      <c r="G87">
        <v>20</v>
      </c>
      <c r="H87" s="1" t="s">
        <v>96</v>
      </c>
      <c r="I87" s="1" t="s">
        <v>59</v>
      </c>
      <c r="J87">
        <v>5</v>
      </c>
      <c r="K87">
        <v>16.989999999999998</v>
      </c>
      <c r="L87" s="1" t="s">
        <v>60</v>
      </c>
      <c r="M87" s="1" t="s">
        <v>61</v>
      </c>
      <c r="N87" s="1" t="s">
        <v>62</v>
      </c>
      <c r="O87" s="1" t="s">
        <v>31</v>
      </c>
      <c r="P87" s="2">
        <v>45726</v>
      </c>
      <c r="Q87" s="1" t="s">
        <v>118</v>
      </c>
      <c r="R87" s="1" t="s">
        <v>119</v>
      </c>
      <c r="S87" s="1" t="s">
        <v>105</v>
      </c>
      <c r="T87" s="1" t="s">
        <v>35</v>
      </c>
      <c r="U87" s="1" t="s">
        <v>66</v>
      </c>
      <c r="V87" s="1" t="s">
        <v>67</v>
      </c>
      <c r="W87">
        <v>3</v>
      </c>
      <c r="X87" s="1">
        <f t="shared" si="2"/>
        <v>7844.9099999999507</v>
      </c>
      <c r="Y87" s="1">
        <f t="shared" si="3"/>
        <v>6397.4799999999632</v>
      </c>
    </row>
    <row r="88" spans="1:25" x14ac:dyDescent="0.3">
      <c r="A88" s="1" t="s">
        <v>326</v>
      </c>
      <c r="B88">
        <v>1</v>
      </c>
      <c r="C88">
        <v>16.989999999999998</v>
      </c>
      <c r="D88">
        <v>16.989999999999998</v>
      </c>
      <c r="E88" s="1" t="s">
        <v>327</v>
      </c>
      <c r="F88" s="1" t="s">
        <v>25</v>
      </c>
      <c r="G88">
        <v>19</v>
      </c>
      <c r="H88" s="1" t="s">
        <v>58</v>
      </c>
      <c r="I88" s="1" t="s">
        <v>59</v>
      </c>
      <c r="J88">
        <v>5</v>
      </c>
      <c r="K88">
        <v>16.989999999999998</v>
      </c>
      <c r="L88" s="1" t="s">
        <v>60</v>
      </c>
      <c r="M88" s="1" t="s">
        <v>61</v>
      </c>
      <c r="N88" s="1" t="s">
        <v>62</v>
      </c>
      <c r="O88" s="1" t="s">
        <v>31</v>
      </c>
      <c r="P88" s="2">
        <v>45726</v>
      </c>
      <c r="Q88" s="1" t="s">
        <v>328</v>
      </c>
      <c r="R88" s="1" t="s">
        <v>329</v>
      </c>
      <c r="S88" s="1" t="s">
        <v>47</v>
      </c>
      <c r="T88" s="1" t="s">
        <v>35</v>
      </c>
      <c r="U88" s="1" t="s">
        <v>48</v>
      </c>
      <c r="V88" s="1" t="s">
        <v>67</v>
      </c>
      <c r="W88">
        <v>3</v>
      </c>
      <c r="X88" s="1">
        <f t="shared" si="2"/>
        <v>8640.6199999999462</v>
      </c>
      <c r="Y88" s="1">
        <f t="shared" si="3"/>
        <v>7682.919999999951</v>
      </c>
    </row>
    <row r="89" spans="1:25" x14ac:dyDescent="0.3">
      <c r="A89" s="1" t="s">
        <v>330</v>
      </c>
      <c r="B89">
        <v>1</v>
      </c>
      <c r="C89">
        <v>18.989999999999998</v>
      </c>
      <c r="D89">
        <v>18.989999999999998</v>
      </c>
      <c r="E89" s="1" t="s">
        <v>331</v>
      </c>
      <c r="F89" s="1" t="s">
        <v>40</v>
      </c>
      <c r="G89">
        <v>10</v>
      </c>
      <c r="H89" s="1" t="s">
        <v>58</v>
      </c>
      <c r="I89" s="1" t="s">
        <v>97</v>
      </c>
      <c r="J89">
        <v>6</v>
      </c>
      <c r="K89">
        <v>18.989999999999998</v>
      </c>
      <c r="L89" s="1" t="s">
        <v>60</v>
      </c>
      <c r="M89" s="1" t="s">
        <v>43</v>
      </c>
      <c r="N89" s="1" t="s">
        <v>44</v>
      </c>
      <c r="O89" s="1" t="s">
        <v>31</v>
      </c>
      <c r="P89" s="2">
        <v>45823</v>
      </c>
      <c r="Q89" s="1" t="s">
        <v>71</v>
      </c>
      <c r="R89" s="1" t="s">
        <v>72</v>
      </c>
      <c r="S89" s="1" t="s">
        <v>47</v>
      </c>
      <c r="T89" s="1" t="s">
        <v>35</v>
      </c>
      <c r="U89" s="1" t="s">
        <v>36</v>
      </c>
      <c r="V89" s="1" t="s">
        <v>100</v>
      </c>
      <c r="W89">
        <v>3.2</v>
      </c>
      <c r="X89" s="1">
        <f t="shared" si="2"/>
        <v>8640.6199999999462</v>
      </c>
      <c r="Y89" s="1">
        <f t="shared" si="3"/>
        <v>6355.4899999999634</v>
      </c>
    </row>
    <row r="90" spans="1:25" x14ac:dyDescent="0.3">
      <c r="A90" s="1" t="s">
        <v>332</v>
      </c>
      <c r="B90">
        <v>1</v>
      </c>
      <c r="C90">
        <v>16.989999999999998</v>
      </c>
      <c r="D90">
        <v>16.989999999999998</v>
      </c>
      <c r="E90" s="1" t="s">
        <v>84</v>
      </c>
      <c r="F90" s="1" t="s">
        <v>40</v>
      </c>
      <c r="G90">
        <v>15</v>
      </c>
      <c r="H90" s="1" t="s">
        <v>26</v>
      </c>
      <c r="I90" s="1" t="s">
        <v>59</v>
      </c>
      <c r="J90">
        <v>5</v>
      </c>
      <c r="K90">
        <v>16.989999999999998</v>
      </c>
      <c r="L90" s="1" t="s">
        <v>60</v>
      </c>
      <c r="M90" s="1" t="s">
        <v>61</v>
      </c>
      <c r="N90" s="1" t="s">
        <v>62</v>
      </c>
      <c r="O90" s="1" t="s">
        <v>31</v>
      </c>
      <c r="P90" s="2">
        <v>45726</v>
      </c>
      <c r="Q90" s="1" t="s">
        <v>182</v>
      </c>
      <c r="R90" s="1" t="s">
        <v>183</v>
      </c>
      <c r="S90" s="1" t="s">
        <v>47</v>
      </c>
      <c r="T90" s="1" t="s">
        <v>35</v>
      </c>
      <c r="U90" s="1" t="s">
        <v>48</v>
      </c>
      <c r="V90" s="1" t="s">
        <v>67</v>
      </c>
      <c r="W90">
        <v>3</v>
      </c>
      <c r="X90" s="1">
        <f t="shared" si="2"/>
        <v>8313.6899999999459</v>
      </c>
      <c r="Y90" s="1">
        <f t="shared" si="3"/>
        <v>7682.919999999951</v>
      </c>
    </row>
    <row r="91" spans="1:25" x14ac:dyDescent="0.3">
      <c r="A91" s="1" t="s">
        <v>333</v>
      </c>
      <c r="B91">
        <v>3</v>
      </c>
      <c r="C91">
        <v>34.99</v>
      </c>
      <c r="D91">
        <v>84.73</v>
      </c>
      <c r="E91" s="1" t="s">
        <v>334</v>
      </c>
      <c r="F91" s="1" t="s">
        <v>40</v>
      </c>
      <c r="G91">
        <v>5</v>
      </c>
      <c r="H91" s="1" t="s">
        <v>58</v>
      </c>
      <c r="I91" s="1" t="s">
        <v>85</v>
      </c>
      <c r="J91">
        <v>12.5</v>
      </c>
      <c r="K91">
        <v>34.99</v>
      </c>
      <c r="L91" s="1" t="s">
        <v>60</v>
      </c>
      <c r="M91" s="1" t="s">
        <v>29</v>
      </c>
      <c r="N91" s="1" t="s">
        <v>30</v>
      </c>
      <c r="O91" s="1" t="s">
        <v>31</v>
      </c>
      <c r="P91" s="2">
        <v>45778</v>
      </c>
      <c r="Q91" s="1" t="s">
        <v>335</v>
      </c>
      <c r="R91" s="1" t="s">
        <v>336</v>
      </c>
      <c r="S91" s="1" t="s">
        <v>34</v>
      </c>
      <c r="T91" s="1" t="s">
        <v>35</v>
      </c>
      <c r="U91" s="1" t="s">
        <v>48</v>
      </c>
      <c r="V91" s="1" t="s">
        <v>89</v>
      </c>
      <c r="W91">
        <v>2.4</v>
      </c>
      <c r="X91" s="1">
        <f t="shared" si="2"/>
        <v>8640.6199999999462</v>
      </c>
      <c r="Y91" s="1">
        <f t="shared" si="3"/>
        <v>7682.919999999951</v>
      </c>
    </row>
    <row r="92" spans="1:25" x14ac:dyDescent="0.3">
      <c r="A92" s="1" t="s">
        <v>337</v>
      </c>
      <c r="B92">
        <v>2</v>
      </c>
      <c r="C92">
        <v>30.99</v>
      </c>
      <c r="D92">
        <v>53.78</v>
      </c>
      <c r="E92" s="1" t="s">
        <v>338</v>
      </c>
      <c r="F92" s="1" t="s">
        <v>188</v>
      </c>
      <c r="G92">
        <v>0</v>
      </c>
      <c r="H92" s="1" t="s">
        <v>58</v>
      </c>
      <c r="I92" s="1" t="s">
        <v>42</v>
      </c>
      <c r="J92">
        <v>10.5</v>
      </c>
      <c r="K92">
        <v>30.99</v>
      </c>
      <c r="L92" s="1" t="s">
        <v>28</v>
      </c>
      <c r="M92" s="1" t="s">
        <v>43</v>
      </c>
      <c r="N92" s="1" t="s">
        <v>44</v>
      </c>
      <c r="O92" s="1" t="s">
        <v>31</v>
      </c>
      <c r="P92" s="2">
        <v>45823</v>
      </c>
      <c r="Q92" s="1" t="s">
        <v>339</v>
      </c>
      <c r="R92" s="1" t="s">
        <v>340</v>
      </c>
      <c r="S92" s="1" t="s">
        <v>65</v>
      </c>
      <c r="T92" s="1" t="s">
        <v>35</v>
      </c>
      <c r="U92" s="1" t="s">
        <v>66</v>
      </c>
      <c r="V92" s="1" t="s">
        <v>37</v>
      </c>
      <c r="W92">
        <v>2</v>
      </c>
      <c r="X92" s="1">
        <f t="shared" si="2"/>
        <v>8640.6199999999462</v>
      </c>
      <c r="Y92" s="1">
        <f t="shared" si="3"/>
        <v>6397.4799999999632</v>
      </c>
    </row>
    <row r="93" spans="1:25" x14ac:dyDescent="0.3">
      <c r="A93" s="1" t="s">
        <v>341</v>
      </c>
      <c r="B93">
        <v>1</v>
      </c>
      <c r="C93">
        <v>34.99</v>
      </c>
      <c r="D93">
        <v>34.99</v>
      </c>
      <c r="E93" s="1" t="s">
        <v>334</v>
      </c>
      <c r="F93" s="1" t="s">
        <v>25</v>
      </c>
      <c r="G93">
        <v>6</v>
      </c>
      <c r="H93" s="1" t="s">
        <v>96</v>
      </c>
      <c r="I93" s="1" t="s">
        <v>85</v>
      </c>
      <c r="J93">
        <v>12.5</v>
      </c>
      <c r="K93">
        <v>34.99</v>
      </c>
      <c r="L93" s="1" t="s">
        <v>60</v>
      </c>
      <c r="M93" s="1" t="s">
        <v>29</v>
      </c>
      <c r="N93" s="1" t="s">
        <v>30</v>
      </c>
      <c r="O93" s="1" t="s">
        <v>31</v>
      </c>
      <c r="P93" s="2">
        <v>45778</v>
      </c>
      <c r="Q93" s="1" t="s">
        <v>342</v>
      </c>
      <c r="R93" s="1" t="s">
        <v>343</v>
      </c>
      <c r="S93" s="1" t="s">
        <v>34</v>
      </c>
      <c r="T93" s="1" t="s">
        <v>35</v>
      </c>
      <c r="U93" s="1" t="s">
        <v>66</v>
      </c>
      <c r="V93" s="1" t="s">
        <v>89</v>
      </c>
      <c r="W93">
        <v>2.4</v>
      </c>
      <c r="X93" s="1">
        <f t="shared" si="2"/>
        <v>7844.9099999999507</v>
      </c>
      <c r="Y93" s="1">
        <f t="shared" si="3"/>
        <v>6397.4799999999632</v>
      </c>
    </row>
    <row r="94" spans="1:25" x14ac:dyDescent="0.3">
      <c r="A94" s="1" t="s">
        <v>344</v>
      </c>
      <c r="B94">
        <v>1</v>
      </c>
      <c r="C94">
        <v>16.989999999999998</v>
      </c>
      <c r="D94">
        <v>16.989999999999998</v>
      </c>
      <c r="E94" s="1" t="s">
        <v>288</v>
      </c>
      <c r="F94" s="1" t="s">
        <v>40</v>
      </c>
      <c r="G94">
        <v>19</v>
      </c>
      <c r="H94" s="1" t="s">
        <v>26</v>
      </c>
      <c r="I94" s="1" t="s">
        <v>59</v>
      </c>
      <c r="J94">
        <v>5</v>
      </c>
      <c r="K94">
        <v>16.989999999999998</v>
      </c>
      <c r="L94" s="1" t="s">
        <v>60</v>
      </c>
      <c r="M94" s="1" t="s">
        <v>61</v>
      </c>
      <c r="N94" s="1" t="s">
        <v>62</v>
      </c>
      <c r="O94" s="1" t="s">
        <v>31</v>
      </c>
      <c r="P94" s="2">
        <v>45726</v>
      </c>
      <c r="Q94" s="1" t="s">
        <v>269</v>
      </c>
      <c r="R94" s="1" t="s">
        <v>345</v>
      </c>
      <c r="S94" s="1" t="s">
        <v>47</v>
      </c>
      <c r="T94" s="1" t="s">
        <v>35</v>
      </c>
      <c r="U94" s="1" t="s">
        <v>36</v>
      </c>
      <c r="V94" s="1" t="s">
        <v>67</v>
      </c>
      <c r="W94">
        <v>3</v>
      </c>
      <c r="X94" s="1">
        <f t="shared" si="2"/>
        <v>8313.6899999999459</v>
      </c>
      <c r="Y94" s="1">
        <f t="shared" si="3"/>
        <v>6355.4899999999634</v>
      </c>
    </row>
    <row r="95" spans="1:25" x14ac:dyDescent="0.3">
      <c r="A95" s="1" t="s">
        <v>346</v>
      </c>
      <c r="B95">
        <v>1</v>
      </c>
      <c r="C95">
        <v>21.99</v>
      </c>
      <c r="D95">
        <v>21.99</v>
      </c>
      <c r="E95" s="1" t="s">
        <v>113</v>
      </c>
      <c r="F95" s="1" t="s">
        <v>40</v>
      </c>
      <c r="G95">
        <v>2</v>
      </c>
      <c r="H95" s="1" t="s">
        <v>41</v>
      </c>
      <c r="I95" s="1" t="s">
        <v>27</v>
      </c>
      <c r="J95">
        <v>7</v>
      </c>
      <c r="K95">
        <v>21.99</v>
      </c>
      <c r="L95" s="1" t="s">
        <v>28</v>
      </c>
      <c r="M95" s="1" t="s">
        <v>29</v>
      </c>
      <c r="N95" s="1" t="s">
        <v>30</v>
      </c>
      <c r="O95" s="1" t="s">
        <v>31</v>
      </c>
      <c r="P95" s="2">
        <v>45778</v>
      </c>
      <c r="Q95" s="1" t="s">
        <v>278</v>
      </c>
      <c r="R95" s="1" t="s">
        <v>279</v>
      </c>
      <c r="S95" s="1" t="s">
        <v>54</v>
      </c>
      <c r="T95" s="1" t="s">
        <v>35</v>
      </c>
      <c r="U95" s="1" t="s">
        <v>36</v>
      </c>
      <c r="V95" s="1" t="s">
        <v>37</v>
      </c>
      <c r="W95">
        <v>2</v>
      </c>
      <c r="X95" s="1">
        <f t="shared" si="2"/>
        <v>8551.6499999999451</v>
      </c>
      <c r="Y95" s="1">
        <f t="shared" si="3"/>
        <v>6355.4899999999634</v>
      </c>
    </row>
    <row r="96" spans="1:25" x14ac:dyDescent="0.3">
      <c r="A96" s="1" t="s">
        <v>347</v>
      </c>
      <c r="B96">
        <v>1</v>
      </c>
      <c r="C96">
        <v>16.989999999999998</v>
      </c>
      <c r="D96">
        <v>16.989999999999998</v>
      </c>
      <c r="E96" s="1" t="s">
        <v>348</v>
      </c>
      <c r="F96" s="1" t="s">
        <v>70</v>
      </c>
      <c r="G96">
        <v>0</v>
      </c>
      <c r="H96" s="1" t="s">
        <v>41</v>
      </c>
      <c r="I96" s="1" t="s">
        <v>59</v>
      </c>
      <c r="J96">
        <v>5</v>
      </c>
      <c r="K96">
        <v>16.989999999999998</v>
      </c>
      <c r="L96" s="1" t="s">
        <v>60</v>
      </c>
      <c r="M96" s="1" t="s">
        <v>61</v>
      </c>
      <c r="N96" s="1" t="s">
        <v>62</v>
      </c>
      <c r="O96" s="1" t="s">
        <v>31</v>
      </c>
      <c r="P96" s="2">
        <v>45726</v>
      </c>
      <c r="Q96" s="1" t="s">
        <v>349</v>
      </c>
      <c r="R96" s="1" t="s">
        <v>350</v>
      </c>
      <c r="S96" s="1" t="s">
        <v>47</v>
      </c>
      <c r="T96" s="1" t="s">
        <v>35</v>
      </c>
      <c r="U96" s="1" t="s">
        <v>55</v>
      </c>
      <c r="V96" s="1" t="s">
        <v>67</v>
      </c>
      <c r="W96">
        <v>3</v>
      </c>
      <c r="X96" s="1">
        <f t="shared" si="2"/>
        <v>8551.6499999999451</v>
      </c>
      <c r="Y96" s="1">
        <f t="shared" si="3"/>
        <v>5710.7699999999695</v>
      </c>
    </row>
    <row r="97" spans="1:25" x14ac:dyDescent="0.3">
      <c r="A97" s="1" t="s">
        <v>351</v>
      </c>
      <c r="B97">
        <v>3</v>
      </c>
      <c r="C97">
        <v>21.99</v>
      </c>
      <c r="D97">
        <v>52.48</v>
      </c>
      <c r="E97" s="1" t="s">
        <v>274</v>
      </c>
      <c r="F97" s="1" t="s">
        <v>70</v>
      </c>
      <c r="G97">
        <v>0</v>
      </c>
      <c r="H97" s="1" t="s">
        <v>96</v>
      </c>
      <c r="I97" s="1" t="s">
        <v>27</v>
      </c>
      <c r="J97">
        <v>7</v>
      </c>
      <c r="K97">
        <v>21.99</v>
      </c>
      <c r="L97" s="1" t="s">
        <v>28</v>
      </c>
      <c r="M97" s="1" t="s">
        <v>29</v>
      </c>
      <c r="N97" s="1" t="s">
        <v>30</v>
      </c>
      <c r="O97" s="1" t="s">
        <v>31</v>
      </c>
      <c r="P97" s="2">
        <v>45778</v>
      </c>
      <c r="Q97" s="1" t="s">
        <v>114</v>
      </c>
      <c r="R97" s="1" t="s">
        <v>115</v>
      </c>
      <c r="S97" s="1" t="s">
        <v>54</v>
      </c>
      <c r="T97" s="1" t="s">
        <v>35</v>
      </c>
      <c r="U97" s="1" t="s">
        <v>82</v>
      </c>
      <c r="V97" s="1" t="s">
        <v>37</v>
      </c>
      <c r="W97">
        <v>2</v>
      </c>
      <c r="X97" s="1">
        <f t="shared" si="2"/>
        <v>7844.9099999999507</v>
      </c>
      <c r="Y97" s="1">
        <f t="shared" si="3"/>
        <v>7204.2099999999582</v>
      </c>
    </row>
    <row r="98" spans="1:25" x14ac:dyDescent="0.3">
      <c r="A98" s="1" t="s">
        <v>352</v>
      </c>
      <c r="B98">
        <v>1</v>
      </c>
      <c r="C98">
        <v>34.99</v>
      </c>
      <c r="D98">
        <v>34.99</v>
      </c>
      <c r="E98" s="1" t="s">
        <v>160</v>
      </c>
      <c r="F98" s="1" t="s">
        <v>51</v>
      </c>
      <c r="G98">
        <v>0</v>
      </c>
      <c r="H98" s="1" t="s">
        <v>41</v>
      </c>
      <c r="I98" s="1" t="s">
        <v>85</v>
      </c>
      <c r="J98">
        <v>12.5</v>
      </c>
      <c r="K98">
        <v>34.99</v>
      </c>
      <c r="L98" s="1" t="s">
        <v>60</v>
      </c>
      <c r="M98" s="1" t="s">
        <v>29</v>
      </c>
      <c r="N98" s="1" t="s">
        <v>30</v>
      </c>
      <c r="O98" s="1" t="s">
        <v>31</v>
      </c>
      <c r="P98" s="2">
        <v>45778</v>
      </c>
      <c r="Q98" s="1" t="s">
        <v>176</v>
      </c>
      <c r="R98" s="1" t="s">
        <v>353</v>
      </c>
      <c r="S98" s="1" t="s">
        <v>105</v>
      </c>
      <c r="T98" s="1" t="s">
        <v>35</v>
      </c>
      <c r="U98" s="1" t="s">
        <v>82</v>
      </c>
      <c r="V98" s="1" t="s">
        <v>89</v>
      </c>
      <c r="W98">
        <v>2.4</v>
      </c>
      <c r="X98" s="1">
        <f t="shared" si="2"/>
        <v>8551.6499999999451</v>
      </c>
      <c r="Y98" s="1">
        <f t="shared" si="3"/>
        <v>7204.2099999999582</v>
      </c>
    </row>
    <row r="99" spans="1:25" x14ac:dyDescent="0.3">
      <c r="A99" s="1" t="s">
        <v>354</v>
      </c>
      <c r="B99">
        <v>1</v>
      </c>
      <c r="C99">
        <v>16.989999999999998</v>
      </c>
      <c r="D99">
        <v>16.989999999999998</v>
      </c>
      <c r="E99" s="1" t="s">
        <v>246</v>
      </c>
      <c r="F99" s="1" t="s">
        <v>25</v>
      </c>
      <c r="G99">
        <v>16</v>
      </c>
      <c r="H99" s="1" t="s">
        <v>41</v>
      </c>
      <c r="I99" s="1" t="s">
        <v>59</v>
      </c>
      <c r="J99">
        <v>5</v>
      </c>
      <c r="K99">
        <v>16.989999999999998</v>
      </c>
      <c r="L99" s="1" t="s">
        <v>60</v>
      </c>
      <c r="M99" s="1" t="s">
        <v>61</v>
      </c>
      <c r="N99" s="1" t="s">
        <v>62</v>
      </c>
      <c r="O99" s="1" t="s">
        <v>31</v>
      </c>
      <c r="P99" s="2">
        <v>45726</v>
      </c>
      <c r="Q99" s="1" t="s">
        <v>355</v>
      </c>
      <c r="R99" s="1" t="s">
        <v>356</v>
      </c>
      <c r="S99" s="1" t="s">
        <v>34</v>
      </c>
      <c r="T99" s="1" t="s">
        <v>35</v>
      </c>
      <c r="U99" s="1" t="s">
        <v>48</v>
      </c>
      <c r="V99" s="1" t="s">
        <v>67</v>
      </c>
      <c r="W99">
        <v>3</v>
      </c>
      <c r="X99" s="1">
        <f t="shared" si="2"/>
        <v>8551.6499999999451</v>
      </c>
      <c r="Y99" s="1">
        <f t="shared" si="3"/>
        <v>7682.919999999951</v>
      </c>
    </row>
    <row r="100" spans="1:25" x14ac:dyDescent="0.3">
      <c r="A100" s="1" t="s">
        <v>357</v>
      </c>
      <c r="B100">
        <v>3</v>
      </c>
      <c r="C100">
        <v>27.99</v>
      </c>
      <c r="D100">
        <v>66.88</v>
      </c>
      <c r="E100" s="1" t="s">
        <v>244</v>
      </c>
      <c r="F100" s="1" t="s">
        <v>40</v>
      </c>
      <c r="G100">
        <v>2</v>
      </c>
      <c r="H100" s="1" t="s">
        <v>58</v>
      </c>
      <c r="I100" s="1" t="s">
        <v>75</v>
      </c>
      <c r="J100">
        <v>9</v>
      </c>
      <c r="K100">
        <v>27.99</v>
      </c>
      <c r="L100" s="1" t="s">
        <v>28</v>
      </c>
      <c r="M100" s="1" t="s">
        <v>61</v>
      </c>
      <c r="N100" s="1" t="s">
        <v>62</v>
      </c>
      <c r="O100" s="1" t="s">
        <v>31</v>
      </c>
      <c r="P100" s="2">
        <v>45726</v>
      </c>
      <c r="Q100" s="1" t="s">
        <v>358</v>
      </c>
      <c r="R100" s="1" t="s">
        <v>359</v>
      </c>
      <c r="S100" s="1" t="s">
        <v>34</v>
      </c>
      <c r="T100" s="1" t="s">
        <v>35</v>
      </c>
      <c r="U100" s="1" t="s">
        <v>66</v>
      </c>
      <c r="V100" s="1" t="s">
        <v>37</v>
      </c>
      <c r="W100">
        <v>2</v>
      </c>
      <c r="X100" s="1">
        <f t="shared" si="2"/>
        <v>8640.6199999999462</v>
      </c>
      <c r="Y100" s="1">
        <f t="shared" si="3"/>
        <v>6397.4799999999632</v>
      </c>
    </row>
    <row r="101" spans="1:25" x14ac:dyDescent="0.3">
      <c r="A101" s="1" t="s">
        <v>360</v>
      </c>
      <c r="B101">
        <v>1</v>
      </c>
      <c r="C101">
        <v>21.99</v>
      </c>
      <c r="D101">
        <v>21.99</v>
      </c>
      <c r="E101" s="1" t="s">
        <v>244</v>
      </c>
      <c r="F101" s="1" t="s">
        <v>40</v>
      </c>
      <c r="G101">
        <v>2</v>
      </c>
      <c r="H101" s="1" t="s">
        <v>58</v>
      </c>
      <c r="I101" s="1" t="s">
        <v>27</v>
      </c>
      <c r="J101">
        <v>7</v>
      </c>
      <c r="K101">
        <v>21.99</v>
      </c>
      <c r="L101" s="1" t="s">
        <v>28</v>
      </c>
      <c r="M101" s="1" t="s">
        <v>29</v>
      </c>
      <c r="N101" s="1" t="s">
        <v>30</v>
      </c>
      <c r="O101" s="1" t="s">
        <v>31</v>
      </c>
      <c r="P101" s="2">
        <v>45778</v>
      </c>
      <c r="Q101" s="1" t="s">
        <v>231</v>
      </c>
      <c r="R101" s="1" t="s">
        <v>361</v>
      </c>
      <c r="S101" s="1" t="s">
        <v>47</v>
      </c>
      <c r="T101" s="1" t="s">
        <v>35</v>
      </c>
      <c r="U101" s="1" t="s">
        <v>66</v>
      </c>
      <c r="V101" s="1" t="s">
        <v>37</v>
      </c>
      <c r="W101">
        <v>2</v>
      </c>
      <c r="X101" s="1">
        <f t="shared" si="2"/>
        <v>8640.6199999999462</v>
      </c>
      <c r="Y101" s="1">
        <f t="shared" si="3"/>
        <v>6397.4799999999632</v>
      </c>
    </row>
    <row r="102" spans="1:25" x14ac:dyDescent="0.3">
      <c r="A102" s="1" t="s">
        <v>362</v>
      </c>
      <c r="B102">
        <v>1</v>
      </c>
      <c r="C102">
        <v>30.99</v>
      </c>
      <c r="D102">
        <v>30.99</v>
      </c>
      <c r="E102" s="1" t="s">
        <v>107</v>
      </c>
      <c r="F102" s="1" t="s">
        <v>51</v>
      </c>
      <c r="G102">
        <v>0</v>
      </c>
      <c r="H102" s="1" t="s">
        <v>96</v>
      </c>
      <c r="I102" s="1" t="s">
        <v>42</v>
      </c>
      <c r="J102">
        <v>10.5</v>
      </c>
      <c r="K102">
        <v>30.99</v>
      </c>
      <c r="L102" s="1" t="s">
        <v>28</v>
      </c>
      <c r="M102" s="1" t="s">
        <v>43</v>
      </c>
      <c r="N102" s="1" t="s">
        <v>44</v>
      </c>
      <c r="O102" s="1" t="s">
        <v>31</v>
      </c>
      <c r="P102" s="2">
        <v>45823</v>
      </c>
      <c r="Q102" s="1" t="s">
        <v>363</v>
      </c>
      <c r="R102" s="1" t="s">
        <v>364</v>
      </c>
      <c r="S102" s="1" t="s">
        <v>54</v>
      </c>
      <c r="T102" s="1" t="s">
        <v>35</v>
      </c>
      <c r="U102" s="1" t="s">
        <v>55</v>
      </c>
      <c r="V102" s="1" t="s">
        <v>37</v>
      </c>
      <c r="W102">
        <v>2</v>
      </c>
      <c r="X102" s="1">
        <f t="shared" si="2"/>
        <v>7844.9099999999507</v>
      </c>
      <c r="Y102" s="1">
        <f t="shared" si="3"/>
        <v>5710.7699999999695</v>
      </c>
    </row>
    <row r="103" spans="1:25" x14ac:dyDescent="0.3">
      <c r="A103" s="1" t="s">
        <v>365</v>
      </c>
      <c r="B103">
        <v>1</v>
      </c>
      <c r="C103">
        <v>18.989999999999998</v>
      </c>
      <c r="D103">
        <v>18.989999999999998</v>
      </c>
      <c r="E103" s="1" t="s">
        <v>260</v>
      </c>
      <c r="F103" s="1" t="s">
        <v>40</v>
      </c>
      <c r="G103">
        <v>11</v>
      </c>
      <c r="H103" s="1" t="s">
        <v>41</v>
      </c>
      <c r="I103" s="1" t="s">
        <v>97</v>
      </c>
      <c r="J103">
        <v>6</v>
      </c>
      <c r="K103">
        <v>18.989999999999998</v>
      </c>
      <c r="L103" s="1" t="s">
        <v>60</v>
      </c>
      <c r="M103" s="1" t="s">
        <v>43</v>
      </c>
      <c r="N103" s="1" t="s">
        <v>44</v>
      </c>
      <c r="O103" s="1" t="s">
        <v>31</v>
      </c>
      <c r="P103" s="2">
        <v>45823</v>
      </c>
      <c r="Q103" s="1" t="s">
        <v>366</v>
      </c>
      <c r="R103" s="1" t="s">
        <v>367</v>
      </c>
      <c r="S103" s="1" t="s">
        <v>105</v>
      </c>
      <c r="T103" s="1" t="s">
        <v>35</v>
      </c>
      <c r="U103" s="1" t="s">
        <v>48</v>
      </c>
      <c r="V103" s="1" t="s">
        <v>100</v>
      </c>
      <c r="W103">
        <v>3.2</v>
      </c>
      <c r="X103" s="1">
        <f t="shared" si="2"/>
        <v>8551.6499999999451</v>
      </c>
      <c r="Y103" s="1">
        <f t="shared" si="3"/>
        <v>7682.919999999951</v>
      </c>
    </row>
    <row r="104" spans="1:25" x14ac:dyDescent="0.3">
      <c r="A104" s="1" t="s">
        <v>368</v>
      </c>
      <c r="B104">
        <v>1</v>
      </c>
      <c r="C104">
        <v>30.99</v>
      </c>
      <c r="D104">
        <v>30.99</v>
      </c>
      <c r="E104" s="1" t="s">
        <v>146</v>
      </c>
      <c r="F104" s="1" t="s">
        <v>40</v>
      </c>
      <c r="G104">
        <v>3</v>
      </c>
      <c r="H104" s="1" t="s">
        <v>41</v>
      </c>
      <c r="I104" s="1" t="s">
        <v>42</v>
      </c>
      <c r="J104">
        <v>10.5</v>
      </c>
      <c r="K104">
        <v>30.99</v>
      </c>
      <c r="L104" s="1" t="s">
        <v>28</v>
      </c>
      <c r="M104" s="1" t="s">
        <v>43</v>
      </c>
      <c r="N104" s="1" t="s">
        <v>44</v>
      </c>
      <c r="O104" s="1" t="s">
        <v>31</v>
      </c>
      <c r="P104" s="2">
        <v>45823</v>
      </c>
      <c r="Q104" s="1" t="s">
        <v>231</v>
      </c>
      <c r="R104" s="1" t="s">
        <v>232</v>
      </c>
      <c r="S104" s="1" t="s">
        <v>105</v>
      </c>
      <c r="T104" s="1" t="s">
        <v>35</v>
      </c>
      <c r="U104" s="1" t="s">
        <v>36</v>
      </c>
      <c r="V104" s="1" t="s">
        <v>37</v>
      </c>
      <c r="W104">
        <v>2</v>
      </c>
      <c r="X104" s="1">
        <f t="shared" si="2"/>
        <v>8551.6499999999451</v>
      </c>
      <c r="Y104" s="1">
        <f t="shared" si="3"/>
        <v>6355.4899999999634</v>
      </c>
    </row>
    <row r="105" spans="1:25" x14ac:dyDescent="0.3">
      <c r="A105" s="1" t="s">
        <v>369</v>
      </c>
      <c r="B105">
        <v>1</v>
      </c>
      <c r="C105">
        <v>30.99</v>
      </c>
      <c r="D105">
        <v>30.99</v>
      </c>
      <c r="E105" s="1" t="s">
        <v>175</v>
      </c>
      <c r="F105" s="1" t="s">
        <v>51</v>
      </c>
      <c r="G105">
        <v>0</v>
      </c>
      <c r="H105" s="1" t="s">
        <v>58</v>
      </c>
      <c r="I105" s="1" t="s">
        <v>42</v>
      </c>
      <c r="J105">
        <v>10.5</v>
      </c>
      <c r="K105">
        <v>30.99</v>
      </c>
      <c r="L105" s="1" t="s">
        <v>28</v>
      </c>
      <c r="M105" s="1" t="s">
        <v>43</v>
      </c>
      <c r="N105" s="1" t="s">
        <v>44</v>
      </c>
      <c r="O105" s="1" t="s">
        <v>31</v>
      </c>
      <c r="P105" s="2">
        <v>45823</v>
      </c>
      <c r="Q105" s="1" t="s">
        <v>339</v>
      </c>
      <c r="R105" s="1" t="s">
        <v>340</v>
      </c>
      <c r="S105" s="1" t="s">
        <v>65</v>
      </c>
      <c r="T105" s="1" t="s">
        <v>35</v>
      </c>
      <c r="U105" s="1" t="s">
        <v>66</v>
      </c>
      <c r="V105" s="1" t="s">
        <v>37</v>
      </c>
      <c r="W105">
        <v>2</v>
      </c>
      <c r="X105" s="1">
        <f t="shared" si="2"/>
        <v>8640.6199999999462</v>
      </c>
      <c r="Y105" s="1">
        <f t="shared" si="3"/>
        <v>6397.4799999999632</v>
      </c>
    </row>
    <row r="106" spans="1:25" x14ac:dyDescent="0.3">
      <c r="A106" s="1" t="s">
        <v>370</v>
      </c>
      <c r="B106">
        <v>1</v>
      </c>
      <c r="C106">
        <v>34.99</v>
      </c>
      <c r="D106">
        <v>34.99</v>
      </c>
      <c r="E106" s="1" t="s">
        <v>325</v>
      </c>
      <c r="F106" s="1" t="s">
        <v>188</v>
      </c>
      <c r="G106">
        <v>0</v>
      </c>
      <c r="H106" s="1" t="s">
        <v>41</v>
      </c>
      <c r="I106" s="1" t="s">
        <v>85</v>
      </c>
      <c r="J106">
        <v>12.5</v>
      </c>
      <c r="K106">
        <v>34.99</v>
      </c>
      <c r="L106" s="1" t="s">
        <v>60</v>
      </c>
      <c r="M106" s="1" t="s">
        <v>29</v>
      </c>
      <c r="N106" s="1" t="s">
        <v>30</v>
      </c>
      <c r="O106" s="1" t="s">
        <v>31</v>
      </c>
      <c r="P106" s="2">
        <v>45778</v>
      </c>
      <c r="Q106" s="1" t="s">
        <v>63</v>
      </c>
      <c r="R106" s="1" t="s">
        <v>371</v>
      </c>
      <c r="S106" s="1" t="s">
        <v>88</v>
      </c>
      <c r="T106" s="1" t="s">
        <v>35</v>
      </c>
      <c r="U106" s="1" t="s">
        <v>36</v>
      </c>
      <c r="V106" s="1" t="s">
        <v>89</v>
      </c>
      <c r="W106">
        <v>2.4</v>
      </c>
      <c r="X106" s="1">
        <f t="shared" si="2"/>
        <v>8551.6499999999451</v>
      </c>
      <c r="Y106" s="1">
        <f t="shared" si="3"/>
        <v>6355.4899999999634</v>
      </c>
    </row>
    <row r="107" spans="1:25" x14ac:dyDescent="0.3">
      <c r="A107" s="1" t="s">
        <v>372</v>
      </c>
      <c r="B107">
        <v>1</v>
      </c>
      <c r="C107">
        <v>27.99</v>
      </c>
      <c r="D107">
        <v>27.99</v>
      </c>
      <c r="E107" s="1" t="s">
        <v>91</v>
      </c>
      <c r="F107" s="1" t="s">
        <v>40</v>
      </c>
      <c r="G107">
        <v>3</v>
      </c>
      <c r="H107" s="1" t="s">
        <v>26</v>
      </c>
      <c r="I107" s="1" t="s">
        <v>75</v>
      </c>
      <c r="J107">
        <v>9</v>
      </c>
      <c r="K107">
        <v>27.99</v>
      </c>
      <c r="L107" s="1" t="s">
        <v>28</v>
      </c>
      <c r="M107" s="1" t="s">
        <v>61</v>
      </c>
      <c r="N107" s="1" t="s">
        <v>62</v>
      </c>
      <c r="O107" s="1" t="s">
        <v>31</v>
      </c>
      <c r="P107" s="2">
        <v>45726</v>
      </c>
      <c r="Q107" s="1" t="s">
        <v>373</v>
      </c>
      <c r="R107" s="1" t="s">
        <v>374</v>
      </c>
      <c r="S107" s="1" t="s">
        <v>65</v>
      </c>
      <c r="T107" s="1" t="s">
        <v>35</v>
      </c>
      <c r="U107" s="1" t="s">
        <v>82</v>
      </c>
      <c r="V107" s="1" t="s">
        <v>37</v>
      </c>
      <c r="W107">
        <v>2</v>
      </c>
      <c r="X107" s="1">
        <f t="shared" si="2"/>
        <v>8313.6899999999459</v>
      </c>
      <c r="Y107" s="1">
        <f t="shared" si="3"/>
        <v>7204.2099999999582</v>
      </c>
    </row>
    <row r="108" spans="1:25" x14ac:dyDescent="0.3">
      <c r="A108" s="1" t="s">
        <v>375</v>
      </c>
      <c r="B108">
        <v>1</v>
      </c>
      <c r="C108">
        <v>18.989999999999998</v>
      </c>
      <c r="D108">
        <v>18.989999999999998</v>
      </c>
      <c r="E108" s="1" t="s">
        <v>260</v>
      </c>
      <c r="F108" s="1" t="s">
        <v>70</v>
      </c>
      <c r="G108">
        <v>0</v>
      </c>
      <c r="H108" s="1" t="s">
        <v>41</v>
      </c>
      <c r="I108" s="1" t="s">
        <v>97</v>
      </c>
      <c r="J108">
        <v>6</v>
      </c>
      <c r="K108">
        <v>18.989999999999998</v>
      </c>
      <c r="L108" s="1" t="s">
        <v>60</v>
      </c>
      <c r="M108" s="1" t="s">
        <v>43</v>
      </c>
      <c r="N108" s="1" t="s">
        <v>44</v>
      </c>
      <c r="O108" s="1" t="s">
        <v>31</v>
      </c>
      <c r="P108" s="2">
        <v>45823</v>
      </c>
      <c r="Q108" s="1" t="s">
        <v>376</v>
      </c>
      <c r="R108" s="1" t="s">
        <v>377</v>
      </c>
      <c r="S108" s="1" t="s">
        <v>65</v>
      </c>
      <c r="T108" s="1" t="s">
        <v>35</v>
      </c>
      <c r="U108" s="1" t="s">
        <v>66</v>
      </c>
      <c r="V108" s="1" t="s">
        <v>100</v>
      </c>
      <c r="W108">
        <v>3.2</v>
      </c>
      <c r="X108" s="1">
        <f t="shared" si="2"/>
        <v>8551.6499999999451</v>
      </c>
      <c r="Y108" s="1">
        <f t="shared" si="3"/>
        <v>6397.4799999999632</v>
      </c>
    </row>
    <row r="109" spans="1:25" x14ac:dyDescent="0.3">
      <c r="A109" s="1" t="s">
        <v>378</v>
      </c>
      <c r="B109">
        <v>1</v>
      </c>
      <c r="C109">
        <v>27.99</v>
      </c>
      <c r="D109">
        <v>27.99</v>
      </c>
      <c r="E109" s="1" t="s">
        <v>181</v>
      </c>
      <c r="F109" s="1" t="s">
        <v>188</v>
      </c>
      <c r="G109">
        <v>0</v>
      </c>
      <c r="H109" s="1" t="s">
        <v>41</v>
      </c>
      <c r="I109" s="1" t="s">
        <v>75</v>
      </c>
      <c r="J109">
        <v>9</v>
      </c>
      <c r="K109">
        <v>27.99</v>
      </c>
      <c r="L109" s="1" t="s">
        <v>28</v>
      </c>
      <c r="M109" s="1" t="s">
        <v>61</v>
      </c>
      <c r="N109" s="1" t="s">
        <v>62</v>
      </c>
      <c r="O109" s="1" t="s">
        <v>31</v>
      </c>
      <c r="P109" s="2">
        <v>45726</v>
      </c>
      <c r="Q109" s="1" t="s">
        <v>379</v>
      </c>
      <c r="R109" s="1" t="s">
        <v>380</v>
      </c>
      <c r="S109" s="1" t="s">
        <v>34</v>
      </c>
      <c r="T109" s="1" t="s">
        <v>35</v>
      </c>
      <c r="U109" s="1" t="s">
        <v>55</v>
      </c>
      <c r="V109" s="1" t="s">
        <v>37</v>
      </c>
      <c r="W109">
        <v>2</v>
      </c>
      <c r="X109" s="1">
        <f t="shared" si="2"/>
        <v>8551.6499999999451</v>
      </c>
      <c r="Y109" s="1">
        <f t="shared" si="3"/>
        <v>5710.7699999999695</v>
      </c>
    </row>
    <row r="110" spans="1:25" x14ac:dyDescent="0.3">
      <c r="A110" s="1" t="s">
        <v>381</v>
      </c>
      <c r="B110">
        <v>1</v>
      </c>
      <c r="C110">
        <v>34.99</v>
      </c>
      <c r="D110">
        <v>34.99</v>
      </c>
      <c r="E110" s="1" t="s">
        <v>382</v>
      </c>
      <c r="F110" s="1" t="s">
        <v>51</v>
      </c>
      <c r="G110">
        <v>0</v>
      </c>
      <c r="H110" s="1" t="s">
        <v>58</v>
      </c>
      <c r="I110" s="1" t="s">
        <v>85</v>
      </c>
      <c r="J110">
        <v>12.5</v>
      </c>
      <c r="K110">
        <v>34.99</v>
      </c>
      <c r="L110" s="1" t="s">
        <v>60</v>
      </c>
      <c r="M110" s="1" t="s">
        <v>29</v>
      </c>
      <c r="N110" s="1" t="s">
        <v>30</v>
      </c>
      <c r="O110" s="1" t="s">
        <v>31</v>
      </c>
      <c r="P110" s="2">
        <v>45778</v>
      </c>
      <c r="Q110" s="1" t="s">
        <v>140</v>
      </c>
      <c r="R110" s="1" t="s">
        <v>383</v>
      </c>
      <c r="S110" s="1" t="s">
        <v>65</v>
      </c>
      <c r="T110" s="1" t="s">
        <v>35</v>
      </c>
      <c r="U110" s="1" t="s">
        <v>82</v>
      </c>
      <c r="V110" s="1" t="s">
        <v>89</v>
      </c>
      <c r="W110">
        <v>2.4</v>
      </c>
      <c r="X110" s="1">
        <f t="shared" si="2"/>
        <v>8640.6199999999462</v>
      </c>
      <c r="Y110" s="1">
        <f t="shared" si="3"/>
        <v>7204.2099999999582</v>
      </c>
    </row>
    <row r="111" spans="1:25" x14ac:dyDescent="0.3">
      <c r="A111" s="1" t="s">
        <v>384</v>
      </c>
      <c r="B111">
        <v>1</v>
      </c>
      <c r="C111">
        <v>21.99</v>
      </c>
      <c r="D111">
        <v>21.99</v>
      </c>
      <c r="E111" s="1" t="s">
        <v>313</v>
      </c>
      <c r="F111" s="1" t="s">
        <v>40</v>
      </c>
      <c r="G111">
        <v>2</v>
      </c>
      <c r="H111" s="1" t="s">
        <v>41</v>
      </c>
      <c r="I111" s="1" t="s">
        <v>27</v>
      </c>
      <c r="J111">
        <v>7</v>
      </c>
      <c r="K111">
        <v>21.99</v>
      </c>
      <c r="L111" s="1" t="s">
        <v>28</v>
      </c>
      <c r="M111" s="1" t="s">
        <v>29</v>
      </c>
      <c r="N111" s="1" t="s">
        <v>30</v>
      </c>
      <c r="O111" s="1" t="s">
        <v>31</v>
      </c>
      <c r="P111" s="2">
        <v>45778</v>
      </c>
      <c r="Q111" s="1" t="s">
        <v>385</v>
      </c>
      <c r="R111" s="1" t="s">
        <v>386</v>
      </c>
      <c r="S111" s="1" t="s">
        <v>47</v>
      </c>
      <c r="T111" s="1" t="s">
        <v>35</v>
      </c>
      <c r="U111" s="1" t="s">
        <v>48</v>
      </c>
      <c r="V111" s="1" t="s">
        <v>37</v>
      </c>
      <c r="W111">
        <v>2</v>
      </c>
      <c r="X111" s="1">
        <f t="shared" si="2"/>
        <v>8551.6499999999451</v>
      </c>
      <c r="Y111" s="1">
        <f t="shared" si="3"/>
        <v>7682.919999999951</v>
      </c>
    </row>
    <row r="112" spans="1:25" x14ac:dyDescent="0.3">
      <c r="A112" s="1" t="s">
        <v>387</v>
      </c>
      <c r="B112">
        <v>1</v>
      </c>
      <c r="C112">
        <v>16.989999999999998</v>
      </c>
      <c r="D112">
        <v>16.989999999999998</v>
      </c>
      <c r="E112" s="1" t="s">
        <v>39</v>
      </c>
      <c r="F112" s="1" t="s">
        <v>51</v>
      </c>
      <c r="G112">
        <v>0</v>
      </c>
      <c r="H112" s="1" t="s">
        <v>26</v>
      </c>
      <c r="I112" s="1" t="s">
        <v>59</v>
      </c>
      <c r="J112">
        <v>5</v>
      </c>
      <c r="K112">
        <v>16.989999999999998</v>
      </c>
      <c r="L112" s="1" t="s">
        <v>60</v>
      </c>
      <c r="M112" s="1" t="s">
        <v>61</v>
      </c>
      <c r="N112" s="1" t="s">
        <v>62</v>
      </c>
      <c r="O112" s="1" t="s">
        <v>31</v>
      </c>
      <c r="P112" s="2">
        <v>45726</v>
      </c>
      <c r="Q112" s="1" t="s">
        <v>63</v>
      </c>
      <c r="R112" s="1" t="s">
        <v>64</v>
      </c>
      <c r="S112" s="1" t="s">
        <v>65</v>
      </c>
      <c r="T112" s="1" t="s">
        <v>35</v>
      </c>
      <c r="U112" s="1" t="s">
        <v>66</v>
      </c>
      <c r="V112" s="1" t="s">
        <v>67</v>
      </c>
      <c r="W112">
        <v>3</v>
      </c>
      <c r="X112" s="1">
        <f t="shared" si="2"/>
        <v>8313.6899999999459</v>
      </c>
      <c r="Y112" s="1">
        <f t="shared" si="3"/>
        <v>6397.4799999999632</v>
      </c>
    </row>
    <row r="113" spans="1:25" x14ac:dyDescent="0.3">
      <c r="A113" s="1" t="s">
        <v>388</v>
      </c>
      <c r="B113">
        <v>1</v>
      </c>
      <c r="C113">
        <v>27.99</v>
      </c>
      <c r="D113">
        <v>27.99</v>
      </c>
      <c r="E113" s="1" t="s">
        <v>389</v>
      </c>
      <c r="F113" s="1" t="s">
        <v>40</v>
      </c>
      <c r="G113">
        <v>3</v>
      </c>
      <c r="H113" s="1" t="s">
        <v>96</v>
      </c>
      <c r="I113" s="1" t="s">
        <v>75</v>
      </c>
      <c r="J113">
        <v>9</v>
      </c>
      <c r="K113">
        <v>27.99</v>
      </c>
      <c r="L113" s="1" t="s">
        <v>28</v>
      </c>
      <c r="M113" s="1" t="s">
        <v>61</v>
      </c>
      <c r="N113" s="1" t="s">
        <v>62</v>
      </c>
      <c r="O113" s="1" t="s">
        <v>31</v>
      </c>
      <c r="P113" s="2">
        <v>45726</v>
      </c>
      <c r="Q113" s="1" t="s">
        <v>86</v>
      </c>
      <c r="R113" s="1" t="s">
        <v>87</v>
      </c>
      <c r="S113" s="1" t="s">
        <v>88</v>
      </c>
      <c r="T113" s="1" t="s">
        <v>35</v>
      </c>
      <c r="U113" s="1" t="s">
        <v>36</v>
      </c>
      <c r="V113" s="1" t="s">
        <v>37</v>
      </c>
      <c r="W113">
        <v>2</v>
      </c>
      <c r="X113" s="1">
        <f t="shared" si="2"/>
        <v>7844.9099999999507</v>
      </c>
      <c r="Y113" s="1">
        <f t="shared" si="3"/>
        <v>6355.4899999999634</v>
      </c>
    </row>
    <row r="114" spans="1:25" x14ac:dyDescent="0.3">
      <c r="A114" s="1" t="s">
        <v>390</v>
      </c>
      <c r="B114">
        <v>2</v>
      </c>
      <c r="C114">
        <v>21.99</v>
      </c>
      <c r="D114">
        <v>37.979999999999997</v>
      </c>
      <c r="E114" s="1" t="s">
        <v>102</v>
      </c>
      <c r="F114" s="1" t="s">
        <v>188</v>
      </c>
      <c r="G114">
        <v>0</v>
      </c>
      <c r="H114" s="1" t="s">
        <v>41</v>
      </c>
      <c r="I114" s="1" t="s">
        <v>27</v>
      </c>
      <c r="J114">
        <v>7</v>
      </c>
      <c r="K114">
        <v>21.99</v>
      </c>
      <c r="L114" s="1" t="s">
        <v>28</v>
      </c>
      <c r="M114" s="1" t="s">
        <v>29</v>
      </c>
      <c r="N114" s="1" t="s">
        <v>30</v>
      </c>
      <c r="O114" s="1" t="s">
        <v>31</v>
      </c>
      <c r="P114" s="2">
        <v>45778</v>
      </c>
      <c r="Q114" s="1" t="s">
        <v>169</v>
      </c>
      <c r="R114" s="1" t="s">
        <v>170</v>
      </c>
      <c r="S114" s="1" t="s">
        <v>54</v>
      </c>
      <c r="T114" s="1" t="s">
        <v>35</v>
      </c>
      <c r="U114" s="1" t="s">
        <v>66</v>
      </c>
      <c r="V114" s="1" t="s">
        <v>37</v>
      </c>
      <c r="W114">
        <v>2</v>
      </c>
      <c r="X114" s="1">
        <f t="shared" si="2"/>
        <v>8551.6499999999451</v>
      </c>
      <c r="Y114" s="1">
        <f t="shared" si="3"/>
        <v>6397.4799999999632</v>
      </c>
    </row>
    <row r="115" spans="1:25" x14ac:dyDescent="0.3">
      <c r="A115" s="1" t="s">
        <v>391</v>
      </c>
      <c r="B115">
        <v>3</v>
      </c>
      <c r="C115">
        <v>30.99</v>
      </c>
      <c r="D115">
        <v>74.53</v>
      </c>
      <c r="E115" s="1" t="s">
        <v>248</v>
      </c>
      <c r="F115" s="1" t="s">
        <v>51</v>
      </c>
      <c r="G115">
        <v>0</v>
      </c>
      <c r="H115" s="1" t="s">
        <v>58</v>
      </c>
      <c r="I115" s="1" t="s">
        <v>42</v>
      </c>
      <c r="J115">
        <v>10.5</v>
      </c>
      <c r="K115">
        <v>30.99</v>
      </c>
      <c r="L115" s="1" t="s">
        <v>28</v>
      </c>
      <c r="M115" s="1" t="s">
        <v>43</v>
      </c>
      <c r="N115" s="1" t="s">
        <v>44</v>
      </c>
      <c r="O115" s="1" t="s">
        <v>31</v>
      </c>
      <c r="P115" s="2">
        <v>45823</v>
      </c>
      <c r="Q115" s="1" t="s">
        <v>92</v>
      </c>
      <c r="R115" s="1" t="s">
        <v>93</v>
      </c>
      <c r="S115" s="1" t="s">
        <v>65</v>
      </c>
      <c r="T115" s="1" t="s">
        <v>35</v>
      </c>
      <c r="U115" s="1" t="s">
        <v>82</v>
      </c>
      <c r="V115" s="1" t="s">
        <v>37</v>
      </c>
      <c r="W115">
        <v>2</v>
      </c>
      <c r="X115" s="1">
        <f t="shared" si="2"/>
        <v>8640.6199999999462</v>
      </c>
      <c r="Y115" s="1">
        <f t="shared" si="3"/>
        <v>7204.2099999999582</v>
      </c>
    </row>
    <row r="116" spans="1:25" x14ac:dyDescent="0.3">
      <c r="A116" s="1" t="s">
        <v>392</v>
      </c>
      <c r="B116">
        <v>1</v>
      </c>
      <c r="C116">
        <v>18.989999999999998</v>
      </c>
      <c r="D116">
        <v>18.989999999999998</v>
      </c>
      <c r="E116" s="1" t="s">
        <v>393</v>
      </c>
      <c r="F116" s="1" t="s">
        <v>188</v>
      </c>
      <c r="G116">
        <v>0</v>
      </c>
      <c r="H116" s="1" t="s">
        <v>96</v>
      </c>
      <c r="I116" s="1" t="s">
        <v>97</v>
      </c>
      <c r="J116">
        <v>6</v>
      </c>
      <c r="K116">
        <v>18.989999999999998</v>
      </c>
      <c r="L116" s="1" t="s">
        <v>60</v>
      </c>
      <c r="M116" s="1" t="s">
        <v>43</v>
      </c>
      <c r="N116" s="1" t="s">
        <v>44</v>
      </c>
      <c r="O116" s="1" t="s">
        <v>31</v>
      </c>
      <c r="P116" s="2">
        <v>45823</v>
      </c>
      <c r="Q116" s="1" t="s">
        <v>234</v>
      </c>
      <c r="R116" s="1" t="s">
        <v>235</v>
      </c>
      <c r="S116" s="1" t="s">
        <v>105</v>
      </c>
      <c r="T116" s="1" t="s">
        <v>35</v>
      </c>
      <c r="U116" s="1" t="s">
        <v>48</v>
      </c>
      <c r="V116" s="1" t="s">
        <v>100</v>
      </c>
      <c r="W116">
        <v>3.2</v>
      </c>
      <c r="X116" s="1">
        <f t="shared" si="2"/>
        <v>7844.9099999999507</v>
      </c>
      <c r="Y116" s="1">
        <f t="shared" si="3"/>
        <v>7682.919999999951</v>
      </c>
    </row>
    <row r="117" spans="1:25" x14ac:dyDescent="0.3">
      <c r="A117" s="1" t="s">
        <v>394</v>
      </c>
      <c r="B117">
        <v>1</v>
      </c>
      <c r="C117">
        <v>21.99</v>
      </c>
      <c r="D117">
        <v>21.99</v>
      </c>
      <c r="E117" s="1" t="s">
        <v>334</v>
      </c>
      <c r="F117" s="1" t="s">
        <v>188</v>
      </c>
      <c r="G117">
        <v>0</v>
      </c>
      <c r="H117" s="1" t="s">
        <v>58</v>
      </c>
      <c r="I117" s="1" t="s">
        <v>27</v>
      </c>
      <c r="J117">
        <v>7</v>
      </c>
      <c r="K117">
        <v>21.99</v>
      </c>
      <c r="L117" s="1" t="s">
        <v>28</v>
      </c>
      <c r="M117" s="1" t="s">
        <v>29</v>
      </c>
      <c r="N117" s="1" t="s">
        <v>30</v>
      </c>
      <c r="O117" s="1" t="s">
        <v>31</v>
      </c>
      <c r="P117" s="2">
        <v>45778</v>
      </c>
      <c r="Q117" s="1" t="s">
        <v>137</v>
      </c>
      <c r="R117" s="1" t="s">
        <v>138</v>
      </c>
      <c r="S117" s="1" t="s">
        <v>34</v>
      </c>
      <c r="T117" s="1" t="s">
        <v>35</v>
      </c>
      <c r="U117" s="1" t="s">
        <v>82</v>
      </c>
      <c r="V117" s="1" t="s">
        <v>37</v>
      </c>
      <c r="W117">
        <v>2</v>
      </c>
      <c r="X117" s="1">
        <f t="shared" si="2"/>
        <v>8640.6199999999462</v>
      </c>
      <c r="Y117" s="1">
        <f t="shared" si="3"/>
        <v>7204.2099999999582</v>
      </c>
    </row>
    <row r="118" spans="1:25" x14ac:dyDescent="0.3">
      <c r="A118" s="1" t="s">
        <v>395</v>
      </c>
      <c r="B118">
        <v>1</v>
      </c>
      <c r="C118">
        <v>30.99</v>
      </c>
      <c r="D118">
        <v>30.99</v>
      </c>
      <c r="E118" s="1" t="s">
        <v>117</v>
      </c>
      <c r="F118" s="1" t="s">
        <v>40</v>
      </c>
      <c r="G118">
        <v>3</v>
      </c>
      <c r="H118" s="1" t="s">
        <v>96</v>
      </c>
      <c r="I118" s="1" t="s">
        <v>42</v>
      </c>
      <c r="J118">
        <v>10.5</v>
      </c>
      <c r="K118">
        <v>30.99</v>
      </c>
      <c r="L118" s="1" t="s">
        <v>28</v>
      </c>
      <c r="M118" s="1" t="s">
        <v>43</v>
      </c>
      <c r="N118" s="1" t="s">
        <v>44</v>
      </c>
      <c r="O118" s="1" t="s">
        <v>31</v>
      </c>
      <c r="P118" s="2">
        <v>45823</v>
      </c>
      <c r="Q118" s="1" t="s">
        <v>396</v>
      </c>
      <c r="R118" s="1" t="s">
        <v>397</v>
      </c>
      <c r="S118" s="1" t="s">
        <v>34</v>
      </c>
      <c r="T118" s="1" t="s">
        <v>35</v>
      </c>
      <c r="U118" s="1" t="s">
        <v>82</v>
      </c>
      <c r="V118" s="1" t="s">
        <v>37</v>
      </c>
      <c r="W118">
        <v>2</v>
      </c>
      <c r="X118" s="1">
        <f t="shared" si="2"/>
        <v>7844.9099999999507</v>
      </c>
      <c r="Y118" s="1">
        <f t="shared" si="3"/>
        <v>7204.2099999999582</v>
      </c>
    </row>
    <row r="119" spans="1:25" x14ac:dyDescent="0.3">
      <c r="A119" s="1" t="s">
        <v>398</v>
      </c>
      <c r="B119">
        <v>1</v>
      </c>
      <c r="C119">
        <v>16.989999999999998</v>
      </c>
      <c r="D119">
        <v>16.989999999999998</v>
      </c>
      <c r="E119" s="1" t="s">
        <v>214</v>
      </c>
      <c r="F119" s="1" t="s">
        <v>70</v>
      </c>
      <c r="G119">
        <v>0</v>
      </c>
      <c r="H119" s="1" t="s">
        <v>58</v>
      </c>
      <c r="I119" s="1" t="s">
        <v>59</v>
      </c>
      <c r="J119">
        <v>5</v>
      </c>
      <c r="K119">
        <v>16.989999999999998</v>
      </c>
      <c r="L119" s="1" t="s">
        <v>60</v>
      </c>
      <c r="M119" s="1" t="s">
        <v>61</v>
      </c>
      <c r="N119" s="1" t="s">
        <v>62</v>
      </c>
      <c r="O119" s="1" t="s">
        <v>31</v>
      </c>
      <c r="P119" s="2">
        <v>45726</v>
      </c>
      <c r="Q119" s="1" t="s">
        <v>80</v>
      </c>
      <c r="R119" s="1" t="s">
        <v>81</v>
      </c>
      <c r="S119" s="1" t="s">
        <v>34</v>
      </c>
      <c r="T119" s="1" t="s">
        <v>35</v>
      </c>
      <c r="U119" s="1" t="s">
        <v>82</v>
      </c>
      <c r="V119" s="1" t="s">
        <v>67</v>
      </c>
      <c r="W119">
        <v>3</v>
      </c>
      <c r="X119" s="1">
        <f t="shared" si="2"/>
        <v>8640.6199999999462</v>
      </c>
      <c r="Y119" s="1">
        <f t="shared" si="3"/>
        <v>7204.2099999999582</v>
      </c>
    </row>
    <row r="120" spans="1:25" x14ac:dyDescent="0.3">
      <c r="A120" s="1" t="s">
        <v>399</v>
      </c>
      <c r="B120">
        <v>1</v>
      </c>
      <c r="C120">
        <v>30.99</v>
      </c>
      <c r="D120">
        <v>30.99</v>
      </c>
      <c r="E120" s="1" t="s">
        <v>117</v>
      </c>
      <c r="F120" s="1" t="s">
        <v>40</v>
      </c>
      <c r="G120">
        <v>3</v>
      </c>
      <c r="H120" s="1" t="s">
        <v>41</v>
      </c>
      <c r="I120" s="1" t="s">
        <v>42</v>
      </c>
      <c r="J120">
        <v>10.5</v>
      </c>
      <c r="K120">
        <v>30.99</v>
      </c>
      <c r="L120" s="1" t="s">
        <v>28</v>
      </c>
      <c r="M120" s="1" t="s">
        <v>43</v>
      </c>
      <c r="N120" s="1" t="s">
        <v>44</v>
      </c>
      <c r="O120" s="1" t="s">
        <v>31</v>
      </c>
      <c r="P120" s="2">
        <v>45823</v>
      </c>
      <c r="Q120" s="1" t="s">
        <v>147</v>
      </c>
      <c r="R120" s="1" t="s">
        <v>400</v>
      </c>
      <c r="S120" s="1" t="s">
        <v>47</v>
      </c>
      <c r="T120" s="1" t="s">
        <v>35</v>
      </c>
      <c r="U120" s="1" t="s">
        <v>36</v>
      </c>
      <c r="V120" s="1" t="s">
        <v>37</v>
      </c>
      <c r="W120">
        <v>2</v>
      </c>
      <c r="X120" s="1">
        <f t="shared" si="2"/>
        <v>8551.6499999999451</v>
      </c>
      <c r="Y120" s="1">
        <f t="shared" si="3"/>
        <v>6355.4899999999634</v>
      </c>
    </row>
    <row r="121" spans="1:25" x14ac:dyDescent="0.3">
      <c r="A121" s="1" t="s">
        <v>401</v>
      </c>
      <c r="B121">
        <v>1</v>
      </c>
      <c r="C121">
        <v>30.99</v>
      </c>
      <c r="D121">
        <v>30.99</v>
      </c>
      <c r="E121" s="1" t="s">
        <v>69</v>
      </c>
      <c r="F121" s="1" t="s">
        <v>40</v>
      </c>
      <c r="G121">
        <v>2</v>
      </c>
      <c r="H121" s="1" t="s">
        <v>96</v>
      </c>
      <c r="I121" s="1" t="s">
        <v>42</v>
      </c>
      <c r="J121">
        <v>10.5</v>
      </c>
      <c r="K121">
        <v>30.99</v>
      </c>
      <c r="L121" s="1" t="s">
        <v>28</v>
      </c>
      <c r="M121" s="1" t="s">
        <v>43</v>
      </c>
      <c r="N121" s="1" t="s">
        <v>44</v>
      </c>
      <c r="O121" s="1" t="s">
        <v>31</v>
      </c>
      <c r="P121" s="2">
        <v>45823</v>
      </c>
      <c r="Q121" s="1" t="s">
        <v>114</v>
      </c>
      <c r="R121" s="1" t="s">
        <v>402</v>
      </c>
      <c r="S121" s="1" t="s">
        <v>88</v>
      </c>
      <c r="T121" s="1" t="s">
        <v>35</v>
      </c>
      <c r="U121" s="1" t="s">
        <v>48</v>
      </c>
      <c r="V121" s="1" t="s">
        <v>37</v>
      </c>
      <c r="W121">
        <v>2</v>
      </c>
      <c r="X121" s="1">
        <f t="shared" si="2"/>
        <v>7844.9099999999507</v>
      </c>
      <c r="Y121" s="1">
        <f t="shared" si="3"/>
        <v>7682.919999999951</v>
      </c>
    </row>
    <row r="122" spans="1:25" x14ac:dyDescent="0.3">
      <c r="A122" s="1" t="s">
        <v>403</v>
      </c>
      <c r="B122">
        <v>1</v>
      </c>
      <c r="C122">
        <v>27.99</v>
      </c>
      <c r="D122">
        <v>27.99</v>
      </c>
      <c r="E122" s="1" t="s">
        <v>24</v>
      </c>
      <c r="F122" s="1" t="s">
        <v>51</v>
      </c>
      <c r="G122">
        <v>0</v>
      </c>
      <c r="H122" s="1" t="s">
        <v>26</v>
      </c>
      <c r="I122" s="1" t="s">
        <v>75</v>
      </c>
      <c r="J122">
        <v>9</v>
      </c>
      <c r="K122">
        <v>27.99</v>
      </c>
      <c r="L122" s="1" t="s">
        <v>28</v>
      </c>
      <c r="M122" s="1" t="s">
        <v>61</v>
      </c>
      <c r="N122" s="1" t="s">
        <v>62</v>
      </c>
      <c r="O122" s="1" t="s">
        <v>31</v>
      </c>
      <c r="P122" s="2">
        <v>45726</v>
      </c>
      <c r="Q122" s="1" t="s">
        <v>76</v>
      </c>
      <c r="R122" s="1" t="s">
        <v>404</v>
      </c>
      <c r="S122" s="1" t="s">
        <v>54</v>
      </c>
      <c r="T122" s="1" t="s">
        <v>35</v>
      </c>
      <c r="U122" s="1" t="s">
        <v>48</v>
      </c>
      <c r="V122" s="1" t="s">
        <v>37</v>
      </c>
      <c r="W122">
        <v>2</v>
      </c>
      <c r="X122" s="1">
        <f t="shared" si="2"/>
        <v>8313.6899999999459</v>
      </c>
      <c r="Y122" s="1">
        <f t="shared" si="3"/>
        <v>7682.919999999951</v>
      </c>
    </row>
    <row r="123" spans="1:25" x14ac:dyDescent="0.3">
      <c r="A123" s="1" t="s">
        <v>405</v>
      </c>
      <c r="B123">
        <v>1</v>
      </c>
      <c r="C123">
        <v>16.989999999999998</v>
      </c>
      <c r="D123">
        <v>16.989999999999998</v>
      </c>
      <c r="E123" s="1" t="s">
        <v>389</v>
      </c>
      <c r="F123" s="1" t="s">
        <v>51</v>
      </c>
      <c r="G123">
        <v>0</v>
      </c>
      <c r="H123" s="1" t="s">
        <v>58</v>
      </c>
      <c r="I123" s="1" t="s">
        <v>59</v>
      </c>
      <c r="J123">
        <v>5</v>
      </c>
      <c r="K123">
        <v>16.989999999999998</v>
      </c>
      <c r="L123" s="1" t="s">
        <v>60</v>
      </c>
      <c r="M123" s="1" t="s">
        <v>61</v>
      </c>
      <c r="N123" s="1" t="s">
        <v>62</v>
      </c>
      <c r="O123" s="1" t="s">
        <v>31</v>
      </c>
      <c r="P123" s="2">
        <v>45726</v>
      </c>
      <c r="Q123" s="1" t="s">
        <v>406</v>
      </c>
      <c r="R123" s="1" t="s">
        <v>407</v>
      </c>
      <c r="S123" s="1" t="s">
        <v>65</v>
      </c>
      <c r="T123" s="1" t="s">
        <v>35</v>
      </c>
      <c r="U123" s="1" t="s">
        <v>55</v>
      </c>
      <c r="V123" s="1" t="s">
        <v>67</v>
      </c>
      <c r="W123">
        <v>3</v>
      </c>
      <c r="X123" s="1">
        <f t="shared" si="2"/>
        <v>8640.6199999999462</v>
      </c>
      <c r="Y123" s="1">
        <f t="shared" si="3"/>
        <v>5710.7699999999695</v>
      </c>
    </row>
    <row r="124" spans="1:25" x14ac:dyDescent="0.3">
      <c r="A124" s="1" t="s">
        <v>408</v>
      </c>
      <c r="B124">
        <v>1</v>
      </c>
      <c r="C124">
        <v>21.99</v>
      </c>
      <c r="D124">
        <v>21.99</v>
      </c>
      <c r="E124" s="1" t="s">
        <v>121</v>
      </c>
      <c r="F124" s="1" t="s">
        <v>40</v>
      </c>
      <c r="G124">
        <v>7</v>
      </c>
      <c r="H124" s="1" t="s">
        <v>26</v>
      </c>
      <c r="I124" s="1" t="s">
        <v>27</v>
      </c>
      <c r="J124">
        <v>7</v>
      </c>
      <c r="K124">
        <v>21.99</v>
      </c>
      <c r="L124" s="1" t="s">
        <v>28</v>
      </c>
      <c r="M124" s="1" t="s">
        <v>29</v>
      </c>
      <c r="N124" s="1" t="s">
        <v>30</v>
      </c>
      <c r="O124" s="1" t="s">
        <v>31</v>
      </c>
      <c r="P124" s="2">
        <v>45778</v>
      </c>
      <c r="Q124" s="1" t="s">
        <v>409</v>
      </c>
      <c r="R124" s="1" t="s">
        <v>410</v>
      </c>
      <c r="S124" s="1" t="s">
        <v>411</v>
      </c>
      <c r="T124" s="1" t="s">
        <v>35</v>
      </c>
      <c r="U124" s="1" t="s">
        <v>48</v>
      </c>
      <c r="V124" s="1" t="s">
        <v>37</v>
      </c>
      <c r="W124">
        <v>2</v>
      </c>
      <c r="X124" s="1">
        <f t="shared" si="2"/>
        <v>8313.6899999999459</v>
      </c>
      <c r="Y124" s="1">
        <f t="shared" si="3"/>
        <v>7682.919999999951</v>
      </c>
    </row>
    <row r="125" spans="1:25" x14ac:dyDescent="0.3">
      <c r="A125" s="1" t="s">
        <v>412</v>
      </c>
      <c r="B125">
        <v>1</v>
      </c>
      <c r="C125">
        <v>34.99</v>
      </c>
      <c r="D125">
        <v>34.99</v>
      </c>
      <c r="E125" s="1" t="s">
        <v>334</v>
      </c>
      <c r="F125" s="1" t="s">
        <v>40</v>
      </c>
      <c r="G125">
        <v>5</v>
      </c>
      <c r="H125" s="1" t="s">
        <v>58</v>
      </c>
      <c r="I125" s="1" t="s">
        <v>85</v>
      </c>
      <c r="J125">
        <v>12.5</v>
      </c>
      <c r="K125">
        <v>34.99</v>
      </c>
      <c r="L125" s="1" t="s">
        <v>60</v>
      </c>
      <c r="M125" s="1" t="s">
        <v>29</v>
      </c>
      <c r="N125" s="1" t="s">
        <v>30</v>
      </c>
      <c r="O125" s="1" t="s">
        <v>31</v>
      </c>
      <c r="P125" s="2">
        <v>45778</v>
      </c>
      <c r="Q125" s="1" t="s">
        <v>176</v>
      </c>
      <c r="R125" s="1" t="s">
        <v>177</v>
      </c>
      <c r="S125" s="1" t="s">
        <v>65</v>
      </c>
      <c r="T125" s="1" t="s">
        <v>35</v>
      </c>
      <c r="U125" s="1" t="s">
        <v>82</v>
      </c>
      <c r="V125" s="1" t="s">
        <v>89</v>
      </c>
      <c r="W125">
        <v>2.4</v>
      </c>
      <c r="X125" s="1">
        <f t="shared" si="2"/>
        <v>8640.6199999999462</v>
      </c>
      <c r="Y125" s="1">
        <f t="shared" si="3"/>
        <v>7204.2099999999582</v>
      </c>
    </row>
    <row r="126" spans="1:25" x14ac:dyDescent="0.3">
      <c r="A126" s="1" t="s">
        <v>413</v>
      </c>
      <c r="B126">
        <v>3</v>
      </c>
      <c r="C126">
        <v>30.99</v>
      </c>
      <c r="D126">
        <v>74.53</v>
      </c>
      <c r="E126" s="1" t="s">
        <v>414</v>
      </c>
      <c r="F126" s="1" t="s">
        <v>70</v>
      </c>
      <c r="G126">
        <v>0</v>
      </c>
      <c r="H126" s="1" t="s">
        <v>58</v>
      </c>
      <c r="I126" s="1" t="s">
        <v>42</v>
      </c>
      <c r="J126">
        <v>10.5</v>
      </c>
      <c r="K126">
        <v>30.99</v>
      </c>
      <c r="L126" s="1" t="s">
        <v>28</v>
      </c>
      <c r="M126" s="1" t="s">
        <v>43</v>
      </c>
      <c r="N126" s="1" t="s">
        <v>44</v>
      </c>
      <c r="O126" s="1" t="s">
        <v>31</v>
      </c>
      <c r="P126" s="2">
        <v>45823</v>
      </c>
      <c r="Q126" s="1" t="s">
        <v>328</v>
      </c>
      <c r="R126" s="1" t="s">
        <v>415</v>
      </c>
      <c r="S126" s="1" t="s">
        <v>65</v>
      </c>
      <c r="T126" s="1" t="s">
        <v>35</v>
      </c>
      <c r="U126" s="1" t="s">
        <v>55</v>
      </c>
      <c r="V126" s="1" t="s">
        <v>37</v>
      </c>
      <c r="W126">
        <v>2</v>
      </c>
      <c r="X126" s="1">
        <f t="shared" si="2"/>
        <v>8640.6199999999462</v>
      </c>
      <c r="Y126" s="1">
        <f t="shared" si="3"/>
        <v>5710.7699999999695</v>
      </c>
    </row>
    <row r="127" spans="1:25" x14ac:dyDescent="0.3">
      <c r="A127" s="1" t="s">
        <v>416</v>
      </c>
      <c r="B127">
        <v>1</v>
      </c>
      <c r="C127">
        <v>18.989999999999998</v>
      </c>
      <c r="D127">
        <v>18.989999999999998</v>
      </c>
      <c r="E127" s="1" t="s">
        <v>224</v>
      </c>
      <c r="F127" s="1" t="s">
        <v>40</v>
      </c>
      <c r="G127">
        <v>16</v>
      </c>
      <c r="H127" s="1" t="s">
        <v>26</v>
      </c>
      <c r="I127" s="1" t="s">
        <v>97</v>
      </c>
      <c r="J127">
        <v>6</v>
      </c>
      <c r="K127">
        <v>18.989999999999998</v>
      </c>
      <c r="L127" s="1" t="s">
        <v>60</v>
      </c>
      <c r="M127" s="1" t="s">
        <v>43</v>
      </c>
      <c r="N127" s="1" t="s">
        <v>44</v>
      </c>
      <c r="O127" s="1" t="s">
        <v>31</v>
      </c>
      <c r="P127" s="2">
        <v>45823</v>
      </c>
      <c r="Q127" s="1" t="s">
        <v>366</v>
      </c>
      <c r="R127" s="1" t="s">
        <v>367</v>
      </c>
      <c r="S127" s="1" t="s">
        <v>105</v>
      </c>
      <c r="T127" s="1" t="s">
        <v>35</v>
      </c>
      <c r="U127" s="1" t="s">
        <v>48</v>
      </c>
      <c r="V127" s="1" t="s">
        <v>100</v>
      </c>
      <c r="W127">
        <v>3.2</v>
      </c>
      <c r="X127" s="1">
        <f t="shared" si="2"/>
        <v>8313.6899999999459</v>
      </c>
      <c r="Y127" s="1">
        <f t="shared" si="3"/>
        <v>7682.919999999951</v>
      </c>
    </row>
    <row r="128" spans="1:25" x14ac:dyDescent="0.3">
      <c r="A128" s="1" t="s">
        <v>417</v>
      </c>
      <c r="B128">
        <v>2</v>
      </c>
      <c r="C128">
        <v>34.99</v>
      </c>
      <c r="D128">
        <v>60.98</v>
      </c>
      <c r="E128" s="1" t="s">
        <v>143</v>
      </c>
      <c r="F128" s="1" t="s">
        <v>40</v>
      </c>
      <c r="G128">
        <v>7</v>
      </c>
      <c r="H128" s="1" t="s">
        <v>58</v>
      </c>
      <c r="I128" s="1" t="s">
        <v>85</v>
      </c>
      <c r="J128">
        <v>12.5</v>
      </c>
      <c r="K128">
        <v>34.99</v>
      </c>
      <c r="L128" s="1" t="s">
        <v>60</v>
      </c>
      <c r="M128" s="1" t="s">
        <v>29</v>
      </c>
      <c r="N128" s="1" t="s">
        <v>30</v>
      </c>
      <c r="O128" s="1" t="s">
        <v>31</v>
      </c>
      <c r="P128" s="2">
        <v>45778</v>
      </c>
      <c r="Q128" s="1" t="s">
        <v>32</v>
      </c>
      <c r="R128" s="1" t="s">
        <v>33</v>
      </c>
      <c r="S128" s="1" t="s">
        <v>34</v>
      </c>
      <c r="T128" s="1" t="s">
        <v>35</v>
      </c>
      <c r="U128" s="1" t="s">
        <v>36</v>
      </c>
      <c r="V128" s="1" t="s">
        <v>89</v>
      </c>
      <c r="W128">
        <v>2.4</v>
      </c>
      <c r="X128" s="1">
        <f t="shared" si="2"/>
        <v>8640.6199999999462</v>
      </c>
      <c r="Y128" s="1">
        <f t="shared" si="3"/>
        <v>6355.4899999999634</v>
      </c>
    </row>
    <row r="129" spans="1:25" x14ac:dyDescent="0.3">
      <c r="A129" s="1" t="s">
        <v>418</v>
      </c>
      <c r="B129">
        <v>1</v>
      </c>
      <c r="C129">
        <v>27.99</v>
      </c>
      <c r="D129">
        <v>27.99</v>
      </c>
      <c r="E129" s="1" t="s">
        <v>419</v>
      </c>
      <c r="F129" s="1" t="s">
        <v>40</v>
      </c>
      <c r="G129">
        <v>8</v>
      </c>
      <c r="H129" s="1" t="s">
        <v>58</v>
      </c>
      <c r="I129" s="1" t="s">
        <v>75</v>
      </c>
      <c r="J129">
        <v>9</v>
      </c>
      <c r="K129">
        <v>27.99</v>
      </c>
      <c r="L129" s="1" t="s">
        <v>28</v>
      </c>
      <c r="M129" s="1" t="s">
        <v>61</v>
      </c>
      <c r="N129" s="1" t="s">
        <v>62</v>
      </c>
      <c r="O129" s="1" t="s">
        <v>31</v>
      </c>
      <c r="P129" s="2">
        <v>45726</v>
      </c>
      <c r="Q129" s="1" t="s">
        <v>420</v>
      </c>
      <c r="R129" s="1" t="s">
        <v>421</v>
      </c>
      <c r="S129" s="1" t="s">
        <v>34</v>
      </c>
      <c r="T129" s="1" t="s">
        <v>35</v>
      </c>
      <c r="U129" s="1" t="s">
        <v>82</v>
      </c>
      <c r="V129" s="1" t="s">
        <v>37</v>
      </c>
      <c r="W129">
        <v>2</v>
      </c>
      <c r="X129" s="1">
        <f t="shared" si="2"/>
        <v>8640.6199999999462</v>
      </c>
      <c r="Y129" s="1">
        <f t="shared" si="3"/>
        <v>7204.2099999999582</v>
      </c>
    </row>
    <row r="130" spans="1:25" x14ac:dyDescent="0.3">
      <c r="A130" s="1" t="s">
        <v>422</v>
      </c>
      <c r="B130">
        <v>2</v>
      </c>
      <c r="C130">
        <v>16.989999999999998</v>
      </c>
      <c r="D130">
        <v>29.18</v>
      </c>
      <c r="E130" s="1" t="s">
        <v>248</v>
      </c>
      <c r="F130" s="1" t="s">
        <v>40</v>
      </c>
      <c r="G130">
        <v>24</v>
      </c>
      <c r="H130" s="1" t="s">
        <v>58</v>
      </c>
      <c r="I130" s="1" t="s">
        <v>59</v>
      </c>
      <c r="J130">
        <v>5</v>
      </c>
      <c r="K130">
        <v>16.989999999999998</v>
      </c>
      <c r="L130" s="1" t="s">
        <v>60</v>
      </c>
      <c r="M130" s="1" t="s">
        <v>61</v>
      </c>
      <c r="N130" s="1" t="s">
        <v>62</v>
      </c>
      <c r="O130" s="1" t="s">
        <v>31</v>
      </c>
      <c r="P130" s="2">
        <v>45726</v>
      </c>
      <c r="Q130" s="1" t="s">
        <v>420</v>
      </c>
      <c r="R130" s="1" t="s">
        <v>423</v>
      </c>
      <c r="S130" s="1" t="s">
        <v>105</v>
      </c>
      <c r="T130" s="1" t="s">
        <v>35</v>
      </c>
      <c r="U130" s="1" t="s">
        <v>82</v>
      </c>
      <c r="V130" s="1" t="s">
        <v>67</v>
      </c>
      <c r="W130">
        <v>3</v>
      </c>
      <c r="X130" s="1">
        <f t="shared" ref="X130:X193" si="4">SUMIF(H:H,H130,K:K)</f>
        <v>8640.6199999999462</v>
      </c>
      <c r="Y130" s="1">
        <f t="shared" ref="Y130:Y193" si="5">SUMIF(U:U,U130,K:K)</f>
        <v>7204.2099999999582</v>
      </c>
    </row>
    <row r="131" spans="1:25" x14ac:dyDescent="0.3">
      <c r="A131" s="1" t="s">
        <v>424</v>
      </c>
      <c r="B131">
        <v>2</v>
      </c>
      <c r="C131">
        <v>18.989999999999998</v>
      </c>
      <c r="D131">
        <v>32.78</v>
      </c>
      <c r="E131" s="1" t="s">
        <v>348</v>
      </c>
      <c r="F131" s="1" t="s">
        <v>40</v>
      </c>
      <c r="G131">
        <v>13</v>
      </c>
      <c r="H131" s="1" t="s">
        <v>58</v>
      </c>
      <c r="I131" s="1" t="s">
        <v>97</v>
      </c>
      <c r="J131">
        <v>6</v>
      </c>
      <c r="K131">
        <v>18.989999999999998</v>
      </c>
      <c r="L131" s="1" t="s">
        <v>60</v>
      </c>
      <c r="M131" s="1" t="s">
        <v>43</v>
      </c>
      <c r="N131" s="1" t="s">
        <v>44</v>
      </c>
      <c r="O131" s="1" t="s">
        <v>31</v>
      </c>
      <c r="P131" s="2">
        <v>45823</v>
      </c>
      <c r="Q131" s="1" t="s">
        <v>425</v>
      </c>
      <c r="R131" s="1" t="s">
        <v>426</v>
      </c>
      <c r="S131" s="1" t="s">
        <v>47</v>
      </c>
      <c r="T131" s="1" t="s">
        <v>35</v>
      </c>
      <c r="U131" s="1" t="s">
        <v>55</v>
      </c>
      <c r="V131" s="1" t="s">
        <v>100</v>
      </c>
      <c r="W131">
        <v>3.2</v>
      </c>
      <c r="X131" s="1">
        <f t="shared" si="4"/>
        <v>8640.6199999999462</v>
      </c>
      <c r="Y131" s="1">
        <f t="shared" si="5"/>
        <v>5710.7699999999695</v>
      </c>
    </row>
    <row r="132" spans="1:25" x14ac:dyDescent="0.3">
      <c r="A132" s="1" t="s">
        <v>427</v>
      </c>
      <c r="B132">
        <v>3</v>
      </c>
      <c r="C132">
        <v>34.99</v>
      </c>
      <c r="D132">
        <v>84.73</v>
      </c>
      <c r="E132" s="1" t="s">
        <v>325</v>
      </c>
      <c r="F132" s="1" t="s">
        <v>40</v>
      </c>
      <c r="G132">
        <v>6</v>
      </c>
      <c r="H132" s="1" t="s">
        <v>96</v>
      </c>
      <c r="I132" s="1" t="s">
        <v>85</v>
      </c>
      <c r="J132">
        <v>12.5</v>
      </c>
      <c r="K132">
        <v>34.99</v>
      </c>
      <c r="L132" s="1" t="s">
        <v>60</v>
      </c>
      <c r="M132" s="1" t="s">
        <v>29</v>
      </c>
      <c r="N132" s="1" t="s">
        <v>30</v>
      </c>
      <c r="O132" s="1" t="s">
        <v>31</v>
      </c>
      <c r="P132" s="2">
        <v>45778</v>
      </c>
      <c r="Q132" s="1" t="s">
        <v>428</v>
      </c>
      <c r="R132" s="1" t="s">
        <v>429</v>
      </c>
      <c r="S132" s="1" t="s">
        <v>47</v>
      </c>
      <c r="T132" s="1" t="s">
        <v>35</v>
      </c>
      <c r="U132" s="1" t="s">
        <v>66</v>
      </c>
      <c r="V132" s="1" t="s">
        <v>89</v>
      </c>
      <c r="W132">
        <v>2.4</v>
      </c>
      <c r="X132" s="1">
        <f t="shared" si="4"/>
        <v>7844.9099999999507</v>
      </c>
      <c r="Y132" s="1">
        <f t="shared" si="5"/>
        <v>6397.4799999999632</v>
      </c>
    </row>
    <row r="133" spans="1:25" x14ac:dyDescent="0.3">
      <c r="A133" s="1" t="s">
        <v>430</v>
      </c>
      <c r="B133">
        <v>2</v>
      </c>
      <c r="C133">
        <v>18.989999999999998</v>
      </c>
      <c r="D133">
        <v>32.78</v>
      </c>
      <c r="E133" s="1" t="s">
        <v>107</v>
      </c>
      <c r="F133" s="1" t="s">
        <v>40</v>
      </c>
      <c r="G133">
        <v>13</v>
      </c>
      <c r="H133" s="1" t="s">
        <v>96</v>
      </c>
      <c r="I133" s="1" t="s">
        <v>97</v>
      </c>
      <c r="J133">
        <v>6</v>
      </c>
      <c r="K133">
        <v>18.989999999999998</v>
      </c>
      <c r="L133" s="1" t="s">
        <v>60</v>
      </c>
      <c r="M133" s="1" t="s">
        <v>43</v>
      </c>
      <c r="N133" s="1" t="s">
        <v>44</v>
      </c>
      <c r="O133" s="1" t="s">
        <v>31</v>
      </c>
      <c r="P133" s="2">
        <v>45823</v>
      </c>
      <c r="Q133" s="1" t="s">
        <v>335</v>
      </c>
      <c r="R133" s="1" t="s">
        <v>336</v>
      </c>
      <c r="S133" s="1" t="s">
        <v>34</v>
      </c>
      <c r="T133" s="1" t="s">
        <v>35</v>
      </c>
      <c r="U133" s="1" t="s">
        <v>48</v>
      </c>
      <c r="V133" s="1" t="s">
        <v>100</v>
      </c>
      <c r="W133">
        <v>3.2</v>
      </c>
      <c r="X133" s="1">
        <f t="shared" si="4"/>
        <v>7844.9099999999507</v>
      </c>
      <c r="Y133" s="1">
        <f t="shared" si="5"/>
        <v>7682.919999999951</v>
      </c>
    </row>
    <row r="134" spans="1:25" x14ac:dyDescent="0.3">
      <c r="A134" s="1" t="s">
        <v>431</v>
      </c>
      <c r="B134">
        <v>2</v>
      </c>
      <c r="C134">
        <v>30.99</v>
      </c>
      <c r="D134">
        <v>53.78</v>
      </c>
      <c r="E134" s="1" t="s">
        <v>260</v>
      </c>
      <c r="F134" s="1" t="s">
        <v>51</v>
      </c>
      <c r="G134">
        <v>0</v>
      </c>
      <c r="H134" s="1" t="s">
        <v>26</v>
      </c>
      <c r="I134" s="1" t="s">
        <v>42</v>
      </c>
      <c r="J134">
        <v>10.5</v>
      </c>
      <c r="K134">
        <v>30.99</v>
      </c>
      <c r="L134" s="1" t="s">
        <v>28</v>
      </c>
      <c r="M134" s="1" t="s">
        <v>43</v>
      </c>
      <c r="N134" s="1" t="s">
        <v>44</v>
      </c>
      <c r="O134" s="1" t="s">
        <v>31</v>
      </c>
      <c r="P134" s="2">
        <v>45823</v>
      </c>
      <c r="Q134" s="1" t="s">
        <v>219</v>
      </c>
      <c r="R134" s="1" t="s">
        <v>220</v>
      </c>
      <c r="S134" s="1" t="s">
        <v>54</v>
      </c>
      <c r="T134" s="1" t="s">
        <v>35</v>
      </c>
      <c r="U134" s="1" t="s">
        <v>55</v>
      </c>
      <c r="V134" s="1" t="s">
        <v>37</v>
      </c>
      <c r="W134">
        <v>2</v>
      </c>
      <c r="X134" s="1">
        <f t="shared" si="4"/>
        <v>8313.6899999999459</v>
      </c>
      <c r="Y134" s="1">
        <f t="shared" si="5"/>
        <v>5710.7699999999695</v>
      </c>
    </row>
    <row r="135" spans="1:25" x14ac:dyDescent="0.3">
      <c r="A135" s="1" t="s">
        <v>432</v>
      </c>
      <c r="B135">
        <v>1</v>
      </c>
      <c r="C135">
        <v>21.99</v>
      </c>
      <c r="D135">
        <v>21.99</v>
      </c>
      <c r="E135" s="1" t="s">
        <v>113</v>
      </c>
      <c r="F135" s="1" t="s">
        <v>40</v>
      </c>
      <c r="G135">
        <v>3</v>
      </c>
      <c r="H135" s="1" t="s">
        <v>26</v>
      </c>
      <c r="I135" s="1" t="s">
        <v>27</v>
      </c>
      <c r="J135">
        <v>7</v>
      </c>
      <c r="K135">
        <v>21.99</v>
      </c>
      <c r="L135" s="1" t="s">
        <v>28</v>
      </c>
      <c r="M135" s="1" t="s">
        <v>29</v>
      </c>
      <c r="N135" s="1" t="s">
        <v>30</v>
      </c>
      <c r="O135" s="1" t="s">
        <v>31</v>
      </c>
      <c r="P135" s="2">
        <v>45778</v>
      </c>
      <c r="Q135" s="1" t="s">
        <v>80</v>
      </c>
      <c r="R135" s="1" t="s">
        <v>229</v>
      </c>
      <c r="S135" s="1" t="s">
        <v>34</v>
      </c>
      <c r="T135" s="1" t="s">
        <v>35</v>
      </c>
      <c r="U135" s="1" t="s">
        <v>36</v>
      </c>
      <c r="V135" s="1" t="s">
        <v>37</v>
      </c>
      <c r="W135">
        <v>2</v>
      </c>
      <c r="X135" s="1">
        <f t="shared" si="4"/>
        <v>8313.6899999999459</v>
      </c>
      <c r="Y135" s="1">
        <f t="shared" si="5"/>
        <v>6355.4899999999634</v>
      </c>
    </row>
    <row r="136" spans="1:25" x14ac:dyDescent="0.3">
      <c r="A136" s="1" t="s">
        <v>433</v>
      </c>
      <c r="B136">
        <v>2</v>
      </c>
      <c r="C136">
        <v>27.99</v>
      </c>
      <c r="D136">
        <v>48.38</v>
      </c>
      <c r="E136" s="1" t="s">
        <v>224</v>
      </c>
      <c r="F136" s="1" t="s">
        <v>40</v>
      </c>
      <c r="G136">
        <v>3</v>
      </c>
      <c r="H136" s="1" t="s">
        <v>58</v>
      </c>
      <c r="I136" s="1" t="s">
        <v>75</v>
      </c>
      <c r="J136">
        <v>9</v>
      </c>
      <c r="K136">
        <v>27.99</v>
      </c>
      <c r="L136" s="1" t="s">
        <v>28</v>
      </c>
      <c r="M136" s="1" t="s">
        <v>61</v>
      </c>
      <c r="N136" s="1" t="s">
        <v>62</v>
      </c>
      <c r="O136" s="1" t="s">
        <v>31</v>
      </c>
      <c r="P136" s="2">
        <v>45726</v>
      </c>
      <c r="Q136" s="1" t="s">
        <v>305</v>
      </c>
      <c r="R136" s="1" t="s">
        <v>306</v>
      </c>
      <c r="S136" s="1" t="s">
        <v>47</v>
      </c>
      <c r="T136" s="1" t="s">
        <v>35</v>
      </c>
      <c r="U136" s="1" t="s">
        <v>66</v>
      </c>
      <c r="V136" s="1" t="s">
        <v>37</v>
      </c>
      <c r="W136">
        <v>2</v>
      </c>
      <c r="X136" s="1">
        <f t="shared" si="4"/>
        <v>8640.6199999999462</v>
      </c>
      <c r="Y136" s="1">
        <f t="shared" si="5"/>
        <v>6397.4799999999632</v>
      </c>
    </row>
    <row r="137" spans="1:25" x14ac:dyDescent="0.3">
      <c r="A137" s="1" t="s">
        <v>434</v>
      </c>
      <c r="B137">
        <v>1</v>
      </c>
      <c r="C137">
        <v>34.99</v>
      </c>
      <c r="D137">
        <v>34.99</v>
      </c>
      <c r="E137" s="1" t="s">
        <v>435</v>
      </c>
      <c r="F137" s="1" t="s">
        <v>51</v>
      </c>
      <c r="G137">
        <v>0</v>
      </c>
      <c r="H137" s="1" t="s">
        <v>41</v>
      </c>
      <c r="I137" s="1" t="s">
        <v>85</v>
      </c>
      <c r="J137">
        <v>12.5</v>
      </c>
      <c r="K137">
        <v>34.99</v>
      </c>
      <c r="L137" s="1" t="s">
        <v>60</v>
      </c>
      <c r="M137" s="1" t="s">
        <v>29</v>
      </c>
      <c r="N137" s="1" t="s">
        <v>30</v>
      </c>
      <c r="O137" s="1" t="s">
        <v>31</v>
      </c>
      <c r="P137" s="2">
        <v>45778</v>
      </c>
      <c r="Q137" s="1" t="s">
        <v>189</v>
      </c>
      <c r="R137" s="1" t="s">
        <v>190</v>
      </c>
      <c r="S137" s="1" t="s">
        <v>65</v>
      </c>
      <c r="T137" s="1" t="s">
        <v>35</v>
      </c>
      <c r="U137" s="1" t="s">
        <v>48</v>
      </c>
      <c r="V137" s="1" t="s">
        <v>89</v>
      </c>
      <c r="W137">
        <v>2.4</v>
      </c>
      <c r="X137" s="1">
        <f t="shared" si="4"/>
        <v>8551.6499999999451</v>
      </c>
      <c r="Y137" s="1">
        <f t="shared" si="5"/>
        <v>7682.919999999951</v>
      </c>
    </row>
    <row r="138" spans="1:25" x14ac:dyDescent="0.3">
      <c r="A138" s="1" t="s">
        <v>436</v>
      </c>
      <c r="B138">
        <v>1</v>
      </c>
      <c r="C138">
        <v>16.989999999999998</v>
      </c>
      <c r="D138">
        <v>16.989999999999998</v>
      </c>
      <c r="E138" s="1" t="s">
        <v>338</v>
      </c>
      <c r="F138" s="1" t="s">
        <v>51</v>
      </c>
      <c r="G138">
        <v>0</v>
      </c>
      <c r="H138" s="1" t="s">
        <v>58</v>
      </c>
      <c r="I138" s="1" t="s">
        <v>59</v>
      </c>
      <c r="J138">
        <v>5</v>
      </c>
      <c r="K138">
        <v>16.989999999999998</v>
      </c>
      <c r="L138" s="1" t="s">
        <v>60</v>
      </c>
      <c r="M138" s="1" t="s">
        <v>61</v>
      </c>
      <c r="N138" s="1" t="s">
        <v>62</v>
      </c>
      <c r="O138" s="1" t="s">
        <v>31</v>
      </c>
      <c r="P138" s="2">
        <v>45726</v>
      </c>
      <c r="Q138" s="1" t="s">
        <v>437</v>
      </c>
      <c r="R138" s="1" t="s">
        <v>438</v>
      </c>
      <c r="S138" s="1" t="s">
        <v>88</v>
      </c>
      <c r="T138" s="1" t="s">
        <v>35</v>
      </c>
      <c r="U138" s="1" t="s">
        <v>36</v>
      </c>
      <c r="V138" s="1" t="s">
        <v>67</v>
      </c>
      <c r="W138">
        <v>3</v>
      </c>
      <c r="X138" s="1">
        <f t="shared" si="4"/>
        <v>8640.6199999999462</v>
      </c>
      <c r="Y138" s="1">
        <f t="shared" si="5"/>
        <v>6355.4899999999634</v>
      </c>
    </row>
    <row r="139" spans="1:25" x14ac:dyDescent="0.3">
      <c r="A139" s="1" t="s">
        <v>439</v>
      </c>
      <c r="B139">
        <v>1</v>
      </c>
      <c r="C139">
        <v>27.99</v>
      </c>
      <c r="D139">
        <v>27.99</v>
      </c>
      <c r="E139" s="1" t="s">
        <v>128</v>
      </c>
      <c r="F139" s="1" t="s">
        <v>40</v>
      </c>
      <c r="G139">
        <v>3</v>
      </c>
      <c r="H139" s="1" t="s">
        <v>41</v>
      </c>
      <c r="I139" s="1" t="s">
        <v>75</v>
      </c>
      <c r="J139">
        <v>9</v>
      </c>
      <c r="K139">
        <v>27.99</v>
      </c>
      <c r="L139" s="1" t="s">
        <v>28</v>
      </c>
      <c r="M139" s="1" t="s">
        <v>61</v>
      </c>
      <c r="N139" s="1" t="s">
        <v>62</v>
      </c>
      <c r="O139" s="1" t="s">
        <v>31</v>
      </c>
      <c r="P139" s="2">
        <v>45726</v>
      </c>
      <c r="Q139" s="1" t="s">
        <v>373</v>
      </c>
      <c r="R139" s="1" t="s">
        <v>374</v>
      </c>
      <c r="S139" s="1" t="s">
        <v>65</v>
      </c>
      <c r="T139" s="1" t="s">
        <v>35</v>
      </c>
      <c r="U139" s="1" t="s">
        <v>82</v>
      </c>
      <c r="V139" s="1" t="s">
        <v>37</v>
      </c>
      <c r="W139">
        <v>2</v>
      </c>
      <c r="X139" s="1">
        <f t="shared" si="4"/>
        <v>8551.6499999999451</v>
      </c>
      <c r="Y139" s="1">
        <f t="shared" si="5"/>
        <v>7204.2099999999582</v>
      </c>
    </row>
    <row r="140" spans="1:25" x14ac:dyDescent="0.3">
      <c r="A140" s="1" t="s">
        <v>440</v>
      </c>
      <c r="B140">
        <v>3</v>
      </c>
      <c r="C140">
        <v>21.99</v>
      </c>
      <c r="D140">
        <v>52.48</v>
      </c>
      <c r="E140" s="1" t="s">
        <v>214</v>
      </c>
      <c r="F140" s="1" t="s">
        <v>25</v>
      </c>
      <c r="G140">
        <v>2</v>
      </c>
      <c r="H140" s="1" t="s">
        <v>58</v>
      </c>
      <c r="I140" s="1" t="s">
        <v>27</v>
      </c>
      <c r="J140">
        <v>7</v>
      </c>
      <c r="K140">
        <v>21.99</v>
      </c>
      <c r="L140" s="1" t="s">
        <v>28</v>
      </c>
      <c r="M140" s="1" t="s">
        <v>29</v>
      </c>
      <c r="N140" s="1" t="s">
        <v>30</v>
      </c>
      <c r="O140" s="1" t="s">
        <v>31</v>
      </c>
      <c r="P140" s="2">
        <v>45778</v>
      </c>
      <c r="Q140" s="1" t="s">
        <v>339</v>
      </c>
      <c r="R140" s="1" t="s">
        <v>441</v>
      </c>
      <c r="S140" s="1" t="s">
        <v>105</v>
      </c>
      <c r="T140" s="1" t="s">
        <v>35</v>
      </c>
      <c r="U140" s="1" t="s">
        <v>82</v>
      </c>
      <c r="V140" s="1" t="s">
        <v>37</v>
      </c>
      <c r="W140">
        <v>2</v>
      </c>
      <c r="X140" s="1">
        <f t="shared" si="4"/>
        <v>8640.6199999999462</v>
      </c>
      <c r="Y140" s="1">
        <f t="shared" si="5"/>
        <v>7204.2099999999582</v>
      </c>
    </row>
    <row r="141" spans="1:25" x14ac:dyDescent="0.3">
      <c r="A141" s="1" t="s">
        <v>442</v>
      </c>
      <c r="B141">
        <v>1</v>
      </c>
      <c r="C141">
        <v>27.99</v>
      </c>
      <c r="D141">
        <v>27.99</v>
      </c>
      <c r="E141" s="1" t="s">
        <v>143</v>
      </c>
      <c r="F141" s="1" t="s">
        <v>70</v>
      </c>
      <c r="G141">
        <v>0</v>
      </c>
      <c r="H141" s="1" t="s">
        <v>41</v>
      </c>
      <c r="I141" s="1" t="s">
        <v>75</v>
      </c>
      <c r="J141">
        <v>9</v>
      </c>
      <c r="K141">
        <v>27.99</v>
      </c>
      <c r="L141" s="1" t="s">
        <v>28</v>
      </c>
      <c r="M141" s="1" t="s">
        <v>61</v>
      </c>
      <c r="N141" s="1" t="s">
        <v>62</v>
      </c>
      <c r="O141" s="1" t="s">
        <v>31</v>
      </c>
      <c r="P141" s="2">
        <v>45726</v>
      </c>
      <c r="Q141" s="1" t="s">
        <v>103</v>
      </c>
      <c r="R141" s="1" t="s">
        <v>104</v>
      </c>
      <c r="S141" s="1" t="s">
        <v>105</v>
      </c>
      <c r="T141" s="1" t="s">
        <v>35</v>
      </c>
      <c r="U141" s="1" t="s">
        <v>55</v>
      </c>
      <c r="V141" s="1" t="s">
        <v>37</v>
      </c>
      <c r="W141">
        <v>2</v>
      </c>
      <c r="X141" s="1">
        <f t="shared" si="4"/>
        <v>8551.6499999999451</v>
      </c>
      <c r="Y141" s="1">
        <f t="shared" si="5"/>
        <v>5710.7699999999695</v>
      </c>
    </row>
    <row r="142" spans="1:25" x14ac:dyDescent="0.3">
      <c r="A142" s="1" t="s">
        <v>443</v>
      </c>
      <c r="B142">
        <v>1</v>
      </c>
      <c r="C142">
        <v>30.99</v>
      </c>
      <c r="D142">
        <v>30.99</v>
      </c>
      <c r="E142" s="1" t="s">
        <v>168</v>
      </c>
      <c r="F142" s="1" t="s">
        <v>40</v>
      </c>
      <c r="G142">
        <v>3</v>
      </c>
      <c r="H142" s="1" t="s">
        <v>58</v>
      </c>
      <c r="I142" s="1" t="s">
        <v>42</v>
      </c>
      <c r="J142">
        <v>10.5</v>
      </c>
      <c r="K142">
        <v>30.99</v>
      </c>
      <c r="L142" s="1" t="s">
        <v>28</v>
      </c>
      <c r="M142" s="1" t="s">
        <v>43</v>
      </c>
      <c r="N142" s="1" t="s">
        <v>44</v>
      </c>
      <c r="O142" s="1" t="s">
        <v>31</v>
      </c>
      <c r="P142" s="2">
        <v>45823</v>
      </c>
      <c r="Q142" s="1" t="s">
        <v>157</v>
      </c>
      <c r="R142" s="1" t="s">
        <v>158</v>
      </c>
      <c r="S142" s="1" t="s">
        <v>34</v>
      </c>
      <c r="T142" s="1" t="s">
        <v>35</v>
      </c>
      <c r="U142" s="1" t="s">
        <v>82</v>
      </c>
      <c r="V142" s="1" t="s">
        <v>37</v>
      </c>
      <c r="W142">
        <v>2</v>
      </c>
      <c r="X142" s="1">
        <f t="shared" si="4"/>
        <v>8640.6199999999462</v>
      </c>
      <c r="Y142" s="1">
        <f t="shared" si="5"/>
        <v>7204.2099999999582</v>
      </c>
    </row>
    <row r="143" spans="1:25" x14ac:dyDescent="0.3">
      <c r="A143" s="1" t="s">
        <v>444</v>
      </c>
      <c r="B143">
        <v>1</v>
      </c>
      <c r="C143">
        <v>27.99</v>
      </c>
      <c r="D143">
        <v>27.99</v>
      </c>
      <c r="E143" s="1" t="s">
        <v>445</v>
      </c>
      <c r="F143" s="1" t="s">
        <v>40</v>
      </c>
      <c r="G143">
        <v>3</v>
      </c>
      <c r="H143" s="1" t="s">
        <v>96</v>
      </c>
      <c r="I143" s="1" t="s">
        <v>75</v>
      </c>
      <c r="J143">
        <v>9</v>
      </c>
      <c r="K143">
        <v>27.99</v>
      </c>
      <c r="L143" s="1" t="s">
        <v>28</v>
      </c>
      <c r="M143" s="1" t="s">
        <v>61</v>
      </c>
      <c r="N143" s="1" t="s">
        <v>62</v>
      </c>
      <c r="O143" s="1" t="s">
        <v>31</v>
      </c>
      <c r="P143" s="2">
        <v>45726</v>
      </c>
      <c r="Q143" s="1" t="s">
        <v>302</v>
      </c>
      <c r="R143" s="1" t="s">
        <v>303</v>
      </c>
      <c r="S143" s="1" t="s">
        <v>105</v>
      </c>
      <c r="T143" s="1" t="s">
        <v>35</v>
      </c>
      <c r="U143" s="1" t="s">
        <v>55</v>
      </c>
      <c r="V143" s="1" t="s">
        <v>37</v>
      </c>
      <c r="W143">
        <v>2</v>
      </c>
      <c r="X143" s="1">
        <f t="shared" si="4"/>
        <v>7844.9099999999507</v>
      </c>
      <c r="Y143" s="1">
        <f t="shared" si="5"/>
        <v>5710.7699999999695</v>
      </c>
    </row>
    <row r="144" spans="1:25" x14ac:dyDescent="0.3">
      <c r="A144" s="1" t="s">
        <v>446</v>
      </c>
      <c r="B144">
        <v>1</v>
      </c>
      <c r="C144">
        <v>34.99</v>
      </c>
      <c r="D144">
        <v>34.99</v>
      </c>
      <c r="E144" s="1" t="s">
        <v>447</v>
      </c>
      <c r="F144" s="1" t="s">
        <v>51</v>
      </c>
      <c r="G144">
        <v>0</v>
      </c>
      <c r="H144" s="1" t="s">
        <v>58</v>
      </c>
      <c r="I144" s="1" t="s">
        <v>85</v>
      </c>
      <c r="J144">
        <v>12.5</v>
      </c>
      <c r="K144">
        <v>34.99</v>
      </c>
      <c r="L144" s="1" t="s">
        <v>60</v>
      </c>
      <c r="M144" s="1" t="s">
        <v>29</v>
      </c>
      <c r="N144" s="1" t="s">
        <v>30</v>
      </c>
      <c r="O144" s="1" t="s">
        <v>31</v>
      </c>
      <c r="P144" s="2">
        <v>45778</v>
      </c>
      <c r="Q144" s="1" t="s">
        <v>396</v>
      </c>
      <c r="R144" s="1" t="s">
        <v>397</v>
      </c>
      <c r="S144" s="1" t="s">
        <v>34</v>
      </c>
      <c r="T144" s="1" t="s">
        <v>35</v>
      </c>
      <c r="U144" s="1" t="s">
        <v>82</v>
      </c>
      <c r="V144" s="1" t="s">
        <v>89</v>
      </c>
      <c r="W144">
        <v>2.4</v>
      </c>
      <c r="X144" s="1">
        <f t="shared" si="4"/>
        <v>8640.6199999999462</v>
      </c>
      <c r="Y144" s="1">
        <f t="shared" si="5"/>
        <v>7204.2099999999582</v>
      </c>
    </row>
    <row r="145" spans="1:25" x14ac:dyDescent="0.3">
      <c r="A145" s="1" t="s">
        <v>448</v>
      </c>
      <c r="B145">
        <v>1</v>
      </c>
      <c r="C145">
        <v>16.989999999999998</v>
      </c>
      <c r="D145">
        <v>16.989999999999998</v>
      </c>
      <c r="E145" s="1" t="s">
        <v>449</v>
      </c>
      <c r="F145" s="1" t="s">
        <v>40</v>
      </c>
      <c r="G145">
        <v>16</v>
      </c>
      <c r="H145" s="1" t="s">
        <v>58</v>
      </c>
      <c r="I145" s="1" t="s">
        <v>59</v>
      </c>
      <c r="J145">
        <v>5</v>
      </c>
      <c r="K145">
        <v>16.989999999999998</v>
      </c>
      <c r="L145" s="1" t="s">
        <v>60</v>
      </c>
      <c r="M145" s="1" t="s">
        <v>61</v>
      </c>
      <c r="N145" s="1" t="s">
        <v>62</v>
      </c>
      <c r="O145" s="1" t="s">
        <v>31</v>
      </c>
      <c r="P145" s="2">
        <v>45726</v>
      </c>
      <c r="Q145" s="1" t="s">
        <v>182</v>
      </c>
      <c r="R145" s="1" t="s">
        <v>183</v>
      </c>
      <c r="S145" s="1" t="s">
        <v>47</v>
      </c>
      <c r="T145" s="1" t="s">
        <v>35</v>
      </c>
      <c r="U145" s="1" t="s">
        <v>48</v>
      </c>
      <c r="V145" s="1" t="s">
        <v>67</v>
      </c>
      <c r="W145">
        <v>3</v>
      </c>
      <c r="X145" s="1">
        <f t="shared" si="4"/>
        <v>8640.6199999999462</v>
      </c>
      <c r="Y145" s="1">
        <f t="shared" si="5"/>
        <v>7682.919999999951</v>
      </c>
    </row>
    <row r="146" spans="1:25" x14ac:dyDescent="0.3">
      <c r="A146" s="1" t="s">
        <v>450</v>
      </c>
      <c r="B146">
        <v>1</v>
      </c>
      <c r="C146">
        <v>34.99</v>
      </c>
      <c r="D146">
        <v>34.99</v>
      </c>
      <c r="E146" s="1" t="s">
        <v>244</v>
      </c>
      <c r="F146" s="1" t="s">
        <v>188</v>
      </c>
      <c r="G146">
        <v>0</v>
      </c>
      <c r="H146" s="1" t="s">
        <v>58</v>
      </c>
      <c r="I146" s="1" t="s">
        <v>85</v>
      </c>
      <c r="J146">
        <v>12.5</v>
      </c>
      <c r="K146">
        <v>34.99</v>
      </c>
      <c r="L146" s="1" t="s">
        <v>60</v>
      </c>
      <c r="M146" s="1" t="s">
        <v>29</v>
      </c>
      <c r="N146" s="1" t="s">
        <v>30</v>
      </c>
      <c r="O146" s="1" t="s">
        <v>31</v>
      </c>
      <c r="P146" s="2">
        <v>45778</v>
      </c>
      <c r="Q146" s="1" t="s">
        <v>147</v>
      </c>
      <c r="R146" s="1" t="s">
        <v>400</v>
      </c>
      <c r="S146" s="1" t="s">
        <v>47</v>
      </c>
      <c r="T146" s="1" t="s">
        <v>35</v>
      </c>
      <c r="U146" s="1" t="s">
        <v>36</v>
      </c>
      <c r="V146" s="1" t="s">
        <v>89</v>
      </c>
      <c r="W146">
        <v>2.4</v>
      </c>
      <c r="X146" s="1">
        <f t="shared" si="4"/>
        <v>8640.6199999999462</v>
      </c>
      <c r="Y146" s="1">
        <f t="shared" si="5"/>
        <v>6355.4899999999634</v>
      </c>
    </row>
    <row r="147" spans="1:25" x14ac:dyDescent="0.3">
      <c r="A147" s="1" t="s">
        <v>451</v>
      </c>
      <c r="B147">
        <v>1</v>
      </c>
      <c r="C147">
        <v>16.989999999999998</v>
      </c>
      <c r="D147">
        <v>16.989999999999998</v>
      </c>
      <c r="E147" s="1" t="s">
        <v>452</v>
      </c>
      <c r="F147" s="1" t="s">
        <v>40</v>
      </c>
      <c r="G147">
        <v>17</v>
      </c>
      <c r="H147" s="1" t="s">
        <v>41</v>
      </c>
      <c r="I147" s="1" t="s">
        <v>59</v>
      </c>
      <c r="J147">
        <v>5</v>
      </c>
      <c r="K147">
        <v>16.989999999999998</v>
      </c>
      <c r="L147" s="1" t="s">
        <v>60</v>
      </c>
      <c r="M147" s="1" t="s">
        <v>61</v>
      </c>
      <c r="N147" s="1" t="s">
        <v>62</v>
      </c>
      <c r="O147" s="1" t="s">
        <v>31</v>
      </c>
      <c r="P147" s="2">
        <v>45726</v>
      </c>
      <c r="Q147" s="1" t="s">
        <v>231</v>
      </c>
      <c r="R147" s="1" t="s">
        <v>361</v>
      </c>
      <c r="S147" s="1" t="s">
        <v>47</v>
      </c>
      <c r="T147" s="1" t="s">
        <v>35</v>
      </c>
      <c r="U147" s="1" t="s">
        <v>66</v>
      </c>
      <c r="V147" s="1" t="s">
        <v>67</v>
      </c>
      <c r="W147">
        <v>3</v>
      </c>
      <c r="X147" s="1">
        <f t="shared" si="4"/>
        <v>8551.6499999999451</v>
      </c>
      <c r="Y147" s="1">
        <f t="shared" si="5"/>
        <v>6397.4799999999632</v>
      </c>
    </row>
    <row r="148" spans="1:25" x14ac:dyDescent="0.3">
      <c r="A148" s="1" t="s">
        <v>453</v>
      </c>
      <c r="B148">
        <v>1</v>
      </c>
      <c r="C148">
        <v>21.99</v>
      </c>
      <c r="D148">
        <v>21.99</v>
      </c>
      <c r="E148" s="1" t="s">
        <v>187</v>
      </c>
      <c r="F148" s="1" t="s">
        <v>51</v>
      </c>
      <c r="G148">
        <v>0</v>
      </c>
      <c r="H148" s="1" t="s">
        <v>26</v>
      </c>
      <c r="I148" s="1" t="s">
        <v>27</v>
      </c>
      <c r="J148">
        <v>7</v>
      </c>
      <c r="K148">
        <v>21.99</v>
      </c>
      <c r="L148" s="1" t="s">
        <v>28</v>
      </c>
      <c r="M148" s="1" t="s">
        <v>29</v>
      </c>
      <c r="N148" s="1" t="s">
        <v>30</v>
      </c>
      <c r="O148" s="1" t="s">
        <v>31</v>
      </c>
      <c r="P148" s="2">
        <v>45778</v>
      </c>
      <c r="Q148" s="1" t="s">
        <v>71</v>
      </c>
      <c r="R148" s="1" t="s">
        <v>454</v>
      </c>
      <c r="S148" s="1" t="s">
        <v>47</v>
      </c>
      <c r="T148" s="1" t="s">
        <v>35</v>
      </c>
      <c r="U148" s="1" t="s">
        <v>55</v>
      </c>
      <c r="V148" s="1" t="s">
        <v>37</v>
      </c>
      <c r="W148">
        <v>2</v>
      </c>
      <c r="X148" s="1">
        <f t="shared" si="4"/>
        <v>8313.6899999999459</v>
      </c>
      <c r="Y148" s="1">
        <f t="shared" si="5"/>
        <v>5710.7699999999695</v>
      </c>
    </row>
    <row r="149" spans="1:25" x14ac:dyDescent="0.3">
      <c r="A149" s="1" t="s">
        <v>455</v>
      </c>
      <c r="B149">
        <v>1</v>
      </c>
      <c r="C149">
        <v>30.99</v>
      </c>
      <c r="D149">
        <v>30.99</v>
      </c>
      <c r="E149" s="1" t="s">
        <v>334</v>
      </c>
      <c r="F149" s="1" t="s">
        <v>25</v>
      </c>
      <c r="G149">
        <v>2</v>
      </c>
      <c r="H149" s="1" t="s">
        <v>96</v>
      </c>
      <c r="I149" s="1" t="s">
        <v>42</v>
      </c>
      <c r="J149">
        <v>10.5</v>
      </c>
      <c r="K149">
        <v>30.99</v>
      </c>
      <c r="L149" s="1" t="s">
        <v>28</v>
      </c>
      <c r="M149" s="1" t="s">
        <v>43</v>
      </c>
      <c r="N149" s="1" t="s">
        <v>44</v>
      </c>
      <c r="O149" s="1" t="s">
        <v>31</v>
      </c>
      <c r="P149" s="2">
        <v>45823</v>
      </c>
      <c r="Q149" s="1" t="s">
        <v>182</v>
      </c>
      <c r="R149" s="1" t="s">
        <v>183</v>
      </c>
      <c r="S149" s="1" t="s">
        <v>47</v>
      </c>
      <c r="T149" s="1" t="s">
        <v>35</v>
      </c>
      <c r="U149" s="1" t="s">
        <v>48</v>
      </c>
      <c r="V149" s="1" t="s">
        <v>37</v>
      </c>
      <c r="W149">
        <v>2</v>
      </c>
      <c r="X149" s="1">
        <f t="shared" si="4"/>
        <v>7844.9099999999507</v>
      </c>
      <c r="Y149" s="1">
        <f t="shared" si="5"/>
        <v>7682.919999999951</v>
      </c>
    </row>
    <row r="150" spans="1:25" x14ac:dyDescent="0.3">
      <c r="A150" s="1" t="s">
        <v>456</v>
      </c>
      <c r="B150">
        <v>1</v>
      </c>
      <c r="C150">
        <v>16.989999999999998</v>
      </c>
      <c r="D150">
        <v>16.989999999999998</v>
      </c>
      <c r="E150" s="1" t="s">
        <v>457</v>
      </c>
      <c r="F150" s="1" t="s">
        <v>40</v>
      </c>
      <c r="G150">
        <v>16</v>
      </c>
      <c r="H150" s="1" t="s">
        <v>58</v>
      </c>
      <c r="I150" s="1" t="s">
        <v>59</v>
      </c>
      <c r="J150">
        <v>5</v>
      </c>
      <c r="K150">
        <v>16.989999999999998</v>
      </c>
      <c r="L150" s="1" t="s">
        <v>60</v>
      </c>
      <c r="M150" s="1" t="s">
        <v>61</v>
      </c>
      <c r="N150" s="1" t="s">
        <v>62</v>
      </c>
      <c r="O150" s="1" t="s">
        <v>31</v>
      </c>
      <c r="P150" s="2">
        <v>45726</v>
      </c>
      <c r="Q150" s="1" t="s">
        <v>396</v>
      </c>
      <c r="R150" s="1" t="s">
        <v>397</v>
      </c>
      <c r="S150" s="1" t="s">
        <v>34</v>
      </c>
      <c r="T150" s="1" t="s">
        <v>35</v>
      </c>
      <c r="U150" s="1" t="s">
        <v>82</v>
      </c>
      <c r="V150" s="1" t="s">
        <v>67</v>
      </c>
      <c r="W150">
        <v>3</v>
      </c>
      <c r="X150" s="1">
        <f t="shared" si="4"/>
        <v>8640.6199999999462</v>
      </c>
      <c r="Y150" s="1">
        <f t="shared" si="5"/>
        <v>7204.2099999999582</v>
      </c>
    </row>
    <row r="151" spans="1:25" x14ac:dyDescent="0.3">
      <c r="A151" s="1" t="s">
        <v>458</v>
      </c>
      <c r="B151">
        <v>1</v>
      </c>
      <c r="C151">
        <v>16.989999999999998</v>
      </c>
      <c r="D151">
        <v>16.989999999999998</v>
      </c>
      <c r="E151" s="1" t="s">
        <v>281</v>
      </c>
      <c r="F151" s="1" t="s">
        <v>40</v>
      </c>
      <c r="G151">
        <v>20</v>
      </c>
      <c r="H151" s="1" t="s">
        <v>58</v>
      </c>
      <c r="I151" s="1" t="s">
        <v>59</v>
      </c>
      <c r="J151">
        <v>5</v>
      </c>
      <c r="K151">
        <v>16.989999999999998</v>
      </c>
      <c r="L151" s="1" t="s">
        <v>60</v>
      </c>
      <c r="M151" s="1" t="s">
        <v>61</v>
      </c>
      <c r="N151" s="1" t="s">
        <v>62</v>
      </c>
      <c r="O151" s="1" t="s">
        <v>31</v>
      </c>
      <c r="P151" s="2">
        <v>45726</v>
      </c>
      <c r="Q151" s="1" t="s">
        <v>459</v>
      </c>
      <c r="R151" s="1" t="s">
        <v>460</v>
      </c>
      <c r="S151" s="1" t="s">
        <v>88</v>
      </c>
      <c r="T151" s="1" t="s">
        <v>35</v>
      </c>
      <c r="U151" s="1" t="s">
        <v>55</v>
      </c>
      <c r="V151" s="1" t="s">
        <v>67</v>
      </c>
      <c r="W151">
        <v>3</v>
      </c>
      <c r="X151" s="1">
        <f t="shared" si="4"/>
        <v>8640.6199999999462</v>
      </c>
      <c r="Y151" s="1">
        <f t="shared" si="5"/>
        <v>5710.7699999999695</v>
      </c>
    </row>
    <row r="152" spans="1:25" x14ac:dyDescent="0.3">
      <c r="A152" s="1" t="s">
        <v>461</v>
      </c>
      <c r="B152">
        <v>1</v>
      </c>
      <c r="C152">
        <v>18.989999999999998</v>
      </c>
      <c r="D152">
        <v>18.989999999999998</v>
      </c>
      <c r="E152" s="1" t="s">
        <v>419</v>
      </c>
      <c r="F152" s="1" t="s">
        <v>40</v>
      </c>
      <c r="G152">
        <v>13</v>
      </c>
      <c r="H152" s="1" t="s">
        <v>26</v>
      </c>
      <c r="I152" s="1" t="s">
        <v>97</v>
      </c>
      <c r="J152">
        <v>6</v>
      </c>
      <c r="K152">
        <v>18.989999999999998</v>
      </c>
      <c r="L152" s="1" t="s">
        <v>60</v>
      </c>
      <c r="M152" s="1" t="s">
        <v>43</v>
      </c>
      <c r="N152" s="1" t="s">
        <v>44</v>
      </c>
      <c r="O152" s="1" t="s">
        <v>31</v>
      </c>
      <c r="P152" s="2">
        <v>45823</v>
      </c>
      <c r="Q152" s="1" t="s">
        <v>462</v>
      </c>
      <c r="R152" s="1" t="s">
        <v>463</v>
      </c>
      <c r="S152" s="1" t="s">
        <v>54</v>
      </c>
      <c r="T152" s="1" t="s">
        <v>35</v>
      </c>
      <c r="U152" s="1" t="s">
        <v>36</v>
      </c>
      <c r="V152" s="1" t="s">
        <v>100</v>
      </c>
      <c r="W152">
        <v>3.2</v>
      </c>
      <c r="X152" s="1">
        <f t="shared" si="4"/>
        <v>8313.6899999999459</v>
      </c>
      <c r="Y152" s="1">
        <f t="shared" si="5"/>
        <v>6355.4899999999634</v>
      </c>
    </row>
    <row r="153" spans="1:25" x14ac:dyDescent="0.3">
      <c r="A153" s="1" t="s">
        <v>464</v>
      </c>
      <c r="B153">
        <v>1</v>
      </c>
      <c r="C153">
        <v>18.989999999999998</v>
      </c>
      <c r="D153">
        <v>18.989999999999998</v>
      </c>
      <c r="E153" s="1" t="s">
        <v>445</v>
      </c>
      <c r="F153" s="1" t="s">
        <v>188</v>
      </c>
      <c r="G153">
        <v>0</v>
      </c>
      <c r="H153" s="1" t="s">
        <v>96</v>
      </c>
      <c r="I153" s="1" t="s">
        <v>97</v>
      </c>
      <c r="J153">
        <v>6</v>
      </c>
      <c r="K153">
        <v>18.989999999999998</v>
      </c>
      <c r="L153" s="1" t="s">
        <v>60</v>
      </c>
      <c r="M153" s="1" t="s">
        <v>43</v>
      </c>
      <c r="N153" s="1" t="s">
        <v>44</v>
      </c>
      <c r="O153" s="1" t="s">
        <v>31</v>
      </c>
      <c r="P153" s="2">
        <v>45823</v>
      </c>
      <c r="Q153" s="1" t="s">
        <v>216</v>
      </c>
      <c r="R153" s="1" t="s">
        <v>275</v>
      </c>
      <c r="S153" s="1" t="s">
        <v>105</v>
      </c>
      <c r="T153" s="1" t="s">
        <v>35</v>
      </c>
      <c r="U153" s="1" t="s">
        <v>82</v>
      </c>
      <c r="V153" s="1" t="s">
        <v>100</v>
      </c>
      <c r="W153">
        <v>3.2</v>
      </c>
      <c r="X153" s="1">
        <f t="shared" si="4"/>
        <v>7844.9099999999507</v>
      </c>
      <c r="Y153" s="1">
        <f t="shared" si="5"/>
        <v>7204.2099999999582</v>
      </c>
    </row>
    <row r="154" spans="1:25" x14ac:dyDescent="0.3">
      <c r="A154" s="1" t="s">
        <v>465</v>
      </c>
      <c r="B154">
        <v>1</v>
      </c>
      <c r="C154">
        <v>34.99</v>
      </c>
      <c r="D154">
        <v>34.99</v>
      </c>
      <c r="E154" s="1" t="s">
        <v>327</v>
      </c>
      <c r="F154" s="1" t="s">
        <v>25</v>
      </c>
      <c r="G154">
        <v>8</v>
      </c>
      <c r="H154" s="1" t="s">
        <v>41</v>
      </c>
      <c r="I154" s="1" t="s">
        <v>85</v>
      </c>
      <c r="J154">
        <v>12.5</v>
      </c>
      <c r="K154">
        <v>34.99</v>
      </c>
      <c r="L154" s="1" t="s">
        <v>60</v>
      </c>
      <c r="M154" s="1" t="s">
        <v>29</v>
      </c>
      <c r="N154" s="1" t="s">
        <v>30</v>
      </c>
      <c r="O154" s="1" t="s">
        <v>31</v>
      </c>
      <c r="P154" s="2">
        <v>45778</v>
      </c>
      <c r="Q154" s="1" t="s">
        <v>466</v>
      </c>
      <c r="R154" s="1" t="s">
        <v>467</v>
      </c>
      <c r="S154" s="1" t="s">
        <v>65</v>
      </c>
      <c r="T154" s="1" t="s">
        <v>35</v>
      </c>
      <c r="U154" s="1" t="s">
        <v>36</v>
      </c>
      <c r="V154" s="1" t="s">
        <v>89</v>
      </c>
      <c r="W154">
        <v>2.4</v>
      </c>
      <c r="X154" s="1">
        <f t="shared" si="4"/>
        <v>8551.6499999999451</v>
      </c>
      <c r="Y154" s="1">
        <f t="shared" si="5"/>
        <v>6355.4899999999634</v>
      </c>
    </row>
    <row r="155" spans="1:25" x14ac:dyDescent="0.3">
      <c r="A155" s="1" t="s">
        <v>468</v>
      </c>
      <c r="B155">
        <v>3</v>
      </c>
      <c r="C155">
        <v>16.989999999999998</v>
      </c>
      <c r="D155">
        <v>40.18</v>
      </c>
      <c r="E155" s="1" t="s">
        <v>113</v>
      </c>
      <c r="F155" s="1" t="s">
        <v>51</v>
      </c>
      <c r="G155">
        <v>0</v>
      </c>
      <c r="H155" s="1" t="s">
        <v>26</v>
      </c>
      <c r="I155" s="1" t="s">
        <v>59</v>
      </c>
      <c r="J155">
        <v>5</v>
      </c>
      <c r="K155">
        <v>16.989999999999998</v>
      </c>
      <c r="L155" s="1" t="s">
        <v>60</v>
      </c>
      <c r="M155" s="1" t="s">
        <v>61</v>
      </c>
      <c r="N155" s="1" t="s">
        <v>62</v>
      </c>
      <c r="O155" s="1" t="s">
        <v>31</v>
      </c>
      <c r="P155" s="2">
        <v>45726</v>
      </c>
      <c r="Q155" s="1" t="s">
        <v>137</v>
      </c>
      <c r="R155" s="1" t="s">
        <v>138</v>
      </c>
      <c r="S155" s="1" t="s">
        <v>34</v>
      </c>
      <c r="T155" s="1" t="s">
        <v>35</v>
      </c>
      <c r="U155" s="1" t="s">
        <v>82</v>
      </c>
      <c r="V155" s="1" t="s">
        <v>67</v>
      </c>
      <c r="W155">
        <v>3</v>
      </c>
      <c r="X155" s="1">
        <f t="shared" si="4"/>
        <v>8313.6899999999459</v>
      </c>
      <c r="Y155" s="1">
        <f t="shared" si="5"/>
        <v>7204.2099999999582</v>
      </c>
    </row>
    <row r="156" spans="1:25" x14ac:dyDescent="0.3">
      <c r="A156" s="1" t="s">
        <v>469</v>
      </c>
      <c r="B156">
        <v>3</v>
      </c>
      <c r="C156">
        <v>27.99</v>
      </c>
      <c r="D156">
        <v>66.88</v>
      </c>
      <c r="E156" s="1" t="s">
        <v>272</v>
      </c>
      <c r="F156" s="1" t="s">
        <v>40</v>
      </c>
      <c r="G156">
        <v>7</v>
      </c>
      <c r="H156" s="1" t="s">
        <v>26</v>
      </c>
      <c r="I156" s="1" t="s">
        <v>75</v>
      </c>
      <c r="J156">
        <v>9</v>
      </c>
      <c r="K156">
        <v>27.99</v>
      </c>
      <c r="L156" s="1" t="s">
        <v>28</v>
      </c>
      <c r="M156" s="1" t="s">
        <v>61</v>
      </c>
      <c r="N156" s="1" t="s">
        <v>62</v>
      </c>
      <c r="O156" s="1" t="s">
        <v>31</v>
      </c>
      <c r="P156" s="2">
        <v>45726</v>
      </c>
      <c r="Q156" s="1" t="s">
        <v>379</v>
      </c>
      <c r="R156" s="1" t="s">
        <v>470</v>
      </c>
      <c r="S156" s="1" t="s">
        <v>88</v>
      </c>
      <c r="T156" s="1" t="s">
        <v>35</v>
      </c>
      <c r="U156" s="1" t="s">
        <v>66</v>
      </c>
      <c r="V156" s="1" t="s">
        <v>37</v>
      </c>
      <c r="W156">
        <v>2</v>
      </c>
      <c r="X156" s="1">
        <f t="shared" si="4"/>
        <v>8313.6899999999459</v>
      </c>
      <c r="Y156" s="1">
        <f t="shared" si="5"/>
        <v>6397.4799999999632</v>
      </c>
    </row>
    <row r="157" spans="1:25" x14ac:dyDescent="0.3">
      <c r="A157" s="1" t="s">
        <v>471</v>
      </c>
      <c r="B157">
        <v>1</v>
      </c>
      <c r="C157">
        <v>27.99</v>
      </c>
      <c r="D157">
        <v>27.99</v>
      </c>
      <c r="E157" s="1" t="s">
        <v>313</v>
      </c>
      <c r="F157" s="1" t="s">
        <v>40</v>
      </c>
      <c r="G157">
        <v>2</v>
      </c>
      <c r="H157" s="1" t="s">
        <v>41</v>
      </c>
      <c r="I157" s="1" t="s">
        <v>75</v>
      </c>
      <c r="J157">
        <v>9</v>
      </c>
      <c r="K157">
        <v>27.99</v>
      </c>
      <c r="L157" s="1" t="s">
        <v>28</v>
      </c>
      <c r="M157" s="1" t="s">
        <v>61</v>
      </c>
      <c r="N157" s="1" t="s">
        <v>62</v>
      </c>
      <c r="O157" s="1" t="s">
        <v>31</v>
      </c>
      <c r="P157" s="2">
        <v>45726</v>
      </c>
      <c r="Q157" s="1" t="s">
        <v>225</v>
      </c>
      <c r="R157" s="1" t="s">
        <v>226</v>
      </c>
      <c r="S157" s="1" t="s">
        <v>105</v>
      </c>
      <c r="T157" s="1" t="s">
        <v>35</v>
      </c>
      <c r="U157" s="1" t="s">
        <v>36</v>
      </c>
      <c r="V157" s="1" t="s">
        <v>37</v>
      </c>
      <c r="W157">
        <v>2</v>
      </c>
      <c r="X157" s="1">
        <f t="shared" si="4"/>
        <v>8551.6499999999451</v>
      </c>
      <c r="Y157" s="1">
        <f t="shared" si="5"/>
        <v>6355.4899999999634</v>
      </c>
    </row>
    <row r="158" spans="1:25" x14ac:dyDescent="0.3">
      <c r="A158" s="1" t="s">
        <v>472</v>
      </c>
      <c r="B158">
        <v>1</v>
      </c>
      <c r="C158">
        <v>34.99</v>
      </c>
      <c r="D158">
        <v>34.99</v>
      </c>
      <c r="E158" s="1" t="s">
        <v>128</v>
      </c>
      <c r="F158" s="1" t="s">
        <v>51</v>
      </c>
      <c r="G158">
        <v>0</v>
      </c>
      <c r="H158" s="1" t="s">
        <v>58</v>
      </c>
      <c r="I158" s="1" t="s">
        <v>85</v>
      </c>
      <c r="J158">
        <v>12.5</v>
      </c>
      <c r="K158">
        <v>34.99</v>
      </c>
      <c r="L158" s="1" t="s">
        <v>60</v>
      </c>
      <c r="M158" s="1" t="s">
        <v>29</v>
      </c>
      <c r="N158" s="1" t="s">
        <v>30</v>
      </c>
      <c r="O158" s="1" t="s">
        <v>31</v>
      </c>
      <c r="P158" s="2">
        <v>45778</v>
      </c>
      <c r="Q158" s="1" t="s">
        <v>466</v>
      </c>
      <c r="R158" s="1" t="s">
        <v>467</v>
      </c>
      <c r="S158" s="1" t="s">
        <v>65</v>
      </c>
      <c r="T158" s="1" t="s">
        <v>35</v>
      </c>
      <c r="U158" s="1" t="s">
        <v>36</v>
      </c>
      <c r="V158" s="1" t="s">
        <v>89</v>
      </c>
      <c r="W158">
        <v>2.4</v>
      </c>
      <c r="X158" s="1">
        <f t="shared" si="4"/>
        <v>8640.6199999999462</v>
      </c>
      <c r="Y158" s="1">
        <f t="shared" si="5"/>
        <v>6355.4899999999634</v>
      </c>
    </row>
    <row r="159" spans="1:25" x14ac:dyDescent="0.3">
      <c r="A159" s="1" t="s">
        <v>473</v>
      </c>
      <c r="B159">
        <v>1</v>
      </c>
      <c r="C159">
        <v>34.99</v>
      </c>
      <c r="D159">
        <v>34.99</v>
      </c>
      <c r="E159" s="1" t="s">
        <v>313</v>
      </c>
      <c r="F159" s="1" t="s">
        <v>188</v>
      </c>
      <c r="G159">
        <v>0</v>
      </c>
      <c r="H159" s="1" t="s">
        <v>96</v>
      </c>
      <c r="I159" s="1" t="s">
        <v>85</v>
      </c>
      <c r="J159">
        <v>12.5</v>
      </c>
      <c r="K159">
        <v>34.99</v>
      </c>
      <c r="L159" s="1" t="s">
        <v>60</v>
      </c>
      <c r="M159" s="1" t="s">
        <v>29</v>
      </c>
      <c r="N159" s="1" t="s">
        <v>30</v>
      </c>
      <c r="O159" s="1" t="s">
        <v>31</v>
      </c>
      <c r="P159" s="2">
        <v>45778</v>
      </c>
      <c r="Q159" s="1" t="s">
        <v>194</v>
      </c>
      <c r="R159" s="1" t="s">
        <v>195</v>
      </c>
      <c r="S159" s="1" t="s">
        <v>88</v>
      </c>
      <c r="T159" s="1" t="s">
        <v>35</v>
      </c>
      <c r="U159" s="1" t="s">
        <v>48</v>
      </c>
      <c r="V159" s="1" t="s">
        <v>89</v>
      </c>
      <c r="W159">
        <v>2.4</v>
      </c>
      <c r="X159" s="1">
        <f t="shared" si="4"/>
        <v>7844.9099999999507</v>
      </c>
      <c r="Y159" s="1">
        <f t="shared" si="5"/>
        <v>7682.919999999951</v>
      </c>
    </row>
    <row r="160" spans="1:25" x14ac:dyDescent="0.3">
      <c r="A160" s="1" t="s">
        <v>474</v>
      </c>
      <c r="B160">
        <v>2</v>
      </c>
      <c r="C160">
        <v>34.99</v>
      </c>
      <c r="D160">
        <v>60.98</v>
      </c>
      <c r="E160" s="1" t="s">
        <v>132</v>
      </c>
      <c r="F160" s="1" t="s">
        <v>40</v>
      </c>
      <c r="G160">
        <v>12</v>
      </c>
      <c r="H160" s="1" t="s">
        <v>26</v>
      </c>
      <c r="I160" s="1" t="s">
        <v>85</v>
      </c>
      <c r="J160">
        <v>12.5</v>
      </c>
      <c r="K160">
        <v>34.99</v>
      </c>
      <c r="L160" s="1" t="s">
        <v>60</v>
      </c>
      <c r="M160" s="1" t="s">
        <v>29</v>
      </c>
      <c r="N160" s="1" t="s">
        <v>30</v>
      </c>
      <c r="O160" s="1" t="s">
        <v>31</v>
      </c>
      <c r="P160" s="2">
        <v>45778</v>
      </c>
      <c r="Q160" s="1" t="s">
        <v>76</v>
      </c>
      <c r="R160" s="1" t="s">
        <v>144</v>
      </c>
      <c r="S160" s="1" t="s">
        <v>34</v>
      </c>
      <c r="T160" s="1" t="s">
        <v>35</v>
      </c>
      <c r="U160" s="1" t="s">
        <v>66</v>
      </c>
      <c r="V160" s="1" t="s">
        <v>89</v>
      </c>
      <c r="W160">
        <v>2.4</v>
      </c>
      <c r="X160" s="1">
        <f t="shared" si="4"/>
        <v>8313.6899999999459</v>
      </c>
      <c r="Y160" s="1">
        <f t="shared" si="5"/>
        <v>6397.4799999999632</v>
      </c>
    </row>
    <row r="161" spans="1:25" x14ac:dyDescent="0.3">
      <c r="A161" s="1" t="s">
        <v>475</v>
      </c>
      <c r="B161">
        <v>1</v>
      </c>
      <c r="C161">
        <v>18.989999999999998</v>
      </c>
      <c r="D161">
        <v>18.989999999999998</v>
      </c>
      <c r="E161" s="1" t="s">
        <v>84</v>
      </c>
      <c r="F161" s="1" t="s">
        <v>25</v>
      </c>
      <c r="G161">
        <v>11</v>
      </c>
      <c r="H161" s="1" t="s">
        <v>58</v>
      </c>
      <c r="I161" s="1" t="s">
        <v>97</v>
      </c>
      <c r="J161">
        <v>6</v>
      </c>
      <c r="K161">
        <v>18.989999999999998</v>
      </c>
      <c r="L161" s="1" t="s">
        <v>60</v>
      </c>
      <c r="M161" s="1" t="s">
        <v>43</v>
      </c>
      <c r="N161" s="1" t="s">
        <v>44</v>
      </c>
      <c r="O161" s="1" t="s">
        <v>31</v>
      </c>
      <c r="P161" s="2">
        <v>45823</v>
      </c>
      <c r="Q161" s="1" t="s">
        <v>147</v>
      </c>
      <c r="R161" s="1" t="s">
        <v>148</v>
      </c>
      <c r="S161" s="1" t="s">
        <v>65</v>
      </c>
      <c r="T161" s="1" t="s">
        <v>35</v>
      </c>
      <c r="U161" s="1" t="s">
        <v>48</v>
      </c>
      <c r="V161" s="1" t="s">
        <v>100</v>
      </c>
      <c r="W161">
        <v>3.2</v>
      </c>
      <c r="X161" s="1">
        <f t="shared" si="4"/>
        <v>8640.6199999999462</v>
      </c>
      <c r="Y161" s="1">
        <f t="shared" si="5"/>
        <v>7682.919999999951</v>
      </c>
    </row>
    <row r="162" spans="1:25" x14ac:dyDescent="0.3">
      <c r="A162" s="1" t="s">
        <v>476</v>
      </c>
      <c r="B162">
        <v>3</v>
      </c>
      <c r="C162">
        <v>30.99</v>
      </c>
      <c r="D162">
        <v>74.53</v>
      </c>
      <c r="E162" s="1" t="s">
        <v>246</v>
      </c>
      <c r="F162" s="1" t="s">
        <v>40</v>
      </c>
      <c r="G162">
        <v>3</v>
      </c>
      <c r="H162" s="1" t="s">
        <v>58</v>
      </c>
      <c r="I162" s="1" t="s">
        <v>42</v>
      </c>
      <c r="J162">
        <v>10.5</v>
      </c>
      <c r="K162">
        <v>30.99</v>
      </c>
      <c r="L162" s="1" t="s">
        <v>28</v>
      </c>
      <c r="M162" s="1" t="s">
        <v>43</v>
      </c>
      <c r="N162" s="1" t="s">
        <v>44</v>
      </c>
      <c r="O162" s="1" t="s">
        <v>31</v>
      </c>
      <c r="P162" s="2">
        <v>45823</v>
      </c>
      <c r="Q162" s="1" t="s">
        <v>234</v>
      </c>
      <c r="R162" s="1" t="s">
        <v>235</v>
      </c>
      <c r="S162" s="1" t="s">
        <v>105</v>
      </c>
      <c r="T162" s="1" t="s">
        <v>35</v>
      </c>
      <c r="U162" s="1" t="s">
        <v>48</v>
      </c>
      <c r="V162" s="1" t="s">
        <v>37</v>
      </c>
      <c r="W162">
        <v>2</v>
      </c>
      <c r="X162" s="1">
        <f t="shared" si="4"/>
        <v>8640.6199999999462</v>
      </c>
      <c r="Y162" s="1">
        <f t="shared" si="5"/>
        <v>7682.919999999951</v>
      </c>
    </row>
    <row r="163" spans="1:25" x14ac:dyDescent="0.3">
      <c r="A163" s="1" t="s">
        <v>477</v>
      </c>
      <c r="B163">
        <v>1</v>
      </c>
      <c r="C163">
        <v>30.99</v>
      </c>
      <c r="D163">
        <v>30.99</v>
      </c>
      <c r="E163" s="1" t="s">
        <v>382</v>
      </c>
      <c r="F163" s="1" t="s">
        <v>40</v>
      </c>
      <c r="G163">
        <v>8</v>
      </c>
      <c r="H163" s="1" t="s">
        <v>96</v>
      </c>
      <c r="I163" s="1" t="s">
        <v>42</v>
      </c>
      <c r="J163">
        <v>10.5</v>
      </c>
      <c r="K163">
        <v>30.99</v>
      </c>
      <c r="L163" s="1" t="s">
        <v>28</v>
      </c>
      <c r="M163" s="1" t="s">
        <v>43</v>
      </c>
      <c r="N163" s="1" t="s">
        <v>44</v>
      </c>
      <c r="O163" s="1" t="s">
        <v>31</v>
      </c>
      <c r="P163" s="2">
        <v>45823</v>
      </c>
      <c r="Q163" s="1" t="s">
        <v>409</v>
      </c>
      <c r="R163" s="1" t="s">
        <v>410</v>
      </c>
      <c r="S163" s="1" t="s">
        <v>411</v>
      </c>
      <c r="T163" s="1" t="s">
        <v>35</v>
      </c>
      <c r="U163" s="1" t="s">
        <v>48</v>
      </c>
      <c r="V163" s="1" t="s">
        <v>37</v>
      </c>
      <c r="W163">
        <v>2</v>
      </c>
      <c r="X163" s="1">
        <f t="shared" si="4"/>
        <v>7844.9099999999507</v>
      </c>
      <c r="Y163" s="1">
        <f t="shared" si="5"/>
        <v>7682.919999999951</v>
      </c>
    </row>
    <row r="164" spans="1:25" x14ac:dyDescent="0.3">
      <c r="A164" s="1" t="s">
        <v>478</v>
      </c>
      <c r="B164">
        <v>1</v>
      </c>
      <c r="C164">
        <v>21.99</v>
      </c>
      <c r="D164">
        <v>21.99</v>
      </c>
      <c r="E164" s="1" t="s">
        <v>419</v>
      </c>
      <c r="F164" s="1" t="s">
        <v>51</v>
      </c>
      <c r="G164">
        <v>0</v>
      </c>
      <c r="H164" s="1" t="s">
        <v>26</v>
      </c>
      <c r="I164" s="1" t="s">
        <v>27</v>
      </c>
      <c r="J164">
        <v>7</v>
      </c>
      <c r="K164">
        <v>21.99</v>
      </c>
      <c r="L164" s="1" t="s">
        <v>28</v>
      </c>
      <c r="M164" s="1" t="s">
        <v>29</v>
      </c>
      <c r="N164" s="1" t="s">
        <v>30</v>
      </c>
      <c r="O164" s="1" t="s">
        <v>31</v>
      </c>
      <c r="P164" s="2">
        <v>45778</v>
      </c>
      <c r="Q164" s="1" t="s">
        <v>63</v>
      </c>
      <c r="R164" s="1" t="s">
        <v>371</v>
      </c>
      <c r="S164" s="1" t="s">
        <v>88</v>
      </c>
      <c r="T164" s="1" t="s">
        <v>35</v>
      </c>
      <c r="U164" s="1" t="s">
        <v>36</v>
      </c>
      <c r="V164" s="1" t="s">
        <v>37</v>
      </c>
      <c r="W164">
        <v>2</v>
      </c>
      <c r="X164" s="1">
        <f t="shared" si="4"/>
        <v>8313.6899999999459</v>
      </c>
      <c r="Y164" s="1">
        <f t="shared" si="5"/>
        <v>6355.4899999999634</v>
      </c>
    </row>
    <row r="165" spans="1:25" x14ac:dyDescent="0.3">
      <c r="A165" s="1" t="s">
        <v>479</v>
      </c>
      <c r="B165">
        <v>1</v>
      </c>
      <c r="C165">
        <v>27.99</v>
      </c>
      <c r="D165">
        <v>27.99</v>
      </c>
      <c r="E165" s="1" t="s">
        <v>480</v>
      </c>
      <c r="F165" s="1" t="s">
        <v>51</v>
      </c>
      <c r="G165">
        <v>0</v>
      </c>
      <c r="H165" s="1" t="s">
        <v>41</v>
      </c>
      <c r="I165" s="1" t="s">
        <v>75</v>
      </c>
      <c r="J165">
        <v>9</v>
      </c>
      <c r="K165">
        <v>27.99</v>
      </c>
      <c r="L165" s="1" t="s">
        <v>28</v>
      </c>
      <c r="M165" s="1" t="s">
        <v>61</v>
      </c>
      <c r="N165" s="1" t="s">
        <v>62</v>
      </c>
      <c r="O165" s="1" t="s">
        <v>31</v>
      </c>
      <c r="P165" s="2">
        <v>45726</v>
      </c>
      <c r="Q165" s="1" t="s">
        <v>216</v>
      </c>
      <c r="R165" s="1" t="s">
        <v>481</v>
      </c>
      <c r="S165" s="1" t="s">
        <v>88</v>
      </c>
      <c r="T165" s="1" t="s">
        <v>35</v>
      </c>
      <c r="U165" s="1" t="s">
        <v>48</v>
      </c>
      <c r="V165" s="1" t="s">
        <v>37</v>
      </c>
      <c r="W165">
        <v>2</v>
      </c>
      <c r="X165" s="1">
        <f t="shared" si="4"/>
        <v>8551.6499999999451</v>
      </c>
      <c r="Y165" s="1">
        <f t="shared" si="5"/>
        <v>7682.919999999951</v>
      </c>
    </row>
    <row r="166" spans="1:25" x14ac:dyDescent="0.3">
      <c r="A166" s="1" t="s">
        <v>482</v>
      </c>
      <c r="B166">
        <v>3</v>
      </c>
      <c r="C166">
        <v>21.99</v>
      </c>
      <c r="D166">
        <v>52.48</v>
      </c>
      <c r="E166" s="1" t="s">
        <v>457</v>
      </c>
      <c r="F166" s="1" t="s">
        <v>188</v>
      </c>
      <c r="G166">
        <v>0</v>
      </c>
      <c r="H166" s="1" t="s">
        <v>96</v>
      </c>
      <c r="I166" s="1" t="s">
        <v>27</v>
      </c>
      <c r="J166">
        <v>7</v>
      </c>
      <c r="K166">
        <v>21.99</v>
      </c>
      <c r="L166" s="1" t="s">
        <v>28</v>
      </c>
      <c r="M166" s="1" t="s">
        <v>29</v>
      </c>
      <c r="N166" s="1" t="s">
        <v>30</v>
      </c>
      <c r="O166" s="1" t="s">
        <v>31</v>
      </c>
      <c r="P166" s="2">
        <v>45778</v>
      </c>
      <c r="Q166" s="1" t="s">
        <v>219</v>
      </c>
      <c r="R166" s="1" t="s">
        <v>220</v>
      </c>
      <c r="S166" s="1" t="s">
        <v>54</v>
      </c>
      <c r="T166" s="1" t="s">
        <v>35</v>
      </c>
      <c r="U166" s="1" t="s">
        <v>55</v>
      </c>
      <c r="V166" s="1" t="s">
        <v>37</v>
      </c>
      <c r="W166">
        <v>2</v>
      </c>
      <c r="X166" s="1">
        <f t="shared" si="4"/>
        <v>7844.9099999999507</v>
      </c>
      <c r="Y166" s="1">
        <f t="shared" si="5"/>
        <v>5710.7699999999695</v>
      </c>
    </row>
    <row r="167" spans="1:25" x14ac:dyDescent="0.3">
      <c r="A167" s="1" t="s">
        <v>483</v>
      </c>
      <c r="B167">
        <v>1</v>
      </c>
      <c r="C167">
        <v>18.989999999999998</v>
      </c>
      <c r="D167">
        <v>18.989999999999998</v>
      </c>
      <c r="E167" s="1" t="s">
        <v>109</v>
      </c>
      <c r="F167" s="1" t="s">
        <v>40</v>
      </c>
      <c r="G167">
        <v>11</v>
      </c>
      <c r="H167" s="1" t="s">
        <v>41</v>
      </c>
      <c r="I167" s="1" t="s">
        <v>97</v>
      </c>
      <c r="J167">
        <v>6</v>
      </c>
      <c r="K167">
        <v>18.989999999999998</v>
      </c>
      <c r="L167" s="1" t="s">
        <v>60</v>
      </c>
      <c r="M167" s="1" t="s">
        <v>43</v>
      </c>
      <c r="N167" s="1" t="s">
        <v>44</v>
      </c>
      <c r="O167" s="1" t="s">
        <v>31</v>
      </c>
      <c r="P167" s="2">
        <v>45823</v>
      </c>
      <c r="Q167" s="1" t="s">
        <v>216</v>
      </c>
      <c r="R167" s="1" t="s">
        <v>484</v>
      </c>
      <c r="S167" s="1" t="s">
        <v>105</v>
      </c>
      <c r="T167" s="1" t="s">
        <v>35</v>
      </c>
      <c r="U167" s="1" t="s">
        <v>48</v>
      </c>
      <c r="V167" s="1" t="s">
        <v>100</v>
      </c>
      <c r="W167">
        <v>3.2</v>
      </c>
      <c r="X167" s="1">
        <f t="shared" si="4"/>
        <v>8551.6499999999451</v>
      </c>
      <c r="Y167" s="1">
        <f t="shared" si="5"/>
        <v>7682.919999999951</v>
      </c>
    </row>
    <row r="168" spans="1:25" x14ac:dyDescent="0.3">
      <c r="A168" s="1" t="s">
        <v>485</v>
      </c>
      <c r="B168">
        <v>1</v>
      </c>
      <c r="C168">
        <v>30.99</v>
      </c>
      <c r="D168">
        <v>30.99</v>
      </c>
      <c r="E168" s="1" t="s">
        <v>136</v>
      </c>
      <c r="F168" s="1" t="s">
        <v>40</v>
      </c>
      <c r="G168">
        <v>3</v>
      </c>
      <c r="H168" s="1" t="s">
        <v>41</v>
      </c>
      <c r="I168" s="1" t="s">
        <v>42</v>
      </c>
      <c r="J168">
        <v>10.5</v>
      </c>
      <c r="K168">
        <v>30.99</v>
      </c>
      <c r="L168" s="1" t="s">
        <v>28</v>
      </c>
      <c r="M168" s="1" t="s">
        <v>43</v>
      </c>
      <c r="N168" s="1" t="s">
        <v>44</v>
      </c>
      <c r="O168" s="1" t="s">
        <v>31</v>
      </c>
      <c r="P168" s="2">
        <v>45823</v>
      </c>
      <c r="Q168" s="1" t="s">
        <v>376</v>
      </c>
      <c r="R168" s="1" t="s">
        <v>377</v>
      </c>
      <c r="S168" s="1" t="s">
        <v>65</v>
      </c>
      <c r="T168" s="1" t="s">
        <v>35</v>
      </c>
      <c r="U168" s="1" t="s">
        <v>66</v>
      </c>
      <c r="V168" s="1" t="s">
        <v>37</v>
      </c>
      <c r="W168">
        <v>2</v>
      </c>
      <c r="X168" s="1">
        <f t="shared" si="4"/>
        <v>8551.6499999999451</v>
      </c>
      <c r="Y168" s="1">
        <f t="shared" si="5"/>
        <v>6397.4799999999632</v>
      </c>
    </row>
    <row r="169" spans="1:25" x14ac:dyDescent="0.3">
      <c r="A169" s="1" t="s">
        <v>486</v>
      </c>
      <c r="B169">
        <v>3</v>
      </c>
      <c r="C169">
        <v>16.989999999999998</v>
      </c>
      <c r="D169">
        <v>40.18</v>
      </c>
      <c r="E169" s="1" t="s">
        <v>348</v>
      </c>
      <c r="F169" s="1" t="s">
        <v>188</v>
      </c>
      <c r="G169">
        <v>0</v>
      </c>
      <c r="H169" s="1" t="s">
        <v>58</v>
      </c>
      <c r="I169" s="1" t="s">
        <v>59</v>
      </c>
      <c r="J169">
        <v>5</v>
      </c>
      <c r="K169">
        <v>16.989999999999998</v>
      </c>
      <c r="L169" s="1" t="s">
        <v>60</v>
      </c>
      <c r="M169" s="1" t="s">
        <v>61</v>
      </c>
      <c r="N169" s="1" t="s">
        <v>62</v>
      </c>
      <c r="O169" s="1" t="s">
        <v>31</v>
      </c>
      <c r="P169" s="2">
        <v>45726</v>
      </c>
      <c r="Q169" s="1" t="s">
        <v>487</v>
      </c>
      <c r="R169" s="1" t="s">
        <v>488</v>
      </c>
      <c r="S169" s="1" t="s">
        <v>88</v>
      </c>
      <c r="T169" s="1" t="s">
        <v>35</v>
      </c>
      <c r="U169" s="1" t="s">
        <v>66</v>
      </c>
      <c r="V169" s="1" t="s">
        <v>67</v>
      </c>
      <c r="W169">
        <v>3</v>
      </c>
      <c r="X169" s="1">
        <f t="shared" si="4"/>
        <v>8640.6199999999462</v>
      </c>
      <c r="Y169" s="1">
        <f t="shared" si="5"/>
        <v>6397.4799999999632</v>
      </c>
    </row>
    <row r="170" spans="1:25" x14ac:dyDescent="0.3">
      <c r="A170" s="1" t="s">
        <v>489</v>
      </c>
      <c r="B170">
        <v>1</v>
      </c>
      <c r="C170">
        <v>16.989999999999998</v>
      </c>
      <c r="D170">
        <v>16.989999999999998</v>
      </c>
      <c r="E170" s="1" t="s">
        <v>222</v>
      </c>
      <c r="F170" s="1" t="s">
        <v>40</v>
      </c>
      <c r="G170">
        <v>18</v>
      </c>
      <c r="H170" s="1" t="s">
        <v>41</v>
      </c>
      <c r="I170" s="1" t="s">
        <v>59</v>
      </c>
      <c r="J170">
        <v>5</v>
      </c>
      <c r="K170">
        <v>16.989999999999998</v>
      </c>
      <c r="L170" s="1" t="s">
        <v>60</v>
      </c>
      <c r="M170" s="1" t="s">
        <v>61</v>
      </c>
      <c r="N170" s="1" t="s">
        <v>62</v>
      </c>
      <c r="O170" s="1" t="s">
        <v>31</v>
      </c>
      <c r="P170" s="2">
        <v>45726</v>
      </c>
      <c r="Q170" s="1" t="s">
        <v>256</v>
      </c>
      <c r="R170" s="1" t="s">
        <v>257</v>
      </c>
      <c r="S170" s="1" t="s">
        <v>105</v>
      </c>
      <c r="T170" s="1" t="s">
        <v>35</v>
      </c>
      <c r="U170" s="1" t="s">
        <v>48</v>
      </c>
      <c r="V170" s="1" t="s">
        <v>67</v>
      </c>
      <c r="W170">
        <v>3</v>
      </c>
      <c r="X170" s="1">
        <f t="shared" si="4"/>
        <v>8551.6499999999451</v>
      </c>
      <c r="Y170" s="1">
        <f t="shared" si="5"/>
        <v>7682.919999999951</v>
      </c>
    </row>
    <row r="171" spans="1:25" x14ac:dyDescent="0.3">
      <c r="A171" s="1" t="s">
        <v>490</v>
      </c>
      <c r="B171">
        <v>1</v>
      </c>
      <c r="C171">
        <v>34.99</v>
      </c>
      <c r="D171">
        <v>34.99</v>
      </c>
      <c r="E171" s="1" t="s">
        <v>160</v>
      </c>
      <c r="F171" s="1" t="s">
        <v>40</v>
      </c>
      <c r="G171">
        <v>8</v>
      </c>
      <c r="H171" s="1" t="s">
        <v>41</v>
      </c>
      <c r="I171" s="1" t="s">
        <v>85</v>
      </c>
      <c r="J171">
        <v>12.5</v>
      </c>
      <c r="K171">
        <v>34.99</v>
      </c>
      <c r="L171" s="1" t="s">
        <v>60</v>
      </c>
      <c r="M171" s="1" t="s">
        <v>29</v>
      </c>
      <c r="N171" s="1" t="s">
        <v>30</v>
      </c>
      <c r="O171" s="1" t="s">
        <v>31</v>
      </c>
      <c r="P171" s="2">
        <v>45778</v>
      </c>
      <c r="Q171" s="1" t="s">
        <v>283</v>
      </c>
      <c r="R171" s="1" t="s">
        <v>491</v>
      </c>
      <c r="S171" s="1" t="s">
        <v>54</v>
      </c>
      <c r="T171" s="1" t="s">
        <v>35</v>
      </c>
      <c r="U171" s="1" t="s">
        <v>55</v>
      </c>
      <c r="V171" s="1" t="s">
        <v>89</v>
      </c>
      <c r="W171">
        <v>2.4</v>
      </c>
      <c r="X171" s="1">
        <f t="shared" si="4"/>
        <v>8551.6499999999451</v>
      </c>
      <c r="Y171" s="1">
        <f t="shared" si="5"/>
        <v>5710.7699999999695</v>
      </c>
    </row>
    <row r="172" spans="1:25" x14ac:dyDescent="0.3">
      <c r="A172" s="1" t="s">
        <v>492</v>
      </c>
      <c r="B172">
        <v>1</v>
      </c>
      <c r="C172">
        <v>34.99</v>
      </c>
      <c r="D172">
        <v>34.99</v>
      </c>
      <c r="E172" s="1" t="s">
        <v>493</v>
      </c>
      <c r="F172" s="1" t="s">
        <v>25</v>
      </c>
      <c r="G172">
        <v>8</v>
      </c>
      <c r="H172" s="1" t="s">
        <v>41</v>
      </c>
      <c r="I172" s="1" t="s">
        <v>85</v>
      </c>
      <c r="J172">
        <v>12.5</v>
      </c>
      <c r="K172">
        <v>34.99</v>
      </c>
      <c r="L172" s="1" t="s">
        <v>60</v>
      </c>
      <c r="M172" s="1" t="s">
        <v>29</v>
      </c>
      <c r="N172" s="1" t="s">
        <v>30</v>
      </c>
      <c r="O172" s="1" t="s">
        <v>31</v>
      </c>
      <c r="P172" s="2">
        <v>45778</v>
      </c>
      <c r="Q172" s="1" t="s">
        <v>437</v>
      </c>
      <c r="R172" s="1" t="s">
        <v>438</v>
      </c>
      <c r="S172" s="1" t="s">
        <v>88</v>
      </c>
      <c r="T172" s="1" t="s">
        <v>35</v>
      </c>
      <c r="U172" s="1" t="s">
        <v>36</v>
      </c>
      <c r="V172" s="1" t="s">
        <v>89</v>
      </c>
      <c r="W172">
        <v>2.4</v>
      </c>
      <c r="X172" s="1">
        <f t="shared" si="4"/>
        <v>8551.6499999999451</v>
      </c>
      <c r="Y172" s="1">
        <f t="shared" si="5"/>
        <v>6355.4899999999634</v>
      </c>
    </row>
    <row r="173" spans="1:25" x14ac:dyDescent="0.3">
      <c r="A173" s="1" t="s">
        <v>494</v>
      </c>
      <c r="B173">
        <v>3</v>
      </c>
      <c r="C173">
        <v>30.99</v>
      </c>
      <c r="D173">
        <v>74.53</v>
      </c>
      <c r="E173" s="1" t="s">
        <v>84</v>
      </c>
      <c r="F173" s="1" t="s">
        <v>25</v>
      </c>
      <c r="G173">
        <v>3</v>
      </c>
      <c r="H173" s="1" t="s">
        <v>26</v>
      </c>
      <c r="I173" s="1" t="s">
        <v>42</v>
      </c>
      <c r="J173">
        <v>10.5</v>
      </c>
      <c r="K173">
        <v>30.99</v>
      </c>
      <c r="L173" s="1" t="s">
        <v>28</v>
      </c>
      <c r="M173" s="1" t="s">
        <v>43</v>
      </c>
      <c r="N173" s="1" t="s">
        <v>44</v>
      </c>
      <c r="O173" s="1" t="s">
        <v>31</v>
      </c>
      <c r="P173" s="2">
        <v>45823</v>
      </c>
      <c r="Q173" s="1" t="s">
        <v>322</v>
      </c>
      <c r="R173" s="1" t="s">
        <v>323</v>
      </c>
      <c r="S173" s="1" t="s">
        <v>88</v>
      </c>
      <c r="T173" s="1" t="s">
        <v>35</v>
      </c>
      <c r="U173" s="1" t="s">
        <v>55</v>
      </c>
      <c r="V173" s="1" t="s">
        <v>37</v>
      </c>
      <c r="W173">
        <v>2</v>
      </c>
      <c r="X173" s="1">
        <f t="shared" si="4"/>
        <v>8313.6899999999459</v>
      </c>
      <c r="Y173" s="1">
        <f t="shared" si="5"/>
        <v>5710.7699999999695</v>
      </c>
    </row>
    <row r="174" spans="1:25" x14ac:dyDescent="0.3">
      <c r="A174" s="1" t="s">
        <v>495</v>
      </c>
      <c r="B174">
        <v>1</v>
      </c>
      <c r="C174">
        <v>18.989999999999998</v>
      </c>
      <c r="D174">
        <v>18.989999999999998</v>
      </c>
      <c r="E174" s="1" t="s">
        <v>449</v>
      </c>
      <c r="F174" s="1" t="s">
        <v>40</v>
      </c>
      <c r="G174">
        <v>13</v>
      </c>
      <c r="H174" s="1" t="s">
        <v>58</v>
      </c>
      <c r="I174" s="1" t="s">
        <v>97</v>
      </c>
      <c r="J174">
        <v>6</v>
      </c>
      <c r="K174">
        <v>18.989999999999998</v>
      </c>
      <c r="L174" s="1" t="s">
        <v>60</v>
      </c>
      <c r="M174" s="1" t="s">
        <v>43</v>
      </c>
      <c r="N174" s="1" t="s">
        <v>44</v>
      </c>
      <c r="O174" s="1" t="s">
        <v>31</v>
      </c>
      <c r="P174" s="2">
        <v>45823</v>
      </c>
      <c r="Q174" s="1" t="s">
        <v>496</v>
      </c>
      <c r="R174" s="1" t="s">
        <v>497</v>
      </c>
      <c r="S174" s="1" t="s">
        <v>105</v>
      </c>
      <c r="T174" s="1" t="s">
        <v>35</v>
      </c>
      <c r="U174" s="1" t="s">
        <v>36</v>
      </c>
      <c r="V174" s="1" t="s">
        <v>100</v>
      </c>
      <c r="W174">
        <v>3.2</v>
      </c>
      <c r="X174" s="1">
        <f t="shared" si="4"/>
        <v>8640.6199999999462</v>
      </c>
      <c r="Y174" s="1">
        <f t="shared" si="5"/>
        <v>6355.4899999999634</v>
      </c>
    </row>
    <row r="175" spans="1:25" x14ac:dyDescent="0.3">
      <c r="A175" s="1" t="s">
        <v>498</v>
      </c>
      <c r="B175">
        <v>2</v>
      </c>
      <c r="C175">
        <v>18.989999999999998</v>
      </c>
      <c r="D175">
        <v>32.78</v>
      </c>
      <c r="E175" s="1" t="s">
        <v>419</v>
      </c>
      <c r="F175" s="1" t="s">
        <v>40</v>
      </c>
      <c r="G175">
        <v>15</v>
      </c>
      <c r="H175" s="1" t="s">
        <v>41</v>
      </c>
      <c r="I175" s="1" t="s">
        <v>97</v>
      </c>
      <c r="J175">
        <v>6</v>
      </c>
      <c r="K175">
        <v>18.989999999999998</v>
      </c>
      <c r="L175" s="1" t="s">
        <v>60</v>
      </c>
      <c r="M175" s="1" t="s">
        <v>43</v>
      </c>
      <c r="N175" s="1" t="s">
        <v>44</v>
      </c>
      <c r="O175" s="1" t="s">
        <v>31</v>
      </c>
      <c r="P175" s="2">
        <v>45823</v>
      </c>
      <c r="Q175" s="1" t="s">
        <v>298</v>
      </c>
      <c r="R175" s="1" t="s">
        <v>299</v>
      </c>
      <c r="S175" s="1" t="s">
        <v>65</v>
      </c>
      <c r="T175" s="1" t="s">
        <v>35</v>
      </c>
      <c r="U175" s="1" t="s">
        <v>82</v>
      </c>
      <c r="V175" s="1" t="s">
        <v>100</v>
      </c>
      <c r="W175">
        <v>3.2</v>
      </c>
      <c r="X175" s="1">
        <f t="shared" si="4"/>
        <v>8551.6499999999451</v>
      </c>
      <c r="Y175" s="1">
        <f t="shared" si="5"/>
        <v>7204.2099999999582</v>
      </c>
    </row>
    <row r="176" spans="1:25" x14ac:dyDescent="0.3">
      <c r="A176" s="1" t="s">
        <v>499</v>
      </c>
      <c r="B176">
        <v>1</v>
      </c>
      <c r="C176">
        <v>18.989999999999998</v>
      </c>
      <c r="D176">
        <v>18.989999999999998</v>
      </c>
      <c r="E176" s="1" t="s">
        <v>146</v>
      </c>
      <c r="F176" s="1" t="s">
        <v>40</v>
      </c>
      <c r="G176">
        <v>11</v>
      </c>
      <c r="H176" s="1" t="s">
        <v>41</v>
      </c>
      <c r="I176" s="1" t="s">
        <v>97</v>
      </c>
      <c r="J176">
        <v>6</v>
      </c>
      <c r="K176">
        <v>18.989999999999998</v>
      </c>
      <c r="L176" s="1" t="s">
        <v>60</v>
      </c>
      <c r="M176" s="1" t="s">
        <v>43</v>
      </c>
      <c r="N176" s="1" t="s">
        <v>44</v>
      </c>
      <c r="O176" s="1" t="s">
        <v>31</v>
      </c>
      <c r="P176" s="2">
        <v>45823</v>
      </c>
      <c r="Q176" s="1" t="s">
        <v>161</v>
      </c>
      <c r="R176" s="1" t="s">
        <v>500</v>
      </c>
      <c r="S176" s="1" t="s">
        <v>65</v>
      </c>
      <c r="T176" s="1" t="s">
        <v>35</v>
      </c>
      <c r="U176" s="1" t="s">
        <v>55</v>
      </c>
      <c r="V176" s="1" t="s">
        <v>100</v>
      </c>
      <c r="W176">
        <v>3.2</v>
      </c>
      <c r="X176" s="1">
        <f t="shared" si="4"/>
        <v>8551.6499999999451</v>
      </c>
      <c r="Y176" s="1">
        <f t="shared" si="5"/>
        <v>5710.7699999999695</v>
      </c>
    </row>
    <row r="177" spans="1:25" x14ac:dyDescent="0.3">
      <c r="A177" s="1" t="s">
        <v>501</v>
      </c>
      <c r="B177">
        <v>3</v>
      </c>
      <c r="C177">
        <v>18.989999999999998</v>
      </c>
      <c r="D177">
        <v>45.28</v>
      </c>
      <c r="E177" s="1" t="s">
        <v>293</v>
      </c>
      <c r="F177" s="1" t="s">
        <v>25</v>
      </c>
      <c r="G177">
        <v>12</v>
      </c>
      <c r="H177" s="1" t="s">
        <v>26</v>
      </c>
      <c r="I177" s="1" t="s">
        <v>97</v>
      </c>
      <c r="J177">
        <v>6</v>
      </c>
      <c r="K177">
        <v>18.989999999999998</v>
      </c>
      <c r="L177" s="1" t="s">
        <v>60</v>
      </c>
      <c r="M177" s="1" t="s">
        <v>43</v>
      </c>
      <c r="N177" s="1" t="s">
        <v>44</v>
      </c>
      <c r="O177" s="1" t="s">
        <v>31</v>
      </c>
      <c r="P177" s="2">
        <v>45823</v>
      </c>
      <c r="Q177" s="1" t="s">
        <v>355</v>
      </c>
      <c r="R177" s="1" t="s">
        <v>502</v>
      </c>
      <c r="S177" s="1" t="s">
        <v>65</v>
      </c>
      <c r="T177" s="1" t="s">
        <v>35</v>
      </c>
      <c r="U177" s="1" t="s">
        <v>82</v>
      </c>
      <c r="V177" s="1" t="s">
        <v>100</v>
      </c>
      <c r="W177">
        <v>3.2</v>
      </c>
      <c r="X177" s="1">
        <f t="shared" si="4"/>
        <v>8313.6899999999459</v>
      </c>
      <c r="Y177" s="1">
        <f t="shared" si="5"/>
        <v>7204.2099999999582</v>
      </c>
    </row>
    <row r="178" spans="1:25" x14ac:dyDescent="0.3">
      <c r="A178" s="1" t="s">
        <v>503</v>
      </c>
      <c r="B178">
        <v>3</v>
      </c>
      <c r="C178">
        <v>27.99</v>
      </c>
      <c r="D178">
        <v>66.88</v>
      </c>
      <c r="E178" s="1" t="s">
        <v>146</v>
      </c>
      <c r="F178" s="1" t="s">
        <v>40</v>
      </c>
      <c r="G178">
        <v>3</v>
      </c>
      <c r="H178" s="1" t="s">
        <v>96</v>
      </c>
      <c r="I178" s="1" t="s">
        <v>75</v>
      </c>
      <c r="J178">
        <v>9</v>
      </c>
      <c r="K178">
        <v>27.99</v>
      </c>
      <c r="L178" s="1" t="s">
        <v>28</v>
      </c>
      <c r="M178" s="1" t="s">
        <v>61</v>
      </c>
      <c r="N178" s="1" t="s">
        <v>62</v>
      </c>
      <c r="O178" s="1" t="s">
        <v>31</v>
      </c>
      <c r="P178" s="2">
        <v>45726</v>
      </c>
      <c r="Q178" s="1" t="s">
        <v>283</v>
      </c>
      <c r="R178" s="1" t="s">
        <v>284</v>
      </c>
      <c r="S178" s="1" t="s">
        <v>105</v>
      </c>
      <c r="T178" s="1" t="s">
        <v>35</v>
      </c>
      <c r="U178" s="1" t="s">
        <v>55</v>
      </c>
      <c r="V178" s="1" t="s">
        <v>37</v>
      </c>
      <c r="W178">
        <v>2</v>
      </c>
      <c r="X178" s="1">
        <f t="shared" si="4"/>
        <v>7844.9099999999507</v>
      </c>
      <c r="Y178" s="1">
        <f t="shared" si="5"/>
        <v>5710.7699999999695</v>
      </c>
    </row>
    <row r="179" spans="1:25" x14ac:dyDescent="0.3">
      <c r="A179" s="1" t="s">
        <v>504</v>
      </c>
      <c r="B179">
        <v>1</v>
      </c>
      <c r="C179">
        <v>18.989999999999998</v>
      </c>
      <c r="D179">
        <v>18.989999999999998</v>
      </c>
      <c r="E179" s="1" t="s">
        <v>348</v>
      </c>
      <c r="F179" s="1" t="s">
        <v>40</v>
      </c>
      <c r="G179">
        <v>11</v>
      </c>
      <c r="H179" s="1" t="s">
        <v>96</v>
      </c>
      <c r="I179" s="1" t="s">
        <v>97</v>
      </c>
      <c r="J179">
        <v>6</v>
      </c>
      <c r="K179">
        <v>18.989999999999998</v>
      </c>
      <c r="L179" s="1" t="s">
        <v>60</v>
      </c>
      <c r="M179" s="1" t="s">
        <v>43</v>
      </c>
      <c r="N179" s="1" t="s">
        <v>44</v>
      </c>
      <c r="O179" s="1" t="s">
        <v>31</v>
      </c>
      <c r="P179" s="2">
        <v>45823</v>
      </c>
      <c r="Q179" s="1" t="s">
        <v>302</v>
      </c>
      <c r="R179" s="1" t="s">
        <v>303</v>
      </c>
      <c r="S179" s="1" t="s">
        <v>105</v>
      </c>
      <c r="T179" s="1" t="s">
        <v>35</v>
      </c>
      <c r="U179" s="1" t="s">
        <v>55</v>
      </c>
      <c r="V179" s="1" t="s">
        <v>100</v>
      </c>
      <c r="W179">
        <v>3.2</v>
      </c>
      <c r="X179" s="1">
        <f t="shared" si="4"/>
        <v>7844.9099999999507</v>
      </c>
      <c r="Y179" s="1">
        <f t="shared" si="5"/>
        <v>5710.7699999999695</v>
      </c>
    </row>
    <row r="180" spans="1:25" x14ac:dyDescent="0.3">
      <c r="A180" s="1" t="s">
        <v>505</v>
      </c>
      <c r="B180">
        <v>2</v>
      </c>
      <c r="C180">
        <v>30.99</v>
      </c>
      <c r="D180">
        <v>53.78</v>
      </c>
      <c r="E180" s="1" t="s">
        <v>192</v>
      </c>
      <c r="F180" s="1" t="s">
        <v>51</v>
      </c>
      <c r="G180">
        <v>0</v>
      </c>
      <c r="H180" s="1" t="s">
        <v>96</v>
      </c>
      <c r="I180" s="1" t="s">
        <v>42</v>
      </c>
      <c r="J180">
        <v>10.5</v>
      </c>
      <c r="K180">
        <v>30.99</v>
      </c>
      <c r="L180" s="1" t="s">
        <v>28</v>
      </c>
      <c r="M180" s="1" t="s">
        <v>43</v>
      </c>
      <c r="N180" s="1" t="s">
        <v>44</v>
      </c>
      <c r="O180" s="1" t="s">
        <v>31</v>
      </c>
      <c r="P180" s="2">
        <v>45823</v>
      </c>
      <c r="Q180" s="1" t="s">
        <v>157</v>
      </c>
      <c r="R180" s="1" t="s">
        <v>158</v>
      </c>
      <c r="S180" s="1" t="s">
        <v>34</v>
      </c>
      <c r="T180" s="1" t="s">
        <v>35</v>
      </c>
      <c r="U180" s="1" t="s">
        <v>82</v>
      </c>
      <c r="V180" s="1" t="s">
        <v>37</v>
      </c>
      <c r="W180">
        <v>2</v>
      </c>
      <c r="X180" s="1">
        <f t="shared" si="4"/>
        <v>7844.9099999999507</v>
      </c>
      <c r="Y180" s="1">
        <f t="shared" si="5"/>
        <v>7204.2099999999582</v>
      </c>
    </row>
    <row r="181" spans="1:25" x14ac:dyDescent="0.3">
      <c r="A181" s="1" t="s">
        <v>506</v>
      </c>
      <c r="B181">
        <v>3</v>
      </c>
      <c r="C181">
        <v>16.989999999999998</v>
      </c>
      <c r="D181">
        <v>40.18</v>
      </c>
      <c r="E181" s="1" t="s">
        <v>222</v>
      </c>
      <c r="F181" s="1" t="s">
        <v>40</v>
      </c>
      <c r="G181">
        <v>18</v>
      </c>
      <c r="H181" s="1" t="s">
        <v>58</v>
      </c>
      <c r="I181" s="1" t="s">
        <v>59</v>
      </c>
      <c r="J181">
        <v>5</v>
      </c>
      <c r="K181">
        <v>16.989999999999998</v>
      </c>
      <c r="L181" s="1" t="s">
        <v>60</v>
      </c>
      <c r="M181" s="1" t="s">
        <v>61</v>
      </c>
      <c r="N181" s="1" t="s">
        <v>62</v>
      </c>
      <c r="O181" s="1" t="s">
        <v>31</v>
      </c>
      <c r="P181" s="2">
        <v>45726</v>
      </c>
      <c r="Q181" s="1" t="s">
        <v>238</v>
      </c>
      <c r="R181" s="1" t="s">
        <v>239</v>
      </c>
      <c r="S181" s="1" t="s">
        <v>65</v>
      </c>
      <c r="T181" s="1" t="s">
        <v>35</v>
      </c>
      <c r="U181" s="1" t="s">
        <v>66</v>
      </c>
      <c r="V181" s="1" t="s">
        <v>67</v>
      </c>
      <c r="W181">
        <v>3</v>
      </c>
      <c r="X181" s="1">
        <f t="shared" si="4"/>
        <v>8640.6199999999462</v>
      </c>
      <c r="Y181" s="1">
        <f t="shared" si="5"/>
        <v>6397.4799999999632</v>
      </c>
    </row>
    <row r="182" spans="1:25" x14ac:dyDescent="0.3">
      <c r="A182" s="1" t="s">
        <v>507</v>
      </c>
      <c r="B182">
        <v>2</v>
      </c>
      <c r="C182">
        <v>21.99</v>
      </c>
      <c r="D182">
        <v>37.979999999999997</v>
      </c>
      <c r="E182" s="1" t="s">
        <v>121</v>
      </c>
      <c r="F182" s="1" t="s">
        <v>40</v>
      </c>
      <c r="G182">
        <v>2</v>
      </c>
      <c r="H182" s="1" t="s">
        <v>26</v>
      </c>
      <c r="I182" s="1" t="s">
        <v>27</v>
      </c>
      <c r="J182">
        <v>7</v>
      </c>
      <c r="K182">
        <v>21.99</v>
      </c>
      <c r="L182" s="1" t="s">
        <v>28</v>
      </c>
      <c r="M182" s="1" t="s">
        <v>29</v>
      </c>
      <c r="N182" s="1" t="s">
        <v>30</v>
      </c>
      <c r="O182" s="1" t="s">
        <v>31</v>
      </c>
      <c r="P182" s="2">
        <v>45778</v>
      </c>
      <c r="Q182" s="1" t="s">
        <v>406</v>
      </c>
      <c r="R182" s="1" t="s">
        <v>508</v>
      </c>
      <c r="S182" s="1" t="s">
        <v>411</v>
      </c>
      <c r="T182" s="1" t="s">
        <v>35</v>
      </c>
      <c r="U182" s="1" t="s">
        <v>48</v>
      </c>
      <c r="V182" s="1" t="s">
        <v>37</v>
      </c>
      <c r="W182">
        <v>2</v>
      </c>
      <c r="X182" s="1">
        <f t="shared" si="4"/>
        <v>8313.6899999999459</v>
      </c>
      <c r="Y182" s="1">
        <f t="shared" si="5"/>
        <v>7682.919999999951</v>
      </c>
    </row>
    <row r="183" spans="1:25" x14ac:dyDescent="0.3">
      <c r="A183" s="1" t="s">
        <v>509</v>
      </c>
      <c r="B183">
        <v>1</v>
      </c>
      <c r="C183">
        <v>27.99</v>
      </c>
      <c r="D183">
        <v>27.99</v>
      </c>
      <c r="E183" s="1" t="s">
        <v>107</v>
      </c>
      <c r="F183" s="1" t="s">
        <v>40</v>
      </c>
      <c r="G183">
        <v>6</v>
      </c>
      <c r="H183" s="1" t="s">
        <v>96</v>
      </c>
      <c r="I183" s="1" t="s">
        <v>75</v>
      </c>
      <c r="J183">
        <v>9</v>
      </c>
      <c r="K183">
        <v>27.99</v>
      </c>
      <c r="L183" s="1" t="s">
        <v>28</v>
      </c>
      <c r="M183" s="1" t="s">
        <v>61</v>
      </c>
      <c r="N183" s="1" t="s">
        <v>62</v>
      </c>
      <c r="O183" s="1" t="s">
        <v>31</v>
      </c>
      <c r="P183" s="2">
        <v>45726</v>
      </c>
      <c r="Q183" s="1" t="s">
        <v>290</v>
      </c>
      <c r="R183" s="1" t="s">
        <v>510</v>
      </c>
      <c r="S183" s="1" t="s">
        <v>105</v>
      </c>
      <c r="T183" s="1" t="s">
        <v>35</v>
      </c>
      <c r="U183" s="1" t="s">
        <v>66</v>
      </c>
      <c r="V183" s="1" t="s">
        <v>37</v>
      </c>
      <c r="W183">
        <v>2</v>
      </c>
      <c r="X183" s="1">
        <f t="shared" si="4"/>
        <v>7844.9099999999507</v>
      </c>
      <c r="Y183" s="1">
        <f t="shared" si="5"/>
        <v>6397.4799999999632</v>
      </c>
    </row>
    <row r="184" spans="1:25" x14ac:dyDescent="0.3">
      <c r="A184" s="1" t="s">
        <v>511</v>
      </c>
      <c r="B184">
        <v>1</v>
      </c>
      <c r="C184">
        <v>16.989999999999998</v>
      </c>
      <c r="D184">
        <v>16.989999999999998</v>
      </c>
      <c r="E184" s="1" t="s">
        <v>313</v>
      </c>
      <c r="F184" s="1" t="s">
        <v>51</v>
      </c>
      <c r="G184">
        <v>0</v>
      </c>
      <c r="H184" s="1" t="s">
        <v>96</v>
      </c>
      <c r="I184" s="1" t="s">
        <v>59</v>
      </c>
      <c r="J184">
        <v>5</v>
      </c>
      <c r="K184">
        <v>16.989999999999998</v>
      </c>
      <c r="L184" s="1" t="s">
        <v>60</v>
      </c>
      <c r="M184" s="1" t="s">
        <v>61</v>
      </c>
      <c r="N184" s="1" t="s">
        <v>62</v>
      </c>
      <c r="O184" s="1" t="s">
        <v>31</v>
      </c>
      <c r="P184" s="2">
        <v>45726</v>
      </c>
      <c r="Q184" s="1" t="s">
        <v>425</v>
      </c>
      <c r="R184" s="1" t="s">
        <v>426</v>
      </c>
      <c r="S184" s="1" t="s">
        <v>47</v>
      </c>
      <c r="T184" s="1" t="s">
        <v>35</v>
      </c>
      <c r="U184" s="1" t="s">
        <v>55</v>
      </c>
      <c r="V184" s="1" t="s">
        <v>67</v>
      </c>
      <c r="W184">
        <v>3</v>
      </c>
      <c r="X184" s="1">
        <f t="shared" si="4"/>
        <v>7844.9099999999507</v>
      </c>
      <c r="Y184" s="1">
        <f t="shared" si="5"/>
        <v>5710.7699999999695</v>
      </c>
    </row>
    <row r="185" spans="1:25" x14ac:dyDescent="0.3">
      <c r="A185" s="1" t="s">
        <v>512</v>
      </c>
      <c r="B185">
        <v>1</v>
      </c>
      <c r="C185">
        <v>27.99</v>
      </c>
      <c r="D185">
        <v>27.99</v>
      </c>
      <c r="E185" s="1" t="s">
        <v>325</v>
      </c>
      <c r="F185" s="1" t="s">
        <v>40</v>
      </c>
      <c r="G185">
        <v>2</v>
      </c>
      <c r="H185" s="1" t="s">
        <v>58</v>
      </c>
      <c r="I185" s="1" t="s">
        <v>75</v>
      </c>
      <c r="J185">
        <v>9</v>
      </c>
      <c r="K185">
        <v>27.99</v>
      </c>
      <c r="L185" s="1" t="s">
        <v>28</v>
      </c>
      <c r="M185" s="1" t="s">
        <v>61</v>
      </c>
      <c r="N185" s="1" t="s">
        <v>62</v>
      </c>
      <c r="O185" s="1" t="s">
        <v>31</v>
      </c>
      <c r="P185" s="2">
        <v>45726</v>
      </c>
      <c r="Q185" s="1" t="s">
        <v>45</v>
      </c>
      <c r="R185" s="1" t="s">
        <v>513</v>
      </c>
      <c r="S185" s="1" t="s">
        <v>54</v>
      </c>
      <c r="T185" s="1" t="s">
        <v>35</v>
      </c>
      <c r="U185" s="1" t="s">
        <v>48</v>
      </c>
      <c r="V185" s="1" t="s">
        <v>37</v>
      </c>
      <c r="W185">
        <v>2</v>
      </c>
      <c r="X185" s="1">
        <f t="shared" si="4"/>
        <v>8640.6199999999462</v>
      </c>
      <c r="Y185" s="1">
        <f t="shared" si="5"/>
        <v>7682.919999999951</v>
      </c>
    </row>
    <row r="186" spans="1:25" x14ac:dyDescent="0.3">
      <c r="A186" s="1" t="s">
        <v>514</v>
      </c>
      <c r="B186">
        <v>1</v>
      </c>
      <c r="C186">
        <v>18.989999999999998</v>
      </c>
      <c r="D186">
        <v>18.989999999999998</v>
      </c>
      <c r="E186" s="1" t="s">
        <v>389</v>
      </c>
      <c r="F186" s="1" t="s">
        <v>70</v>
      </c>
      <c r="G186">
        <v>0</v>
      </c>
      <c r="H186" s="1" t="s">
        <v>26</v>
      </c>
      <c r="I186" s="1" t="s">
        <v>97</v>
      </c>
      <c r="J186">
        <v>6</v>
      </c>
      <c r="K186">
        <v>18.989999999999998</v>
      </c>
      <c r="L186" s="1" t="s">
        <v>60</v>
      </c>
      <c r="M186" s="1" t="s">
        <v>43</v>
      </c>
      <c r="N186" s="1" t="s">
        <v>44</v>
      </c>
      <c r="O186" s="1" t="s">
        <v>31</v>
      </c>
      <c r="P186" s="2">
        <v>45823</v>
      </c>
      <c r="Q186" s="1" t="s">
        <v>231</v>
      </c>
      <c r="R186" s="1" t="s">
        <v>232</v>
      </c>
      <c r="S186" s="1" t="s">
        <v>105</v>
      </c>
      <c r="T186" s="1" t="s">
        <v>35</v>
      </c>
      <c r="U186" s="1" t="s">
        <v>36</v>
      </c>
      <c r="V186" s="1" t="s">
        <v>100</v>
      </c>
      <c r="W186">
        <v>3.2</v>
      </c>
      <c r="X186" s="1">
        <f t="shared" si="4"/>
        <v>8313.6899999999459</v>
      </c>
      <c r="Y186" s="1">
        <f t="shared" si="5"/>
        <v>6355.4899999999634</v>
      </c>
    </row>
    <row r="187" spans="1:25" x14ac:dyDescent="0.3">
      <c r="A187" s="1" t="s">
        <v>515</v>
      </c>
      <c r="B187">
        <v>1</v>
      </c>
      <c r="C187">
        <v>27.99</v>
      </c>
      <c r="D187">
        <v>27.99</v>
      </c>
      <c r="E187" s="1" t="s">
        <v>272</v>
      </c>
      <c r="F187" s="1" t="s">
        <v>40</v>
      </c>
      <c r="G187">
        <v>2</v>
      </c>
      <c r="H187" s="1" t="s">
        <v>41</v>
      </c>
      <c r="I187" s="1" t="s">
        <v>75</v>
      </c>
      <c r="J187">
        <v>9</v>
      </c>
      <c r="K187">
        <v>27.99</v>
      </c>
      <c r="L187" s="1" t="s">
        <v>28</v>
      </c>
      <c r="M187" s="1" t="s">
        <v>61</v>
      </c>
      <c r="N187" s="1" t="s">
        <v>62</v>
      </c>
      <c r="O187" s="1" t="s">
        <v>31</v>
      </c>
      <c r="P187" s="2">
        <v>45726</v>
      </c>
      <c r="Q187" s="1" t="s">
        <v>231</v>
      </c>
      <c r="R187" s="1" t="s">
        <v>516</v>
      </c>
      <c r="S187" s="1" t="s">
        <v>47</v>
      </c>
      <c r="T187" s="1" t="s">
        <v>35</v>
      </c>
      <c r="U187" s="1" t="s">
        <v>66</v>
      </c>
      <c r="V187" s="1" t="s">
        <v>37</v>
      </c>
      <c r="W187">
        <v>2</v>
      </c>
      <c r="X187" s="1">
        <f t="shared" si="4"/>
        <v>8551.6499999999451</v>
      </c>
      <c r="Y187" s="1">
        <f t="shared" si="5"/>
        <v>6397.4799999999632</v>
      </c>
    </row>
    <row r="188" spans="1:25" x14ac:dyDescent="0.3">
      <c r="A188" s="1" t="s">
        <v>517</v>
      </c>
      <c r="B188">
        <v>1</v>
      </c>
      <c r="C188">
        <v>18.989999999999998</v>
      </c>
      <c r="D188">
        <v>18.989999999999998</v>
      </c>
      <c r="E188" s="1" t="s">
        <v>168</v>
      </c>
      <c r="F188" s="1" t="s">
        <v>188</v>
      </c>
      <c r="G188">
        <v>0</v>
      </c>
      <c r="H188" s="1" t="s">
        <v>96</v>
      </c>
      <c r="I188" s="1" t="s">
        <v>97</v>
      </c>
      <c r="J188">
        <v>6</v>
      </c>
      <c r="K188">
        <v>18.989999999999998</v>
      </c>
      <c r="L188" s="1" t="s">
        <v>60</v>
      </c>
      <c r="M188" s="1" t="s">
        <v>43</v>
      </c>
      <c r="N188" s="1" t="s">
        <v>44</v>
      </c>
      <c r="O188" s="1" t="s">
        <v>31</v>
      </c>
      <c r="P188" s="2">
        <v>45823</v>
      </c>
      <c r="Q188" s="1" t="s">
        <v>518</v>
      </c>
      <c r="R188" s="1" t="s">
        <v>519</v>
      </c>
      <c r="S188" s="1" t="s">
        <v>54</v>
      </c>
      <c r="T188" s="1" t="s">
        <v>35</v>
      </c>
      <c r="U188" s="1" t="s">
        <v>55</v>
      </c>
      <c r="V188" s="1" t="s">
        <v>100</v>
      </c>
      <c r="W188">
        <v>3.2</v>
      </c>
      <c r="X188" s="1">
        <f t="shared" si="4"/>
        <v>7844.9099999999507</v>
      </c>
      <c r="Y188" s="1">
        <f t="shared" si="5"/>
        <v>5710.7699999999695</v>
      </c>
    </row>
    <row r="189" spans="1:25" x14ac:dyDescent="0.3">
      <c r="A189" s="1" t="s">
        <v>520</v>
      </c>
      <c r="B189">
        <v>1</v>
      </c>
      <c r="C189">
        <v>21.99</v>
      </c>
      <c r="D189">
        <v>21.99</v>
      </c>
      <c r="E189" s="1" t="s">
        <v>102</v>
      </c>
      <c r="F189" s="1" t="s">
        <v>25</v>
      </c>
      <c r="G189">
        <v>2</v>
      </c>
      <c r="H189" s="1" t="s">
        <v>26</v>
      </c>
      <c r="I189" s="1" t="s">
        <v>27</v>
      </c>
      <c r="J189">
        <v>7</v>
      </c>
      <c r="K189">
        <v>21.99</v>
      </c>
      <c r="L189" s="1" t="s">
        <v>28</v>
      </c>
      <c r="M189" s="1" t="s">
        <v>29</v>
      </c>
      <c r="N189" s="1" t="s">
        <v>30</v>
      </c>
      <c r="O189" s="1" t="s">
        <v>31</v>
      </c>
      <c r="P189" s="2">
        <v>45778</v>
      </c>
      <c r="Q189" s="1" t="s">
        <v>420</v>
      </c>
      <c r="R189" s="1" t="s">
        <v>421</v>
      </c>
      <c r="S189" s="1" t="s">
        <v>34</v>
      </c>
      <c r="T189" s="1" t="s">
        <v>35</v>
      </c>
      <c r="U189" s="1" t="s">
        <v>82</v>
      </c>
      <c r="V189" s="1" t="s">
        <v>37</v>
      </c>
      <c r="W189">
        <v>2</v>
      </c>
      <c r="X189" s="1">
        <f t="shared" si="4"/>
        <v>8313.6899999999459</v>
      </c>
      <c r="Y189" s="1">
        <f t="shared" si="5"/>
        <v>7204.2099999999582</v>
      </c>
    </row>
    <row r="190" spans="1:25" x14ac:dyDescent="0.3">
      <c r="A190" s="1" t="s">
        <v>521</v>
      </c>
      <c r="B190">
        <v>1</v>
      </c>
      <c r="C190">
        <v>34.99</v>
      </c>
      <c r="D190">
        <v>34.99</v>
      </c>
      <c r="E190" s="1" t="s">
        <v>160</v>
      </c>
      <c r="F190" s="1" t="s">
        <v>188</v>
      </c>
      <c r="G190">
        <v>0</v>
      </c>
      <c r="H190" s="1" t="s">
        <v>96</v>
      </c>
      <c r="I190" s="1" t="s">
        <v>85</v>
      </c>
      <c r="J190">
        <v>12.5</v>
      </c>
      <c r="K190">
        <v>34.99</v>
      </c>
      <c r="L190" s="1" t="s">
        <v>60</v>
      </c>
      <c r="M190" s="1" t="s">
        <v>29</v>
      </c>
      <c r="N190" s="1" t="s">
        <v>30</v>
      </c>
      <c r="O190" s="1" t="s">
        <v>31</v>
      </c>
      <c r="P190" s="2">
        <v>45778</v>
      </c>
      <c r="Q190" s="1" t="s">
        <v>339</v>
      </c>
      <c r="R190" s="1" t="s">
        <v>340</v>
      </c>
      <c r="S190" s="1" t="s">
        <v>65</v>
      </c>
      <c r="T190" s="1" t="s">
        <v>35</v>
      </c>
      <c r="U190" s="1" t="s">
        <v>66</v>
      </c>
      <c r="V190" s="1" t="s">
        <v>89</v>
      </c>
      <c r="W190">
        <v>2.4</v>
      </c>
      <c r="X190" s="1">
        <f t="shared" si="4"/>
        <v>7844.9099999999507</v>
      </c>
      <c r="Y190" s="1">
        <f t="shared" si="5"/>
        <v>6397.4799999999632</v>
      </c>
    </row>
    <row r="191" spans="1:25" x14ac:dyDescent="0.3">
      <c r="A191" s="1" t="s">
        <v>522</v>
      </c>
      <c r="B191">
        <v>1</v>
      </c>
      <c r="C191">
        <v>21.99</v>
      </c>
      <c r="D191">
        <v>21.99</v>
      </c>
      <c r="E191" s="1" t="s">
        <v>168</v>
      </c>
      <c r="F191" s="1" t="s">
        <v>40</v>
      </c>
      <c r="G191">
        <v>3</v>
      </c>
      <c r="H191" s="1" t="s">
        <v>41</v>
      </c>
      <c r="I191" s="1" t="s">
        <v>27</v>
      </c>
      <c r="J191">
        <v>7</v>
      </c>
      <c r="K191">
        <v>21.99</v>
      </c>
      <c r="L191" s="1" t="s">
        <v>28</v>
      </c>
      <c r="M191" s="1" t="s">
        <v>29</v>
      </c>
      <c r="N191" s="1" t="s">
        <v>30</v>
      </c>
      <c r="O191" s="1" t="s">
        <v>31</v>
      </c>
      <c r="P191" s="2">
        <v>45778</v>
      </c>
      <c r="Q191" s="1" t="s">
        <v>225</v>
      </c>
      <c r="R191" s="1" t="s">
        <v>226</v>
      </c>
      <c r="S191" s="1" t="s">
        <v>105</v>
      </c>
      <c r="T191" s="1" t="s">
        <v>35</v>
      </c>
      <c r="U191" s="1" t="s">
        <v>36</v>
      </c>
      <c r="V191" s="1" t="s">
        <v>37</v>
      </c>
      <c r="W191">
        <v>2</v>
      </c>
      <c r="X191" s="1">
        <f t="shared" si="4"/>
        <v>8551.6499999999451</v>
      </c>
      <c r="Y191" s="1">
        <f t="shared" si="5"/>
        <v>6355.4899999999634</v>
      </c>
    </row>
    <row r="192" spans="1:25" x14ac:dyDescent="0.3">
      <c r="A192" s="1" t="s">
        <v>523</v>
      </c>
      <c r="B192">
        <v>3</v>
      </c>
      <c r="C192">
        <v>27.99</v>
      </c>
      <c r="D192">
        <v>66.88</v>
      </c>
      <c r="E192" s="1" t="s">
        <v>246</v>
      </c>
      <c r="F192" s="1" t="s">
        <v>40</v>
      </c>
      <c r="G192">
        <v>3</v>
      </c>
      <c r="H192" s="1" t="s">
        <v>58</v>
      </c>
      <c r="I192" s="1" t="s">
        <v>75</v>
      </c>
      <c r="J192">
        <v>9</v>
      </c>
      <c r="K192">
        <v>27.99</v>
      </c>
      <c r="L192" s="1" t="s">
        <v>28</v>
      </c>
      <c r="M192" s="1" t="s">
        <v>61</v>
      </c>
      <c r="N192" s="1" t="s">
        <v>62</v>
      </c>
      <c r="O192" s="1" t="s">
        <v>31</v>
      </c>
      <c r="P192" s="2">
        <v>45726</v>
      </c>
      <c r="Q192" s="1" t="s">
        <v>385</v>
      </c>
      <c r="R192" s="1" t="s">
        <v>524</v>
      </c>
      <c r="S192" s="1" t="s">
        <v>65</v>
      </c>
      <c r="T192" s="1" t="s">
        <v>35</v>
      </c>
      <c r="U192" s="1" t="s">
        <v>66</v>
      </c>
      <c r="V192" s="1" t="s">
        <v>37</v>
      </c>
      <c r="W192">
        <v>2</v>
      </c>
      <c r="X192" s="1">
        <f t="shared" si="4"/>
        <v>8640.6199999999462</v>
      </c>
      <c r="Y192" s="1">
        <f t="shared" si="5"/>
        <v>6397.4799999999632</v>
      </c>
    </row>
    <row r="193" spans="1:25" x14ac:dyDescent="0.3">
      <c r="A193" s="1" t="s">
        <v>525</v>
      </c>
      <c r="B193">
        <v>3</v>
      </c>
      <c r="C193">
        <v>21.99</v>
      </c>
      <c r="D193">
        <v>52.48</v>
      </c>
      <c r="E193" s="1" t="s">
        <v>228</v>
      </c>
      <c r="F193" s="1" t="s">
        <v>40</v>
      </c>
      <c r="G193">
        <v>3</v>
      </c>
      <c r="H193" s="1" t="s">
        <v>41</v>
      </c>
      <c r="I193" s="1" t="s">
        <v>27</v>
      </c>
      <c r="J193">
        <v>7</v>
      </c>
      <c r="K193">
        <v>21.99</v>
      </c>
      <c r="L193" s="1" t="s">
        <v>28</v>
      </c>
      <c r="M193" s="1" t="s">
        <v>29</v>
      </c>
      <c r="N193" s="1" t="s">
        <v>30</v>
      </c>
      <c r="O193" s="1" t="s">
        <v>31</v>
      </c>
      <c r="P193" s="2">
        <v>45778</v>
      </c>
      <c r="Q193" s="1" t="s">
        <v>526</v>
      </c>
      <c r="R193" s="1" t="s">
        <v>527</v>
      </c>
      <c r="S193" s="1" t="s">
        <v>105</v>
      </c>
      <c r="T193" s="1" t="s">
        <v>35</v>
      </c>
      <c r="U193" s="1" t="s">
        <v>48</v>
      </c>
      <c r="V193" s="1" t="s">
        <v>37</v>
      </c>
      <c r="W193">
        <v>2</v>
      </c>
      <c r="X193" s="1">
        <f t="shared" si="4"/>
        <v>8551.6499999999451</v>
      </c>
      <c r="Y193" s="1">
        <f t="shared" si="5"/>
        <v>7682.919999999951</v>
      </c>
    </row>
    <row r="194" spans="1:25" x14ac:dyDescent="0.3">
      <c r="A194" s="1" t="s">
        <v>528</v>
      </c>
      <c r="B194">
        <v>1</v>
      </c>
      <c r="C194">
        <v>27.99</v>
      </c>
      <c r="D194">
        <v>27.99</v>
      </c>
      <c r="E194" s="1" t="s">
        <v>313</v>
      </c>
      <c r="F194" s="1" t="s">
        <v>40</v>
      </c>
      <c r="G194">
        <v>3</v>
      </c>
      <c r="H194" s="1" t="s">
        <v>58</v>
      </c>
      <c r="I194" s="1" t="s">
        <v>75</v>
      </c>
      <c r="J194">
        <v>9</v>
      </c>
      <c r="K194">
        <v>27.99</v>
      </c>
      <c r="L194" s="1" t="s">
        <v>28</v>
      </c>
      <c r="M194" s="1" t="s">
        <v>61</v>
      </c>
      <c r="N194" s="1" t="s">
        <v>62</v>
      </c>
      <c r="O194" s="1" t="s">
        <v>31</v>
      </c>
      <c r="P194" s="2">
        <v>45726</v>
      </c>
      <c r="Q194" s="1" t="s">
        <v>98</v>
      </c>
      <c r="R194" s="1" t="s">
        <v>99</v>
      </c>
      <c r="S194" s="1" t="s">
        <v>47</v>
      </c>
      <c r="T194" s="1" t="s">
        <v>35</v>
      </c>
      <c r="U194" s="1" t="s">
        <v>66</v>
      </c>
      <c r="V194" s="1" t="s">
        <v>37</v>
      </c>
      <c r="W194">
        <v>2</v>
      </c>
      <c r="X194" s="1">
        <f t="shared" ref="X194:X257" si="6">SUMIF(H:H,H194,K:K)</f>
        <v>8640.6199999999462</v>
      </c>
      <c r="Y194" s="1">
        <f t="shared" ref="Y194:Y257" si="7">SUMIF(U:U,U194,K:K)</f>
        <v>6397.4799999999632</v>
      </c>
    </row>
    <row r="195" spans="1:25" x14ac:dyDescent="0.3">
      <c r="A195" s="1" t="s">
        <v>529</v>
      </c>
      <c r="B195">
        <v>1</v>
      </c>
      <c r="C195">
        <v>18.989999999999998</v>
      </c>
      <c r="D195">
        <v>18.989999999999998</v>
      </c>
      <c r="E195" s="1" t="s">
        <v>248</v>
      </c>
      <c r="F195" s="1" t="s">
        <v>51</v>
      </c>
      <c r="G195">
        <v>0</v>
      </c>
      <c r="H195" s="1" t="s">
        <v>58</v>
      </c>
      <c r="I195" s="1" t="s">
        <v>97</v>
      </c>
      <c r="J195">
        <v>6</v>
      </c>
      <c r="K195">
        <v>18.989999999999998</v>
      </c>
      <c r="L195" s="1" t="s">
        <v>60</v>
      </c>
      <c r="M195" s="1" t="s">
        <v>43</v>
      </c>
      <c r="N195" s="1" t="s">
        <v>44</v>
      </c>
      <c r="O195" s="1" t="s">
        <v>31</v>
      </c>
      <c r="P195" s="2">
        <v>45823</v>
      </c>
      <c r="Q195" s="1" t="s">
        <v>530</v>
      </c>
      <c r="R195" s="1" t="s">
        <v>531</v>
      </c>
      <c r="S195" s="1" t="s">
        <v>47</v>
      </c>
      <c r="T195" s="1" t="s">
        <v>35</v>
      </c>
      <c r="U195" s="1" t="s">
        <v>82</v>
      </c>
      <c r="V195" s="1" t="s">
        <v>100</v>
      </c>
      <c r="W195">
        <v>3.2</v>
      </c>
      <c r="X195" s="1">
        <f t="shared" si="6"/>
        <v>8640.6199999999462</v>
      </c>
      <c r="Y195" s="1">
        <f t="shared" si="7"/>
        <v>7204.2099999999582</v>
      </c>
    </row>
    <row r="196" spans="1:25" x14ac:dyDescent="0.3">
      <c r="A196" s="1" t="s">
        <v>532</v>
      </c>
      <c r="B196">
        <v>2</v>
      </c>
      <c r="C196">
        <v>30.99</v>
      </c>
      <c r="D196">
        <v>53.78</v>
      </c>
      <c r="E196" s="1" t="s">
        <v>348</v>
      </c>
      <c r="F196" s="1" t="s">
        <v>51</v>
      </c>
      <c r="G196">
        <v>0</v>
      </c>
      <c r="H196" s="1" t="s">
        <v>26</v>
      </c>
      <c r="I196" s="1" t="s">
        <v>42</v>
      </c>
      <c r="J196">
        <v>10.5</v>
      </c>
      <c r="K196">
        <v>30.99</v>
      </c>
      <c r="L196" s="1" t="s">
        <v>28</v>
      </c>
      <c r="M196" s="1" t="s">
        <v>43</v>
      </c>
      <c r="N196" s="1" t="s">
        <v>44</v>
      </c>
      <c r="O196" s="1" t="s">
        <v>31</v>
      </c>
      <c r="P196" s="2">
        <v>45823</v>
      </c>
      <c r="Q196" s="1" t="s">
        <v>533</v>
      </c>
      <c r="R196" s="1" t="s">
        <v>534</v>
      </c>
      <c r="S196" s="1" t="s">
        <v>105</v>
      </c>
      <c r="T196" s="1" t="s">
        <v>35</v>
      </c>
      <c r="U196" s="1" t="s">
        <v>66</v>
      </c>
      <c r="V196" s="1" t="s">
        <v>37</v>
      </c>
      <c r="W196">
        <v>2</v>
      </c>
      <c r="X196" s="1">
        <f t="shared" si="6"/>
        <v>8313.6899999999459</v>
      </c>
      <c r="Y196" s="1">
        <f t="shared" si="7"/>
        <v>6397.4799999999632</v>
      </c>
    </row>
    <row r="197" spans="1:25" x14ac:dyDescent="0.3">
      <c r="A197" s="1" t="s">
        <v>535</v>
      </c>
      <c r="B197">
        <v>1</v>
      </c>
      <c r="C197">
        <v>16.989999999999998</v>
      </c>
      <c r="D197">
        <v>16.989999999999998</v>
      </c>
      <c r="E197" s="1" t="s">
        <v>536</v>
      </c>
      <c r="F197" s="1" t="s">
        <v>40</v>
      </c>
      <c r="G197">
        <v>15</v>
      </c>
      <c r="H197" s="1" t="s">
        <v>58</v>
      </c>
      <c r="I197" s="1" t="s">
        <v>59</v>
      </c>
      <c r="J197">
        <v>5</v>
      </c>
      <c r="K197">
        <v>16.989999999999998</v>
      </c>
      <c r="L197" s="1" t="s">
        <v>60</v>
      </c>
      <c r="M197" s="1" t="s">
        <v>61</v>
      </c>
      <c r="N197" s="1" t="s">
        <v>62</v>
      </c>
      <c r="O197" s="1" t="s">
        <v>31</v>
      </c>
      <c r="P197" s="2">
        <v>45726</v>
      </c>
      <c r="Q197" s="1" t="s">
        <v>406</v>
      </c>
      <c r="R197" s="1" t="s">
        <v>407</v>
      </c>
      <c r="S197" s="1" t="s">
        <v>65</v>
      </c>
      <c r="T197" s="1" t="s">
        <v>35</v>
      </c>
      <c r="U197" s="1" t="s">
        <v>55</v>
      </c>
      <c r="V197" s="1" t="s">
        <v>67</v>
      </c>
      <c r="W197">
        <v>3</v>
      </c>
      <c r="X197" s="1">
        <f t="shared" si="6"/>
        <v>8640.6199999999462</v>
      </c>
      <c r="Y197" s="1">
        <f t="shared" si="7"/>
        <v>5710.7699999999695</v>
      </c>
    </row>
    <row r="198" spans="1:25" x14ac:dyDescent="0.3">
      <c r="A198" s="1" t="s">
        <v>537</v>
      </c>
      <c r="B198">
        <v>1</v>
      </c>
      <c r="C198">
        <v>34.99</v>
      </c>
      <c r="D198">
        <v>34.99</v>
      </c>
      <c r="E198" s="1" t="s">
        <v>136</v>
      </c>
      <c r="F198" s="1" t="s">
        <v>40</v>
      </c>
      <c r="G198">
        <v>5</v>
      </c>
      <c r="H198" s="1" t="s">
        <v>26</v>
      </c>
      <c r="I198" s="1" t="s">
        <v>85</v>
      </c>
      <c r="J198">
        <v>12.5</v>
      </c>
      <c r="K198">
        <v>34.99</v>
      </c>
      <c r="L198" s="1" t="s">
        <v>60</v>
      </c>
      <c r="M198" s="1" t="s">
        <v>29</v>
      </c>
      <c r="N198" s="1" t="s">
        <v>30</v>
      </c>
      <c r="O198" s="1" t="s">
        <v>31</v>
      </c>
      <c r="P198" s="2">
        <v>45778</v>
      </c>
      <c r="Q198" s="1" t="s">
        <v>318</v>
      </c>
      <c r="R198" s="1" t="s">
        <v>538</v>
      </c>
      <c r="S198" s="1" t="s">
        <v>65</v>
      </c>
      <c r="T198" s="1" t="s">
        <v>35</v>
      </c>
      <c r="U198" s="1" t="s">
        <v>36</v>
      </c>
      <c r="V198" s="1" t="s">
        <v>89</v>
      </c>
      <c r="W198">
        <v>2.4</v>
      </c>
      <c r="X198" s="1">
        <f t="shared" si="6"/>
        <v>8313.6899999999459</v>
      </c>
      <c r="Y198" s="1">
        <f t="shared" si="7"/>
        <v>6355.4899999999634</v>
      </c>
    </row>
    <row r="199" spans="1:25" x14ac:dyDescent="0.3">
      <c r="A199" s="1" t="s">
        <v>539</v>
      </c>
      <c r="B199">
        <v>1</v>
      </c>
      <c r="C199">
        <v>16.989999999999998</v>
      </c>
      <c r="D199">
        <v>16.989999999999998</v>
      </c>
      <c r="E199" s="1" t="s">
        <v>452</v>
      </c>
      <c r="F199" s="1" t="s">
        <v>40</v>
      </c>
      <c r="G199">
        <v>22</v>
      </c>
      <c r="H199" s="1" t="s">
        <v>26</v>
      </c>
      <c r="I199" s="1" t="s">
        <v>59</v>
      </c>
      <c r="J199">
        <v>5</v>
      </c>
      <c r="K199">
        <v>16.989999999999998</v>
      </c>
      <c r="L199" s="1" t="s">
        <v>60</v>
      </c>
      <c r="M199" s="1" t="s">
        <v>61</v>
      </c>
      <c r="N199" s="1" t="s">
        <v>62</v>
      </c>
      <c r="O199" s="1" t="s">
        <v>31</v>
      </c>
      <c r="P199" s="2">
        <v>45726</v>
      </c>
      <c r="Q199" s="1" t="s">
        <v>165</v>
      </c>
      <c r="R199" s="1" t="s">
        <v>166</v>
      </c>
      <c r="S199" s="1" t="s">
        <v>88</v>
      </c>
      <c r="T199" s="1" t="s">
        <v>35</v>
      </c>
      <c r="U199" s="1" t="s">
        <v>66</v>
      </c>
      <c r="V199" s="1" t="s">
        <v>67</v>
      </c>
      <c r="W199">
        <v>3</v>
      </c>
      <c r="X199" s="1">
        <f t="shared" si="6"/>
        <v>8313.6899999999459</v>
      </c>
      <c r="Y199" s="1">
        <f t="shared" si="7"/>
        <v>6397.4799999999632</v>
      </c>
    </row>
    <row r="200" spans="1:25" x14ac:dyDescent="0.3">
      <c r="A200" s="1" t="s">
        <v>540</v>
      </c>
      <c r="B200">
        <v>1</v>
      </c>
      <c r="C200">
        <v>18.989999999999998</v>
      </c>
      <c r="D200">
        <v>18.989999999999998</v>
      </c>
      <c r="E200" s="1" t="s">
        <v>228</v>
      </c>
      <c r="F200" s="1" t="s">
        <v>188</v>
      </c>
      <c r="G200">
        <v>0</v>
      </c>
      <c r="H200" s="1" t="s">
        <v>41</v>
      </c>
      <c r="I200" s="1" t="s">
        <v>97</v>
      </c>
      <c r="J200">
        <v>6</v>
      </c>
      <c r="K200">
        <v>18.989999999999998</v>
      </c>
      <c r="L200" s="1" t="s">
        <v>60</v>
      </c>
      <c r="M200" s="1" t="s">
        <v>43</v>
      </c>
      <c r="N200" s="1" t="s">
        <v>44</v>
      </c>
      <c r="O200" s="1" t="s">
        <v>31</v>
      </c>
      <c r="P200" s="2">
        <v>45823</v>
      </c>
      <c r="Q200" s="1" t="s">
        <v>409</v>
      </c>
      <c r="R200" s="1" t="s">
        <v>410</v>
      </c>
      <c r="S200" s="1" t="s">
        <v>411</v>
      </c>
      <c r="T200" s="1" t="s">
        <v>35</v>
      </c>
      <c r="U200" s="1" t="s">
        <v>48</v>
      </c>
      <c r="V200" s="1" t="s">
        <v>100</v>
      </c>
      <c r="W200">
        <v>3.2</v>
      </c>
      <c r="X200" s="1">
        <f t="shared" si="6"/>
        <v>8551.6499999999451</v>
      </c>
      <c r="Y200" s="1">
        <f t="shared" si="7"/>
        <v>7682.919999999951</v>
      </c>
    </row>
    <row r="201" spans="1:25" x14ac:dyDescent="0.3">
      <c r="A201" s="1" t="s">
        <v>541</v>
      </c>
      <c r="B201">
        <v>1</v>
      </c>
      <c r="C201">
        <v>30.99</v>
      </c>
      <c r="D201">
        <v>30.99</v>
      </c>
      <c r="E201" s="1" t="s">
        <v>50</v>
      </c>
      <c r="F201" s="1" t="s">
        <v>51</v>
      </c>
      <c r="G201">
        <v>0</v>
      </c>
      <c r="H201" s="1" t="s">
        <v>58</v>
      </c>
      <c r="I201" s="1" t="s">
        <v>42</v>
      </c>
      <c r="J201">
        <v>10.5</v>
      </c>
      <c r="K201">
        <v>30.99</v>
      </c>
      <c r="L201" s="1" t="s">
        <v>28</v>
      </c>
      <c r="M201" s="1" t="s">
        <v>43</v>
      </c>
      <c r="N201" s="1" t="s">
        <v>44</v>
      </c>
      <c r="O201" s="1" t="s">
        <v>31</v>
      </c>
      <c r="P201" s="2">
        <v>45823</v>
      </c>
      <c r="Q201" s="1" t="s">
        <v>63</v>
      </c>
      <c r="R201" s="1" t="s">
        <v>371</v>
      </c>
      <c r="S201" s="1" t="s">
        <v>88</v>
      </c>
      <c r="T201" s="1" t="s">
        <v>35</v>
      </c>
      <c r="U201" s="1" t="s">
        <v>36</v>
      </c>
      <c r="V201" s="1" t="s">
        <v>37</v>
      </c>
      <c r="W201">
        <v>2</v>
      </c>
      <c r="X201" s="1">
        <f t="shared" si="6"/>
        <v>8640.6199999999462</v>
      </c>
      <c r="Y201" s="1">
        <f t="shared" si="7"/>
        <v>6355.4899999999634</v>
      </c>
    </row>
    <row r="202" spans="1:25" x14ac:dyDescent="0.3">
      <c r="A202" s="1" t="s">
        <v>542</v>
      </c>
      <c r="B202">
        <v>2</v>
      </c>
      <c r="C202">
        <v>16.989999999999998</v>
      </c>
      <c r="D202">
        <v>29.18</v>
      </c>
      <c r="E202" s="1" t="s">
        <v>128</v>
      </c>
      <c r="F202" s="1" t="s">
        <v>188</v>
      </c>
      <c r="G202">
        <v>0</v>
      </c>
      <c r="H202" s="1" t="s">
        <v>96</v>
      </c>
      <c r="I202" s="1" t="s">
        <v>59</v>
      </c>
      <c r="J202">
        <v>5</v>
      </c>
      <c r="K202">
        <v>16.989999999999998</v>
      </c>
      <c r="L202" s="1" t="s">
        <v>60</v>
      </c>
      <c r="M202" s="1" t="s">
        <v>61</v>
      </c>
      <c r="N202" s="1" t="s">
        <v>62</v>
      </c>
      <c r="O202" s="1" t="s">
        <v>31</v>
      </c>
      <c r="P202" s="2">
        <v>45726</v>
      </c>
      <c r="Q202" s="1" t="s">
        <v>339</v>
      </c>
      <c r="R202" s="1" t="s">
        <v>340</v>
      </c>
      <c r="S202" s="1" t="s">
        <v>65</v>
      </c>
      <c r="T202" s="1" t="s">
        <v>35</v>
      </c>
      <c r="U202" s="1" t="s">
        <v>66</v>
      </c>
      <c r="V202" s="1" t="s">
        <v>67</v>
      </c>
      <c r="W202">
        <v>3</v>
      </c>
      <c r="X202" s="1">
        <f t="shared" si="6"/>
        <v>7844.9099999999507</v>
      </c>
      <c r="Y202" s="1">
        <f t="shared" si="7"/>
        <v>6397.4799999999632</v>
      </c>
    </row>
    <row r="203" spans="1:25" x14ac:dyDescent="0.3">
      <c r="A203" s="1" t="s">
        <v>543</v>
      </c>
      <c r="B203">
        <v>1</v>
      </c>
      <c r="C203">
        <v>18.989999999999998</v>
      </c>
      <c r="D203">
        <v>18.989999999999998</v>
      </c>
      <c r="E203" s="1" t="s">
        <v>146</v>
      </c>
      <c r="F203" s="1" t="s">
        <v>70</v>
      </c>
      <c r="G203">
        <v>0</v>
      </c>
      <c r="H203" s="1" t="s">
        <v>96</v>
      </c>
      <c r="I203" s="1" t="s">
        <v>97</v>
      </c>
      <c r="J203">
        <v>6</v>
      </c>
      <c r="K203">
        <v>18.989999999999998</v>
      </c>
      <c r="L203" s="1" t="s">
        <v>60</v>
      </c>
      <c r="M203" s="1" t="s">
        <v>43</v>
      </c>
      <c r="N203" s="1" t="s">
        <v>44</v>
      </c>
      <c r="O203" s="1" t="s">
        <v>31</v>
      </c>
      <c r="P203" s="2">
        <v>45823</v>
      </c>
      <c r="Q203" s="1" t="s">
        <v>544</v>
      </c>
      <c r="R203" s="1" t="s">
        <v>545</v>
      </c>
      <c r="S203" s="1" t="s">
        <v>411</v>
      </c>
      <c r="T203" s="1" t="s">
        <v>35</v>
      </c>
      <c r="U203" s="1" t="s">
        <v>66</v>
      </c>
      <c r="V203" s="1" t="s">
        <v>100</v>
      </c>
      <c r="W203">
        <v>3.2</v>
      </c>
      <c r="X203" s="1">
        <f t="shared" si="6"/>
        <v>7844.9099999999507</v>
      </c>
      <c r="Y203" s="1">
        <f t="shared" si="7"/>
        <v>6397.4799999999632</v>
      </c>
    </row>
    <row r="204" spans="1:25" x14ac:dyDescent="0.3">
      <c r="A204" s="1" t="s">
        <v>546</v>
      </c>
      <c r="B204">
        <v>1</v>
      </c>
      <c r="C204">
        <v>16.989999999999998</v>
      </c>
      <c r="D204">
        <v>16.989999999999998</v>
      </c>
      <c r="E204" s="1" t="s">
        <v>197</v>
      </c>
      <c r="F204" s="1" t="s">
        <v>188</v>
      </c>
      <c r="G204">
        <v>0</v>
      </c>
      <c r="H204" s="1" t="s">
        <v>26</v>
      </c>
      <c r="I204" s="1" t="s">
        <v>59</v>
      </c>
      <c r="J204">
        <v>5</v>
      </c>
      <c r="K204">
        <v>16.989999999999998</v>
      </c>
      <c r="L204" s="1" t="s">
        <v>60</v>
      </c>
      <c r="M204" s="1" t="s">
        <v>61</v>
      </c>
      <c r="N204" s="1" t="s">
        <v>62</v>
      </c>
      <c r="O204" s="1" t="s">
        <v>31</v>
      </c>
      <c r="P204" s="2">
        <v>45726</v>
      </c>
      <c r="Q204" s="1" t="s">
        <v>45</v>
      </c>
      <c r="R204" s="1" t="s">
        <v>513</v>
      </c>
      <c r="S204" s="1" t="s">
        <v>54</v>
      </c>
      <c r="T204" s="1" t="s">
        <v>35</v>
      </c>
      <c r="U204" s="1" t="s">
        <v>48</v>
      </c>
      <c r="V204" s="1" t="s">
        <v>67</v>
      </c>
      <c r="W204">
        <v>3</v>
      </c>
      <c r="X204" s="1">
        <f t="shared" si="6"/>
        <v>8313.6899999999459</v>
      </c>
      <c r="Y204" s="1">
        <f t="shared" si="7"/>
        <v>7682.919999999951</v>
      </c>
    </row>
    <row r="205" spans="1:25" x14ac:dyDescent="0.3">
      <c r="A205" s="1" t="s">
        <v>547</v>
      </c>
      <c r="B205">
        <v>2</v>
      </c>
      <c r="C205">
        <v>34.99</v>
      </c>
      <c r="D205">
        <v>60.98</v>
      </c>
      <c r="E205" s="1" t="s">
        <v>338</v>
      </c>
      <c r="F205" s="1" t="s">
        <v>40</v>
      </c>
      <c r="G205">
        <v>8</v>
      </c>
      <c r="H205" s="1" t="s">
        <v>96</v>
      </c>
      <c r="I205" s="1" t="s">
        <v>85</v>
      </c>
      <c r="J205">
        <v>12.5</v>
      </c>
      <c r="K205">
        <v>34.99</v>
      </c>
      <c r="L205" s="1" t="s">
        <v>60</v>
      </c>
      <c r="M205" s="1" t="s">
        <v>29</v>
      </c>
      <c r="N205" s="1" t="s">
        <v>30</v>
      </c>
      <c r="O205" s="1" t="s">
        <v>31</v>
      </c>
      <c r="P205" s="2">
        <v>45778</v>
      </c>
      <c r="Q205" s="1" t="s">
        <v>339</v>
      </c>
      <c r="R205" s="1" t="s">
        <v>340</v>
      </c>
      <c r="S205" s="1" t="s">
        <v>65</v>
      </c>
      <c r="T205" s="1" t="s">
        <v>35</v>
      </c>
      <c r="U205" s="1" t="s">
        <v>66</v>
      </c>
      <c r="V205" s="1" t="s">
        <v>89</v>
      </c>
      <c r="W205">
        <v>2.4</v>
      </c>
      <c r="X205" s="1">
        <f t="shared" si="6"/>
        <v>7844.9099999999507</v>
      </c>
      <c r="Y205" s="1">
        <f t="shared" si="7"/>
        <v>6397.4799999999632</v>
      </c>
    </row>
    <row r="206" spans="1:25" x14ac:dyDescent="0.3">
      <c r="A206" s="1" t="s">
        <v>548</v>
      </c>
      <c r="B206">
        <v>2</v>
      </c>
      <c r="C206">
        <v>34.99</v>
      </c>
      <c r="D206">
        <v>60.98</v>
      </c>
      <c r="E206" s="1" t="s">
        <v>549</v>
      </c>
      <c r="F206" s="1" t="s">
        <v>40</v>
      </c>
      <c r="G206">
        <v>8</v>
      </c>
      <c r="H206" s="1" t="s">
        <v>96</v>
      </c>
      <c r="I206" s="1" t="s">
        <v>85</v>
      </c>
      <c r="J206">
        <v>12.5</v>
      </c>
      <c r="K206">
        <v>34.99</v>
      </c>
      <c r="L206" s="1" t="s">
        <v>60</v>
      </c>
      <c r="M206" s="1" t="s">
        <v>29</v>
      </c>
      <c r="N206" s="1" t="s">
        <v>30</v>
      </c>
      <c r="O206" s="1" t="s">
        <v>31</v>
      </c>
      <c r="P206" s="2">
        <v>45778</v>
      </c>
      <c r="Q206" s="1" t="s">
        <v>308</v>
      </c>
      <c r="R206" s="1" t="s">
        <v>309</v>
      </c>
      <c r="S206" s="1" t="s">
        <v>47</v>
      </c>
      <c r="T206" s="1" t="s">
        <v>35</v>
      </c>
      <c r="U206" s="1" t="s">
        <v>82</v>
      </c>
      <c r="V206" s="1" t="s">
        <v>89</v>
      </c>
      <c r="W206">
        <v>2.4</v>
      </c>
      <c r="X206" s="1">
        <f t="shared" si="6"/>
        <v>7844.9099999999507</v>
      </c>
      <c r="Y206" s="1">
        <f t="shared" si="7"/>
        <v>7204.2099999999582</v>
      </c>
    </row>
    <row r="207" spans="1:25" x14ac:dyDescent="0.3">
      <c r="A207" s="1" t="s">
        <v>550</v>
      </c>
      <c r="B207">
        <v>1</v>
      </c>
      <c r="C207">
        <v>18.989999999999998</v>
      </c>
      <c r="D207">
        <v>18.989999999999998</v>
      </c>
      <c r="E207" s="1" t="s">
        <v>274</v>
      </c>
      <c r="F207" s="1" t="s">
        <v>40</v>
      </c>
      <c r="G207">
        <v>11</v>
      </c>
      <c r="H207" s="1" t="s">
        <v>58</v>
      </c>
      <c r="I207" s="1" t="s">
        <v>97</v>
      </c>
      <c r="J207">
        <v>6</v>
      </c>
      <c r="K207">
        <v>18.989999999999998</v>
      </c>
      <c r="L207" s="1" t="s">
        <v>60</v>
      </c>
      <c r="M207" s="1" t="s">
        <v>43</v>
      </c>
      <c r="N207" s="1" t="s">
        <v>44</v>
      </c>
      <c r="O207" s="1" t="s">
        <v>31</v>
      </c>
      <c r="P207" s="2">
        <v>45823</v>
      </c>
      <c r="Q207" s="1" t="s">
        <v>376</v>
      </c>
      <c r="R207" s="1" t="s">
        <v>551</v>
      </c>
      <c r="S207" s="1" t="s">
        <v>34</v>
      </c>
      <c r="T207" s="1" t="s">
        <v>35</v>
      </c>
      <c r="U207" s="1" t="s">
        <v>82</v>
      </c>
      <c r="V207" s="1" t="s">
        <v>100</v>
      </c>
      <c r="W207">
        <v>3.2</v>
      </c>
      <c r="X207" s="1">
        <f t="shared" si="6"/>
        <v>8640.6199999999462</v>
      </c>
      <c r="Y207" s="1">
        <f t="shared" si="7"/>
        <v>7204.2099999999582</v>
      </c>
    </row>
    <row r="208" spans="1:25" x14ac:dyDescent="0.3">
      <c r="A208" s="1" t="s">
        <v>552</v>
      </c>
      <c r="B208">
        <v>1</v>
      </c>
      <c r="C208">
        <v>27.99</v>
      </c>
      <c r="D208">
        <v>27.99</v>
      </c>
      <c r="E208" s="1" t="s">
        <v>214</v>
      </c>
      <c r="F208" s="1" t="s">
        <v>70</v>
      </c>
      <c r="G208">
        <v>0</v>
      </c>
      <c r="H208" s="1" t="s">
        <v>41</v>
      </c>
      <c r="I208" s="1" t="s">
        <v>75</v>
      </c>
      <c r="J208">
        <v>9</v>
      </c>
      <c r="K208">
        <v>27.99</v>
      </c>
      <c r="L208" s="1" t="s">
        <v>28</v>
      </c>
      <c r="M208" s="1" t="s">
        <v>61</v>
      </c>
      <c r="N208" s="1" t="s">
        <v>62</v>
      </c>
      <c r="O208" s="1" t="s">
        <v>31</v>
      </c>
      <c r="P208" s="2">
        <v>45726</v>
      </c>
      <c r="Q208" s="1" t="s">
        <v>553</v>
      </c>
      <c r="R208" s="1" t="s">
        <v>554</v>
      </c>
      <c r="S208" s="1" t="s">
        <v>105</v>
      </c>
      <c r="T208" s="1" t="s">
        <v>35</v>
      </c>
      <c r="U208" s="1" t="s">
        <v>36</v>
      </c>
      <c r="V208" s="1" t="s">
        <v>37</v>
      </c>
      <c r="W208">
        <v>2</v>
      </c>
      <c r="X208" s="1">
        <f t="shared" si="6"/>
        <v>8551.6499999999451</v>
      </c>
      <c r="Y208" s="1">
        <f t="shared" si="7"/>
        <v>6355.4899999999634</v>
      </c>
    </row>
    <row r="209" spans="1:25" x14ac:dyDescent="0.3">
      <c r="A209" s="1" t="s">
        <v>555</v>
      </c>
      <c r="B209">
        <v>1</v>
      </c>
      <c r="C209">
        <v>21.99</v>
      </c>
      <c r="D209">
        <v>21.99</v>
      </c>
      <c r="E209" s="1" t="s">
        <v>113</v>
      </c>
      <c r="F209" s="1" t="s">
        <v>188</v>
      </c>
      <c r="G209">
        <v>0</v>
      </c>
      <c r="H209" s="1" t="s">
        <v>96</v>
      </c>
      <c r="I209" s="1" t="s">
        <v>27</v>
      </c>
      <c r="J209">
        <v>7</v>
      </c>
      <c r="K209">
        <v>21.99</v>
      </c>
      <c r="L209" s="1" t="s">
        <v>28</v>
      </c>
      <c r="M209" s="1" t="s">
        <v>29</v>
      </c>
      <c r="N209" s="1" t="s">
        <v>30</v>
      </c>
      <c r="O209" s="1" t="s">
        <v>31</v>
      </c>
      <c r="P209" s="2">
        <v>45778</v>
      </c>
      <c r="Q209" s="1" t="s">
        <v>234</v>
      </c>
      <c r="R209" s="1" t="s">
        <v>556</v>
      </c>
      <c r="S209" s="1" t="s">
        <v>88</v>
      </c>
      <c r="T209" s="1" t="s">
        <v>35</v>
      </c>
      <c r="U209" s="1" t="s">
        <v>48</v>
      </c>
      <c r="V209" s="1" t="s">
        <v>37</v>
      </c>
      <c r="W209">
        <v>2</v>
      </c>
      <c r="X209" s="1">
        <f t="shared" si="6"/>
        <v>7844.9099999999507</v>
      </c>
      <c r="Y209" s="1">
        <f t="shared" si="7"/>
        <v>7682.919999999951</v>
      </c>
    </row>
    <row r="210" spans="1:25" x14ac:dyDescent="0.3">
      <c r="A210" s="1" t="s">
        <v>557</v>
      </c>
      <c r="B210">
        <v>1</v>
      </c>
      <c r="C210">
        <v>18.989999999999998</v>
      </c>
      <c r="D210">
        <v>18.989999999999998</v>
      </c>
      <c r="E210" s="1" t="s">
        <v>228</v>
      </c>
      <c r="F210" s="1" t="s">
        <v>40</v>
      </c>
      <c r="G210">
        <v>10</v>
      </c>
      <c r="H210" s="1" t="s">
        <v>96</v>
      </c>
      <c r="I210" s="1" t="s">
        <v>97</v>
      </c>
      <c r="J210">
        <v>6</v>
      </c>
      <c r="K210">
        <v>18.989999999999998</v>
      </c>
      <c r="L210" s="1" t="s">
        <v>60</v>
      </c>
      <c r="M210" s="1" t="s">
        <v>43</v>
      </c>
      <c r="N210" s="1" t="s">
        <v>44</v>
      </c>
      <c r="O210" s="1" t="s">
        <v>31</v>
      </c>
      <c r="P210" s="2">
        <v>45823</v>
      </c>
      <c r="Q210" s="1" t="s">
        <v>518</v>
      </c>
      <c r="R210" s="1" t="s">
        <v>519</v>
      </c>
      <c r="S210" s="1" t="s">
        <v>54</v>
      </c>
      <c r="T210" s="1" t="s">
        <v>35</v>
      </c>
      <c r="U210" s="1" t="s">
        <v>55</v>
      </c>
      <c r="V210" s="1" t="s">
        <v>100</v>
      </c>
      <c r="W210">
        <v>3.2</v>
      </c>
      <c r="X210" s="1">
        <f t="shared" si="6"/>
        <v>7844.9099999999507</v>
      </c>
      <c r="Y210" s="1">
        <f t="shared" si="7"/>
        <v>5710.7699999999695</v>
      </c>
    </row>
    <row r="211" spans="1:25" x14ac:dyDescent="0.3">
      <c r="A211" s="1" t="s">
        <v>558</v>
      </c>
      <c r="B211">
        <v>1</v>
      </c>
      <c r="C211">
        <v>27.99</v>
      </c>
      <c r="D211">
        <v>27.99</v>
      </c>
      <c r="E211" s="1" t="s">
        <v>272</v>
      </c>
      <c r="F211" s="1" t="s">
        <v>51</v>
      </c>
      <c r="G211">
        <v>0</v>
      </c>
      <c r="H211" s="1" t="s">
        <v>96</v>
      </c>
      <c r="I211" s="1" t="s">
        <v>75</v>
      </c>
      <c r="J211">
        <v>9</v>
      </c>
      <c r="K211">
        <v>27.99</v>
      </c>
      <c r="L211" s="1" t="s">
        <v>28</v>
      </c>
      <c r="M211" s="1" t="s">
        <v>61</v>
      </c>
      <c r="N211" s="1" t="s">
        <v>62</v>
      </c>
      <c r="O211" s="1" t="s">
        <v>31</v>
      </c>
      <c r="P211" s="2">
        <v>45726</v>
      </c>
      <c r="Q211" s="1" t="s">
        <v>379</v>
      </c>
      <c r="R211" s="1" t="s">
        <v>380</v>
      </c>
      <c r="S211" s="1" t="s">
        <v>34</v>
      </c>
      <c r="T211" s="1" t="s">
        <v>35</v>
      </c>
      <c r="U211" s="1" t="s">
        <v>55</v>
      </c>
      <c r="V211" s="1" t="s">
        <v>37</v>
      </c>
      <c r="W211">
        <v>2</v>
      </c>
      <c r="X211" s="1">
        <f t="shared" si="6"/>
        <v>7844.9099999999507</v>
      </c>
      <c r="Y211" s="1">
        <f t="shared" si="7"/>
        <v>5710.7699999999695</v>
      </c>
    </row>
    <row r="212" spans="1:25" x14ac:dyDescent="0.3">
      <c r="A212" s="1" t="s">
        <v>559</v>
      </c>
      <c r="B212">
        <v>3</v>
      </c>
      <c r="C212">
        <v>21.99</v>
      </c>
      <c r="D212">
        <v>52.48</v>
      </c>
      <c r="E212" s="1" t="s">
        <v>160</v>
      </c>
      <c r="F212" s="1" t="s">
        <v>51</v>
      </c>
      <c r="G212">
        <v>0</v>
      </c>
      <c r="H212" s="1" t="s">
        <v>26</v>
      </c>
      <c r="I212" s="1" t="s">
        <v>27</v>
      </c>
      <c r="J212">
        <v>7</v>
      </c>
      <c r="K212">
        <v>21.99</v>
      </c>
      <c r="L212" s="1" t="s">
        <v>28</v>
      </c>
      <c r="M212" s="1" t="s">
        <v>29</v>
      </c>
      <c r="N212" s="1" t="s">
        <v>30</v>
      </c>
      <c r="O212" s="1" t="s">
        <v>31</v>
      </c>
      <c r="P212" s="2">
        <v>45778</v>
      </c>
      <c r="Q212" s="1" t="s">
        <v>318</v>
      </c>
      <c r="R212" s="1" t="s">
        <v>319</v>
      </c>
      <c r="S212" s="1" t="s">
        <v>54</v>
      </c>
      <c r="T212" s="1" t="s">
        <v>35</v>
      </c>
      <c r="U212" s="1" t="s">
        <v>55</v>
      </c>
      <c r="V212" s="1" t="s">
        <v>37</v>
      </c>
      <c r="W212">
        <v>2</v>
      </c>
      <c r="X212" s="1">
        <f t="shared" si="6"/>
        <v>8313.6899999999459</v>
      </c>
      <c r="Y212" s="1">
        <f t="shared" si="7"/>
        <v>5710.7699999999695</v>
      </c>
    </row>
    <row r="213" spans="1:25" x14ac:dyDescent="0.3">
      <c r="A213" s="1" t="s">
        <v>560</v>
      </c>
      <c r="B213">
        <v>1</v>
      </c>
      <c r="C213">
        <v>34.99</v>
      </c>
      <c r="D213">
        <v>34.99</v>
      </c>
      <c r="E213" s="1" t="s">
        <v>561</v>
      </c>
      <c r="F213" s="1" t="s">
        <v>40</v>
      </c>
      <c r="G213">
        <v>5</v>
      </c>
      <c r="H213" s="1" t="s">
        <v>26</v>
      </c>
      <c r="I213" s="1" t="s">
        <v>85</v>
      </c>
      <c r="J213">
        <v>12.5</v>
      </c>
      <c r="K213">
        <v>34.99</v>
      </c>
      <c r="L213" s="1" t="s">
        <v>60</v>
      </c>
      <c r="M213" s="1" t="s">
        <v>29</v>
      </c>
      <c r="N213" s="1" t="s">
        <v>30</v>
      </c>
      <c r="O213" s="1" t="s">
        <v>31</v>
      </c>
      <c r="P213" s="2">
        <v>45778</v>
      </c>
      <c r="Q213" s="1" t="s">
        <v>165</v>
      </c>
      <c r="R213" s="1" t="s">
        <v>562</v>
      </c>
      <c r="S213" s="1" t="s">
        <v>34</v>
      </c>
      <c r="T213" s="1" t="s">
        <v>35</v>
      </c>
      <c r="U213" s="1" t="s">
        <v>48</v>
      </c>
      <c r="V213" s="1" t="s">
        <v>89</v>
      </c>
      <c r="W213">
        <v>2.4</v>
      </c>
      <c r="X213" s="1">
        <f t="shared" si="6"/>
        <v>8313.6899999999459</v>
      </c>
      <c r="Y213" s="1">
        <f t="shared" si="7"/>
        <v>7682.919999999951</v>
      </c>
    </row>
    <row r="214" spans="1:25" x14ac:dyDescent="0.3">
      <c r="A214" s="1" t="s">
        <v>563</v>
      </c>
      <c r="B214">
        <v>1</v>
      </c>
      <c r="C214">
        <v>30.99</v>
      </c>
      <c r="D214">
        <v>30.99</v>
      </c>
      <c r="E214" s="1" t="s">
        <v>146</v>
      </c>
      <c r="F214" s="1" t="s">
        <v>70</v>
      </c>
      <c r="G214">
        <v>0</v>
      </c>
      <c r="H214" s="1" t="s">
        <v>26</v>
      </c>
      <c r="I214" s="1" t="s">
        <v>42</v>
      </c>
      <c r="J214">
        <v>10.5</v>
      </c>
      <c r="K214">
        <v>30.99</v>
      </c>
      <c r="L214" s="1" t="s">
        <v>28</v>
      </c>
      <c r="M214" s="1" t="s">
        <v>43</v>
      </c>
      <c r="N214" s="1" t="s">
        <v>44</v>
      </c>
      <c r="O214" s="1" t="s">
        <v>31</v>
      </c>
      <c r="P214" s="2">
        <v>45823</v>
      </c>
      <c r="Q214" s="1" t="s">
        <v>32</v>
      </c>
      <c r="R214" s="1" t="s">
        <v>33</v>
      </c>
      <c r="S214" s="1" t="s">
        <v>34</v>
      </c>
      <c r="T214" s="1" t="s">
        <v>35</v>
      </c>
      <c r="U214" s="1" t="s">
        <v>36</v>
      </c>
      <c r="V214" s="1" t="s">
        <v>37</v>
      </c>
      <c r="W214">
        <v>2</v>
      </c>
      <c r="X214" s="1">
        <f t="shared" si="6"/>
        <v>8313.6899999999459</v>
      </c>
      <c r="Y214" s="1">
        <f t="shared" si="7"/>
        <v>6355.4899999999634</v>
      </c>
    </row>
    <row r="215" spans="1:25" x14ac:dyDescent="0.3">
      <c r="A215" s="1" t="s">
        <v>564</v>
      </c>
      <c r="B215">
        <v>2</v>
      </c>
      <c r="C215">
        <v>18.989999999999998</v>
      </c>
      <c r="D215">
        <v>32.78</v>
      </c>
      <c r="E215" s="1" t="s">
        <v>313</v>
      </c>
      <c r="F215" s="1" t="s">
        <v>51</v>
      </c>
      <c r="G215">
        <v>0</v>
      </c>
      <c r="H215" s="1" t="s">
        <v>26</v>
      </c>
      <c r="I215" s="1" t="s">
        <v>97</v>
      </c>
      <c r="J215">
        <v>6</v>
      </c>
      <c r="K215">
        <v>18.989999999999998</v>
      </c>
      <c r="L215" s="1" t="s">
        <v>60</v>
      </c>
      <c r="M215" s="1" t="s">
        <v>43</v>
      </c>
      <c r="N215" s="1" t="s">
        <v>44</v>
      </c>
      <c r="O215" s="1" t="s">
        <v>31</v>
      </c>
      <c r="P215" s="2">
        <v>45823</v>
      </c>
      <c r="Q215" s="1" t="s">
        <v>553</v>
      </c>
      <c r="R215" s="1" t="s">
        <v>554</v>
      </c>
      <c r="S215" s="1" t="s">
        <v>105</v>
      </c>
      <c r="T215" s="1" t="s">
        <v>35</v>
      </c>
      <c r="U215" s="1" t="s">
        <v>36</v>
      </c>
      <c r="V215" s="1" t="s">
        <v>100</v>
      </c>
      <c r="W215">
        <v>3.2</v>
      </c>
      <c r="X215" s="1">
        <f t="shared" si="6"/>
        <v>8313.6899999999459</v>
      </c>
      <c r="Y215" s="1">
        <f t="shared" si="7"/>
        <v>6355.4899999999634</v>
      </c>
    </row>
    <row r="216" spans="1:25" x14ac:dyDescent="0.3">
      <c r="A216" s="1" t="s">
        <v>565</v>
      </c>
      <c r="B216">
        <v>1</v>
      </c>
      <c r="C216">
        <v>30.99</v>
      </c>
      <c r="D216">
        <v>30.99</v>
      </c>
      <c r="E216" s="1" t="s">
        <v>50</v>
      </c>
      <c r="F216" s="1" t="s">
        <v>70</v>
      </c>
      <c r="G216">
        <v>0</v>
      </c>
      <c r="H216" s="1" t="s">
        <v>26</v>
      </c>
      <c r="I216" s="1" t="s">
        <v>42</v>
      </c>
      <c r="J216">
        <v>10.5</v>
      </c>
      <c r="K216">
        <v>30.99</v>
      </c>
      <c r="L216" s="1" t="s">
        <v>28</v>
      </c>
      <c r="M216" s="1" t="s">
        <v>43</v>
      </c>
      <c r="N216" s="1" t="s">
        <v>44</v>
      </c>
      <c r="O216" s="1" t="s">
        <v>31</v>
      </c>
      <c r="P216" s="2">
        <v>45823</v>
      </c>
      <c r="Q216" s="1" t="s">
        <v>249</v>
      </c>
      <c r="R216" s="1" t="s">
        <v>250</v>
      </c>
      <c r="S216" s="1" t="s">
        <v>47</v>
      </c>
      <c r="T216" s="1" t="s">
        <v>35</v>
      </c>
      <c r="U216" s="1" t="s">
        <v>82</v>
      </c>
      <c r="V216" s="1" t="s">
        <v>37</v>
      </c>
      <c r="W216">
        <v>2</v>
      </c>
      <c r="X216" s="1">
        <f t="shared" si="6"/>
        <v>8313.6899999999459</v>
      </c>
      <c r="Y216" s="1">
        <f t="shared" si="7"/>
        <v>7204.2099999999582</v>
      </c>
    </row>
    <row r="217" spans="1:25" x14ac:dyDescent="0.3">
      <c r="A217" s="1" t="s">
        <v>566</v>
      </c>
      <c r="B217">
        <v>3</v>
      </c>
      <c r="C217">
        <v>30.99</v>
      </c>
      <c r="D217">
        <v>74.53</v>
      </c>
      <c r="E217" s="1" t="s">
        <v>69</v>
      </c>
      <c r="F217" s="1" t="s">
        <v>51</v>
      </c>
      <c r="G217">
        <v>0</v>
      </c>
      <c r="H217" s="1" t="s">
        <v>26</v>
      </c>
      <c r="I217" s="1" t="s">
        <v>42</v>
      </c>
      <c r="J217">
        <v>10.5</v>
      </c>
      <c r="K217">
        <v>30.99</v>
      </c>
      <c r="L217" s="1" t="s">
        <v>28</v>
      </c>
      <c r="M217" s="1" t="s">
        <v>43</v>
      </c>
      <c r="N217" s="1" t="s">
        <v>44</v>
      </c>
      <c r="O217" s="1" t="s">
        <v>31</v>
      </c>
      <c r="P217" s="2">
        <v>45823</v>
      </c>
      <c r="Q217" s="1" t="s">
        <v>425</v>
      </c>
      <c r="R217" s="1" t="s">
        <v>426</v>
      </c>
      <c r="S217" s="1" t="s">
        <v>47</v>
      </c>
      <c r="T217" s="1" t="s">
        <v>35</v>
      </c>
      <c r="U217" s="1" t="s">
        <v>55</v>
      </c>
      <c r="V217" s="1" t="s">
        <v>37</v>
      </c>
      <c r="W217">
        <v>2</v>
      </c>
      <c r="X217" s="1">
        <f t="shared" si="6"/>
        <v>8313.6899999999459</v>
      </c>
      <c r="Y217" s="1">
        <f t="shared" si="7"/>
        <v>5710.7699999999695</v>
      </c>
    </row>
    <row r="218" spans="1:25" x14ac:dyDescent="0.3">
      <c r="A218" s="1" t="s">
        <v>567</v>
      </c>
      <c r="B218">
        <v>3</v>
      </c>
      <c r="C218">
        <v>21.99</v>
      </c>
      <c r="D218">
        <v>52.48</v>
      </c>
      <c r="E218" s="1" t="s">
        <v>181</v>
      </c>
      <c r="F218" s="1" t="s">
        <v>40</v>
      </c>
      <c r="G218">
        <v>3</v>
      </c>
      <c r="H218" s="1" t="s">
        <v>96</v>
      </c>
      <c r="I218" s="1" t="s">
        <v>27</v>
      </c>
      <c r="J218">
        <v>7</v>
      </c>
      <c r="K218">
        <v>21.99</v>
      </c>
      <c r="L218" s="1" t="s">
        <v>28</v>
      </c>
      <c r="M218" s="1" t="s">
        <v>29</v>
      </c>
      <c r="N218" s="1" t="s">
        <v>30</v>
      </c>
      <c r="O218" s="1" t="s">
        <v>31</v>
      </c>
      <c r="P218" s="2">
        <v>45778</v>
      </c>
      <c r="Q218" s="1" t="s">
        <v>98</v>
      </c>
      <c r="R218" s="1" t="s">
        <v>99</v>
      </c>
      <c r="S218" s="1" t="s">
        <v>47</v>
      </c>
      <c r="T218" s="1" t="s">
        <v>35</v>
      </c>
      <c r="U218" s="1" t="s">
        <v>66</v>
      </c>
      <c r="V218" s="1" t="s">
        <v>37</v>
      </c>
      <c r="W218">
        <v>2</v>
      </c>
      <c r="X218" s="1">
        <f t="shared" si="6"/>
        <v>7844.9099999999507</v>
      </c>
      <c r="Y218" s="1">
        <f t="shared" si="7"/>
        <v>6397.4799999999632</v>
      </c>
    </row>
    <row r="219" spans="1:25" x14ac:dyDescent="0.3">
      <c r="A219" s="1" t="s">
        <v>568</v>
      </c>
      <c r="B219">
        <v>1</v>
      </c>
      <c r="C219">
        <v>34.99</v>
      </c>
      <c r="D219">
        <v>34.99</v>
      </c>
      <c r="E219" s="1" t="s">
        <v>447</v>
      </c>
      <c r="F219" s="1" t="s">
        <v>40</v>
      </c>
      <c r="G219">
        <v>8</v>
      </c>
      <c r="H219" s="1" t="s">
        <v>26</v>
      </c>
      <c r="I219" s="1" t="s">
        <v>85</v>
      </c>
      <c r="J219">
        <v>12.5</v>
      </c>
      <c r="K219">
        <v>34.99</v>
      </c>
      <c r="L219" s="1" t="s">
        <v>60</v>
      </c>
      <c r="M219" s="1" t="s">
        <v>29</v>
      </c>
      <c r="N219" s="1" t="s">
        <v>30</v>
      </c>
      <c r="O219" s="1" t="s">
        <v>31</v>
      </c>
      <c r="P219" s="2">
        <v>45778</v>
      </c>
      <c r="Q219" s="1" t="s">
        <v>569</v>
      </c>
      <c r="R219" s="1" t="s">
        <v>570</v>
      </c>
      <c r="S219" s="1" t="s">
        <v>105</v>
      </c>
      <c r="T219" s="1" t="s">
        <v>35</v>
      </c>
      <c r="U219" s="1" t="s">
        <v>66</v>
      </c>
      <c r="V219" s="1" t="s">
        <v>89</v>
      </c>
      <c r="W219">
        <v>2.4</v>
      </c>
      <c r="X219" s="1">
        <f t="shared" si="6"/>
        <v>8313.6899999999459</v>
      </c>
      <c r="Y219" s="1">
        <f t="shared" si="7"/>
        <v>6397.4799999999632</v>
      </c>
    </row>
    <row r="220" spans="1:25" x14ac:dyDescent="0.3">
      <c r="A220" s="1" t="s">
        <v>571</v>
      </c>
      <c r="B220">
        <v>1</v>
      </c>
      <c r="C220">
        <v>34.99</v>
      </c>
      <c r="D220">
        <v>34.99</v>
      </c>
      <c r="E220" s="1" t="s">
        <v>69</v>
      </c>
      <c r="F220" s="1" t="s">
        <v>51</v>
      </c>
      <c r="G220">
        <v>0</v>
      </c>
      <c r="H220" s="1" t="s">
        <v>96</v>
      </c>
      <c r="I220" s="1" t="s">
        <v>85</v>
      </c>
      <c r="J220">
        <v>12.5</v>
      </c>
      <c r="K220">
        <v>34.99</v>
      </c>
      <c r="L220" s="1" t="s">
        <v>60</v>
      </c>
      <c r="M220" s="1" t="s">
        <v>29</v>
      </c>
      <c r="N220" s="1" t="s">
        <v>30</v>
      </c>
      <c r="O220" s="1" t="s">
        <v>31</v>
      </c>
      <c r="P220" s="2">
        <v>45778</v>
      </c>
      <c r="Q220" s="1" t="s">
        <v>318</v>
      </c>
      <c r="R220" s="1" t="s">
        <v>538</v>
      </c>
      <c r="S220" s="1" t="s">
        <v>65</v>
      </c>
      <c r="T220" s="1" t="s">
        <v>35</v>
      </c>
      <c r="U220" s="1" t="s">
        <v>36</v>
      </c>
      <c r="V220" s="1" t="s">
        <v>89</v>
      </c>
      <c r="W220">
        <v>2.4</v>
      </c>
      <c r="X220" s="1">
        <f t="shared" si="6"/>
        <v>7844.9099999999507</v>
      </c>
      <c r="Y220" s="1">
        <f t="shared" si="7"/>
        <v>6355.4899999999634</v>
      </c>
    </row>
    <row r="221" spans="1:25" x14ac:dyDescent="0.3">
      <c r="A221" s="1" t="s">
        <v>572</v>
      </c>
      <c r="B221">
        <v>2</v>
      </c>
      <c r="C221">
        <v>16.989999999999998</v>
      </c>
      <c r="D221">
        <v>29.18</v>
      </c>
      <c r="E221" s="1" t="s">
        <v>445</v>
      </c>
      <c r="F221" s="1" t="s">
        <v>188</v>
      </c>
      <c r="G221">
        <v>0</v>
      </c>
      <c r="H221" s="1" t="s">
        <v>58</v>
      </c>
      <c r="I221" s="1" t="s">
        <v>59</v>
      </c>
      <c r="J221">
        <v>5</v>
      </c>
      <c r="K221">
        <v>16.989999999999998</v>
      </c>
      <c r="L221" s="1" t="s">
        <v>60</v>
      </c>
      <c r="M221" s="1" t="s">
        <v>61</v>
      </c>
      <c r="N221" s="1" t="s">
        <v>62</v>
      </c>
      <c r="O221" s="1" t="s">
        <v>31</v>
      </c>
      <c r="P221" s="2">
        <v>45726</v>
      </c>
      <c r="Q221" s="1" t="s">
        <v>216</v>
      </c>
      <c r="R221" s="1" t="s">
        <v>484</v>
      </c>
      <c r="S221" s="1" t="s">
        <v>105</v>
      </c>
      <c r="T221" s="1" t="s">
        <v>35</v>
      </c>
      <c r="U221" s="1" t="s">
        <v>48</v>
      </c>
      <c r="V221" s="1" t="s">
        <v>67</v>
      </c>
      <c r="W221">
        <v>3</v>
      </c>
      <c r="X221" s="1">
        <f t="shared" si="6"/>
        <v>8640.6199999999462</v>
      </c>
      <c r="Y221" s="1">
        <f t="shared" si="7"/>
        <v>7682.919999999951</v>
      </c>
    </row>
    <row r="222" spans="1:25" x14ac:dyDescent="0.3">
      <c r="A222" s="1" t="s">
        <v>573</v>
      </c>
      <c r="B222">
        <v>2</v>
      </c>
      <c r="C222">
        <v>18.989999999999998</v>
      </c>
      <c r="D222">
        <v>32.78</v>
      </c>
      <c r="E222" s="1" t="s">
        <v>113</v>
      </c>
      <c r="F222" s="1" t="s">
        <v>25</v>
      </c>
      <c r="G222">
        <v>10</v>
      </c>
      <c r="H222" s="1" t="s">
        <v>41</v>
      </c>
      <c r="I222" s="1" t="s">
        <v>97</v>
      </c>
      <c r="J222">
        <v>6</v>
      </c>
      <c r="K222">
        <v>18.989999999999998</v>
      </c>
      <c r="L222" s="1" t="s">
        <v>60</v>
      </c>
      <c r="M222" s="1" t="s">
        <v>43</v>
      </c>
      <c r="N222" s="1" t="s">
        <v>44</v>
      </c>
      <c r="O222" s="1" t="s">
        <v>31</v>
      </c>
      <c r="P222" s="2">
        <v>45823</v>
      </c>
      <c r="Q222" s="1" t="s">
        <v>269</v>
      </c>
      <c r="R222" s="1" t="s">
        <v>270</v>
      </c>
      <c r="S222" s="1" t="s">
        <v>88</v>
      </c>
      <c r="T222" s="1" t="s">
        <v>35</v>
      </c>
      <c r="U222" s="1" t="s">
        <v>55</v>
      </c>
      <c r="V222" s="1" t="s">
        <v>100</v>
      </c>
      <c r="W222">
        <v>3.2</v>
      </c>
      <c r="X222" s="1">
        <f t="shared" si="6"/>
        <v>8551.6499999999451</v>
      </c>
      <c r="Y222" s="1">
        <f t="shared" si="7"/>
        <v>5710.7699999999695</v>
      </c>
    </row>
    <row r="223" spans="1:25" x14ac:dyDescent="0.3">
      <c r="A223" s="1" t="s">
        <v>574</v>
      </c>
      <c r="B223">
        <v>3</v>
      </c>
      <c r="C223">
        <v>30.99</v>
      </c>
      <c r="D223">
        <v>74.53</v>
      </c>
      <c r="E223" s="1" t="s">
        <v>228</v>
      </c>
      <c r="F223" s="1" t="s">
        <v>40</v>
      </c>
      <c r="G223">
        <v>2</v>
      </c>
      <c r="H223" s="1" t="s">
        <v>26</v>
      </c>
      <c r="I223" s="1" t="s">
        <v>42</v>
      </c>
      <c r="J223">
        <v>10.5</v>
      </c>
      <c r="K223">
        <v>30.99</v>
      </c>
      <c r="L223" s="1" t="s">
        <v>28</v>
      </c>
      <c r="M223" s="1" t="s">
        <v>43</v>
      </c>
      <c r="N223" s="1" t="s">
        <v>44</v>
      </c>
      <c r="O223" s="1" t="s">
        <v>31</v>
      </c>
      <c r="P223" s="2">
        <v>45823</v>
      </c>
      <c r="Q223" s="1" t="s">
        <v>318</v>
      </c>
      <c r="R223" s="1" t="s">
        <v>319</v>
      </c>
      <c r="S223" s="1" t="s">
        <v>54</v>
      </c>
      <c r="T223" s="1" t="s">
        <v>35</v>
      </c>
      <c r="U223" s="1" t="s">
        <v>55</v>
      </c>
      <c r="V223" s="1" t="s">
        <v>37</v>
      </c>
      <c r="W223">
        <v>2</v>
      </c>
      <c r="X223" s="1">
        <f t="shared" si="6"/>
        <v>8313.6899999999459</v>
      </c>
      <c r="Y223" s="1">
        <f t="shared" si="7"/>
        <v>5710.7699999999695</v>
      </c>
    </row>
    <row r="224" spans="1:25" x14ac:dyDescent="0.3">
      <c r="A224" s="1" t="s">
        <v>575</v>
      </c>
      <c r="B224">
        <v>1</v>
      </c>
      <c r="C224">
        <v>18.989999999999998</v>
      </c>
      <c r="D224">
        <v>18.989999999999998</v>
      </c>
      <c r="E224" s="1" t="s">
        <v>224</v>
      </c>
      <c r="F224" s="1" t="s">
        <v>51</v>
      </c>
      <c r="G224">
        <v>0</v>
      </c>
      <c r="H224" s="1" t="s">
        <v>41</v>
      </c>
      <c r="I224" s="1" t="s">
        <v>97</v>
      </c>
      <c r="J224">
        <v>6</v>
      </c>
      <c r="K224">
        <v>18.989999999999998</v>
      </c>
      <c r="L224" s="1" t="s">
        <v>60</v>
      </c>
      <c r="M224" s="1" t="s">
        <v>43</v>
      </c>
      <c r="N224" s="1" t="s">
        <v>44</v>
      </c>
      <c r="O224" s="1" t="s">
        <v>31</v>
      </c>
      <c r="P224" s="2">
        <v>45823</v>
      </c>
      <c r="Q224" s="1" t="s">
        <v>305</v>
      </c>
      <c r="R224" s="1" t="s">
        <v>306</v>
      </c>
      <c r="S224" s="1" t="s">
        <v>47</v>
      </c>
      <c r="T224" s="1" t="s">
        <v>35</v>
      </c>
      <c r="U224" s="1" t="s">
        <v>66</v>
      </c>
      <c r="V224" s="1" t="s">
        <v>100</v>
      </c>
      <c r="W224">
        <v>3.2</v>
      </c>
      <c r="X224" s="1">
        <f t="shared" si="6"/>
        <v>8551.6499999999451</v>
      </c>
      <c r="Y224" s="1">
        <f t="shared" si="7"/>
        <v>6397.4799999999632</v>
      </c>
    </row>
    <row r="225" spans="1:25" x14ac:dyDescent="0.3">
      <c r="A225" s="1" t="s">
        <v>576</v>
      </c>
      <c r="B225">
        <v>3</v>
      </c>
      <c r="C225">
        <v>21.99</v>
      </c>
      <c r="D225">
        <v>52.48</v>
      </c>
      <c r="E225" s="1" t="s">
        <v>577</v>
      </c>
      <c r="F225" s="1" t="s">
        <v>40</v>
      </c>
      <c r="G225">
        <v>2</v>
      </c>
      <c r="H225" s="1" t="s">
        <v>41</v>
      </c>
      <c r="I225" s="1" t="s">
        <v>27</v>
      </c>
      <c r="J225">
        <v>7</v>
      </c>
      <c r="K225">
        <v>21.99</v>
      </c>
      <c r="L225" s="1" t="s">
        <v>28</v>
      </c>
      <c r="M225" s="1" t="s">
        <v>29</v>
      </c>
      <c r="N225" s="1" t="s">
        <v>30</v>
      </c>
      <c r="O225" s="1" t="s">
        <v>31</v>
      </c>
      <c r="P225" s="2">
        <v>45778</v>
      </c>
      <c r="Q225" s="1" t="s">
        <v>219</v>
      </c>
      <c r="R225" s="1" t="s">
        <v>220</v>
      </c>
      <c r="S225" s="1" t="s">
        <v>54</v>
      </c>
      <c r="T225" s="1" t="s">
        <v>35</v>
      </c>
      <c r="U225" s="1" t="s">
        <v>55</v>
      </c>
      <c r="V225" s="1" t="s">
        <v>37</v>
      </c>
      <c r="W225">
        <v>2</v>
      </c>
      <c r="X225" s="1">
        <f t="shared" si="6"/>
        <v>8551.6499999999451</v>
      </c>
      <c r="Y225" s="1">
        <f t="shared" si="7"/>
        <v>5710.7699999999695</v>
      </c>
    </row>
    <row r="226" spans="1:25" x14ac:dyDescent="0.3">
      <c r="A226" s="1" t="s">
        <v>578</v>
      </c>
      <c r="B226">
        <v>1</v>
      </c>
      <c r="C226">
        <v>30.99</v>
      </c>
      <c r="D226">
        <v>30.99</v>
      </c>
      <c r="E226" s="1" t="s">
        <v>536</v>
      </c>
      <c r="F226" s="1" t="s">
        <v>51</v>
      </c>
      <c r="G226">
        <v>0</v>
      </c>
      <c r="H226" s="1" t="s">
        <v>96</v>
      </c>
      <c r="I226" s="1" t="s">
        <v>42</v>
      </c>
      <c r="J226">
        <v>10.5</v>
      </c>
      <c r="K226">
        <v>30.99</v>
      </c>
      <c r="L226" s="1" t="s">
        <v>28</v>
      </c>
      <c r="M226" s="1" t="s">
        <v>43</v>
      </c>
      <c r="N226" s="1" t="s">
        <v>44</v>
      </c>
      <c r="O226" s="1" t="s">
        <v>31</v>
      </c>
      <c r="P226" s="2">
        <v>45823</v>
      </c>
      <c r="Q226" s="1" t="s">
        <v>579</v>
      </c>
      <c r="R226" s="1" t="s">
        <v>580</v>
      </c>
      <c r="S226" s="1" t="s">
        <v>88</v>
      </c>
      <c r="T226" s="1" t="s">
        <v>35</v>
      </c>
      <c r="U226" s="1" t="s">
        <v>36</v>
      </c>
      <c r="V226" s="1" t="s">
        <v>37</v>
      </c>
      <c r="W226">
        <v>2</v>
      </c>
      <c r="X226" s="1">
        <f t="shared" si="6"/>
        <v>7844.9099999999507</v>
      </c>
      <c r="Y226" s="1">
        <f t="shared" si="7"/>
        <v>6355.4899999999634</v>
      </c>
    </row>
    <row r="227" spans="1:25" x14ac:dyDescent="0.3">
      <c r="A227" s="1" t="s">
        <v>581</v>
      </c>
      <c r="B227">
        <v>1</v>
      </c>
      <c r="C227">
        <v>18.989999999999998</v>
      </c>
      <c r="D227">
        <v>18.989999999999998</v>
      </c>
      <c r="E227" s="1" t="s">
        <v>91</v>
      </c>
      <c r="F227" s="1" t="s">
        <v>40</v>
      </c>
      <c r="G227">
        <v>13</v>
      </c>
      <c r="H227" s="1" t="s">
        <v>96</v>
      </c>
      <c r="I227" s="1" t="s">
        <v>97</v>
      </c>
      <c r="J227">
        <v>6</v>
      </c>
      <c r="K227">
        <v>18.989999999999998</v>
      </c>
      <c r="L227" s="1" t="s">
        <v>60</v>
      </c>
      <c r="M227" s="1" t="s">
        <v>43</v>
      </c>
      <c r="N227" s="1" t="s">
        <v>44</v>
      </c>
      <c r="O227" s="1" t="s">
        <v>31</v>
      </c>
      <c r="P227" s="2">
        <v>45823</v>
      </c>
      <c r="Q227" s="1" t="s">
        <v>305</v>
      </c>
      <c r="R227" s="1" t="s">
        <v>582</v>
      </c>
      <c r="S227" s="1" t="s">
        <v>47</v>
      </c>
      <c r="T227" s="1" t="s">
        <v>35</v>
      </c>
      <c r="U227" s="1" t="s">
        <v>82</v>
      </c>
      <c r="V227" s="1" t="s">
        <v>100</v>
      </c>
      <c r="W227">
        <v>3.2</v>
      </c>
      <c r="X227" s="1">
        <f t="shared" si="6"/>
        <v>7844.9099999999507</v>
      </c>
      <c r="Y227" s="1">
        <f t="shared" si="7"/>
        <v>7204.2099999999582</v>
      </c>
    </row>
    <row r="228" spans="1:25" x14ac:dyDescent="0.3">
      <c r="A228" s="1" t="s">
        <v>583</v>
      </c>
      <c r="B228">
        <v>1</v>
      </c>
      <c r="C228">
        <v>18.989999999999998</v>
      </c>
      <c r="D228">
        <v>18.989999999999998</v>
      </c>
      <c r="E228" s="1" t="s">
        <v>584</v>
      </c>
      <c r="F228" s="1" t="s">
        <v>40</v>
      </c>
      <c r="G228">
        <v>18</v>
      </c>
      <c r="H228" s="1" t="s">
        <v>96</v>
      </c>
      <c r="I228" s="1" t="s">
        <v>97</v>
      </c>
      <c r="J228">
        <v>6</v>
      </c>
      <c r="K228">
        <v>18.989999999999998</v>
      </c>
      <c r="L228" s="1" t="s">
        <v>60</v>
      </c>
      <c r="M228" s="1" t="s">
        <v>43</v>
      </c>
      <c r="N228" s="1" t="s">
        <v>44</v>
      </c>
      <c r="O228" s="1" t="s">
        <v>31</v>
      </c>
      <c r="P228" s="2">
        <v>45823</v>
      </c>
      <c r="Q228" s="1" t="s">
        <v>165</v>
      </c>
      <c r="R228" s="1" t="s">
        <v>562</v>
      </c>
      <c r="S228" s="1" t="s">
        <v>34</v>
      </c>
      <c r="T228" s="1" t="s">
        <v>35</v>
      </c>
      <c r="U228" s="1" t="s">
        <v>48</v>
      </c>
      <c r="V228" s="1" t="s">
        <v>100</v>
      </c>
      <c r="W228">
        <v>3.2</v>
      </c>
      <c r="X228" s="1">
        <f t="shared" si="6"/>
        <v>7844.9099999999507</v>
      </c>
      <c r="Y228" s="1">
        <f t="shared" si="7"/>
        <v>7682.919999999951</v>
      </c>
    </row>
    <row r="229" spans="1:25" x14ac:dyDescent="0.3">
      <c r="A229" s="1" t="s">
        <v>585</v>
      </c>
      <c r="B229">
        <v>1</v>
      </c>
      <c r="C229">
        <v>21.99</v>
      </c>
      <c r="D229">
        <v>21.99</v>
      </c>
      <c r="E229" s="1" t="s">
        <v>224</v>
      </c>
      <c r="F229" s="1" t="s">
        <v>25</v>
      </c>
      <c r="G229">
        <v>3</v>
      </c>
      <c r="H229" s="1" t="s">
        <v>41</v>
      </c>
      <c r="I229" s="1" t="s">
        <v>27</v>
      </c>
      <c r="J229">
        <v>7</v>
      </c>
      <c r="K229">
        <v>21.99</v>
      </c>
      <c r="L229" s="1" t="s">
        <v>28</v>
      </c>
      <c r="M229" s="1" t="s">
        <v>29</v>
      </c>
      <c r="N229" s="1" t="s">
        <v>30</v>
      </c>
      <c r="O229" s="1" t="s">
        <v>31</v>
      </c>
      <c r="P229" s="2">
        <v>45778</v>
      </c>
      <c r="Q229" s="1" t="s">
        <v>269</v>
      </c>
      <c r="R229" s="1" t="s">
        <v>270</v>
      </c>
      <c r="S229" s="1" t="s">
        <v>88</v>
      </c>
      <c r="T229" s="1" t="s">
        <v>35</v>
      </c>
      <c r="U229" s="1" t="s">
        <v>55</v>
      </c>
      <c r="V229" s="1" t="s">
        <v>37</v>
      </c>
      <c r="W229">
        <v>2</v>
      </c>
      <c r="X229" s="1">
        <f t="shared" si="6"/>
        <v>8551.6499999999451</v>
      </c>
      <c r="Y229" s="1">
        <f t="shared" si="7"/>
        <v>5710.7699999999695</v>
      </c>
    </row>
    <row r="230" spans="1:25" x14ac:dyDescent="0.3">
      <c r="A230" s="1" t="s">
        <v>586</v>
      </c>
      <c r="B230">
        <v>1</v>
      </c>
      <c r="C230">
        <v>27.99</v>
      </c>
      <c r="D230">
        <v>27.99</v>
      </c>
      <c r="E230" s="1" t="s">
        <v>327</v>
      </c>
      <c r="F230" s="1" t="s">
        <v>40</v>
      </c>
      <c r="G230">
        <v>2</v>
      </c>
      <c r="H230" s="1" t="s">
        <v>58</v>
      </c>
      <c r="I230" s="1" t="s">
        <v>75</v>
      </c>
      <c r="J230">
        <v>9</v>
      </c>
      <c r="K230">
        <v>27.99</v>
      </c>
      <c r="L230" s="1" t="s">
        <v>28</v>
      </c>
      <c r="M230" s="1" t="s">
        <v>61</v>
      </c>
      <c r="N230" s="1" t="s">
        <v>62</v>
      </c>
      <c r="O230" s="1" t="s">
        <v>31</v>
      </c>
      <c r="P230" s="2">
        <v>45726</v>
      </c>
      <c r="Q230" s="1" t="s">
        <v>63</v>
      </c>
      <c r="R230" s="1" t="s">
        <v>64</v>
      </c>
      <c r="S230" s="1" t="s">
        <v>65</v>
      </c>
      <c r="T230" s="1" t="s">
        <v>35</v>
      </c>
      <c r="U230" s="1" t="s">
        <v>66</v>
      </c>
      <c r="V230" s="1" t="s">
        <v>37</v>
      </c>
      <c r="W230">
        <v>2</v>
      </c>
      <c r="X230" s="1">
        <f t="shared" si="6"/>
        <v>8640.6199999999462</v>
      </c>
      <c r="Y230" s="1">
        <f t="shared" si="7"/>
        <v>6397.4799999999632</v>
      </c>
    </row>
    <row r="231" spans="1:25" x14ac:dyDescent="0.3">
      <c r="A231" s="1" t="s">
        <v>587</v>
      </c>
      <c r="B231">
        <v>1</v>
      </c>
      <c r="C231">
        <v>21.99</v>
      </c>
      <c r="D231">
        <v>21.99</v>
      </c>
      <c r="E231" s="1" t="s">
        <v>331</v>
      </c>
      <c r="F231" s="1" t="s">
        <v>40</v>
      </c>
      <c r="G231">
        <v>2</v>
      </c>
      <c r="H231" s="1" t="s">
        <v>96</v>
      </c>
      <c r="I231" s="1" t="s">
        <v>27</v>
      </c>
      <c r="J231">
        <v>7</v>
      </c>
      <c r="K231">
        <v>21.99</v>
      </c>
      <c r="L231" s="1" t="s">
        <v>28</v>
      </c>
      <c r="M231" s="1" t="s">
        <v>29</v>
      </c>
      <c r="N231" s="1" t="s">
        <v>30</v>
      </c>
      <c r="O231" s="1" t="s">
        <v>31</v>
      </c>
      <c r="P231" s="2">
        <v>45778</v>
      </c>
      <c r="Q231" s="1" t="s">
        <v>45</v>
      </c>
      <c r="R231" s="1" t="s">
        <v>513</v>
      </c>
      <c r="S231" s="1" t="s">
        <v>54</v>
      </c>
      <c r="T231" s="1" t="s">
        <v>35</v>
      </c>
      <c r="U231" s="1" t="s">
        <v>48</v>
      </c>
      <c r="V231" s="1" t="s">
        <v>37</v>
      </c>
      <c r="W231">
        <v>2</v>
      </c>
      <c r="X231" s="1">
        <f t="shared" si="6"/>
        <v>7844.9099999999507</v>
      </c>
      <c r="Y231" s="1">
        <f t="shared" si="7"/>
        <v>7682.919999999951</v>
      </c>
    </row>
    <row r="232" spans="1:25" x14ac:dyDescent="0.3">
      <c r="A232" s="1" t="s">
        <v>588</v>
      </c>
      <c r="B232">
        <v>3</v>
      </c>
      <c r="C232">
        <v>27.99</v>
      </c>
      <c r="D232">
        <v>66.88</v>
      </c>
      <c r="E232" s="1" t="s">
        <v>84</v>
      </c>
      <c r="F232" s="1" t="s">
        <v>70</v>
      </c>
      <c r="G232">
        <v>0</v>
      </c>
      <c r="H232" s="1" t="s">
        <v>41</v>
      </c>
      <c r="I232" s="1" t="s">
        <v>75</v>
      </c>
      <c r="J232">
        <v>9</v>
      </c>
      <c r="K232">
        <v>27.99</v>
      </c>
      <c r="L232" s="1" t="s">
        <v>28</v>
      </c>
      <c r="M232" s="1" t="s">
        <v>61</v>
      </c>
      <c r="N232" s="1" t="s">
        <v>62</v>
      </c>
      <c r="O232" s="1" t="s">
        <v>31</v>
      </c>
      <c r="P232" s="2">
        <v>45726</v>
      </c>
      <c r="Q232" s="1" t="s">
        <v>589</v>
      </c>
      <c r="R232" s="1" t="s">
        <v>590</v>
      </c>
      <c r="S232" s="1" t="s">
        <v>105</v>
      </c>
      <c r="T232" s="1" t="s">
        <v>35</v>
      </c>
      <c r="U232" s="1" t="s">
        <v>36</v>
      </c>
      <c r="V232" s="1" t="s">
        <v>37</v>
      </c>
      <c r="W232">
        <v>2</v>
      </c>
      <c r="X232" s="1">
        <f t="shared" si="6"/>
        <v>8551.6499999999451</v>
      </c>
      <c r="Y232" s="1">
        <f t="shared" si="7"/>
        <v>6355.4899999999634</v>
      </c>
    </row>
    <row r="233" spans="1:25" x14ac:dyDescent="0.3">
      <c r="A233" s="1" t="s">
        <v>591</v>
      </c>
      <c r="B233">
        <v>1</v>
      </c>
      <c r="C233">
        <v>21.99</v>
      </c>
      <c r="D233">
        <v>21.99</v>
      </c>
      <c r="E233" s="1" t="s">
        <v>24</v>
      </c>
      <c r="F233" s="1" t="s">
        <v>40</v>
      </c>
      <c r="G233">
        <v>3</v>
      </c>
      <c r="H233" s="1" t="s">
        <v>26</v>
      </c>
      <c r="I233" s="1" t="s">
        <v>27</v>
      </c>
      <c r="J233">
        <v>7</v>
      </c>
      <c r="K233">
        <v>21.99</v>
      </c>
      <c r="L233" s="1" t="s">
        <v>28</v>
      </c>
      <c r="M233" s="1" t="s">
        <v>29</v>
      </c>
      <c r="N233" s="1" t="s">
        <v>30</v>
      </c>
      <c r="O233" s="1" t="s">
        <v>31</v>
      </c>
      <c r="P233" s="2">
        <v>45778</v>
      </c>
      <c r="Q233" s="1" t="s">
        <v>129</v>
      </c>
      <c r="R233" s="1" t="s">
        <v>130</v>
      </c>
      <c r="S233" s="1" t="s">
        <v>34</v>
      </c>
      <c r="T233" s="1" t="s">
        <v>35</v>
      </c>
      <c r="U233" s="1" t="s">
        <v>55</v>
      </c>
      <c r="V233" s="1" t="s">
        <v>37</v>
      </c>
      <c r="W233">
        <v>2</v>
      </c>
      <c r="X233" s="1">
        <f t="shared" si="6"/>
        <v>8313.6899999999459</v>
      </c>
      <c r="Y233" s="1">
        <f t="shared" si="7"/>
        <v>5710.7699999999695</v>
      </c>
    </row>
    <row r="234" spans="1:25" x14ac:dyDescent="0.3">
      <c r="A234" s="1" t="s">
        <v>592</v>
      </c>
      <c r="B234">
        <v>1</v>
      </c>
      <c r="C234">
        <v>16.989999999999998</v>
      </c>
      <c r="D234">
        <v>16.989999999999998</v>
      </c>
      <c r="E234" s="1" t="s">
        <v>107</v>
      </c>
      <c r="F234" s="1" t="s">
        <v>70</v>
      </c>
      <c r="G234">
        <v>0</v>
      </c>
      <c r="H234" s="1" t="s">
        <v>58</v>
      </c>
      <c r="I234" s="1" t="s">
        <v>59</v>
      </c>
      <c r="J234">
        <v>5</v>
      </c>
      <c r="K234">
        <v>16.989999999999998</v>
      </c>
      <c r="L234" s="1" t="s">
        <v>60</v>
      </c>
      <c r="M234" s="1" t="s">
        <v>61</v>
      </c>
      <c r="N234" s="1" t="s">
        <v>62</v>
      </c>
      <c r="O234" s="1" t="s">
        <v>31</v>
      </c>
      <c r="P234" s="2">
        <v>45726</v>
      </c>
      <c r="Q234" s="1" t="s">
        <v>593</v>
      </c>
      <c r="R234" s="1" t="s">
        <v>594</v>
      </c>
      <c r="S234" s="1" t="s">
        <v>65</v>
      </c>
      <c r="T234" s="1" t="s">
        <v>35</v>
      </c>
      <c r="U234" s="1" t="s">
        <v>55</v>
      </c>
      <c r="V234" s="1" t="s">
        <v>67</v>
      </c>
      <c r="W234">
        <v>3</v>
      </c>
      <c r="X234" s="1">
        <f t="shared" si="6"/>
        <v>8640.6199999999462</v>
      </c>
      <c r="Y234" s="1">
        <f t="shared" si="7"/>
        <v>5710.7699999999695</v>
      </c>
    </row>
    <row r="235" spans="1:25" x14ac:dyDescent="0.3">
      <c r="A235" s="1" t="s">
        <v>595</v>
      </c>
      <c r="B235">
        <v>1</v>
      </c>
      <c r="C235">
        <v>18.989999999999998</v>
      </c>
      <c r="D235">
        <v>18.989999999999998</v>
      </c>
      <c r="E235" s="1" t="s">
        <v>457</v>
      </c>
      <c r="F235" s="1" t="s">
        <v>40</v>
      </c>
      <c r="G235">
        <v>19</v>
      </c>
      <c r="H235" s="1" t="s">
        <v>58</v>
      </c>
      <c r="I235" s="1" t="s">
        <v>97</v>
      </c>
      <c r="J235">
        <v>6</v>
      </c>
      <c r="K235">
        <v>18.989999999999998</v>
      </c>
      <c r="L235" s="1" t="s">
        <v>60</v>
      </c>
      <c r="M235" s="1" t="s">
        <v>43</v>
      </c>
      <c r="N235" s="1" t="s">
        <v>44</v>
      </c>
      <c r="O235" s="1" t="s">
        <v>31</v>
      </c>
      <c r="P235" s="2">
        <v>45823</v>
      </c>
      <c r="Q235" s="1" t="s">
        <v>262</v>
      </c>
      <c r="R235" s="1" t="s">
        <v>263</v>
      </c>
      <c r="S235" s="1" t="s">
        <v>105</v>
      </c>
      <c r="T235" s="1" t="s">
        <v>35</v>
      </c>
      <c r="U235" s="1" t="s">
        <v>82</v>
      </c>
      <c r="V235" s="1" t="s">
        <v>100</v>
      </c>
      <c r="W235">
        <v>3.2</v>
      </c>
      <c r="X235" s="1">
        <f t="shared" si="6"/>
        <v>8640.6199999999462</v>
      </c>
      <c r="Y235" s="1">
        <f t="shared" si="7"/>
        <v>7204.2099999999582</v>
      </c>
    </row>
    <row r="236" spans="1:25" x14ac:dyDescent="0.3">
      <c r="A236" s="1" t="s">
        <v>596</v>
      </c>
      <c r="B236">
        <v>1</v>
      </c>
      <c r="C236">
        <v>30.99</v>
      </c>
      <c r="D236">
        <v>30.99</v>
      </c>
      <c r="E236" s="1" t="s">
        <v>222</v>
      </c>
      <c r="F236" s="1" t="s">
        <v>51</v>
      </c>
      <c r="G236">
        <v>0</v>
      </c>
      <c r="H236" s="1" t="s">
        <v>26</v>
      </c>
      <c r="I236" s="1" t="s">
        <v>42</v>
      </c>
      <c r="J236">
        <v>10.5</v>
      </c>
      <c r="K236">
        <v>30.99</v>
      </c>
      <c r="L236" s="1" t="s">
        <v>28</v>
      </c>
      <c r="M236" s="1" t="s">
        <v>43</v>
      </c>
      <c r="N236" s="1" t="s">
        <v>44</v>
      </c>
      <c r="O236" s="1" t="s">
        <v>31</v>
      </c>
      <c r="P236" s="2">
        <v>45823</v>
      </c>
      <c r="Q236" s="1" t="s">
        <v>114</v>
      </c>
      <c r="R236" s="1" t="s">
        <v>402</v>
      </c>
      <c r="S236" s="1" t="s">
        <v>88</v>
      </c>
      <c r="T236" s="1" t="s">
        <v>35</v>
      </c>
      <c r="U236" s="1" t="s">
        <v>48</v>
      </c>
      <c r="V236" s="1" t="s">
        <v>37</v>
      </c>
      <c r="W236">
        <v>2</v>
      </c>
      <c r="X236" s="1">
        <f t="shared" si="6"/>
        <v>8313.6899999999459</v>
      </c>
      <c r="Y236" s="1">
        <f t="shared" si="7"/>
        <v>7682.919999999951</v>
      </c>
    </row>
    <row r="237" spans="1:25" x14ac:dyDescent="0.3">
      <c r="A237" s="1" t="s">
        <v>597</v>
      </c>
      <c r="B237">
        <v>3</v>
      </c>
      <c r="C237">
        <v>34.99</v>
      </c>
      <c r="D237">
        <v>84.73</v>
      </c>
      <c r="E237" s="1" t="s">
        <v>598</v>
      </c>
      <c r="F237" s="1" t="s">
        <v>40</v>
      </c>
      <c r="G237">
        <v>6</v>
      </c>
      <c r="H237" s="1" t="s">
        <v>96</v>
      </c>
      <c r="I237" s="1" t="s">
        <v>85</v>
      </c>
      <c r="J237">
        <v>12.5</v>
      </c>
      <c r="K237">
        <v>34.99</v>
      </c>
      <c r="L237" s="1" t="s">
        <v>60</v>
      </c>
      <c r="M237" s="1" t="s">
        <v>29</v>
      </c>
      <c r="N237" s="1" t="s">
        <v>30</v>
      </c>
      <c r="O237" s="1" t="s">
        <v>31</v>
      </c>
      <c r="P237" s="2">
        <v>45778</v>
      </c>
      <c r="Q237" s="1" t="s">
        <v>342</v>
      </c>
      <c r="R237" s="1" t="s">
        <v>599</v>
      </c>
      <c r="S237" s="1" t="s">
        <v>54</v>
      </c>
      <c r="T237" s="1" t="s">
        <v>35</v>
      </c>
      <c r="U237" s="1" t="s">
        <v>66</v>
      </c>
      <c r="V237" s="1" t="s">
        <v>89</v>
      </c>
      <c r="W237">
        <v>2.4</v>
      </c>
      <c r="X237" s="1">
        <f t="shared" si="6"/>
        <v>7844.9099999999507</v>
      </c>
      <c r="Y237" s="1">
        <f t="shared" si="7"/>
        <v>6397.4799999999632</v>
      </c>
    </row>
    <row r="238" spans="1:25" x14ac:dyDescent="0.3">
      <c r="A238" s="1" t="s">
        <v>600</v>
      </c>
      <c r="B238">
        <v>2</v>
      </c>
      <c r="C238">
        <v>16.989999999999998</v>
      </c>
      <c r="D238">
        <v>29.18</v>
      </c>
      <c r="E238" s="1" t="s">
        <v>109</v>
      </c>
      <c r="F238" s="1" t="s">
        <v>188</v>
      </c>
      <c r="G238">
        <v>0</v>
      </c>
      <c r="H238" s="1" t="s">
        <v>26</v>
      </c>
      <c r="I238" s="1" t="s">
        <v>59</v>
      </c>
      <c r="J238">
        <v>5</v>
      </c>
      <c r="K238">
        <v>16.989999999999998</v>
      </c>
      <c r="L238" s="1" t="s">
        <v>60</v>
      </c>
      <c r="M238" s="1" t="s">
        <v>61</v>
      </c>
      <c r="N238" s="1" t="s">
        <v>62</v>
      </c>
      <c r="O238" s="1" t="s">
        <v>31</v>
      </c>
      <c r="P238" s="2">
        <v>45726</v>
      </c>
      <c r="Q238" s="1" t="s">
        <v>526</v>
      </c>
      <c r="R238" s="1" t="s">
        <v>527</v>
      </c>
      <c r="S238" s="1" t="s">
        <v>105</v>
      </c>
      <c r="T238" s="1" t="s">
        <v>35</v>
      </c>
      <c r="U238" s="1" t="s">
        <v>48</v>
      </c>
      <c r="V238" s="1" t="s">
        <v>67</v>
      </c>
      <c r="W238">
        <v>3</v>
      </c>
      <c r="X238" s="1">
        <f t="shared" si="6"/>
        <v>8313.6899999999459</v>
      </c>
      <c r="Y238" s="1">
        <f t="shared" si="7"/>
        <v>7682.919999999951</v>
      </c>
    </row>
    <row r="239" spans="1:25" x14ac:dyDescent="0.3">
      <c r="A239" s="1" t="s">
        <v>601</v>
      </c>
      <c r="B239">
        <v>1</v>
      </c>
      <c r="C239">
        <v>27.99</v>
      </c>
      <c r="D239">
        <v>27.99</v>
      </c>
      <c r="E239" s="1" t="s">
        <v>192</v>
      </c>
      <c r="F239" s="1" t="s">
        <v>40</v>
      </c>
      <c r="G239">
        <v>3</v>
      </c>
      <c r="H239" s="1" t="s">
        <v>58</v>
      </c>
      <c r="I239" s="1" t="s">
        <v>75</v>
      </c>
      <c r="J239">
        <v>9</v>
      </c>
      <c r="K239">
        <v>27.99</v>
      </c>
      <c r="L239" s="1" t="s">
        <v>28</v>
      </c>
      <c r="M239" s="1" t="s">
        <v>61</v>
      </c>
      <c r="N239" s="1" t="s">
        <v>62</v>
      </c>
      <c r="O239" s="1" t="s">
        <v>31</v>
      </c>
      <c r="P239" s="2">
        <v>45726</v>
      </c>
      <c r="Q239" s="1" t="s">
        <v>553</v>
      </c>
      <c r="R239" s="1" t="s">
        <v>554</v>
      </c>
      <c r="S239" s="1" t="s">
        <v>105</v>
      </c>
      <c r="T239" s="1" t="s">
        <v>35</v>
      </c>
      <c r="U239" s="1" t="s">
        <v>36</v>
      </c>
      <c r="V239" s="1" t="s">
        <v>37</v>
      </c>
      <c r="W239">
        <v>2</v>
      </c>
      <c r="X239" s="1">
        <f t="shared" si="6"/>
        <v>8640.6199999999462</v>
      </c>
      <c r="Y239" s="1">
        <f t="shared" si="7"/>
        <v>6355.4899999999634</v>
      </c>
    </row>
    <row r="240" spans="1:25" x14ac:dyDescent="0.3">
      <c r="A240" s="1" t="s">
        <v>602</v>
      </c>
      <c r="B240">
        <v>3</v>
      </c>
      <c r="C240">
        <v>34.99</v>
      </c>
      <c r="D240">
        <v>84.73</v>
      </c>
      <c r="E240" s="1" t="s">
        <v>603</v>
      </c>
      <c r="F240" s="1" t="s">
        <v>40</v>
      </c>
      <c r="G240">
        <v>8</v>
      </c>
      <c r="H240" s="1" t="s">
        <v>26</v>
      </c>
      <c r="I240" s="1" t="s">
        <v>85</v>
      </c>
      <c r="J240">
        <v>12.5</v>
      </c>
      <c r="K240">
        <v>34.99</v>
      </c>
      <c r="L240" s="1" t="s">
        <v>60</v>
      </c>
      <c r="M240" s="1" t="s">
        <v>29</v>
      </c>
      <c r="N240" s="1" t="s">
        <v>30</v>
      </c>
      <c r="O240" s="1" t="s">
        <v>31</v>
      </c>
      <c r="P240" s="2">
        <v>45778</v>
      </c>
      <c r="Q240" s="1" t="s">
        <v>225</v>
      </c>
      <c r="R240" s="1" t="s">
        <v>226</v>
      </c>
      <c r="S240" s="1" t="s">
        <v>105</v>
      </c>
      <c r="T240" s="1" t="s">
        <v>35</v>
      </c>
      <c r="U240" s="1" t="s">
        <v>36</v>
      </c>
      <c r="V240" s="1" t="s">
        <v>89</v>
      </c>
      <c r="W240">
        <v>2.4</v>
      </c>
      <c r="X240" s="1">
        <f t="shared" si="6"/>
        <v>8313.6899999999459</v>
      </c>
      <c r="Y240" s="1">
        <f t="shared" si="7"/>
        <v>6355.4899999999634</v>
      </c>
    </row>
    <row r="241" spans="1:25" x14ac:dyDescent="0.3">
      <c r="A241" s="1" t="s">
        <v>604</v>
      </c>
      <c r="B241">
        <v>3</v>
      </c>
      <c r="C241">
        <v>34.99</v>
      </c>
      <c r="D241">
        <v>84.73</v>
      </c>
      <c r="E241" s="1" t="s">
        <v>69</v>
      </c>
      <c r="F241" s="1" t="s">
        <v>51</v>
      </c>
      <c r="G241">
        <v>0</v>
      </c>
      <c r="H241" s="1" t="s">
        <v>26</v>
      </c>
      <c r="I241" s="1" t="s">
        <v>85</v>
      </c>
      <c r="J241">
        <v>12.5</v>
      </c>
      <c r="K241">
        <v>34.99</v>
      </c>
      <c r="L241" s="1" t="s">
        <v>60</v>
      </c>
      <c r="M241" s="1" t="s">
        <v>29</v>
      </c>
      <c r="N241" s="1" t="s">
        <v>30</v>
      </c>
      <c r="O241" s="1" t="s">
        <v>31</v>
      </c>
      <c r="P241" s="2">
        <v>45778</v>
      </c>
      <c r="Q241" s="1" t="s">
        <v>318</v>
      </c>
      <c r="R241" s="1" t="s">
        <v>319</v>
      </c>
      <c r="S241" s="1" t="s">
        <v>54</v>
      </c>
      <c r="T241" s="1" t="s">
        <v>35</v>
      </c>
      <c r="U241" s="1" t="s">
        <v>55</v>
      </c>
      <c r="V241" s="1" t="s">
        <v>89</v>
      </c>
      <c r="W241">
        <v>2.4</v>
      </c>
      <c r="X241" s="1">
        <f t="shared" si="6"/>
        <v>8313.6899999999459</v>
      </c>
      <c r="Y241" s="1">
        <f t="shared" si="7"/>
        <v>5710.7699999999695</v>
      </c>
    </row>
    <row r="242" spans="1:25" x14ac:dyDescent="0.3">
      <c r="A242" s="1" t="s">
        <v>605</v>
      </c>
      <c r="B242">
        <v>1</v>
      </c>
      <c r="C242">
        <v>34.99</v>
      </c>
      <c r="D242">
        <v>34.99</v>
      </c>
      <c r="E242" s="1" t="s">
        <v>348</v>
      </c>
      <c r="F242" s="1" t="s">
        <v>40</v>
      </c>
      <c r="G242">
        <v>10</v>
      </c>
      <c r="H242" s="1" t="s">
        <v>58</v>
      </c>
      <c r="I242" s="1" t="s">
        <v>85</v>
      </c>
      <c r="J242">
        <v>12.5</v>
      </c>
      <c r="K242">
        <v>34.99</v>
      </c>
      <c r="L242" s="1" t="s">
        <v>60</v>
      </c>
      <c r="M242" s="1" t="s">
        <v>29</v>
      </c>
      <c r="N242" s="1" t="s">
        <v>30</v>
      </c>
      <c r="O242" s="1" t="s">
        <v>31</v>
      </c>
      <c r="P242" s="2">
        <v>45778</v>
      </c>
      <c r="Q242" s="1" t="s">
        <v>428</v>
      </c>
      <c r="R242" s="1" t="s">
        <v>429</v>
      </c>
      <c r="S242" s="1" t="s">
        <v>47</v>
      </c>
      <c r="T242" s="1" t="s">
        <v>35</v>
      </c>
      <c r="U242" s="1" t="s">
        <v>66</v>
      </c>
      <c r="V242" s="1" t="s">
        <v>89</v>
      </c>
      <c r="W242">
        <v>2.4</v>
      </c>
      <c r="X242" s="1">
        <f t="shared" si="6"/>
        <v>8640.6199999999462</v>
      </c>
      <c r="Y242" s="1">
        <f t="shared" si="7"/>
        <v>6397.4799999999632</v>
      </c>
    </row>
    <row r="243" spans="1:25" x14ac:dyDescent="0.3">
      <c r="A243" s="1" t="s">
        <v>606</v>
      </c>
      <c r="B243">
        <v>3</v>
      </c>
      <c r="C243">
        <v>27.99</v>
      </c>
      <c r="D243">
        <v>66.88</v>
      </c>
      <c r="E243" s="1" t="s">
        <v>181</v>
      </c>
      <c r="F243" s="1" t="s">
        <v>25</v>
      </c>
      <c r="G243">
        <v>3</v>
      </c>
      <c r="H243" s="1" t="s">
        <v>26</v>
      </c>
      <c r="I243" s="1" t="s">
        <v>75</v>
      </c>
      <c r="J243">
        <v>9</v>
      </c>
      <c r="K243">
        <v>27.99</v>
      </c>
      <c r="L243" s="1" t="s">
        <v>28</v>
      </c>
      <c r="M243" s="1" t="s">
        <v>61</v>
      </c>
      <c r="N243" s="1" t="s">
        <v>62</v>
      </c>
      <c r="O243" s="1" t="s">
        <v>31</v>
      </c>
      <c r="P243" s="2">
        <v>45726</v>
      </c>
      <c r="Q243" s="1" t="s">
        <v>234</v>
      </c>
      <c r="R243" s="1" t="s">
        <v>556</v>
      </c>
      <c r="S243" s="1" t="s">
        <v>88</v>
      </c>
      <c r="T243" s="1" t="s">
        <v>35</v>
      </c>
      <c r="U243" s="1" t="s">
        <v>48</v>
      </c>
      <c r="V243" s="1" t="s">
        <v>37</v>
      </c>
      <c r="W243">
        <v>2</v>
      </c>
      <c r="X243" s="1">
        <f t="shared" si="6"/>
        <v>8313.6899999999459</v>
      </c>
      <c r="Y243" s="1">
        <f t="shared" si="7"/>
        <v>7682.919999999951</v>
      </c>
    </row>
    <row r="244" spans="1:25" x14ac:dyDescent="0.3">
      <c r="A244" s="1" t="s">
        <v>607</v>
      </c>
      <c r="B244">
        <v>1</v>
      </c>
      <c r="C244">
        <v>21.99</v>
      </c>
      <c r="D244">
        <v>21.99</v>
      </c>
      <c r="E244" s="1" t="s">
        <v>185</v>
      </c>
      <c r="F244" s="1" t="s">
        <v>51</v>
      </c>
      <c r="G244">
        <v>0</v>
      </c>
      <c r="H244" s="1" t="s">
        <v>96</v>
      </c>
      <c r="I244" s="1" t="s">
        <v>27</v>
      </c>
      <c r="J244">
        <v>7</v>
      </c>
      <c r="K244">
        <v>21.99</v>
      </c>
      <c r="L244" s="1" t="s">
        <v>28</v>
      </c>
      <c r="M244" s="1" t="s">
        <v>29</v>
      </c>
      <c r="N244" s="1" t="s">
        <v>30</v>
      </c>
      <c r="O244" s="1" t="s">
        <v>31</v>
      </c>
      <c r="P244" s="2">
        <v>45778</v>
      </c>
      <c r="Q244" s="1" t="s">
        <v>305</v>
      </c>
      <c r="R244" s="1" t="s">
        <v>582</v>
      </c>
      <c r="S244" s="1" t="s">
        <v>47</v>
      </c>
      <c r="T244" s="1" t="s">
        <v>35</v>
      </c>
      <c r="U244" s="1" t="s">
        <v>82</v>
      </c>
      <c r="V244" s="1" t="s">
        <v>37</v>
      </c>
      <c r="W244">
        <v>2</v>
      </c>
      <c r="X244" s="1">
        <f t="shared" si="6"/>
        <v>7844.9099999999507</v>
      </c>
      <c r="Y244" s="1">
        <f t="shared" si="7"/>
        <v>7204.2099999999582</v>
      </c>
    </row>
    <row r="245" spans="1:25" x14ac:dyDescent="0.3">
      <c r="A245" s="1" t="s">
        <v>608</v>
      </c>
      <c r="B245">
        <v>2</v>
      </c>
      <c r="C245">
        <v>34.99</v>
      </c>
      <c r="D245">
        <v>60.98</v>
      </c>
      <c r="E245" s="1" t="s">
        <v>252</v>
      </c>
      <c r="F245" s="1" t="s">
        <v>188</v>
      </c>
      <c r="G245">
        <v>0</v>
      </c>
      <c r="H245" s="1" t="s">
        <v>41</v>
      </c>
      <c r="I245" s="1" t="s">
        <v>85</v>
      </c>
      <c r="J245">
        <v>12.5</v>
      </c>
      <c r="K245">
        <v>34.99</v>
      </c>
      <c r="L245" s="1" t="s">
        <v>60</v>
      </c>
      <c r="M245" s="1" t="s">
        <v>29</v>
      </c>
      <c r="N245" s="1" t="s">
        <v>30</v>
      </c>
      <c r="O245" s="1" t="s">
        <v>31</v>
      </c>
      <c r="P245" s="2">
        <v>45778</v>
      </c>
      <c r="Q245" s="1" t="s">
        <v>114</v>
      </c>
      <c r="R245" s="1" t="s">
        <v>115</v>
      </c>
      <c r="S245" s="1" t="s">
        <v>54</v>
      </c>
      <c r="T245" s="1" t="s">
        <v>35</v>
      </c>
      <c r="U245" s="1" t="s">
        <v>82</v>
      </c>
      <c r="V245" s="1" t="s">
        <v>89</v>
      </c>
      <c r="W245">
        <v>2.4</v>
      </c>
      <c r="X245" s="1">
        <f t="shared" si="6"/>
        <v>8551.6499999999451</v>
      </c>
      <c r="Y245" s="1">
        <f t="shared" si="7"/>
        <v>7204.2099999999582</v>
      </c>
    </row>
    <row r="246" spans="1:25" x14ac:dyDescent="0.3">
      <c r="A246" s="1" t="s">
        <v>609</v>
      </c>
      <c r="B246">
        <v>1</v>
      </c>
      <c r="C246">
        <v>21.99</v>
      </c>
      <c r="D246">
        <v>21.99</v>
      </c>
      <c r="E246" s="1" t="s">
        <v>107</v>
      </c>
      <c r="F246" s="1" t="s">
        <v>25</v>
      </c>
      <c r="G246">
        <v>2</v>
      </c>
      <c r="H246" s="1" t="s">
        <v>26</v>
      </c>
      <c r="I246" s="1" t="s">
        <v>27</v>
      </c>
      <c r="J246">
        <v>7</v>
      </c>
      <c r="K246">
        <v>21.99</v>
      </c>
      <c r="L246" s="1" t="s">
        <v>28</v>
      </c>
      <c r="M246" s="1" t="s">
        <v>29</v>
      </c>
      <c r="N246" s="1" t="s">
        <v>30</v>
      </c>
      <c r="O246" s="1" t="s">
        <v>31</v>
      </c>
      <c r="P246" s="2">
        <v>45778</v>
      </c>
      <c r="Q246" s="1" t="s">
        <v>335</v>
      </c>
      <c r="R246" s="1" t="s">
        <v>336</v>
      </c>
      <c r="S246" s="1" t="s">
        <v>34</v>
      </c>
      <c r="T246" s="1" t="s">
        <v>35</v>
      </c>
      <c r="U246" s="1" t="s">
        <v>48</v>
      </c>
      <c r="V246" s="1" t="s">
        <v>37</v>
      </c>
      <c r="W246">
        <v>2</v>
      </c>
      <c r="X246" s="1">
        <f t="shared" si="6"/>
        <v>8313.6899999999459</v>
      </c>
      <c r="Y246" s="1">
        <f t="shared" si="7"/>
        <v>7682.919999999951</v>
      </c>
    </row>
    <row r="247" spans="1:25" x14ac:dyDescent="0.3">
      <c r="A247" s="1" t="s">
        <v>610</v>
      </c>
      <c r="B247">
        <v>1</v>
      </c>
      <c r="C247">
        <v>18.989999999999998</v>
      </c>
      <c r="D247">
        <v>18.989999999999998</v>
      </c>
      <c r="E247" s="1" t="s">
        <v>252</v>
      </c>
      <c r="F247" s="1" t="s">
        <v>40</v>
      </c>
      <c r="G247">
        <v>17</v>
      </c>
      <c r="H247" s="1" t="s">
        <v>41</v>
      </c>
      <c r="I247" s="1" t="s">
        <v>97</v>
      </c>
      <c r="J247">
        <v>6</v>
      </c>
      <c r="K247">
        <v>18.989999999999998</v>
      </c>
      <c r="L247" s="1" t="s">
        <v>60</v>
      </c>
      <c r="M247" s="1" t="s">
        <v>43</v>
      </c>
      <c r="N247" s="1" t="s">
        <v>44</v>
      </c>
      <c r="O247" s="1" t="s">
        <v>31</v>
      </c>
      <c r="P247" s="2">
        <v>45823</v>
      </c>
      <c r="Q247" s="1" t="s">
        <v>161</v>
      </c>
      <c r="R247" s="1" t="s">
        <v>500</v>
      </c>
      <c r="S247" s="1" t="s">
        <v>65</v>
      </c>
      <c r="T247" s="1" t="s">
        <v>35</v>
      </c>
      <c r="U247" s="1" t="s">
        <v>55</v>
      </c>
      <c r="V247" s="1" t="s">
        <v>100</v>
      </c>
      <c r="W247">
        <v>3.2</v>
      </c>
      <c r="X247" s="1">
        <f t="shared" si="6"/>
        <v>8551.6499999999451</v>
      </c>
      <c r="Y247" s="1">
        <f t="shared" si="7"/>
        <v>5710.7699999999695</v>
      </c>
    </row>
    <row r="248" spans="1:25" x14ac:dyDescent="0.3">
      <c r="A248" s="1" t="s">
        <v>611</v>
      </c>
      <c r="B248">
        <v>1</v>
      </c>
      <c r="C248">
        <v>27.99</v>
      </c>
      <c r="D248">
        <v>27.99</v>
      </c>
      <c r="E248" s="1" t="s">
        <v>202</v>
      </c>
      <c r="F248" s="1" t="s">
        <v>40</v>
      </c>
      <c r="G248">
        <v>3</v>
      </c>
      <c r="H248" s="1" t="s">
        <v>26</v>
      </c>
      <c r="I248" s="1" t="s">
        <v>75</v>
      </c>
      <c r="J248">
        <v>9</v>
      </c>
      <c r="K248">
        <v>27.99</v>
      </c>
      <c r="L248" s="1" t="s">
        <v>28</v>
      </c>
      <c r="M248" s="1" t="s">
        <v>61</v>
      </c>
      <c r="N248" s="1" t="s">
        <v>62</v>
      </c>
      <c r="O248" s="1" t="s">
        <v>31</v>
      </c>
      <c r="P248" s="2">
        <v>45726</v>
      </c>
      <c r="Q248" s="1" t="s">
        <v>71</v>
      </c>
      <c r="R248" s="1" t="s">
        <v>72</v>
      </c>
      <c r="S248" s="1" t="s">
        <v>47</v>
      </c>
      <c r="T248" s="1" t="s">
        <v>35</v>
      </c>
      <c r="U248" s="1" t="s">
        <v>36</v>
      </c>
      <c r="V248" s="1" t="s">
        <v>37</v>
      </c>
      <c r="W248">
        <v>2</v>
      </c>
      <c r="X248" s="1">
        <f t="shared" si="6"/>
        <v>8313.6899999999459</v>
      </c>
      <c r="Y248" s="1">
        <f t="shared" si="7"/>
        <v>6355.4899999999634</v>
      </c>
    </row>
    <row r="249" spans="1:25" x14ac:dyDescent="0.3">
      <c r="A249" s="1" t="s">
        <v>612</v>
      </c>
      <c r="B249">
        <v>2</v>
      </c>
      <c r="C249">
        <v>21.99</v>
      </c>
      <c r="D249">
        <v>37.979999999999997</v>
      </c>
      <c r="E249" s="1" t="s">
        <v>84</v>
      </c>
      <c r="F249" s="1" t="s">
        <v>40</v>
      </c>
      <c r="G249">
        <v>3</v>
      </c>
      <c r="H249" s="1" t="s">
        <v>96</v>
      </c>
      <c r="I249" s="1" t="s">
        <v>27</v>
      </c>
      <c r="J249">
        <v>7</v>
      </c>
      <c r="K249">
        <v>21.99</v>
      </c>
      <c r="L249" s="1" t="s">
        <v>28</v>
      </c>
      <c r="M249" s="1" t="s">
        <v>29</v>
      </c>
      <c r="N249" s="1" t="s">
        <v>30</v>
      </c>
      <c r="O249" s="1" t="s">
        <v>31</v>
      </c>
      <c r="P249" s="2">
        <v>45778</v>
      </c>
      <c r="Q249" s="1" t="s">
        <v>161</v>
      </c>
      <c r="R249" s="1" t="s">
        <v>162</v>
      </c>
      <c r="S249" s="1" t="s">
        <v>54</v>
      </c>
      <c r="T249" s="1" t="s">
        <v>35</v>
      </c>
      <c r="U249" s="1" t="s">
        <v>36</v>
      </c>
      <c r="V249" s="1" t="s">
        <v>37</v>
      </c>
      <c r="W249">
        <v>2</v>
      </c>
      <c r="X249" s="1">
        <f t="shared" si="6"/>
        <v>7844.9099999999507</v>
      </c>
      <c r="Y249" s="1">
        <f t="shared" si="7"/>
        <v>6355.4899999999634</v>
      </c>
    </row>
    <row r="250" spans="1:25" x14ac:dyDescent="0.3">
      <c r="A250" s="1" t="s">
        <v>613</v>
      </c>
      <c r="B250">
        <v>1</v>
      </c>
      <c r="C250">
        <v>16.989999999999998</v>
      </c>
      <c r="D250">
        <v>16.989999999999998</v>
      </c>
      <c r="E250" s="1" t="s">
        <v>95</v>
      </c>
      <c r="F250" s="1" t="s">
        <v>40</v>
      </c>
      <c r="G250">
        <v>17</v>
      </c>
      <c r="H250" s="1" t="s">
        <v>96</v>
      </c>
      <c r="I250" s="1" t="s">
        <v>59</v>
      </c>
      <c r="J250">
        <v>5</v>
      </c>
      <c r="K250">
        <v>16.989999999999998</v>
      </c>
      <c r="L250" s="1" t="s">
        <v>60</v>
      </c>
      <c r="M250" s="1" t="s">
        <v>61</v>
      </c>
      <c r="N250" s="1" t="s">
        <v>62</v>
      </c>
      <c r="O250" s="1" t="s">
        <v>31</v>
      </c>
      <c r="P250" s="2">
        <v>45726</v>
      </c>
      <c r="Q250" s="1" t="s">
        <v>379</v>
      </c>
      <c r="R250" s="1" t="s">
        <v>614</v>
      </c>
      <c r="S250" s="1" t="s">
        <v>47</v>
      </c>
      <c r="T250" s="1" t="s">
        <v>35</v>
      </c>
      <c r="U250" s="1" t="s">
        <v>48</v>
      </c>
      <c r="V250" s="1" t="s">
        <v>67</v>
      </c>
      <c r="W250">
        <v>3</v>
      </c>
      <c r="X250" s="1">
        <f t="shared" si="6"/>
        <v>7844.9099999999507</v>
      </c>
      <c r="Y250" s="1">
        <f t="shared" si="7"/>
        <v>7682.919999999951</v>
      </c>
    </row>
    <row r="251" spans="1:25" x14ac:dyDescent="0.3">
      <c r="A251" s="1" t="s">
        <v>615</v>
      </c>
      <c r="B251">
        <v>1</v>
      </c>
      <c r="C251">
        <v>18.989999999999998</v>
      </c>
      <c r="D251">
        <v>18.989999999999998</v>
      </c>
      <c r="E251" s="1" t="s">
        <v>536</v>
      </c>
      <c r="F251" s="1" t="s">
        <v>70</v>
      </c>
      <c r="G251">
        <v>0</v>
      </c>
      <c r="H251" s="1" t="s">
        <v>26</v>
      </c>
      <c r="I251" s="1" t="s">
        <v>97</v>
      </c>
      <c r="J251">
        <v>6</v>
      </c>
      <c r="K251">
        <v>18.989999999999998</v>
      </c>
      <c r="L251" s="1" t="s">
        <v>60</v>
      </c>
      <c r="M251" s="1" t="s">
        <v>43</v>
      </c>
      <c r="N251" s="1" t="s">
        <v>44</v>
      </c>
      <c r="O251" s="1" t="s">
        <v>31</v>
      </c>
      <c r="P251" s="2">
        <v>45823</v>
      </c>
      <c r="Q251" s="1" t="s">
        <v>420</v>
      </c>
      <c r="R251" s="1" t="s">
        <v>423</v>
      </c>
      <c r="S251" s="1" t="s">
        <v>105</v>
      </c>
      <c r="T251" s="1" t="s">
        <v>35</v>
      </c>
      <c r="U251" s="1" t="s">
        <v>82</v>
      </c>
      <c r="V251" s="1" t="s">
        <v>100</v>
      </c>
      <c r="W251">
        <v>3.2</v>
      </c>
      <c r="X251" s="1">
        <f t="shared" si="6"/>
        <v>8313.6899999999459</v>
      </c>
      <c r="Y251" s="1">
        <f t="shared" si="7"/>
        <v>7204.2099999999582</v>
      </c>
    </row>
    <row r="252" spans="1:25" x14ac:dyDescent="0.3">
      <c r="A252" s="1" t="s">
        <v>616</v>
      </c>
      <c r="B252">
        <v>1</v>
      </c>
      <c r="C252">
        <v>18.989999999999998</v>
      </c>
      <c r="D252">
        <v>18.989999999999998</v>
      </c>
      <c r="E252" s="1" t="s">
        <v>617</v>
      </c>
      <c r="F252" s="1" t="s">
        <v>188</v>
      </c>
      <c r="G252">
        <v>0</v>
      </c>
      <c r="H252" s="1" t="s">
        <v>58</v>
      </c>
      <c r="I252" s="1" t="s">
        <v>97</v>
      </c>
      <c r="J252">
        <v>6</v>
      </c>
      <c r="K252">
        <v>18.989999999999998</v>
      </c>
      <c r="L252" s="1" t="s">
        <v>60</v>
      </c>
      <c r="M252" s="1" t="s">
        <v>43</v>
      </c>
      <c r="N252" s="1" t="s">
        <v>44</v>
      </c>
      <c r="O252" s="1" t="s">
        <v>31</v>
      </c>
      <c r="P252" s="2">
        <v>45823</v>
      </c>
      <c r="Q252" s="1" t="s">
        <v>518</v>
      </c>
      <c r="R252" s="1" t="s">
        <v>519</v>
      </c>
      <c r="S252" s="1" t="s">
        <v>54</v>
      </c>
      <c r="T252" s="1" t="s">
        <v>35</v>
      </c>
      <c r="U252" s="1" t="s">
        <v>55</v>
      </c>
      <c r="V252" s="1" t="s">
        <v>100</v>
      </c>
      <c r="W252">
        <v>3.2</v>
      </c>
      <c r="X252" s="1">
        <f t="shared" si="6"/>
        <v>8640.6199999999462</v>
      </c>
      <c r="Y252" s="1">
        <f t="shared" si="7"/>
        <v>5710.7699999999695</v>
      </c>
    </row>
    <row r="253" spans="1:25" x14ac:dyDescent="0.3">
      <c r="A253" s="1" t="s">
        <v>618</v>
      </c>
      <c r="B253">
        <v>3</v>
      </c>
      <c r="C253">
        <v>16.989999999999998</v>
      </c>
      <c r="D253">
        <v>40.18</v>
      </c>
      <c r="E253" s="1" t="s">
        <v>39</v>
      </c>
      <c r="F253" s="1" t="s">
        <v>40</v>
      </c>
      <c r="G253">
        <v>19</v>
      </c>
      <c r="H253" s="1" t="s">
        <v>41</v>
      </c>
      <c r="I253" s="1" t="s">
        <v>59</v>
      </c>
      <c r="J253">
        <v>5</v>
      </c>
      <c r="K253">
        <v>16.989999999999998</v>
      </c>
      <c r="L253" s="1" t="s">
        <v>60</v>
      </c>
      <c r="M253" s="1" t="s">
        <v>61</v>
      </c>
      <c r="N253" s="1" t="s">
        <v>62</v>
      </c>
      <c r="O253" s="1" t="s">
        <v>31</v>
      </c>
      <c r="P253" s="2">
        <v>45726</v>
      </c>
      <c r="Q253" s="1" t="s">
        <v>349</v>
      </c>
      <c r="R253" s="1" t="s">
        <v>619</v>
      </c>
      <c r="S253" s="1" t="s">
        <v>65</v>
      </c>
      <c r="T253" s="1" t="s">
        <v>35</v>
      </c>
      <c r="U253" s="1" t="s">
        <v>82</v>
      </c>
      <c r="V253" s="1" t="s">
        <v>67</v>
      </c>
      <c r="W253">
        <v>3</v>
      </c>
      <c r="X253" s="1">
        <f t="shared" si="6"/>
        <v>8551.6499999999451</v>
      </c>
      <c r="Y253" s="1">
        <f t="shared" si="7"/>
        <v>7204.2099999999582</v>
      </c>
    </row>
    <row r="254" spans="1:25" x14ac:dyDescent="0.3">
      <c r="A254" s="1" t="s">
        <v>620</v>
      </c>
      <c r="B254">
        <v>1</v>
      </c>
      <c r="C254">
        <v>16.989999999999998</v>
      </c>
      <c r="D254">
        <v>16.989999999999998</v>
      </c>
      <c r="E254" s="1" t="s">
        <v>121</v>
      </c>
      <c r="F254" s="1" t="s">
        <v>70</v>
      </c>
      <c r="G254">
        <v>0</v>
      </c>
      <c r="H254" s="1" t="s">
        <v>26</v>
      </c>
      <c r="I254" s="1" t="s">
        <v>59</v>
      </c>
      <c r="J254">
        <v>5</v>
      </c>
      <c r="K254">
        <v>16.989999999999998</v>
      </c>
      <c r="L254" s="1" t="s">
        <v>60</v>
      </c>
      <c r="M254" s="1" t="s">
        <v>61</v>
      </c>
      <c r="N254" s="1" t="s">
        <v>62</v>
      </c>
      <c r="O254" s="1" t="s">
        <v>31</v>
      </c>
      <c r="P254" s="2">
        <v>45726</v>
      </c>
      <c r="Q254" s="1" t="s">
        <v>278</v>
      </c>
      <c r="R254" s="1" t="s">
        <v>279</v>
      </c>
      <c r="S254" s="1" t="s">
        <v>54</v>
      </c>
      <c r="T254" s="1" t="s">
        <v>35</v>
      </c>
      <c r="U254" s="1" t="s">
        <v>36</v>
      </c>
      <c r="V254" s="1" t="s">
        <v>67</v>
      </c>
      <c r="W254">
        <v>3</v>
      </c>
      <c r="X254" s="1">
        <f t="shared" si="6"/>
        <v>8313.6899999999459</v>
      </c>
      <c r="Y254" s="1">
        <f t="shared" si="7"/>
        <v>6355.4899999999634</v>
      </c>
    </row>
    <row r="255" spans="1:25" x14ac:dyDescent="0.3">
      <c r="A255" s="1" t="s">
        <v>621</v>
      </c>
      <c r="B255">
        <v>3</v>
      </c>
      <c r="C255">
        <v>16.989999999999998</v>
      </c>
      <c r="D255">
        <v>40.18</v>
      </c>
      <c r="E255" s="1" t="s">
        <v>79</v>
      </c>
      <c r="F255" s="1" t="s">
        <v>40</v>
      </c>
      <c r="G255">
        <v>19</v>
      </c>
      <c r="H255" s="1" t="s">
        <v>58</v>
      </c>
      <c r="I255" s="1" t="s">
        <v>59</v>
      </c>
      <c r="J255">
        <v>5</v>
      </c>
      <c r="K255">
        <v>16.989999999999998</v>
      </c>
      <c r="L255" s="1" t="s">
        <v>60</v>
      </c>
      <c r="M255" s="1" t="s">
        <v>61</v>
      </c>
      <c r="N255" s="1" t="s">
        <v>62</v>
      </c>
      <c r="O255" s="1" t="s">
        <v>31</v>
      </c>
      <c r="P255" s="2">
        <v>45726</v>
      </c>
      <c r="Q255" s="1" t="s">
        <v>314</v>
      </c>
      <c r="R255" s="1" t="s">
        <v>315</v>
      </c>
      <c r="S255" s="1" t="s">
        <v>34</v>
      </c>
      <c r="T255" s="1" t="s">
        <v>35</v>
      </c>
      <c r="U255" s="1" t="s">
        <v>82</v>
      </c>
      <c r="V255" s="1" t="s">
        <v>67</v>
      </c>
      <c r="W255">
        <v>3</v>
      </c>
      <c r="X255" s="1">
        <f t="shared" si="6"/>
        <v>8640.6199999999462</v>
      </c>
      <c r="Y255" s="1">
        <f t="shared" si="7"/>
        <v>7204.2099999999582</v>
      </c>
    </row>
    <row r="256" spans="1:25" x14ac:dyDescent="0.3">
      <c r="A256" s="1" t="s">
        <v>622</v>
      </c>
      <c r="B256">
        <v>1</v>
      </c>
      <c r="C256">
        <v>34.99</v>
      </c>
      <c r="D256">
        <v>34.99</v>
      </c>
      <c r="E256" s="1" t="s">
        <v>95</v>
      </c>
      <c r="F256" s="1" t="s">
        <v>40</v>
      </c>
      <c r="G256">
        <v>9</v>
      </c>
      <c r="H256" s="1" t="s">
        <v>96</v>
      </c>
      <c r="I256" s="1" t="s">
        <v>85</v>
      </c>
      <c r="J256">
        <v>12.5</v>
      </c>
      <c r="K256">
        <v>34.99</v>
      </c>
      <c r="L256" s="1" t="s">
        <v>60</v>
      </c>
      <c r="M256" s="1" t="s">
        <v>29</v>
      </c>
      <c r="N256" s="1" t="s">
        <v>30</v>
      </c>
      <c r="O256" s="1" t="s">
        <v>31</v>
      </c>
      <c r="P256" s="2">
        <v>45778</v>
      </c>
      <c r="Q256" s="1" t="s">
        <v>63</v>
      </c>
      <c r="R256" s="1" t="s">
        <v>64</v>
      </c>
      <c r="S256" s="1" t="s">
        <v>65</v>
      </c>
      <c r="T256" s="1" t="s">
        <v>35</v>
      </c>
      <c r="U256" s="1" t="s">
        <v>66</v>
      </c>
      <c r="V256" s="1" t="s">
        <v>89</v>
      </c>
      <c r="W256">
        <v>2.4</v>
      </c>
      <c r="X256" s="1">
        <f t="shared" si="6"/>
        <v>7844.9099999999507</v>
      </c>
      <c r="Y256" s="1">
        <f t="shared" si="7"/>
        <v>6397.4799999999632</v>
      </c>
    </row>
    <row r="257" spans="1:25" x14ac:dyDescent="0.3">
      <c r="A257" s="1" t="s">
        <v>623</v>
      </c>
      <c r="B257">
        <v>1</v>
      </c>
      <c r="C257">
        <v>27.99</v>
      </c>
      <c r="D257">
        <v>27.99</v>
      </c>
      <c r="E257" s="1" t="s">
        <v>260</v>
      </c>
      <c r="F257" s="1" t="s">
        <v>51</v>
      </c>
      <c r="G257">
        <v>0</v>
      </c>
      <c r="H257" s="1" t="s">
        <v>58</v>
      </c>
      <c r="I257" s="1" t="s">
        <v>75</v>
      </c>
      <c r="J257">
        <v>9</v>
      </c>
      <c r="K257">
        <v>27.99</v>
      </c>
      <c r="L257" s="1" t="s">
        <v>624</v>
      </c>
      <c r="M257" s="1" t="s">
        <v>61</v>
      </c>
      <c r="N257" s="1" t="s">
        <v>62</v>
      </c>
      <c r="O257" s="1" t="s">
        <v>31</v>
      </c>
      <c r="P257" s="2">
        <v>45726</v>
      </c>
      <c r="Q257" s="1" t="s">
        <v>165</v>
      </c>
      <c r="R257" s="1" t="s">
        <v>562</v>
      </c>
      <c r="S257" s="1" t="s">
        <v>34</v>
      </c>
      <c r="T257" s="1" t="s">
        <v>35</v>
      </c>
      <c r="U257" s="1" t="s">
        <v>48</v>
      </c>
      <c r="V257" s="1" t="s">
        <v>37</v>
      </c>
      <c r="W257">
        <v>2</v>
      </c>
      <c r="X257" s="1">
        <f t="shared" si="6"/>
        <v>8640.6199999999462</v>
      </c>
      <c r="Y257" s="1">
        <f t="shared" si="7"/>
        <v>7682.919999999951</v>
      </c>
    </row>
    <row r="258" spans="1:25" x14ac:dyDescent="0.3">
      <c r="A258" s="1" t="s">
        <v>625</v>
      </c>
      <c r="B258">
        <v>1</v>
      </c>
      <c r="C258">
        <v>30.99</v>
      </c>
      <c r="D258">
        <v>30.99</v>
      </c>
      <c r="E258" s="1" t="s">
        <v>252</v>
      </c>
      <c r="F258" s="1" t="s">
        <v>40</v>
      </c>
      <c r="G258">
        <v>2</v>
      </c>
      <c r="H258" s="1" t="s">
        <v>41</v>
      </c>
      <c r="I258" s="1" t="s">
        <v>42</v>
      </c>
      <c r="J258">
        <v>10.5</v>
      </c>
      <c r="K258">
        <v>30.99</v>
      </c>
      <c r="L258" s="1" t="s">
        <v>28</v>
      </c>
      <c r="M258" s="1" t="s">
        <v>43</v>
      </c>
      <c r="N258" s="1" t="s">
        <v>44</v>
      </c>
      <c r="O258" s="1" t="s">
        <v>31</v>
      </c>
      <c r="P258" s="2">
        <v>45823</v>
      </c>
      <c r="Q258" s="1" t="s">
        <v>157</v>
      </c>
      <c r="R258" s="1" t="s">
        <v>158</v>
      </c>
      <c r="S258" s="1" t="s">
        <v>34</v>
      </c>
      <c r="T258" s="1" t="s">
        <v>35</v>
      </c>
      <c r="U258" s="1" t="s">
        <v>82</v>
      </c>
      <c r="V258" s="1" t="s">
        <v>37</v>
      </c>
      <c r="W258">
        <v>2</v>
      </c>
      <c r="X258" s="1">
        <f t="shared" ref="X258:X321" si="8">SUMIF(H:H,H258,K:K)</f>
        <v>8551.6499999999451</v>
      </c>
      <c r="Y258" s="1">
        <f t="shared" ref="Y258:Y321" si="9">SUMIF(U:U,U258,K:K)</f>
        <v>7204.2099999999582</v>
      </c>
    </row>
    <row r="259" spans="1:25" x14ac:dyDescent="0.3">
      <c r="A259" s="1" t="s">
        <v>626</v>
      </c>
      <c r="B259">
        <v>1</v>
      </c>
      <c r="C259">
        <v>30.99</v>
      </c>
      <c r="D259">
        <v>30.99</v>
      </c>
      <c r="E259" s="1" t="s">
        <v>327</v>
      </c>
      <c r="F259" s="1" t="s">
        <v>51</v>
      </c>
      <c r="G259">
        <v>0</v>
      </c>
      <c r="H259" s="1" t="s">
        <v>58</v>
      </c>
      <c r="I259" s="1" t="s">
        <v>42</v>
      </c>
      <c r="J259">
        <v>10.5</v>
      </c>
      <c r="K259">
        <v>30.99</v>
      </c>
      <c r="L259" s="1" t="s">
        <v>28</v>
      </c>
      <c r="M259" s="1" t="s">
        <v>43</v>
      </c>
      <c r="N259" s="1" t="s">
        <v>44</v>
      </c>
      <c r="O259" s="1" t="s">
        <v>31</v>
      </c>
      <c r="P259" s="2">
        <v>45823</v>
      </c>
      <c r="Q259" s="1" t="s">
        <v>63</v>
      </c>
      <c r="R259" s="1" t="s">
        <v>371</v>
      </c>
      <c r="S259" s="1" t="s">
        <v>88</v>
      </c>
      <c r="T259" s="1" t="s">
        <v>35</v>
      </c>
      <c r="U259" s="1" t="s">
        <v>36</v>
      </c>
      <c r="V259" s="1" t="s">
        <v>37</v>
      </c>
      <c r="W259">
        <v>2</v>
      </c>
      <c r="X259" s="1">
        <f t="shared" si="8"/>
        <v>8640.6199999999462</v>
      </c>
      <c r="Y259" s="1">
        <f t="shared" si="9"/>
        <v>6355.4899999999634</v>
      </c>
    </row>
    <row r="260" spans="1:25" x14ac:dyDescent="0.3">
      <c r="A260" s="1" t="s">
        <v>627</v>
      </c>
      <c r="B260">
        <v>1</v>
      </c>
      <c r="C260">
        <v>27.99</v>
      </c>
      <c r="D260">
        <v>27.99</v>
      </c>
      <c r="E260" s="1" t="s">
        <v>628</v>
      </c>
      <c r="F260" s="1" t="s">
        <v>40</v>
      </c>
      <c r="G260">
        <v>3</v>
      </c>
      <c r="H260" s="1" t="s">
        <v>96</v>
      </c>
      <c r="I260" s="1" t="s">
        <v>75</v>
      </c>
      <c r="J260">
        <v>9</v>
      </c>
      <c r="K260">
        <v>27.99</v>
      </c>
      <c r="L260" s="1" t="s">
        <v>28</v>
      </c>
      <c r="M260" s="1" t="s">
        <v>61</v>
      </c>
      <c r="N260" s="1" t="s">
        <v>62</v>
      </c>
      <c r="O260" s="1" t="s">
        <v>31</v>
      </c>
      <c r="P260" s="2">
        <v>45726</v>
      </c>
      <c r="Q260" s="1" t="s">
        <v>249</v>
      </c>
      <c r="R260" s="1" t="s">
        <v>250</v>
      </c>
      <c r="S260" s="1" t="s">
        <v>47</v>
      </c>
      <c r="T260" s="1" t="s">
        <v>35</v>
      </c>
      <c r="U260" s="1" t="s">
        <v>82</v>
      </c>
      <c r="V260" s="1" t="s">
        <v>37</v>
      </c>
      <c r="W260">
        <v>2</v>
      </c>
      <c r="X260" s="1">
        <f t="shared" si="8"/>
        <v>7844.9099999999507</v>
      </c>
      <c r="Y260" s="1">
        <f t="shared" si="9"/>
        <v>7204.2099999999582</v>
      </c>
    </row>
    <row r="261" spans="1:25" x14ac:dyDescent="0.3">
      <c r="A261" s="1" t="s">
        <v>629</v>
      </c>
      <c r="B261">
        <v>3</v>
      </c>
      <c r="C261">
        <v>34.99</v>
      </c>
      <c r="D261">
        <v>84.73</v>
      </c>
      <c r="E261" s="1" t="s">
        <v>447</v>
      </c>
      <c r="F261" s="1" t="s">
        <v>40</v>
      </c>
      <c r="G261">
        <v>6</v>
      </c>
      <c r="H261" s="1" t="s">
        <v>96</v>
      </c>
      <c r="I261" s="1" t="s">
        <v>85</v>
      </c>
      <c r="J261">
        <v>12.5</v>
      </c>
      <c r="K261">
        <v>34.99</v>
      </c>
      <c r="L261" s="1" t="s">
        <v>60</v>
      </c>
      <c r="M261" s="1" t="s">
        <v>29</v>
      </c>
      <c r="N261" s="1" t="s">
        <v>30</v>
      </c>
      <c r="O261" s="1" t="s">
        <v>31</v>
      </c>
      <c r="P261" s="2">
        <v>45778</v>
      </c>
      <c r="Q261" s="1" t="s">
        <v>630</v>
      </c>
      <c r="R261" s="1" t="s">
        <v>631</v>
      </c>
      <c r="S261" s="1" t="s">
        <v>88</v>
      </c>
      <c r="T261" s="1" t="s">
        <v>35</v>
      </c>
      <c r="U261" s="1" t="s">
        <v>36</v>
      </c>
      <c r="V261" s="1" t="s">
        <v>89</v>
      </c>
      <c r="W261">
        <v>2.4</v>
      </c>
      <c r="X261" s="1">
        <f t="shared" si="8"/>
        <v>7844.9099999999507</v>
      </c>
      <c r="Y261" s="1">
        <f t="shared" si="9"/>
        <v>6355.4899999999634</v>
      </c>
    </row>
    <row r="262" spans="1:25" x14ac:dyDescent="0.3">
      <c r="A262" s="1" t="s">
        <v>632</v>
      </c>
      <c r="B262">
        <v>1</v>
      </c>
      <c r="C262">
        <v>18.989999999999998</v>
      </c>
      <c r="D262">
        <v>18.989999999999998</v>
      </c>
      <c r="E262" s="1" t="s">
        <v>561</v>
      </c>
      <c r="F262" s="1" t="s">
        <v>40</v>
      </c>
      <c r="G262">
        <v>13</v>
      </c>
      <c r="H262" s="1" t="s">
        <v>96</v>
      </c>
      <c r="I262" s="1" t="s">
        <v>97</v>
      </c>
      <c r="J262">
        <v>6</v>
      </c>
      <c r="K262">
        <v>18.989999999999998</v>
      </c>
      <c r="L262" s="1" t="s">
        <v>60</v>
      </c>
      <c r="M262" s="1" t="s">
        <v>43</v>
      </c>
      <c r="N262" s="1" t="s">
        <v>44</v>
      </c>
      <c r="O262" s="1" t="s">
        <v>31</v>
      </c>
      <c r="P262" s="2">
        <v>45823</v>
      </c>
      <c r="Q262" s="1" t="s">
        <v>462</v>
      </c>
      <c r="R262" s="1" t="s">
        <v>463</v>
      </c>
      <c r="S262" s="1" t="s">
        <v>54</v>
      </c>
      <c r="T262" s="1" t="s">
        <v>35</v>
      </c>
      <c r="U262" s="1" t="s">
        <v>36</v>
      </c>
      <c r="V262" s="1" t="s">
        <v>100</v>
      </c>
      <c r="W262">
        <v>3.2</v>
      </c>
      <c r="X262" s="1">
        <f t="shared" si="8"/>
        <v>7844.9099999999507</v>
      </c>
      <c r="Y262" s="1">
        <f t="shared" si="9"/>
        <v>6355.4899999999634</v>
      </c>
    </row>
    <row r="263" spans="1:25" x14ac:dyDescent="0.3">
      <c r="A263" s="1" t="s">
        <v>633</v>
      </c>
      <c r="B263">
        <v>3</v>
      </c>
      <c r="C263">
        <v>21.99</v>
      </c>
      <c r="D263">
        <v>52.48</v>
      </c>
      <c r="E263" s="1" t="s">
        <v>419</v>
      </c>
      <c r="F263" s="1" t="s">
        <v>188</v>
      </c>
      <c r="G263">
        <v>0</v>
      </c>
      <c r="H263" s="1" t="s">
        <v>41</v>
      </c>
      <c r="I263" s="1" t="s">
        <v>27</v>
      </c>
      <c r="J263">
        <v>7</v>
      </c>
      <c r="K263">
        <v>21.99</v>
      </c>
      <c r="L263" s="1" t="s">
        <v>28</v>
      </c>
      <c r="M263" s="1" t="s">
        <v>29</v>
      </c>
      <c r="N263" s="1" t="s">
        <v>30</v>
      </c>
      <c r="O263" s="1" t="s">
        <v>31</v>
      </c>
      <c r="P263" s="2">
        <v>45778</v>
      </c>
      <c r="Q263" s="1" t="s">
        <v>466</v>
      </c>
      <c r="R263" s="1" t="s">
        <v>467</v>
      </c>
      <c r="S263" s="1" t="s">
        <v>65</v>
      </c>
      <c r="T263" s="1" t="s">
        <v>35</v>
      </c>
      <c r="U263" s="1" t="s">
        <v>36</v>
      </c>
      <c r="V263" s="1" t="s">
        <v>37</v>
      </c>
      <c r="W263">
        <v>2</v>
      </c>
      <c r="X263" s="1">
        <f t="shared" si="8"/>
        <v>8551.6499999999451</v>
      </c>
      <c r="Y263" s="1">
        <f t="shared" si="9"/>
        <v>6355.4899999999634</v>
      </c>
    </row>
    <row r="264" spans="1:25" x14ac:dyDescent="0.3">
      <c r="A264" s="1" t="s">
        <v>634</v>
      </c>
      <c r="B264">
        <v>1</v>
      </c>
      <c r="C264">
        <v>18.989999999999998</v>
      </c>
      <c r="D264">
        <v>18.989999999999998</v>
      </c>
      <c r="E264" s="1" t="s">
        <v>168</v>
      </c>
      <c r="F264" s="1" t="s">
        <v>40</v>
      </c>
      <c r="G264">
        <v>13</v>
      </c>
      <c r="H264" s="1" t="s">
        <v>41</v>
      </c>
      <c r="I264" s="1" t="s">
        <v>97</v>
      </c>
      <c r="J264">
        <v>6</v>
      </c>
      <c r="K264">
        <v>18.989999999999998</v>
      </c>
      <c r="L264" s="1" t="s">
        <v>60</v>
      </c>
      <c r="M264" s="1" t="s">
        <v>43</v>
      </c>
      <c r="N264" s="1" t="s">
        <v>44</v>
      </c>
      <c r="O264" s="1" t="s">
        <v>31</v>
      </c>
      <c r="P264" s="2">
        <v>45823</v>
      </c>
      <c r="Q264" s="1" t="s">
        <v>98</v>
      </c>
      <c r="R264" s="1" t="s">
        <v>99</v>
      </c>
      <c r="S264" s="1" t="s">
        <v>47</v>
      </c>
      <c r="T264" s="1" t="s">
        <v>35</v>
      </c>
      <c r="U264" s="1" t="s">
        <v>66</v>
      </c>
      <c r="V264" s="1" t="s">
        <v>100</v>
      </c>
      <c r="W264">
        <v>3.2</v>
      </c>
      <c r="X264" s="1">
        <f t="shared" si="8"/>
        <v>8551.6499999999451</v>
      </c>
      <c r="Y264" s="1">
        <f t="shared" si="9"/>
        <v>6397.4799999999632</v>
      </c>
    </row>
    <row r="265" spans="1:25" x14ac:dyDescent="0.3">
      <c r="A265" s="1" t="s">
        <v>635</v>
      </c>
      <c r="B265">
        <v>2</v>
      </c>
      <c r="C265">
        <v>18.989999999999998</v>
      </c>
      <c r="D265">
        <v>32.78</v>
      </c>
      <c r="E265" s="1" t="s">
        <v>192</v>
      </c>
      <c r="F265" s="1" t="s">
        <v>40</v>
      </c>
      <c r="G265">
        <v>13</v>
      </c>
      <c r="H265" s="1" t="s">
        <v>41</v>
      </c>
      <c r="I265" s="1" t="s">
        <v>97</v>
      </c>
      <c r="J265">
        <v>6</v>
      </c>
      <c r="K265">
        <v>18.989999999999998</v>
      </c>
      <c r="L265" s="1" t="s">
        <v>60</v>
      </c>
      <c r="M265" s="1" t="s">
        <v>43</v>
      </c>
      <c r="N265" s="1" t="s">
        <v>44</v>
      </c>
      <c r="O265" s="1" t="s">
        <v>31</v>
      </c>
      <c r="P265" s="2">
        <v>45823</v>
      </c>
      <c r="Q265" s="1" t="s">
        <v>63</v>
      </c>
      <c r="R265" s="1" t="s">
        <v>371</v>
      </c>
      <c r="S265" s="1" t="s">
        <v>88</v>
      </c>
      <c r="T265" s="1" t="s">
        <v>35</v>
      </c>
      <c r="U265" s="1" t="s">
        <v>36</v>
      </c>
      <c r="V265" s="1" t="s">
        <v>100</v>
      </c>
      <c r="W265">
        <v>3.2</v>
      </c>
      <c r="X265" s="1">
        <f t="shared" si="8"/>
        <v>8551.6499999999451</v>
      </c>
      <c r="Y265" s="1">
        <f t="shared" si="9"/>
        <v>6355.4899999999634</v>
      </c>
    </row>
    <row r="266" spans="1:25" x14ac:dyDescent="0.3">
      <c r="A266" s="1" t="s">
        <v>636</v>
      </c>
      <c r="B266">
        <v>2</v>
      </c>
      <c r="C266">
        <v>27.99</v>
      </c>
      <c r="D266">
        <v>48.38</v>
      </c>
      <c r="E266" s="1" t="s">
        <v>79</v>
      </c>
      <c r="F266" s="1" t="s">
        <v>51</v>
      </c>
      <c r="G266">
        <v>0</v>
      </c>
      <c r="H266" s="1" t="s">
        <v>58</v>
      </c>
      <c r="I266" s="1" t="s">
        <v>75</v>
      </c>
      <c r="J266">
        <v>9</v>
      </c>
      <c r="K266">
        <v>27.99</v>
      </c>
      <c r="L266" s="1" t="s">
        <v>28</v>
      </c>
      <c r="M266" s="1" t="s">
        <v>61</v>
      </c>
      <c r="N266" s="1" t="s">
        <v>62</v>
      </c>
      <c r="O266" s="1" t="s">
        <v>31</v>
      </c>
      <c r="P266" s="2">
        <v>45726</v>
      </c>
      <c r="Q266" s="1" t="s">
        <v>216</v>
      </c>
      <c r="R266" s="1" t="s">
        <v>217</v>
      </c>
      <c r="S266" s="1" t="s">
        <v>65</v>
      </c>
      <c r="T266" s="1" t="s">
        <v>35</v>
      </c>
      <c r="U266" s="1" t="s">
        <v>82</v>
      </c>
      <c r="V266" s="1" t="s">
        <v>37</v>
      </c>
      <c r="W266">
        <v>2</v>
      </c>
      <c r="X266" s="1">
        <f t="shared" si="8"/>
        <v>8640.6199999999462</v>
      </c>
      <c r="Y266" s="1">
        <f t="shared" si="9"/>
        <v>7204.2099999999582</v>
      </c>
    </row>
    <row r="267" spans="1:25" x14ac:dyDescent="0.3">
      <c r="A267" s="1" t="s">
        <v>637</v>
      </c>
      <c r="B267">
        <v>2</v>
      </c>
      <c r="C267">
        <v>21.99</v>
      </c>
      <c r="D267">
        <v>37.979999999999997</v>
      </c>
      <c r="E267" s="1" t="s">
        <v>389</v>
      </c>
      <c r="F267" s="1" t="s">
        <v>40</v>
      </c>
      <c r="G267">
        <v>3</v>
      </c>
      <c r="H267" s="1" t="s">
        <v>96</v>
      </c>
      <c r="I267" s="1" t="s">
        <v>27</v>
      </c>
      <c r="J267">
        <v>7</v>
      </c>
      <c r="K267">
        <v>21.99</v>
      </c>
      <c r="L267" s="1" t="s">
        <v>28</v>
      </c>
      <c r="M267" s="1" t="s">
        <v>29</v>
      </c>
      <c r="N267" s="1" t="s">
        <v>30</v>
      </c>
      <c r="O267" s="1" t="s">
        <v>31</v>
      </c>
      <c r="P267" s="2">
        <v>45778</v>
      </c>
      <c r="Q267" s="1" t="s">
        <v>161</v>
      </c>
      <c r="R267" s="1" t="s">
        <v>179</v>
      </c>
      <c r="S267" s="1" t="s">
        <v>105</v>
      </c>
      <c r="T267" s="1" t="s">
        <v>35</v>
      </c>
      <c r="U267" s="1" t="s">
        <v>82</v>
      </c>
      <c r="V267" s="1" t="s">
        <v>37</v>
      </c>
      <c r="W267">
        <v>2</v>
      </c>
      <c r="X267" s="1">
        <f t="shared" si="8"/>
        <v>7844.9099999999507</v>
      </c>
      <c r="Y267" s="1">
        <f t="shared" si="9"/>
        <v>7204.2099999999582</v>
      </c>
    </row>
    <row r="268" spans="1:25" x14ac:dyDescent="0.3">
      <c r="A268" s="1" t="s">
        <v>638</v>
      </c>
      <c r="B268">
        <v>1</v>
      </c>
      <c r="C268">
        <v>34.99</v>
      </c>
      <c r="D268">
        <v>34.99</v>
      </c>
      <c r="E268" s="1" t="s">
        <v>187</v>
      </c>
      <c r="F268" s="1" t="s">
        <v>40</v>
      </c>
      <c r="G268">
        <v>6</v>
      </c>
      <c r="H268" s="1" t="s">
        <v>58</v>
      </c>
      <c r="I268" s="1" t="s">
        <v>85</v>
      </c>
      <c r="J268">
        <v>12.5</v>
      </c>
      <c r="K268">
        <v>34.99</v>
      </c>
      <c r="L268" s="1" t="s">
        <v>60</v>
      </c>
      <c r="M268" s="1" t="s">
        <v>29</v>
      </c>
      <c r="N268" s="1" t="s">
        <v>30</v>
      </c>
      <c r="O268" s="1" t="s">
        <v>31</v>
      </c>
      <c r="P268" s="2">
        <v>45778</v>
      </c>
      <c r="Q268" s="1" t="s">
        <v>253</v>
      </c>
      <c r="R268" s="1" t="s">
        <v>254</v>
      </c>
      <c r="S268" s="1" t="s">
        <v>105</v>
      </c>
      <c r="T268" s="1" t="s">
        <v>35</v>
      </c>
      <c r="U268" s="1" t="s">
        <v>48</v>
      </c>
      <c r="V268" s="1" t="s">
        <v>89</v>
      </c>
      <c r="W268">
        <v>2.4</v>
      </c>
      <c r="X268" s="1">
        <f t="shared" si="8"/>
        <v>8640.6199999999462</v>
      </c>
      <c r="Y268" s="1">
        <f t="shared" si="9"/>
        <v>7682.919999999951</v>
      </c>
    </row>
    <row r="269" spans="1:25" x14ac:dyDescent="0.3">
      <c r="A269" s="1" t="s">
        <v>639</v>
      </c>
      <c r="B269">
        <v>2</v>
      </c>
      <c r="C269">
        <v>34.99</v>
      </c>
      <c r="D269">
        <v>60.98</v>
      </c>
      <c r="E269" s="1" t="s">
        <v>452</v>
      </c>
      <c r="F269" s="1" t="s">
        <v>40</v>
      </c>
      <c r="G269">
        <v>8</v>
      </c>
      <c r="H269" s="1" t="s">
        <v>41</v>
      </c>
      <c r="I269" s="1" t="s">
        <v>85</v>
      </c>
      <c r="J269">
        <v>12.5</v>
      </c>
      <c r="K269">
        <v>34.99</v>
      </c>
      <c r="L269" s="1" t="s">
        <v>60</v>
      </c>
      <c r="M269" s="1" t="s">
        <v>29</v>
      </c>
      <c r="N269" s="1" t="s">
        <v>30</v>
      </c>
      <c r="O269" s="1" t="s">
        <v>31</v>
      </c>
      <c r="P269" s="2">
        <v>45778</v>
      </c>
      <c r="Q269" s="1" t="s">
        <v>266</v>
      </c>
      <c r="R269" s="1" t="s">
        <v>640</v>
      </c>
      <c r="S269" s="1" t="s">
        <v>34</v>
      </c>
      <c r="T269" s="1" t="s">
        <v>35</v>
      </c>
      <c r="U269" s="1" t="s">
        <v>82</v>
      </c>
      <c r="V269" s="1" t="s">
        <v>89</v>
      </c>
      <c r="W269">
        <v>2.4</v>
      </c>
      <c r="X269" s="1">
        <f t="shared" si="8"/>
        <v>8551.6499999999451</v>
      </c>
      <c r="Y269" s="1">
        <f t="shared" si="9"/>
        <v>7204.2099999999582</v>
      </c>
    </row>
    <row r="270" spans="1:25" x14ac:dyDescent="0.3">
      <c r="A270" s="1" t="s">
        <v>641</v>
      </c>
      <c r="B270">
        <v>1</v>
      </c>
      <c r="C270">
        <v>18.989999999999998</v>
      </c>
      <c r="D270">
        <v>18.989999999999998</v>
      </c>
      <c r="E270" s="1" t="s">
        <v>109</v>
      </c>
      <c r="F270" s="1" t="s">
        <v>51</v>
      </c>
      <c r="G270">
        <v>0</v>
      </c>
      <c r="H270" s="1" t="s">
        <v>96</v>
      </c>
      <c r="I270" s="1" t="s">
        <v>97</v>
      </c>
      <c r="J270">
        <v>6</v>
      </c>
      <c r="K270">
        <v>18.989999999999998</v>
      </c>
      <c r="L270" s="1" t="s">
        <v>60</v>
      </c>
      <c r="M270" s="1" t="s">
        <v>43</v>
      </c>
      <c r="N270" s="1" t="s">
        <v>44</v>
      </c>
      <c r="O270" s="1" t="s">
        <v>31</v>
      </c>
      <c r="P270" s="2">
        <v>45823</v>
      </c>
      <c r="Q270" s="1" t="s">
        <v>425</v>
      </c>
      <c r="R270" s="1" t="s">
        <v>642</v>
      </c>
      <c r="S270" s="1" t="s">
        <v>65</v>
      </c>
      <c r="T270" s="1" t="s">
        <v>35</v>
      </c>
      <c r="U270" s="1" t="s">
        <v>36</v>
      </c>
      <c r="V270" s="1" t="s">
        <v>100</v>
      </c>
      <c r="W270">
        <v>3.2</v>
      </c>
      <c r="X270" s="1">
        <f t="shared" si="8"/>
        <v>7844.9099999999507</v>
      </c>
      <c r="Y270" s="1">
        <f t="shared" si="9"/>
        <v>6355.4899999999634</v>
      </c>
    </row>
    <row r="271" spans="1:25" x14ac:dyDescent="0.3">
      <c r="A271" s="1" t="s">
        <v>643</v>
      </c>
      <c r="B271">
        <v>1</v>
      </c>
      <c r="C271">
        <v>34.99</v>
      </c>
      <c r="D271">
        <v>34.99</v>
      </c>
      <c r="E271" s="1" t="s">
        <v>644</v>
      </c>
      <c r="F271" s="1" t="s">
        <v>40</v>
      </c>
      <c r="G271">
        <v>5</v>
      </c>
      <c r="H271" s="1" t="s">
        <v>26</v>
      </c>
      <c r="I271" s="1" t="s">
        <v>85</v>
      </c>
      <c r="J271">
        <v>12.5</v>
      </c>
      <c r="K271">
        <v>34.99</v>
      </c>
      <c r="L271" s="1" t="s">
        <v>60</v>
      </c>
      <c r="M271" s="1" t="s">
        <v>29</v>
      </c>
      <c r="N271" s="1" t="s">
        <v>30</v>
      </c>
      <c r="O271" s="1" t="s">
        <v>31</v>
      </c>
      <c r="P271" s="2">
        <v>45778</v>
      </c>
      <c r="Q271" s="1" t="s">
        <v>355</v>
      </c>
      <c r="R271" s="1" t="s">
        <v>356</v>
      </c>
      <c r="S271" s="1" t="s">
        <v>34</v>
      </c>
      <c r="T271" s="1" t="s">
        <v>35</v>
      </c>
      <c r="U271" s="1" t="s">
        <v>48</v>
      </c>
      <c r="V271" s="1" t="s">
        <v>89</v>
      </c>
      <c r="W271">
        <v>2.4</v>
      </c>
      <c r="X271" s="1">
        <f t="shared" si="8"/>
        <v>8313.6899999999459</v>
      </c>
      <c r="Y271" s="1">
        <f t="shared" si="9"/>
        <v>7682.919999999951</v>
      </c>
    </row>
    <row r="272" spans="1:25" x14ac:dyDescent="0.3">
      <c r="A272" s="1" t="s">
        <v>645</v>
      </c>
      <c r="B272">
        <v>1</v>
      </c>
      <c r="C272">
        <v>30.99</v>
      </c>
      <c r="D272">
        <v>30.99</v>
      </c>
      <c r="E272" s="1" t="s">
        <v>646</v>
      </c>
      <c r="F272" s="1" t="s">
        <v>188</v>
      </c>
      <c r="G272">
        <v>0</v>
      </c>
      <c r="H272" s="1" t="s">
        <v>41</v>
      </c>
      <c r="I272" s="1" t="s">
        <v>42</v>
      </c>
      <c r="J272">
        <v>10.5</v>
      </c>
      <c r="K272">
        <v>30.99</v>
      </c>
      <c r="L272" s="1" t="s">
        <v>28</v>
      </c>
      <c r="M272" s="1" t="s">
        <v>43</v>
      </c>
      <c r="N272" s="1" t="s">
        <v>44</v>
      </c>
      <c r="O272" s="1" t="s">
        <v>31</v>
      </c>
      <c r="P272" s="2">
        <v>45823</v>
      </c>
      <c r="Q272" s="1" t="s">
        <v>647</v>
      </c>
      <c r="R272" s="1" t="s">
        <v>648</v>
      </c>
      <c r="S272" s="1" t="s">
        <v>88</v>
      </c>
      <c r="T272" s="1" t="s">
        <v>35</v>
      </c>
      <c r="U272" s="1" t="s">
        <v>82</v>
      </c>
      <c r="V272" s="1" t="s">
        <v>37</v>
      </c>
      <c r="W272">
        <v>2</v>
      </c>
      <c r="X272" s="1">
        <f t="shared" si="8"/>
        <v>8551.6499999999451</v>
      </c>
      <c r="Y272" s="1">
        <f t="shared" si="9"/>
        <v>7204.2099999999582</v>
      </c>
    </row>
    <row r="273" spans="1:25" x14ac:dyDescent="0.3">
      <c r="A273" s="1" t="s">
        <v>649</v>
      </c>
      <c r="B273">
        <v>1</v>
      </c>
      <c r="C273">
        <v>34.99</v>
      </c>
      <c r="D273">
        <v>34.99</v>
      </c>
      <c r="E273" s="1" t="s">
        <v>260</v>
      </c>
      <c r="F273" s="1" t="s">
        <v>40</v>
      </c>
      <c r="G273">
        <v>7</v>
      </c>
      <c r="H273" s="1" t="s">
        <v>26</v>
      </c>
      <c r="I273" s="1" t="s">
        <v>85</v>
      </c>
      <c r="J273">
        <v>12.5</v>
      </c>
      <c r="K273">
        <v>34.99</v>
      </c>
      <c r="L273" s="1" t="s">
        <v>60</v>
      </c>
      <c r="M273" s="1" t="s">
        <v>29</v>
      </c>
      <c r="N273" s="1" t="s">
        <v>30</v>
      </c>
      <c r="O273" s="1" t="s">
        <v>31</v>
      </c>
      <c r="P273" s="2">
        <v>45778</v>
      </c>
      <c r="Q273" s="1" t="s">
        <v>342</v>
      </c>
      <c r="R273" s="1" t="s">
        <v>599</v>
      </c>
      <c r="S273" s="1" t="s">
        <v>54</v>
      </c>
      <c r="T273" s="1" t="s">
        <v>35</v>
      </c>
      <c r="U273" s="1" t="s">
        <v>66</v>
      </c>
      <c r="V273" s="1" t="s">
        <v>89</v>
      </c>
      <c r="W273">
        <v>2.4</v>
      </c>
      <c r="X273" s="1">
        <f t="shared" si="8"/>
        <v>8313.6899999999459</v>
      </c>
      <c r="Y273" s="1">
        <f t="shared" si="9"/>
        <v>6397.4799999999632</v>
      </c>
    </row>
    <row r="274" spans="1:25" x14ac:dyDescent="0.3">
      <c r="A274" s="1" t="s">
        <v>650</v>
      </c>
      <c r="B274">
        <v>3</v>
      </c>
      <c r="C274">
        <v>34.99</v>
      </c>
      <c r="D274">
        <v>84.73</v>
      </c>
      <c r="E274" s="1" t="s">
        <v>651</v>
      </c>
      <c r="F274" s="1" t="s">
        <v>70</v>
      </c>
      <c r="G274">
        <v>0</v>
      </c>
      <c r="H274" s="1" t="s">
        <v>26</v>
      </c>
      <c r="I274" s="1" t="s">
        <v>85</v>
      </c>
      <c r="J274">
        <v>12.5</v>
      </c>
      <c r="K274">
        <v>34.99</v>
      </c>
      <c r="L274" s="1" t="s">
        <v>60</v>
      </c>
      <c r="M274" s="1" t="s">
        <v>29</v>
      </c>
      <c r="N274" s="1" t="s">
        <v>30</v>
      </c>
      <c r="O274" s="1" t="s">
        <v>31</v>
      </c>
      <c r="P274" s="2">
        <v>45778</v>
      </c>
      <c r="Q274" s="1" t="s">
        <v>373</v>
      </c>
      <c r="R274" s="1" t="s">
        <v>374</v>
      </c>
      <c r="S274" s="1" t="s">
        <v>65</v>
      </c>
      <c r="T274" s="1" t="s">
        <v>35</v>
      </c>
      <c r="U274" s="1" t="s">
        <v>82</v>
      </c>
      <c r="V274" s="1" t="s">
        <v>89</v>
      </c>
      <c r="W274">
        <v>2.4</v>
      </c>
      <c r="X274" s="1">
        <f t="shared" si="8"/>
        <v>8313.6899999999459</v>
      </c>
      <c r="Y274" s="1">
        <f t="shared" si="9"/>
        <v>7204.2099999999582</v>
      </c>
    </row>
    <row r="275" spans="1:25" x14ac:dyDescent="0.3">
      <c r="A275" s="1" t="s">
        <v>652</v>
      </c>
      <c r="B275">
        <v>1</v>
      </c>
      <c r="C275">
        <v>30.99</v>
      </c>
      <c r="D275">
        <v>30.99</v>
      </c>
      <c r="E275" s="1" t="s">
        <v>197</v>
      </c>
      <c r="F275" s="1" t="s">
        <v>40</v>
      </c>
      <c r="G275">
        <v>3</v>
      </c>
      <c r="H275" s="1" t="s">
        <v>96</v>
      </c>
      <c r="I275" s="1" t="s">
        <v>42</v>
      </c>
      <c r="J275">
        <v>10.5</v>
      </c>
      <c r="K275">
        <v>30.99</v>
      </c>
      <c r="L275" s="1" t="s">
        <v>28</v>
      </c>
      <c r="M275" s="1" t="s">
        <v>43</v>
      </c>
      <c r="N275" s="1" t="s">
        <v>44</v>
      </c>
      <c r="O275" s="1" t="s">
        <v>31</v>
      </c>
      <c r="P275" s="2">
        <v>45823</v>
      </c>
      <c r="Q275" s="1" t="s">
        <v>103</v>
      </c>
      <c r="R275" s="1" t="s">
        <v>198</v>
      </c>
      <c r="S275" s="1" t="s">
        <v>54</v>
      </c>
      <c r="T275" s="1" t="s">
        <v>35</v>
      </c>
      <c r="U275" s="1" t="s">
        <v>82</v>
      </c>
      <c r="V275" s="1" t="s">
        <v>37</v>
      </c>
      <c r="W275">
        <v>2</v>
      </c>
      <c r="X275" s="1">
        <f t="shared" si="8"/>
        <v>7844.9099999999507</v>
      </c>
      <c r="Y275" s="1">
        <f t="shared" si="9"/>
        <v>7204.2099999999582</v>
      </c>
    </row>
    <row r="276" spans="1:25" x14ac:dyDescent="0.3">
      <c r="A276" s="1" t="s">
        <v>653</v>
      </c>
      <c r="B276">
        <v>3</v>
      </c>
      <c r="C276">
        <v>34.99</v>
      </c>
      <c r="D276">
        <v>84.73</v>
      </c>
      <c r="E276" s="1" t="s">
        <v>389</v>
      </c>
      <c r="F276" s="1" t="s">
        <v>188</v>
      </c>
      <c r="G276">
        <v>0</v>
      </c>
      <c r="H276" s="1" t="s">
        <v>96</v>
      </c>
      <c r="I276" s="1" t="s">
        <v>85</v>
      </c>
      <c r="J276">
        <v>12.5</v>
      </c>
      <c r="K276">
        <v>34.99</v>
      </c>
      <c r="L276" s="1" t="s">
        <v>60</v>
      </c>
      <c r="M276" s="1" t="s">
        <v>29</v>
      </c>
      <c r="N276" s="1" t="s">
        <v>30</v>
      </c>
      <c r="O276" s="1" t="s">
        <v>31</v>
      </c>
      <c r="P276" s="2">
        <v>45778</v>
      </c>
      <c r="Q276" s="1" t="s">
        <v>654</v>
      </c>
      <c r="R276" s="1" t="s">
        <v>655</v>
      </c>
      <c r="S276" s="1" t="s">
        <v>47</v>
      </c>
      <c r="T276" s="1" t="s">
        <v>35</v>
      </c>
      <c r="U276" s="1" t="s">
        <v>66</v>
      </c>
      <c r="V276" s="1" t="s">
        <v>89</v>
      </c>
      <c r="W276">
        <v>2.4</v>
      </c>
      <c r="X276" s="1">
        <f t="shared" si="8"/>
        <v>7844.9099999999507</v>
      </c>
      <c r="Y276" s="1">
        <f t="shared" si="9"/>
        <v>6397.4799999999632</v>
      </c>
    </row>
    <row r="277" spans="1:25" x14ac:dyDescent="0.3">
      <c r="A277" s="1" t="s">
        <v>656</v>
      </c>
      <c r="B277">
        <v>1</v>
      </c>
      <c r="C277">
        <v>30.99</v>
      </c>
      <c r="D277">
        <v>30.99</v>
      </c>
      <c r="E277" s="1" t="s">
        <v>449</v>
      </c>
      <c r="F277" s="1" t="s">
        <v>40</v>
      </c>
      <c r="G277">
        <v>3</v>
      </c>
      <c r="H277" s="1" t="s">
        <v>96</v>
      </c>
      <c r="I277" s="1" t="s">
        <v>42</v>
      </c>
      <c r="J277">
        <v>10.5</v>
      </c>
      <c r="K277">
        <v>30.99</v>
      </c>
      <c r="L277" s="1" t="s">
        <v>28</v>
      </c>
      <c r="M277" s="1" t="s">
        <v>43</v>
      </c>
      <c r="N277" s="1" t="s">
        <v>44</v>
      </c>
      <c r="O277" s="1" t="s">
        <v>31</v>
      </c>
      <c r="P277" s="2">
        <v>45823</v>
      </c>
      <c r="Q277" s="1" t="s">
        <v>379</v>
      </c>
      <c r="R277" s="1" t="s">
        <v>470</v>
      </c>
      <c r="S277" s="1" t="s">
        <v>88</v>
      </c>
      <c r="T277" s="1" t="s">
        <v>35</v>
      </c>
      <c r="U277" s="1" t="s">
        <v>66</v>
      </c>
      <c r="V277" s="1" t="s">
        <v>37</v>
      </c>
      <c r="W277">
        <v>2</v>
      </c>
      <c r="X277" s="1">
        <f t="shared" si="8"/>
        <v>7844.9099999999507</v>
      </c>
      <c r="Y277" s="1">
        <f t="shared" si="9"/>
        <v>6397.4799999999632</v>
      </c>
    </row>
    <row r="278" spans="1:25" x14ac:dyDescent="0.3">
      <c r="A278" s="1" t="s">
        <v>657</v>
      </c>
      <c r="B278">
        <v>2</v>
      </c>
      <c r="C278">
        <v>16.989999999999998</v>
      </c>
      <c r="D278">
        <v>29.18</v>
      </c>
      <c r="E278" s="1" t="s">
        <v>209</v>
      </c>
      <c r="F278" s="1" t="s">
        <v>51</v>
      </c>
      <c r="G278">
        <v>0</v>
      </c>
      <c r="H278" s="1" t="s">
        <v>41</v>
      </c>
      <c r="I278" s="1" t="s">
        <v>59</v>
      </c>
      <c r="J278">
        <v>5</v>
      </c>
      <c r="K278">
        <v>16.989999999999998</v>
      </c>
      <c r="L278" s="1" t="s">
        <v>60</v>
      </c>
      <c r="M278" s="1" t="s">
        <v>61</v>
      </c>
      <c r="N278" s="1" t="s">
        <v>62</v>
      </c>
      <c r="O278" s="1" t="s">
        <v>31</v>
      </c>
      <c r="P278" s="2">
        <v>45726</v>
      </c>
      <c r="Q278" s="1" t="s">
        <v>266</v>
      </c>
      <c r="R278" s="1" t="s">
        <v>640</v>
      </c>
      <c r="S278" s="1" t="s">
        <v>34</v>
      </c>
      <c r="T278" s="1" t="s">
        <v>35</v>
      </c>
      <c r="U278" s="1" t="s">
        <v>82</v>
      </c>
      <c r="V278" s="1" t="s">
        <v>67</v>
      </c>
      <c r="W278">
        <v>3</v>
      </c>
      <c r="X278" s="1">
        <f t="shared" si="8"/>
        <v>8551.6499999999451</v>
      </c>
      <c r="Y278" s="1">
        <f t="shared" si="9"/>
        <v>7204.2099999999582</v>
      </c>
    </row>
    <row r="279" spans="1:25" x14ac:dyDescent="0.3">
      <c r="A279" s="1" t="s">
        <v>658</v>
      </c>
      <c r="B279">
        <v>1</v>
      </c>
      <c r="C279">
        <v>18.989999999999998</v>
      </c>
      <c r="D279">
        <v>18.989999999999998</v>
      </c>
      <c r="E279" s="1" t="s">
        <v>168</v>
      </c>
      <c r="F279" s="1" t="s">
        <v>40</v>
      </c>
      <c r="G279">
        <v>11</v>
      </c>
      <c r="H279" s="1" t="s">
        <v>58</v>
      </c>
      <c r="I279" s="1" t="s">
        <v>97</v>
      </c>
      <c r="J279">
        <v>6</v>
      </c>
      <c r="K279">
        <v>18.989999999999998</v>
      </c>
      <c r="L279" s="1" t="s">
        <v>60</v>
      </c>
      <c r="M279" s="1" t="s">
        <v>43</v>
      </c>
      <c r="N279" s="1" t="s">
        <v>44</v>
      </c>
      <c r="O279" s="1" t="s">
        <v>31</v>
      </c>
      <c r="P279" s="2">
        <v>45823</v>
      </c>
      <c r="Q279" s="1" t="s">
        <v>283</v>
      </c>
      <c r="R279" s="1" t="s">
        <v>284</v>
      </c>
      <c r="S279" s="1" t="s">
        <v>105</v>
      </c>
      <c r="T279" s="1" t="s">
        <v>35</v>
      </c>
      <c r="U279" s="1" t="s">
        <v>55</v>
      </c>
      <c r="V279" s="1" t="s">
        <v>100</v>
      </c>
      <c r="W279">
        <v>3.2</v>
      </c>
      <c r="X279" s="1">
        <f t="shared" si="8"/>
        <v>8640.6199999999462</v>
      </c>
      <c r="Y279" s="1">
        <f t="shared" si="9"/>
        <v>5710.7699999999695</v>
      </c>
    </row>
    <row r="280" spans="1:25" x14ac:dyDescent="0.3">
      <c r="A280" s="1" t="s">
        <v>659</v>
      </c>
      <c r="B280">
        <v>1</v>
      </c>
      <c r="C280">
        <v>16.989999999999998</v>
      </c>
      <c r="D280">
        <v>16.989999999999998</v>
      </c>
      <c r="E280" s="1" t="s">
        <v>452</v>
      </c>
      <c r="F280" s="1" t="s">
        <v>51</v>
      </c>
      <c r="G280">
        <v>0</v>
      </c>
      <c r="H280" s="1" t="s">
        <v>41</v>
      </c>
      <c r="I280" s="1" t="s">
        <v>59</v>
      </c>
      <c r="J280">
        <v>5</v>
      </c>
      <c r="K280">
        <v>16.989999999999998</v>
      </c>
      <c r="L280" s="1" t="s">
        <v>60</v>
      </c>
      <c r="M280" s="1" t="s">
        <v>61</v>
      </c>
      <c r="N280" s="1" t="s">
        <v>62</v>
      </c>
      <c r="O280" s="1" t="s">
        <v>31</v>
      </c>
      <c r="P280" s="2">
        <v>45726</v>
      </c>
      <c r="Q280" s="1" t="s">
        <v>409</v>
      </c>
      <c r="R280" s="1" t="s">
        <v>410</v>
      </c>
      <c r="S280" s="1" t="s">
        <v>411</v>
      </c>
      <c r="T280" s="1" t="s">
        <v>35</v>
      </c>
      <c r="U280" s="1" t="s">
        <v>48</v>
      </c>
      <c r="V280" s="1" t="s">
        <v>67</v>
      </c>
      <c r="W280">
        <v>3</v>
      </c>
      <c r="X280" s="1">
        <f t="shared" si="8"/>
        <v>8551.6499999999451</v>
      </c>
      <c r="Y280" s="1">
        <f t="shared" si="9"/>
        <v>7682.919999999951</v>
      </c>
    </row>
    <row r="281" spans="1:25" x14ac:dyDescent="0.3">
      <c r="A281" s="1" t="s">
        <v>660</v>
      </c>
      <c r="B281">
        <v>2</v>
      </c>
      <c r="C281">
        <v>27.99</v>
      </c>
      <c r="D281">
        <v>48.38</v>
      </c>
      <c r="E281" s="1" t="s">
        <v>24</v>
      </c>
      <c r="F281" s="1" t="s">
        <v>70</v>
      </c>
      <c r="G281">
        <v>0</v>
      </c>
      <c r="H281" s="1" t="s">
        <v>96</v>
      </c>
      <c r="I281" s="1" t="s">
        <v>75</v>
      </c>
      <c r="J281">
        <v>9</v>
      </c>
      <c r="K281">
        <v>27.99</v>
      </c>
      <c r="L281" s="1" t="s">
        <v>28</v>
      </c>
      <c r="M281" s="1" t="s">
        <v>61</v>
      </c>
      <c r="N281" s="1" t="s">
        <v>62</v>
      </c>
      <c r="O281" s="1" t="s">
        <v>31</v>
      </c>
      <c r="P281" s="2">
        <v>45726</v>
      </c>
      <c r="Q281" s="1" t="s">
        <v>425</v>
      </c>
      <c r="R281" s="1" t="s">
        <v>642</v>
      </c>
      <c r="S281" s="1" t="s">
        <v>65</v>
      </c>
      <c r="T281" s="1" t="s">
        <v>35</v>
      </c>
      <c r="U281" s="1" t="s">
        <v>36</v>
      </c>
      <c r="V281" s="1" t="s">
        <v>37</v>
      </c>
      <c r="W281">
        <v>2</v>
      </c>
      <c r="X281" s="1">
        <f t="shared" si="8"/>
        <v>7844.9099999999507</v>
      </c>
      <c r="Y281" s="1">
        <f t="shared" si="9"/>
        <v>6355.4899999999634</v>
      </c>
    </row>
    <row r="282" spans="1:25" x14ac:dyDescent="0.3">
      <c r="A282" s="1" t="s">
        <v>661</v>
      </c>
      <c r="B282">
        <v>2</v>
      </c>
      <c r="C282">
        <v>30.99</v>
      </c>
      <c r="D282">
        <v>53.78</v>
      </c>
      <c r="E282" s="1" t="s">
        <v>662</v>
      </c>
      <c r="F282" s="1" t="s">
        <v>51</v>
      </c>
      <c r="G282">
        <v>0</v>
      </c>
      <c r="H282" s="1" t="s">
        <v>58</v>
      </c>
      <c r="I282" s="1" t="s">
        <v>42</v>
      </c>
      <c r="J282">
        <v>10.5</v>
      </c>
      <c r="K282">
        <v>30.99</v>
      </c>
      <c r="L282" s="1" t="s">
        <v>28</v>
      </c>
      <c r="M282" s="1" t="s">
        <v>43</v>
      </c>
      <c r="N282" s="1" t="s">
        <v>44</v>
      </c>
      <c r="O282" s="1" t="s">
        <v>31</v>
      </c>
      <c r="P282" s="2">
        <v>45823</v>
      </c>
      <c r="Q282" s="1" t="s">
        <v>269</v>
      </c>
      <c r="R282" s="1" t="s">
        <v>270</v>
      </c>
      <c r="S282" s="1" t="s">
        <v>88</v>
      </c>
      <c r="T282" s="1" t="s">
        <v>35</v>
      </c>
      <c r="U282" s="1" t="s">
        <v>55</v>
      </c>
      <c r="V282" s="1" t="s">
        <v>37</v>
      </c>
      <c r="W282">
        <v>2</v>
      </c>
      <c r="X282" s="1">
        <f t="shared" si="8"/>
        <v>8640.6199999999462</v>
      </c>
      <c r="Y282" s="1">
        <f t="shared" si="9"/>
        <v>5710.7699999999695</v>
      </c>
    </row>
    <row r="283" spans="1:25" x14ac:dyDescent="0.3">
      <c r="A283" s="1" t="s">
        <v>663</v>
      </c>
      <c r="B283">
        <v>1</v>
      </c>
      <c r="C283">
        <v>18.989999999999998</v>
      </c>
      <c r="D283">
        <v>18.989999999999998</v>
      </c>
      <c r="E283" s="1" t="s">
        <v>393</v>
      </c>
      <c r="F283" s="1" t="s">
        <v>40</v>
      </c>
      <c r="G283">
        <v>15</v>
      </c>
      <c r="H283" s="1" t="s">
        <v>58</v>
      </c>
      <c r="I283" s="1" t="s">
        <v>97</v>
      </c>
      <c r="J283">
        <v>6</v>
      </c>
      <c r="K283">
        <v>18.989999999999998</v>
      </c>
      <c r="L283" s="1" t="s">
        <v>60</v>
      </c>
      <c r="M283" s="1" t="s">
        <v>43</v>
      </c>
      <c r="N283" s="1" t="s">
        <v>44</v>
      </c>
      <c r="O283" s="1" t="s">
        <v>31</v>
      </c>
      <c r="P283" s="2">
        <v>45823</v>
      </c>
      <c r="Q283" s="1" t="s">
        <v>376</v>
      </c>
      <c r="R283" s="1" t="s">
        <v>664</v>
      </c>
      <c r="S283" s="1" t="s">
        <v>34</v>
      </c>
      <c r="T283" s="1" t="s">
        <v>35</v>
      </c>
      <c r="U283" s="1" t="s">
        <v>82</v>
      </c>
      <c r="V283" s="1" t="s">
        <v>100</v>
      </c>
      <c r="W283">
        <v>3.2</v>
      </c>
      <c r="X283" s="1">
        <f t="shared" si="8"/>
        <v>8640.6199999999462</v>
      </c>
      <c r="Y283" s="1">
        <f t="shared" si="9"/>
        <v>7204.2099999999582</v>
      </c>
    </row>
    <row r="284" spans="1:25" x14ac:dyDescent="0.3">
      <c r="A284" s="1" t="s">
        <v>665</v>
      </c>
      <c r="B284">
        <v>1</v>
      </c>
      <c r="C284">
        <v>30.99</v>
      </c>
      <c r="D284">
        <v>30.99</v>
      </c>
      <c r="E284" s="1" t="s">
        <v>222</v>
      </c>
      <c r="F284" s="1" t="s">
        <v>40</v>
      </c>
      <c r="G284">
        <v>2</v>
      </c>
      <c r="H284" s="1" t="s">
        <v>96</v>
      </c>
      <c r="I284" s="1" t="s">
        <v>42</v>
      </c>
      <c r="J284">
        <v>10.5</v>
      </c>
      <c r="K284">
        <v>30.99</v>
      </c>
      <c r="L284" s="1" t="s">
        <v>28</v>
      </c>
      <c r="M284" s="1" t="s">
        <v>43</v>
      </c>
      <c r="N284" s="1" t="s">
        <v>44</v>
      </c>
      <c r="O284" s="1" t="s">
        <v>31</v>
      </c>
      <c r="P284" s="2">
        <v>45823</v>
      </c>
      <c r="Q284" s="1" t="s">
        <v>194</v>
      </c>
      <c r="R284" s="1" t="s">
        <v>195</v>
      </c>
      <c r="S284" s="1" t="s">
        <v>88</v>
      </c>
      <c r="T284" s="1" t="s">
        <v>35</v>
      </c>
      <c r="U284" s="1" t="s">
        <v>48</v>
      </c>
      <c r="V284" s="1" t="s">
        <v>37</v>
      </c>
      <c r="W284">
        <v>2</v>
      </c>
      <c r="X284" s="1">
        <f t="shared" si="8"/>
        <v>7844.9099999999507</v>
      </c>
      <c r="Y284" s="1">
        <f t="shared" si="9"/>
        <v>7682.919999999951</v>
      </c>
    </row>
    <row r="285" spans="1:25" x14ac:dyDescent="0.3">
      <c r="A285" s="1" t="s">
        <v>666</v>
      </c>
      <c r="B285">
        <v>1</v>
      </c>
      <c r="C285">
        <v>30.99</v>
      </c>
      <c r="D285">
        <v>30.99</v>
      </c>
      <c r="E285" s="1" t="s">
        <v>224</v>
      </c>
      <c r="F285" s="1" t="s">
        <v>40</v>
      </c>
      <c r="G285">
        <v>3</v>
      </c>
      <c r="H285" s="1" t="s">
        <v>26</v>
      </c>
      <c r="I285" s="1" t="s">
        <v>42</v>
      </c>
      <c r="J285">
        <v>10.5</v>
      </c>
      <c r="K285">
        <v>30.99</v>
      </c>
      <c r="L285" s="1" t="s">
        <v>28</v>
      </c>
      <c r="M285" s="1" t="s">
        <v>43</v>
      </c>
      <c r="N285" s="1" t="s">
        <v>44</v>
      </c>
      <c r="O285" s="1" t="s">
        <v>31</v>
      </c>
      <c r="P285" s="2">
        <v>45823</v>
      </c>
      <c r="Q285" s="1" t="s">
        <v>169</v>
      </c>
      <c r="R285" s="1" t="s">
        <v>170</v>
      </c>
      <c r="S285" s="1" t="s">
        <v>54</v>
      </c>
      <c r="T285" s="1" t="s">
        <v>35</v>
      </c>
      <c r="U285" s="1" t="s">
        <v>66</v>
      </c>
      <c r="V285" s="1" t="s">
        <v>37</v>
      </c>
      <c r="W285">
        <v>2</v>
      </c>
      <c r="X285" s="1">
        <f t="shared" si="8"/>
        <v>8313.6899999999459</v>
      </c>
      <c r="Y285" s="1">
        <f t="shared" si="9"/>
        <v>6397.4799999999632</v>
      </c>
    </row>
    <row r="286" spans="1:25" x14ac:dyDescent="0.3">
      <c r="A286" s="1" t="s">
        <v>667</v>
      </c>
      <c r="B286">
        <v>1</v>
      </c>
      <c r="C286">
        <v>21.99</v>
      </c>
      <c r="D286">
        <v>21.99</v>
      </c>
      <c r="E286" s="1" t="s">
        <v>382</v>
      </c>
      <c r="F286" s="1" t="s">
        <v>40</v>
      </c>
      <c r="G286">
        <v>3</v>
      </c>
      <c r="H286" s="1" t="s">
        <v>58</v>
      </c>
      <c r="I286" s="1" t="s">
        <v>27</v>
      </c>
      <c r="J286">
        <v>7</v>
      </c>
      <c r="K286">
        <v>21.99</v>
      </c>
      <c r="L286" s="1" t="s">
        <v>28</v>
      </c>
      <c r="M286" s="1" t="s">
        <v>29</v>
      </c>
      <c r="N286" s="1" t="s">
        <v>30</v>
      </c>
      <c r="O286" s="1" t="s">
        <v>31</v>
      </c>
      <c r="P286" s="2">
        <v>45778</v>
      </c>
      <c r="Q286" s="1" t="s">
        <v>137</v>
      </c>
      <c r="R286" s="1" t="s">
        <v>138</v>
      </c>
      <c r="S286" s="1" t="s">
        <v>34</v>
      </c>
      <c r="T286" s="1" t="s">
        <v>35</v>
      </c>
      <c r="U286" s="1" t="s">
        <v>82</v>
      </c>
      <c r="V286" s="1" t="s">
        <v>37</v>
      </c>
      <c r="W286">
        <v>2</v>
      </c>
      <c r="X286" s="1">
        <f t="shared" si="8"/>
        <v>8640.6199999999462</v>
      </c>
      <c r="Y286" s="1">
        <f t="shared" si="9"/>
        <v>7204.2099999999582</v>
      </c>
    </row>
    <row r="287" spans="1:25" x14ac:dyDescent="0.3">
      <c r="A287" s="1" t="s">
        <v>668</v>
      </c>
      <c r="B287">
        <v>3</v>
      </c>
      <c r="C287">
        <v>34.99</v>
      </c>
      <c r="D287">
        <v>84.73</v>
      </c>
      <c r="E287" s="1" t="s">
        <v>91</v>
      </c>
      <c r="F287" s="1" t="s">
        <v>25</v>
      </c>
      <c r="G287">
        <v>7</v>
      </c>
      <c r="H287" s="1" t="s">
        <v>58</v>
      </c>
      <c r="I287" s="1" t="s">
        <v>85</v>
      </c>
      <c r="J287">
        <v>12.5</v>
      </c>
      <c r="K287">
        <v>34.99</v>
      </c>
      <c r="L287" s="1" t="s">
        <v>60</v>
      </c>
      <c r="M287" s="1" t="s">
        <v>29</v>
      </c>
      <c r="N287" s="1" t="s">
        <v>30</v>
      </c>
      <c r="O287" s="1" t="s">
        <v>31</v>
      </c>
      <c r="P287" s="2">
        <v>45778</v>
      </c>
      <c r="Q287" s="1" t="s">
        <v>302</v>
      </c>
      <c r="R287" s="1" t="s">
        <v>303</v>
      </c>
      <c r="S287" s="1" t="s">
        <v>105</v>
      </c>
      <c r="T287" s="1" t="s">
        <v>35</v>
      </c>
      <c r="U287" s="1" t="s">
        <v>55</v>
      </c>
      <c r="V287" s="1" t="s">
        <v>89</v>
      </c>
      <c r="W287">
        <v>2.4</v>
      </c>
      <c r="X287" s="1">
        <f t="shared" si="8"/>
        <v>8640.6199999999462</v>
      </c>
      <c r="Y287" s="1">
        <f t="shared" si="9"/>
        <v>5710.7699999999695</v>
      </c>
    </row>
    <row r="288" spans="1:25" x14ac:dyDescent="0.3">
      <c r="A288" s="1" t="s">
        <v>669</v>
      </c>
      <c r="B288">
        <v>3</v>
      </c>
      <c r="C288">
        <v>34.99</v>
      </c>
      <c r="D288">
        <v>84.73</v>
      </c>
      <c r="E288" s="1" t="s">
        <v>670</v>
      </c>
      <c r="F288" s="1" t="s">
        <v>51</v>
      </c>
      <c r="G288">
        <v>0</v>
      </c>
      <c r="H288" s="1" t="s">
        <v>96</v>
      </c>
      <c r="I288" s="1" t="s">
        <v>85</v>
      </c>
      <c r="J288">
        <v>12.5</v>
      </c>
      <c r="K288">
        <v>34.99</v>
      </c>
      <c r="L288" s="1" t="s">
        <v>60</v>
      </c>
      <c r="M288" s="1" t="s">
        <v>29</v>
      </c>
      <c r="N288" s="1" t="s">
        <v>30</v>
      </c>
      <c r="O288" s="1" t="s">
        <v>31</v>
      </c>
      <c r="P288" s="2">
        <v>45778</v>
      </c>
      <c r="Q288" s="1" t="s">
        <v>153</v>
      </c>
      <c r="R288" s="1" t="s">
        <v>154</v>
      </c>
      <c r="S288" s="1" t="s">
        <v>105</v>
      </c>
      <c r="T288" s="1" t="s">
        <v>35</v>
      </c>
      <c r="U288" s="1" t="s">
        <v>48</v>
      </c>
      <c r="V288" s="1" t="s">
        <v>89</v>
      </c>
      <c r="W288">
        <v>2.4</v>
      </c>
      <c r="X288" s="1">
        <f t="shared" si="8"/>
        <v>7844.9099999999507</v>
      </c>
      <c r="Y288" s="1">
        <f t="shared" si="9"/>
        <v>7682.919999999951</v>
      </c>
    </row>
    <row r="289" spans="1:25" x14ac:dyDescent="0.3">
      <c r="A289" s="1" t="s">
        <v>671</v>
      </c>
      <c r="B289">
        <v>1</v>
      </c>
      <c r="C289">
        <v>34.99</v>
      </c>
      <c r="D289">
        <v>34.99</v>
      </c>
      <c r="E289" s="1" t="s">
        <v>192</v>
      </c>
      <c r="F289" s="1" t="s">
        <v>51</v>
      </c>
      <c r="G289">
        <v>0</v>
      </c>
      <c r="H289" s="1" t="s">
        <v>26</v>
      </c>
      <c r="I289" s="1" t="s">
        <v>85</v>
      </c>
      <c r="J289">
        <v>12.5</v>
      </c>
      <c r="K289">
        <v>34.99</v>
      </c>
      <c r="L289" s="1" t="s">
        <v>60</v>
      </c>
      <c r="M289" s="1" t="s">
        <v>29</v>
      </c>
      <c r="N289" s="1" t="s">
        <v>30</v>
      </c>
      <c r="O289" s="1" t="s">
        <v>31</v>
      </c>
      <c r="P289" s="2">
        <v>45778</v>
      </c>
      <c r="Q289" s="1" t="s">
        <v>80</v>
      </c>
      <c r="R289" s="1" t="s">
        <v>229</v>
      </c>
      <c r="S289" s="1" t="s">
        <v>34</v>
      </c>
      <c r="T289" s="1" t="s">
        <v>35</v>
      </c>
      <c r="U289" s="1" t="s">
        <v>36</v>
      </c>
      <c r="V289" s="1" t="s">
        <v>89</v>
      </c>
      <c r="W289">
        <v>2.4</v>
      </c>
      <c r="X289" s="1">
        <f t="shared" si="8"/>
        <v>8313.6899999999459</v>
      </c>
      <c r="Y289" s="1">
        <f t="shared" si="9"/>
        <v>6355.4899999999634</v>
      </c>
    </row>
    <row r="290" spans="1:25" x14ac:dyDescent="0.3">
      <c r="A290" s="1" t="s">
        <v>672</v>
      </c>
      <c r="B290">
        <v>1</v>
      </c>
      <c r="C290">
        <v>18.989999999999998</v>
      </c>
      <c r="D290">
        <v>18.989999999999998</v>
      </c>
      <c r="E290" s="1" t="s">
        <v>317</v>
      </c>
      <c r="F290" s="1" t="s">
        <v>40</v>
      </c>
      <c r="G290">
        <v>12</v>
      </c>
      <c r="H290" s="1" t="s">
        <v>41</v>
      </c>
      <c r="I290" s="1" t="s">
        <v>97</v>
      </c>
      <c r="J290">
        <v>6</v>
      </c>
      <c r="K290">
        <v>18.989999999999998</v>
      </c>
      <c r="L290" s="1" t="s">
        <v>60</v>
      </c>
      <c r="M290" s="1" t="s">
        <v>43</v>
      </c>
      <c r="N290" s="1" t="s">
        <v>44</v>
      </c>
      <c r="O290" s="1" t="s">
        <v>31</v>
      </c>
      <c r="P290" s="2">
        <v>45823</v>
      </c>
      <c r="Q290" s="1" t="s">
        <v>76</v>
      </c>
      <c r="R290" s="1" t="s">
        <v>144</v>
      </c>
      <c r="S290" s="1" t="s">
        <v>34</v>
      </c>
      <c r="T290" s="1" t="s">
        <v>35</v>
      </c>
      <c r="U290" s="1" t="s">
        <v>66</v>
      </c>
      <c r="V290" s="1" t="s">
        <v>100</v>
      </c>
      <c r="W290">
        <v>3.2</v>
      </c>
      <c r="X290" s="1">
        <f t="shared" si="8"/>
        <v>8551.6499999999451</v>
      </c>
      <c r="Y290" s="1">
        <f t="shared" si="9"/>
        <v>6397.4799999999632</v>
      </c>
    </row>
    <row r="291" spans="1:25" x14ac:dyDescent="0.3">
      <c r="A291" s="1" t="s">
        <v>673</v>
      </c>
      <c r="B291">
        <v>1</v>
      </c>
      <c r="C291">
        <v>21.99</v>
      </c>
      <c r="D291">
        <v>21.99</v>
      </c>
      <c r="E291" s="1" t="s">
        <v>389</v>
      </c>
      <c r="F291" s="1" t="s">
        <v>51</v>
      </c>
      <c r="G291">
        <v>0</v>
      </c>
      <c r="H291" s="1" t="s">
        <v>96</v>
      </c>
      <c r="I291" s="1" t="s">
        <v>27</v>
      </c>
      <c r="J291">
        <v>7</v>
      </c>
      <c r="K291">
        <v>21.99</v>
      </c>
      <c r="L291" s="1" t="s">
        <v>28</v>
      </c>
      <c r="M291" s="1" t="s">
        <v>29</v>
      </c>
      <c r="N291" s="1" t="s">
        <v>30</v>
      </c>
      <c r="O291" s="1" t="s">
        <v>31</v>
      </c>
      <c r="P291" s="2">
        <v>45778</v>
      </c>
      <c r="Q291" s="1" t="s">
        <v>32</v>
      </c>
      <c r="R291" s="1" t="s">
        <v>33</v>
      </c>
      <c r="S291" s="1" t="s">
        <v>34</v>
      </c>
      <c r="T291" s="1" t="s">
        <v>35</v>
      </c>
      <c r="U291" s="1" t="s">
        <v>36</v>
      </c>
      <c r="V291" s="1" t="s">
        <v>37</v>
      </c>
      <c r="W291">
        <v>2</v>
      </c>
      <c r="X291" s="1">
        <f t="shared" si="8"/>
        <v>7844.9099999999507</v>
      </c>
      <c r="Y291" s="1">
        <f t="shared" si="9"/>
        <v>6355.4899999999634</v>
      </c>
    </row>
    <row r="292" spans="1:25" x14ac:dyDescent="0.3">
      <c r="A292" s="1" t="s">
        <v>674</v>
      </c>
      <c r="B292">
        <v>2</v>
      </c>
      <c r="C292">
        <v>34.99</v>
      </c>
      <c r="D292">
        <v>60.98</v>
      </c>
      <c r="E292" s="1" t="s">
        <v>272</v>
      </c>
      <c r="F292" s="1" t="s">
        <v>51</v>
      </c>
      <c r="G292">
        <v>0</v>
      </c>
      <c r="H292" s="1" t="s">
        <v>96</v>
      </c>
      <c r="I292" s="1" t="s">
        <v>85</v>
      </c>
      <c r="J292">
        <v>12.5</v>
      </c>
      <c r="K292">
        <v>34.99</v>
      </c>
      <c r="L292" s="1" t="s">
        <v>60</v>
      </c>
      <c r="M292" s="1" t="s">
        <v>29</v>
      </c>
      <c r="N292" s="1" t="s">
        <v>30</v>
      </c>
      <c r="O292" s="1" t="s">
        <v>31</v>
      </c>
      <c r="P292" s="2">
        <v>45778</v>
      </c>
      <c r="Q292" s="1" t="s">
        <v>322</v>
      </c>
      <c r="R292" s="1" t="s">
        <v>323</v>
      </c>
      <c r="S292" s="1" t="s">
        <v>88</v>
      </c>
      <c r="T292" s="1" t="s">
        <v>35</v>
      </c>
      <c r="U292" s="1" t="s">
        <v>55</v>
      </c>
      <c r="V292" s="1" t="s">
        <v>89</v>
      </c>
      <c r="W292">
        <v>2.4</v>
      </c>
      <c r="X292" s="1">
        <f t="shared" si="8"/>
        <v>7844.9099999999507</v>
      </c>
      <c r="Y292" s="1">
        <f t="shared" si="9"/>
        <v>5710.7699999999695</v>
      </c>
    </row>
    <row r="293" spans="1:25" x14ac:dyDescent="0.3">
      <c r="A293" s="1" t="s">
        <v>675</v>
      </c>
      <c r="B293">
        <v>1</v>
      </c>
      <c r="C293">
        <v>30.99</v>
      </c>
      <c r="D293">
        <v>30.99</v>
      </c>
      <c r="E293" s="1" t="s">
        <v>321</v>
      </c>
      <c r="F293" s="1" t="s">
        <v>40</v>
      </c>
      <c r="G293">
        <v>5</v>
      </c>
      <c r="H293" s="1" t="s">
        <v>26</v>
      </c>
      <c r="I293" s="1" t="s">
        <v>42</v>
      </c>
      <c r="J293">
        <v>10.5</v>
      </c>
      <c r="K293">
        <v>30.99</v>
      </c>
      <c r="L293" s="1" t="s">
        <v>28</v>
      </c>
      <c r="M293" s="1" t="s">
        <v>43</v>
      </c>
      <c r="N293" s="1" t="s">
        <v>44</v>
      </c>
      <c r="O293" s="1" t="s">
        <v>31</v>
      </c>
      <c r="P293" s="2">
        <v>45823</v>
      </c>
      <c r="Q293" s="1" t="s">
        <v>147</v>
      </c>
      <c r="R293" s="1" t="s">
        <v>148</v>
      </c>
      <c r="S293" s="1" t="s">
        <v>65</v>
      </c>
      <c r="T293" s="1" t="s">
        <v>35</v>
      </c>
      <c r="U293" s="1" t="s">
        <v>48</v>
      </c>
      <c r="V293" s="1" t="s">
        <v>37</v>
      </c>
      <c r="W293">
        <v>2</v>
      </c>
      <c r="X293" s="1">
        <f t="shared" si="8"/>
        <v>8313.6899999999459</v>
      </c>
      <c r="Y293" s="1">
        <f t="shared" si="9"/>
        <v>7682.919999999951</v>
      </c>
    </row>
    <row r="294" spans="1:25" x14ac:dyDescent="0.3">
      <c r="A294" s="1" t="s">
        <v>676</v>
      </c>
      <c r="B294">
        <v>2</v>
      </c>
      <c r="C294">
        <v>21.99</v>
      </c>
      <c r="D294">
        <v>37.979999999999997</v>
      </c>
      <c r="E294" s="1" t="s">
        <v>628</v>
      </c>
      <c r="F294" s="1" t="s">
        <v>40</v>
      </c>
      <c r="G294">
        <v>2</v>
      </c>
      <c r="H294" s="1" t="s">
        <v>41</v>
      </c>
      <c r="I294" s="1" t="s">
        <v>27</v>
      </c>
      <c r="J294">
        <v>7</v>
      </c>
      <c r="K294">
        <v>21.99</v>
      </c>
      <c r="L294" s="1" t="s">
        <v>28</v>
      </c>
      <c r="M294" s="1" t="s">
        <v>29</v>
      </c>
      <c r="N294" s="1" t="s">
        <v>30</v>
      </c>
      <c r="O294" s="1" t="s">
        <v>31</v>
      </c>
      <c r="P294" s="2">
        <v>45778</v>
      </c>
      <c r="Q294" s="1" t="s">
        <v>328</v>
      </c>
      <c r="R294" s="1" t="s">
        <v>329</v>
      </c>
      <c r="S294" s="1" t="s">
        <v>47</v>
      </c>
      <c r="T294" s="1" t="s">
        <v>35</v>
      </c>
      <c r="U294" s="1" t="s">
        <v>48</v>
      </c>
      <c r="V294" s="1" t="s">
        <v>37</v>
      </c>
      <c r="W294">
        <v>2</v>
      </c>
      <c r="X294" s="1">
        <f t="shared" si="8"/>
        <v>8551.6499999999451</v>
      </c>
      <c r="Y294" s="1">
        <f t="shared" si="9"/>
        <v>7682.919999999951</v>
      </c>
    </row>
    <row r="295" spans="1:25" x14ac:dyDescent="0.3">
      <c r="A295" s="1" t="s">
        <v>677</v>
      </c>
      <c r="B295">
        <v>1</v>
      </c>
      <c r="C295">
        <v>34.99</v>
      </c>
      <c r="D295">
        <v>34.99</v>
      </c>
      <c r="E295" s="1" t="s">
        <v>678</v>
      </c>
      <c r="F295" s="1" t="s">
        <v>40</v>
      </c>
      <c r="G295">
        <v>7</v>
      </c>
      <c r="H295" s="1" t="s">
        <v>96</v>
      </c>
      <c r="I295" s="1" t="s">
        <v>85</v>
      </c>
      <c r="J295">
        <v>12.5</v>
      </c>
      <c r="K295">
        <v>34.99</v>
      </c>
      <c r="L295" s="1" t="s">
        <v>60</v>
      </c>
      <c r="M295" s="1" t="s">
        <v>29</v>
      </c>
      <c r="N295" s="1" t="s">
        <v>30</v>
      </c>
      <c r="O295" s="1" t="s">
        <v>31</v>
      </c>
      <c r="P295" s="2">
        <v>45778</v>
      </c>
      <c r="Q295" s="1" t="s">
        <v>161</v>
      </c>
      <c r="R295" s="1" t="s">
        <v>500</v>
      </c>
      <c r="S295" s="1" t="s">
        <v>65</v>
      </c>
      <c r="T295" s="1" t="s">
        <v>35</v>
      </c>
      <c r="U295" s="1" t="s">
        <v>55</v>
      </c>
      <c r="V295" s="1" t="s">
        <v>89</v>
      </c>
      <c r="W295">
        <v>2.4</v>
      </c>
      <c r="X295" s="1">
        <f t="shared" si="8"/>
        <v>7844.9099999999507</v>
      </c>
      <c r="Y295" s="1">
        <f t="shared" si="9"/>
        <v>5710.7699999999695</v>
      </c>
    </row>
    <row r="296" spans="1:25" x14ac:dyDescent="0.3">
      <c r="A296" s="1" t="s">
        <v>679</v>
      </c>
      <c r="B296">
        <v>1</v>
      </c>
      <c r="C296">
        <v>18.989999999999998</v>
      </c>
      <c r="D296">
        <v>18.989999999999998</v>
      </c>
      <c r="E296" s="1" t="s">
        <v>334</v>
      </c>
      <c r="F296" s="1" t="s">
        <v>40</v>
      </c>
      <c r="G296">
        <v>15</v>
      </c>
      <c r="H296" s="1" t="s">
        <v>41</v>
      </c>
      <c r="I296" s="1" t="s">
        <v>97</v>
      </c>
      <c r="J296">
        <v>6</v>
      </c>
      <c r="K296">
        <v>18.989999999999998</v>
      </c>
      <c r="L296" s="1" t="s">
        <v>60</v>
      </c>
      <c r="M296" s="1" t="s">
        <v>43</v>
      </c>
      <c r="N296" s="1" t="s">
        <v>44</v>
      </c>
      <c r="O296" s="1" t="s">
        <v>31</v>
      </c>
      <c r="P296" s="2">
        <v>45823</v>
      </c>
      <c r="Q296" s="1" t="s">
        <v>294</v>
      </c>
      <c r="R296" s="1" t="s">
        <v>295</v>
      </c>
      <c r="S296" s="1" t="s">
        <v>47</v>
      </c>
      <c r="T296" s="1" t="s">
        <v>35</v>
      </c>
      <c r="U296" s="1" t="s">
        <v>55</v>
      </c>
      <c r="V296" s="1" t="s">
        <v>100</v>
      </c>
      <c r="W296">
        <v>3.2</v>
      </c>
      <c r="X296" s="1">
        <f t="shared" si="8"/>
        <v>8551.6499999999451</v>
      </c>
      <c r="Y296" s="1">
        <f t="shared" si="9"/>
        <v>5710.7699999999695</v>
      </c>
    </row>
    <row r="297" spans="1:25" x14ac:dyDescent="0.3">
      <c r="A297" s="1" t="s">
        <v>680</v>
      </c>
      <c r="B297">
        <v>1</v>
      </c>
      <c r="C297">
        <v>16.989999999999998</v>
      </c>
      <c r="D297">
        <v>16.989999999999998</v>
      </c>
      <c r="E297" s="1" t="s">
        <v>181</v>
      </c>
      <c r="F297" s="1" t="s">
        <v>70</v>
      </c>
      <c r="G297">
        <v>0</v>
      </c>
      <c r="H297" s="1" t="s">
        <v>58</v>
      </c>
      <c r="I297" s="1" t="s">
        <v>59</v>
      </c>
      <c r="J297">
        <v>5</v>
      </c>
      <c r="K297">
        <v>16.989999999999998</v>
      </c>
      <c r="L297" s="1" t="s">
        <v>60</v>
      </c>
      <c r="M297" s="1" t="s">
        <v>61</v>
      </c>
      <c r="N297" s="1" t="s">
        <v>62</v>
      </c>
      <c r="O297" s="1" t="s">
        <v>31</v>
      </c>
      <c r="P297" s="2">
        <v>45726</v>
      </c>
      <c r="Q297" s="1" t="s">
        <v>278</v>
      </c>
      <c r="R297" s="1" t="s">
        <v>279</v>
      </c>
      <c r="S297" s="1" t="s">
        <v>54</v>
      </c>
      <c r="T297" s="1" t="s">
        <v>35</v>
      </c>
      <c r="U297" s="1" t="s">
        <v>36</v>
      </c>
      <c r="V297" s="1" t="s">
        <v>67</v>
      </c>
      <c r="W297">
        <v>3</v>
      </c>
      <c r="X297" s="1">
        <f t="shared" si="8"/>
        <v>8640.6199999999462</v>
      </c>
      <c r="Y297" s="1">
        <f t="shared" si="9"/>
        <v>6355.4899999999634</v>
      </c>
    </row>
    <row r="298" spans="1:25" x14ac:dyDescent="0.3">
      <c r="A298" s="1" t="s">
        <v>681</v>
      </c>
      <c r="B298">
        <v>3</v>
      </c>
      <c r="C298">
        <v>34.99</v>
      </c>
      <c r="D298">
        <v>84.73</v>
      </c>
      <c r="E298" s="1" t="s">
        <v>79</v>
      </c>
      <c r="F298" s="1" t="s">
        <v>25</v>
      </c>
      <c r="G298">
        <v>5</v>
      </c>
      <c r="H298" s="1" t="s">
        <v>41</v>
      </c>
      <c r="I298" s="1" t="s">
        <v>85</v>
      </c>
      <c r="J298">
        <v>12.5</v>
      </c>
      <c r="K298">
        <v>34.99</v>
      </c>
      <c r="L298" s="1" t="s">
        <v>60</v>
      </c>
      <c r="M298" s="1" t="s">
        <v>29</v>
      </c>
      <c r="N298" s="1" t="s">
        <v>30</v>
      </c>
      <c r="O298" s="1" t="s">
        <v>31</v>
      </c>
      <c r="P298" s="2">
        <v>45778</v>
      </c>
      <c r="Q298" s="1" t="s">
        <v>32</v>
      </c>
      <c r="R298" s="1" t="s">
        <v>33</v>
      </c>
      <c r="S298" s="1" t="s">
        <v>34</v>
      </c>
      <c r="T298" s="1" t="s">
        <v>35</v>
      </c>
      <c r="U298" s="1" t="s">
        <v>36</v>
      </c>
      <c r="V298" s="1" t="s">
        <v>89</v>
      </c>
      <c r="W298">
        <v>2.4</v>
      </c>
      <c r="X298" s="1">
        <f t="shared" si="8"/>
        <v>8551.6499999999451</v>
      </c>
      <c r="Y298" s="1">
        <f t="shared" si="9"/>
        <v>6355.4899999999634</v>
      </c>
    </row>
    <row r="299" spans="1:25" x14ac:dyDescent="0.3">
      <c r="A299" s="1" t="s">
        <v>682</v>
      </c>
      <c r="B299">
        <v>1</v>
      </c>
      <c r="C299">
        <v>18.989999999999998</v>
      </c>
      <c r="D299">
        <v>18.989999999999998</v>
      </c>
      <c r="E299" s="1" t="s">
        <v>228</v>
      </c>
      <c r="F299" s="1" t="s">
        <v>40</v>
      </c>
      <c r="G299">
        <v>10</v>
      </c>
      <c r="H299" s="1" t="s">
        <v>58</v>
      </c>
      <c r="I299" s="1" t="s">
        <v>97</v>
      </c>
      <c r="J299">
        <v>6</v>
      </c>
      <c r="K299">
        <v>18.989999999999998</v>
      </c>
      <c r="L299" s="1" t="s">
        <v>60</v>
      </c>
      <c r="M299" s="1" t="s">
        <v>43</v>
      </c>
      <c r="N299" s="1" t="s">
        <v>44</v>
      </c>
      <c r="O299" s="1" t="s">
        <v>31</v>
      </c>
      <c r="P299" s="2">
        <v>45823</v>
      </c>
      <c r="Q299" s="1" t="s">
        <v>363</v>
      </c>
      <c r="R299" s="1" t="s">
        <v>364</v>
      </c>
      <c r="S299" s="1" t="s">
        <v>54</v>
      </c>
      <c r="T299" s="1" t="s">
        <v>35</v>
      </c>
      <c r="U299" s="1" t="s">
        <v>55</v>
      </c>
      <c r="V299" s="1" t="s">
        <v>100</v>
      </c>
      <c r="W299">
        <v>3.2</v>
      </c>
      <c r="X299" s="1">
        <f t="shared" si="8"/>
        <v>8640.6199999999462</v>
      </c>
      <c r="Y299" s="1">
        <f t="shared" si="9"/>
        <v>5710.7699999999695</v>
      </c>
    </row>
    <row r="300" spans="1:25" x14ac:dyDescent="0.3">
      <c r="A300" s="1" t="s">
        <v>683</v>
      </c>
      <c r="B300">
        <v>1</v>
      </c>
      <c r="C300">
        <v>30.99</v>
      </c>
      <c r="D300">
        <v>30.99</v>
      </c>
      <c r="E300" s="1" t="s">
        <v>74</v>
      </c>
      <c r="F300" s="1" t="s">
        <v>40</v>
      </c>
      <c r="G300">
        <v>2</v>
      </c>
      <c r="H300" s="1" t="s">
        <v>26</v>
      </c>
      <c r="I300" s="1" t="s">
        <v>42</v>
      </c>
      <c r="J300">
        <v>10.5</v>
      </c>
      <c r="K300">
        <v>30.99</v>
      </c>
      <c r="L300" s="1" t="s">
        <v>28</v>
      </c>
      <c r="M300" s="1" t="s">
        <v>43</v>
      </c>
      <c r="N300" s="1" t="s">
        <v>44</v>
      </c>
      <c r="O300" s="1" t="s">
        <v>31</v>
      </c>
      <c r="P300" s="2">
        <v>45823</v>
      </c>
      <c r="Q300" s="1" t="s">
        <v>140</v>
      </c>
      <c r="R300" s="1" t="s">
        <v>383</v>
      </c>
      <c r="S300" s="1" t="s">
        <v>65</v>
      </c>
      <c r="T300" s="1" t="s">
        <v>35</v>
      </c>
      <c r="U300" s="1" t="s">
        <v>82</v>
      </c>
      <c r="V300" s="1" t="s">
        <v>37</v>
      </c>
      <c r="W300">
        <v>2</v>
      </c>
      <c r="X300" s="1">
        <f t="shared" si="8"/>
        <v>8313.6899999999459</v>
      </c>
      <c r="Y300" s="1">
        <f t="shared" si="9"/>
        <v>7204.2099999999582</v>
      </c>
    </row>
    <row r="301" spans="1:25" x14ac:dyDescent="0.3">
      <c r="A301" s="1" t="s">
        <v>684</v>
      </c>
      <c r="B301">
        <v>1</v>
      </c>
      <c r="C301">
        <v>16.989999999999998</v>
      </c>
      <c r="D301">
        <v>16.989999999999998</v>
      </c>
      <c r="E301" s="1" t="s">
        <v>493</v>
      </c>
      <c r="F301" s="1" t="s">
        <v>40</v>
      </c>
      <c r="G301">
        <v>19</v>
      </c>
      <c r="H301" s="1" t="s">
        <v>26</v>
      </c>
      <c r="I301" s="1" t="s">
        <v>59</v>
      </c>
      <c r="J301">
        <v>5</v>
      </c>
      <c r="K301">
        <v>16.989999999999998</v>
      </c>
      <c r="L301" s="1" t="s">
        <v>60</v>
      </c>
      <c r="M301" s="1" t="s">
        <v>61</v>
      </c>
      <c r="N301" s="1" t="s">
        <v>62</v>
      </c>
      <c r="O301" s="1" t="s">
        <v>31</v>
      </c>
      <c r="P301" s="2">
        <v>45726</v>
      </c>
      <c r="Q301" s="1" t="s">
        <v>496</v>
      </c>
      <c r="R301" s="1" t="s">
        <v>685</v>
      </c>
      <c r="S301" s="1" t="s">
        <v>65</v>
      </c>
      <c r="T301" s="1" t="s">
        <v>35</v>
      </c>
      <c r="U301" s="1" t="s">
        <v>82</v>
      </c>
      <c r="V301" s="1" t="s">
        <v>67</v>
      </c>
      <c r="W301">
        <v>3</v>
      </c>
      <c r="X301" s="1">
        <f t="shared" si="8"/>
        <v>8313.6899999999459</v>
      </c>
      <c r="Y301" s="1">
        <f t="shared" si="9"/>
        <v>7204.2099999999582</v>
      </c>
    </row>
    <row r="302" spans="1:25" x14ac:dyDescent="0.3">
      <c r="A302" s="1" t="s">
        <v>686</v>
      </c>
      <c r="B302">
        <v>1</v>
      </c>
      <c r="C302">
        <v>18.989999999999998</v>
      </c>
      <c r="D302">
        <v>18.989999999999998</v>
      </c>
      <c r="E302" s="1" t="s">
        <v>334</v>
      </c>
      <c r="F302" s="1" t="s">
        <v>188</v>
      </c>
      <c r="G302">
        <v>0</v>
      </c>
      <c r="H302" s="1" t="s">
        <v>41</v>
      </c>
      <c r="I302" s="1" t="s">
        <v>97</v>
      </c>
      <c r="J302">
        <v>6</v>
      </c>
      <c r="K302">
        <v>18.989999999999998</v>
      </c>
      <c r="L302" s="1" t="s">
        <v>60</v>
      </c>
      <c r="M302" s="1" t="s">
        <v>43</v>
      </c>
      <c r="N302" s="1" t="s">
        <v>44</v>
      </c>
      <c r="O302" s="1" t="s">
        <v>31</v>
      </c>
      <c r="P302" s="2">
        <v>45823</v>
      </c>
      <c r="Q302" s="1" t="s">
        <v>45</v>
      </c>
      <c r="R302" s="1" t="s">
        <v>513</v>
      </c>
      <c r="S302" s="1" t="s">
        <v>54</v>
      </c>
      <c r="T302" s="1" t="s">
        <v>35</v>
      </c>
      <c r="U302" s="1" t="s">
        <v>48</v>
      </c>
      <c r="V302" s="1" t="s">
        <v>100</v>
      </c>
      <c r="W302">
        <v>3.2</v>
      </c>
      <c r="X302" s="1">
        <f t="shared" si="8"/>
        <v>8551.6499999999451</v>
      </c>
      <c r="Y302" s="1">
        <f t="shared" si="9"/>
        <v>7682.919999999951</v>
      </c>
    </row>
    <row r="303" spans="1:25" x14ac:dyDescent="0.3">
      <c r="A303" s="1" t="s">
        <v>687</v>
      </c>
      <c r="B303">
        <v>3</v>
      </c>
      <c r="C303">
        <v>34.99</v>
      </c>
      <c r="D303">
        <v>84.73</v>
      </c>
      <c r="E303" s="1" t="s">
        <v>493</v>
      </c>
      <c r="F303" s="1" t="s">
        <v>40</v>
      </c>
      <c r="G303">
        <v>7</v>
      </c>
      <c r="H303" s="1" t="s">
        <v>26</v>
      </c>
      <c r="I303" s="1" t="s">
        <v>85</v>
      </c>
      <c r="J303">
        <v>12.5</v>
      </c>
      <c r="K303">
        <v>34.99</v>
      </c>
      <c r="L303" s="1" t="s">
        <v>60</v>
      </c>
      <c r="M303" s="1" t="s">
        <v>29</v>
      </c>
      <c r="N303" s="1" t="s">
        <v>30</v>
      </c>
      <c r="O303" s="1" t="s">
        <v>31</v>
      </c>
      <c r="P303" s="2">
        <v>45778</v>
      </c>
      <c r="Q303" s="1" t="s">
        <v>487</v>
      </c>
      <c r="R303" s="1" t="s">
        <v>488</v>
      </c>
      <c r="S303" s="1" t="s">
        <v>88</v>
      </c>
      <c r="T303" s="1" t="s">
        <v>35</v>
      </c>
      <c r="U303" s="1" t="s">
        <v>66</v>
      </c>
      <c r="V303" s="1" t="s">
        <v>89</v>
      </c>
      <c r="W303">
        <v>2.4</v>
      </c>
      <c r="X303" s="1">
        <f t="shared" si="8"/>
        <v>8313.6899999999459</v>
      </c>
      <c r="Y303" s="1">
        <f t="shared" si="9"/>
        <v>6397.4799999999632</v>
      </c>
    </row>
    <row r="304" spans="1:25" x14ac:dyDescent="0.3">
      <c r="A304" s="1" t="s">
        <v>688</v>
      </c>
      <c r="B304">
        <v>1</v>
      </c>
      <c r="C304">
        <v>27.99</v>
      </c>
      <c r="D304">
        <v>27.99</v>
      </c>
      <c r="E304" s="1" t="s">
        <v>200</v>
      </c>
      <c r="F304" s="1" t="s">
        <v>40</v>
      </c>
      <c r="G304">
        <v>2</v>
      </c>
      <c r="H304" s="1" t="s">
        <v>96</v>
      </c>
      <c r="I304" s="1" t="s">
        <v>75</v>
      </c>
      <c r="J304">
        <v>9</v>
      </c>
      <c r="K304">
        <v>27.99</v>
      </c>
      <c r="L304" s="1" t="s">
        <v>28</v>
      </c>
      <c r="M304" s="1" t="s">
        <v>61</v>
      </c>
      <c r="N304" s="1" t="s">
        <v>62</v>
      </c>
      <c r="O304" s="1" t="s">
        <v>31</v>
      </c>
      <c r="P304" s="2">
        <v>45726</v>
      </c>
      <c r="Q304" s="1" t="s">
        <v>689</v>
      </c>
      <c r="R304" s="1" t="s">
        <v>690</v>
      </c>
      <c r="S304" s="1" t="s">
        <v>88</v>
      </c>
      <c r="T304" s="1" t="s">
        <v>35</v>
      </c>
      <c r="U304" s="1" t="s">
        <v>66</v>
      </c>
      <c r="V304" s="1" t="s">
        <v>37</v>
      </c>
      <c r="W304">
        <v>2</v>
      </c>
      <c r="X304" s="1">
        <f t="shared" si="8"/>
        <v>7844.9099999999507</v>
      </c>
      <c r="Y304" s="1">
        <f t="shared" si="9"/>
        <v>6397.4799999999632</v>
      </c>
    </row>
    <row r="305" spans="1:25" x14ac:dyDescent="0.3">
      <c r="A305" s="1" t="s">
        <v>691</v>
      </c>
      <c r="B305">
        <v>1</v>
      </c>
      <c r="C305">
        <v>30.99</v>
      </c>
      <c r="D305">
        <v>30.99</v>
      </c>
      <c r="E305" s="1" t="s">
        <v>91</v>
      </c>
      <c r="F305" s="1" t="s">
        <v>40</v>
      </c>
      <c r="G305">
        <v>2</v>
      </c>
      <c r="H305" s="1" t="s">
        <v>41</v>
      </c>
      <c r="I305" s="1" t="s">
        <v>42</v>
      </c>
      <c r="J305">
        <v>10.5</v>
      </c>
      <c r="K305">
        <v>30.99</v>
      </c>
      <c r="L305" s="1" t="s">
        <v>28</v>
      </c>
      <c r="M305" s="1" t="s">
        <v>43</v>
      </c>
      <c r="N305" s="1" t="s">
        <v>44</v>
      </c>
      <c r="O305" s="1" t="s">
        <v>31</v>
      </c>
      <c r="P305" s="2">
        <v>45823</v>
      </c>
      <c r="Q305" s="1" t="s">
        <v>176</v>
      </c>
      <c r="R305" s="1" t="s">
        <v>353</v>
      </c>
      <c r="S305" s="1" t="s">
        <v>105</v>
      </c>
      <c r="T305" s="1" t="s">
        <v>35</v>
      </c>
      <c r="U305" s="1" t="s">
        <v>82</v>
      </c>
      <c r="V305" s="1" t="s">
        <v>37</v>
      </c>
      <c r="W305">
        <v>2</v>
      </c>
      <c r="X305" s="1">
        <f t="shared" si="8"/>
        <v>8551.6499999999451</v>
      </c>
      <c r="Y305" s="1">
        <f t="shared" si="9"/>
        <v>7204.2099999999582</v>
      </c>
    </row>
    <row r="306" spans="1:25" x14ac:dyDescent="0.3">
      <c r="A306" s="1" t="s">
        <v>692</v>
      </c>
      <c r="B306">
        <v>1</v>
      </c>
      <c r="C306">
        <v>21.99</v>
      </c>
      <c r="D306">
        <v>21.99</v>
      </c>
      <c r="E306" s="1" t="s">
        <v>252</v>
      </c>
      <c r="F306" s="1" t="s">
        <v>40</v>
      </c>
      <c r="G306">
        <v>3</v>
      </c>
      <c r="H306" s="1" t="s">
        <v>26</v>
      </c>
      <c r="I306" s="1" t="s">
        <v>27</v>
      </c>
      <c r="J306">
        <v>7</v>
      </c>
      <c r="K306">
        <v>21.99</v>
      </c>
      <c r="L306" s="1" t="s">
        <v>28</v>
      </c>
      <c r="M306" s="1" t="s">
        <v>29</v>
      </c>
      <c r="N306" s="1" t="s">
        <v>30</v>
      </c>
      <c r="O306" s="1" t="s">
        <v>31</v>
      </c>
      <c r="P306" s="2">
        <v>45778</v>
      </c>
      <c r="Q306" s="1" t="s">
        <v>693</v>
      </c>
      <c r="R306" s="1" t="s">
        <v>694</v>
      </c>
      <c r="S306" s="1" t="s">
        <v>47</v>
      </c>
      <c r="T306" s="1" t="s">
        <v>35</v>
      </c>
      <c r="U306" s="1" t="s">
        <v>82</v>
      </c>
      <c r="V306" s="1" t="s">
        <v>37</v>
      </c>
      <c r="W306">
        <v>2</v>
      </c>
      <c r="X306" s="1">
        <f t="shared" si="8"/>
        <v>8313.6899999999459</v>
      </c>
      <c r="Y306" s="1">
        <f t="shared" si="9"/>
        <v>7204.2099999999582</v>
      </c>
    </row>
    <row r="307" spans="1:25" x14ac:dyDescent="0.3">
      <c r="A307" s="1" t="s">
        <v>695</v>
      </c>
      <c r="B307">
        <v>1</v>
      </c>
      <c r="C307">
        <v>30.99</v>
      </c>
      <c r="D307">
        <v>30.99</v>
      </c>
      <c r="E307" s="1" t="s">
        <v>222</v>
      </c>
      <c r="F307" s="1" t="s">
        <v>40</v>
      </c>
      <c r="G307">
        <v>3</v>
      </c>
      <c r="H307" s="1" t="s">
        <v>41</v>
      </c>
      <c r="I307" s="1" t="s">
        <v>42</v>
      </c>
      <c r="J307">
        <v>10.5</v>
      </c>
      <c r="K307">
        <v>30.99</v>
      </c>
      <c r="L307" s="1" t="s">
        <v>28</v>
      </c>
      <c r="M307" s="1" t="s">
        <v>43</v>
      </c>
      <c r="N307" s="1" t="s">
        <v>44</v>
      </c>
      <c r="O307" s="1" t="s">
        <v>31</v>
      </c>
      <c r="P307" s="2">
        <v>45823</v>
      </c>
      <c r="Q307" s="1" t="s">
        <v>122</v>
      </c>
      <c r="R307" s="1" t="s">
        <v>123</v>
      </c>
      <c r="S307" s="1" t="s">
        <v>65</v>
      </c>
      <c r="T307" s="1" t="s">
        <v>35</v>
      </c>
      <c r="U307" s="1" t="s">
        <v>82</v>
      </c>
      <c r="V307" s="1" t="s">
        <v>37</v>
      </c>
      <c r="W307">
        <v>2</v>
      </c>
      <c r="X307" s="1">
        <f t="shared" si="8"/>
        <v>8551.6499999999451</v>
      </c>
      <c r="Y307" s="1">
        <f t="shared" si="9"/>
        <v>7204.2099999999582</v>
      </c>
    </row>
    <row r="308" spans="1:25" x14ac:dyDescent="0.3">
      <c r="A308" s="1" t="s">
        <v>696</v>
      </c>
      <c r="B308">
        <v>1</v>
      </c>
      <c r="C308">
        <v>21.99</v>
      </c>
      <c r="D308">
        <v>21.99</v>
      </c>
      <c r="E308" s="1" t="s">
        <v>334</v>
      </c>
      <c r="F308" s="1" t="s">
        <v>70</v>
      </c>
      <c r="G308">
        <v>0</v>
      </c>
      <c r="H308" s="1" t="s">
        <v>26</v>
      </c>
      <c r="I308" s="1" t="s">
        <v>27</v>
      </c>
      <c r="J308">
        <v>7</v>
      </c>
      <c r="K308">
        <v>21.99</v>
      </c>
      <c r="L308" s="1" t="s">
        <v>28</v>
      </c>
      <c r="M308" s="1" t="s">
        <v>29</v>
      </c>
      <c r="N308" s="1" t="s">
        <v>30</v>
      </c>
      <c r="O308" s="1" t="s">
        <v>31</v>
      </c>
      <c r="P308" s="2">
        <v>45778</v>
      </c>
      <c r="Q308" s="1" t="s">
        <v>349</v>
      </c>
      <c r="R308" s="1" t="s">
        <v>697</v>
      </c>
      <c r="S308" s="1" t="s">
        <v>105</v>
      </c>
      <c r="T308" s="1" t="s">
        <v>35</v>
      </c>
      <c r="U308" s="1" t="s">
        <v>66</v>
      </c>
      <c r="V308" s="1" t="s">
        <v>37</v>
      </c>
      <c r="W308">
        <v>2</v>
      </c>
      <c r="X308" s="1">
        <f t="shared" si="8"/>
        <v>8313.6899999999459</v>
      </c>
      <c r="Y308" s="1">
        <f t="shared" si="9"/>
        <v>6397.4799999999632</v>
      </c>
    </row>
    <row r="309" spans="1:25" x14ac:dyDescent="0.3">
      <c r="A309" s="1" t="s">
        <v>698</v>
      </c>
      <c r="B309">
        <v>1</v>
      </c>
      <c r="C309">
        <v>21.99</v>
      </c>
      <c r="D309">
        <v>21.99</v>
      </c>
      <c r="E309" s="1" t="s">
        <v>192</v>
      </c>
      <c r="F309" s="1" t="s">
        <v>40</v>
      </c>
      <c r="G309">
        <v>5</v>
      </c>
      <c r="H309" s="1" t="s">
        <v>58</v>
      </c>
      <c r="I309" s="1" t="s">
        <v>27</v>
      </c>
      <c r="J309">
        <v>7</v>
      </c>
      <c r="K309">
        <v>21.99</v>
      </c>
      <c r="L309" s="1" t="s">
        <v>28</v>
      </c>
      <c r="M309" s="1" t="s">
        <v>29</v>
      </c>
      <c r="N309" s="1" t="s">
        <v>30</v>
      </c>
      <c r="O309" s="1" t="s">
        <v>31</v>
      </c>
      <c r="P309" s="2">
        <v>45778</v>
      </c>
      <c r="Q309" s="1" t="s">
        <v>63</v>
      </c>
      <c r="R309" s="1" t="s">
        <v>699</v>
      </c>
      <c r="S309" s="1" t="s">
        <v>105</v>
      </c>
      <c r="T309" s="1" t="s">
        <v>35</v>
      </c>
      <c r="U309" s="1" t="s">
        <v>48</v>
      </c>
      <c r="V309" s="1" t="s">
        <v>37</v>
      </c>
      <c r="W309">
        <v>2</v>
      </c>
      <c r="X309" s="1">
        <f t="shared" si="8"/>
        <v>8640.6199999999462</v>
      </c>
      <c r="Y309" s="1">
        <f t="shared" si="9"/>
        <v>7682.919999999951</v>
      </c>
    </row>
    <row r="310" spans="1:25" x14ac:dyDescent="0.3">
      <c r="A310" s="1" t="s">
        <v>700</v>
      </c>
      <c r="B310">
        <v>1</v>
      </c>
      <c r="C310">
        <v>27.99</v>
      </c>
      <c r="D310">
        <v>27.99</v>
      </c>
      <c r="E310" s="1" t="s">
        <v>701</v>
      </c>
      <c r="F310" s="1" t="s">
        <v>51</v>
      </c>
      <c r="G310">
        <v>0</v>
      </c>
      <c r="H310" s="1" t="s">
        <v>26</v>
      </c>
      <c r="I310" s="1" t="s">
        <v>75</v>
      </c>
      <c r="J310">
        <v>9</v>
      </c>
      <c r="K310">
        <v>27.99</v>
      </c>
      <c r="L310" s="1" t="s">
        <v>28</v>
      </c>
      <c r="M310" s="1" t="s">
        <v>61</v>
      </c>
      <c r="N310" s="1" t="s">
        <v>62</v>
      </c>
      <c r="O310" s="1" t="s">
        <v>31</v>
      </c>
      <c r="P310" s="2">
        <v>45726</v>
      </c>
      <c r="Q310" s="1" t="s">
        <v>409</v>
      </c>
      <c r="R310" s="1" t="s">
        <v>410</v>
      </c>
      <c r="S310" s="1" t="s">
        <v>411</v>
      </c>
      <c r="T310" s="1" t="s">
        <v>35</v>
      </c>
      <c r="U310" s="1" t="s">
        <v>48</v>
      </c>
      <c r="V310" s="1" t="s">
        <v>37</v>
      </c>
      <c r="W310">
        <v>2</v>
      </c>
      <c r="X310" s="1">
        <f t="shared" si="8"/>
        <v>8313.6899999999459</v>
      </c>
      <c r="Y310" s="1">
        <f t="shared" si="9"/>
        <v>7682.919999999951</v>
      </c>
    </row>
    <row r="311" spans="1:25" x14ac:dyDescent="0.3">
      <c r="A311" s="1" t="s">
        <v>702</v>
      </c>
      <c r="B311">
        <v>1</v>
      </c>
      <c r="C311">
        <v>18.989999999999998</v>
      </c>
      <c r="D311">
        <v>18.989999999999998</v>
      </c>
      <c r="E311" s="1" t="s">
        <v>187</v>
      </c>
      <c r="F311" s="1" t="s">
        <v>40</v>
      </c>
      <c r="G311">
        <v>15</v>
      </c>
      <c r="H311" s="1" t="s">
        <v>58</v>
      </c>
      <c r="I311" s="1" t="s">
        <v>97</v>
      </c>
      <c r="J311">
        <v>6</v>
      </c>
      <c r="K311">
        <v>18.989999999999998</v>
      </c>
      <c r="L311" s="1" t="s">
        <v>60</v>
      </c>
      <c r="M311" s="1" t="s">
        <v>43</v>
      </c>
      <c r="N311" s="1" t="s">
        <v>44</v>
      </c>
      <c r="O311" s="1" t="s">
        <v>31</v>
      </c>
      <c r="P311" s="2">
        <v>45823</v>
      </c>
      <c r="Q311" s="1" t="s">
        <v>216</v>
      </c>
      <c r="R311" s="1" t="s">
        <v>275</v>
      </c>
      <c r="S311" s="1" t="s">
        <v>105</v>
      </c>
      <c r="T311" s="1" t="s">
        <v>35</v>
      </c>
      <c r="U311" s="1" t="s">
        <v>82</v>
      </c>
      <c r="V311" s="1" t="s">
        <v>100</v>
      </c>
      <c r="W311">
        <v>3.2</v>
      </c>
      <c r="X311" s="1">
        <f t="shared" si="8"/>
        <v>8640.6199999999462</v>
      </c>
      <c r="Y311" s="1">
        <f t="shared" si="9"/>
        <v>7204.2099999999582</v>
      </c>
    </row>
    <row r="312" spans="1:25" x14ac:dyDescent="0.3">
      <c r="A312" s="1" t="s">
        <v>703</v>
      </c>
      <c r="B312">
        <v>1</v>
      </c>
      <c r="C312">
        <v>30.99</v>
      </c>
      <c r="D312">
        <v>30.99</v>
      </c>
      <c r="E312" s="1" t="s">
        <v>704</v>
      </c>
      <c r="F312" s="1" t="s">
        <v>51</v>
      </c>
      <c r="G312">
        <v>0</v>
      </c>
      <c r="H312" s="1" t="s">
        <v>58</v>
      </c>
      <c r="I312" s="1" t="s">
        <v>42</v>
      </c>
      <c r="J312">
        <v>10.5</v>
      </c>
      <c r="K312">
        <v>30.99</v>
      </c>
      <c r="L312" s="1" t="s">
        <v>28</v>
      </c>
      <c r="M312" s="1" t="s">
        <v>43</v>
      </c>
      <c r="N312" s="1" t="s">
        <v>44</v>
      </c>
      <c r="O312" s="1" t="s">
        <v>31</v>
      </c>
      <c r="P312" s="2">
        <v>45823</v>
      </c>
      <c r="Q312" s="1" t="s">
        <v>705</v>
      </c>
      <c r="R312" s="1" t="s">
        <v>706</v>
      </c>
      <c r="S312" s="1" t="s">
        <v>105</v>
      </c>
      <c r="T312" s="1" t="s">
        <v>35</v>
      </c>
      <c r="U312" s="1" t="s">
        <v>36</v>
      </c>
      <c r="V312" s="1" t="s">
        <v>37</v>
      </c>
      <c r="W312">
        <v>2</v>
      </c>
      <c r="X312" s="1">
        <f t="shared" si="8"/>
        <v>8640.6199999999462</v>
      </c>
      <c r="Y312" s="1">
        <f t="shared" si="9"/>
        <v>6355.4899999999634</v>
      </c>
    </row>
    <row r="313" spans="1:25" x14ac:dyDescent="0.3">
      <c r="A313" s="1" t="s">
        <v>707</v>
      </c>
      <c r="B313">
        <v>1</v>
      </c>
      <c r="C313">
        <v>16.989999999999998</v>
      </c>
      <c r="D313">
        <v>16.989999999999998</v>
      </c>
      <c r="E313" s="1" t="s">
        <v>274</v>
      </c>
      <c r="F313" s="1" t="s">
        <v>40</v>
      </c>
      <c r="G313">
        <v>17</v>
      </c>
      <c r="H313" s="1" t="s">
        <v>26</v>
      </c>
      <c r="I313" s="1" t="s">
        <v>59</v>
      </c>
      <c r="J313">
        <v>5</v>
      </c>
      <c r="K313">
        <v>16.989999999999998</v>
      </c>
      <c r="L313" s="1" t="s">
        <v>60</v>
      </c>
      <c r="M313" s="1" t="s">
        <v>61</v>
      </c>
      <c r="N313" s="1" t="s">
        <v>62</v>
      </c>
      <c r="O313" s="1" t="s">
        <v>31</v>
      </c>
      <c r="P313" s="2">
        <v>45726</v>
      </c>
      <c r="Q313" s="1" t="s">
        <v>355</v>
      </c>
      <c r="R313" s="1" t="s">
        <v>356</v>
      </c>
      <c r="S313" s="1" t="s">
        <v>34</v>
      </c>
      <c r="T313" s="1" t="s">
        <v>35</v>
      </c>
      <c r="U313" s="1" t="s">
        <v>48</v>
      </c>
      <c r="V313" s="1" t="s">
        <v>67</v>
      </c>
      <c r="W313">
        <v>3</v>
      </c>
      <c r="X313" s="1">
        <f t="shared" si="8"/>
        <v>8313.6899999999459</v>
      </c>
      <c r="Y313" s="1">
        <f t="shared" si="9"/>
        <v>7682.919999999951</v>
      </c>
    </row>
    <row r="314" spans="1:25" x14ac:dyDescent="0.3">
      <c r="A314" s="1" t="s">
        <v>708</v>
      </c>
      <c r="B314">
        <v>1</v>
      </c>
      <c r="C314">
        <v>16.989999999999998</v>
      </c>
      <c r="D314">
        <v>16.989999999999998</v>
      </c>
      <c r="E314" s="1" t="s">
        <v>445</v>
      </c>
      <c r="F314" s="1" t="s">
        <v>25</v>
      </c>
      <c r="G314">
        <v>19</v>
      </c>
      <c r="H314" s="1" t="s">
        <v>26</v>
      </c>
      <c r="I314" s="1" t="s">
        <v>59</v>
      </c>
      <c r="J314">
        <v>5</v>
      </c>
      <c r="K314">
        <v>16.989999999999998</v>
      </c>
      <c r="L314" s="1" t="s">
        <v>60</v>
      </c>
      <c r="M314" s="1" t="s">
        <v>61</v>
      </c>
      <c r="N314" s="1" t="s">
        <v>62</v>
      </c>
      <c r="O314" s="1" t="s">
        <v>31</v>
      </c>
      <c r="P314" s="2">
        <v>45726</v>
      </c>
      <c r="Q314" s="1" t="s">
        <v>579</v>
      </c>
      <c r="R314" s="1" t="s">
        <v>580</v>
      </c>
      <c r="S314" s="1" t="s">
        <v>88</v>
      </c>
      <c r="T314" s="1" t="s">
        <v>35</v>
      </c>
      <c r="U314" s="1" t="s">
        <v>36</v>
      </c>
      <c r="V314" s="1" t="s">
        <v>67</v>
      </c>
      <c r="W314">
        <v>3</v>
      </c>
      <c r="X314" s="1">
        <f t="shared" si="8"/>
        <v>8313.6899999999459</v>
      </c>
      <c r="Y314" s="1">
        <f t="shared" si="9"/>
        <v>6355.4899999999634</v>
      </c>
    </row>
    <row r="315" spans="1:25" x14ac:dyDescent="0.3">
      <c r="A315" s="1" t="s">
        <v>709</v>
      </c>
      <c r="B315">
        <v>1</v>
      </c>
      <c r="C315">
        <v>18.989999999999998</v>
      </c>
      <c r="D315">
        <v>18.989999999999998</v>
      </c>
      <c r="E315" s="1" t="s">
        <v>393</v>
      </c>
      <c r="F315" s="1" t="s">
        <v>40</v>
      </c>
      <c r="G315">
        <v>13</v>
      </c>
      <c r="H315" s="1" t="s">
        <v>58</v>
      </c>
      <c r="I315" s="1" t="s">
        <v>97</v>
      </c>
      <c r="J315">
        <v>6</v>
      </c>
      <c r="K315">
        <v>18.989999999999998</v>
      </c>
      <c r="L315" s="1" t="s">
        <v>60</v>
      </c>
      <c r="M315" s="1" t="s">
        <v>43</v>
      </c>
      <c r="N315" s="1" t="s">
        <v>44</v>
      </c>
      <c r="O315" s="1" t="s">
        <v>31</v>
      </c>
      <c r="P315" s="2">
        <v>45823</v>
      </c>
      <c r="Q315" s="1" t="s">
        <v>710</v>
      </c>
      <c r="R315" s="1" t="s">
        <v>711</v>
      </c>
      <c r="S315" s="1" t="s">
        <v>65</v>
      </c>
      <c r="T315" s="1" t="s">
        <v>35</v>
      </c>
      <c r="U315" s="1" t="s">
        <v>48</v>
      </c>
      <c r="V315" s="1" t="s">
        <v>100</v>
      </c>
      <c r="W315">
        <v>3.2</v>
      </c>
      <c r="X315" s="1">
        <f t="shared" si="8"/>
        <v>8640.6199999999462</v>
      </c>
      <c r="Y315" s="1">
        <f t="shared" si="9"/>
        <v>7682.919999999951</v>
      </c>
    </row>
    <row r="316" spans="1:25" x14ac:dyDescent="0.3">
      <c r="A316" s="1" t="s">
        <v>712</v>
      </c>
      <c r="B316">
        <v>1</v>
      </c>
      <c r="C316">
        <v>18.989999999999998</v>
      </c>
      <c r="D316">
        <v>18.989999999999998</v>
      </c>
      <c r="E316" s="1" t="s">
        <v>334</v>
      </c>
      <c r="F316" s="1" t="s">
        <v>40</v>
      </c>
      <c r="G316">
        <v>10</v>
      </c>
      <c r="H316" s="1" t="s">
        <v>41</v>
      </c>
      <c r="I316" s="1" t="s">
        <v>97</v>
      </c>
      <c r="J316">
        <v>6</v>
      </c>
      <c r="K316">
        <v>18.989999999999998</v>
      </c>
      <c r="L316" s="1" t="s">
        <v>60</v>
      </c>
      <c r="M316" s="1" t="s">
        <v>43</v>
      </c>
      <c r="N316" s="1" t="s">
        <v>44</v>
      </c>
      <c r="O316" s="1" t="s">
        <v>31</v>
      </c>
      <c r="P316" s="2">
        <v>45823</v>
      </c>
      <c r="Q316" s="1" t="s">
        <v>420</v>
      </c>
      <c r="R316" s="1" t="s">
        <v>423</v>
      </c>
      <c r="S316" s="1" t="s">
        <v>105</v>
      </c>
      <c r="T316" s="1" t="s">
        <v>35</v>
      </c>
      <c r="U316" s="1" t="s">
        <v>82</v>
      </c>
      <c r="V316" s="1" t="s">
        <v>100</v>
      </c>
      <c r="W316">
        <v>3.2</v>
      </c>
      <c r="X316" s="1">
        <f t="shared" si="8"/>
        <v>8551.6499999999451</v>
      </c>
      <c r="Y316" s="1">
        <f t="shared" si="9"/>
        <v>7204.2099999999582</v>
      </c>
    </row>
    <row r="317" spans="1:25" x14ac:dyDescent="0.3">
      <c r="A317" s="1" t="s">
        <v>713</v>
      </c>
      <c r="B317">
        <v>1</v>
      </c>
      <c r="C317">
        <v>18.989999999999998</v>
      </c>
      <c r="D317">
        <v>18.989999999999998</v>
      </c>
      <c r="E317" s="1" t="s">
        <v>445</v>
      </c>
      <c r="F317" s="1" t="s">
        <v>40</v>
      </c>
      <c r="G317">
        <v>15</v>
      </c>
      <c r="H317" s="1" t="s">
        <v>96</v>
      </c>
      <c r="I317" s="1" t="s">
        <v>97</v>
      </c>
      <c r="J317">
        <v>6</v>
      </c>
      <c r="K317">
        <v>18.989999999999998</v>
      </c>
      <c r="L317" s="1" t="s">
        <v>60</v>
      </c>
      <c r="M317" s="1" t="s">
        <v>43</v>
      </c>
      <c r="N317" s="1" t="s">
        <v>44</v>
      </c>
      <c r="O317" s="1" t="s">
        <v>31</v>
      </c>
      <c r="P317" s="2">
        <v>45823</v>
      </c>
      <c r="Q317" s="1" t="s">
        <v>161</v>
      </c>
      <c r="R317" s="1" t="s">
        <v>500</v>
      </c>
      <c r="S317" s="1" t="s">
        <v>65</v>
      </c>
      <c r="T317" s="1" t="s">
        <v>35</v>
      </c>
      <c r="U317" s="1" t="s">
        <v>55</v>
      </c>
      <c r="V317" s="1" t="s">
        <v>100</v>
      </c>
      <c r="W317">
        <v>3.2</v>
      </c>
      <c r="X317" s="1">
        <f t="shared" si="8"/>
        <v>7844.9099999999507</v>
      </c>
      <c r="Y317" s="1">
        <f t="shared" si="9"/>
        <v>5710.7699999999695</v>
      </c>
    </row>
    <row r="318" spans="1:25" x14ac:dyDescent="0.3">
      <c r="A318" s="1" t="s">
        <v>714</v>
      </c>
      <c r="B318">
        <v>1</v>
      </c>
      <c r="C318">
        <v>18.989999999999998</v>
      </c>
      <c r="D318">
        <v>18.989999999999998</v>
      </c>
      <c r="E318" s="1" t="s">
        <v>84</v>
      </c>
      <c r="F318" s="1" t="s">
        <v>40</v>
      </c>
      <c r="G318">
        <v>10</v>
      </c>
      <c r="H318" s="1" t="s">
        <v>26</v>
      </c>
      <c r="I318" s="1" t="s">
        <v>97</v>
      </c>
      <c r="J318">
        <v>6</v>
      </c>
      <c r="K318">
        <v>18.989999999999998</v>
      </c>
      <c r="L318" s="1" t="s">
        <v>60</v>
      </c>
      <c r="M318" s="1" t="s">
        <v>43</v>
      </c>
      <c r="N318" s="1" t="s">
        <v>44</v>
      </c>
      <c r="O318" s="1" t="s">
        <v>31</v>
      </c>
      <c r="P318" s="2">
        <v>45823</v>
      </c>
      <c r="Q318" s="1" t="s">
        <v>466</v>
      </c>
      <c r="R318" s="1" t="s">
        <v>467</v>
      </c>
      <c r="S318" s="1" t="s">
        <v>65</v>
      </c>
      <c r="T318" s="1" t="s">
        <v>35</v>
      </c>
      <c r="U318" s="1" t="s">
        <v>36</v>
      </c>
      <c r="V318" s="1" t="s">
        <v>100</v>
      </c>
      <c r="W318">
        <v>3.2</v>
      </c>
      <c r="X318" s="1">
        <f t="shared" si="8"/>
        <v>8313.6899999999459</v>
      </c>
      <c r="Y318" s="1">
        <f t="shared" si="9"/>
        <v>6355.4899999999634</v>
      </c>
    </row>
    <row r="319" spans="1:25" x14ac:dyDescent="0.3">
      <c r="A319" s="1" t="s">
        <v>715</v>
      </c>
      <c r="B319">
        <v>1</v>
      </c>
      <c r="C319">
        <v>16.989999999999998</v>
      </c>
      <c r="D319">
        <v>16.989999999999998</v>
      </c>
      <c r="E319" s="1" t="s">
        <v>69</v>
      </c>
      <c r="F319" s="1" t="s">
        <v>40</v>
      </c>
      <c r="G319">
        <v>17</v>
      </c>
      <c r="H319" s="1" t="s">
        <v>96</v>
      </c>
      <c r="I319" s="1" t="s">
        <v>59</v>
      </c>
      <c r="J319">
        <v>5</v>
      </c>
      <c r="K319">
        <v>16.989999999999998</v>
      </c>
      <c r="L319" s="1" t="s">
        <v>60</v>
      </c>
      <c r="M319" s="1" t="s">
        <v>61</v>
      </c>
      <c r="N319" s="1" t="s">
        <v>62</v>
      </c>
      <c r="O319" s="1" t="s">
        <v>31</v>
      </c>
      <c r="P319" s="2">
        <v>45726</v>
      </c>
      <c r="Q319" s="1" t="s">
        <v>705</v>
      </c>
      <c r="R319" s="1" t="s">
        <v>706</v>
      </c>
      <c r="S319" s="1" t="s">
        <v>105</v>
      </c>
      <c r="T319" s="1" t="s">
        <v>35</v>
      </c>
      <c r="U319" s="1" t="s">
        <v>36</v>
      </c>
      <c r="V319" s="1" t="s">
        <v>67</v>
      </c>
      <c r="W319">
        <v>3</v>
      </c>
      <c r="X319" s="1">
        <f t="shared" si="8"/>
        <v>7844.9099999999507</v>
      </c>
      <c r="Y319" s="1">
        <f t="shared" si="9"/>
        <v>6355.4899999999634</v>
      </c>
    </row>
    <row r="320" spans="1:25" x14ac:dyDescent="0.3">
      <c r="A320" s="1" t="s">
        <v>716</v>
      </c>
      <c r="B320">
        <v>1</v>
      </c>
      <c r="C320">
        <v>16.989999999999998</v>
      </c>
      <c r="D320">
        <v>16.989999999999998</v>
      </c>
      <c r="E320" s="1" t="s">
        <v>181</v>
      </c>
      <c r="F320" s="1" t="s">
        <v>25</v>
      </c>
      <c r="G320">
        <v>18</v>
      </c>
      <c r="H320" s="1" t="s">
        <v>41</v>
      </c>
      <c r="I320" s="1" t="s">
        <v>59</v>
      </c>
      <c r="J320">
        <v>5</v>
      </c>
      <c r="K320">
        <v>16.989999999999998</v>
      </c>
      <c r="L320" s="1" t="s">
        <v>60</v>
      </c>
      <c r="M320" s="1" t="s">
        <v>61</v>
      </c>
      <c r="N320" s="1" t="s">
        <v>62</v>
      </c>
      <c r="O320" s="1" t="s">
        <v>31</v>
      </c>
      <c r="P320" s="2">
        <v>45726</v>
      </c>
      <c r="Q320" s="1" t="s">
        <v>140</v>
      </c>
      <c r="R320" s="1" t="s">
        <v>383</v>
      </c>
      <c r="S320" s="1" t="s">
        <v>65</v>
      </c>
      <c r="T320" s="1" t="s">
        <v>35</v>
      </c>
      <c r="U320" s="1" t="s">
        <v>82</v>
      </c>
      <c r="V320" s="1" t="s">
        <v>67</v>
      </c>
      <c r="W320">
        <v>3</v>
      </c>
      <c r="X320" s="1">
        <f t="shared" si="8"/>
        <v>8551.6499999999451</v>
      </c>
      <c r="Y320" s="1">
        <f t="shared" si="9"/>
        <v>7204.2099999999582</v>
      </c>
    </row>
    <row r="321" spans="1:25" x14ac:dyDescent="0.3">
      <c r="A321" s="1" t="s">
        <v>717</v>
      </c>
      <c r="B321">
        <v>1</v>
      </c>
      <c r="C321">
        <v>34.99</v>
      </c>
      <c r="D321">
        <v>34.99</v>
      </c>
      <c r="E321" s="1" t="s">
        <v>160</v>
      </c>
      <c r="F321" s="1" t="s">
        <v>25</v>
      </c>
      <c r="G321">
        <v>6</v>
      </c>
      <c r="H321" s="1" t="s">
        <v>96</v>
      </c>
      <c r="I321" s="1" t="s">
        <v>85</v>
      </c>
      <c r="J321">
        <v>12.5</v>
      </c>
      <c r="K321">
        <v>34.99</v>
      </c>
      <c r="L321" s="1" t="s">
        <v>60</v>
      </c>
      <c r="M321" s="1" t="s">
        <v>29</v>
      </c>
      <c r="N321" s="1" t="s">
        <v>30</v>
      </c>
      <c r="O321" s="1" t="s">
        <v>31</v>
      </c>
      <c r="P321" s="2">
        <v>45778</v>
      </c>
      <c r="Q321" s="1" t="s">
        <v>308</v>
      </c>
      <c r="R321" s="1" t="s">
        <v>309</v>
      </c>
      <c r="S321" s="1" t="s">
        <v>47</v>
      </c>
      <c r="T321" s="1" t="s">
        <v>35</v>
      </c>
      <c r="U321" s="1" t="s">
        <v>82</v>
      </c>
      <c r="V321" s="1" t="s">
        <v>89</v>
      </c>
      <c r="W321">
        <v>2.4</v>
      </c>
      <c r="X321" s="1">
        <f t="shared" si="8"/>
        <v>7844.9099999999507</v>
      </c>
      <c r="Y321" s="1">
        <f t="shared" si="9"/>
        <v>7204.2099999999582</v>
      </c>
    </row>
    <row r="322" spans="1:25" x14ac:dyDescent="0.3">
      <c r="A322" s="1" t="s">
        <v>718</v>
      </c>
      <c r="B322">
        <v>2</v>
      </c>
      <c r="C322">
        <v>21.99</v>
      </c>
      <c r="D322">
        <v>38.130000000000003</v>
      </c>
      <c r="E322" s="1" t="s">
        <v>719</v>
      </c>
      <c r="F322" s="1" t="s">
        <v>40</v>
      </c>
      <c r="G322">
        <v>2</v>
      </c>
      <c r="H322" s="1" t="s">
        <v>26</v>
      </c>
      <c r="I322" s="1" t="s">
        <v>27</v>
      </c>
      <c r="J322">
        <v>7</v>
      </c>
      <c r="K322">
        <v>21.99</v>
      </c>
      <c r="L322" s="1" t="s">
        <v>28</v>
      </c>
      <c r="M322" s="1" t="s">
        <v>29</v>
      </c>
      <c r="N322" s="1" t="s">
        <v>30</v>
      </c>
      <c r="O322" s="1" t="s">
        <v>31</v>
      </c>
      <c r="P322" s="2">
        <v>45778</v>
      </c>
      <c r="Q322" s="1" t="s">
        <v>720</v>
      </c>
      <c r="R322" s="1" t="s">
        <v>721</v>
      </c>
      <c r="S322" s="1" t="s">
        <v>54</v>
      </c>
      <c r="T322" s="1" t="s">
        <v>35</v>
      </c>
      <c r="U322" s="1" t="s">
        <v>82</v>
      </c>
      <c r="V322" s="1" t="s">
        <v>37</v>
      </c>
      <c r="W322">
        <v>2</v>
      </c>
      <c r="X322" s="1">
        <f t="shared" ref="X322:X385" si="10">SUMIF(H:H,H322,K:K)</f>
        <v>8313.6899999999459</v>
      </c>
      <c r="Y322" s="1">
        <f t="shared" ref="Y322:Y385" si="11">SUMIF(U:U,U322,K:K)</f>
        <v>7204.2099999999582</v>
      </c>
    </row>
    <row r="323" spans="1:25" x14ac:dyDescent="0.3">
      <c r="A323" s="1" t="s">
        <v>722</v>
      </c>
      <c r="B323">
        <v>3</v>
      </c>
      <c r="C323">
        <v>16.989999999999998</v>
      </c>
      <c r="D323">
        <v>40.049999999999997</v>
      </c>
      <c r="E323" s="1" t="s">
        <v>723</v>
      </c>
      <c r="F323" s="1" t="s">
        <v>40</v>
      </c>
      <c r="G323">
        <v>16</v>
      </c>
      <c r="H323" s="1" t="s">
        <v>41</v>
      </c>
      <c r="I323" s="1" t="s">
        <v>59</v>
      </c>
      <c r="J323">
        <v>5</v>
      </c>
      <c r="K323">
        <v>16.989999999999998</v>
      </c>
      <c r="L323" s="1" t="s">
        <v>60</v>
      </c>
      <c r="M323" s="1" t="s">
        <v>61</v>
      </c>
      <c r="N323" s="1" t="s">
        <v>62</v>
      </c>
      <c r="O323" s="1" t="s">
        <v>31</v>
      </c>
      <c r="P323" s="2">
        <v>45726</v>
      </c>
      <c r="Q323" s="1" t="s">
        <v>724</v>
      </c>
      <c r="R323" s="1" t="s">
        <v>725</v>
      </c>
      <c r="S323" s="1" t="s">
        <v>65</v>
      </c>
      <c r="T323" s="1" t="s">
        <v>35</v>
      </c>
      <c r="U323" s="1" t="s">
        <v>66</v>
      </c>
      <c r="V323" s="1" t="s">
        <v>67</v>
      </c>
      <c r="W323">
        <v>3</v>
      </c>
      <c r="X323" s="1">
        <f t="shared" si="10"/>
        <v>8551.6499999999451</v>
      </c>
      <c r="Y323" s="1">
        <f t="shared" si="11"/>
        <v>6397.4799999999632</v>
      </c>
    </row>
    <row r="324" spans="1:25" x14ac:dyDescent="0.3">
      <c r="A324" s="1" t="s">
        <v>726</v>
      </c>
      <c r="B324">
        <v>1</v>
      </c>
      <c r="C324">
        <v>21.99</v>
      </c>
      <c r="D324">
        <v>21.99</v>
      </c>
      <c r="E324" s="1" t="s">
        <v>727</v>
      </c>
      <c r="F324" s="1" t="s">
        <v>40</v>
      </c>
      <c r="G324">
        <v>3</v>
      </c>
      <c r="H324" s="1" t="s">
        <v>96</v>
      </c>
      <c r="I324" s="1" t="s">
        <v>27</v>
      </c>
      <c r="J324">
        <v>7</v>
      </c>
      <c r="K324">
        <v>21.99</v>
      </c>
      <c r="L324" s="1" t="s">
        <v>28</v>
      </c>
      <c r="M324" s="1" t="s">
        <v>29</v>
      </c>
      <c r="N324" s="1" t="s">
        <v>30</v>
      </c>
      <c r="O324" s="1" t="s">
        <v>31</v>
      </c>
      <c r="P324" s="2">
        <v>45778</v>
      </c>
      <c r="Q324" s="1" t="s">
        <v>728</v>
      </c>
      <c r="R324" s="1" t="s">
        <v>729</v>
      </c>
      <c r="S324" s="1" t="s">
        <v>88</v>
      </c>
      <c r="T324" s="1" t="s">
        <v>35</v>
      </c>
      <c r="U324" s="1" t="s">
        <v>55</v>
      </c>
      <c r="V324" s="1" t="s">
        <v>37</v>
      </c>
      <c r="W324">
        <v>2</v>
      </c>
      <c r="X324" s="1">
        <f t="shared" si="10"/>
        <v>7844.9099999999507</v>
      </c>
      <c r="Y324" s="1">
        <f t="shared" si="11"/>
        <v>5710.7699999999695</v>
      </c>
    </row>
    <row r="325" spans="1:25" x14ac:dyDescent="0.3">
      <c r="A325" s="1" t="s">
        <v>730</v>
      </c>
      <c r="B325">
        <v>2</v>
      </c>
      <c r="C325">
        <v>27.99</v>
      </c>
      <c r="D325">
        <v>48.81</v>
      </c>
      <c r="E325" s="1" t="s">
        <v>731</v>
      </c>
      <c r="F325" s="1" t="s">
        <v>40</v>
      </c>
      <c r="G325">
        <v>2</v>
      </c>
      <c r="H325" s="1" t="s">
        <v>26</v>
      </c>
      <c r="I325" s="1" t="s">
        <v>75</v>
      </c>
      <c r="J325">
        <v>9</v>
      </c>
      <c r="K325">
        <v>27.99</v>
      </c>
      <c r="L325" s="1" t="s">
        <v>28</v>
      </c>
      <c r="M325" s="1" t="s">
        <v>61</v>
      </c>
      <c r="N325" s="1" t="s">
        <v>62</v>
      </c>
      <c r="O325" s="1" t="s">
        <v>31</v>
      </c>
      <c r="P325" s="2">
        <v>45726</v>
      </c>
      <c r="Q325" s="1" t="s">
        <v>732</v>
      </c>
      <c r="R325" s="1" t="s">
        <v>733</v>
      </c>
      <c r="S325" s="1" t="s">
        <v>65</v>
      </c>
      <c r="T325" s="1" t="s">
        <v>35</v>
      </c>
      <c r="U325" s="1" t="s">
        <v>48</v>
      </c>
      <c r="V325" s="1" t="s">
        <v>37</v>
      </c>
      <c r="W325">
        <v>2</v>
      </c>
      <c r="X325" s="1">
        <f t="shared" si="10"/>
        <v>8313.6899999999459</v>
      </c>
      <c r="Y325" s="1">
        <f t="shared" si="11"/>
        <v>7682.919999999951</v>
      </c>
    </row>
    <row r="326" spans="1:25" x14ac:dyDescent="0.3">
      <c r="A326" s="1" t="s">
        <v>734</v>
      </c>
      <c r="B326">
        <v>1</v>
      </c>
      <c r="C326">
        <v>30.99</v>
      </c>
      <c r="D326">
        <v>30.99</v>
      </c>
      <c r="E326" s="1" t="s">
        <v>735</v>
      </c>
      <c r="F326" s="1" t="s">
        <v>25</v>
      </c>
      <c r="G326">
        <v>2</v>
      </c>
      <c r="H326" s="1" t="s">
        <v>58</v>
      </c>
      <c r="I326" s="1" t="s">
        <v>42</v>
      </c>
      <c r="J326">
        <v>10.5</v>
      </c>
      <c r="K326">
        <v>30.99</v>
      </c>
      <c r="L326" s="1" t="s">
        <v>28</v>
      </c>
      <c r="M326" s="1" t="s">
        <v>43</v>
      </c>
      <c r="N326" s="1" t="s">
        <v>44</v>
      </c>
      <c r="O326" s="1" t="s">
        <v>31</v>
      </c>
      <c r="P326" s="2">
        <v>45823</v>
      </c>
      <c r="Q326" s="1" t="s">
        <v>63</v>
      </c>
      <c r="R326" s="1" t="s">
        <v>736</v>
      </c>
      <c r="S326" s="1" t="s">
        <v>47</v>
      </c>
      <c r="T326" s="1" t="s">
        <v>35</v>
      </c>
      <c r="U326" s="1" t="s">
        <v>66</v>
      </c>
      <c r="V326" s="1" t="s">
        <v>37</v>
      </c>
      <c r="W326">
        <v>2</v>
      </c>
      <c r="X326" s="1">
        <f t="shared" si="10"/>
        <v>8640.6199999999462</v>
      </c>
      <c r="Y326" s="1">
        <f t="shared" si="11"/>
        <v>6397.4799999999632</v>
      </c>
    </row>
    <row r="327" spans="1:25" x14ac:dyDescent="0.3">
      <c r="A327" s="1" t="s">
        <v>737</v>
      </c>
      <c r="B327">
        <v>1</v>
      </c>
      <c r="C327">
        <v>18.989999999999998</v>
      </c>
      <c r="D327">
        <v>18.989999999999998</v>
      </c>
      <c r="E327" s="1" t="s">
        <v>246</v>
      </c>
      <c r="F327" s="1" t="s">
        <v>188</v>
      </c>
      <c r="G327">
        <v>0</v>
      </c>
      <c r="H327" s="1" t="s">
        <v>58</v>
      </c>
      <c r="I327" s="1" t="s">
        <v>97</v>
      </c>
      <c r="J327">
        <v>6</v>
      </c>
      <c r="K327">
        <v>18.989999999999998</v>
      </c>
      <c r="L327" s="1" t="s">
        <v>60</v>
      </c>
      <c r="M327" s="1" t="s">
        <v>43</v>
      </c>
      <c r="N327" s="1" t="s">
        <v>44</v>
      </c>
      <c r="O327" s="1" t="s">
        <v>31</v>
      </c>
      <c r="P327" s="2">
        <v>45823</v>
      </c>
      <c r="Q327" s="1" t="s">
        <v>738</v>
      </c>
      <c r="R327" s="1" t="s">
        <v>739</v>
      </c>
      <c r="S327" s="1" t="s">
        <v>34</v>
      </c>
      <c r="T327" s="1" t="s">
        <v>35</v>
      </c>
      <c r="U327" s="1" t="s">
        <v>82</v>
      </c>
      <c r="V327" s="1" t="s">
        <v>100</v>
      </c>
      <c r="W327">
        <v>3.2</v>
      </c>
      <c r="X327" s="1">
        <f t="shared" si="10"/>
        <v>8640.6199999999462</v>
      </c>
      <c r="Y327" s="1">
        <f t="shared" si="11"/>
        <v>7204.2099999999582</v>
      </c>
    </row>
    <row r="328" spans="1:25" x14ac:dyDescent="0.3">
      <c r="A328" s="1" t="s">
        <v>740</v>
      </c>
      <c r="B328">
        <v>3</v>
      </c>
      <c r="C328">
        <v>27.99</v>
      </c>
      <c r="D328">
        <v>66.599999999999994</v>
      </c>
      <c r="E328" s="1" t="s">
        <v>651</v>
      </c>
      <c r="F328" s="1" t="s">
        <v>51</v>
      </c>
      <c r="G328">
        <v>0</v>
      </c>
      <c r="H328" s="1" t="s">
        <v>96</v>
      </c>
      <c r="I328" s="1" t="s">
        <v>75</v>
      </c>
      <c r="J328">
        <v>9</v>
      </c>
      <c r="K328">
        <v>27.99</v>
      </c>
      <c r="L328" s="1" t="s">
        <v>28</v>
      </c>
      <c r="M328" s="1" t="s">
        <v>61</v>
      </c>
      <c r="N328" s="1" t="s">
        <v>62</v>
      </c>
      <c r="O328" s="1" t="s">
        <v>31</v>
      </c>
      <c r="P328" s="2">
        <v>45726</v>
      </c>
      <c r="Q328" s="1" t="s">
        <v>741</v>
      </c>
      <c r="R328" s="1" t="s">
        <v>742</v>
      </c>
      <c r="S328" s="1" t="s">
        <v>47</v>
      </c>
      <c r="T328" s="1" t="s">
        <v>35</v>
      </c>
      <c r="U328" s="1" t="s">
        <v>48</v>
      </c>
      <c r="V328" s="1" t="s">
        <v>37</v>
      </c>
      <c r="W328">
        <v>2</v>
      </c>
      <c r="X328" s="1">
        <f t="shared" si="10"/>
        <v>7844.9099999999507</v>
      </c>
      <c r="Y328" s="1">
        <f t="shared" si="11"/>
        <v>7682.919999999951</v>
      </c>
    </row>
    <row r="329" spans="1:25" x14ac:dyDescent="0.3">
      <c r="A329" s="1" t="s">
        <v>743</v>
      </c>
      <c r="B329">
        <v>3</v>
      </c>
      <c r="C329">
        <v>16.989999999999998</v>
      </c>
      <c r="D329">
        <v>40.950000000000003</v>
      </c>
      <c r="E329" s="1" t="s">
        <v>744</v>
      </c>
      <c r="F329" s="1" t="s">
        <v>40</v>
      </c>
      <c r="G329">
        <v>15</v>
      </c>
      <c r="H329" s="1" t="s">
        <v>58</v>
      </c>
      <c r="I329" s="1" t="s">
        <v>59</v>
      </c>
      <c r="J329">
        <v>5</v>
      </c>
      <c r="K329">
        <v>16.989999999999998</v>
      </c>
      <c r="L329" s="1" t="s">
        <v>60</v>
      </c>
      <c r="M329" s="1" t="s">
        <v>61</v>
      </c>
      <c r="N329" s="1" t="s">
        <v>62</v>
      </c>
      <c r="O329" s="1" t="s">
        <v>31</v>
      </c>
      <c r="P329" s="2">
        <v>45726</v>
      </c>
      <c r="Q329" s="1" t="s">
        <v>745</v>
      </c>
      <c r="R329" s="1" t="s">
        <v>746</v>
      </c>
      <c r="S329" s="1" t="s">
        <v>105</v>
      </c>
      <c r="T329" s="1" t="s">
        <v>35</v>
      </c>
      <c r="U329" s="1" t="s">
        <v>48</v>
      </c>
      <c r="V329" s="1" t="s">
        <v>67</v>
      </c>
      <c r="W329">
        <v>3</v>
      </c>
      <c r="X329" s="1">
        <f t="shared" si="10"/>
        <v>8640.6199999999462</v>
      </c>
      <c r="Y329" s="1">
        <f t="shared" si="11"/>
        <v>7682.919999999951</v>
      </c>
    </row>
    <row r="330" spans="1:25" x14ac:dyDescent="0.3">
      <c r="A330" s="1" t="s">
        <v>747</v>
      </c>
      <c r="B330">
        <v>1</v>
      </c>
      <c r="C330">
        <v>34.99</v>
      </c>
      <c r="D330">
        <v>34.99</v>
      </c>
      <c r="E330" s="1" t="s">
        <v>338</v>
      </c>
      <c r="F330" s="1" t="s">
        <v>70</v>
      </c>
      <c r="G330">
        <v>0</v>
      </c>
      <c r="H330" s="1" t="s">
        <v>96</v>
      </c>
      <c r="I330" s="1" t="s">
        <v>85</v>
      </c>
      <c r="J330">
        <v>12.5</v>
      </c>
      <c r="K330">
        <v>34.99</v>
      </c>
      <c r="L330" s="1" t="s">
        <v>60</v>
      </c>
      <c r="M330" s="1" t="s">
        <v>29</v>
      </c>
      <c r="N330" s="1" t="s">
        <v>30</v>
      </c>
      <c r="O330" s="1" t="s">
        <v>31</v>
      </c>
      <c r="P330" s="2">
        <v>45778</v>
      </c>
      <c r="Q330" s="1" t="s">
        <v>748</v>
      </c>
      <c r="R330" s="1" t="s">
        <v>749</v>
      </c>
      <c r="S330" s="1" t="s">
        <v>88</v>
      </c>
      <c r="T330" s="1" t="s">
        <v>35</v>
      </c>
      <c r="U330" s="1" t="s">
        <v>48</v>
      </c>
      <c r="V330" s="1" t="s">
        <v>89</v>
      </c>
      <c r="W330">
        <v>2.4</v>
      </c>
      <c r="X330" s="1">
        <f t="shared" si="10"/>
        <v>7844.9099999999507</v>
      </c>
      <c r="Y330" s="1">
        <f t="shared" si="11"/>
        <v>7682.919999999951</v>
      </c>
    </row>
    <row r="331" spans="1:25" x14ac:dyDescent="0.3">
      <c r="A331" s="1" t="s">
        <v>750</v>
      </c>
      <c r="B331">
        <v>3</v>
      </c>
      <c r="C331">
        <v>30.99</v>
      </c>
      <c r="D331">
        <v>74.900000000000006</v>
      </c>
      <c r="E331" s="1" t="s">
        <v>246</v>
      </c>
      <c r="F331" s="1" t="s">
        <v>40</v>
      </c>
      <c r="G331">
        <v>3</v>
      </c>
      <c r="H331" s="1" t="s">
        <v>96</v>
      </c>
      <c r="I331" s="1" t="s">
        <v>42</v>
      </c>
      <c r="J331">
        <v>10.5</v>
      </c>
      <c r="K331">
        <v>30.99</v>
      </c>
      <c r="L331" s="1" t="s">
        <v>28</v>
      </c>
      <c r="M331" s="1" t="s">
        <v>43</v>
      </c>
      <c r="N331" s="1" t="s">
        <v>44</v>
      </c>
      <c r="O331" s="1" t="s">
        <v>31</v>
      </c>
      <c r="P331" s="2">
        <v>45823</v>
      </c>
      <c r="Q331" s="1" t="s">
        <v>118</v>
      </c>
      <c r="R331" s="1" t="s">
        <v>751</v>
      </c>
      <c r="S331" s="1" t="s">
        <v>65</v>
      </c>
      <c r="T331" s="1" t="s">
        <v>35</v>
      </c>
      <c r="U331" s="1" t="s">
        <v>82</v>
      </c>
      <c r="V331" s="1" t="s">
        <v>37</v>
      </c>
      <c r="W331">
        <v>2</v>
      </c>
      <c r="X331" s="1">
        <f t="shared" si="10"/>
        <v>7844.9099999999507</v>
      </c>
      <c r="Y331" s="1">
        <f t="shared" si="11"/>
        <v>7204.2099999999582</v>
      </c>
    </row>
    <row r="332" spans="1:25" x14ac:dyDescent="0.3">
      <c r="A332" s="1" t="s">
        <v>752</v>
      </c>
      <c r="B332">
        <v>1</v>
      </c>
      <c r="C332">
        <v>18.989999999999998</v>
      </c>
      <c r="D332">
        <v>18.989999999999998</v>
      </c>
      <c r="E332" s="1" t="s">
        <v>753</v>
      </c>
      <c r="F332" s="1" t="s">
        <v>40</v>
      </c>
      <c r="G332">
        <v>11</v>
      </c>
      <c r="H332" s="1" t="s">
        <v>26</v>
      </c>
      <c r="I332" s="1" t="s">
        <v>97</v>
      </c>
      <c r="J332">
        <v>6</v>
      </c>
      <c r="K332">
        <v>18.989999999999998</v>
      </c>
      <c r="L332" s="1" t="s">
        <v>60</v>
      </c>
      <c r="M332" s="1" t="s">
        <v>43</v>
      </c>
      <c r="N332" s="1" t="s">
        <v>44</v>
      </c>
      <c r="O332" s="1" t="s">
        <v>31</v>
      </c>
      <c r="P332" s="2">
        <v>45823</v>
      </c>
      <c r="Q332" s="1" t="s">
        <v>182</v>
      </c>
      <c r="R332" s="1" t="s">
        <v>754</v>
      </c>
      <c r="S332" s="1" t="s">
        <v>65</v>
      </c>
      <c r="T332" s="1" t="s">
        <v>35</v>
      </c>
      <c r="U332" s="1" t="s">
        <v>36</v>
      </c>
      <c r="V332" s="1" t="s">
        <v>100</v>
      </c>
      <c r="W332">
        <v>3.2</v>
      </c>
      <c r="X332" s="1">
        <f t="shared" si="10"/>
        <v>8313.6899999999459</v>
      </c>
      <c r="Y332" s="1">
        <f t="shared" si="11"/>
        <v>6355.4899999999634</v>
      </c>
    </row>
    <row r="333" spans="1:25" x14ac:dyDescent="0.3">
      <c r="A333" s="1" t="s">
        <v>755</v>
      </c>
      <c r="B333">
        <v>3</v>
      </c>
      <c r="C333">
        <v>30.99</v>
      </c>
      <c r="D333">
        <v>73.91</v>
      </c>
      <c r="E333" s="1" t="s">
        <v>756</v>
      </c>
      <c r="F333" s="1" t="s">
        <v>40</v>
      </c>
      <c r="G333">
        <v>8</v>
      </c>
      <c r="H333" s="1" t="s">
        <v>41</v>
      </c>
      <c r="I333" s="1" t="s">
        <v>42</v>
      </c>
      <c r="J333">
        <v>10.5</v>
      </c>
      <c r="K333">
        <v>30.99</v>
      </c>
      <c r="L333" s="1" t="s">
        <v>28</v>
      </c>
      <c r="M333" s="1" t="s">
        <v>43</v>
      </c>
      <c r="N333" s="1" t="s">
        <v>44</v>
      </c>
      <c r="O333" s="1" t="s">
        <v>31</v>
      </c>
      <c r="P333" s="2">
        <v>45823</v>
      </c>
      <c r="Q333" s="1" t="s">
        <v>147</v>
      </c>
      <c r="R333" s="1" t="s">
        <v>757</v>
      </c>
      <c r="S333" s="1" t="s">
        <v>47</v>
      </c>
      <c r="T333" s="1" t="s">
        <v>35</v>
      </c>
      <c r="U333" s="1" t="s">
        <v>48</v>
      </c>
      <c r="V333" s="1" t="s">
        <v>37</v>
      </c>
      <c r="W333">
        <v>2</v>
      </c>
      <c r="X333" s="1">
        <f t="shared" si="10"/>
        <v>8551.6499999999451</v>
      </c>
      <c r="Y333" s="1">
        <f t="shared" si="11"/>
        <v>7682.919999999951</v>
      </c>
    </row>
    <row r="334" spans="1:25" x14ac:dyDescent="0.3">
      <c r="A334" s="1" t="s">
        <v>758</v>
      </c>
      <c r="B334">
        <v>1</v>
      </c>
      <c r="C334">
        <v>21.99</v>
      </c>
      <c r="D334">
        <v>21.99</v>
      </c>
      <c r="E334" s="1" t="s">
        <v>759</v>
      </c>
      <c r="F334" s="1" t="s">
        <v>51</v>
      </c>
      <c r="G334">
        <v>0</v>
      </c>
      <c r="H334" s="1" t="s">
        <v>58</v>
      </c>
      <c r="I334" s="1" t="s">
        <v>27</v>
      </c>
      <c r="J334">
        <v>7</v>
      </c>
      <c r="K334">
        <v>21.99</v>
      </c>
      <c r="L334" s="1" t="s">
        <v>28</v>
      </c>
      <c r="M334" s="1" t="s">
        <v>29</v>
      </c>
      <c r="N334" s="1" t="s">
        <v>30</v>
      </c>
      <c r="O334" s="1" t="s">
        <v>31</v>
      </c>
      <c r="P334" s="2">
        <v>45778</v>
      </c>
      <c r="Q334" s="1" t="s">
        <v>760</v>
      </c>
      <c r="R334" s="1" t="s">
        <v>761</v>
      </c>
      <c r="S334" s="1" t="s">
        <v>65</v>
      </c>
      <c r="T334" s="1" t="s">
        <v>35</v>
      </c>
      <c r="U334" s="1" t="s">
        <v>36</v>
      </c>
      <c r="V334" s="1" t="s">
        <v>37</v>
      </c>
      <c r="W334">
        <v>2</v>
      </c>
      <c r="X334" s="1">
        <f t="shared" si="10"/>
        <v>8640.6199999999462</v>
      </c>
      <c r="Y334" s="1">
        <f t="shared" si="11"/>
        <v>6355.4899999999634</v>
      </c>
    </row>
    <row r="335" spans="1:25" x14ac:dyDescent="0.3">
      <c r="A335" s="1" t="s">
        <v>762</v>
      </c>
      <c r="B335">
        <v>2</v>
      </c>
      <c r="C335">
        <v>21.99</v>
      </c>
      <c r="D335">
        <v>37.68</v>
      </c>
      <c r="E335" s="1" t="s">
        <v>763</v>
      </c>
      <c r="F335" s="1" t="s">
        <v>40</v>
      </c>
      <c r="G335">
        <v>3</v>
      </c>
      <c r="H335" s="1" t="s">
        <v>96</v>
      </c>
      <c r="I335" s="1" t="s">
        <v>27</v>
      </c>
      <c r="J335">
        <v>7</v>
      </c>
      <c r="K335">
        <v>21.99</v>
      </c>
      <c r="L335" s="1" t="s">
        <v>28</v>
      </c>
      <c r="M335" s="1" t="s">
        <v>29</v>
      </c>
      <c r="N335" s="1" t="s">
        <v>30</v>
      </c>
      <c r="O335" s="1" t="s">
        <v>31</v>
      </c>
      <c r="P335" s="2">
        <v>45778</v>
      </c>
      <c r="Q335" s="1" t="s">
        <v>266</v>
      </c>
      <c r="R335" s="1" t="s">
        <v>764</v>
      </c>
      <c r="S335" s="1" t="s">
        <v>105</v>
      </c>
      <c r="T335" s="1" t="s">
        <v>35</v>
      </c>
      <c r="U335" s="1" t="s">
        <v>36</v>
      </c>
      <c r="V335" s="1" t="s">
        <v>37</v>
      </c>
      <c r="W335">
        <v>2</v>
      </c>
      <c r="X335" s="1">
        <f t="shared" si="10"/>
        <v>7844.9099999999507</v>
      </c>
      <c r="Y335" s="1">
        <f t="shared" si="11"/>
        <v>6355.4899999999634</v>
      </c>
    </row>
    <row r="336" spans="1:25" x14ac:dyDescent="0.3">
      <c r="A336" s="1" t="s">
        <v>765</v>
      </c>
      <c r="B336">
        <v>1</v>
      </c>
      <c r="C336">
        <v>16.989999999999998</v>
      </c>
      <c r="D336">
        <v>16.989999999999998</v>
      </c>
      <c r="E336" s="1" t="s">
        <v>577</v>
      </c>
      <c r="F336" s="1" t="s">
        <v>188</v>
      </c>
      <c r="G336">
        <v>0</v>
      </c>
      <c r="H336" s="1" t="s">
        <v>58</v>
      </c>
      <c r="I336" s="1" t="s">
        <v>59</v>
      </c>
      <c r="J336">
        <v>5</v>
      </c>
      <c r="K336">
        <v>16.989999999999998</v>
      </c>
      <c r="L336" s="1" t="s">
        <v>60</v>
      </c>
      <c r="M336" s="1" t="s">
        <v>61</v>
      </c>
      <c r="N336" s="1" t="s">
        <v>62</v>
      </c>
      <c r="O336" s="1" t="s">
        <v>31</v>
      </c>
      <c r="P336" s="2">
        <v>45726</v>
      </c>
      <c r="Q336" s="1" t="s">
        <v>689</v>
      </c>
      <c r="R336" s="1" t="s">
        <v>766</v>
      </c>
      <c r="S336" s="1" t="s">
        <v>105</v>
      </c>
      <c r="T336" s="1" t="s">
        <v>35</v>
      </c>
      <c r="U336" s="1" t="s">
        <v>48</v>
      </c>
      <c r="V336" s="1" t="s">
        <v>67</v>
      </c>
      <c r="W336">
        <v>3</v>
      </c>
      <c r="X336" s="1">
        <f t="shared" si="10"/>
        <v>8640.6199999999462</v>
      </c>
      <c r="Y336" s="1">
        <f t="shared" si="11"/>
        <v>7682.919999999951</v>
      </c>
    </row>
    <row r="337" spans="1:25" x14ac:dyDescent="0.3">
      <c r="A337" s="1" t="s">
        <v>767</v>
      </c>
      <c r="B337">
        <v>1</v>
      </c>
      <c r="C337">
        <v>21.99</v>
      </c>
      <c r="D337">
        <v>21.99</v>
      </c>
      <c r="E337" s="1" t="s">
        <v>202</v>
      </c>
      <c r="F337" s="1" t="s">
        <v>51</v>
      </c>
      <c r="G337">
        <v>0</v>
      </c>
      <c r="H337" s="1" t="s">
        <v>96</v>
      </c>
      <c r="I337" s="1" t="s">
        <v>27</v>
      </c>
      <c r="J337">
        <v>7</v>
      </c>
      <c r="K337">
        <v>21.99</v>
      </c>
      <c r="L337" s="1" t="s">
        <v>28</v>
      </c>
      <c r="M337" s="1" t="s">
        <v>29</v>
      </c>
      <c r="N337" s="1" t="s">
        <v>30</v>
      </c>
      <c r="O337" s="1" t="s">
        <v>31</v>
      </c>
      <c r="P337" s="2">
        <v>45778</v>
      </c>
      <c r="Q337" s="1" t="s">
        <v>768</v>
      </c>
      <c r="R337" s="1" t="s">
        <v>769</v>
      </c>
      <c r="S337" s="1" t="s">
        <v>54</v>
      </c>
      <c r="T337" s="1" t="s">
        <v>35</v>
      </c>
      <c r="U337" s="1" t="s">
        <v>36</v>
      </c>
      <c r="V337" s="1" t="s">
        <v>37</v>
      </c>
      <c r="W337">
        <v>2</v>
      </c>
      <c r="X337" s="1">
        <f t="shared" si="10"/>
        <v>7844.9099999999507</v>
      </c>
      <c r="Y337" s="1">
        <f t="shared" si="11"/>
        <v>6355.4899999999634</v>
      </c>
    </row>
    <row r="338" spans="1:25" x14ac:dyDescent="0.3">
      <c r="A338" s="1" t="s">
        <v>770</v>
      </c>
      <c r="B338">
        <v>2</v>
      </c>
      <c r="C338">
        <v>30.99</v>
      </c>
      <c r="D338">
        <v>53.13</v>
      </c>
      <c r="E338" s="1" t="s">
        <v>771</v>
      </c>
      <c r="F338" s="1" t="s">
        <v>51</v>
      </c>
      <c r="G338">
        <v>0</v>
      </c>
      <c r="H338" s="1" t="s">
        <v>58</v>
      </c>
      <c r="I338" s="1" t="s">
        <v>42</v>
      </c>
      <c r="J338">
        <v>10.5</v>
      </c>
      <c r="K338">
        <v>30.99</v>
      </c>
      <c r="L338" s="1" t="s">
        <v>28</v>
      </c>
      <c r="M338" s="1" t="s">
        <v>43</v>
      </c>
      <c r="N338" s="1" t="s">
        <v>44</v>
      </c>
      <c r="O338" s="1" t="s">
        <v>31</v>
      </c>
      <c r="P338" s="2">
        <v>45823</v>
      </c>
      <c r="Q338" s="1" t="s">
        <v>772</v>
      </c>
      <c r="R338" s="1" t="s">
        <v>773</v>
      </c>
      <c r="S338" s="1" t="s">
        <v>65</v>
      </c>
      <c r="T338" s="1" t="s">
        <v>35</v>
      </c>
      <c r="U338" s="1" t="s">
        <v>36</v>
      </c>
      <c r="V338" s="1" t="s">
        <v>37</v>
      </c>
      <c r="W338">
        <v>2</v>
      </c>
      <c r="X338" s="1">
        <f t="shared" si="10"/>
        <v>8640.6199999999462</v>
      </c>
      <c r="Y338" s="1">
        <f t="shared" si="11"/>
        <v>6355.4899999999634</v>
      </c>
    </row>
    <row r="339" spans="1:25" x14ac:dyDescent="0.3">
      <c r="A339" s="1" t="s">
        <v>774</v>
      </c>
      <c r="B339">
        <v>1</v>
      </c>
      <c r="C339">
        <v>16.989999999999998</v>
      </c>
      <c r="D339">
        <v>16.989999999999998</v>
      </c>
      <c r="E339" s="1" t="s">
        <v>775</v>
      </c>
      <c r="F339" s="1" t="s">
        <v>51</v>
      </c>
      <c r="G339">
        <v>0</v>
      </c>
      <c r="H339" s="1" t="s">
        <v>41</v>
      </c>
      <c r="I339" s="1" t="s">
        <v>59</v>
      </c>
      <c r="J339">
        <v>5</v>
      </c>
      <c r="K339">
        <v>16.989999999999998</v>
      </c>
      <c r="L339" s="1" t="s">
        <v>60</v>
      </c>
      <c r="M339" s="1" t="s">
        <v>61</v>
      </c>
      <c r="N339" s="1" t="s">
        <v>62</v>
      </c>
      <c r="O339" s="1" t="s">
        <v>31</v>
      </c>
      <c r="P339" s="2">
        <v>45726</v>
      </c>
      <c r="Q339" s="1" t="s">
        <v>133</v>
      </c>
      <c r="R339" s="1" t="s">
        <v>776</v>
      </c>
      <c r="S339" s="1" t="s">
        <v>88</v>
      </c>
      <c r="T339" s="1" t="s">
        <v>35</v>
      </c>
      <c r="U339" s="1" t="s">
        <v>48</v>
      </c>
      <c r="V339" s="1" t="s">
        <v>67</v>
      </c>
      <c r="W339">
        <v>3</v>
      </c>
      <c r="X339" s="1">
        <f t="shared" si="10"/>
        <v>8551.6499999999451</v>
      </c>
      <c r="Y339" s="1">
        <f t="shared" si="11"/>
        <v>7682.919999999951</v>
      </c>
    </row>
    <row r="340" spans="1:25" x14ac:dyDescent="0.3">
      <c r="A340" s="1" t="s">
        <v>777</v>
      </c>
      <c r="B340">
        <v>1</v>
      </c>
      <c r="C340">
        <v>34.99</v>
      </c>
      <c r="D340">
        <v>34.99</v>
      </c>
      <c r="E340" s="1" t="s">
        <v>778</v>
      </c>
      <c r="F340" s="1" t="s">
        <v>40</v>
      </c>
      <c r="G340">
        <v>6</v>
      </c>
      <c r="H340" s="1" t="s">
        <v>58</v>
      </c>
      <c r="I340" s="1" t="s">
        <v>85</v>
      </c>
      <c r="J340">
        <v>12.5</v>
      </c>
      <c r="K340">
        <v>34.99</v>
      </c>
      <c r="L340" s="1" t="s">
        <v>60</v>
      </c>
      <c r="M340" s="1" t="s">
        <v>29</v>
      </c>
      <c r="N340" s="1" t="s">
        <v>30</v>
      </c>
      <c r="O340" s="1" t="s">
        <v>31</v>
      </c>
      <c r="P340" s="2">
        <v>45778</v>
      </c>
      <c r="Q340" s="1" t="s">
        <v>779</v>
      </c>
      <c r="R340" s="1" t="s">
        <v>780</v>
      </c>
      <c r="S340" s="1" t="s">
        <v>88</v>
      </c>
      <c r="T340" s="1" t="s">
        <v>35</v>
      </c>
      <c r="U340" s="1" t="s">
        <v>48</v>
      </c>
      <c r="V340" s="1" t="s">
        <v>89</v>
      </c>
      <c r="W340">
        <v>2.4</v>
      </c>
      <c r="X340" s="1">
        <f t="shared" si="10"/>
        <v>8640.6199999999462</v>
      </c>
      <c r="Y340" s="1">
        <f t="shared" si="11"/>
        <v>7682.919999999951</v>
      </c>
    </row>
    <row r="341" spans="1:25" x14ac:dyDescent="0.3">
      <c r="A341" s="1" t="s">
        <v>781</v>
      </c>
      <c r="B341">
        <v>3</v>
      </c>
      <c r="C341">
        <v>27.99</v>
      </c>
      <c r="D341">
        <v>67.510000000000005</v>
      </c>
      <c r="E341" s="1" t="s">
        <v>782</v>
      </c>
      <c r="F341" s="1" t="s">
        <v>25</v>
      </c>
      <c r="G341">
        <v>2</v>
      </c>
      <c r="H341" s="1" t="s">
        <v>26</v>
      </c>
      <c r="I341" s="1" t="s">
        <v>75</v>
      </c>
      <c r="J341">
        <v>9</v>
      </c>
      <c r="K341">
        <v>27.99</v>
      </c>
      <c r="L341" s="1" t="s">
        <v>28</v>
      </c>
      <c r="M341" s="1" t="s">
        <v>61</v>
      </c>
      <c r="N341" s="1" t="s">
        <v>62</v>
      </c>
      <c r="O341" s="1" t="s">
        <v>31</v>
      </c>
      <c r="P341" s="2">
        <v>45726</v>
      </c>
      <c r="Q341" s="1" t="s">
        <v>783</v>
      </c>
      <c r="R341" s="1" t="s">
        <v>784</v>
      </c>
      <c r="S341" s="1" t="s">
        <v>34</v>
      </c>
      <c r="T341" s="1" t="s">
        <v>35</v>
      </c>
      <c r="U341" s="1" t="s">
        <v>55</v>
      </c>
      <c r="V341" s="1" t="s">
        <v>37</v>
      </c>
      <c r="W341">
        <v>2</v>
      </c>
      <c r="X341" s="1">
        <f t="shared" si="10"/>
        <v>8313.6899999999459</v>
      </c>
      <c r="Y341" s="1">
        <f t="shared" si="11"/>
        <v>5710.7699999999695</v>
      </c>
    </row>
    <row r="342" spans="1:25" x14ac:dyDescent="0.3">
      <c r="A342" s="1" t="s">
        <v>785</v>
      </c>
      <c r="B342">
        <v>1</v>
      </c>
      <c r="C342">
        <v>30.99</v>
      </c>
      <c r="D342">
        <v>30.99</v>
      </c>
      <c r="E342" s="1" t="s">
        <v>786</v>
      </c>
      <c r="F342" s="1" t="s">
        <v>25</v>
      </c>
      <c r="G342">
        <v>2</v>
      </c>
      <c r="H342" s="1" t="s">
        <v>26</v>
      </c>
      <c r="I342" s="1" t="s">
        <v>42</v>
      </c>
      <c r="J342">
        <v>10.5</v>
      </c>
      <c r="K342">
        <v>30.99</v>
      </c>
      <c r="L342" s="1" t="s">
        <v>28</v>
      </c>
      <c r="M342" s="1" t="s">
        <v>43</v>
      </c>
      <c r="N342" s="1" t="s">
        <v>44</v>
      </c>
      <c r="O342" s="1" t="s">
        <v>31</v>
      </c>
      <c r="P342" s="2">
        <v>45823</v>
      </c>
      <c r="Q342" s="1" t="s">
        <v>787</v>
      </c>
      <c r="R342" s="1" t="s">
        <v>788</v>
      </c>
      <c r="S342" s="1" t="s">
        <v>105</v>
      </c>
      <c r="T342" s="1" t="s">
        <v>35</v>
      </c>
      <c r="U342" s="1" t="s">
        <v>82</v>
      </c>
      <c r="V342" s="1" t="s">
        <v>37</v>
      </c>
      <c r="W342">
        <v>2</v>
      </c>
      <c r="X342" s="1">
        <f t="shared" si="10"/>
        <v>8313.6899999999459</v>
      </c>
      <c r="Y342" s="1">
        <f t="shared" si="11"/>
        <v>7204.2099999999582</v>
      </c>
    </row>
    <row r="343" spans="1:25" x14ac:dyDescent="0.3">
      <c r="A343" s="1" t="s">
        <v>789</v>
      </c>
      <c r="B343">
        <v>1</v>
      </c>
      <c r="C343">
        <v>34.99</v>
      </c>
      <c r="D343">
        <v>34.99</v>
      </c>
      <c r="E343" s="1" t="s">
        <v>577</v>
      </c>
      <c r="F343" s="1" t="s">
        <v>40</v>
      </c>
      <c r="G343">
        <v>7</v>
      </c>
      <c r="H343" s="1" t="s">
        <v>26</v>
      </c>
      <c r="I343" s="1" t="s">
        <v>85</v>
      </c>
      <c r="J343">
        <v>12.5</v>
      </c>
      <c r="K343">
        <v>34.99</v>
      </c>
      <c r="L343" s="1" t="s">
        <v>60</v>
      </c>
      <c r="M343" s="1" t="s">
        <v>29</v>
      </c>
      <c r="N343" s="1" t="s">
        <v>30</v>
      </c>
      <c r="O343" s="1" t="s">
        <v>31</v>
      </c>
      <c r="P343" s="2">
        <v>45778</v>
      </c>
      <c r="Q343" s="1" t="s">
        <v>790</v>
      </c>
      <c r="R343" s="1" t="s">
        <v>791</v>
      </c>
      <c r="S343" s="1" t="s">
        <v>47</v>
      </c>
      <c r="T343" s="1" t="s">
        <v>35</v>
      </c>
      <c r="U343" s="1" t="s">
        <v>55</v>
      </c>
      <c r="V343" s="1" t="s">
        <v>89</v>
      </c>
      <c r="W343">
        <v>2.4</v>
      </c>
      <c r="X343" s="1">
        <f t="shared" si="10"/>
        <v>8313.6899999999459</v>
      </c>
      <c r="Y343" s="1">
        <f t="shared" si="11"/>
        <v>5710.7699999999695</v>
      </c>
    </row>
    <row r="344" spans="1:25" x14ac:dyDescent="0.3">
      <c r="A344" s="1" t="s">
        <v>792</v>
      </c>
      <c r="B344">
        <v>1</v>
      </c>
      <c r="C344">
        <v>21.99</v>
      </c>
      <c r="D344">
        <v>21.99</v>
      </c>
      <c r="E344" s="1" t="s">
        <v>202</v>
      </c>
      <c r="F344" s="1" t="s">
        <v>40</v>
      </c>
      <c r="G344">
        <v>2</v>
      </c>
      <c r="H344" s="1" t="s">
        <v>58</v>
      </c>
      <c r="I344" s="1" t="s">
        <v>27</v>
      </c>
      <c r="J344">
        <v>7</v>
      </c>
      <c r="K344">
        <v>21.99</v>
      </c>
      <c r="L344" s="1" t="s">
        <v>28</v>
      </c>
      <c r="M344" s="1" t="s">
        <v>29</v>
      </c>
      <c r="N344" s="1" t="s">
        <v>30</v>
      </c>
      <c r="O344" s="1" t="s">
        <v>31</v>
      </c>
      <c r="P344" s="2">
        <v>45778</v>
      </c>
      <c r="Q344" s="1" t="s">
        <v>793</v>
      </c>
      <c r="R344" s="1" t="s">
        <v>794</v>
      </c>
      <c r="S344" s="1" t="s">
        <v>34</v>
      </c>
      <c r="T344" s="1" t="s">
        <v>35</v>
      </c>
      <c r="U344" s="1" t="s">
        <v>82</v>
      </c>
      <c r="V344" s="1" t="s">
        <v>37</v>
      </c>
      <c r="W344">
        <v>2</v>
      </c>
      <c r="X344" s="1">
        <f t="shared" si="10"/>
        <v>8640.6199999999462</v>
      </c>
      <c r="Y344" s="1">
        <f t="shared" si="11"/>
        <v>7204.2099999999582</v>
      </c>
    </row>
    <row r="345" spans="1:25" x14ac:dyDescent="0.3">
      <c r="A345" s="1" t="s">
        <v>795</v>
      </c>
      <c r="B345">
        <v>2</v>
      </c>
      <c r="C345">
        <v>34.99</v>
      </c>
      <c r="D345">
        <v>60.26</v>
      </c>
      <c r="E345" s="1" t="s">
        <v>796</v>
      </c>
      <c r="F345" s="1" t="s">
        <v>25</v>
      </c>
      <c r="G345">
        <v>6</v>
      </c>
      <c r="H345" s="1" t="s">
        <v>58</v>
      </c>
      <c r="I345" s="1" t="s">
        <v>85</v>
      </c>
      <c r="J345">
        <v>12.5</v>
      </c>
      <c r="K345">
        <v>34.99</v>
      </c>
      <c r="L345" s="1" t="s">
        <v>60</v>
      </c>
      <c r="M345" s="1" t="s">
        <v>29</v>
      </c>
      <c r="N345" s="1" t="s">
        <v>30</v>
      </c>
      <c r="O345" s="1" t="s">
        <v>31</v>
      </c>
      <c r="P345" s="2">
        <v>45778</v>
      </c>
      <c r="Q345" s="1" t="s">
        <v>797</v>
      </c>
      <c r="R345" s="1" t="s">
        <v>798</v>
      </c>
      <c r="S345" s="1" t="s">
        <v>65</v>
      </c>
      <c r="T345" s="1" t="s">
        <v>35</v>
      </c>
      <c r="U345" s="1" t="s">
        <v>66</v>
      </c>
      <c r="V345" s="1" t="s">
        <v>89</v>
      </c>
      <c r="W345">
        <v>2.4</v>
      </c>
      <c r="X345" s="1">
        <f t="shared" si="10"/>
        <v>8640.6199999999462</v>
      </c>
      <c r="Y345" s="1">
        <f t="shared" si="11"/>
        <v>6397.4799999999632</v>
      </c>
    </row>
    <row r="346" spans="1:25" x14ac:dyDescent="0.3">
      <c r="A346" s="1" t="s">
        <v>799</v>
      </c>
      <c r="B346">
        <v>3</v>
      </c>
      <c r="C346">
        <v>30.99</v>
      </c>
      <c r="D346">
        <v>73.73</v>
      </c>
      <c r="E346" s="1" t="s">
        <v>800</v>
      </c>
      <c r="F346" s="1" t="s">
        <v>40</v>
      </c>
      <c r="G346">
        <v>3</v>
      </c>
      <c r="H346" s="1" t="s">
        <v>41</v>
      </c>
      <c r="I346" s="1" t="s">
        <v>42</v>
      </c>
      <c r="J346">
        <v>10.5</v>
      </c>
      <c r="K346">
        <v>30.99</v>
      </c>
      <c r="L346" s="1" t="s">
        <v>28</v>
      </c>
      <c r="M346" s="1" t="s">
        <v>43</v>
      </c>
      <c r="N346" s="1" t="s">
        <v>44</v>
      </c>
      <c r="O346" s="1" t="s">
        <v>31</v>
      </c>
      <c r="P346" s="2">
        <v>45823</v>
      </c>
      <c r="Q346" s="1" t="s">
        <v>801</v>
      </c>
      <c r="R346" s="1" t="s">
        <v>802</v>
      </c>
      <c r="S346" s="1" t="s">
        <v>88</v>
      </c>
      <c r="T346" s="1" t="s">
        <v>35</v>
      </c>
      <c r="U346" s="1" t="s">
        <v>82</v>
      </c>
      <c r="V346" s="1" t="s">
        <v>37</v>
      </c>
      <c r="W346">
        <v>2</v>
      </c>
      <c r="X346" s="1">
        <f t="shared" si="10"/>
        <v>8551.6499999999451</v>
      </c>
      <c r="Y346" s="1">
        <f t="shared" si="11"/>
        <v>7204.2099999999582</v>
      </c>
    </row>
    <row r="347" spans="1:25" x14ac:dyDescent="0.3">
      <c r="A347" s="1" t="s">
        <v>803</v>
      </c>
      <c r="B347">
        <v>2</v>
      </c>
      <c r="C347">
        <v>30.99</v>
      </c>
      <c r="D347">
        <v>53.11</v>
      </c>
      <c r="E347" s="1" t="s">
        <v>731</v>
      </c>
      <c r="F347" s="1" t="s">
        <v>51</v>
      </c>
      <c r="G347">
        <v>0</v>
      </c>
      <c r="H347" s="1" t="s">
        <v>58</v>
      </c>
      <c r="I347" s="1" t="s">
        <v>42</v>
      </c>
      <c r="J347">
        <v>10.5</v>
      </c>
      <c r="K347">
        <v>30.99</v>
      </c>
      <c r="L347" s="1" t="s">
        <v>28</v>
      </c>
      <c r="M347" s="1" t="s">
        <v>43</v>
      </c>
      <c r="N347" s="1" t="s">
        <v>44</v>
      </c>
      <c r="O347" s="1" t="s">
        <v>31</v>
      </c>
      <c r="P347" s="2">
        <v>45823</v>
      </c>
      <c r="Q347" s="1" t="s">
        <v>804</v>
      </c>
      <c r="R347" s="1" t="s">
        <v>805</v>
      </c>
      <c r="S347" s="1" t="s">
        <v>88</v>
      </c>
      <c r="T347" s="1" t="s">
        <v>35</v>
      </c>
      <c r="U347" s="1" t="s">
        <v>82</v>
      </c>
      <c r="V347" s="1" t="s">
        <v>37</v>
      </c>
      <c r="W347">
        <v>2</v>
      </c>
      <c r="X347" s="1">
        <f t="shared" si="10"/>
        <v>8640.6199999999462</v>
      </c>
      <c r="Y347" s="1">
        <f t="shared" si="11"/>
        <v>7204.2099999999582</v>
      </c>
    </row>
    <row r="348" spans="1:25" x14ac:dyDescent="0.3">
      <c r="A348" s="1" t="s">
        <v>806</v>
      </c>
      <c r="B348">
        <v>3</v>
      </c>
      <c r="C348">
        <v>34.99</v>
      </c>
      <c r="D348">
        <v>84</v>
      </c>
      <c r="E348" s="1" t="s">
        <v>807</v>
      </c>
      <c r="F348" s="1" t="s">
        <v>40</v>
      </c>
      <c r="G348">
        <v>6</v>
      </c>
      <c r="H348" s="1" t="s">
        <v>26</v>
      </c>
      <c r="I348" s="1" t="s">
        <v>85</v>
      </c>
      <c r="J348">
        <v>12.5</v>
      </c>
      <c r="K348">
        <v>34.99</v>
      </c>
      <c r="L348" s="1" t="s">
        <v>60</v>
      </c>
      <c r="M348" s="1" t="s">
        <v>29</v>
      </c>
      <c r="N348" s="1" t="s">
        <v>30</v>
      </c>
      <c r="O348" s="1" t="s">
        <v>31</v>
      </c>
      <c r="P348" s="2">
        <v>45778</v>
      </c>
      <c r="Q348" s="1" t="s">
        <v>376</v>
      </c>
      <c r="R348" s="1" t="s">
        <v>808</v>
      </c>
      <c r="S348" s="1" t="s">
        <v>34</v>
      </c>
      <c r="T348" s="1" t="s">
        <v>35</v>
      </c>
      <c r="U348" s="1" t="s">
        <v>48</v>
      </c>
      <c r="V348" s="1" t="s">
        <v>89</v>
      </c>
      <c r="W348">
        <v>2.4</v>
      </c>
      <c r="X348" s="1">
        <f t="shared" si="10"/>
        <v>8313.6899999999459</v>
      </c>
      <c r="Y348" s="1">
        <f t="shared" si="11"/>
        <v>7682.919999999951</v>
      </c>
    </row>
    <row r="349" spans="1:25" x14ac:dyDescent="0.3">
      <c r="A349" s="1" t="s">
        <v>809</v>
      </c>
      <c r="B349">
        <v>1</v>
      </c>
      <c r="C349">
        <v>27.99</v>
      </c>
      <c r="D349">
        <v>27.99</v>
      </c>
      <c r="E349" s="1" t="s">
        <v>810</v>
      </c>
      <c r="F349" s="1" t="s">
        <v>40</v>
      </c>
      <c r="G349">
        <v>3</v>
      </c>
      <c r="H349" s="1" t="s">
        <v>26</v>
      </c>
      <c r="I349" s="1" t="s">
        <v>75</v>
      </c>
      <c r="J349">
        <v>9</v>
      </c>
      <c r="K349">
        <v>27.99</v>
      </c>
      <c r="L349" s="1" t="s">
        <v>28</v>
      </c>
      <c r="M349" s="1" t="s">
        <v>61</v>
      </c>
      <c r="N349" s="1" t="s">
        <v>62</v>
      </c>
      <c r="O349" s="1" t="s">
        <v>31</v>
      </c>
      <c r="P349" s="2">
        <v>45726</v>
      </c>
      <c r="Q349" s="1" t="s">
        <v>278</v>
      </c>
      <c r="R349" s="1" t="s">
        <v>811</v>
      </c>
      <c r="S349" s="1" t="s">
        <v>65</v>
      </c>
      <c r="T349" s="1" t="s">
        <v>35</v>
      </c>
      <c r="U349" s="1" t="s">
        <v>66</v>
      </c>
      <c r="V349" s="1" t="s">
        <v>37</v>
      </c>
      <c r="W349">
        <v>2</v>
      </c>
      <c r="X349" s="1">
        <f t="shared" si="10"/>
        <v>8313.6899999999459</v>
      </c>
      <c r="Y349" s="1">
        <f t="shared" si="11"/>
        <v>6397.4799999999632</v>
      </c>
    </row>
    <row r="350" spans="1:25" x14ac:dyDescent="0.3">
      <c r="A350" s="1" t="s">
        <v>812</v>
      </c>
      <c r="B350">
        <v>1</v>
      </c>
      <c r="C350">
        <v>18.989999999999998</v>
      </c>
      <c r="D350">
        <v>18.989999999999998</v>
      </c>
      <c r="E350" s="1" t="s">
        <v>813</v>
      </c>
      <c r="F350" s="1" t="s">
        <v>40</v>
      </c>
      <c r="G350">
        <v>11</v>
      </c>
      <c r="H350" s="1" t="s">
        <v>58</v>
      </c>
      <c r="I350" s="1" t="s">
        <v>97</v>
      </c>
      <c r="J350">
        <v>6</v>
      </c>
      <c r="K350">
        <v>18.989999999999998</v>
      </c>
      <c r="L350" s="1" t="s">
        <v>60</v>
      </c>
      <c r="M350" s="1" t="s">
        <v>43</v>
      </c>
      <c r="N350" s="1" t="s">
        <v>44</v>
      </c>
      <c r="O350" s="1" t="s">
        <v>31</v>
      </c>
      <c r="P350" s="2">
        <v>45823</v>
      </c>
      <c r="Q350" s="1" t="s">
        <v>814</v>
      </c>
      <c r="R350" s="1" t="s">
        <v>815</v>
      </c>
      <c r="S350" s="1" t="s">
        <v>65</v>
      </c>
      <c r="T350" s="1" t="s">
        <v>35</v>
      </c>
      <c r="U350" s="1" t="s">
        <v>82</v>
      </c>
      <c r="V350" s="1" t="s">
        <v>100</v>
      </c>
      <c r="W350">
        <v>3.2</v>
      </c>
      <c r="X350" s="1">
        <f t="shared" si="10"/>
        <v>8640.6199999999462</v>
      </c>
      <c r="Y350" s="1">
        <f t="shared" si="11"/>
        <v>7204.2099999999582</v>
      </c>
    </row>
    <row r="351" spans="1:25" x14ac:dyDescent="0.3">
      <c r="A351" s="1" t="s">
        <v>816</v>
      </c>
      <c r="B351">
        <v>1</v>
      </c>
      <c r="C351">
        <v>18.989999999999998</v>
      </c>
      <c r="D351">
        <v>18.989999999999998</v>
      </c>
      <c r="E351" s="1" t="s">
        <v>57</v>
      </c>
      <c r="F351" s="1" t="s">
        <v>40</v>
      </c>
      <c r="G351">
        <v>12</v>
      </c>
      <c r="H351" s="1" t="s">
        <v>26</v>
      </c>
      <c r="I351" s="1" t="s">
        <v>97</v>
      </c>
      <c r="J351">
        <v>6</v>
      </c>
      <c r="K351">
        <v>18.989999999999998</v>
      </c>
      <c r="L351" s="1" t="s">
        <v>60</v>
      </c>
      <c r="M351" s="1" t="s">
        <v>43</v>
      </c>
      <c r="N351" s="1" t="s">
        <v>44</v>
      </c>
      <c r="O351" s="1" t="s">
        <v>31</v>
      </c>
      <c r="P351" s="2">
        <v>45823</v>
      </c>
      <c r="Q351" s="1" t="s">
        <v>817</v>
      </c>
      <c r="R351" s="1" t="s">
        <v>818</v>
      </c>
      <c r="S351" s="1" t="s">
        <v>105</v>
      </c>
      <c r="T351" s="1" t="s">
        <v>35</v>
      </c>
      <c r="U351" s="1" t="s">
        <v>66</v>
      </c>
      <c r="V351" s="1" t="s">
        <v>100</v>
      </c>
      <c r="W351">
        <v>3.2</v>
      </c>
      <c r="X351" s="1">
        <f t="shared" si="10"/>
        <v>8313.6899999999459</v>
      </c>
      <c r="Y351" s="1">
        <f t="shared" si="11"/>
        <v>6397.4799999999632</v>
      </c>
    </row>
    <row r="352" spans="1:25" x14ac:dyDescent="0.3">
      <c r="A352" s="1" t="s">
        <v>819</v>
      </c>
      <c r="B352">
        <v>1</v>
      </c>
      <c r="C352">
        <v>16.989999999999998</v>
      </c>
      <c r="D352">
        <v>16.989999999999998</v>
      </c>
      <c r="E352" s="1" t="s">
        <v>820</v>
      </c>
      <c r="F352" s="1" t="s">
        <v>188</v>
      </c>
      <c r="G352">
        <v>0</v>
      </c>
      <c r="H352" s="1" t="s">
        <v>58</v>
      </c>
      <c r="I352" s="1" t="s">
        <v>59</v>
      </c>
      <c r="J352">
        <v>5</v>
      </c>
      <c r="K352">
        <v>16.989999999999998</v>
      </c>
      <c r="L352" s="1" t="s">
        <v>60</v>
      </c>
      <c r="M352" s="1" t="s">
        <v>61</v>
      </c>
      <c r="N352" s="1" t="s">
        <v>62</v>
      </c>
      <c r="O352" s="1" t="s">
        <v>31</v>
      </c>
      <c r="P352" s="2">
        <v>45726</v>
      </c>
      <c r="Q352" s="1" t="s">
        <v>745</v>
      </c>
      <c r="R352" s="1" t="s">
        <v>746</v>
      </c>
      <c r="S352" s="1" t="s">
        <v>105</v>
      </c>
      <c r="T352" s="1" t="s">
        <v>35</v>
      </c>
      <c r="U352" s="1" t="s">
        <v>48</v>
      </c>
      <c r="V352" s="1" t="s">
        <v>67</v>
      </c>
      <c r="W352">
        <v>3</v>
      </c>
      <c r="X352" s="1">
        <f t="shared" si="10"/>
        <v>8640.6199999999462</v>
      </c>
      <c r="Y352" s="1">
        <f t="shared" si="11"/>
        <v>7682.919999999951</v>
      </c>
    </row>
    <row r="353" spans="1:25" x14ac:dyDescent="0.3">
      <c r="A353" s="1" t="s">
        <v>821</v>
      </c>
      <c r="B353">
        <v>1</v>
      </c>
      <c r="C353">
        <v>34.99</v>
      </c>
      <c r="D353">
        <v>34.99</v>
      </c>
      <c r="E353" s="1" t="s">
        <v>822</v>
      </c>
      <c r="F353" s="1" t="s">
        <v>188</v>
      </c>
      <c r="G353">
        <v>0</v>
      </c>
      <c r="H353" s="1" t="s">
        <v>96</v>
      </c>
      <c r="I353" s="1" t="s">
        <v>85</v>
      </c>
      <c r="J353">
        <v>12.5</v>
      </c>
      <c r="K353">
        <v>34.99</v>
      </c>
      <c r="L353" s="1" t="s">
        <v>60</v>
      </c>
      <c r="M353" s="1" t="s">
        <v>29</v>
      </c>
      <c r="N353" s="1" t="s">
        <v>30</v>
      </c>
      <c r="O353" s="1" t="s">
        <v>31</v>
      </c>
      <c r="P353" s="2">
        <v>45778</v>
      </c>
      <c r="Q353" s="1" t="s">
        <v>779</v>
      </c>
      <c r="R353" s="1" t="s">
        <v>780</v>
      </c>
      <c r="S353" s="1" t="s">
        <v>88</v>
      </c>
      <c r="T353" s="1" t="s">
        <v>35</v>
      </c>
      <c r="U353" s="1" t="s">
        <v>48</v>
      </c>
      <c r="V353" s="1" t="s">
        <v>89</v>
      </c>
      <c r="W353">
        <v>2.4</v>
      </c>
      <c r="X353" s="1">
        <f t="shared" si="10"/>
        <v>7844.9099999999507</v>
      </c>
      <c r="Y353" s="1">
        <f t="shared" si="11"/>
        <v>7682.919999999951</v>
      </c>
    </row>
    <row r="354" spans="1:25" x14ac:dyDescent="0.3">
      <c r="A354" s="1" t="s">
        <v>823</v>
      </c>
      <c r="B354">
        <v>1</v>
      </c>
      <c r="C354">
        <v>21.99</v>
      </c>
      <c r="D354">
        <v>21.99</v>
      </c>
      <c r="E354" s="1" t="s">
        <v>824</v>
      </c>
      <c r="F354" s="1" t="s">
        <v>51</v>
      </c>
      <c r="G354">
        <v>0</v>
      </c>
      <c r="H354" s="1" t="s">
        <v>58</v>
      </c>
      <c r="I354" s="1" t="s">
        <v>27</v>
      </c>
      <c r="J354">
        <v>7</v>
      </c>
      <c r="K354">
        <v>21.99</v>
      </c>
      <c r="L354" s="1" t="s">
        <v>28</v>
      </c>
      <c r="M354" s="1" t="s">
        <v>29</v>
      </c>
      <c r="N354" s="1" t="s">
        <v>30</v>
      </c>
      <c r="O354" s="1" t="s">
        <v>31</v>
      </c>
      <c r="P354" s="2">
        <v>45778</v>
      </c>
      <c r="Q354" s="1" t="s">
        <v>732</v>
      </c>
      <c r="R354" s="1" t="s">
        <v>825</v>
      </c>
      <c r="S354" s="1" t="s">
        <v>47</v>
      </c>
      <c r="T354" s="1" t="s">
        <v>35</v>
      </c>
      <c r="U354" s="1" t="s">
        <v>66</v>
      </c>
      <c r="V354" s="1" t="s">
        <v>37</v>
      </c>
      <c r="W354">
        <v>2</v>
      </c>
      <c r="X354" s="1">
        <f t="shared" si="10"/>
        <v>8640.6199999999462</v>
      </c>
      <c r="Y354" s="1">
        <f t="shared" si="11"/>
        <v>6397.4799999999632</v>
      </c>
    </row>
    <row r="355" spans="1:25" x14ac:dyDescent="0.3">
      <c r="A355" s="1" t="s">
        <v>826</v>
      </c>
      <c r="B355">
        <v>1</v>
      </c>
      <c r="C355">
        <v>18.989999999999998</v>
      </c>
      <c r="D355">
        <v>18.989999999999998</v>
      </c>
      <c r="E355" s="1" t="s">
        <v>827</v>
      </c>
      <c r="F355" s="1" t="s">
        <v>40</v>
      </c>
      <c r="G355">
        <v>14</v>
      </c>
      <c r="H355" s="1" t="s">
        <v>26</v>
      </c>
      <c r="I355" s="1" t="s">
        <v>97</v>
      </c>
      <c r="J355">
        <v>6</v>
      </c>
      <c r="K355">
        <v>18.989999999999998</v>
      </c>
      <c r="L355" s="1" t="s">
        <v>60</v>
      </c>
      <c r="M355" s="1" t="s">
        <v>43</v>
      </c>
      <c r="N355" s="1" t="s">
        <v>44</v>
      </c>
      <c r="O355" s="1" t="s">
        <v>31</v>
      </c>
      <c r="P355" s="2">
        <v>45823</v>
      </c>
      <c r="Q355" s="1" t="s">
        <v>828</v>
      </c>
      <c r="R355" s="1" t="s">
        <v>829</v>
      </c>
      <c r="S355" s="1" t="s">
        <v>65</v>
      </c>
      <c r="T355" s="1" t="s">
        <v>35</v>
      </c>
      <c r="U355" s="1" t="s">
        <v>48</v>
      </c>
      <c r="V355" s="1" t="s">
        <v>100</v>
      </c>
      <c r="W355">
        <v>3.2</v>
      </c>
      <c r="X355" s="1">
        <f t="shared" si="10"/>
        <v>8313.6899999999459</v>
      </c>
      <c r="Y355" s="1">
        <f t="shared" si="11"/>
        <v>7682.919999999951</v>
      </c>
    </row>
    <row r="356" spans="1:25" x14ac:dyDescent="0.3">
      <c r="A356" s="1" t="s">
        <v>830</v>
      </c>
      <c r="B356">
        <v>1</v>
      </c>
      <c r="C356">
        <v>34.99</v>
      </c>
      <c r="D356">
        <v>34.99</v>
      </c>
      <c r="E356" s="1" t="s">
        <v>831</v>
      </c>
      <c r="F356" s="1" t="s">
        <v>40</v>
      </c>
      <c r="G356">
        <v>7</v>
      </c>
      <c r="H356" s="1" t="s">
        <v>26</v>
      </c>
      <c r="I356" s="1" t="s">
        <v>85</v>
      </c>
      <c r="J356">
        <v>12.5</v>
      </c>
      <c r="K356">
        <v>34.99</v>
      </c>
      <c r="L356" s="1" t="s">
        <v>60</v>
      </c>
      <c r="M356" s="1" t="s">
        <v>29</v>
      </c>
      <c r="N356" s="1" t="s">
        <v>30</v>
      </c>
      <c r="O356" s="1" t="s">
        <v>31</v>
      </c>
      <c r="P356" s="2">
        <v>45778</v>
      </c>
      <c r="Q356" s="1" t="s">
        <v>832</v>
      </c>
      <c r="R356" s="1" t="s">
        <v>833</v>
      </c>
      <c r="S356" s="1" t="s">
        <v>34</v>
      </c>
      <c r="T356" s="1" t="s">
        <v>35</v>
      </c>
      <c r="U356" s="1" t="s">
        <v>36</v>
      </c>
      <c r="V356" s="1" t="s">
        <v>89</v>
      </c>
      <c r="W356">
        <v>2.4</v>
      </c>
      <c r="X356" s="1">
        <f t="shared" si="10"/>
        <v>8313.6899999999459</v>
      </c>
      <c r="Y356" s="1">
        <f t="shared" si="11"/>
        <v>6355.4899999999634</v>
      </c>
    </row>
    <row r="357" spans="1:25" x14ac:dyDescent="0.3">
      <c r="A357" s="1" t="s">
        <v>834</v>
      </c>
      <c r="B357">
        <v>1</v>
      </c>
      <c r="C357">
        <v>18.989999999999998</v>
      </c>
      <c r="D357">
        <v>18.989999999999998</v>
      </c>
      <c r="E357" s="1" t="s">
        <v>835</v>
      </c>
      <c r="F357" s="1" t="s">
        <v>188</v>
      </c>
      <c r="G357">
        <v>0</v>
      </c>
      <c r="H357" s="1" t="s">
        <v>26</v>
      </c>
      <c r="I357" s="1" t="s">
        <v>97</v>
      </c>
      <c r="J357">
        <v>6</v>
      </c>
      <c r="K357">
        <v>18.989999999999998</v>
      </c>
      <c r="L357" s="1" t="s">
        <v>60</v>
      </c>
      <c r="M357" s="1" t="s">
        <v>43</v>
      </c>
      <c r="N357" s="1" t="s">
        <v>44</v>
      </c>
      <c r="O357" s="1" t="s">
        <v>31</v>
      </c>
      <c r="P357" s="2">
        <v>45823</v>
      </c>
      <c r="Q357" s="1" t="s">
        <v>836</v>
      </c>
      <c r="R357" s="1" t="s">
        <v>837</v>
      </c>
      <c r="S357" s="1" t="s">
        <v>105</v>
      </c>
      <c r="T357" s="1" t="s">
        <v>35</v>
      </c>
      <c r="U357" s="1" t="s">
        <v>55</v>
      </c>
      <c r="V357" s="1" t="s">
        <v>100</v>
      </c>
      <c r="W357">
        <v>3.2</v>
      </c>
      <c r="X357" s="1">
        <f t="shared" si="10"/>
        <v>8313.6899999999459</v>
      </c>
      <c r="Y357" s="1">
        <f t="shared" si="11"/>
        <v>5710.7699999999695</v>
      </c>
    </row>
    <row r="358" spans="1:25" x14ac:dyDescent="0.3">
      <c r="A358" s="1" t="s">
        <v>838</v>
      </c>
      <c r="B358">
        <v>3</v>
      </c>
      <c r="C358">
        <v>30.99</v>
      </c>
      <c r="D358">
        <v>73.64</v>
      </c>
      <c r="E358" s="1" t="s">
        <v>246</v>
      </c>
      <c r="F358" s="1" t="s">
        <v>40</v>
      </c>
      <c r="G358">
        <v>8</v>
      </c>
      <c r="H358" s="1" t="s">
        <v>58</v>
      </c>
      <c r="I358" s="1" t="s">
        <v>42</v>
      </c>
      <c r="J358">
        <v>10.5</v>
      </c>
      <c r="K358">
        <v>30.99</v>
      </c>
      <c r="L358" s="1" t="s">
        <v>28</v>
      </c>
      <c r="M358" s="1" t="s">
        <v>43</v>
      </c>
      <c r="N358" s="1" t="s">
        <v>44</v>
      </c>
      <c r="O358" s="1" t="s">
        <v>31</v>
      </c>
      <c r="P358" s="2">
        <v>45823</v>
      </c>
      <c r="Q358" s="1" t="s">
        <v>839</v>
      </c>
      <c r="R358" s="1" t="s">
        <v>840</v>
      </c>
      <c r="S358" s="1" t="s">
        <v>65</v>
      </c>
      <c r="T358" s="1" t="s">
        <v>35</v>
      </c>
      <c r="U358" s="1" t="s">
        <v>55</v>
      </c>
      <c r="V358" s="1" t="s">
        <v>37</v>
      </c>
      <c r="W358">
        <v>2</v>
      </c>
      <c r="X358" s="1">
        <f t="shared" si="10"/>
        <v>8640.6199999999462</v>
      </c>
      <c r="Y358" s="1">
        <f t="shared" si="11"/>
        <v>5710.7699999999695</v>
      </c>
    </row>
    <row r="359" spans="1:25" x14ac:dyDescent="0.3">
      <c r="A359" s="1" t="s">
        <v>841</v>
      </c>
      <c r="B359">
        <v>1</v>
      </c>
      <c r="C359">
        <v>27.99</v>
      </c>
      <c r="D359">
        <v>27.99</v>
      </c>
      <c r="E359" s="1" t="s">
        <v>678</v>
      </c>
      <c r="F359" s="1" t="s">
        <v>40</v>
      </c>
      <c r="G359">
        <v>3</v>
      </c>
      <c r="H359" s="1" t="s">
        <v>58</v>
      </c>
      <c r="I359" s="1" t="s">
        <v>75</v>
      </c>
      <c r="J359">
        <v>9</v>
      </c>
      <c r="K359">
        <v>27.99</v>
      </c>
      <c r="L359" s="1" t="s">
        <v>28</v>
      </c>
      <c r="M359" s="1" t="s">
        <v>61</v>
      </c>
      <c r="N359" s="1" t="s">
        <v>62</v>
      </c>
      <c r="O359" s="1" t="s">
        <v>31</v>
      </c>
      <c r="P359" s="2">
        <v>45726</v>
      </c>
      <c r="Q359" s="1" t="s">
        <v>842</v>
      </c>
      <c r="R359" s="1" t="s">
        <v>843</v>
      </c>
      <c r="S359" s="1" t="s">
        <v>54</v>
      </c>
      <c r="T359" s="1" t="s">
        <v>35</v>
      </c>
      <c r="U359" s="1" t="s">
        <v>36</v>
      </c>
      <c r="V359" s="1" t="s">
        <v>37</v>
      </c>
      <c r="W359">
        <v>2</v>
      </c>
      <c r="X359" s="1">
        <f t="shared" si="10"/>
        <v>8640.6199999999462</v>
      </c>
      <c r="Y359" s="1">
        <f t="shared" si="11"/>
        <v>6355.4899999999634</v>
      </c>
    </row>
    <row r="360" spans="1:25" x14ac:dyDescent="0.3">
      <c r="A360" s="1" t="s">
        <v>844</v>
      </c>
      <c r="B360">
        <v>2</v>
      </c>
      <c r="C360">
        <v>27.99</v>
      </c>
      <c r="D360">
        <v>48.54</v>
      </c>
      <c r="E360" s="1" t="s">
        <v>845</v>
      </c>
      <c r="F360" s="1" t="s">
        <v>40</v>
      </c>
      <c r="G360">
        <v>2</v>
      </c>
      <c r="H360" s="1" t="s">
        <v>96</v>
      </c>
      <c r="I360" s="1" t="s">
        <v>75</v>
      </c>
      <c r="J360">
        <v>9</v>
      </c>
      <c r="K360">
        <v>27.99</v>
      </c>
      <c r="L360" s="1" t="s">
        <v>28</v>
      </c>
      <c r="M360" s="1" t="s">
        <v>61</v>
      </c>
      <c r="N360" s="1" t="s">
        <v>62</v>
      </c>
      <c r="O360" s="1" t="s">
        <v>31</v>
      </c>
      <c r="P360" s="2">
        <v>45726</v>
      </c>
      <c r="Q360" s="1" t="s">
        <v>526</v>
      </c>
      <c r="R360" s="1" t="s">
        <v>846</v>
      </c>
      <c r="S360" s="1" t="s">
        <v>47</v>
      </c>
      <c r="T360" s="1" t="s">
        <v>35</v>
      </c>
      <c r="U360" s="1" t="s">
        <v>55</v>
      </c>
      <c r="V360" s="1" t="s">
        <v>37</v>
      </c>
      <c r="W360">
        <v>2</v>
      </c>
      <c r="X360" s="1">
        <f t="shared" si="10"/>
        <v>7844.9099999999507</v>
      </c>
      <c r="Y360" s="1">
        <f t="shared" si="11"/>
        <v>5710.7699999999695</v>
      </c>
    </row>
    <row r="361" spans="1:25" x14ac:dyDescent="0.3">
      <c r="A361" s="1" t="s">
        <v>847</v>
      </c>
      <c r="B361">
        <v>3</v>
      </c>
      <c r="C361">
        <v>27.99</v>
      </c>
      <c r="D361">
        <v>67.92</v>
      </c>
      <c r="E361" s="1" t="s">
        <v>704</v>
      </c>
      <c r="F361" s="1" t="s">
        <v>40</v>
      </c>
      <c r="G361">
        <v>3</v>
      </c>
      <c r="H361" s="1" t="s">
        <v>41</v>
      </c>
      <c r="I361" s="1" t="s">
        <v>75</v>
      </c>
      <c r="J361">
        <v>9</v>
      </c>
      <c r="K361">
        <v>27.99</v>
      </c>
      <c r="L361" s="1" t="s">
        <v>28</v>
      </c>
      <c r="M361" s="1" t="s">
        <v>61</v>
      </c>
      <c r="N361" s="1" t="s">
        <v>62</v>
      </c>
      <c r="O361" s="1" t="s">
        <v>31</v>
      </c>
      <c r="P361" s="2">
        <v>45726</v>
      </c>
      <c r="Q361" s="1" t="s">
        <v>768</v>
      </c>
      <c r="R361" s="1" t="s">
        <v>769</v>
      </c>
      <c r="S361" s="1" t="s">
        <v>54</v>
      </c>
      <c r="T361" s="1" t="s">
        <v>35</v>
      </c>
      <c r="U361" s="1" t="s">
        <v>36</v>
      </c>
      <c r="V361" s="1" t="s">
        <v>37</v>
      </c>
      <c r="W361">
        <v>2</v>
      </c>
      <c r="X361" s="1">
        <f t="shared" si="10"/>
        <v>8551.6499999999451</v>
      </c>
      <c r="Y361" s="1">
        <f t="shared" si="11"/>
        <v>6355.4899999999634</v>
      </c>
    </row>
    <row r="362" spans="1:25" x14ac:dyDescent="0.3">
      <c r="A362" s="1" t="s">
        <v>848</v>
      </c>
      <c r="B362">
        <v>2</v>
      </c>
      <c r="C362">
        <v>34.99</v>
      </c>
      <c r="D362">
        <v>60.06</v>
      </c>
      <c r="E362" s="1" t="s">
        <v>849</v>
      </c>
      <c r="F362" s="1" t="s">
        <v>25</v>
      </c>
      <c r="G362">
        <v>8</v>
      </c>
      <c r="H362" s="1" t="s">
        <v>96</v>
      </c>
      <c r="I362" s="1" t="s">
        <v>85</v>
      </c>
      <c r="J362">
        <v>12.5</v>
      </c>
      <c r="K362">
        <v>34.99</v>
      </c>
      <c r="L362" s="1" t="s">
        <v>60</v>
      </c>
      <c r="M362" s="1" t="s">
        <v>29</v>
      </c>
      <c r="N362" s="1" t="s">
        <v>30</v>
      </c>
      <c r="O362" s="1" t="s">
        <v>31</v>
      </c>
      <c r="P362" s="2">
        <v>45778</v>
      </c>
      <c r="Q362" s="1" t="s">
        <v>850</v>
      </c>
      <c r="R362" s="1" t="s">
        <v>851</v>
      </c>
      <c r="S362" s="1" t="s">
        <v>65</v>
      </c>
      <c r="T362" s="1" t="s">
        <v>35</v>
      </c>
      <c r="U362" s="1" t="s">
        <v>36</v>
      </c>
      <c r="V362" s="1" t="s">
        <v>89</v>
      </c>
      <c r="W362">
        <v>2.4</v>
      </c>
      <c r="X362" s="1">
        <f t="shared" si="10"/>
        <v>7844.9099999999507</v>
      </c>
      <c r="Y362" s="1">
        <f t="shared" si="11"/>
        <v>6355.4899999999634</v>
      </c>
    </row>
    <row r="363" spans="1:25" x14ac:dyDescent="0.3">
      <c r="A363" s="1" t="s">
        <v>852</v>
      </c>
      <c r="B363">
        <v>1</v>
      </c>
      <c r="C363">
        <v>27.99</v>
      </c>
      <c r="D363">
        <v>27.99</v>
      </c>
      <c r="E363" s="1" t="s">
        <v>121</v>
      </c>
      <c r="F363" s="1" t="s">
        <v>40</v>
      </c>
      <c r="G363">
        <v>2</v>
      </c>
      <c r="H363" s="1" t="s">
        <v>96</v>
      </c>
      <c r="I363" s="1" t="s">
        <v>75</v>
      </c>
      <c r="J363">
        <v>9</v>
      </c>
      <c r="K363">
        <v>27.99</v>
      </c>
      <c r="L363" s="1" t="s">
        <v>28</v>
      </c>
      <c r="M363" s="1" t="s">
        <v>61</v>
      </c>
      <c r="N363" s="1" t="s">
        <v>62</v>
      </c>
      <c r="O363" s="1" t="s">
        <v>31</v>
      </c>
      <c r="P363" s="2">
        <v>45726</v>
      </c>
      <c r="Q363" s="1" t="s">
        <v>853</v>
      </c>
      <c r="R363" s="1" t="s">
        <v>854</v>
      </c>
      <c r="S363" s="1" t="s">
        <v>34</v>
      </c>
      <c r="T363" s="1" t="s">
        <v>35</v>
      </c>
      <c r="U363" s="1" t="s">
        <v>36</v>
      </c>
      <c r="V363" s="1" t="s">
        <v>37</v>
      </c>
      <c r="W363">
        <v>2</v>
      </c>
      <c r="X363" s="1">
        <f t="shared" si="10"/>
        <v>7844.9099999999507</v>
      </c>
      <c r="Y363" s="1">
        <f t="shared" si="11"/>
        <v>6355.4899999999634</v>
      </c>
    </row>
    <row r="364" spans="1:25" x14ac:dyDescent="0.3">
      <c r="A364" s="1" t="s">
        <v>855</v>
      </c>
      <c r="B364">
        <v>1</v>
      </c>
      <c r="C364">
        <v>30.99</v>
      </c>
      <c r="D364">
        <v>30.99</v>
      </c>
      <c r="E364" s="1" t="s">
        <v>856</v>
      </c>
      <c r="F364" s="1" t="s">
        <v>40</v>
      </c>
      <c r="G364">
        <v>3</v>
      </c>
      <c r="H364" s="1" t="s">
        <v>58</v>
      </c>
      <c r="I364" s="1" t="s">
        <v>42</v>
      </c>
      <c r="J364">
        <v>10.5</v>
      </c>
      <c r="K364">
        <v>30.99</v>
      </c>
      <c r="L364" s="1" t="s">
        <v>28</v>
      </c>
      <c r="M364" s="1" t="s">
        <v>43</v>
      </c>
      <c r="N364" s="1" t="s">
        <v>44</v>
      </c>
      <c r="O364" s="1" t="s">
        <v>31</v>
      </c>
      <c r="P364" s="2">
        <v>45823</v>
      </c>
      <c r="Q364" s="1" t="s">
        <v>783</v>
      </c>
      <c r="R364" s="1" t="s">
        <v>784</v>
      </c>
      <c r="S364" s="1" t="s">
        <v>34</v>
      </c>
      <c r="T364" s="1" t="s">
        <v>35</v>
      </c>
      <c r="U364" s="1" t="s">
        <v>55</v>
      </c>
      <c r="V364" s="1" t="s">
        <v>37</v>
      </c>
      <c r="W364">
        <v>2</v>
      </c>
      <c r="X364" s="1">
        <f t="shared" si="10"/>
        <v>8640.6199999999462</v>
      </c>
      <c r="Y364" s="1">
        <f t="shared" si="11"/>
        <v>5710.7699999999695</v>
      </c>
    </row>
    <row r="365" spans="1:25" x14ac:dyDescent="0.3">
      <c r="A365" s="1" t="s">
        <v>857</v>
      </c>
      <c r="B365">
        <v>2</v>
      </c>
      <c r="C365">
        <v>18.989999999999998</v>
      </c>
      <c r="D365">
        <v>32.83</v>
      </c>
      <c r="E365" s="1" t="s">
        <v>858</v>
      </c>
      <c r="F365" s="1" t="s">
        <v>188</v>
      </c>
      <c r="G365">
        <v>0</v>
      </c>
      <c r="H365" s="1" t="s">
        <v>58</v>
      </c>
      <c r="I365" s="1" t="s">
        <v>97</v>
      </c>
      <c r="J365">
        <v>6</v>
      </c>
      <c r="K365">
        <v>18.989999999999998</v>
      </c>
      <c r="L365" s="1" t="s">
        <v>60</v>
      </c>
      <c r="M365" s="1" t="s">
        <v>43</v>
      </c>
      <c r="N365" s="1" t="s">
        <v>44</v>
      </c>
      <c r="O365" s="1" t="s">
        <v>31</v>
      </c>
      <c r="P365" s="2">
        <v>45823</v>
      </c>
      <c r="Q365" s="1" t="s">
        <v>859</v>
      </c>
      <c r="R365" s="1" t="s">
        <v>860</v>
      </c>
      <c r="S365" s="1" t="s">
        <v>34</v>
      </c>
      <c r="T365" s="1" t="s">
        <v>35</v>
      </c>
      <c r="U365" s="1" t="s">
        <v>48</v>
      </c>
      <c r="V365" s="1" t="s">
        <v>100</v>
      </c>
      <c r="W365">
        <v>3.2</v>
      </c>
      <c r="X365" s="1">
        <f t="shared" si="10"/>
        <v>8640.6199999999462</v>
      </c>
      <c r="Y365" s="1">
        <f t="shared" si="11"/>
        <v>7682.919999999951</v>
      </c>
    </row>
    <row r="366" spans="1:25" x14ac:dyDescent="0.3">
      <c r="A366" s="1" t="s">
        <v>861</v>
      </c>
      <c r="B366">
        <v>1</v>
      </c>
      <c r="C366">
        <v>21.99</v>
      </c>
      <c r="D366">
        <v>21.99</v>
      </c>
      <c r="E366" s="1" t="s">
        <v>862</v>
      </c>
      <c r="F366" s="1" t="s">
        <v>40</v>
      </c>
      <c r="G366">
        <v>2</v>
      </c>
      <c r="H366" s="1" t="s">
        <v>26</v>
      </c>
      <c r="I366" s="1" t="s">
        <v>27</v>
      </c>
      <c r="J366">
        <v>7</v>
      </c>
      <c r="K366">
        <v>21.99</v>
      </c>
      <c r="L366" s="1" t="s">
        <v>28</v>
      </c>
      <c r="M366" s="1" t="s">
        <v>29</v>
      </c>
      <c r="N366" s="1" t="s">
        <v>30</v>
      </c>
      <c r="O366" s="1" t="s">
        <v>31</v>
      </c>
      <c r="P366" s="2">
        <v>45778</v>
      </c>
      <c r="Q366" s="1" t="s">
        <v>768</v>
      </c>
      <c r="R366" s="1" t="s">
        <v>769</v>
      </c>
      <c r="S366" s="1" t="s">
        <v>54</v>
      </c>
      <c r="T366" s="1" t="s">
        <v>35</v>
      </c>
      <c r="U366" s="1" t="s">
        <v>36</v>
      </c>
      <c r="V366" s="1" t="s">
        <v>37</v>
      </c>
      <c r="W366">
        <v>2</v>
      </c>
      <c r="X366" s="1">
        <f t="shared" si="10"/>
        <v>8313.6899999999459</v>
      </c>
      <c r="Y366" s="1">
        <f t="shared" si="11"/>
        <v>6355.4899999999634</v>
      </c>
    </row>
    <row r="367" spans="1:25" x14ac:dyDescent="0.3">
      <c r="A367" s="1" t="s">
        <v>863</v>
      </c>
      <c r="B367">
        <v>1</v>
      </c>
      <c r="C367">
        <v>18.989999999999998</v>
      </c>
      <c r="D367">
        <v>18.989999999999998</v>
      </c>
      <c r="E367" s="1" t="s">
        <v>864</v>
      </c>
      <c r="F367" s="1" t="s">
        <v>40</v>
      </c>
      <c r="G367">
        <v>10</v>
      </c>
      <c r="H367" s="1" t="s">
        <v>41</v>
      </c>
      <c r="I367" s="1" t="s">
        <v>97</v>
      </c>
      <c r="J367">
        <v>6</v>
      </c>
      <c r="K367">
        <v>18.989999999999998</v>
      </c>
      <c r="L367" s="1" t="s">
        <v>60</v>
      </c>
      <c r="M367" s="1" t="s">
        <v>43</v>
      </c>
      <c r="N367" s="1" t="s">
        <v>44</v>
      </c>
      <c r="O367" s="1" t="s">
        <v>31</v>
      </c>
      <c r="P367" s="2">
        <v>45823</v>
      </c>
      <c r="Q367" s="1" t="s">
        <v>865</v>
      </c>
      <c r="R367" s="1" t="s">
        <v>866</v>
      </c>
      <c r="S367" s="1" t="s">
        <v>105</v>
      </c>
      <c r="T367" s="1" t="s">
        <v>35</v>
      </c>
      <c r="U367" s="1" t="s">
        <v>36</v>
      </c>
      <c r="V367" s="1" t="s">
        <v>100</v>
      </c>
      <c r="W367">
        <v>3.2</v>
      </c>
      <c r="X367" s="1">
        <f t="shared" si="10"/>
        <v>8551.6499999999451</v>
      </c>
      <c r="Y367" s="1">
        <f t="shared" si="11"/>
        <v>6355.4899999999634</v>
      </c>
    </row>
    <row r="368" spans="1:25" x14ac:dyDescent="0.3">
      <c r="A368" s="1" t="s">
        <v>867</v>
      </c>
      <c r="B368">
        <v>1</v>
      </c>
      <c r="C368">
        <v>27.99</v>
      </c>
      <c r="D368">
        <v>27.99</v>
      </c>
      <c r="E368" s="1" t="s">
        <v>868</v>
      </c>
      <c r="F368" s="1" t="s">
        <v>51</v>
      </c>
      <c r="G368">
        <v>0</v>
      </c>
      <c r="H368" s="1" t="s">
        <v>41</v>
      </c>
      <c r="I368" s="1" t="s">
        <v>75</v>
      </c>
      <c r="J368">
        <v>9</v>
      </c>
      <c r="K368">
        <v>27.99</v>
      </c>
      <c r="L368" s="1" t="s">
        <v>28</v>
      </c>
      <c r="M368" s="1" t="s">
        <v>61</v>
      </c>
      <c r="N368" s="1" t="s">
        <v>62</v>
      </c>
      <c r="O368" s="1" t="s">
        <v>31</v>
      </c>
      <c r="P368" s="2">
        <v>45726</v>
      </c>
      <c r="Q368" s="1" t="s">
        <v>869</v>
      </c>
      <c r="R368" s="1" t="s">
        <v>870</v>
      </c>
      <c r="S368" s="1" t="s">
        <v>88</v>
      </c>
      <c r="T368" s="1" t="s">
        <v>35</v>
      </c>
      <c r="U368" s="1" t="s">
        <v>55</v>
      </c>
      <c r="V368" s="1" t="s">
        <v>37</v>
      </c>
      <c r="W368">
        <v>2</v>
      </c>
      <c r="X368" s="1">
        <f t="shared" si="10"/>
        <v>8551.6499999999451</v>
      </c>
      <c r="Y368" s="1">
        <f t="shared" si="11"/>
        <v>5710.7699999999695</v>
      </c>
    </row>
    <row r="369" spans="1:25" x14ac:dyDescent="0.3">
      <c r="A369" s="1" t="s">
        <v>871</v>
      </c>
      <c r="B369">
        <v>1</v>
      </c>
      <c r="C369">
        <v>30.99</v>
      </c>
      <c r="D369">
        <v>30.99</v>
      </c>
      <c r="E369" s="1" t="s">
        <v>872</v>
      </c>
      <c r="F369" s="1" t="s">
        <v>70</v>
      </c>
      <c r="G369">
        <v>0</v>
      </c>
      <c r="H369" s="1" t="s">
        <v>96</v>
      </c>
      <c r="I369" s="1" t="s">
        <v>42</v>
      </c>
      <c r="J369">
        <v>10.5</v>
      </c>
      <c r="K369">
        <v>30.99</v>
      </c>
      <c r="L369" s="1" t="s">
        <v>28</v>
      </c>
      <c r="M369" s="1" t="s">
        <v>43</v>
      </c>
      <c r="N369" s="1" t="s">
        <v>44</v>
      </c>
      <c r="O369" s="1" t="s">
        <v>31</v>
      </c>
      <c r="P369" s="2">
        <v>45823</v>
      </c>
      <c r="Q369" s="1" t="s">
        <v>873</v>
      </c>
      <c r="R369" s="1" t="s">
        <v>874</v>
      </c>
      <c r="S369" s="1" t="s">
        <v>105</v>
      </c>
      <c r="T369" s="1" t="s">
        <v>35</v>
      </c>
      <c r="U369" s="1" t="s">
        <v>48</v>
      </c>
      <c r="V369" s="1" t="s">
        <v>37</v>
      </c>
      <c r="W369">
        <v>2</v>
      </c>
      <c r="X369" s="1">
        <f t="shared" si="10"/>
        <v>7844.9099999999507</v>
      </c>
      <c r="Y369" s="1">
        <f t="shared" si="11"/>
        <v>7682.919999999951</v>
      </c>
    </row>
    <row r="370" spans="1:25" x14ac:dyDescent="0.3">
      <c r="A370" s="1" t="s">
        <v>875</v>
      </c>
      <c r="B370">
        <v>1</v>
      </c>
      <c r="C370">
        <v>18.989999999999998</v>
      </c>
      <c r="D370">
        <v>18.989999999999998</v>
      </c>
      <c r="E370" s="1" t="s">
        <v>731</v>
      </c>
      <c r="F370" s="1" t="s">
        <v>188</v>
      </c>
      <c r="G370">
        <v>0</v>
      </c>
      <c r="H370" s="1" t="s">
        <v>26</v>
      </c>
      <c r="I370" s="1" t="s">
        <v>97</v>
      </c>
      <c r="J370">
        <v>6</v>
      </c>
      <c r="K370">
        <v>18.989999999999998</v>
      </c>
      <c r="L370" s="1" t="s">
        <v>60</v>
      </c>
      <c r="M370" s="1" t="s">
        <v>43</v>
      </c>
      <c r="N370" s="1" t="s">
        <v>44</v>
      </c>
      <c r="O370" s="1" t="s">
        <v>31</v>
      </c>
      <c r="P370" s="2">
        <v>45823</v>
      </c>
      <c r="Q370" s="1" t="s">
        <v>203</v>
      </c>
      <c r="R370" s="1" t="s">
        <v>876</v>
      </c>
      <c r="S370" s="1" t="s">
        <v>54</v>
      </c>
      <c r="T370" s="1" t="s">
        <v>35</v>
      </c>
      <c r="U370" s="1" t="s">
        <v>82</v>
      </c>
      <c r="V370" s="1" t="s">
        <v>100</v>
      </c>
      <c r="W370">
        <v>3.2</v>
      </c>
      <c r="X370" s="1">
        <f t="shared" si="10"/>
        <v>8313.6899999999459</v>
      </c>
      <c r="Y370" s="1">
        <f t="shared" si="11"/>
        <v>7204.2099999999582</v>
      </c>
    </row>
    <row r="371" spans="1:25" x14ac:dyDescent="0.3">
      <c r="A371" s="1" t="s">
        <v>877</v>
      </c>
      <c r="B371">
        <v>1</v>
      </c>
      <c r="C371">
        <v>21.99</v>
      </c>
      <c r="D371">
        <v>21.99</v>
      </c>
      <c r="E371" s="1" t="s">
        <v>252</v>
      </c>
      <c r="F371" s="1" t="s">
        <v>51</v>
      </c>
      <c r="G371">
        <v>0</v>
      </c>
      <c r="H371" s="1" t="s">
        <v>96</v>
      </c>
      <c r="I371" s="1" t="s">
        <v>27</v>
      </c>
      <c r="J371">
        <v>7</v>
      </c>
      <c r="K371">
        <v>21.99</v>
      </c>
      <c r="L371" s="1" t="s">
        <v>28</v>
      </c>
      <c r="M371" s="1" t="s">
        <v>29</v>
      </c>
      <c r="N371" s="1" t="s">
        <v>30</v>
      </c>
      <c r="O371" s="1" t="s">
        <v>31</v>
      </c>
      <c r="P371" s="2">
        <v>45778</v>
      </c>
      <c r="Q371" s="1" t="s">
        <v>873</v>
      </c>
      <c r="R371" s="1" t="s">
        <v>874</v>
      </c>
      <c r="S371" s="1" t="s">
        <v>105</v>
      </c>
      <c r="T371" s="1" t="s">
        <v>35</v>
      </c>
      <c r="U371" s="1" t="s">
        <v>48</v>
      </c>
      <c r="V371" s="1" t="s">
        <v>37</v>
      </c>
      <c r="W371">
        <v>2</v>
      </c>
      <c r="X371" s="1">
        <f t="shared" si="10"/>
        <v>7844.9099999999507</v>
      </c>
      <c r="Y371" s="1">
        <f t="shared" si="11"/>
        <v>7682.919999999951</v>
      </c>
    </row>
    <row r="372" spans="1:25" x14ac:dyDescent="0.3">
      <c r="A372" s="1" t="s">
        <v>878</v>
      </c>
      <c r="B372">
        <v>1</v>
      </c>
      <c r="C372">
        <v>21.99</v>
      </c>
      <c r="D372">
        <v>21.99</v>
      </c>
      <c r="E372" s="1" t="s">
        <v>334</v>
      </c>
      <c r="F372" s="1" t="s">
        <v>40</v>
      </c>
      <c r="G372">
        <v>2</v>
      </c>
      <c r="H372" s="1" t="s">
        <v>96</v>
      </c>
      <c r="I372" s="1" t="s">
        <v>27</v>
      </c>
      <c r="J372">
        <v>7</v>
      </c>
      <c r="K372">
        <v>21.99</v>
      </c>
      <c r="L372" s="1" t="s">
        <v>28</v>
      </c>
      <c r="M372" s="1" t="s">
        <v>29</v>
      </c>
      <c r="N372" s="1" t="s">
        <v>30</v>
      </c>
      <c r="O372" s="1" t="s">
        <v>31</v>
      </c>
      <c r="P372" s="2">
        <v>45778</v>
      </c>
      <c r="Q372" s="1" t="s">
        <v>832</v>
      </c>
      <c r="R372" s="1" t="s">
        <v>879</v>
      </c>
      <c r="S372" s="1" t="s">
        <v>105</v>
      </c>
      <c r="T372" s="1" t="s">
        <v>35</v>
      </c>
      <c r="U372" s="1" t="s">
        <v>66</v>
      </c>
      <c r="V372" s="1" t="s">
        <v>37</v>
      </c>
      <c r="W372">
        <v>2</v>
      </c>
      <c r="X372" s="1">
        <f t="shared" si="10"/>
        <v>7844.9099999999507</v>
      </c>
      <c r="Y372" s="1">
        <f t="shared" si="11"/>
        <v>6397.4799999999632</v>
      </c>
    </row>
    <row r="373" spans="1:25" x14ac:dyDescent="0.3">
      <c r="A373" s="1" t="s">
        <v>880</v>
      </c>
      <c r="B373">
        <v>3</v>
      </c>
      <c r="C373">
        <v>21.99</v>
      </c>
      <c r="D373">
        <v>52.09</v>
      </c>
      <c r="E373" s="1" t="s">
        <v>881</v>
      </c>
      <c r="F373" s="1" t="s">
        <v>40</v>
      </c>
      <c r="G373">
        <v>3</v>
      </c>
      <c r="H373" s="1" t="s">
        <v>58</v>
      </c>
      <c r="I373" s="1" t="s">
        <v>27</v>
      </c>
      <c r="J373">
        <v>7</v>
      </c>
      <c r="K373">
        <v>21.99</v>
      </c>
      <c r="L373" s="1" t="s">
        <v>28</v>
      </c>
      <c r="M373" s="1" t="s">
        <v>29</v>
      </c>
      <c r="N373" s="1" t="s">
        <v>30</v>
      </c>
      <c r="O373" s="1" t="s">
        <v>31</v>
      </c>
      <c r="P373" s="2">
        <v>45778</v>
      </c>
      <c r="Q373" s="1" t="s">
        <v>859</v>
      </c>
      <c r="R373" s="1" t="s">
        <v>860</v>
      </c>
      <c r="S373" s="1" t="s">
        <v>34</v>
      </c>
      <c r="T373" s="1" t="s">
        <v>35</v>
      </c>
      <c r="U373" s="1" t="s">
        <v>48</v>
      </c>
      <c r="V373" s="1" t="s">
        <v>37</v>
      </c>
      <c r="W373">
        <v>2</v>
      </c>
      <c r="X373" s="1">
        <f t="shared" si="10"/>
        <v>8640.6199999999462</v>
      </c>
      <c r="Y373" s="1">
        <f t="shared" si="11"/>
        <v>7682.919999999951</v>
      </c>
    </row>
    <row r="374" spans="1:25" x14ac:dyDescent="0.3">
      <c r="A374" s="1" t="s">
        <v>882</v>
      </c>
      <c r="B374">
        <v>1</v>
      </c>
      <c r="C374">
        <v>21.99</v>
      </c>
      <c r="D374">
        <v>21.99</v>
      </c>
      <c r="E374" s="1" t="s">
        <v>883</v>
      </c>
      <c r="F374" s="1" t="s">
        <v>70</v>
      </c>
      <c r="G374">
        <v>0</v>
      </c>
      <c r="H374" s="1" t="s">
        <v>96</v>
      </c>
      <c r="I374" s="1" t="s">
        <v>27</v>
      </c>
      <c r="J374">
        <v>7</v>
      </c>
      <c r="K374">
        <v>21.99</v>
      </c>
      <c r="L374" s="1" t="s">
        <v>28</v>
      </c>
      <c r="M374" s="1" t="s">
        <v>29</v>
      </c>
      <c r="N374" s="1" t="s">
        <v>30</v>
      </c>
      <c r="O374" s="1" t="s">
        <v>31</v>
      </c>
      <c r="P374" s="2">
        <v>45778</v>
      </c>
      <c r="Q374" s="1" t="s">
        <v>884</v>
      </c>
      <c r="R374" s="1" t="s">
        <v>885</v>
      </c>
      <c r="S374" s="1" t="s">
        <v>34</v>
      </c>
      <c r="T374" s="1" t="s">
        <v>35</v>
      </c>
      <c r="U374" s="1" t="s">
        <v>36</v>
      </c>
      <c r="V374" s="1" t="s">
        <v>37</v>
      </c>
      <c r="W374">
        <v>2</v>
      </c>
      <c r="X374" s="1">
        <f t="shared" si="10"/>
        <v>7844.9099999999507</v>
      </c>
      <c r="Y374" s="1">
        <f t="shared" si="11"/>
        <v>6355.4899999999634</v>
      </c>
    </row>
    <row r="375" spans="1:25" x14ac:dyDescent="0.3">
      <c r="A375" s="1" t="s">
        <v>886</v>
      </c>
      <c r="B375">
        <v>1</v>
      </c>
      <c r="C375">
        <v>18.989999999999998</v>
      </c>
      <c r="D375">
        <v>18.989999999999998</v>
      </c>
      <c r="E375" s="1" t="s">
        <v>887</v>
      </c>
      <c r="F375" s="1" t="s">
        <v>51</v>
      </c>
      <c r="G375">
        <v>0</v>
      </c>
      <c r="H375" s="1" t="s">
        <v>96</v>
      </c>
      <c r="I375" s="1" t="s">
        <v>97</v>
      </c>
      <c r="J375">
        <v>6</v>
      </c>
      <c r="K375">
        <v>18.989999999999998</v>
      </c>
      <c r="L375" s="1" t="s">
        <v>60</v>
      </c>
      <c r="M375" s="1" t="s">
        <v>43</v>
      </c>
      <c r="N375" s="1" t="s">
        <v>44</v>
      </c>
      <c r="O375" s="1" t="s">
        <v>31</v>
      </c>
      <c r="P375" s="2">
        <v>45823</v>
      </c>
      <c r="Q375" s="1" t="s">
        <v>203</v>
      </c>
      <c r="R375" s="1" t="s">
        <v>888</v>
      </c>
      <c r="S375" s="1" t="s">
        <v>88</v>
      </c>
      <c r="T375" s="1" t="s">
        <v>35</v>
      </c>
      <c r="U375" s="1" t="s">
        <v>55</v>
      </c>
      <c r="V375" s="1" t="s">
        <v>100</v>
      </c>
      <c r="W375">
        <v>3.2</v>
      </c>
      <c r="X375" s="1">
        <f t="shared" si="10"/>
        <v>7844.9099999999507</v>
      </c>
      <c r="Y375" s="1">
        <f t="shared" si="11"/>
        <v>5710.7699999999695</v>
      </c>
    </row>
    <row r="376" spans="1:25" x14ac:dyDescent="0.3">
      <c r="A376" s="1" t="s">
        <v>889</v>
      </c>
      <c r="B376">
        <v>2</v>
      </c>
      <c r="C376">
        <v>16.989999999999998</v>
      </c>
      <c r="D376">
        <v>29.64</v>
      </c>
      <c r="E376" s="1" t="s">
        <v>719</v>
      </c>
      <c r="F376" s="1" t="s">
        <v>40</v>
      </c>
      <c r="G376">
        <v>18</v>
      </c>
      <c r="H376" s="1" t="s">
        <v>26</v>
      </c>
      <c r="I376" s="1" t="s">
        <v>59</v>
      </c>
      <c r="J376">
        <v>5</v>
      </c>
      <c r="K376">
        <v>16.989999999999998</v>
      </c>
      <c r="L376" s="1" t="s">
        <v>60</v>
      </c>
      <c r="M376" s="1" t="s">
        <v>61</v>
      </c>
      <c r="N376" s="1" t="s">
        <v>62</v>
      </c>
      <c r="O376" s="1" t="s">
        <v>31</v>
      </c>
      <c r="P376" s="2">
        <v>45726</v>
      </c>
      <c r="Q376" s="1" t="s">
        <v>732</v>
      </c>
      <c r="R376" s="1" t="s">
        <v>733</v>
      </c>
      <c r="S376" s="1" t="s">
        <v>65</v>
      </c>
      <c r="T376" s="1" t="s">
        <v>35</v>
      </c>
      <c r="U376" s="1" t="s">
        <v>48</v>
      </c>
      <c r="V376" s="1" t="s">
        <v>67</v>
      </c>
      <c r="W376">
        <v>3</v>
      </c>
      <c r="X376" s="1">
        <f t="shared" si="10"/>
        <v>8313.6899999999459</v>
      </c>
      <c r="Y376" s="1">
        <f t="shared" si="11"/>
        <v>7682.919999999951</v>
      </c>
    </row>
    <row r="377" spans="1:25" x14ac:dyDescent="0.3">
      <c r="A377" s="1" t="s">
        <v>890</v>
      </c>
      <c r="B377">
        <v>1</v>
      </c>
      <c r="C377">
        <v>18.989999999999998</v>
      </c>
      <c r="D377">
        <v>18.989999999999998</v>
      </c>
      <c r="E377" s="1" t="s">
        <v>168</v>
      </c>
      <c r="F377" s="1" t="s">
        <v>70</v>
      </c>
      <c r="G377">
        <v>0</v>
      </c>
      <c r="H377" s="1" t="s">
        <v>26</v>
      </c>
      <c r="I377" s="1" t="s">
        <v>97</v>
      </c>
      <c r="J377">
        <v>6</v>
      </c>
      <c r="K377">
        <v>18.989999999999998</v>
      </c>
      <c r="L377" s="1" t="s">
        <v>60</v>
      </c>
      <c r="M377" s="1" t="s">
        <v>43</v>
      </c>
      <c r="N377" s="1" t="s">
        <v>44</v>
      </c>
      <c r="O377" s="1" t="s">
        <v>31</v>
      </c>
      <c r="P377" s="2">
        <v>45823</v>
      </c>
      <c r="Q377" s="1" t="s">
        <v>814</v>
      </c>
      <c r="R377" s="1" t="s">
        <v>891</v>
      </c>
      <c r="S377" s="1" t="s">
        <v>88</v>
      </c>
      <c r="T377" s="1" t="s">
        <v>35</v>
      </c>
      <c r="U377" s="1" t="s">
        <v>82</v>
      </c>
      <c r="V377" s="1" t="s">
        <v>100</v>
      </c>
      <c r="W377">
        <v>3.2</v>
      </c>
      <c r="X377" s="1">
        <f t="shared" si="10"/>
        <v>8313.6899999999459</v>
      </c>
      <c r="Y377" s="1">
        <f t="shared" si="11"/>
        <v>7204.2099999999582</v>
      </c>
    </row>
    <row r="378" spans="1:25" x14ac:dyDescent="0.3">
      <c r="A378" s="1" t="s">
        <v>892</v>
      </c>
      <c r="B378">
        <v>1</v>
      </c>
      <c r="C378">
        <v>27.99</v>
      </c>
      <c r="D378">
        <v>27.99</v>
      </c>
      <c r="E378" s="1" t="s">
        <v>327</v>
      </c>
      <c r="F378" s="1" t="s">
        <v>40</v>
      </c>
      <c r="G378">
        <v>3</v>
      </c>
      <c r="H378" s="1" t="s">
        <v>58</v>
      </c>
      <c r="I378" s="1" t="s">
        <v>75</v>
      </c>
      <c r="J378">
        <v>9</v>
      </c>
      <c r="K378">
        <v>27.99</v>
      </c>
      <c r="L378" s="1" t="s">
        <v>28</v>
      </c>
      <c r="M378" s="1" t="s">
        <v>61</v>
      </c>
      <c r="N378" s="1" t="s">
        <v>62</v>
      </c>
      <c r="O378" s="1" t="s">
        <v>31</v>
      </c>
      <c r="P378" s="2">
        <v>45726</v>
      </c>
      <c r="Q378" s="1" t="s">
        <v>893</v>
      </c>
      <c r="R378" s="1" t="s">
        <v>894</v>
      </c>
      <c r="S378" s="1" t="s">
        <v>411</v>
      </c>
      <c r="T378" s="1" t="s">
        <v>35</v>
      </c>
      <c r="U378" s="1" t="s">
        <v>48</v>
      </c>
      <c r="V378" s="1" t="s">
        <v>37</v>
      </c>
      <c r="W378">
        <v>2</v>
      </c>
      <c r="X378" s="1">
        <f t="shared" si="10"/>
        <v>8640.6199999999462</v>
      </c>
      <c r="Y378" s="1">
        <f t="shared" si="11"/>
        <v>7682.919999999951</v>
      </c>
    </row>
    <row r="379" spans="1:25" x14ac:dyDescent="0.3">
      <c r="A379" s="1" t="s">
        <v>895</v>
      </c>
      <c r="B379">
        <v>3</v>
      </c>
      <c r="C379">
        <v>34.99</v>
      </c>
      <c r="D379">
        <v>82.45</v>
      </c>
      <c r="E379" s="1" t="s">
        <v>786</v>
      </c>
      <c r="F379" s="1" t="s">
        <v>40</v>
      </c>
      <c r="G379">
        <v>11</v>
      </c>
      <c r="H379" s="1" t="s">
        <v>41</v>
      </c>
      <c r="I379" s="1" t="s">
        <v>85</v>
      </c>
      <c r="J379">
        <v>12.5</v>
      </c>
      <c r="K379">
        <v>34.99</v>
      </c>
      <c r="L379" s="1" t="s">
        <v>60</v>
      </c>
      <c r="M379" s="1" t="s">
        <v>29</v>
      </c>
      <c r="N379" s="1" t="s">
        <v>30</v>
      </c>
      <c r="O379" s="1" t="s">
        <v>31</v>
      </c>
      <c r="P379" s="2">
        <v>45778</v>
      </c>
      <c r="Q379" s="1" t="s">
        <v>896</v>
      </c>
      <c r="R379" s="1" t="s">
        <v>897</v>
      </c>
      <c r="S379" s="1" t="s">
        <v>105</v>
      </c>
      <c r="T379" s="1" t="s">
        <v>35</v>
      </c>
      <c r="U379" s="1" t="s">
        <v>55</v>
      </c>
      <c r="V379" s="1" t="s">
        <v>89</v>
      </c>
      <c r="W379">
        <v>2.4</v>
      </c>
      <c r="X379" s="1">
        <f t="shared" si="10"/>
        <v>8551.6499999999451</v>
      </c>
      <c r="Y379" s="1">
        <f t="shared" si="11"/>
        <v>5710.7699999999695</v>
      </c>
    </row>
    <row r="380" spans="1:25" x14ac:dyDescent="0.3">
      <c r="A380" s="1" t="s">
        <v>898</v>
      </c>
      <c r="B380">
        <v>1</v>
      </c>
      <c r="C380">
        <v>34.99</v>
      </c>
      <c r="D380">
        <v>34.99</v>
      </c>
      <c r="E380" s="1" t="s">
        <v>735</v>
      </c>
      <c r="F380" s="1" t="s">
        <v>70</v>
      </c>
      <c r="G380">
        <v>0</v>
      </c>
      <c r="H380" s="1" t="s">
        <v>26</v>
      </c>
      <c r="I380" s="1" t="s">
        <v>85</v>
      </c>
      <c r="J380">
        <v>12.5</v>
      </c>
      <c r="K380">
        <v>34.99</v>
      </c>
      <c r="L380" s="1" t="s">
        <v>60</v>
      </c>
      <c r="M380" s="1" t="s">
        <v>29</v>
      </c>
      <c r="N380" s="1" t="s">
        <v>30</v>
      </c>
      <c r="O380" s="1" t="s">
        <v>31</v>
      </c>
      <c r="P380" s="2">
        <v>45778</v>
      </c>
      <c r="Q380" s="1" t="s">
        <v>133</v>
      </c>
      <c r="R380" s="1" t="s">
        <v>776</v>
      </c>
      <c r="S380" s="1" t="s">
        <v>88</v>
      </c>
      <c r="T380" s="1" t="s">
        <v>35</v>
      </c>
      <c r="U380" s="1" t="s">
        <v>48</v>
      </c>
      <c r="V380" s="1" t="s">
        <v>89</v>
      </c>
      <c r="W380">
        <v>2.4</v>
      </c>
      <c r="X380" s="1">
        <f t="shared" si="10"/>
        <v>8313.6899999999459</v>
      </c>
      <c r="Y380" s="1">
        <f t="shared" si="11"/>
        <v>7682.919999999951</v>
      </c>
    </row>
    <row r="381" spans="1:25" x14ac:dyDescent="0.3">
      <c r="A381" s="1" t="s">
        <v>899</v>
      </c>
      <c r="B381">
        <v>2</v>
      </c>
      <c r="C381">
        <v>21.99</v>
      </c>
      <c r="D381">
        <v>38.020000000000003</v>
      </c>
      <c r="E381" s="1" t="s">
        <v>900</v>
      </c>
      <c r="F381" s="1" t="s">
        <v>51</v>
      </c>
      <c r="G381">
        <v>0</v>
      </c>
      <c r="H381" s="1" t="s">
        <v>58</v>
      </c>
      <c r="I381" s="1" t="s">
        <v>27</v>
      </c>
      <c r="J381">
        <v>7</v>
      </c>
      <c r="K381">
        <v>21.99</v>
      </c>
      <c r="L381" s="1" t="s">
        <v>28</v>
      </c>
      <c r="M381" s="1" t="s">
        <v>29</v>
      </c>
      <c r="N381" s="1" t="s">
        <v>30</v>
      </c>
      <c r="O381" s="1" t="s">
        <v>31</v>
      </c>
      <c r="P381" s="2">
        <v>45778</v>
      </c>
      <c r="Q381" s="1" t="s">
        <v>203</v>
      </c>
      <c r="R381" s="1" t="s">
        <v>876</v>
      </c>
      <c r="S381" s="1" t="s">
        <v>54</v>
      </c>
      <c r="T381" s="1" t="s">
        <v>35</v>
      </c>
      <c r="U381" s="1" t="s">
        <v>82</v>
      </c>
      <c r="V381" s="1" t="s">
        <v>37</v>
      </c>
      <c r="W381">
        <v>2</v>
      </c>
      <c r="X381" s="1">
        <f t="shared" si="10"/>
        <v>8640.6199999999462</v>
      </c>
      <c r="Y381" s="1">
        <f t="shared" si="11"/>
        <v>7204.2099999999582</v>
      </c>
    </row>
    <row r="382" spans="1:25" x14ac:dyDescent="0.3">
      <c r="A382" s="1" t="s">
        <v>901</v>
      </c>
      <c r="B382">
        <v>1</v>
      </c>
      <c r="C382">
        <v>34.99</v>
      </c>
      <c r="D382">
        <v>34.99</v>
      </c>
      <c r="E382" s="1" t="s">
        <v>902</v>
      </c>
      <c r="F382" s="1" t="s">
        <v>40</v>
      </c>
      <c r="G382">
        <v>12</v>
      </c>
      <c r="H382" s="1" t="s">
        <v>58</v>
      </c>
      <c r="I382" s="1" t="s">
        <v>85</v>
      </c>
      <c r="J382">
        <v>12.5</v>
      </c>
      <c r="K382">
        <v>34.99</v>
      </c>
      <c r="L382" s="1" t="s">
        <v>60</v>
      </c>
      <c r="M382" s="1" t="s">
        <v>29</v>
      </c>
      <c r="N382" s="1" t="s">
        <v>30</v>
      </c>
      <c r="O382" s="1" t="s">
        <v>31</v>
      </c>
      <c r="P382" s="2">
        <v>45778</v>
      </c>
      <c r="Q382" s="1" t="s">
        <v>238</v>
      </c>
      <c r="R382" s="1" t="s">
        <v>903</v>
      </c>
      <c r="S382" s="1" t="s">
        <v>34</v>
      </c>
      <c r="T382" s="1" t="s">
        <v>35</v>
      </c>
      <c r="U382" s="1" t="s">
        <v>36</v>
      </c>
      <c r="V382" s="1" t="s">
        <v>89</v>
      </c>
      <c r="W382">
        <v>2.4</v>
      </c>
      <c r="X382" s="1">
        <f t="shared" si="10"/>
        <v>8640.6199999999462</v>
      </c>
      <c r="Y382" s="1">
        <f t="shared" si="11"/>
        <v>6355.4899999999634</v>
      </c>
    </row>
    <row r="383" spans="1:25" x14ac:dyDescent="0.3">
      <c r="A383" s="1" t="s">
        <v>904</v>
      </c>
      <c r="B383">
        <v>1</v>
      </c>
      <c r="C383">
        <v>16.989999999999998</v>
      </c>
      <c r="D383">
        <v>16.989999999999998</v>
      </c>
      <c r="E383" s="1" t="s">
        <v>160</v>
      </c>
      <c r="F383" s="1" t="s">
        <v>51</v>
      </c>
      <c r="G383">
        <v>0</v>
      </c>
      <c r="H383" s="1" t="s">
        <v>26</v>
      </c>
      <c r="I383" s="1" t="s">
        <v>59</v>
      </c>
      <c r="J383">
        <v>5</v>
      </c>
      <c r="K383">
        <v>16.989999999999998</v>
      </c>
      <c r="L383" s="1" t="s">
        <v>60</v>
      </c>
      <c r="M383" s="1" t="s">
        <v>61</v>
      </c>
      <c r="N383" s="1" t="s">
        <v>62</v>
      </c>
      <c r="O383" s="1" t="s">
        <v>31</v>
      </c>
      <c r="P383" s="2">
        <v>45726</v>
      </c>
      <c r="Q383" s="1" t="s">
        <v>905</v>
      </c>
      <c r="R383" s="1" t="s">
        <v>906</v>
      </c>
      <c r="S383" s="1" t="s">
        <v>105</v>
      </c>
      <c r="T383" s="1" t="s">
        <v>35</v>
      </c>
      <c r="U383" s="1" t="s">
        <v>55</v>
      </c>
      <c r="V383" s="1" t="s">
        <v>67</v>
      </c>
      <c r="W383">
        <v>3</v>
      </c>
      <c r="X383" s="1">
        <f t="shared" si="10"/>
        <v>8313.6899999999459</v>
      </c>
      <c r="Y383" s="1">
        <f t="shared" si="11"/>
        <v>5710.7699999999695</v>
      </c>
    </row>
    <row r="384" spans="1:25" x14ac:dyDescent="0.3">
      <c r="A384" s="1" t="s">
        <v>907</v>
      </c>
      <c r="B384">
        <v>1</v>
      </c>
      <c r="C384">
        <v>16.989999999999998</v>
      </c>
      <c r="D384">
        <v>16.989999999999998</v>
      </c>
      <c r="E384" s="1" t="s">
        <v>908</v>
      </c>
      <c r="F384" s="1" t="s">
        <v>40</v>
      </c>
      <c r="G384">
        <v>20</v>
      </c>
      <c r="H384" s="1" t="s">
        <v>26</v>
      </c>
      <c r="I384" s="1" t="s">
        <v>59</v>
      </c>
      <c r="J384">
        <v>5</v>
      </c>
      <c r="K384">
        <v>16.989999999999998</v>
      </c>
      <c r="L384" s="1" t="s">
        <v>60</v>
      </c>
      <c r="M384" s="1" t="s">
        <v>61</v>
      </c>
      <c r="N384" s="1" t="s">
        <v>62</v>
      </c>
      <c r="O384" s="1" t="s">
        <v>31</v>
      </c>
      <c r="P384" s="2">
        <v>45726</v>
      </c>
      <c r="Q384" s="1" t="s">
        <v>909</v>
      </c>
      <c r="R384" s="1" t="s">
        <v>910</v>
      </c>
      <c r="S384" s="1" t="s">
        <v>34</v>
      </c>
      <c r="T384" s="1" t="s">
        <v>35</v>
      </c>
      <c r="U384" s="1" t="s">
        <v>66</v>
      </c>
      <c r="V384" s="1" t="s">
        <v>67</v>
      </c>
      <c r="W384">
        <v>3</v>
      </c>
      <c r="X384" s="1">
        <f t="shared" si="10"/>
        <v>8313.6899999999459</v>
      </c>
      <c r="Y384" s="1">
        <f t="shared" si="11"/>
        <v>6397.4799999999632</v>
      </c>
    </row>
    <row r="385" spans="1:25" x14ac:dyDescent="0.3">
      <c r="A385" s="1" t="s">
        <v>911</v>
      </c>
      <c r="B385">
        <v>1</v>
      </c>
      <c r="C385">
        <v>21.99</v>
      </c>
      <c r="D385">
        <v>21.99</v>
      </c>
      <c r="E385" s="1" t="s">
        <v>912</v>
      </c>
      <c r="F385" s="1" t="s">
        <v>40</v>
      </c>
      <c r="G385">
        <v>3</v>
      </c>
      <c r="H385" s="1" t="s">
        <v>96</v>
      </c>
      <c r="I385" s="1" t="s">
        <v>27</v>
      </c>
      <c r="J385">
        <v>7</v>
      </c>
      <c r="K385">
        <v>21.99</v>
      </c>
      <c r="L385" s="1" t="s">
        <v>28</v>
      </c>
      <c r="M385" s="1" t="s">
        <v>29</v>
      </c>
      <c r="N385" s="1" t="s">
        <v>30</v>
      </c>
      <c r="O385" s="1" t="s">
        <v>31</v>
      </c>
      <c r="P385" s="2">
        <v>45778</v>
      </c>
      <c r="Q385" s="1" t="s">
        <v>913</v>
      </c>
      <c r="R385" s="1" t="s">
        <v>914</v>
      </c>
      <c r="S385" s="1" t="s">
        <v>65</v>
      </c>
      <c r="T385" s="1" t="s">
        <v>35</v>
      </c>
      <c r="U385" s="1" t="s">
        <v>48</v>
      </c>
      <c r="V385" s="1" t="s">
        <v>37</v>
      </c>
      <c r="W385">
        <v>2</v>
      </c>
      <c r="X385" s="1">
        <f t="shared" si="10"/>
        <v>7844.9099999999507</v>
      </c>
      <c r="Y385" s="1">
        <f t="shared" si="11"/>
        <v>7682.919999999951</v>
      </c>
    </row>
    <row r="386" spans="1:25" x14ac:dyDescent="0.3">
      <c r="A386" s="1" t="s">
        <v>915</v>
      </c>
      <c r="B386">
        <v>1</v>
      </c>
      <c r="C386">
        <v>18.989999999999998</v>
      </c>
      <c r="D386">
        <v>18.989999999999998</v>
      </c>
      <c r="E386" s="1" t="s">
        <v>916</v>
      </c>
      <c r="F386" s="1" t="s">
        <v>40</v>
      </c>
      <c r="G386">
        <v>15</v>
      </c>
      <c r="H386" s="1" t="s">
        <v>41</v>
      </c>
      <c r="I386" s="1" t="s">
        <v>97</v>
      </c>
      <c r="J386">
        <v>6</v>
      </c>
      <c r="K386">
        <v>18.989999999999998</v>
      </c>
      <c r="L386" s="1" t="s">
        <v>60</v>
      </c>
      <c r="M386" s="1" t="s">
        <v>43</v>
      </c>
      <c r="N386" s="1" t="s">
        <v>44</v>
      </c>
      <c r="O386" s="1" t="s">
        <v>31</v>
      </c>
      <c r="P386" s="2">
        <v>45823</v>
      </c>
      <c r="Q386" s="1" t="s">
        <v>917</v>
      </c>
      <c r="R386" s="1" t="s">
        <v>918</v>
      </c>
      <c r="S386" s="1" t="s">
        <v>54</v>
      </c>
      <c r="T386" s="1" t="s">
        <v>35</v>
      </c>
      <c r="U386" s="1" t="s">
        <v>36</v>
      </c>
      <c r="V386" s="1" t="s">
        <v>100</v>
      </c>
      <c r="W386">
        <v>3.2</v>
      </c>
      <c r="X386" s="1">
        <f t="shared" ref="X386:X449" si="12">SUMIF(H:H,H386,K:K)</f>
        <v>8551.6499999999451</v>
      </c>
      <c r="Y386" s="1">
        <f t="shared" ref="Y386:Y449" si="13">SUMIF(U:U,U386,K:K)</f>
        <v>6355.4899999999634</v>
      </c>
    </row>
    <row r="387" spans="1:25" x14ac:dyDescent="0.3">
      <c r="A387" s="1" t="s">
        <v>919</v>
      </c>
      <c r="B387">
        <v>1</v>
      </c>
      <c r="C387">
        <v>27.99</v>
      </c>
      <c r="D387">
        <v>27.99</v>
      </c>
      <c r="E387" s="1" t="s">
        <v>731</v>
      </c>
      <c r="F387" s="1" t="s">
        <v>40</v>
      </c>
      <c r="G387">
        <v>6</v>
      </c>
      <c r="H387" s="1" t="s">
        <v>26</v>
      </c>
      <c r="I387" s="1" t="s">
        <v>75</v>
      </c>
      <c r="J387">
        <v>9</v>
      </c>
      <c r="K387">
        <v>27.99</v>
      </c>
      <c r="L387" s="1" t="s">
        <v>28</v>
      </c>
      <c r="M387" s="1" t="s">
        <v>61</v>
      </c>
      <c r="N387" s="1" t="s">
        <v>62</v>
      </c>
      <c r="O387" s="1" t="s">
        <v>31</v>
      </c>
      <c r="P387" s="2">
        <v>45726</v>
      </c>
      <c r="Q387" s="1" t="s">
        <v>839</v>
      </c>
      <c r="R387" s="1" t="s">
        <v>840</v>
      </c>
      <c r="S387" s="1" t="s">
        <v>65</v>
      </c>
      <c r="T387" s="1" t="s">
        <v>35</v>
      </c>
      <c r="U387" s="1" t="s">
        <v>55</v>
      </c>
      <c r="V387" s="1" t="s">
        <v>37</v>
      </c>
      <c r="W387">
        <v>2</v>
      </c>
      <c r="X387" s="1">
        <f t="shared" si="12"/>
        <v>8313.6899999999459</v>
      </c>
      <c r="Y387" s="1">
        <f t="shared" si="13"/>
        <v>5710.7699999999695</v>
      </c>
    </row>
    <row r="388" spans="1:25" x14ac:dyDescent="0.3">
      <c r="A388" s="1" t="s">
        <v>920</v>
      </c>
      <c r="B388">
        <v>1</v>
      </c>
      <c r="C388">
        <v>34.99</v>
      </c>
      <c r="D388">
        <v>34.99</v>
      </c>
      <c r="E388" s="1" t="s">
        <v>921</v>
      </c>
      <c r="F388" s="1" t="s">
        <v>40</v>
      </c>
      <c r="G388">
        <v>8</v>
      </c>
      <c r="H388" s="1" t="s">
        <v>58</v>
      </c>
      <c r="I388" s="1" t="s">
        <v>85</v>
      </c>
      <c r="J388">
        <v>12.5</v>
      </c>
      <c r="K388">
        <v>34.99</v>
      </c>
      <c r="L388" s="1" t="s">
        <v>60</v>
      </c>
      <c r="M388" s="1" t="s">
        <v>29</v>
      </c>
      <c r="N388" s="1" t="s">
        <v>30</v>
      </c>
      <c r="O388" s="1" t="s">
        <v>31</v>
      </c>
      <c r="P388" s="2">
        <v>45778</v>
      </c>
      <c r="Q388" s="1" t="s">
        <v>783</v>
      </c>
      <c r="R388" s="1" t="s">
        <v>784</v>
      </c>
      <c r="S388" s="1" t="s">
        <v>34</v>
      </c>
      <c r="T388" s="1" t="s">
        <v>35</v>
      </c>
      <c r="U388" s="1" t="s">
        <v>55</v>
      </c>
      <c r="V388" s="1" t="s">
        <v>89</v>
      </c>
      <c r="W388">
        <v>2.4</v>
      </c>
      <c r="X388" s="1">
        <f t="shared" si="12"/>
        <v>8640.6199999999462</v>
      </c>
      <c r="Y388" s="1">
        <f t="shared" si="13"/>
        <v>5710.7699999999695</v>
      </c>
    </row>
    <row r="389" spans="1:25" x14ac:dyDescent="0.3">
      <c r="A389" s="1" t="s">
        <v>922</v>
      </c>
      <c r="B389">
        <v>1</v>
      </c>
      <c r="C389">
        <v>34.99</v>
      </c>
      <c r="D389">
        <v>34.99</v>
      </c>
      <c r="E389" s="1" t="s">
        <v>923</v>
      </c>
      <c r="F389" s="1" t="s">
        <v>51</v>
      </c>
      <c r="G389">
        <v>0</v>
      </c>
      <c r="H389" s="1" t="s">
        <v>96</v>
      </c>
      <c r="I389" s="1" t="s">
        <v>85</v>
      </c>
      <c r="J389">
        <v>12.5</v>
      </c>
      <c r="K389">
        <v>34.99</v>
      </c>
      <c r="L389" s="1" t="s">
        <v>60</v>
      </c>
      <c r="M389" s="1" t="s">
        <v>29</v>
      </c>
      <c r="N389" s="1" t="s">
        <v>30</v>
      </c>
      <c r="O389" s="1" t="s">
        <v>31</v>
      </c>
      <c r="P389" s="2">
        <v>45778</v>
      </c>
      <c r="Q389" s="1" t="s">
        <v>249</v>
      </c>
      <c r="R389" s="1" t="s">
        <v>924</v>
      </c>
      <c r="S389" s="1" t="s">
        <v>34</v>
      </c>
      <c r="T389" s="1" t="s">
        <v>35</v>
      </c>
      <c r="U389" s="1" t="s">
        <v>55</v>
      </c>
      <c r="V389" s="1" t="s">
        <v>89</v>
      </c>
      <c r="W389">
        <v>2.4</v>
      </c>
      <c r="X389" s="1">
        <f t="shared" si="12"/>
        <v>7844.9099999999507</v>
      </c>
      <c r="Y389" s="1">
        <f t="shared" si="13"/>
        <v>5710.7699999999695</v>
      </c>
    </row>
    <row r="390" spans="1:25" x14ac:dyDescent="0.3">
      <c r="A390" s="1" t="s">
        <v>925</v>
      </c>
      <c r="B390">
        <v>1</v>
      </c>
      <c r="C390">
        <v>21.99</v>
      </c>
      <c r="D390">
        <v>21.99</v>
      </c>
      <c r="E390" s="1" t="s">
        <v>763</v>
      </c>
      <c r="F390" s="1" t="s">
        <v>40</v>
      </c>
      <c r="G390">
        <v>3</v>
      </c>
      <c r="H390" s="1" t="s">
        <v>41</v>
      </c>
      <c r="I390" s="1" t="s">
        <v>27</v>
      </c>
      <c r="J390">
        <v>7</v>
      </c>
      <c r="K390">
        <v>21.99</v>
      </c>
      <c r="L390" s="1" t="s">
        <v>28</v>
      </c>
      <c r="M390" s="1" t="s">
        <v>29</v>
      </c>
      <c r="N390" s="1" t="s">
        <v>30</v>
      </c>
      <c r="O390" s="1" t="s">
        <v>31</v>
      </c>
      <c r="P390" s="2">
        <v>45778</v>
      </c>
      <c r="Q390" s="1" t="s">
        <v>926</v>
      </c>
      <c r="R390" s="1" t="s">
        <v>927</v>
      </c>
      <c r="S390" s="1" t="s">
        <v>47</v>
      </c>
      <c r="T390" s="1" t="s">
        <v>35</v>
      </c>
      <c r="U390" s="1" t="s">
        <v>36</v>
      </c>
      <c r="V390" s="1" t="s">
        <v>37</v>
      </c>
      <c r="W390">
        <v>2</v>
      </c>
      <c r="X390" s="1">
        <f t="shared" si="12"/>
        <v>8551.6499999999451</v>
      </c>
      <c r="Y390" s="1">
        <f t="shared" si="13"/>
        <v>6355.4899999999634</v>
      </c>
    </row>
    <row r="391" spans="1:25" x14ac:dyDescent="0.3">
      <c r="A391" s="1" t="s">
        <v>928</v>
      </c>
      <c r="B391">
        <v>1</v>
      </c>
      <c r="C391">
        <v>34.99</v>
      </c>
      <c r="D391">
        <v>34.99</v>
      </c>
      <c r="E391" s="1" t="s">
        <v>929</v>
      </c>
      <c r="F391" s="1" t="s">
        <v>188</v>
      </c>
      <c r="G391">
        <v>0</v>
      </c>
      <c r="H391" s="1" t="s">
        <v>58</v>
      </c>
      <c r="I391" s="1" t="s">
        <v>85</v>
      </c>
      <c r="J391">
        <v>12.5</v>
      </c>
      <c r="K391">
        <v>34.99</v>
      </c>
      <c r="L391" s="1" t="s">
        <v>60</v>
      </c>
      <c r="M391" s="1" t="s">
        <v>29</v>
      </c>
      <c r="N391" s="1" t="s">
        <v>30</v>
      </c>
      <c r="O391" s="1" t="s">
        <v>31</v>
      </c>
      <c r="P391" s="2">
        <v>45778</v>
      </c>
      <c r="Q391" s="1" t="s">
        <v>930</v>
      </c>
      <c r="R391" s="1" t="s">
        <v>931</v>
      </c>
      <c r="S391" s="1" t="s">
        <v>65</v>
      </c>
      <c r="T391" s="1" t="s">
        <v>35</v>
      </c>
      <c r="U391" s="1" t="s">
        <v>36</v>
      </c>
      <c r="V391" s="1" t="s">
        <v>89</v>
      </c>
      <c r="W391">
        <v>2.4</v>
      </c>
      <c r="X391" s="1">
        <f t="shared" si="12"/>
        <v>8640.6199999999462</v>
      </c>
      <c r="Y391" s="1">
        <f t="shared" si="13"/>
        <v>6355.4899999999634</v>
      </c>
    </row>
    <row r="392" spans="1:25" x14ac:dyDescent="0.3">
      <c r="A392" s="1" t="s">
        <v>932</v>
      </c>
      <c r="B392">
        <v>3</v>
      </c>
      <c r="C392">
        <v>18.989999999999998</v>
      </c>
      <c r="D392">
        <v>44.82</v>
      </c>
      <c r="E392" s="1" t="s">
        <v>933</v>
      </c>
      <c r="F392" s="1" t="s">
        <v>70</v>
      </c>
      <c r="G392">
        <v>0</v>
      </c>
      <c r="H392" s="1" t="s">
        <v>58</v>
      </c>
      <c r="I392" s="1" t="s">
        <v>97</v>
      </c>
      <c r="J392">
        <v>6</v>
      </c>
      <c r="K392">
        <v>18.989999999999998</v>
      </c>
      <c r="L392" s="1" t="s">
        <v>60</v>
      </c>
      <c r="M392" s="1" t="s">
        <v>43</v>
      </c>
      <c r="N392" s="1" t="s">
        <v>44</v>
      </c>
      <c r="O392" s="1" t="s">
        <v>31</v>
      </c>
      <c r="P392" s="2">
        <v>45823</v>
      </c>
      <c r="Q392" s="1" t="s">
        <v>934</v>
      </c>
      <c r="R392" s="1" t="s">
        <v>935</v>
      </c>
      <c r="S392" s="1" t="s">
        <v>105</v>
      </c>
      <c r="T392" s="1" t="s">
        <v>35</v>
      </c>
      <c r="U392" s="1" t="s">
        <v>82</v>
      </c>
      <c r="V392" s="1" t="s">
        <v>100</v>
      </c>
      <c r="W392">
        <v>3.2</v>
      </c>
      <c r="X392" s="1">
        <f t="shared" si="12"/>
        <v>8640.6199999999462</v>
      </c>
      <c r="Y392" s="1">
        <f t="shared" si="13"/>
        <v>7204.2099999999582</v>
      </c>
    </row>
    <row r="393" spans="1:25" x14ac:dyDescent="0.3">
      <c r="A393" s="1" t="s">
        <v>936</v>
      </c>
      <c r="B393">
        <v>1</v>
      </c>
      <c r="C393">
        <v>27.99</v>
      </c>
      <c r="D393">
        <v>27.99</v>
      </c>
      <c r="E393" s="1" t="s">
        <v>937</v>
      </c>
      <c r="F393" s="1" t="s">
        <v>51</v>
      </c>
      <c r="G393">
        <v>0</v>
      </c>
      <c r="H393" s="1" t="s">
        <v>41</v>
      </c>
      <c r="I393" s="1" t="s">
        <v>75</v>
      </c>
      <c r="J393">
        <v>9</v>
      </c>
      <c r="K393">
        <v>27.99</v>
      </c>
      <c r="L393" s="1" t="s">
        <v>28</v>
      </c>
      <c r="M393" s="1" t="s">
        <v>61</v>
      </c>
      <c r="N393" s="1" t="s">
        <v>62</v>
      </c>
      <c r="O393" s="1" t="s">
        <v>31</v>
      </c>
      <c r="P393" s="2">
        <v>45726</v>
      </c>
      <c r="Q393" s="1" t="s">
        <v>938</v>
      </c>
      <c r="R393" s="1" t="s">
        <v>939</v>
      </c>
      <c r="S393" s="1" t="s">
        <v>54</v>
      </c>
      <c r="T393" s="1" t="s">
        <v>35</v>
      </c>
      <c r="U393" s="1" t="s">
        <v>66</v>
      </c>
      <c r="V393" s="1" t="s">
        <v>37</v>
      </c>
      <c r="W393">
        <v>2</v>
      </c>
      <c r="X393" s="1">
        <f t="shared" si="12"/>
        <v>8551.6499999999451</v>
      </c>
      <c r="Y393" s="1">
        <f t="shared" si="13"/>
        <v>6397.4799999999632</v>
      </c>
    </row>
    <row r="394" spans="1:25" x14ac:dyDescent="0.3">
      <c r="A394" s="1" t="s">
        <v>940</v>
      </c>
      <c r="B394">
        <v>1</v>
      </c>
      <c r="C394">
        <v>18.989999999999998</v>
      </c>
      <c r="D394">
        <v>18.989999999999998</v>
      </c>
      <c r="E394" s="1" t="s">
        <v>79</v>
      </c>
      <c r="F394" s="1" t="s">
        <v>188</v>
      </c>
      <c r="G394">
        <v>0</v>
      </c>
      <c r="H394" s="1" t="s">
        <v>26</v>
      </c>
      <c r="I394" s="1" t="s">
        <v>97</v>
      </c>
      <c r="J394">
        <v>6</v>
      </c>
      <c r="K394">
        <v>18.989999999999998</v>
      </c>
      <c r="L394" s="1" t="s">
        <v>60</v>
      </c>
      <c r="M394" s="1" t="s">
        <v>43</v>
      </c>
      <c r="N394" s="1" t="s">
        <v>44</v>
      </c>
      <c r="O394" s="1" t="s">
        <v>31</v>
      </c>
      <c r="P394" s="2">
        <v>45823</v>
      </c>
      <c r="Q394" s="1" t="s">
        <v>169</v>
      </c>
      <c r="R394" s="1" t="s">
        <v>941</v>
      </c>
      <c r="S394" s="1" t="s">
        <v>105</v>
      </c>
      <c r="T394" s="1" t="s">
        <v>35</v>
      </c>
      <c r="U394" s="1" t="s">
        <v>66</v>
      </c>
      <c r="V394" s="1" t="s">
        <v>100</v>
      </c>
      <c r="W394">
        <v>3.2</v>
      </c>
      <c r="X394" s="1">
        <f t="shared" si="12"/>
        <v>8313.6899999999459</v>
      </c>
      <c r="Y394" s="1">
        <f t="shared" si="13"/>
        <v>6397.4799999999632</v>
      </c>
    </row>
    <row r="395" spans="1:25" x14ac:dyDescent="0.3">
      <c r="A395" s="1" t="s">
        <v>942</v>
      </c>
      <c r="B395">
        <v>1</v>
      </c>
      <c r="C395">
        <v>27.99</v>
      </c>
      <c r="D395">
        <v>27.99</v>
      </c>
      <c r="E395" s="1" t="s">
        <v>252</v>
      </c>
      <c r="F395" s="1" t="s">
        <v>40</v>
      </c>
      <c r="G395">
        <v>8</v>
      </c>
      <c r="H395" s="1" t="s">
        <v>26</v>
      </c>
      <c r="I395" s="1" t="s">
        <v>75</v>
      </c>
      <c r="J395">
        <v>9</v>
      </c>
      <c r="K395">
        <v>27.99</v>
      </c>
      <c r="L395" s="1" t="s">
        <v>28</v>
      </c>
      <c r="M395" s="1" t="s">
        <v>61</v>
      </c>
      <c r="N395" s="1" t="s">
        <v>62</v>
      </c>
      <c r="O395" s="1" t="s">
        <v>31</v>
      </c>
      <c r="P395" s="2">
        <v>45726</v>
      </c>
      <c r="Q395" s="1" t="s">
        <v>943</v>
      </c>
      <c r="R395" s="1" t="s">
        <v>944</v>
      </c>
      <c r="S395" s="1" t="s">
        <v>47</v>
      </c>
      <c r="T395" s="1" t="s">
        <v>35</v>
      </c>
      <c r="U395" s="1" t="s">
        <v>48</v>
      </c>
      <c r="V395" s="1" t="s">
        <v>37</v>
      </c>
      <c r="W395">
        <v>2</v>
      </c>
      <c r="X395" s="1">
        <f t="shared" si="12"/>
        <v>8313.6899999999459</v>
      </c>
      <c r="Y395" s="1">
        <f t="shared" si="13"/>
        <v>7682.919999999951</v>
      </c>
    </row>
    <row r="396" spans="1:25" x14ac:dyDescent="0.3">
      <c r="A396" s="1" t="s">
        <v>945</v>
      </c>
      <c r="B396">
        <v>1</v>
      </c>
      <c r="C396">
        <v>27.99</v>
      </c>
      <c r="D396">
        <v>27.99</v>
      </c>
      <c r="E396" s="1" t="s">
        <v>946</v>
      </c>
      <c r="F396" s="1" t="s">
        <v>51</v>
      </c>
      <c r="G396">
        <v>0</v>
      </c>
      <c r="H396" s="1" t="s">
        <v>41</v>
      </c>
      <c r="I396" s="1" t="s">
        <v>75</v>
      </c>
      <c r="J396">
        <v>9</v>
      </c>
      <c r="K396">
        <v>27.99</v>
      </c>
      <c r="L396" s="1" t="s">
        <v>28</v>
      </c>
      <c r="M396" s="1" t="s">
        <v>61</v>
      </c>
      <c r="N396" s="1" t="s">
        <v>62</v>
      </c>
      <c r="O396" s="1" t="s">
        <v>31</v>
      </c>
      <c r="P396" s="2">
        <v>45726</v>
      </c>
      <c r="Q396" s="1" t="s">
        <v>947</v>
      </c>
      <c r="R396" s="1" t="s">
        <v>948</v>
      </c>
      <c r="S396" s="1" t="s">
        <v>65</v>
      </c>
      <c r="T396" s="1" t="s">
        <v>35</v>
      </c>
      <c r="U396" s="1" t="s">
        <v>82</v>
      </c>
      <c r="V396" s="1" t="s">
        <v>37</v>
      </c>
      <c r="W396">
        <v>2</v>
      </c>
      <c r="X396" s="1">
        <f t="shared" si="12"/>
        <v>8551.6499999999451</v>
      </c>
      <c r="Y396" s="1">
        <f t="shared" si="13"/>
        <v>7204.2099999999582</v>
      </c>
    </row>
    <row r="397" spans="1:25" x14ac:dyDescent="0.3">
      <c r="A397" s="1" t="s">
        <v>949</v>
      </c>
      <c r="B397">
        <v>3</v>
      </c>
      <c r="C397">
        <v>30.99</v>
      </c>
      <c r="D397">
        <v>74.33</v>
      </c>
      <c r="E397" s="1" t="s">
        <v>950</v>
      </c>
      <c r="F397" s="1" t="s">
        <v>70</v>
      </c>
      <c r="G397">
        <v>0</v>
      </c>
      <c r="H397" s="1" t="s">
        <v>26</v>
      </c>
      <c r="I397" s="1" t="s">
        <v>42</v>
      </c>
      <c r="J397">
        <v>10.5</v>
      </c>
      <c r="K397">
        <v>30.99</v>
      </c>
      <c r="L397" s="1" t="s">
        <v>28</v>
      </c>
      <c r="M397" s="1" t="s">
        <v>43</v>
      </c>
      <c r="N397" s="1" t="s">
        <v>44</v>
      </c>
      <c r="O397" s="1" t="s">
        <v>31</v>
      </c>
      <c r="P397" s="2">
        <v>45823</v>
      </c>
      <c r="Q397" s="1" t="s">
        <v>951</v>
      </c>
      <c r="R397" s="1" t="s">
        <v>952</v>
      </c>
      <c r="S397" s="1" t="s">
        <v>65</v>
      </c>
      <c r="T397" s="1" t="s">
        <v>35</v>
      </c>
      <c r="U397" s="1" t="s">
        <v>48</v>
      </c>
      <c r="V397" s="1" t="s">
        <v>37</v>
      </c>
      <c r="W397">
        <v>2</v>
      </c>
      <c r="X397" s="1">
        <f t="shared" si="12"/>
        <v>8313.6899999999459</v>
      </c>
      <c r="Y397" s="1">
        <f t="shared" si="13"/>
        <v>7682.919999999951</v>
      </c>
    </row>
    <row r="398" spans="1:25" x14ac:dyDescent="0.3">
      <c r="A398" s="1" t="s">
        <v>953</v>
      </c>
      <c r="B398">
        <v>1</v>
      </c>
      <c r="C398">
        <v>34.99</v>
      </c>
      <c r="D398">
        <v>34.99</v>
      </c>
      <c r="E398" s="1" t="s">
        <v>954</v>
      </c>
      <c r="F398" s="1" t="s">
        <v>40</v>
      </c>
      <c r="G398">
        <v>8</v>
      </c>
      <c r="H398" s="1" t="s">
        <v>41</v>
      </c>
      <c r="I398" s="1" t="s">
        <v>85</v>
      </c>
      <c r="J398">
        <v>12.5</v>
      </c>
      <c r="K398">
        <v>34.99</v>
      </c>
      <c r="L398" s="1" t="s">
        <v>60</v>
      </c>
      <c r="M398" s="1" t="s">
        <v>29</v>
      </c>
      <c r="N398" s="1" t="s">
        <v>30</v>
      </c>
      <c r="O398" s="1" t="s">
        <v>31</v>
      </c>
      <c r="P398" s="2">
        <v>45778</v>
      </c>
      <c r="Q398" s="1" t="s">
        <v>71</v>
      </c>
      <c r="R398" s="1" t="s">
        <v>955</v>
      </c>
      <c r="S398" s="1" t="s">
        <v>65</v>
      </c>
      <c r="T398" s="1" t="s">
        <v>35</v>
      </c>
      <c r="U398" s="1" t="s">
        <v>82</v>
      </c>
      <c r="V398" s="1" t="s">
        <v>89</v>
      </c>
      <c r="W398">
        <v>2.4</v>
      </c>
      <c r="X398" s="1">
        <f t="shared" si="12"/>
        <v>8551.6499999999451</v>
      </c>
      <c r="Y398" s="1">
        <f t="shared" si="13"/>
        <v>7204.2099999999582</v>
      </c>
    </row>
    <row r="399" spans="1:25" x14ac:dyDescent="0.3">
      <c r="A399" s="1" t="s">
        <v>956</v>
      </c>
      <c r="B399">
        <v>1</v>
      </c>
      <c r="C399">
        <v>30.99</v>
      </c>
      <c r="D399">
        <v>30.99</v>
      </c>
      <c r="E399" s="1" t="s">
        <v>200</v>
      </c>
      <c r="F399" s="1" t="s">
        <v>40</v>
      </c>
      <c r="G399">
        <v>3</v>
      </c>
      <c r="H399" s="1" t="s">
        <v>26</v>
      </c>
      <c r="I399" s="1" t="s">
        <v>42</v>
      </c>
      <c r="J399">
        <v>10.5</v>
      </c>
      <c r="K399">
        <v>30.99</v>
      </c>
      <c r="L399" s="1" t="s">
        <v>28</v>
      </c>
      <c r="M399" s="1" t="s">
        <v>43</v>
      </c>
      <c r="N399" s="1" t="s">
        <v>44</v>
      </c>
      <c r="O399" s="1" t="s">
        <v>31</v>
      </c>
      <c r="P399" s="2">
        <v>45823</v>
      </c>
      <c r="Q399" s="1" t="s">
        <v>957</v>
      </c>
      <c r="R399" s="1" t="s">
        <v>958</v>
      </c>
      <c r="S399" s="1" t="s">
        <v>105</v>
      </c>
      <c r="T399" s="1" t="s">
        <v>35</v>
      </c>
      <c r="U399" s="1" t="s">
        <v>66</v>
      </c>
      <c r="V399" s="1" t="s">
        <v>37</v>
      </c>
      <c r="W399">
        <v>2</v>
      </c>
      <c r="X399" s="1">
        <f t="shared" si="12"/>
        <v>8313.6899999999459</v>
      </c>
      <c r="Y399" s="1">
        <f t="shared" si="13"/>
        <v>6397.4799999999632</v>
      </c>
    </row>
    <row r="400" spans="1:25" x14ac:dyDescent="0.3">
      <c r="A400" s="1" t="s">
        <v>959</v>
      </c>
      <c r="B400">
        <v>1</v>
      </c>
      <c r="C400">
        <v>30.99</v>
      </c>
      <c r="D400">
        <v>30.99</v>
      </c>
      <c r="E400" s="1" t="s">
        <v>348</v>
      </c>
      <c r="F400" s="1" t="s">
        <v>51</v>
      </c>
      <c r="G400">
        <v>0</v>
      </c>
      <c r="H400" s="1" t="s">
        <v>58</v>
      </c>
      <c r="I400" s="1" t="s">
        <v>42</v>
      </c>
      <c r="J400">
        <v>10.5</v>
      </c>
      <c r="K400">
        <v>30.99</v>
      </c>
      <c r="L400" s="1" t="s">
        <v>28</v>
      </c>
      <c r="M400" s="1" t="s">
        <v>43</v>
      </c>
      <c r="N400" s="1" t="s">
        <v>44</v>
      </c>
      <c r="O400" s="1" t="s">
        <v>31</v>
      </c>
      <c r="P400" s="2">
        <v>45823</v>
      </c>
      <c r="Q400" s="1" t="s">
        <v>960</v>
      </c>
      <c r="R400" s="1" t="s">
        <v>961</v>
      </c>
      <c r="S400" s="1" t="s">
        <v>47</v>
      </c>
      <c r="T400" s="1" t="s">
        <v>35</v>
      </c>
      <c r="U400" s="1" t="s">
        <v>48</v>
      </c>
      <c r="V400" s="1" t="s">
        <v>37</v>
      </c>
      <c r="W400">
        <v>2</v>
      </c>
      <c r="X400" s="1">
        <f t="shared" si="12"/>
        <v>8640.6199999999462</v>
      </c>
      <c r="Y400" s="1">
        <f t="shared" si="13"/>
        <v>7682.919999999951</v>
      </c>
    </row>
    <row r="401" spans="1:25" x14ac:dyDescent="0.3">
      <c r="A401" s="1" t="s">
        <v>962</v>
      </c>
      <c r="B401">
        <v>1</v>
      </c>
      <c r="C401">
        <v>27.99</v>
      </c>
      <c r="D401">
        <v>27.99</v>
      </c>
      <c r="E401" s="1" t="s">
        <v>121</v>
      </c>
      <c r="F401" s="1" t="s">
        <v>40</v>
      </c>
      <c r="G401">
        <v>3</v>
      </c>
      <c r="H401" s="1" t="s">
        <v>41</v>
      </c>
      <c r="I401" s="1" t="s">
        <v>75</v>
      </c>
      <c r="J401">
        <v>9</v>
      </c>
      <c r="K401">
        <v>27.99</v>
      </c>
      <c r="L401" s="1" t="s">
        <v>28</v>
      </c>
      <c r="M401" s="1" t="s">
        <v>61</v>
      </c>
      <c r="N401" s="1" t="s">
        <v>62</v>
      </c>
      <c r="O401" s="1" t="s">
        <v>31</v>
      </c>
      <c r="P401" s="2">
        <v>45726</v>
      </c>
      <c r="Q401" s="1" t="s">
        <v>745</v>
      </c>
      <c r="R401" s="1" t="s">
        <v>746</v>
      </c>
      <c r="S401" s="1" t="s">
        <v>105</v>
      </c>
      <c r="T401" s="1" t="s">
        <v>35</v>
      </c>
      <c r="U401" s="1" t="s">
        <v>48</v>
      </c>
      <c r="V401" s="1" t="s">
        <v>37</v>
      </c>
      <c r="W401">
        <v>2</v>
      </c>
      <c r="X401" s="1">
        <f t="shared" si="12"/>
        <v>8551.6499999999451</v>
      </c>
      <c r="Y401" s="1">
        <f t="shared" si="13"/>
        <v>7682.919999999951</v>
      </c>
    </row>
    <row r="402" spans="1:25" x14ac:dyDescent="0.3">
      <c r="A402" s="1" t="s">
        <v>963</v>
      </c>
      <c r="B402">
        <v>1</v>
      </c>
      <c r="C402">
        <v>18.989999999999998</v>
      </c>
      <c r="D402">
        <v>18.989999999999998</v>
      </c>
      <c r="E402" s="1" t="s">
        <v>964</v>
      </c>
      <c r="F402" s="1" t="s">
        <v>25</v>
      </c>
      <c r="G402">
        <v>13</v>
      </c>
      <c r="H402" s="1" t="s">
        <v>96</v>
      </c>
      <c r="I402" s="1" t="s">
        <v>97</v>
      </c>
      <c r="J402">
        <v>6</v>
      </c>
      <c r="K402">
        <v>18.989999999999998</v>
      </c>
      <c r="L402" s="1" t="s">
        <v>60</v>
      </c>
      <c r="M402" s="1" t="s">
        <v>43</v>
      </c>
      <c r="N402" s="1" t="s">
        <v>44</v>
      </c>
      <c r="O402" s="1" t="s">
        <v>31</v>
      </c>
      <c r="P402" s="2">
        <v>45823</v>
      </c>
      <c r="Q402" s="1" t="s">
        <v>965</v>
      </c>
      <c r="R402" s="1" t="s">
        <v>966</v>
      </c>
      <c r="S402" s="1" t="s">
        <v>65</v>
      </c>
      <c r="T402" s="1" t="s">
        <v>35</v>
      </c>
      <c r="U402" s="1" t="s">
        <v>36</v>
      </c>
      <c r="V402" s="1" t="s">
        <v>100</v>
      </c>
      <c r="W402">
        <v>3.2</v>
      </c>
      <c r="X402" s="1">
        <f t="shared" si="12"/>
        <v>7844.9099999999507</v>
      </c>
      <c r="Y402" s="1">
        <f t="shared" si="13"/>
        <v>6355.4899999999634</v>
      </c>
    </row>
    <row r="403" spans="1:25" x14ac:dyDescent="0.3">
      <c r="A403" s="1" t="s">
        <v>967</v>
      </c>
      <c r="B403">
        <v>1</v>
      </c>
      <c r="C403">
        <v>18.989999999999998</v>
      </c>
      <c r="D403">
        <v>18.989999999999998</v>
      </c>
      <c r="E403" s="1" t="s">
        <v>968</v>
      </c>
      <c r="F403" s="1" t="s">
        <v>40</v>
      </c>
      <c r="G403">
        <v>13</v>
      </c>
      <c r="H403" s="1" t="s">
        <v>58</v>
      </c>
      <c r="I403" s="1" t="s">
        <v>97</v>
      </c>
      <c r="J403">
        <v>6</v>
      </c>
      <c r="K403">
        <v>18.989999999999998</v>
      </c>
      <c r="L403" s="1" t="s">
        <v>60</v>
      </c>
      <c r="M403" s="1" t="s">
        <v>43</v>
      </c>
      <c r="N403" s="1" t="s">
        <v>44</v>
      </c>
      <c r="O403" s="1" t="s">
        <v>31</v>
      </c>
      <c r="P403" s="2">
        <v>45823</v>
      </c>
      <c r="Q403" s="1" t="s">
        <v>969</v>
      </c>
      <c r="R403" s="1" t="s">
        <v>970</v>
      </c>
      <c r="S403" s="1" t="s">
        <v>105</v>
      </c>
      <c r="T403" s="1" t="s">
        <v>35</v>
      </c>
      <c r="U403" s="1" t="s">
        <v>36</v>
      </c>
      <c r="V403" s="1" t="s">
        <v>100</v>
      </c>
      <c r="W403">
        <v>3.2</v>
      </c>
      <c r="X403" s="1">
        <f t="shared" si="12"/>
        <v>8640.6199999999462</v>
      </c>
      <c r="Y403" s="1">
        <f t="shared" si="13"/>
        <v>6355.4899999999634</v>
      </c>
    </row>
    <row r="404" spans="1:25" x14ac:dyDescent="0.3">
      <c r="A404" s="1" t="s">
        <v>971</v>
      </c>
      <c r="B404">
        <v>1</v>
      </c>
      <c r="C404">
        <v>34.99</v>
      </c>
      <c r="D404">
        <v>34.99</v>
      </c>
      <c r="E404" s="1" t="s">
        <v>84</v>
      </c>
      <c r="F404" s="1" t="s">
        <v>51</v>
      </c>
      <c r="G404">
        <v>0</v>
      </c>
      <c r="H404" s="1" t="s">
        <v>96</v>
      </c>
      <c r="I404" s="1" t="s">
        <v>85</v>
      </c>
      <c r="J404">
        <v>12.5</v>
      </c>
      <c r="K404">
        <v>34.99</v>
      </c>
      <c r="L404" s="1" t="s">
        <v>60</v>
      </c>
      <c r="M404" s="1" t="s">
        <v>29</v>
      </c>
      <c r="N404" s="1" t="s">
        <v>30</v>
      </c>
      <c r="O404" s="1" t="s">
        <v>31</v>
      </c>
      <c r="P404" s="2">
        <v>45778</v>
      </c>
      <c r="Q404" s="1" t="s">
        <v>972</v>
      </c>
      <c r="R404" s="1" t="s">
        <v>973</v>
      </c>
      <c r="S404" s="1" t="s">
        <v>65</v>
      </c>
      <c r="T404" s="1" t="s">
        <v>35</v>
      </c>
      <c r="U404" s="1" t="s">
        <v>82</v>
      </c>
      <c r="V404" s="1" t="s">
        <v>89</v>
      </c>
      <c r="W404">
        <v>2.4</v>
      </c>
      <c r="X404" s="1">
        <f t="shared" si="12"/>
        <v>7844.9099999999507</v>
      </c>
      <c r="Y404" s="1">
        <f t="shared" si="13"/>
        <v>7204.2099999999582</v>
      </c>
    </row>
    <row r="405" spans="1:25" x14ac:dyDescent="0.3">
      <c r="A405" s="1" t="s">
        <v>974</v>
      </c>
      <c r="B405">
        <v>3</v>
      </c>
      <c r="C405">
        <v>27.99</v>
      </c>
      <c r="D405">
        <v>67.569999999999993</v>
      </c>
      <c r="E405" s="1" t="s">
        <v>419</v>
      </c>
      <c r="F405" s="1" t="s">
        <v>40</v>
      </c>
      <c r="G405">
        <v>2</v>
      </c>
      <c r="H405" s="1" t="s">
        <v>58</v>
      </c>
      <c r="I405" s="1" t="s">
        <v>75</v>
      </c>
      <c r="J405">
        <v>9</v>
      </c>
      <c r="K405">
        <v>27.99</v>
      </c>
      <c r="L405" s="1" t="s">
        <v>28</v>
      </c>
      <c r="M405" s="1" t="s">
        <v>61</v>
      </c>
      <c r="N405" s="1" t="s">
        <v>62</v>
      </c>
      <c r="O405" s="1" t="s">
        <v>31</v>
      </c>
      <c r="P405" s="2">
        <v>45726</v>
      </c>
      <c r="Q405" s="1" t="s">
        <v>975</v>
      </c>
      <c r="R405" s="1" t="s">
        <v>976</v>
      </c>
      <c r="S405" s="1" t="s">
        <v>54</v>
      </c>
      <c r="T405" s="1" t="s">
        <v>35</v>
      </c>
      <c r="U405" s="1" t="s">
        <v>66</v>
      </c>
      <c r="V405" s="1" t="s">
        <v>37</v>
      </c>
      <c r="W405">
        <v>2</v>
      </c>
      <c r="X405" s="1">
        <f t="shared" si="12"/>
        <v>8640.6199999999462</v>
      </c>
      <c r="Y405" s="1">
        <f t="shared" si="13"/>
        <v>6397.4799999999632</v>
      </c>
    </row>
    <row r="406" spans="1:25" x14ac:dyDescent="0.3">
      <c r="A406" s="1" t="s">
        <v>977</v>
      </c>
      <c r="B406">
        <v>3</v>
      </c>
      <c r="C406">
        <v>30.99</v>
      </c>
      <c r="D406">
        <v>73.459999999999994</v>
      </c>
      <c r="E406" s="1" t="s">
        <v>978</v>
      </c>
      <c r="F406" s="1" t="s">
        <v>40</v>
      </c>
      <c r="G406">
        <v>3</v>
      </c>
      <c r="H406" s="1" t="s">
        <v>58</v>
      </c>
      <c r="I406" s="1" t="s">
        <v>42</v>
      </c>
      <c r="J406">
        <v>10.5</v>
      </c>
      <c r="K406">
        <v>30.99</v>
      </c>
      <c r="L406" s="1" t="s">
        <v>28</v>
      </c>
      <c r="M406" s="1" t="s">
        <v>43</v>
      </c>
      <c r="N406" s="1" t="s">
        <v>44</v>
      </c>
      <c r="O406" s="1" t="s">
        <v>31</v>
      </c>
      <c r="P406" s="2">
        <v>45823</v>
      </c>
      <c r="Q406" s="1" t="s">
        <v>979</v>
      </c>
      <c r="R406" s="1" t="s">
        <v>980</v>
      </c>
      <c r="S406" s="1" t="s">
        <v>105</v>
      </c>
      <c r="T406" s="1" t="s">
        <v>35</v>
      </c>
      <c r="U406" s="1" t="s">
        <v>82</v>
      </c>
      <c r="V406" s="1" t="s">
        <v>37</v>
      </c>
      <c r="W406">
        <v>2</v>
      </c>
      <c r="X406" s="1">
        <f t="shared" si="12"/>
        <v>8640.6199999999462</v>
      </c>
      <c r="Y406" s="1">
        <f t="shared" si="13"/>
        <v>7204.2099999999582</v>
      </c>
    </row>
    <row r="407" spans="1:25" x14ac:dyDescent="0.3">
      <c r="A407" s="1" t="s">
        <v>981</v>
      </c>
      <c r="B407">
        <v>1</v>
      </c>
      <c r="C407">
        <v>21.99</v>
      </c>
      <c r="D407">
        <v>21.99</v>
      </c>
      <c r="E407" s="1" t="s">
        <v>982</v>
      </c>
      <c r="F407" s="1" t="s">
        <v>40</v>
      </c>
      <c r="G407">
        <v>3</v>
      </c>
      <c r="H407" s="1" t="s">
        <v>58</v>
      </c>
      <c r="I407" s="1" t="s">
        <v>27</v>
      </c>
      <c r="J407">
        <v>7</v>
      </c>
      <c r="K407">
        <v>21.99</v>
      </c>
      <c r="L407" s="1" t="s">
        <v>28</v>
      </c>
      <c r="M407" s="1" t="s">
        <v>29</v>
      </c>
      <c r="N407" s="1" t="s">
        <v>30</v>
      </c>
      <c r="O407" s="1" t="s">
        <v>31</v>
      </c>
      <c r="P407" s="2">
        <v>45778</v>
      </c>
      <c r="Q407" s="1" t="s">
        <v>654</v>
      </c>
      <c r="R407" s="1" t="s">
        <v>983</v>
      </c>
      <c r="S407" s="1" t="s">
        <v>88</v>
      </c>
      <c r="T407" s="1" t="s">
        <v>35</v>
      </c>
      <c r="U407" s="1" t="s">
        <v>48</v>
      </c>
      <c r="V407" s="1" t="s">
        <v>37</v>
      </c>
      <c r="W407">
        <v>2</v>
      </c>
      <c r="X407" s="1">
        <f t="shared" si="12"/>
        <v>8640.6199999999462</v>
      </c>
      <c r="Y407" s="1">
        <f t="shared" si="13"/>
        <v>7682.919999999951</v>
      </c>
    </row>
    <row r="408" spans="1:25" x14ac:dyDescent="0.3">
      <c r="A408" s="1" t="s">
        <v>984</v>
      </c>
      <c r="B408">
        <v>2</v>
      </c>
      <c r="C408">
        <v>27.99</v>
      </c>
      <c r="D408">
        <v>48.29</v>
      </c>
      <c r="E408" s="1" t="s">
        <v>985</v>
      </c>
      <c r="F408" s="1" t="s">
        <v>40</v>
      </c>
      <c r="G408">
        <v>8</v>
      </c>
      <c r="H408" s="1" t="s">
        <v>58</v>
      </c>
      <c r="I408" s="1" t="s">
        <v>75</v>
      </c>
      <c r="J408">
        <v>9</v>
      </c>
      <c r="K408">
        <v>27.99</v>
      </c>
      <c r="L408" s="1" t="s">
        <v>28</v>
      </c>
      <c r="M408" s="1" t="s">
        <v>61</v>
      </c>
      <c r="N408" s="1" t="s">
        <v>62</v>
      </c>
      <c r="O408" s="1" t="s">
        <v>31</v>
      </c>
      <c r="P408" s="2">
        <v>45726</v>
      </c>
      <c r="Q408" s="1" t="s">
        <v>986</v>
      </c>
      <c r="R408" s="1" t="s">
        <v>987</v>
      </c>
      <c r="S408" s="1" t="s">
        <v>105</v>
      </c>
      <c r="T408" s="1" t="s">
        <v>35</v>
      </c>
      <c r="U408" s="1" t="s">
        <v>82</v>
      </c>
      <c r="V408" s="1" t="s">
        <v>37</v>
      </c>
      <c r="W408">
        <v>2</v>
      </c>
      <c r="X408" s="1">
        <f t="shared" si="12"/>
        <v>8640.6199999999462</v>
      </c>
      <c r="Y408" s="1">
        <f t="shared" si="13"/>
        <v>7204.2099999999582</v>
      </c>
    </row>
    <row r="409" spans="1:25" x14ac:dyDescent="0.3">
      <c r="A409" s="1" t="s">
        <v>988</v>
      </c>
      <c r="B409">
        <v>1</v>
      </c>
      <c r="C409">
        <v>34.99</v>
      </c>
      <c r="D409">
        <v>34.99</v>
      </c>
      <c r="E409" s="1" t="s">
        <v>989</v>
      </c>
      <c r="F409" s="1" t="s">
        <v>40</v>
      </c>
      <c r="G409">
        <v>8</v>
      </c>
      <c r="H409" s="1" t="s">
        <v>26</v>
      </c>
      <c r="I409" s="1" t="s">
        <v>85</v>
      </c>
      <c r="J409">
        <v>12.5</v>
      </c>
      <c r="K409">
        <v>34.99</v>
      </c>
      <c r="L409" s="1" t="s">
        <v>60</v>
      </c>
      <c r="M409" s="1" t="s">
        <v>29</v>
      </c>
      <c r="N409" s="1" t="s">
        <v>30</v>
      </c>
      <c r="O409" s="1" t="s">
        <v>31</v>
      </c>
      <c r="P409" s="2">
        <v>45778</v>
      </c>
      <c r="Q409" s="1" t="s">
        <v>990</v>
      </c>
      <c r="R409" s="1" t="s">
        <v>991</v>
      </c>
      <c r="S409" s="1" t="s">
        <v>54</v>
      </c>
      <c r="T409" s="1" t="s">
        <v>35</v>
      </c>
      <c r="U409" s="1" t="s">
        <v>48</v>
      </c>
      <c r="V409" s="1" t="s">
        <v>89</v>
      </c>
      <c r="W409">
        <v>2.4</v>
      </c>
      <c r="X409" s="1">
        <f t="shared" si="12"/>
        <v>8313.6899999999459</v>
      </c>
      <c r="Y409" s="1">
        <f t="shared" si="13"/>
        <v>7682.919999999951</v>
      </c>
    </row>
    <row r="410" spans="1:25" x14ac:dyDescent="0.3">
      <c r="A410" s="1" t="s">
        <v>992</v>
      </c>
      <c r="B410">
        <v>1</v>
      </c>
      <c r="C410">
        <v>21.99</v>
      </c>
      <c r="D410">
        <v>21.99</v>
      </c>
      <c r="E410" s="1" t="s">
        <v>246</v>
      </c>
      <c r="F410" s="1" t="s">
        <v>40</v>
      </c>
      <c r="G410">
        <v>7</v>
      </c>
      <c r="H410" s="1" t="s">
        <v>41</v>
      </c>
      <c r="I410" s="1" t="s">
        <v>27</v>
      </c>
      <c r="J410">
        <v>7</v>
      </c>
      <c r="K410">
        <v>21.99</v>
      </c>
      <c r="L410" s="1" t="s">
        <v>28</v>
      </c>
      <c r="M410" s="1" t="s">
        <v>29</v>
      </c>
      <c r="N410" s="1" t="s">
        <v>30</v>
      </c>
      <c r="O410" s="1" t="s">
        <v>31</v>
      </c>
      <c r="P410" s="2">
        <v>45778</v>
      </c>
      <c r="Q410" s="1" t="s">
        <v>373</v>
      </c>
      <c r="R410" s="1" t="s">
        <v>993</v>
      </c>
      <c r="S410" s="1" t="s">
        <v>34</v>
      </c>
      <c r="T410" s="1" t="s">
        <v>35</v>
      </c>
      <c r="U410" s="1" t="s">
        <v>48</v>
      </c>
      <c r="V410" s="1" t="s">
        <v>37</v>
      </c>
      <c r="W410">
        <v>2</v>
      </c>
      <c r="X410" s="1">
        <f t="shared" si="12"/>
        <v>8551.6499999999451</v>
      </c>
      <c r="Y410" s="1">
        <f t="shared" si="13"/>
        <v>7682.919999999951</v>
      </c>
    </row>
    <row r="411" spans="1:25" x14ac:dyDescent="0.3">
      <c r="A411" s="1" t="s">
        <v>994</v>
      </c>
      <c r="B411">
        <v>1</v>
      </c>
      <c r="C411">
        <v>30.99</v>
      </c>
      <c r="D411">
        <v>30.99</v>
      </c>
      <c r="E411" s="1" t="s">
        <v>995</v>
      </c>
      <c r="F411" s="1" t="s">
        <v>40</v>
      </c>
      <c r="G411">
        <v>4</v>
      </c>
      <c r="H411" s="1" t="s">
        <v>26</v>
      </c>
      <c r="I411" s="1" t="s">
        <v>42</v>
      </c>
      <c r="J411">
        <v>10.5</v>
      </c>
      <c r="K411">
        <v>30.99</v>
      </c>
      <c r="L411" s="1" t="s">
        <v>28</v>
      </c>
      <c r="M411" s="1" t="s">
        <v>43</v>
      </c>
      <c r="N411" s="1" t="s">
        <v>44</v>
      </c>
      <c r="O411" s="1" t="s">
        <v>31</v>
      </c>
      <c r="P411" s="2">
        <v>45823</v>
      </c>
      <c r="Q411" s="1" t="s">
        <v>909</v>
      </c>
      <c r="R411" s="1" t="s">
        <v>996</v>
      </c>
      <c r="S411" s="1" t="s">
        <v>88</v>
      </c>
      <c r="T411" s="1" t="s">
        <v>35</v>
      </c>
      <c r="U411" s="1" t="s">
        <v>66</v>
      </c>
      <c r="V411" s="1" t="s">
        <v>37</v>
      </c>
      <c r="W411">
        <v>2</v>
      </c>
      <c r="X411" s="1">
        <f t="shared" si="12"/>
        <v>8313.6899999999459</v>
      </c>
      <c r="Y411" s="1">
        <f t="shared" si="13"/>
        <v>6397.4799999999632</v>
      </c>
    </row>
    <row r="412" spans="1:25" x14ac:dyDescent="0.3">
      <c r="A412" s="1" t="s">
        <v>997</v>
      </c>
      <c r="B412">
        <v>1</v>
      </c>
      <c r="C412">
        <v>16.989999999999998</v>
      </c>
      <c r="D412">
        <v>16.989999999999998</v>
      </c>
      <c r="E412" s="1" t="s">
        <v>331</v>
      </c>
      <c r="F412" s="1" t="s">
        <v>40</v>
      </c>
      <c r="G412">
        <v>19</v>
      </c>
      <c r="H412" s="1" t="s">
        <v>26</v>
      </c>
      <c r="I412" s="1" t="s">
        <v>59</v>
      </c>
      <c r="J412">
        <v>5</v>
      </c>
      <c r="K412">
        <v>16.989999999999998</v>
      </c>
      <c r="L412" s="1" t="s">
        <v>60</v>
      </c>
      <c r="M412" s="1" t="s">
        <v>61</v>
      </c>
      <c r="N412" s="1" t="s">
        <v>62</v>
      </c>
      <c r="O412" s="1" t="s">
        <v>31</v>
      </c>
      <c r="P412" s="2">
        <v>45726</v>
      </c>
      <c r="Q412" s="1" t="s">
        <v>385</v>
      </c>
      <c r="R412" s="1" t="s">
        <v>998</v>
      </c>
      <c r="S412" s="1" t="s">
        <v>54</v>
      </c>
      <c r="T412" s="1" t="s">
        <v>35</v>
      </c>
      <c r="U412" s="1" t="s">
        <v>48</v>
      </c>
      <c r="V412" s="1" t="s">
        <v>67</v>
      </c>
      <c r="W412">
        <v>3</v>
      </c>
      <c r="X412" s="1">
        <f t="shared" si="12"/>
        <v>8313.6899999999459</v>
      </c>
      <c r="Y412" s="1">
        <f t="shared" si="13"/>
        <v>7682.919999999951</v>
      </c>
    </row>
    <row r="413" spans="1:25" x14ac:dyDescent="0.3">
      <c r="A413" s="1" t="s">
        <v>999</v>
      </c>
      <c r="B413">
        <v>1</v>
      </c>
      <c r="C413">
        <v>16.989999999999998</v>
      </c>
      <c r="D413">
        <v>16.989999999999998</v>
      </c>
      <c r="E413" s="1" t="s">
        <v>1000</v>
      </c>
      <c r="F413" s="1" t="s">
        <v>40</v>
      </c>
      <c r="G413">
        <v>18</v>
      </c>
      <c r="H413" s="1" t="s">
        <v>41</v>
      </c>
      <c r="I413" s="1" t="s">
        <v>59</v>
      </c>
      <c r="J413">
        <v>5</v>
      </c>
      <c r="K413">
        <v>16.989999999999998</v>
      </c>
      <c r="L413" s="1" t="s">
        <v>60</v>
      </c>
      <c r="M413" s="1" t="s">
        <v>61</v>
      </c>
      <c r="N413" s="1" t="s">
        <v>62</v>
      </c>
      <c r="O413" s="1" t="s">
        <v>31</v>
      </c>
      <c r="P413" s="2">
        <v>45726</v>
      </c>
      <c r="Q413" s="1" t="s">
        <v>873</v>
      </c>
      <c r="R413" s="1" t="s">
        <v>874</v>
      </c>
      <c r="S413" s="1" t="s">
        <v>105</v>
      </c>
      <c r="T413" s="1" t="s">
        <v>35</v>
      </c>
      <c r="U413" s="1" t="s">
        <v>48</v>
      </c>
      <c r="V413" s="1" t="s">
        <v>67</v>
      </c>
      <c r="W413">
        <v>3</v>
      </c>
      <c r="X413" s="1">
        <f t="shared" si="12"/>
        <v>8551.6499999999451</v>
      </c>
      <c r="Y413" s="1">
        <f t="shared" si="13"/>
        <v>7682.919999999951</v>
      </c>
    </row>
    <row r="414" spans="1:25" x14ac:dyDescent="0.3">
      <c r="A414" s="1" t="s">
        <v>1001</v>
      </c>
      <c r="B414">
        <v>3</v>
      </c>
      <c r="C414">
        <v>21.99</v>
      </c>
      <c r="D414">
        <v>52.35</v>
      </c>
      <c r="E414" s="1" t="s">
        <v>1002</v>
      </c>
      <c r="F414" s="1" t="s">
        <v>51</v>
      </c>
      <c r="G414">
        <v>0</v>
      </c>
      <c r="H414" s="1" t="s">
        <v>41</v>
      </c>
      <c r="I414" s="1" t="s">
        <v>27</v>
      </c>
      <c r="J414">
        <v>7</v>
      </c>
      <c r="K414">
        <v>21.99</v>
      </c>
      <c r="L414" s="1" t="s">
        <v>28</v>
      </c>
      <c r="M414" s="1" t="s">
        <v>29</v>
      </c>
      <c r="N414" s="1" t="s">
        <v>30</v>
      </c>
      <c r="O414" s="1" t="s">
        <v>31</v>
      </c>
      <c r="P414" s="2">
        <v>45778</v>
      </c>
      <c r="Q414" s="1" t="s">
        <v>1003</v>
      </c>
      <c r="R414" s="1" t="s">
        <v>1004</v>
      </c>
      <c r="S414" s="1" t="s">
        <v>88</v>
      </c>
      <c r="T414" s="1" t="s">
        <v>35</v>
      </c>
      <c r="U414" s="1" t="s">
        <v>82</v>
      </c>
      <c r="V414" s="1" t="s">
        <v>37</v>
      </c>
      <c r="W414">
        <v>2</v>
      </c>
      <c r="X414" s="1">
        <f t="shared" si="12"/>
        <v>8551.6499999999451</v>
      </c>
      <c r="Y414" s="1">
        <f t="shared" si="13"/>
        <v>7204.2099999999582</v>
      </c>
    </row>
    <row r="415" spans="1:25" x14ac:dyDescent="0.3">
      <c r="A415" s="1" t="s">
        <v>1005</v>
      </c>
      <c r="B415">
        <v>1</v>
      </c>
      <c r="C415">
        <v>21.99</v>
      </c>
      <c r="D415">
        <v>21.99</v>
      </c>
      <c r="E415" s="1" t="s">
        <v>1006</v>
      </c>
      <c r="F415" s="1" t="s">
        <v>40</v>
      </c>
      <c r="G415">
        <v>3</v>
      </c>
      <c r="H415" s="1" t="s">
        <v>26</v>
      </c>
      <c r="I415" s="1" t="s">
        <v>27</v>
      </c>
      <c r="J415">
        <v>7</v>
      </c>
      <c r="K415">
        <v>21.99</v>
      </c>
      <c r="L415" s="1" t="s">
        <v>28</v>
      </c>
      <c r="M415" s="1" t="s">
        <v>29</v>
      </c>
      <c r="N415" s="1" t="s">
        <v>30</v>
      </c>
      <c r="O415" s="1" t="s">
        <v>31</v>
      </c>
      <c r="P415" s="2">
        <v>45778</v>
      </c>
      <c r="Q415" s="1" t="s">
        <v>836</v>
      </c>
      <c r="R415" s="1" t="s">
        <v>837</v>
      </c>
      <c r="S415" s="1" t="s">
        <v>105</v>
      </c>
      <c r="T415" s="1" t="s">
        <v>35</v>
      </c>
      <c r="U415" s="1" t="s">
        <v>55</v>
      </c>
      <c r="V415" s="1" t="s">
        <v>37</v>
      </c>
      <c r="W415">
        <v>2</v>
      </c>
      <c r="X415" s="1">
        <f t="shared" si="12"/>
        <v>8313.6899999999459</v>
      </c>
      <c r="Y415" s="1">
        <f t="shared" si="13"/>
        <v>5710.7699999999695</v>
      </c>
    </row>
    <row r="416" spans="1:25" x14ac:dyDescent="0.3">
      <c r="A416" s="1" t="s">
        <v>1007</v>
      </c>
      <c r="B416">
        <v>1</v>
      </c>
      <c r="C416">
        <v>18.989999999999998</v>
      </c>
      <c r="D416">
        <v>18.989999999999998</v>
      </c>
      <c r="E416" s="1" t="s">
        <v>1008</v>
      </c>
      <c r="F416" s="1" t="s">
        <v>40</v>
      </c>
      <c r="G416">
        <v>11</v>
      </c>
      <c r="H416" s="1" t="s">
        <v>41</v>
      </c>
      <c r="I416" s="1" t="s">
        <v>97</v>
      </c>
      <c r="J416">
        <v>6</v>
      </c>
      <c r="K416">
        <v>18.989999999999998</v>
      </c>
      <c r="L416" s="1" t="s">
        <v>60</v>
      </c>
      <c r="M416" s="1" t="s">
        <v>43</v>
      </c>
      <c r="N416" s="1" t="s">
        <v>44</v>
      </c>
      <c r="O416" s="1" t="s">
        <v>31</v>
      </c>
      <c r="P416" s="2">
        <v>45823</v>
      </c>
      <c r="Q416" s="1" t="s">
        <v>1009</v>
      </c>
      <c r="R416" s="1" t="s">
        <v>1010</v>
      </c>
      <c r="S416" s="1" t="s">
        <v>47</v>
      </c>
      <c r="T416" s="1" t="s">
        <v>35</v>
      </c>
      <c r="U416" s="1" t="s">
        <v>82</v>
      </c>
      <c r="V416" s="1" t="s">
        <v>100</v>
      </c>
      <c r="W416">
        <v>3.2</v>
      </c>
      <c r="X416" s="1">
        <f t="shared" si="12"/>
        <v>8551.6499999999451</v>
      </c>
      <c r="Y416" s="1">
        <f t="shared" si="13"/>
        <v>7204.2099999999582</v>
      </c>
    </row>
    <row r="417" spans="1:25" x14ac:dyDescent="0.3">
      <c r="A417" s="1" t="s">
        <v>1011</v>
      </c>
      <c r="B417">
        <v>1</v>
      </c>
      <c r="C417">
        <v>27.99</v>
      </c>
      <c r="D417">
        <v>27.99</v>
      </c>
      <c r="E417" s="1" t="s">
        <v>102</v>
      </c>
      <c r="F417" s="1" t="s">
        <v>40</v>
      </c>
      <c r="G417">
        <v>2</v>
      </c>
      <c r="H417" s="1" t="s">
        <v>41</v>
      </c>
      <c r="I417" s="1" t="s">
        <v>75</v>
      </c>
      <c r="J417">
        <v>9</v>
      </c>
      <c r="K417">
        <v>27.99</v>
      </c>
      <c r="L417" s="1" t="s">
        <v>28</v>
      </c>
      <c r="M417" s="1" t="s">
        <v>61</v>
      </c>
      <c r="N417" s="1" t="s">
        <v>62</v>
      </c>
      <c r="O417" s="1" t="s">
        <v>31</v>
      </c>
      <c r="P417" s="2">
        <v>45726</v>
      </c>
      <c r="Q417" s="1" t="s">
        <v>1012</v>
      </c>
      <c r="R417" s="1" t="s">
        <v>1013</v>
      </c>
      <c r="S417" s="1" t="s">
        <v>65</v>
      </c>
      <c r="T417" s="1" t="s">
        <v>35</v>
      </c>
      <c r="U417" s="1" t="s">
        <v>36</v>
      </c>
      <c r="V417" s="1" t="s">
        <v>37</v>
      </c>
      <c r="W417">
        <v>2</v>
      </c>
      <c r="X417" s="1">
        <f t="shared" si="12"/>
        <v>8551.6499999999451</v>
      </c>
      <c r="Y417" s="1">
        <f t="shared" si="13"/>
        <v>6355.4899999999634</v>
      </c>
    </row>
    <row r="418" spans="1:25" x14ac:dyDescent="0.3">
      <c r="A418" s="1" t="s">
        <v>1014</v>
      </c>
      <c r="B418">
        <v>2</v>
      </c>
      <c r="C418">
        <v>30.99</v>
      </c>
      <c r="D418">
        <v>53.58</v>
      </c>
      <c r="E418" s="1" t="s">
        <v>1015</v>
      </c>
      <c r="F418" s="1" t="s">
        <v>51</v>
      </c>
      <c r="G418">
        <v>0</v>
      </c>
      <c r="H418" s="1" t="s">
        <v>41</v>
      </c>
      <c r="I418" s="1" t="s">
        <v>42</v>
      </c>
      <c r="J418">
        <v>10.5</v>
      </c>
      <c r="K418">
        <v>30.99</v>
      </c>
      <c r="L418" s="1" t="s">
        <v>28</v>
      </c>
      <c r="M418" s="1" t="s">
        <v>43</v>
      </c>
      <c r="N418" s="1" t="s">
        <v>44</v>
      </c>
      <c r="O418" s="1" t="s">
        <v>31</v>
      </c>
      <c r="P418" s="2">
        <v>45823</v>
      </c>
      <c r="Q418" s="1" t="s">
        <v>189</v>
      </c>
      <c r="R418" s="1" t="s">
        <v>1016</v>
      </c>
      <c r="S418" s="1" t="s">
        <v>105</v>
      </c>
      <c r="T418" s="1" t="s">
        <v>35</v>
      </c>
      <c r="U418" s="1" t="s">
        <v>48</v>
      </c>
      <c r="V418" s="1" t="s">
        <v>37</v>
      </c>
      <c r="W418">
        <v>2</v>
      </c>
      <c r="X418" s="1">
        <f t="shared" si="12"/>
        <v>8551.6499999999451</v>
      </c>
      <c r="Y418" s="1">
        <f t="shared" si="13"/>
        <v>7682.919999999951</v>
      </c>
    </row>
    <row r="419" spans="1:25" x14ac:dyDescent="0.3">
      <c r="A419" s="1" t="s">
        <v>1017</v>
      </c>
      <c r="B419">
        <v>1</v>
      </c>
      <c r="C419">
        <v>30.99</v>
      </c>
      <c r="D419">
        <v>30.99</v>
      </c>
      <c r="E419" s="1" t="s">
        <v>923</v>
      </c>
      <c r="F419" s="1" t="s">
        <v>25</v>
      </c>
      <c r="G419">
        <v>2</v>
      </c>
      <c r="H419" s="1" t="s">
        <v>96</v>
      </c>
      <c r="I419" s="1" t="s">
        <v>42</v>
      </c>
      <c r="J419">
        <v>10.5</v>
      </c>
      <c r="K419">
        <v>30.99</v>
      </c>
      <c r="L419" s="1" t="s">
        <v>28</v>
      </c>
      <c r="M419" s="1" t="s">
        <v>43</v>
      </c>
      <c r="N419" s="1" t="s">
        <v>44</v>
      </c>
      <c r="O419" s="1" t="s">
        <v>31</v>
      </c>
      <c r="P419" s="2">
        <v>45823</v>
      </c>
      <c r="Q419" s="1" t="s">
        <v>1018</v>
      </c>
      <c r="R419" s="1" t="s">
        <v>1019</v>
      </c>
      <c r="S419" s="1" t="s">
        <v>34</v>
      </c>
      <c r="T419" s="1" t="s">
        <v>35</v>
      </c>
      <c r="U419" s="1" t="s">
        <v>82</v>
      </c>
      <c r="V419" s="1" t="s">
        <v>37</v>
      </c>
      <c r="W419">
        <v>2</v>
      </c>
      <c r="X419" s="1">
        <f t="shared" si="12"/>
        <v>7844.9099999999507</v>
      </c>
      <c r="Y419" s="1">
        <f t="shared" si="13"/>
        <v>7204.2099999999582</v>
      </c>
    </row>
    <row r="420" spans="1:25" x14ac:dyDescent="0.3">
      <c r="A420" s="1" t="s">
        <v>1020</v>
      </c>
      <c r="B420">
        <v>1</v>
      </c>
      <c r="C420">
        <v>27.99</v>
      </c>
      <c r="D420">
        <v>27.99</v>
      </c>
      <c r="E420" s="1" t="s">
        <v>731</v>
      </c>
      <c r="F420" s="1" t="s">
        <v>40</v>
      </c>
      <c r="G420">
        <v>2</v>
      </c>
      <c r="H420" s="1" t="s">
        <v>96</v>
      </c>
      <c r="I420" s="1" t="s">
        <v>75</v>
      </c>
      <c r="J420">
        <v>9</v>
      </c>
      <c r="K420">
        <v>27.99</v>
      </c>
      <c r="L420" s="1" t="s">
        <v>28</v>
      </c>
      <c r="M420" s="1" t="s">
        <v>61</v>
      </c>
      <c r="N420" s="1" t="s">
        <v>62</v>
      </c>
      <c r="O420" s="1" t="s">
        <v>31</v>
      </c>
      <c r="P420" s="2">
        <v>45726</v>
      </c>
      <c r="Q420" s="1" t="s">
        <v>1021</v>
      </c>
      <c r="R420" s="1" t="s">
        <v>1022</v>
      </c>
      <c r="S420" s="1" t="s">
        <v>54</v>
      </c>
      <c r="T420" s="1" t="s">
        <v>35</v>
      </c>
      <c r="U420" s="1" t="s">
        <v>82</v>
      </c>
      <c r="V420" s="1" t="s">
        <v>37</v>
      </c>
      <c r="W420">
        <v>2</v>
      </c>
      <c r="X420" s="1">
        <f t="shared" si="12"/>
        <v>7844.9099999999507</v>
      </c>
      <c r="Y420" s="1">
        <f t="shared" si="13"/>
        <v>7204.2099999999582</v>
      </c>
    </row>
    <row r="421" spans="1:25" x14ac:dyDescent="0.3">
      <c r="A421" s="1" t="s">
        <v>1023</v>
      </c>
      <c r="B421">
        <v>1</v>
      </c>
      <c r="C421">
        <v>21.99</v>
      </c>
      <c r="D421">
        <v>21.99</v>
      </c>
      <c r="E421" s="1" t="s">
        <v>881</v>
      </c>
      <c r="F421" s="1" t="s">
        <v>40</v>
      </c>
      <c r="G421">
        <v>2</v>
      </c>
      <c r="H421" s="1" t="s">
        <v>41</v>
      </c>
      <c r="I421" s="1" t="s">
        <v>27</v>
      </c>
      <c r="J421">
        <v>7</v>
      </c>
      <c r="K421">
        <v>21.99</v>
      </c>
      <c r="L421" s="1" t="s">
        <v>28</v>
      </c>
      <c r="M421" s="1" t="s">
        <v>29</v>
      </c>
      <c r="N421" s="1" t="s">
        <v>30</v>
      </c>
      <c r="O421" s="1" t="s">
        <v>31</v>
      </c>
      <c r="P421" s="2">
        <v>45778</v>
      </c>
      <c r="Q421" s="1" t="s">
        <v>1024</v>
      </c>
      <c r="R421" s="1" t="s">
        <v>1025</v>
      </c>
      <c r="S421" s="1" t="s">
        <v>34</v>
      </c>
      <c r="T421" s="1" t="s">
        <v>35</v>
      </c>
      <c r="U421" s="1" t="s">
        <v>66</v>
      </c>
      <c r="V421" s="1" t="s">
        <v>37</v>
      </c>
      <c r="W421">
        <v>2</v>
      </c>
      <c r="X421" s="1">
        <f t="shared" si="12"/>
        <v>8551.6499999999451</v>
      </c>
      <c r="Y421" s="1">
        <f t="shared" si="13"/>
        <v>6397.4799999999632</v>
      </c>
    </row>
    <row r="422" spans="1:25" x14ac:dyDescent="0.3">
      <c r="A422" s="1" t="s">
        <v>1026</v>
      </c>
      <c r="B422">
        <v>1</v>
      </c>
      <c r="C422">
        <v>18.989999999999998</v>
      </c>
      <c r="D422">
        <v>18.989999999999998</v>
      </c>
      <c r="E422" s="1" t="s">
        <v>1027</v>
      </c>
      <c r="F422" s="1" t="s">
        <v>51</v>
      </c>
      <c r="G422">
        <v>0</v>
      </c>
      <c r="H422" s="1" t="s">
        <v>26</v>
      </c>
      <c r="I422" s="1" t="s">
        <v>97</v>
      </c>
      <c r="J422">
        <v>6</v>
      </c>
      <c r="K422">
        <v>18.989999999999998</v>
      </c>
      <c r="L422" s="1" t="s">
        <v>60</v>
      </c>
      <c r="M422" s="1" t="s">
        <v>43</v>
      </c>
      <c r="N422" s="1" t="s">
        <v>44</v>
      </c>
      <c r="O422" s="1" t="s">
        <v>31</v>
      </c>
      <c r="P422" s="2">
        <v>45823</v>
      </c>
      <c r="Q422" s="1" t="s">
        <v>1028</v>
      </c>
      <c r="R422" s="1" t="s">
        <v>1029</v>
      </c>
      <c r="S422" s="1" t="s">
        <v>105</v>
      </c>
      <c r="T422" s="1" t="s">
        <v>35</v>
      </c>
      <c r="U422" s="1" t="s">
        <v>36</v>
      </c>
      <c r="V422" s="1" t="s">
        <v>100</v>
      </c>
      <c r="W422">
        <v>3.2</v>
      </c>
      <c r="X422" s="1">
        <f t="shared" si="12"/>
        <v>8313.6899999999459</v>
      </c>
      <c r="Y422" s="1">
        <f t="shared" si="13"/>
        <v>6355.4899999999634</v>
      </c>
    </row>
    <row r="423" spans="1:25" x14ac:dyDescent="0.3">
      <c r="A423" s="1" t="s">
        <v>1030</v>
      </c>
      <c r="B423">
        <v>3</v>
      </c>
      <c r="C423">
        <v>30.99</v>
      </c>
      <c r="D423">
        <v>73.31</v>
      </c>
      <c r="E423" s="1" t="s">
        <v>1031</v>
      </c>
      <c r="F423" s="1" t="s">
        <v>70</v>
      </c>
      <c r="G423">
        <v>0</v>
      </c>
      <c r="H423" s="1" t="s">
        <v>96</v>
      </c>
      <c r="I423" s="1" t="s">
        <v>42</v>
      </c>
      <c r="J423">
        <v>10.5</v>
      </c>
      <c r="K423">
        <v>30.99</v>
      </c>
      <c r="L423" s="1" t="s">
        <v>28</v>
      </c>
      <c r="M423" s="1" t="s">
        <v>43</v>
      </c>
      <c r="N423" s="1" t="s">
        <v>44</v>
      </c>
      <c r="O423" s="1" t="s">
        <v>31</v>
      </c>
      <c r="P423" s="2">
        <v>45823</v>
      </c>
      <c r="Q423" s="1" t="s">
        <v>1032</v>
      </c>
      <c r="R423" s="1" t="s">
        <v>1033</v>
      </c>
      <c r="S423" s="1" t="s">
        <v>105</v>
      </c>
      <c r="T423" s="1" t="s">
        <v>35</v>
      </c>
      <c r="U423" s="1" t="s">
        <v>55</v>
      </c>
      <c r="V423" s="1" t="s">
        <v>37</v>
      </c>
      <c r="W423">
        <v>2</v>
      </c>
      <c r="X423" s="1">
        <f t="shared" si="12"/>
        <v>7844.9099999999507</v>
      </c>
      <c r="Y423" s="1">
        <f t="shared" si="13"/>
        <v>5710.7699999999695</v>
      </c>
    </row>
    <row r="424" spans="1:25" x14ac:dyDescent="0.3">
      <c r="A424" s="1" t="s">
        <v>1034</v>
      </c>
      <c r="B424">
        <v>1</v>
      </c>
      <c r="C424">
        <v>16.989999999999998</v>
      </c>
      <c r="D424">
        <v>16.989999999999998</v>
      </c>
      <c r="E424" s="1" t="s">
        <v>181</v>
      </c>
      <c r="F424" s="1" t="s">
        <v>51</v>
      </c>
      <c r="G424">
        <v>0</v>
      </c>
      <c r="H424" s="1" t="s">
        <v>26</v>
      </c>
      <c r="I424" s="1" t="s">
        <v>59</v>
      </c>
      <c r="J424">
        <v>5</v>
      </c>
      <c r="K424">
        <v>16.989999999999998</v>
      </c>
      <c r="L424" s="1" t="s">
        <v>60</v>
      </c>
      <c r="M424" s="1" t="s">
        <v>61</v>
      </c>
      <c r="N424" s="1" t="s">
        <v>62</v>
      </c>
      <c r="O424" s="1" t="s">
        <v>31</v>
      </c>
      <c r="P424" s="2">
        <v>45726</v>
      </c>
      <c r="Q424" s="1" t="s">
        <v>1035</v>
      </c>
      <c r="R424" s="1" t="s">
        <v>1036</v>
      </c>
      <c r="S424" s="1" t="s">
        <v>54</v>
      </c>
      <c r="T424" s="1" t="s">
        <v>35</v>
      </c>
      <c r="U424" s="1" t="s">
        <v>66</v>
      </c>
      <c r="V424" s="1" t="s">
        <v>67</v>
      </c>
      <c r="W424">
        <v>3</v>
      </c>
      <c r="X424" s="1">
        <f t="shared" si="12"/>
        <v>8313.6899999999459</v>
      </c>
      <c r="Y424" s="1">
        <f t="shared" si="13"/>
        <v>6397.4799999999632</v>
      </c>
    </row>
    <row r="425" spans="1:25" x14ac:dyDescent="0.3">
      <c r="A425" s="1" t="s">
        <v>1037</v>
      </c>
      <c r="B425">
        <v>1</v>
      </c>
      <c r="C425">
        <v>30.99</v>
      </c>
      <c r="D425">
        <v>30.99</v>
      </c>
      <c r="E425" s="1" t="s">
        <v>248</v>
      </c>
      <c r="F425" s="1" t="s">
        <v>51</v>
      </c>
      <c r="G425">
        <v>0</v>
      </c>
      <c r="H425" s="1" t="s">
        <v>96</v>
      </c>
      <c r="I425" s="1" t="s">
        <v>42</v>
      </c>
      <c r="J425">
        <v>10.5</v>
      </c>
      <c r="K425">
        <v>30.99</v>
      </c>
      <c r="L425" s="1" t="s">
        <v>28</v>
      </c>
      <c r="M425" s="1" t="s">
        <v>43</v>
      </c>
      <c r="N425" s="1" t="s">
        <v>44</v>
      </c>
      <c r="O425" s="1" t="s">
        <v>31</v>
      </c>
      <c r="P425" s="2">
        <v>45823</v>
      </c>
      <c r="Q425" s="1" t="s">
        <v>804</v>
      </c>
      <c r="R425" s="1" t="s">
        <v>1038</v>
      </c>
      <c r="S425" s="1" t="s">
        <v>88</v>
      </c>
      <c r="T425" s="1" t="s">
        <v>35</v>
      </c>
      <c r="U425" s="1" t="s">
        <v>55</v>
      </c>
      <c r="V425" s="1" t="s">
        <v>37</v>
      </c>
      <c r="W425">
        <v>2</v>
      </c>
      <c r="X425" s="1">
        <f t="shared" si="12"/>
        <v>7844.9099999999507</v>
      </c>
      <c r="Y425" s="1">
        <f t="shared" si="13"/>
        <v>5710.7699999999695</v>
      </c>
    </row>
    <row r="426" spans="1:25" x14ac:dyDescent="0.3">
      <c r="A426" s="1" t="s">
        <v>1039</v>
      </c>
      <c r="B426">
        <v>1</v>
      </c>
      <c r="C426">
        <v>18.989999999999998</v>
      </c>
      <c r="D426">
        <v>18.989999999999998</v>
      </c>
      <c r="E426" s="1" t="s">
        <v>1040</v>
      </c>
      <c r="F426" s="1" t="s">
        <v>40</v>
      </c>
      <c r="G426">
        <v>17</v>
      </c>
      <c r="H426" s="1" t="s">
        <v>41</v>
      </c>
      <c r="I426" s="1" t="s">
        <v>97</v>
      </c>
      <c r="J426">
        <v>6</v>
      </c>
      <c r="K426">
        <v>18.989999999999998</v>
      </c>
      <c r="L426" s="1" t="s">
        <v>60</v>
      </c>
      <c r="M426" s="1" t="s">
        <v>43</v>
      </c>
      <c r="N426" s="1" t="s">
        <v>44</v>
      </c>
      <c r="O426" s="1" t="s">
        <v>31</v>
      </c>
      <c r="P426" s="2">
        <v>45823</v>
      </c>
      <c r="Q426" s="1" t="s">
        <v>814</v>
      </c>
      <c r="R426" s="1" t="s">
        <v>1041</v>
      </c>
      <c r="S426" s="1" t="s">
        <v>54</v>
      </c>
      <c r="T426" s="1" t="s">
        <v>35</v>
      </c>
      <c r="U426" s="1" t="s">
        <v>36</v>
      </c>
      <c r="V426" s="1" t="s">
        <v>100</v>
      </c>
      <c r="W426">
        <v>3.2</v>
      </c>
      <c r="X426" s="1">
        <f t="shared" si="12"/>
        <v>8551.6499999999451</v>
      </c>
      <c r="Y426" s="1">
        <f t="shared" si="13"/>
        <v>6355.4899999999634</v>
      </c>
    </row>
    <row r="427" spans="1:25" x14ac:dyDescent="0.3">
      <c r="A427" s="1" t="s">
        <v>1042</v>
      </c>
      <c r="B427">
        <v>1</v>
      </c>
      <c r="C427">
        <v>18.989999999999998</v>
      </c>
      <c r="D427">
        <v>18.989999999999998</v>
      </c>
      <c r="E427" s="1" t="s">
        <v>1043</v>
      </c>
      <c r="F427" s="1" t="s">
        <v>51</v>
      </c>
      <c r="G427">
        <v>0</v>
      </c>
      <c r="H427" s="1" t="s">
        <v>96</v>
      </c>
      <c r="I427" s="1" t="s">
        <v>97</v>
      </c>
      <c r="J427">
        <v>6</v>
      </c>
      <c r="K427">
        <v>18.989999999999998</v>
      </c>
      <c r="L427" s="1" t="s">
        <v>60</v>
      </c>
      <c r="M427" s="1" t="s">
        <v>43</v>
      </c>
      <c r="N427" s="1" t="s">
        <v>44</v>
      </c>
      <c r="O427" s="1" t="s">
        <v>31</v>
      </c>
      <c r="P427" s="2">
        <v>45823</v>
      </c>
      <c r="Q427" s="1" t="s">
        <v>182</v>
      </c>
      <c r="R427" s="1" t="s">
        <v>754</v>
      </c>
      <c r="S427" s="1" t="s">
        <v>65</v>
      </c>
      <c r="T427" s="1" t="s">
        <v>35</v>
      </c>
      <c r="U427" s="1" t="s">
        <v>36</v>
      </c>
      <c r="V427" s="1" t="s">
        <v>100</v>
      </c>
      <c r="W427">
        <v>3.2</v>
      </c>
      <c r="X427" s="1">
        <f t="shared" si="12"/>
        <v>7844.9099999999507</v>
      </c>
      <c r="Y427" s="1">
        <f t="shared" si="13"/>
        <v>6355.4899999999634</v>
      </c>
    </row>
    <row r="428" spans="1:25" x14ac:dyDescent="0.3">
      <c r="A428" s="1" t="s">
        <v>1044</v>
      </c>
      <c r="B428">
        <v>2</v>
      </c>
      <c r="C428">
        <v>21.99</v>
      </c>
      <c r="D428">
        <v>37.85</v>
      </c>
      <c r="E428" s="1" t="s">
        <v>246</v>
      </c>
      <c r="F428" s="1" t="s">
        <v>51</v>
      </c>
      <c r="G428">
        <v>0</v>
      </c>
      <c r="H428" s="1" t="s">
        <v>96</v>
      </c>
      <c r="I428" s="1" t="s">
        <v>27</v>
      </c>
      <c r="J428">
        <v>7</v>
      </c>
      <c r="K428">
        <v>21.99</v>
      </c>
      <c r="L428" s="1" t="s">
        <v>28</v>
      </c>
      <c r="M428" s="1" t="s">
        <v>29</v>
      </c>
      <c r="N428" s="1" t="s">
        <v>30</v>
      </c>
      <c r="O428" s="1" t="s">
        <v>31</v>
      </c>
      <c r="P428" s="2">
        <v>45778</v>
      </c>
      <c r="Q428" s="1" t="s">
        <v>437</v>
      </c>
      <c r="R428" s="1" t="s">
        <v>1045</v>
      </c>
      <c r="S428" s="1" t="s">
        <v>34</v>
      </c>
      <c r="T428" s="1" t="s">
        <v>35</v>
      </c>
      <c r="U428" s="1" t="s">
        <v>66</v>
      </c>
      <c r="V428" s="1" t="s">
        <v>37</v>
      </c>
      <c r="W428">
        <v>2</v>
      </c>
      <c r="X428" s="1">
        <f t="shared" si="12"/>
        <v>7844.9099999999507</v>
      </c>
      <c r="Y428" s="1">
        <f t="shared" si="13"/>
        <v>6397.4799999999632</v>
      </c>
    </row>
    <row r="429" spans="1:25" x14ac:dyDescent="0.3">
      <c r="A429" s="1" t="s">
        <v>1046</v>
      </c>
      <c r="B429">
        <v>1</v>
      </c>
      <c r="C429">
        <v>16.989999999999998</v>
      </c>
      <c r="D429">
        <v>16.989999999999998</v>
      </c>
      <c r="E429" s="1" t="s">
        <v>1047</v>
      </c>
      <c r="F429" s="1" t="s">
        <v>25</v>
      </c>
      <c r="G429">
        <v>19</v>
      </c>
      <c r="H429" s="1" t="s">
        <v>96</v>
      </c>
      <c r="I429" s="1" t="s">
        <v>59</v>
      </c>
      <c r="J429">
        <v>5</v>
      </c>
      <c r="K429">
        <v>16.989999999999998</v>
      </c>
      <c r="L429" s="1" t="s">
        <v>60</v>
      </c>
      <c r="M429" s="1" t="s">
        <v>61</v>
      </c>
      <c r="N429" s="1" t="s">
        <v>62</v>
      </c>
      <c r="O429" s="1" t="s">
        <v>31</v>
      </c>
      <c r="P429" s="2">
        <v>45726</v>
      </c>
      <c r="Q429" s="1" t="s">
        <v>1048</v>
      </c>
      <c r="R429" s="1" t="s">
        <v>1049</v>
      </c>
      <c r="S429" s="1" t="s">
        <v>47</v>
      </c>
      <c r="T429" s="1" t="s">
        <v>35</v>
      </c>
      <c r="U429" s="1" t="s">
        <v>82</v>
      </c>
      <c r="V429" s="1" t="s">
        <v>67</v>
      </c>
      <c r="W429">
        <v>3</v>
      </c>
      <c r="X429" s="1">
        <f t="shared" si="12"/>
        <v>7844.9099999999507</v>
      </c>
      <c r="Y429" s="1">
        <f t="shared" si="13"/>
        <v>7204.2099999999582</v>
      </c>
    </row>
    <row r="430" spans="1:25" x14ac:dyDescent="0.3">
      <c r="A430" s="1" t="s">
        <v>1050</v>
      </c>
      <c r="B430">
        <v>1</v>
      </c>
      <c r="C430">
        <v>21.99</v>
      </c>
      <c r="D430">
        <v>21.99</v>
      </c>
      <c r="E430" s="1" t="s">
        <v>1051</v>
      </c>
      <c r="F430" s="1" t="s">
        <v>40</v>
      </c>
      <c r="G430">
        <v>3</v>
      </c>
      <c r="H430" s="1" t="s">
        <v>96</v>
      </c>
      <c r="I430" s="1" t="s">
        <v>27</v>
      </c>
      <c r="J430">
        <v>7</v>
      </c>
      <c r="K430">
        <v>21.99</v>
      </c>
      <c r="L430" s="1" t="s">
        <v>28</v>
      </c>
      <c r="M430" s="1" t="s">
        <v>29</v>
      </c>
      <c r="N430" s="1" t="s">
        <v>30</v>
      </c>
      <c r="O430" s="1" t="s">
        <v>31</v>
      </c>
      <c r="P430" s="2">
        <v>45778</v>
      </c>
      <c r="Q430" s="1" t="s">
        <v>1052</v>
      </c>
      <c r="R430" s="1" t="s">
        <v>1053</v>
      </c>
      <c r="S430" s="1" t="s">
        <v>105</v>
      </c>
      <c r="T430" s="1" t="s">
        <v>35</v>
      </c>
      <c r="U430" s="1" t="s">
        <v>55</v>
      </c>
      <c r="V430" s="1" t="s">
        <v>37</v>
      </c>
      <c r="W430">
        <v>2</v>
      </c>
      <c r="X430" s="1">
        <f t="shared" si="12"/>
        <v>7844.9099999999507</v>
      </c>
      <c r="Y430" s="1">
        <f t="shared" si="13"/>
        <v>5710.7699999999695</v>
      </c>
    </row>
    <row r="431" spans="1:25" x14ac:dyDescent="0.3">
      <c r="A431" s="1" t="s">
        <v>1054</v>
      </c>
      <c r="B431">
        <v>1</v>
      </c>
      <c r="C431">
        <v>34.99</v>
      </c>
      <c r="D431">
        <v>34.99</v>
      </c>
      <c r="E431" s="1" t="s">
        <v>1055</v>
      </c>
      <c r="F431" s="1" t="s">
        <v>40</v>
      </c>
      <c r="G431">
        <v>11</v>
      </c>
      <c r="H431" s="1" t="s">
        <v>58</v>
      </c>
      <c r="I431" s="1" t="s">
        <v>85</v>
      </c>
      <c r="J431">
        <v>12.5</v>
      </c>
      <c r="K431">
        <v>34.99</v>
      </c>
      <c r="L431" s="1" t="s">
        <v>60</v>
      </c>
      <c r="M431" s="1" t="s">
        <v>29</v>
      </c>
      <c r="N431" s="1" t="s">
        <v>30</v>
      </c>
      <c r="O431" s="1" t="s">
        <v>31</v>
      </c>
      <c r="P431" s="2">
        <v>45778</v>
      </c>
      <c r="Q431" s="1" t="s">
        <v>1035</v>
      </c>
      <c r="R431" s="1" t="s">
        <v>1036</v>
      </c>
      <c r="S431" s="1" t="s">
        <v>54</v>
      </c>
      <c r="T431" s="1" t="s">
        <v>35</v>
      </c>
      <c r="U431" s="1" t="s">
        <v>66</v>
      </c>
      <c r="V431" s="1" t="s">
        <v>89</v>
      </c>
      <c r="W431">
        <v>2.4</v>
      </c>
      <c r="X431" s="1">
        <f t="shared" si="12"/>
        <v>8640.6199999999462</v>
      </c>
      <c r="Y431" s="1">
        <f t="shared" si="13"/>
        <v>6397.4799999999632</v>
      </c>
    </row>
    <row r="432" spans="1:25" x14ac:dyDescent="0.3">
      <c r="A432" s="1" t="s">
        <v>1056</v>
      </c>
      <c r="B432">
        <v>1</v>
      </c>
      <c r="C432">
        <v>21.99</v>
      </c>
      <c r="D432">
        <v>21.99</v>
      </c>
      <c r="E432" s="1" t="s">
        <v>954</v>
      </c>
      <c r="F432" s="1" t="s">
        <v>40</v>
      </c>
      <c r="G432">
        <v>2</v>
      </c>
      <c r="H432" s="1" t="s">
        <v>58</v>
      </c>
      <c r="I432" s="1" t="s">
        <v>27</v>
      </c>
      <c r="J432">
        <v>7</v>
      </c>
      <c r="K432">
        <v>21.99</v>
      </c>
      <c r="L432" s="1" t="s">
        <v>28</v>
      </c>
      <c r="M432" s="1" t="s">
        <v>29</v>
      </c>
      <c r="N432" s="1" t="s">
        <v>30</v>
      </c>
      <c r="O432" s="1" t="s">
        <v>31</v>
      </c>
      <c r="P432" s="2">
        <v>45778</v>
      </c>
      <c r="Q432" s="1" t="s">
        <v>793</v>
      </c>
      <c r="R432" s="1" t="s">
        <v>794</v>
      </c>
      <c r="S432" s="1" t="s">
        <v>34</v>
      </c>
      <c r="T432" s="1" t="s">
        <v>35</v>
      </c>
      <c r="U432" s="1" t="s">
        <v>82</v>
      </c>
      <c r="V432" s="1" t="s">
        <v>37</v>
      </c>
      <c r="W432">
        <v>2</v>
      </c>
      <c r="X432" s="1">
        <f t="shared" si="12"/>
        <v>8640.6199999999462</v>
      </c>
      <c r="Y432" s="1">
        <f t="shared" si="13"/>
        <v>7204.2099999999582</v>
      </c>
    </row>
    <row r="433" spans="1:25" x14ac:dyDescent="0.3">
      <c r="A433" s="1" t="s">
        <v>1057</v>
      </c>
      <c r="B433">
        <v>1</v>
      </c>
      <c r="C433">
        <v>27.99</v>
      </c>
      <c r="D433">
        <v>27.99</v>
      </c>
      <c r="E433" s="1" t="s">
        <v>800</v>
      </c>
      <c r="F433" s="1" t="s">
        <v>188</v>
      </c>
      <c r="G433">
        <v>0</v>
      </c>
      <c r="H433" s="1" t="s">
        <v>58</v>
      </c>
      <c r="I433" s="1" t="s">
        <v>75</v>
      </c>
      <c r="J433">
        <v>9</v>
      </c>
      <c r="K433">
        <v>27.99</v>
      </c>
      <c r="L433" s="1" t="s">
        <v>28</v>
      </c>
      <c r="M433" s="1" t="s">
        <v>61</v>
      </c>
      <c r="N433" s="1" t="s">
        <v>62</v>
      </c>
      <c r="O433" s="1" t="s">
        <v>31</v>
      </c>
      <c r="P433" s="2">
        <v>45726</v>
      </c>
      <c r="Q433" s="1" t="s">
        <v>1058</v>
      </c>
      <c r="R433" s="1" t="s">
        <v>1059</v>
      </c>
      <c r="S433" s="1" t="s">
        <v>65</v>
      </c>
      <c r="T433" s="1" t="s">
        <v>35</v>
      </c>
      <c r="U433" s="1" t="s">
        <v>82</v>
      </c>
      <c r="V433" s="1" t="s">
        <v>37</v>
      </c>
      <c r="W433">
        <v>2</v>
      </c>
      <c r="X433" s="1">
        <f t="shared" si="12"/>
        <v>8640.6199999999462</v>
      </c>
      <c r="Y433" s="1">
        <f t="shared" si="13"/>
        <v>7204.2099999999582</v>
      </c>
    </row>
    <row r="434" spans="1:25" x14ac:dyDescent="0.3">
      <c r="A434" s="1" t="s">
        <v>1060</v>
      </c>
      <c r="B434">
        <v>1</v>
      </c>
      <c r="C434">
        <v>21.99</v>
      </c>
      <c r="D434">
        <v>21.99</v>
      </c>
      <c r="E434" s="1" t="s">
        <v>1061</v>
      </c>
      <c r="F434" s="1" t="s">
        <v>40</v>
      </c>
      <c r="G434">
        <v>2</v>
      </c>
      <c r="H434" s="1" t="s">
        <v>26</v>
      </c>
      <c r="I434" s="1" t="s">
        <v>27</v>
      </c>
      <c r="J434">
        <v>7</v>
      </c>
      <c r="K434">
        <v>21.99</v>
      </c>
      <c r="L434" s="1" t="s">
        <v>28</v>
      </c>
      <c r="M434" s="1" t="s">
        <v>29</v>
      </c>
      <c r="N434" s="1" t="s">
        <v>30</v>
      </c>
      <c r="O434" s="1" t="s">
        <v>31</v>
      </c>
      <c r="P434" s="2">
        <v>45778</v>
      </c>
      <c r="Q434" s="1" t="s">
        <v>92</v>
      </c>
      <c r="R434" s="1" t="s">
        <v>1062</v>
      </c>
      <c r="S434" s="1" t="s">
        <v>65</v>
      </c>
      <c r="T434" s="1" t="s">
        <v>35</v>
      </c>
      <c r="U434" s="1" t="s">
        <v>66</v>
      </c>
      <c r="V434" s="1" t="s">
        <v>37</v>
      </c>
      <c r="W434">
        <v>2</v>
      </c>
      <c r="X434" s="1">
        <f t="shared" si="12"/>
        <v>8313.6899999999459</v>
      </c>
      <c r="Y434" s="1">
        <f t="shared" si="13"/>
        <v>6397.4799999999632</v>
      </c>
    </row>
    <row r="435" spans="1:25" x14ac:dyDescent="0.3">
      <c r="A435" s="1" t="s">
        <v>1063</v>
      </c>
      <c r="B435">
        <v>2</v>
      </c>
      <c r="C435">
        <v>16.989999999999998</v>
      </c>
      <c r="D435">
        <v>29.24</v>
      </c>
      <c r="E435" s="1" t="s">
        <v>1064</v>
      </c>
      <c r="F435" s="1" t="s">
        <v>40</v>
      </c>
      <c r="G435">
        <v>25</v>
      </c>
      <c r="H435" s="1" t="s">
        <v>58</v>
      </c>
      <c r="I435" s="1" t="s">
        <v>59</v>
      </c>
      <c r="J435">
        <v>5</v>
      </c>
      <c r="K435">
        <v>16.989999999999998</v>
      </c>
      <c r="L435" s="1" t="s">
        <v>60</v>
      </c>
      <c r="M435" s="1" t="s">
        <v>61</v>
      </c>
      <c r="N435" s="1" t="s">
        <v>62</v>
      </c>
      <c r="O435" s="1" t="s">
        <v>31</v>
      </c>
      <c r="P435" s="2">
        <v>45726</v>
      </c>
      <c r="Q435" s="1" t="s">
        <v>1065</v>
      </c>
      <c r="R435" s="1" t="s">
        <v>1066</v>
      </c>
      <c r="S435" s="1" t="s">
        <v>65</v>
      </c>
      <c r="T435" s="1" t="s">
        <v>35</v>
      </c>
      <c r="U435" s="1" t="s">
        <v>66</v>
      </c>
      <c r="V435" s="1" t="s">
        <v>67</v>
      </c>
      <c r="W435">
        <v>3</v>
      </c>
      <c r="X435" s="1">
        <f t="shared" si="12"/>
        <v>8640.6199999999462</v>
      </c>
      <c r="Y435" s="1">
        <f t="shared" si="13"/>
        <v>6397.4799999999632</v>
      </c>
    </row>
    <row r="436" spans="1:25" x14ac:dyDescent="0.3">
      <c r="A436" s="1" t="s">
        <v>1067</v>
      </c>
      <c r="B436">
        <v>1</v>
      </c>
      <c r="C436">
        <v>21.99</v>
      </c>
      <c r="D436">
        <v>21.99</v>
      </c>
      <c r="E436" s="1" t="s">
        <v>1068</v>
      </c>
      <c r="F436" s="1" t="s">
        <v>40</v>
      </c>
      <c r="G436">
        <v>2</v>
      </c>
      <c r="H436" s="1" t="s">
        <v>26</v>
      </c>
      <c r="I436" s="1" t="s">
        <v>27</v>
      </c>
      <c r="J436">
        <v>7</v>
      </c>
      <c r="K436">
        <v>21.99</v>
      </c>
      <c r="L436" s="1" t="s">
        <v>28</v>
      </c>
      <c r="M436" s="1" t="s">
        <v>29</v>
      </c>
      <c r="N436" s="1" t="s">
        <v>30</v>
      </c>
      <c r="O436" s="1" t="s">
        <v>31</v>
      </c>
      <c r="P436" s="2">
        <v>45778</v>
      </c>
      <c r="Q436" s="1" t="s">
        <v>1069</v>
      </c>
      <c r="R436" s="1" t="s">
        <v>1070</v>
      </c>
      <c r="S436" s="1" t="s">
        <v>65</v>
      </c>
      <c r="T436" s="1" t="s">
        <v>35</v>
      </c>
      <c r="U436" s="1" t="s">
        <v>66</v>
      </c>
      <c r="V436" s="1" t="s">
        <v>37</v>
      </c>
      <c r="W436">
        <v>2</v>
      </c>
      <c r="X436" s="1">
        <f t="shared" si="12"/>
        <v>8313.6899999999459</v>
      </c>
      <c r="Y436" s="1">
        <f t="shared" si="13"/>
        <v>6397.4799999999632</v>
      </c>
    </row>
    <row r="437" spans="1:25" x14ac:dyDescent="0.3">
      <c r="A437" s="1" t="s">
        <v>1071</v>
      </c>
      <c r="B437">
        <v>1</v>
      </c>
      <c r="C437">
        <v>21.99</v>
      </c>
      <c r="D437">
        <v>21.99</v>
      </c>
      <c r="E437" s="1" t="s">
        <v>175</v>
      </c>
      <c r="F437" s="1" t="s">
        <v>40</v>
      </c>
      <c r="G437">
        <v>2</v>
      </c>
      <c r="H437" s="1" t="s">
        <v>58</v>
      </c>
      <c r="I437" s="1" t="s">
        <v>27</v>
      </c>
      <c r="J437">
        <v>7</v>
      </c>
      <c r="K437">
        <v>21.99</v>
      </c>
      <c r="L437" s="1" t="s">
        <v>28</v>
      </c>
      <c r="M437" s="1" t="s">
        <v>29</v>
      </c>
      <c r="N437" s="1" t="s">
        <v>30</v>
      </c>
      <c r="O437" s="1" t="s">
        <v>31</v>
      </c>
      <c r="P437" s="2">
        <v>45778</v>
      </c>
      <c r="Q437" s="1" t="s">
        <v>1072</v>
      </c>
      <c r="R437" s="1" t="s">
        <v>1073</v>
      </c>
      <c r="S437" s="1" t="s">
        <v>47</v>
      </c>
      <c r="T437" s="1" t="s">
        <v>35</v>
      </c>
      <c r="U437" s="1" t="s">
        <v>36</v>
      </c>
      <c r="V437" s="1" t="s">
        <v>37</v>
      </c>
      <c r="W437">
        <v>2</v>
      </c>
      <c r="X437" s="1">
        <f t="shared" si="12"/>
        <v>8640.6199999999462</v>
      </c>
      <c r="Y437" s="1">
        <f t="shared" si="13"/>
        <v>6355.4899999999634</v>
      </c>
    </row>
    <row r="438" spans="1:25" x14ac:dyDescent="0.3">
      <c r="A438" s="1" t="s">
        <v>1074</v>
      </c>
      <c r="B438">
        <v>1</v>
      </c>
      <c r="C438">
        <v>16.989999999999998</v>
      </c>
      <c r="D438">
        <v>16.989999999999998</v>
      </c>
      <c r="E438" s="1" t="s">
        <v>185</v>
      </c>
      <c r="F438" s="1" t="s">
        <v>25</v>
      </c>
      <c r="G438">
        <v>16</v>
      </c>
      <c r="H438" s="1" t="s">
        <v>96</v>
      </c>
      <c r="I438" s="1" t="s">
        <v>59</v>
      </c>
      <c r="J438">
        <v>5</v>
      </c>
      <c r="K438">
        <v>16.989999999999998</v>
      </c>
      <c r="L438" s="1" t="s">
        <v>60</v>
      </c>
      <c r="M438" s="1" t="s">
        <v>61</v>
      </c>
      <c r="N438" s="1" t="s">
        <v>62</v>
      </c>
      <c r="O438" s="1" t="s">
        <v>31</v>
      </c>
      <c r="P438" s="2">
        <v>45726</v>
      </c>
      <c r="Q438" s="1" t="s">
        <v>1075</v>
      </c>
      <c r="R438" s="1" t="s">
        <v>1076</v>
      </c>
      <c r="S438" s="1" t="s">
        <v>65</v>
      </c>
      <c r="T438" s="1" t="s">
        <v>35</v>
      </c>
      <c r="U438" s="1" t="s">
        <v>55</v>
      </c>
      <c r="V438" s="1" t="s">
        <v>67</v>
      </c>
      <c r="W438">
        <v>3</v>
      </c>
      <c r="X438" s="1">
        <f t="shared" si="12"/>
        <v>7844.9099999999507</v>
      </c>
      <c r="Y438" s="1">
        <f t="shared" si="13"/>
        <v>5710.7699999999695</v>
      </c>
    </row>
    <row r="439" spans="1:25" x14ac:dyDescent="0.3">
      <c r="A439" s="1" t="s">
        <v>1077</v>
      </c>
      <c r="B439">
        <v>2</v>
      </c>
      <c r="C439">
        <v>34.99</v>
      </c>
      <c r="D439">
        <v>60.08</v>
      </c>
      <c r="E439" s="1" t="s">
        <v>1078</v>
      </c>
      <c r="F439" s="1" t="s">
        <v>40</v>
      </c>
      <c r="G439">
        <v>11</v>
      </c>
      <c r="H439" s="1" t="s">
        <v>41</v>
      </c>
      <c r="I439" s="1" t="s">
        <v>85</v>
      </c>
      <c r="J439">
        <v>12.5</v>
      </c>
      <c r="K439">
        <v>34.99</v>
      </c>
      <c r="L439" s="1" t="s">
        <v>60</v>
      </c>
      <c r="M439" s="1" t="s">
        <v>29</v>
      </c>
      <c r="N439" s="1" t="s">
        <v>30</v>
      </c>
      <c r="O439" s="1" t="s">
        <v>31</v>
      </c>
      <c r="P439" s="2">
        <v>45778</v>
      </c>
      <c r="Q439" s="1" t="s">
        <v>1079</v>
      </c>
      <c r="R439" s="1" t="s">
        <v>1080</v>
      </c>
      <c r="S439" s="1" t="s">
        <v>47</v>
      </c>
      <c r="T439" s="1" t="s">
        <v>35</v>
      </c>
      <c r="U439" s="1" t="s">
        <v>82</v>
      </c>
      <c r="V439" s="1" t="s">
        <v>89</v>
      </c>
      <c r="W439">
        <v>2.4</v>
      </c>
      <c r="X439" s="1">
        <f t="shared" si="12"/>
        <v>8551.6499999999451</v>
      </c>
      <c r="Y439" s="1">
        <f t="shared" si="13"/>
        <v>7204.2099999999582</v>
      </c>
    </row>
    <row r="440" spans="1:25" x14ac:dyDescent="0.3">
      <c r="A440" s="1" t="s">
        <v>1081</v>
      </c>
      <c r="B440">
        <v>1</v>
      </c>
      <c r="C440">
        <v>18.989999999999998</v>
      </c>
      <c r="D440">
        <v>18.989999999999998</v>
      </c>
      <c r="E440" s="1" t="s">
        <v>1082</v>
      </c>
      <c r="F440" s="1" t="s">
        <v>51</v>
      </c>
      <c r="G440">
        <v>0</v>
      </c>
      <c r="H440" s="1" t="s">
        <v>41</v>
      </c>
      <c r="I440" s="1" t="s">
        <v>97</v>
      </c>
      <c r="J440">
        <v>6</v>
      </c>
      <c r="K440">
        <v>18.989999999999998</v>
      </c>
      <c r="L440" s="1" t="s">
        <v>60</v>
      </c>
      <c r="M440" s="1" t="s">
        <v>43</v>
      </c>
      <c r="N440" s="1" t="s">
        <v>44</v>
      </c>
      <c r="O440" s="1" t="s">
        <v>31</v>
      </c>
      <c r="P440" s="2">
        <v>45823</v>
      </c>
      <c r="Q440" s="1" t="s">
        <v>1083</v>
      </c>
      <c r="R440" s="1" t="s">
        <v>1084</v>
      </c>
      <c r="S440" s="1" t="s">
        <v>47</v>
      </c>
      <c r="T440" s="1" t="s">
        <v>35</v>
      </c>
      <c r="U440" s="1" t="s">
        <v>36</v>
      </c>
      <c r="V440" s="1" t="s">
        <v>100</v>
      </c>
      <c r="W440">
        <v>3.2</v>
      </c>
      <c r="X440" s="1">
        <f t="shared" si="12"/>
        <v>8551.6499999999451</v>
      </c>
      <c r="Y440" s="1">
        <f t="shared" si="13"/>
        <v>6355.4899999999634</v>
      </c>
    </row>
    <row r="441" spans="1:25" x14ac:dyDescent="0.3">
      <c r="A441" s="1" t="s">
        <v>1085</v>
      </c>
      <c r="B441">
        <v>1</v>
      </c>
      <c r="C441">
        <v>21.99</v>
      </c>
      <c r="D441">
        <v>21.99</v>
      </c>
      <c r="E441" s="1" t="s">
        <v>1086</v>
      </c>
      <c r="F441" s="1" t="s">
        <v>51</v>
      </c>
      <c r="G441">
        <v>0</v>
      </c>
      <c r="H441" s="1" t="s">
        <v>41</v>
      </c>
      <c r="I441" s="1" t="s">
        <v>27</v>
      </c>
      <c r="J441">
        <v>7</v>
      </c>
      <c r="K441">
        <v>21.99</v>
      </c>
      <c r="L441" s="1" t="s">
        <v>28</v>
      </c>
      <c r="M441" s="1" t="s">
        <v>29</v>
      </c>
      <c r="N441" s="1" t="s">
        <v>30</v>
      </c>
      <c r="O441" s="1" t="s">
        <v>31</v>
      </c>
      <c r="P441" s="2">
        <v>45778</v>
      </c>
      <c r="Q441" s="1" t="s">
        <v>990</v>
      </c>
      <c r="R441" s="1" t="s">
        <v>1087</v>
      </c>
      <c r="S441" s="1" t="s">
        <v>105</v>
      </c>
      <c r="T441" s="1" t="s">
        <v>35</v>
      </c>
      <c r="U441" s="1" t="s">
        <v>48</v>
      </c>
      <c r="V441" s="1" t="s">
        <v>37</v>
      </c>
      <c r="W441">
        <v>2</v>
      </c>
      <c r="X441" s="1">
        <f t="shared" si="12"/>
        <v>8551.6499999999451</v>
      </c>
      <c r="Y441" s="1">
        <f t="shared" si="13"/>
        <v>7682.919999999951</v>
      </c>
    </row>
    <row r="442" spans="1:25" x14ac:dyDescent="0.3">
      <c r="A442" s="1" t="s">
        <v>1088</v>
      </c>
      <c r="B442">
        <v>2</v>
      </c>
      <c r="C442">
        <v>16.989999999999998</v>
      </c>
      <c r="D442">
        <v>29.59</v>
      </c>
      <c r="E442" s="1" t="s">
        <v>493</v>
      </c>
      <c r="F442" s="1" t="s">
        <v>40</v>
      </c>
      <c r="G442">
        <v>18</v>
      </c>
      <c r="H442" s="1" t="s">
        <v>96</v>
      </c>
      <c r="I442" s="1" t="s">
        <v>59</v>
      </c>
      <c r="J442">
        <v>5</v>
      </c>
      <c r="K442">
        <v>16.989999999999998</v>
      </c>
      <c r="L442" s="1" t="s">
        <v>60</v>
      </c>
      <c r="M442" s="1" t="s">
        <v>61</v>
      </c>
      <c r="N442" s="1" t="s">
        <v>62</v>
      </c>
      <c r="O442" s="1" t="s">
        <v>31</v>
      </c>
      <c r="P442" s="2">
        <v>45726</v>
      </c>
      <c r="Q442" s="1" t="s">
        <v>884</v>
      </c>
      <c r="R442" s="1" t="s">
        <v>1089</v>
      </c>
      <c r="S442" s="1" t="s">
        <v>54</v>
      </c>
      <c r="T442" s="1" t="s">
        <v>35</v>
      </c>
      <c r="U442" s="1" t="s">
        <v>48</v>
      </c>
      <c r="V442" s="1" t="s">
        <v>67</v>
      </c>
      <c r="W442">
        <v>3</v>
      </c>
      <c r="X442" s="1">
        <f t="shared" si="12"/>
        <v>7844.9099999999507</v>
      </c>
      <c r="Y442" s="1">
        <f t="shared" si="13"/>
        <v>7682.919999999951</v>
      </c>
    </row>
    <row r="443" spans="1:25" x14ac:dyDescent="0.3">
      <c r="A443" s="1" t="s">
        <v>1090</v>
      </c>
      <c r="B443">
        <v>1</v>
      </c>
      <c r="C443">
        <v>18.989999999999998</v>
      </c>
      <c r="D443">
        <v>18.989999999999998</v>
      </c>
      <c r="E443" s="1" t="s">
        <v>1091</v>
      </c>
      <c r="F443" s="1" t="s">
        <v>51</v>
      </c>
      <c r="G443">
        <v>0</v>
      </c>
      <c r="H443" s="1" t="s">
        <v>58</v>
      </c>
      <c r="I443" s="1" t="s">
        <v>97</v>
      </c>
      <c r="J443">
        <v>6</v>
      </c>
      <c r="K443">
        <v>18.989999999999998</v>
      </c>
      <c r="L443" s="1" t="s">
        <v>60</v>
      </c>
      <c r="M443" s="1" t="s">
        <v>43</v>
      </c>
      <c r="N443" s="1" t="s">
        <v>44</v>
      </c>
      <c r="O443" s="1" t="s">
        <v>31</v>
      </c>
      <c r="P443" s="2">
        <v>45823</v>
      </c>
      <c r="Q443" s="1" t="s">
        <v>133</v>
      </c>
      <c r="R443" s="1" t="s">
        <v>776</v>
      </c>
      <c r="S443" s="1" t="s">
        <v>88</v>
      </c>
      <c r="T443" s="1" t="s">
        <v>35</v>
      </c>
      <c r="U443" s="1" t="s">
        <v>48</v>
      </c>
      <c r="V443" s="1" t="s">
        <v>100</v>
      </c>
      <c r="W443">
        <v>3.2</v>
      </c>
      <c r="X443" s="1">
        <f t="shared" si="12"/>
        <v>8640.6199999999462</v>
      </c>
      <c r="Y443" s="1">
        <f t="shared" si="13"/>
        <v>7682.919999999951</v>
      </c>
    </row>
    <row r="444" spans="1:25" x14ac:dyDescent="0.3">
      <c r="A444" s="1" t="s">
        <v>1092</v>
      </c>
      <c r="B444">
        <v>1</v>
      </c>
      <c r="C444">
        <v>27.99</v>
      </c>
      <c r="D444">
        <v>27.99</v>
      </c>
      <c r="E444" s="1" t="s">
        <v>1093</v>
      </c>
      <c r="F444" s="1" t="s">
        <v>40</v>
      </c>
      <c r="G444">
        <v>2</v>
      </c>
      <c r="H444" s="1" t="s">
        <v>41</v>
      </c>
      <c r="I444" s="1" t="s">
        <v>75</v>
      </c>
      <c r="J444">
        <v>9</v>
      </c>
      <c r="K444">
        <v>27.99</v>
      </c>
      <c r="L444" s="1" t="s">
        <v>28</v>
      </c>
      <c r="M444" s="1" t="s">
        <v>61</v>
      </c>
      <c r="N444" s="1" t="s">
        <v>62</v>
      </c>
      <c r="O444" s="1" t="s">
        <v>31</v>
      </c>
      <c r="P444" s="2">
        <v>45726</v>
      </c>
      <c r="Q444" s="1" t="s">
        <v>428</v>
      </c>
      <c r="R444" s="1" t="s">
        <v>1094</v>
      </c>
      <c r="S444" s="1" t="s">
        <v>105</v>
      </c>
      <c r="T444" s="1" t="s">
        <v>35</v>
      </c>
      <c r="U444" s="1" t="s">
        <v>36</v>
      </c>
      <c r="V444" s="1" t="s">
        <v>37</v>
      </c>
      <c r="W444">
        <v>2</v>
      </c>
      <c r="X444" s="1">
        <f t="shared" si="12"/>
        <v>8551.6499999999451</v>
      </c>
      <c r="Y444" s="1">
        <f t="shared" si="13"/>
        <v>6355.4899999999634</v>
      </c>
    </row>
    <row r="445" spans="1:25" x14ac:dyDescent="0.3">
      <c r="A445" s="1" t="s">
        <v>1095</v>
      </c>
      <c r="B445">
        <v>2</v>
      </c>
      <c r="C445">
        <v>30.99</v>
      </c>
      <c r="D445">
        <v>54.2</v>
      </c>
      <c r="E445" s="1" t="s">
        <v>1096</v>
      </c>
      <c r="F445" s="1" t="s">
        <v>70</v>
      </c>
      <c r="G445">
        <v>0</v>
      </c>
      <c r="H445" s="1" t="s">
        <v>96</v>
      </c>
      <c r="I445" s="1" t="s">
        <v>42</v>
      </c>
      <c r="J445">
        <v>10.5</v>
      </c>
      <c r="K445">
        <v>30.99</v>
      </c>
      <c r="L445" s="1" t="s">
        <v>28</v>
      </c>
      <c r="M445" s="1" t="s">
        <v>43</v>
      </c>
      <c r="N445" s="1" t="s">
        <v>44</v>
      </c>
      <c r="O445" s="1" t="s">
        <v>31</v>
      </c>
      <c r="P445" s="2">
        <v>45823</v>
      </c>
      <c r="Q445" s="1" t="s">
        <v>1097</v>
      </c>
      <c r="R445" s="1" t="s">
        <v>1098</v>
      </c>
      <c r="S445" s="1" t="s">
        <v>65</v>
      </c>
      <c r="T445" s="1" t="s">
        <v>35</v>
      </c>
      <c r="U445" s="1" t="s">
        <v>48</v>
      </c>
      <c r="V445" s="1" t="s">
        <v>37</v>
      </c>
      <c r="W445">
        <v>2</v>
      </c>
      <c r="X445" s="1">
        <f t="shared" si="12"/>
        <v>7844.9099999999507</v>
      </c>
      <c r="Y445" s="1">
        <f t="shared" si="13"/>
        <v>7682.919999999951</v>
      </c>
    </row>
    <row r="446" spans="1:25" x14ac:dyDescent="0.3">
      <c r="A446" s="1" t="s">
        <v>1099</v>
      </c>
      <c r="B446">
        <v>1</v>
      </c>
      <c r="C446">
        <v>18.989999999999998</v>
      </c>
      <c r="D446">
        <v>18.989999999999998</v>
      </c>
      <c r="E446" s="1" t="s">
        <v>1100</v>
      </c>
      <c r="F446" s="1" t="s">
        <v>40</v>
      </c>
      <c r="G446">
        <v>14</v>
      </c>
      <c r="H446" s="1" t="s">
        <v>96</v>
      </c>
      <c r="I446" s="1" t="s">
        <v>97</v>
      </c>
      <c r="J446">
        <v>6</v>
      </c>
      <c r="K446">
        <v>18.989999999999998</v>
      </c>
      <c r="L446" s="1" t="s">
        <v>60</v>
      </c>
      <c r="M446" s="1" t="s">
        <v>43</v>
      </c>
      <c r="N446" s="1" t="s">
        <v>44</v>
      </c>
      <c r="O446" s="1" t="s">
        <v>31</v>
      </c>
      <c r="P446" s="2">
        <v>45823</v>
      </c>
      <c r="Q446" s="1" t="s">
        <v>1101</v>
      </c>
      <c r="R446" s="1" t="s">
        <v>1102</v>
      </c>
      <c r="S446" s="1" t="s">
        <v>47</v>
      </c>
      <c r="T446" s="1" t="s">
        <v>35</v>
      </c>
      <c r="U446" s="1" t="s">
        <v>48</v>
      </c>
      <c r="V446" s="1" t="s">
        <v>100</v>
      </c>
      <c r="W446">
        <v>3.2</v>
      </c>
      <c r="X446" s="1">
        <f t="shared" si="12"/>
        <v>7844.9099999999507</v>
      </c>
      <c r="Y446" s="1">
        <f t="shared" si="13"/>
        <v>7682.919999999951</v>
      </c>
    </row>
    <row r="447" spans="1:25" x14ac:dyDescent="0.3">
      <c r="A447" s="1" t="s">
        <v>1103</v>
      </c>
      <c r="B447">
        <v>1</v>
      </c>
      <c r="C447">
        <v>18.989999999999998</v>
      </c>
      <c r="D447">
        <v>18.989999999999998</v>
      </c>
      <c r="E447" s="1" t="s">
        <v>317</v>
      </c>
      <c r="F447" s="1" t="s">
        <v>25</v>
      </c>
      <c r="G447">
        <v>13</v>
      </c>
      <c r="H447" s="1" t="s">
        <v>96</v>
      </c>
      <c r="I447" s="1" t="s">
        <v>97</v>
      </c>
      <c r="J447">
        <v>6</v>
      </c>
      <c r="K447">
        <v>18.989999999999998</v>
      </c>
      <c r="L447" s="1" t="s">
        <v>60</v>
      </c>
      <c r="M447" s="1" t="s">
        <v>43</v>
      </c>
      <c r="N447" s="1" t="s">
        <v>44</v>
      </c>
      <c r="O447" s="1" t="s">
        <v>31</v>
      </c>
      <c r="P447" s="2">
        <v>45823</v>
      </c>
      <c r="Q447" s="1" t="s">
        <v>466</v>
      </c>
      <c r="R447" s="1" t="s">
        <v>1104</v>
      </c>
      <c r="S447" s="1" t="s">
        <v>47</v>
      </c>
      <c r="T447" s="1" t="s">
        <v>35</v>
      </c>
      <c r="U447" s="1" t="s">
        <v>66</v>
      </c>
      <c r="V447" s="1" t="s">
        <v>100</v>
      </c>
      <c r="W447">
        <v>3.2</v>
      </c>
      <c r="X447" s="1">
        <f t="shared" si="12"/>
        <v>7844.9099999999507</v>
      </c>
      <c r="Y447" s="1">
        <f t="shared" si="13"/>
        <v>6397.4799999999632</v>
      </c>
    </row>
    <row r="448" spans="1:25" x14ac:dyDescent="0.3">
      <c r="A448" s="1" t="s">
        <v>1105</v>
      </c>
      <c r="B448">
        <v>3</v>
      </c>
      <c r="C448">
        <v>21.99</v>
      </c>
      <c r="D448">
        <v>52.48</v>
      </c>
      <c r="E448" s="1" t="s">
        <v>1106</v>
      </c>
      <c r="F448" s="1" t="s">
        <v>40</v>
      </c>
      <c r="G448">
        <v>3</v>
      </c>
      <c r="H448" s="1" t="s">
        <v>41</v>
      </c>
      <c r="I448" s="1" t="s">
        <v>27</v>
      </c>
      <c r="J448">
        <v>7</v>
      </c>
      <c r="K448">
        <v>21.99</v>
      </c>
      <c r="L448" s="1" t="s">
        <v>28</v>
      </c>
      <c r="M448" s="1" t="s">
        <v>29</v>
      </c>
      <c r="N448" s="1" t="s">
        <v>30</v>
      </c>
      <c r="O448" s="1" t="s">
        <v>31</v>
      </c>
      <c r="P448" s="2">
        <v>45778</v>
      </c>
      <c r="Q448" s="1" t="s">
        <v>437</v>
      </c>
      <c r="R448" s="1" t="s">
        <v>1045</v>
      </c>
      <c r="S448" s="1" t="s">
        <v>34</v>
      </c>
      <c r="T448" s="1" t="s">
        <v>35</v>
      </c>
      <c r="U448" s="1" t="s">
        <v>66</v>
      </c>
      <c r="V448" s="1" t="s">
        <v>37</v>
      </c>
      <c r="W448">
        <v>2</v>
      </c>
      <c r="X448" s="1">
        <f t="shared" si="12"/>
        <v>8551.6499999999451</v>
      </c>
      <c r="Y448" s="1">
        <f t="shared" si="13"/>
        <v>6397.4799999999632</v>
      </c>
    </row>
    <row r="449" spans="1:25" x14ac:dyDescent="0.3">
      <c r="A449" s="1" t="s">
        <v>1107</v>
      </c>
      <c r="B449">
        <v>1</v>
      </c>
      <c r="C449">
        <v>16.989999999999998</v>
      </c>
      <c r="D449">
        <v>16.989999999999998</v>
      </c>
      <c r="E449" s="1" t="s">
        <v>1108</v>
      </c>
      <c r="F449" s="1" t="s">
        <v>51</v>
      </c>
      <c r="G449">
        <v>0</v>
      </c>
      <c r="H449" s="1" t="s">
        <v>26</v>
      </c>
      <c r="I449" s="1" t="s">
        <v>59</v>
      </c>
      <c r="J449">
        <v>5</v>
      </c>
      <c r="K449">
        <v>16.989999999999998</v>
      </c>
      <c r="L449" s="1" t="s">
        <v>60</v>
      </c>
      <c r="M449" s="1" t="s">
        <v>61</v>
      </c>
      <c r="N449" s="1" t="s">
        <v>62</v>
      </c>
      <c r="O449" s="1" t="s">
        <v>31</v>
      </c>
      <c r="P449" s="2">
        <v>45726</v>
      </c>
      <c r="Q449" s="1" t="s">
        <v>732</v>
      </c>
      <c r="R449" s="1" t="s">
        <v>1109</v>
      </c>
      <c r="S449" s="1" t="s">
        <v>54</v>
      </c>
      <c r="T449" s="1" t="s">
        <v>35</v>
      </c>
      <c r="U449" s="1" t="s">
        <v>66</v>
      </c>
      <c r="V449" s="1" t="s">
        <v>67</v>
      </c>
      <c r="W449">
        <v>3</v>
      </c>
      <c r="X449" s="1">
        <f t="shared" si="12"/>
        <v>8313.6899999999459</v>
      </c>
      <c r="Y449" s="1">
        <f t="shared" si="13"/>
        <v>6397.4799999999632</v>
      </c>
    </row>
    <row r="450" spans="1:25" x14ac:dyDescent="0.3">
      <c r="A450" s="1" t="s">
        <v>1110</v>
      </c>
      <c r="B450">
        <v>1</v>
      </c>
      <c r="C450">
        <v>16.989999999999998</v>
      </c>
      <c r="D450">
        <v>16.989999999999998</v>
      </c>
      <c r="E450" s="1" t="s">
        <v>1111</v>
      </c>
      <c r="F450" s="1" t="s">
        <v>40</v>
      </c>
      <c r="G450">
        <v>16</v>
      </c>
      <c r="H450" s="1" t="s">
        <v>96</v>
      </c>
      <c r="I450" s="1" t="s">
        <v>59</v>
      </c>
      <c r="J450">
        <v>5</v>
      </c>
      <c r="K450">
        <v>16.989999999999998</v>
      </c>
      <c r="L450" s="1" t="s">
        <v>60</v>
      </c>
      <c r="M450" s="1" t="s">
        <v>61</v>
      </c>
      <c r="N450" s="1" t="s">
        <v>62</v>
      </c>
      <c r="O450" s="1" t="s">
        <v>31</v>
      </c>
      <c r="P450" s="2">
        <v>45726</v>
      </c>
      <c r="Q450" s="1" t="s">
        <v>1112</v>
      </c>
      <c r="R450" s="1" t="s">
        <v>1113</v>
      </c>
      <c r="S450" s="1" t="s">
        <v>105</v>
      </c>
      <c r="T450" s="1" t="s">
        <v>35</v>
      </c>
      <c r="U450" s="1" t="s">
        <v>66</v>
      </c>
      <c r="V450" s="1" t="s">
        <v>67</v>
      </c>
      <c r="W450">
        <v>3</v>
      </c>
      <c r="X450" s="1">
        <f t="shared" ref="X450:X513" si="14">SUMIF(H:H,H450,K:K)</f>
        <v>7844.9099999999507</v>
      </c>
      <c r="Y450" s="1">
        <f t="shared" ref="Y450:Y513" si="15">SUMIF(U:U,U450,K:K)</f>
        <v>6397.4799999999632</v>
      </c>
    </row>
    <row r="451" spans="1:25" x14ac:dyDescent="0.3">
      <c r="A451" s="1" t="s">
        <v>1114</v>
      </c>
      <c r="B451">
        <v>1</v>
      </c>
      <c r="C451">
        <v>34.99</v>
      </c>
      <c r="D451">
        <v>34.99</v>
      </c>
      <c r="E451" s="1" t="s">
        <v>1115</v>
      </c>
      <c r="F451" s="1" t="s">
        <v>40</v>
      </c>
      <c r="G451">
        <v>7</v>
      </c>
      <c r="H451" s="1" t="s">
        <v>58</v>
      </c>
      <c r="I451" s="1" t="s">
        <v>85</v>
      </c>
      <c r="J451">
        <v>12.5</v>
      </c>
      <c r="K451">
        <v>34.99</v>
      </c>
      <c r="L451" s="1" t="s">
        <v>60</v>
      </c>
      <c r="M451" s="1" t="s">
        <v>29</v>
      </c>
      <c r="N451" s="1" t="s">
        <v>30</v>
      </c>
      <c r="O451" s="1" t="s">
        <v>31</v>
      </c>
      <c r="P451" s="2">
        <v>45778</v>
      </c>
      <c r="Q451" s="1" t="s">
        <v>1116</v>
      </c>
      <c r="R451" s="1" t="s">
        <v>1117</v>
      </c>
      <c r="S451" s="1" t="s">
        <v>88</v>
      </c>
      <c r="T451" s="1" t="s">
        <v>35</v>
      </c>
      <c r="U451" s="1" t="s">
        <v>55</v>
      </c>
      <c r="V451" s="1" t="s">
        <v>89</v>
      </c>
      <c r="W451">
        <v>2.4</v>
      </c>
      <c r="X451" s="1">
        <f t="shared" si="14"/>
        <v>8640.6199999999462</v>
      </c>
      <c r="Y451" s="1">
        <f t="shared" si="15"/>
        <v>5710.7699999999695</v>
      </c>
    </row>
    <row r="452" spans="1:25" x14ac:dyDescent="0.3">
      <c r="A452" s="1" t="s">
        <v>1118</v>
      </c>
      <c r="B452">
        <v>1</v>
      </c>
      <c r="C452">
        <v>16.989999999999998</v>
      </c>
      <c r="D452">
        <v>16.989999999999998</v>
      </c>
      <c r="E452" s="1" t="s">
        <v>202</v>
      </c>
      <c r="F452" s="1" t="s">
        <v>40</v>
      </c>
      <c r="G452">
        <v>17</v>
      </c>
      <c r="H452" s="1" t="s">
        <v>41</v>
      </c>
      <c r="I452" s="1" t="s">
        <v>59</v>
      </c>
      <c r="J452">
        <v>5</v>
      </c>
      <c r="K452">
        <v>16.989999999999998</v>
      </c>
      <c r="L452" s="1" t="s">
        <v>60</v>
      </c>
      <c r="M452" s="1" t="s">
        <v>61</v>
      </c>
      <c r="N452" s="1" t="s">
        <v>62</v>
      </c>
      <c r="O452" s="1" t="s">
        <v>31</v>
      </c>
      <c r="P452" s="2">
        <v>45726</v>
      </c>
      <c r="Q452" s="1" t="s">
        <v>1119</v>
      </c>
      <c r="R452" s="1" t="s">
        <v>1120</v>
      </c>
      <c r="S452" s="1" t="s">
        <v>34</v>
      </c>
      <c r="T452" s="1" t="s">
        <v>35</v>
      </c>
      <c r="U452" s="1" t="s">
        <v>66</v>
      </c>
      <c r="V452" s="1" t="s">
        <v>67</v>
      </c>
      <c r="W452">
        <v>3</v>
      </c>
      <c r="X452" s="1">
        <f t="shared" si="14"/>
        <v>8551.6499999999451</v>
      </c>
      <c r="Y452" s="1">
        <f t="shared" si="15"/>
        <v>6397.4799999999632</v>
      </c>
    </row>
    <row r="453" spans="1:25" x14ac:dyDescent="0.3">
      <c r="A453" s="1" t="s">
        <v>1121</v>
      </c>
      <c r="B453">
        <v>1</v>
      </c>
      <c r="C453">
        <v>34.99</v>
      </c>
      <c r="D453">
        <v>34.99</v>
      </c>
      <c r="E453" s="1" t="s">
        <v>1122</v>
      </c>
      <c r="F453" s="1" t="s">
        <v>51</v>
      </c>
      <c r="G453">
        <v>0</v>
      </c>
      <c r="H453" s="1" t="s">
        <v>96</v>
      </c>
      <c r="I453" s="1" t="s">
        <v>85</v>
      </c>
      <c r="J453">
        <v>12.5</v>
      </c>
      <c r="K453">
        <v>34.99</v>
      </c>
      <c r="L453" s="1" t="s">
        <v>60</v>
      </c>
      <c r="M453" s="1" t="s">
        <v>29</v>
      </c>
      <c r="N453" s="1" t="s">
        <v>30</v>
      </c>
      <c r="O453" s="1" t="s">
        <v>31</v>
      </c>
      <c r="P453" s="2">
        <v>45778</v>
      </c>
      <c r="Q453" s="1" t="s">
        <v>290</v>
      </c>
      <c r="R453" s="1" t="s">
        <v>1123</v>
      </c>
      <c r="S453" s="1" t="s">
        <v>34</v>
      </c>
      <c r="T453" s="1" t="s">
        <v>35</v>
      </c>
      <c r="U453" s="1" t="s">
        <v>55</v>
      </c>
      <c r="V453" s="1" t="s">
        <v>89</v>
      </c>
      <c r="W453">
        <v>2.4</v>
      </c>
      <c r="X453" s="1">
        <f t="shared" si="14"/>
        <v>7844.9099999999507</v>
      </c>
      <c r="Y453" s="1">
        <f t="shared" si="15"/>
        <v>5710.7699999999695</v>
      </c>
    </row>
    <row r="454" spans="1:25" x14ac:dyDescent="0.3">
      <c r="A454" s="1" t="s">
        <v>1124</v>
      </c>
      <c r="B454">
        <v>1</v>
      </c>
      <c r="C454">
        <v>30.99</v>
      </c>
      <c r="D454">
        <v>30.99</v>
      </c>
      <c r="E454" s="1" t="s">
        <v>796</v>
      </c>
      <c r="F454" s="1" t="s">
        <v>40</v>
      </c>
      <c r="G454">
        <v>3</v>
      </c>
      <c r="H454" s="1" t="s">
        <v>96</v>
      </c>
      <c r="I454" s="1" t="s">
        <v>42</v>
      </c>
      <c r="J454">
        <v>10.5</v>
      </c>
      <c r="K454">
        <v>30.99</v>
      </c>
      <c r="L454" s="1" t="s">
        <v>28</v>
      </c>
      <c r="M454" s="1" t="s">
        <v>43</v>
      </c>
      <c r="N454" s="1" t="s">
        <v>44</v>
      </c>
      <c r="O454" s="1" t="s">
        <v>31</v>
      </c>
      <c r="P454" s="2">
        <v>45823</v>
      </c>
      <c r="Q454" s="1" t="s">
        <v>86</v>
      </c>
      <c r="R454" s="1" t="s">
        <v>1125</v>
      </c>
      <c r="S454" s="1" t="s">
        <v>105</v>
      </c>
      <c r="T454" s="1" t="s">
        <v>35</v>
      </c>
      <c r="U454" s="1" t="s">
        <v>36</v>
      </c>
      <c r="V454" s="1" t="s">
        <v>37</v>
      </c>
      <c r="W454">
        <v>2</v>
      </c>
      <c r="X454" s="1">
        <f t="shared" si="14"/>
        <v>7844.9099999999507</v>
      </c>
      <c r="Y454" s="1">
        <f t="shared" si="15"/>
        <v>6355.4899999999634</v>
      </c>
    </row>
    <row r="455" spans="1:25" x14ac:dyDescent="0.3">
      <c r="A455" s="1" t="s">
        <v>1126</v>
      </c>
      <c r="B455">
        <v>1</v>
      </c>
      <c r="C455">
        <v>16.989999999999998</v>
      </c>
      <c r="D455">
        <v>16.989999999999998</v>
      </c>
      <c r="E455" s="1" t="s">
        <v>1127</v>
      </c>
      <c r="F455" s="1" t="s">
        <v>188</v>
      </c>
      <c r="G455">
        <v>0</v>
      </c>
      <c r="H455" s="1" t="s">
        <v>96</v>
      </c>
      <c r="I455" s="1" t="s">
        <v>59</v>
      </c>
      <c r="J455">
        <v>5</v>
      </c>
      <c r="K455">
        <v>16.989999999999998</v>
      </c>
      <c r="L455" s="1" t="s">
        <v>60</v>
      </c>
      <c r="M455" s="1" t="s">
        <v>61</v>
      </c>
      <c r="N455" s="1" t="s">
        <v>62</v>
      </c>
      <c r="O455" s="1" t="s">
        <v>31</v>
      </c>
      <c r="P455" s="2">
        <v>45726</v>
      </c>
      <c r="Q455" s="1" t="s">
        <v>732</v>
      </c>
      <c r="R455" s="1" t="s">
        <v>733</v>
      </c>
      <c r="S455" s="1" t="s">
        <v>65</v>
      </c>
      <c r="T455" s="1" t="s">
        <v>35</v>
      </c>
      <c r="U455" s="1" t="s">
        <v>48</v>
      </c>
      <c r="V455" s="1" t="s">
        <v>67</v>
      </c>
      <c r="W455">
        <v>3</v>
      </c>
      <c r="X455" s="1">
        <f t="shared" si="14"/>
        <v>7844.9099999999507</v>
      </c>
      <c r="Y455" s="1">
        <f t="shared" si="15"/>
        <v>7682.919999999951</v>
      </c>
    </row>
    <row r="456" spans="1:25" x14ac:dyDescent="0.3">
      <c r="A456" s="1" t="s">
        <v>1128</v>
      </c>
      <c r="B456">
        <v>1</v>
      </c>
      <c r="C456">
        <v>34.99</v>
      </c>
      <c r="D456">
        <v>34.99</v>
      </c>
      <c r="E456" s="1" t="s">
        <v>1129</v>
      </c>
      <c r="F456" s="1" t="s">
        <v>40</v>
      </c>
      <c r="G456">
        <v>8</v>
      </c>
      <c r="H456" s="1" t="s">
        <v>41</v>
      </c>
      <c r="I456" s="1" t="s">
        <v>85</v>
      </c>
      <c r="J456">
        <v>12.5</v>
      </c>
      <c r="K456">
        <v>34.99</v>
      </c>
      <c r="L456" s="1" t="s">
        <v>60</v>
      </c>
      <c r="M456" s="1" t="s">
        <v>29</v>
      </c>
      <c r="N456" s="1" t="s">
        <v>30</v>
      </c>
      <c r="O456" s="1" t="s">
        <v>31</v>
      </c>
      <c r="P456" s="2">
        <v>45778</v>
      </c>
      <c r="Q456" s="1" t="s">
        <v>147</v>
      </c>
      <c r="R456" s="1" t="s">
        <v>757</v>
      </c>
      <c r="S456" s="1" t="s">
        <v>47</v>
      </c>
      <c r="T456" s="1" t="s">
        <v>35</v>
      </c>
      <c r="U456" s="1" t="s">
        <v>48</v>
      </c>
      <c r="V456" s="1" t="s">
        <v>89</v>
      </c>
      <c r="W456">
        <v>2.4</v>
      </c>
      <c r="X456" s="1">
        <f t="shared" si="14"/>
        <v>8551.6499999999451</v>
      </c>
      <c r="Y456" s="1">
        <f t="shared" si="15"/>
        <v>7682.919999999951</v>
      </c>
    </row>
    <row r="457" spans="1:25" x14ac:dyDescent="0.3">
      <c r="A457" s="1" t="s">
        <v>1130</v>
      </c>
      <c r="B457">
        <v>1</v>
      </c>
      <c r="C457">
        <v>34.99</v>
      </c>
      <c r="D457">
        <v>34.99</v>
      </c>
      <c r="E457" s="1" t="s">
        <v>1015</v>
      </c>
      <c r="F457" s="1" t="s">
        <v>40</v>
      </c>
      <c r="G457">
        <v>5</v>
      </c>
      <c r="H457" s="1" t="s">
        <v>41</v>
      </c>
      <c r="I457" s="1" t="s">
        <v>85</v>
      </c>
      <c r="J457">
        <v>12.5</v>
      </c>
      <c r="K457">
        <v>34.99</v>
      </c>
      <c r="L457" s="1" t="s">
        <v>60</v>
      </c>
      <c r="M457" s="1" t="s">
        <v>29</v>
      </c>
      <c r="N457" s="1" t="s">
        <v>30</v>
      </c>
      <c r="O457" s="1" t="s">
        <v>31</v>
      </c>
      <c r="P457" s="2">
        <v>45778</v>
      </c>
      <c r="Q457" s="1" t="s">
        <v>420</v>
      </c>
      <c r="R457" s="1" t="s">
        <v>1131</v>
      </c>
      <c r="S457" s="1" t="s">
        <v>54</v>
      </c>
      <c r="T457" s="1" t="s">
        <v>35</v>
      </c>
      <c r="U457" s="1" t="s">
        <v>55</v>
      </c>
      <c r="V457" s="1" t="s">
        <v>89</v>
      </c>
      <c r="W457">
        <v>2.4</v>
      </c>
      <c r="X457" s="1">
        <f t="shared" si="14"/>
        <v>8551.6499999999451</v>
      </c>
      <c r="Y457" s="1">
        <f t="shared" si="15"/>
        <v>5710.7699999999695</v>
      </c>
    </row>
    <row r="458" spans="1:25" x14ac:dyDescent="0.3">
      <c r="A458" s="1" t="s">
        <v>1132</v>
      </c>
      <c r="B458">
        <v>1</v>
      </c>
      <c r="C458">
        <v>34.99</v>
      </c>
      <c r="D458">
        <v>34.99</v>
      </c>
      <c r="E458" s="1" t="s">
        <v>121</v>
      </c>
      <c r="F458" s="1" t="s">
        <v>40</v>
      </c>
      <c r="G458">
        <v>8</v>
      </c>
      <c r="H458" s="1" t="s">
        <v>26</v>
      </c>
      <c r="I458" s="1" t="s">
        <v>85</v>
      </c>
      <c r="J458">
        <v>12.5</v>
      </c>
      <c r="K458">
        <v>34.99</v>
      </c>
      <c r="L458" s="1" t="s">
        <v>60</v>
      </c>
      <c r="M458" s="1" t="s">
        <v>29</v>
      </c>
      <c r="N458" s="1" t="s">
        <v>30</v>
      </c>
      <c r="O458" s="1" t="s">
        <v>31</v>
      </c>
      <c r="P458" s="2">
        <v>45778</v>
      </c>
      <c r="Q458" s="1" t="s">
        <v>1133</v>
      </c>
      <c r="R458" s="1" t="s">
        <v>1134</v>
      </c>
      <c r="S458" s="1" t="s">
        <v>65</v>
      </c>
      <c r="T458" s="1" t="s">
        <v>35</v>
      </c>
      <c r="U458" s="1" t="s">
        <v>36</v>
      </c>
      <c r="V458" s="1" t="s">
        <v>89</v>
      </c>
      <c r="W458">
        <v>2.4</v>
      </c>
      <c r="X458" s="1">
        <f t="shared" si="14"/>
        <v>8313.6899999999459</v>
      </c>
      <c r="Y458" s="1">
        <f t="shared" si="15"/>
        <v>6355.4899999999634</v>
      </c>
    </row>
    <row r="459" spans="1:25" x14ac:dyDescent="0.3">
      <c r="A459" s="1" t="s">
        <v>1135</v>
      </c>
      <c r="B459">
        <v>1</v>
      </c>
      <c r="C459">
        <v>30.99</v>
      </c>
      <c r="D459">
        <v>30.99</v>
      </c>
      <c r="E459" s="1" t="s">
        <v>1136</v>
      </c>
      <c r="F459" s="1" t="s">
        <v>40</v>
      </c>
      <c r="G459">
        <v>3</v>
      </c>
      <c r="H459" s="1" t="s">
        <v>58</v>
      </c>
      <c r="I459" s="1" t="s">
        <v>42</v>
      </c>
      <c r="J459">
        <v>10.5</v>
      </c>
      <c r="K459">
        <v>30.99</v>
      </c>
      <c r="L459" s="1" t="s">
        <v>28</v>
      </c>
      <c r="M459" s="1" t="s">
        <v>43</v>
      </c>
      <c r="N459" s="1" t="s">
        <v>44</v>
      </c>
      <c r="O459" s="1" t="s">
        <v>31</v>
      </c>
      <c r="P459" s="2">
        <v>45823</v>
      </c>
      <c r="Q459" s="1" t="s">
        <v>1137</v>
      </c>
      <c r="R459" s="1" t="s">
        <v>1138</v>
      </c>
      <c r="S459" s="1" t="s">
        <v>34</v>
      </c>
      <c r="T459" s="1" t="s">
        <v>35</v>
      </c>
      <c r="U459" s="1" t="s">
        <v>82</v>
      </c>
      <c r="V459" s="1" t="s">
        <v>37</v>
      </c>
      <c r="W459">
        <v>2</v>
      </c>
      <c r="X459" s="1">
        <f t="shared" si="14"/>
        <v>8640.6199999999462</v>
      </c>
      <c r="Y459" s="1">
        <f t="shared" si="15"/>
        <v>7204.2099999999582</v>
      </c>
    </row>
    <row r="460" spans="1:25" x14ac:dyDescent="0.3">
      <c r="A460" s="1" t="s">
        <v>1139</v>
      </c>
      <c r="B460">
        <v>2</v>
      </c>
      <c r="C460">
        <v>18.989999999999998</v>
      </c>
      <c r="D460">
        <v>32.61</v>
      </c>
      <c r="E460" s="1" t="s">
        <v>719</v>
      </c>
      <c r="F460" s="1" t="s">
        <v>40</v>
      </c>
      <c r="G460">
        <v>18</v>
      </c>
      <c r="H460" s="1" t="s">
        <v>96</v>
      </c>
      <c r="I460" s="1" t="s">
        <v>97</v>
      </c>
      <c r="J460">
        <v>6</v>
      </c>
      <c r="K460">
        <v>18.989999999999998</v>
      </c>
      <c r="L460" s="1" t="s">
        <v>60</v>
      </c>
      <c r="M460" s="1" t="s">
        <v>43</v>
      </c>
      <c r="N460" s="1" t="s">
        <v>44</v>
      </c>
      <c r="O460" s="1" t="s">
        <v>31</v>
      </c>
      <c r="P460" s="2">
        <v>45823</v>
      </c>
      <c r="Q460" s="1" t="s">
        <v>1140</v>
      </c>
      <c r="R460" s="1" t="s">
        <v>1141</v>
      </c>
      <c r="S460" s="1" t="s">
        <v>34</v>
      </c>
      <c r="T460" s="1" t="s">
        <v>35</v>
      </c>
      <c r="U460" s="1" t="s">
        <v>36</v>
      </c>
      <c r="V460" s="1" t="s">
        <v>100</v>
      </c>
      <c r="W460">
        <v>3.2</v>
      </c>
      <c r="X460" s="1">
        <f t="shared" si="14"/>
        <v>7844.9099999999507</v>
      </c>
      <c r="Y460" s="1">
        <f t="shared" si="15"/>
        <v>6355.4899999999634</v>
      </c>
    </row>
    <row r="461" spans="1:25" x14ac:dyDescent="0.3">
      <c r="A461" s="1" t="s">
        <v>1142</v>
      </c>
      <c r="B461">
        <v>1</v>
      </c>
      <c r="C461">
        <v>34.99</v>
      </c>
      <c r="D461">
        <v>34.99</v>
      </c>
      <c r="E461" s="1" t="s">
        <v>1143</v>
      </c>
      <c r="F461" s="1" t="s">
        <v>40</v>
      </c>
      <c r="G461">
        <v>6</v>
      </c>
      <c r="H461" s="1" t="s">
        <v>96</v>
      </c>
      <c r="I461" s="1" t="s">
        <v>85</v>
      </c>
      <c r="J461">
        <v>12.5</v>
      </c>
      <c r="K461">
        <v>34.99</v>
      </c>
      <c r="L461" s="1" t="s">
        <v>60</v>
      </c>
      <c r="M461" s="1" t="s">
        <v>29</v>
      </c>
      <c r="N461" s="1" t="s">
        <v>30</v>
      </c>
      <c r="O461" s="1" t="s">
        <v>31</v>
      </c>
      <c r="P461" s="2">
        <v>45778</v>
      </c>
      <c r="Q461" s="1" t="s">
        <v>1144</v>
      </c>
      <c r="R461" s="1" t="s">
        <v>1145</v>
      </c>
      <c r="S461" s="1" t="s">
        <v>105</v>
      </c>
      <c r="T461" s="1" t="s">
        <v>35</v>
      </c>
      <c r="U461" s="1" t="s">
        <v>36</v>
      </c>
      <c r="V461" s="1" t="s">
        <v>89</v>
      </c>
      <c r="W461">
        <v>2.4</v>
      </c>
      <c r="X461" s="1">
        <f t="shared" si="14"/>
        <v>7844.9099999999507</v>
      </c>
      <c r="Y461" s="1">
        <f t="shared" si="15"/>
        <v>6355.4899999999634</v>
      </c>
    </row>
    <row r="462" spans="1:25" x14ac:dyDescent="0.3">
      <c r="A462" s="1" t="s">
        <v>1146</v>
      </c>
      <c r="B462">
        <v>3</v>
      </c>
      <c r="C462">
        <v>34.99</v>
      </c>
      <c r="D462">
        <v>83.83</v>
      </c>
      <c r="E462" s="1" t="s">
        <v>313</v>
      </c>
      <c r="F462" s="1" t="s">
        <v>51</v>
      </c>
      <c r="G462">
        <v>0</v>
      </c>
      <c r="H462" s="1" t="s">
        <v>96</v>
      </c>
      <c r="I462" s="1" t="s">
        <v>85</v>
      </c>
      <c r="J462">
        <v>12.5</v>
      </c>
      <c r="K462">
        <v>34.99</v>
      </c>
      <c r="L462" s="1" t="s">
        <v>60</v>
      </c>
      <c r="M462" s="1" t="s">
        <v>29</v>
      </c>
      <c r="N462" s="1" t="s">
        <v>30</v>
      </c>
      <c r="O462" s="1" t="s">
        <v>31</v>
      </c>
      <c r="P462" s="2">
        <v>45778</v>
      </c>
      <c r="Q462" s="1" t="s">
        <v>1147</v>
      </c>
      <c r="R462" s="1" t="s">
        <v>1148</v>
      </c>
      <c r="S462" s="1" t="s">
        <v>34</v>
      </c>
      <c r="T462" s="1" t="s">
        <v>35</v>
      </c>
      <c r="U462" s="1" t="s">
        <v>55</v>
      </c>
      <c r="V462" s="1" t="s">
        <v>89</v>
      </c>
      <c r="W462">
        <v>2.4</v>
      </c>
      <c r="X462" s="1">
        <f t="shared" si="14"/>
        <v>7844.9099999999507</v>
      </c>
      <c r="Y462" s="1">
        <f t="shared" si="15"/>
        <v>5710.7699999999695</v>
      </c>
    </row>
    <row r="463" spans="1:25" x14ac:dyDescent="0.3">
      <c r="A463" s="1" t="s">
        <v>1149</v>
      </c>
      <c r="B463">
        <v>3</v>
      </c>
      <c r="C463">
        <v>21.99</v>
      </c>
      <c r="D463">
        <v>51.88</v>
      </c>
      <c r="E463" s="1" t="s">
        <v>331</v>
      </c>
      <c r="F463" s="1" t="s">
        <v>40</v>
      </c>
      <c r="G463">
        <v>3</v>
      </c>
      <c r="H463" s="1" t="s">
        <v>26</v>
      </c>
      <c r="I463" s="1" t="s">
        <v>27</v>
      </c>
      <c r="J463">
        <v>7</v>
      </c>
      <c r="K463">
        <v>21.99</v>
      </c>
      <c r="L463" s="1" t="s">
        <v>28</v>
      </c>
      <c r="M463" s="1" t="s">
        <v>29</v>
      </c>
      <c r="N463" s="1" t="s">
        <v>30</v>
      </c>
      <c r="O463" s="1" t="s">
        <v>31</v>
      </c>
      <c r="P463" s="2">
        <v>45778</v>
      </c>
      <c r="Q463" s="1" t="s">
        <v>1150</v>
      </c>
      <c r="R463" s="1" t="s">
        <v>1151</v>
      </c>
      <c r="S463" s="1" t="s">
        <v>34</v>
      </c>
      <c r="T463" s="1" t="s">
        <v>35</v>
      </c>
      <c r="U463" s="1" t="s">
        <v>55</v>
      </c>
      <c r="V463" s="1" t="s">
        <v>37</v>
      </c>
      <c r="W463">
        <v>2</v>
      </c>
      <c r="X463" s="1">
        <f t="shared" si="14"/>
        <v>8313.6899999999459</v>
      </c>
      <c r="Y463" s="1">
        <f t="shared" si="15"/>
        <v>5710.7699999999695</v>
      </c>
    </row>
    <row r="464" spans="1:25" x14ac:dyDescent="0.3">
      <c r="A464" s="1" t="s">
        <v>1152</v>
      </c>
      <c r="B464">
        <v>2</v>
      </c>
      <c r="C464">
        <v>27.99</v>
      </c>
      <c r="D464">
        <v>48.65</v>
      </c>
      <c r="E464" s="1" t="s">
        <v>1153</v>
      </c>
      <c r="F464" s="1" t="s">
        <v>70</v>
      </c>
      <c r="G464">
        <v>0</v>
      </c>
      <c r="H464" s="1" t="s">
        <v>41</v>
      </c>
      <c r="I464" s="1" t="s">
        <v>75</v>
      </c>
      <c r="J464">
        <v>9</v>
      </c>
      <c r="K464">
        <v>27.99</v>
      </c>
      <c r="L464" s="1" t="s">
        <v>28</v>
      </c>
      <c r="M464" s="1" t="s">
        <v>61</v>
      </c>
      <c r="N464" s="1" t="s">
        <v>62</v>
      </c>
      <c r="O464" s="1" t="s">
        <v>31</v>
      </c>
      <c r="P464" s="2">
        <v>45726</v>
      </c>
      <c r="Q464" s="1" t="s">
        <v>358</v>
      </c>
      <c r="R464" s="1" t="s">
        <v>1154</v>
      </c>
      <c r="S464" s="1" t="s">
        <v>65</v>
      </c>
      <c r="T464" s="1" t="s">
        <v>35</v>
      </c>
      <c r="U464" s="1" t="s">
        <v>48</v>
      </c>
      <c r="V464" s="1" t="s">
        <v>37</v>
      </c>
      <c r="W464">
        <v>2</v>
      </c>
      <c r="X464" s="1">
        <f t="shared" si="14"/>
        <v>8551.6499999999451</v>
      </c>
      <c r="Y464" s="1">
        <f t="shared" si="15"/>
        <v>7682.919999999951</v>
      </c>
    </row>
    <row r="465" spans="1:25" x14ac:dyDescent="0.3">
      <c r="A465" s="1" t="s">
        <v>1155</v>
      </c>
      <c r="B465">
        <v>1</v>
      </c>
      <c r="C465">
        <v>18.989999999999998</v>
      </c>
      <c r="D465">
        <v>18.989999999999998</v>
      </c>
      <c r="E465" s="1" t="s">
        <v>1156</v>
      </c>
      <c r="F465" s="1" t="s">
        <v>40</v>
      </c>
      <c r="G465">
        <v>10</v>
      </c>
      <c r="H465" s="1" t="s">
        <v>41</v>
      </c>
      <c r="I465" s="1" t="s">
        <v>97</v>
      </c>
      <c r="J465">
        <v>6</v>
      </c>
      <c r="K465">
        <v>18.989999999999998</v>
      </c>
      <c r="L465" s="1" t="s">
        <v>60</v>
      </c>
      <c r="M465" s="1" t="s">
        <v>43</v>
      </c>
      <c r="N465" s="1" t="s">
        <v>44</v>
      </c>
      <c r="O465" s="1" t="s">
        <v>31</v>
      </c>
      <c r="P465" s="2">
        <v>45823</v>
      </c>
      <c r="Q465" s="1" t="s">
        <v>1157</v>
      </c>
      <c r="R465" s="1" t="s">
        <v>1158</v>
      </c>
      <c r="S465" s="1" t="s">
        <v>105</v>
      </c>
      <c r="T465" s="1" t="s">
        <v>35</v>
      </c>
      <c r="U465" s="1" t="s">
        <v>55</v>
      </c>
      <c r="V465" s="1" t="s">
        <v>100</v>
      </c>
      <c r="W465">
        <v>3.2</v>
      </c>
      <c r="X465" s="1">
        <f t="shared" si="14"/>
        <v>8551.6499999999451</v>
      </c>
      <c r="Y465" s="1">
        <f t="shared" si="15"/>
        <v>5710.7699999999695</v>
      </c>
    </row>
    <row r="466" spans="1:25" x14ac:dyDescent="0.3">
      <c r="A466" s="1" t="s">
        <v>1159</v>
      </c>
      <c r="B466">
        <v>3</v>
      </c>
      <c r="C466">
        <v>18.989999999999998</v>
      </c>
      <c r="D466">
        <v>45.77</v>
      </c>
      <c r="E466" s="1" t="s">
        <v>181</v>
      </c>
      <c r="F466" s="1" t="s">
        <v>40</v>
      </c>
      <c r="G466">
        <v>12</v>
      </c>
      <c r="H466" s="1" t="s">
        <v>41</v>
      </c>
      <c r="I466" s="1" t="s">
        <v>97</v>
      </c>
      <c r="J466">
        <v>6</v>
      </c>
      <c r="K466">
        <v>18.989999999999998</v>
      </c>
      <c r="L466" s="1" t="s">
        <v>60</v>
      </c>
      <c r="M466" s="1" t="s">
        <v>43</v>
      </c>
      <c r="N466" s="1" t="s">
        <v>44</v>
      </c>
      <c r="O466" s="1" t="s">
        <v>31</v>
      </c>
      <c r="P466" s="2">
        <v>45823</v>
      </c>
      <c r="Q466" s="1" t="s">
        <v>793</v>
      </c>
      <c r="R466" s="1" t="s">
        <v>794</v>
      </c>
      <c r="S466" s="1" t="s">
        <v>34</v>
      </c>
      <c r="T466" s="1" t="s">
        <v>35</v>
      </c>
      <c r="U466" s="1" t="s">
        <v>82</v>
      </c>
      <c r="V466" s="1" t="s">
        <v>100</v>
      </c>
      <c r="W466">
        <v>3.2</v>
      </c>
      <c r="X466" s="1">
        <f t="shared" si="14"/>
        <v>8551.6499999999451</v>
      </c>
      <c r="Y466" s="1">
        <f t="shared" si="15"/>
        <v>7204.2099999999582</v>
      </c>
    </row>
    <row r="467" spans="1:25" x14ac:dyDescent="0.3">
      <c r="A467" s="1" t="s">
        <v>1160</v>
      </c>
      <c r="B467">
        <v>1</v>
      </c>
      <c r="C467">
        <v>21.99</v>
      </c>
      <c r="D467">
        <v>21.99</v>
      </c>
      <c r="E467" s="1" t="s">
        <v>1161</v>
      </c>
      <c r="F467" s="1" t="s">
        <v>40</v>
      </c>
      <c r="G467">
        <v>2</v>
      </c>
      <c r="H467" s="1" t="s">
        <v>41</v>
      </c>
      <c r="I467" s="1" t="s">
        <v>27</v>
      </c>
      <c r="J467">
        <v>7</v>
      </c>
      <c r="K467">
        <v>21.99</v>
      </c>
      <c r="L467" s="1" t="s">
        <v>28</v>
      </c>
      <c r="M467" s="1" t="s">
        <v>29</v>
      </c>
      <c r="N467" s="1" t="s">
        <v>30</v>
      </c>
      <c r="O467" s="1" t="s">
        <v>31</v>
      </c>
      <c r="P467" s="2">
        <v>45778</v>
      </c>
      <c r="Q467" s="1" t="s">
        <v>1162</v>
      </c>
      <c r="R467" s="1" t="s">
        <v>1163</v>
      </c>
      <c r="S467" s="1" t="s">
        <v>65</v>
      </c>
      <c r="T467" s="1" t="s">
        <v>35</v>
      </c>
      <c r="U467" s="1" t="s">
        <v>48</v>
      </c>
      <c r="V467" s="1" t="s">
        <v>37</v>
      </c>
      <c r="W467">
        <v>2</v>
      </c>
      <c r="X467" s="1">
        <f t="shared" si="14"/>
        <v>8551.6499999999451</v>
      </c>
      <c r="Y467" s="1">
        <f t="shared" si="15"/>
        <v>7682.919999999951</v>
      </c>
    </row>
    <row r="468" spans="1:25" x14ac:dyDescent="0.3">
      <c r="A468" s="1" t="s">
        <v>1164</v>
      </c>
      <c r="B468">
        <v>1</v>
      </c>
      <c r="C468">
        <v>34.99</v>
      </c>
      <c r="D468">
        <v>34.99</v>
      </c>
      <c r="E468" s="1" t="s">
        <v>902</v>
      </c>
      <c r="F468" s="1" t="s">
        <v>40</v>
      </c>
      <c r="G468">
        <v>5</v>
      </c>
      <c r="H468" s="1" t="s">
        <v>58</v>
      </c>
      <c r="I468" s="1" t="s">
        <v>85</v>
      </c>
      <c r="J468">
        <v>12.5</v>
      </c>
      <c r="K468">
        <v>34.99</v>
      </c>
      <c r="L468" s="1" t="s">
        <v>60</v>
      </c>
      <c r="M468" s="1" t="s">
        <v>29</v>
      </c>
      <c r="N468" s="1" t="s">
        <v>30</v>
      </c>
      <c r="O468" s="1" t="s">
        <v>31</v>
      </c>
      <c r="P468" s="2">
        <v>45778</v>
      </c>
      <c r="Q468" s="1" t="s">
        <v>934</v>
      </c>
      <c r="R468" s="1" t="s">
        <v>1165</v>
      </c>
      <c r="S468" s="1" t="s">
        <v>65</v>
      </c>
      <c r="T468" s="1" t="s">
        <v>35</v>
      </c>
      <c r="U468" s="1" t="s">
        <v>82</v>
      </c>
      <c r="V468" s="1" t="s">
        <v>89</v>
      </c>
      <c r="W468">
        <v>2.4</v>
      </c>
      <c r="X468" s="1">
        <f t="shared" si="14"/>
        <v>8640.6199999999462</v>
      </c>
      <c r="Y468" s="1">
        <f t="shared" si="15"/>
        <v>7204.2099999999582</v>
      </c>
    </row>
    <row r="469" spans="1:25" x14ac:dyDescent="0.3">
      <c r="A469" s="1" t="s">
        <v>1166</v>
      </c>
      <c r="B469">
        <v>1</v>
      </c>
      <c r="C469">
        <v>27.99</v>
      </c>
      <c r="D469">
        <v>27.99</v>
      </c>
      <c r="E469" s="1" t="s">
        <v>744</v>
      </c>
      <c r="F469" s="1" t="s">
        <v>40</v>
      </c>
      <c r="G469">
        <v>3</v>
      </c>
      <c r="H469" s="1" t="s">
        <v>58</v>
      </c>
      <c r="I469" s="1" t="s">
        <v>75</v>
      </c>
      <c r="J469">
        <v>9</v>
      </c>
      <c r="K469">
        <v>27.99</v>
      </c>
      <c r="L469" s="1" t="s">
        <v>28</v>
      </c>
      <c r="M469" s="1" t="s">
        <v>61</v>
      </c>
      <c r="N469" s="1" t="s">
        <v>62</v>
      </c>
      <c r="O469" s="1" t="s">
        <v>31</v>
      </c>
      <c r="P469" s="2">
        <v>45726</v>
      </c>
      <c r="Q469" s="1" t="s">
        <v>63</v>
      </c>
      <c r="R469" s="1" t="s">
        <v>736</v>
      </c>
      <c r="S469" s="1" t="s">
        <v>47</v>
      </c>
      <c r="T469" s="1" t="s">
        <v>35</v>
      </c>
      <c r="U469" s="1" t="s">
        <v>66</v>
      </c>
      <c r="V469" s="1" t="s">
        <v>37</v>
      </c>
      <c r="W469">
        <v>2</v>
      </c>
      <c r="X469" s="1">
        <f t="shared" si="14"/>
        <v>8640.6199999999462</v>
      </c>
      <c r="Y469" s="1">
        <f t="shared" si="15"/>
        <v>6397.4799999999632</v>
      </c>
    </row>
    <row r="470" spans="1:25" x14ac:dyDescent="0.3">
      <c r="A470" s="1" t="s">
        <v>1167</v>
      </c>
      <c r="B470">
        <v>2</v>
      </c>
      <c r="C470">
        <v>21.99</v>
      </c>
      <c r="D470">
        <v>38</v>
      </c>
      <c r="E470" s="1" t="s">
        <v>1168</v>
      </c>
      <c r="F470" s="1" t="s">
        <v>40</v>
      </c>
      <c r="G470">
        <v>3</v>
      </c>
      <c r="H470" s="1" t="s">
        <v>58</v>
      </c>
      <c r="I470" s="1" t="s">
        <v>27</v>
      </c>
      <c r="J470">
        <v>7</v>
      </c>
      <c r="K470">
        <v>21.99</v>
      </c>
      <c r="L470" s="1" t="s">
        <v>28</v>
      </c>
      <c r="M470" s="1" t="s">
        <v>29</v>
      </c>
      <c r="N470" s="1" t="s">
        <v>30</v>
      </c>
      <c r="O470" s="1" t="s">
        <v>31</v>
      </c>
      <c r="P470" s="2">
        <v>45778</v>
      </c>
      <c r="Q470" s="1" t="s">
        <v>934</v>
      </c>
      <c r="R470" s="1" t="s">
        <v>935</v>
      </c>
      <c r="S470" s="1" t="s">
        <v>105</v>
      </c>
      <c r="T470" s="1" t="s">
        <v>35</v>
      </c>
      <c r="U470" s="1" t="s">
        <v>82</v>
      </c>
      <c r="V470" s="1" t="s">
        <v>37</v>
      </c>
      <c r="W470">
        <v>2</v>
      </c>
      <c r="X470" s="1">
        <f t="shared" si="14"/>
        <v>8640.6199999999462</v>
      </c>
      <c r="Y470" s="1">
        <f t="shared" si="15"/>
        <v>7204.2099999999582</v>
      </c>
    </row>
    <row r="471" spans="1:25" x14ac:dyDescent="0.3">
      <c r="A471" s="1" t="s">
        <v>1169</v>
      </c>
      <c r="B471">
        <v>1</v>
      </c>
      <c r="C471">
        <v>27.99</v>
      </c>
      <c r="D471">
        <v>27.99</v>
      </c>
      <c r="E471" s="1" t="s">
        <v>1170</v>
      </c>
      <c r="F471" s="1" t="s">
        <v>51</v>
      </c>
      <c r="G471">
        <v>0</v>
      </c>
      <c r="H471" s="1" t="s">
        <v>58</v>
      </c>
      <c r="I471" s="1" t="s">
        <v>75</v>
      </c>
      <c r="J471">
        <v>9</v>
      </c>
      <c r="K471">
        <v>27.99</v>
      </c>
      <c r="L471" s="1" t="s">
        <v>28</v>
      </c>
      <c r="M471" s="1" t="s">
        <v>61</v>
      </c>
      <c r="N471" s="1" t="s">
        <v>62</v>
      </c>
      <c r="O471" s="1" t="s">
        <v>31</v>
      </c>
      <c r="P471" s="2">
        <v>45726</v>
      </c>
      <c r="Q471" s="1" t="s">
        <v>930</v>
      </c>
      <c r="R471" s="1" t="s">
        <v>931</v>
      </c>
      <c r="S471" s="1" t="s">
        <v>65</v>
      </c>
      <c r="T471" s="1" t="s">
        <v>35</v>
      </c>
      <c r="U471" s="1" t="s">
        <v>36</v>
      </c>
      <c r="V471" s="1" t="s">
        <v>37</v>
      </c>
      <c r="W471">
        <v>2</v>
      </c>
      <c r="X471" s="1">
        <f t="shared" si="14"/>
        <v>8640.6199999999462</v>
      </c>
      <c r="Y471" s="1">
        <f t="shared" si="15"/>
        <v>6355.4899999999634</v>
      </c>
    </row>
    <row r="472" spans="1:25" x14ac:dyDescent="0.3">
      <c r="A472" s="1" t="s">
        <v>1171</v>
      </c>
      <c r="B472">
        <v>1</v>
      </c>
      <c r="C472">
        <v>30.99</v>
      </c>
      <c r="D472">
        <v>30.99</v>
      </c>
      <c r="E472" s="1" t="s">
        <v>1172</v>
      </c>
      <c r="F472" s="1" t="s">
        <v>40</v>
      </c>
      <c r="G472">
        <v>2</v>
      </c>
      <c r="H472" s="1" t="s">
        <v>58</v>
      </c>
      <c r="I472" s="1" t="s">
        <v>42</v>
      </c>
      <c r="J472">
        <v>10.5</v>
      </c>
      <c r="K472">
        <v>30.99</v>
      </c>
      <c r="L472" s="1" t="s">
        <v>28</v>
      </c>
      <c r="M472" s="1" t="s">
        <v>43</v>
      </c>
      <c r="N472" s="1" t="s">
        <v>44</v>
      </c>
      <c r="O472" s="1" t="s">
        <v>31</v>
      </c>
      <c r="P472" s="2">
        <v>45823</v>
      </c>
      <c r="Q472" s="1" t="s">
        <v>893</v>
      </c>
      <c r="R472" s="1" t="s">
        <v>894</v>
      </c>
      <c r="S472" s="1" t="s">
        <v>411</v>
      </c>
      <c r="T472" s="1" t="s">
        <v>35</v>
      </c>
      <c r="U472" s="1" t="s">
        <v>48</v>
      </c>
      <c r="V472" s="1" t="s">
        <v>37</v>
      </c>
      <c r="W472">
        <v>2</v>
      </c>
      <c r="X472" s="1">
        <f t="shared" si="14"/>
        <v>8640.6199999999462</v>
      </c>
      <c r="Y472" s="1">
        <f t="shared" si="15"/>
        <v>7682.919999999951</v>
      </c>
    </row>
    <row r="473" spans="1:25" x14ac:dyDescent="0.3">
      <c r="A473" s="1" t="s">
        <v>1173</v>
      </c>
      <c r="B473">
        <v>1</v>
      </c>
      <c r="C473">
        <v>21.99</v>
      </c>
      <c r="D473">
        <v>21.99</v>
      </c>
      <c r="E473" s="1" t="s">
        <v>1174</v>
      </c>
      <c r="F473" s="1" t="s">
        <v>70</v>
      </c>
      <c r="G473">
        <v>0</v>
      </c>
      <c r="H473" s="1" t="s">
        <v>26</v>
      </c>
      <c r="I473" s="1" t="s">
        <v>27</v>
      </c>
      <c r="J473">
        <v>7</v>
      </c>
      <c r="K473">
        <v>21.99</v>
      </c>
      <c r="L473" s="1" t="s">
        <v>28</v>
      </c>
      <c r="M473" s="1" t="s">
        <v>29</v>
      </c>
      <c r="N473" s="1" t="s">
        <v>30</v>
      </c>
      <c r="O473" s="1" t="s">
        <v>31</v>
      </c>
      <c r="P473" s="2">
        <v>45778</v>
      </c>
      <c r="Q473" s="1" t="s">
        <v>1175</v>
      </c>
      <c r="R473" s="1" t="s">
        <v>1176</v>
      </c>
      <c r="S473" s="1" t="s">
        <v>34</v>
      </c>
      <c r="T473" s="1" t="s">
        <v>35</v>
      </c>
      <c r="U473" s="1" t="s">
        <v>48</v>
      </c>
      <c r="V473" s="1" t="s">
        <v>37</v>
      </c>
      <c r="W473">
        <v>2</v>
      </c>
      <c r="X473" s="1">
        <f t="shared" si="14"/>
        <v>8313.6899999999459</v>
      </c>
      <c r="Y473" s="1">
        <f t="shared" si="15"/>
        <v>7682.919999999951</v>
      </c>
    </row>
    <row r="474" spans="1:25" x14ac:dyDescent="0.3">
      <c r="A474" s="1" t="s">
        <v>1177</v>
      </c>
      <c r="B474">
        <v>3</v>
      </c>
      <c r="C474">
        <v>30.99</v>
      </c>
      <c r="D474">
        <v>74.959999999999994</v>
      </c>
      <c r="E474" s="1" t="s">
        <v>1178</v>
      </c>
      <c r="F474" s="1" t="s">
        <v>40</v>
      </c>
      <c r="G474">
        <v>3</v>
      </c>
      <c r="H474" s="1" t="s">
        <v>58</v>
      </c>
      <c r="I474" s="1" t="s">
        <v>42</v>
      </c>
      <c r="J474">
        <v>10.5</v>
      </c>
      <c r="K474">
        <v>30.99</v>
      </c>
      <c r="L474" s="1" t="s">
        <v>28</v>
      </c>
      <c r="M474" s="1" t="s">
        <v>43</v>
      </c>
      <c r="N474" s="1" t="s">
        <v>44</v>
      </c>
      <c r="O474" s="1" t="s">
        <v>31</v>
      </c>
      <c r="P474" s="2">
        <v>45823</v>
      </c>
      <c r="Q474" s="1" t="s">
        <v>842</v>
      </c>
      <c r="R474" s="1" t="s">
        <v>843</v>
      </c>
      <c r="S474" s="1" t="s">
        <v>54</v>
      </c>
      <c r="T474" s="1" t="s">
        <v>35</v>
      </c>
      <c r="U474" s="1" t="s">
        <v>36</v>
      </c>
      <c r="V474" s="1" t="s">
        <v>37</v>
      </c>
      <c r="W474">
        <v>2</v>
      </c>
      <c r="X474" s="1">
        <f t="shared" si="14"/>
        <v>8640.6199999999462</v>
      </c>
      <c r="Y474" s="1">
        <f t="shared" si="15"/>
        <v>6355.4899999999634</v>
      </c>
    </row>
    <row r="475" spans="1:25" x14ac:dyDescent="0.3">
      <c r="A475" s="1" t="s">
        <v>1179</v>
      </c>
      <c r="B475">
        <v>1</v>
      </c>
      <c r="C475">
        <v>18.989999999999998</v>
      </c>
      <c r="D475">
        <v>18.989999999999998</v>
      </c>
      <c r="E475" s="1" t="s">
        <v>1180</v>
      </c>
      <c r="F475" s="1" t="s">
        <v>188</v>
      </c>
      <c r="G475">
        <v>0</v>
      </c>
      <c r="H475" s="1" t="s">
        <v>96</v>
      </c>
      <c r="I475" s="1" t="s">
        <v>97</v>
      </c>
      <c r="J475">
        <v>6</v>
      </c>
      <c r="K475">
        <v>18.989999999999998</v>
      </c>
      <c r="L475" s="1" t="s">
        <v>60</v>
      </c>
      <c r="M475" s="1" t="s">
        <v>43</v>
      </c>
      <c r="N475" s="1" t="s">
        <v>44</v>
      </c>
      <c r="O475" s="1" t="s">
        <v>31</v>
      </c>
      <c r="P475" s="2">
        <v>45823</v>
      </c>
      <c r="Q475" s="1" t="s">
        <v>896</v>
      </c>
      <c r="R475" s="1" t="s">
        <v>897</v>
      </c>
      <c r="S475" s="1" t="s">
        <v>105</v>
      </c>
      <c r="T475" s="1" t="s">
        <v>35</v>
      </c>
      <c r="U475" s="1" t="s">
        <v>55</v>
      </c>
      <c r="V475" s="1" t="s">
        <v>100</v>
      </c>
      <c r="W475">
        <v>3.2</v>
      </c>
      <c r="X475" s="1">
        <f t="shared" si="14"/>
        <v>7844.9099999999507</v>
      </c>
      <c r="Y475" s="1">
        <f t="shared" si="15"/>
        <v>5710.7699999999695</v>
      </c>
    </row>
    <row r="476" spans="1:25" x14ac:dyDescent="0.3">
      <c r="A476" s="1" t="s">
        <v>1181</v>
      </c>
      <c r="B476">
        <v>1</v>
      </c>
      <c r="C476">
        <v>27.99</v>
      </c>
      <c r="D476">
        <v>27.99</v>
      </c>
      <c r="E476" s="1" t="s">
        <v>1027</v>
      </c>
      <c r="F476" s="1" t="s">
        <v>40</v>
      </c>
      <c r="G476">
        <v>2</v>
      </c>
      <c r="H476" s="1" t="s">
        <v>41</v>
      </c>
      <c r="I476" s="1" t="s">
        <v>75</v>
      </c>
      <c r="J476">
        <v>9</v>
      </c>
      <c r="K476">
        <v>27.99</v>
      </c>
      <c r="L476" s="1" t="s">
        <v>28</v>
      </c>
      <c r="M476" s="1" t="s">
        <v>61</v>
      </c>
      <c r="N476" s="1" t="s">
        <v>62</v>
      </c>
      <c r="O476" s="1" t="s">
        <v>31</v>
      </c>
      <c r="P476" s="2">
        <v>45726</v>
      </c>
      <c r="Q476" s="1" t="s">
        <v>793</v>
      </c>
      <c r="R476" s="1" t="s">
        <v>1182</v>
      </c>
      <c r="S476" s="1" t="s">
        <v>88</v>
      </c>
      <c r="T476" s="1" t="s">
        <v>35</v>
      </c>
      <c r="U476" s="1" t="s">
        <v>82</v>
      </c>
      <c r="V476" s="1" t="s">
        <v>37</v>
      </c>
      <c r="W476">
        <v>2</v>
      </c>
      <c r="X476" s="1">
        <f t="shared" si="14"/>
        <v>8551.6499999999451</v>
      </c>
      <c r="Y476" s="1">
        <f t="shared" si="15"/>
        <v>7204.2099999999582</v>
      </c>
    </row>
    <row r="477" spans="1:25" x14ac:dyDescent="0.3">
      <c r="A477" s="1" t="s">
        <v>1183</v>
      </c>
      <c r="B477">
        <v>2</v>
      </c>
      <c r="C477">
        <v>16.989999999999998</v>
      </c>
      <c r="D477">
        <v>29.07</v>
      </c>
      <c r="E477" s="1" t="s">
        <v>778</v>
      </c>
      <c r="F477" s="1" t="s">
        <v>40</v>
      </c>
      <c r="G477">
        <v>19</v>
      </c>
      <c r="H477" s="1" t="s">
        <v>96</v>
      </c>
      <c r="I477" s="1" t="s">
        <v>59</v>
      </c>
      <c r="J477">
        <v>5</v>
      </c>
      <c r="K477">
        <v>16.989999999999998</v>
      </c>
      <c r="L477" s="1" t="s">
        <v>60</v>
      </c>
      <c r="M477" s="1" t="s">
        <v>61</v>
      </c>
      <c r="N477" s="1" t="s">
        <v>62</v>
      </c>
      <c r="O477" s="1" t="s">
        <v>31</v>
      </c>
      <c r="P477" s="2">
        <v>45726</v>
      </c>
      <c r="Q477" s="1" t="s">
        <v>1184</v>
      </c>
      <c r="R477" s="1" t="s">
        <v>1185</v>
      </c>
      <c r="S477" s="1" t="s">
        <v>105</v>
      </c>
      <c r="T477" s="1" t="s">
        <v>35</v>
      </c>
      <c r="U477" s="1" t="s">
        <v>55</v>
      </c>
      <c r="V477" s="1" t="s">
        <v>67</v>
      </c>
      <c r="W477">
        <v>3</v>
      </c>
      <c r="X477" s="1">
        <f t="shared" si="14"/>
        <v>7844.9099999999507</v>
      </c>
      <c r="Y477" s="1">
        <f t="shared" si="15"/>
        <v>5710.7699999999695</v>
      </c>
    </row>
    <row r="478" spans="1:25" x14ac:dyDescent="0.3">
      <c r="A478" s="1" t="s">
        <v>1186</v>
      </c>
      <c r="B478">
        <v>3</v>
      </c>
      <c r="C478">
        <v>30.99</v>
      </c>
      <c r="D478">
        <v>74.83</v>
      </c>
      <c r="E478" s="1" t="s">
        <v>822</v>
      </c>
      <c r="F478" s="1" t="s">
        <v>40</v>
      </c>
      <c r="G478">
        <v>2</v>
      </c>
      <c r="H478" s="1" t="s">
        <v>26</v>
      </c>
      <c r="I478" s="1" t="s">
        <v>42</v>
      </c>
      <c r="J478">
        <v>10.5</v>
      </c>
      <c r="K478">
        <v>30.99</v>
      </c>
      <c r="L478" s="1" t="s">
        <v>28</v>
      </c>
      <c r="M478" s="1" t="s">
        <v>43</v>
      </c>
      <c r="N478" s="1" t="s">
        <v>44</v>
      </c>
      <c r="O478" s="1" t="s">
        <v>31</v>
      </c>
      <c r="P478" s="2">
        <v>45823</v>
      </c>
      <c r="Q478" s="1" t="s">
        <v>1187</v>
      </c>
      <c r="R478" s="1" t="s">
        <v>1188</v>
      </c>
      <c r="S478" s="1" t="s">
        <v>47</v>
      </c>
      <c r="T478" s="1" t="s">
        <v>35</v>
      </c>
      <c r="U478" s="1" t="s">
        <v>48</v>
      </c>
      <c r="V478" s="1" t="s">
        <v>37</v>
      </c>
      <c r="W478">
        <v>2</v>
      </c>
      <c r="X478" s="1">
        <f t="shared" si="14"/>
        <v>8313.6899999999459</v>
      </c>
      <c r="Y478" s="1">
        <f t="shared" si="15"/>
        <v>7682.919999999951</v>
      </c>
    </row>
    <row r="479" spans="1:25" x14ac:dyDescent="0.3">
      <c r="A479" s="1" t="s">
        <v>1189</v>
      </c>
      <c r="B479">
        <v>1</v>
      </c>
      <c r="C479">
        <v>27.99</v>
      </c>
      <c r="D479">
        <v>27.99</v>
      </c>
      <c r="E479" s="1" t="s">
        <v>1136</v>
      </c>
      <c r="F479" s="1" t="s">
        <v>40</v>
      </c>
      <c r="G479">
        <v>7</v>
      </c>
      <c r="H479" s="1" t="s">
        <v>26</v>
      </c>
      <c r="I479" s="1" t="s">
        <v>75</v>
      </c>
      <c r="J479">
        <v>9</v>
      </c>
      <c r="K479">
        <v>27.99</v>
      </c>
      <c r="L479" s="1" t="s">
        <v>28</v>
      </c>
      <c r="M479" s="1" t="s">
        <v>61</v>
      </c>
      <c r="N479" s="1" t="s">
        <v>62</v>
      </c>
      <c r="O479" s="1" t="s">
        <v>31</v>
      </c>
      <c r="P479" s="2">
        <v>45726</v>
      </c>
      <c r="Q479" s="1" t="s">
        <v>689</v>
      </c>
      <c r="R479" s="1" t="s">
        <v>766</v>
      </c>
      <c r="S479" s="1" t="s">
        <v>105</v>
      </c>
      <c r="T479" s="1" t="s">
        <v>35</v>
      </c>
      <c r="U479" s="1" t="s">
        <v>48</v>
      </c>
      <c r="V479" s="1" t="s">
        <v>37</v>
      </c>
      <c r="W479">
        <v>2</v>
      </c>
      <c r="X479" s="1">
        <f t="shared" si="14"/>
        <v>8313.6899999999459</v>
      </c>
      <c r="Y479" s="1">
        <f t="shared" si="15"/>
        <v>7682.919999999951</v>
      </c>
    </row>
    <row r="480" spans="1:25" x14ac:dyDescent="0.3">
      <c r="A480" s="1" t="s">
        <v>1190</v>
      </c>
      <c r="B480">
        <v>1</v>
      </c>
      <c r="C480">
        <v>27.99</v>
      </c>
      <c r="D480">
        <v>27.99</v>
      </c>
      <c r="E480" s="1" t="s">
        <v>561</v>
      </c>
      <c r="F480" s="1" t="s">
        <v>51</v>
      </c>
      <c r="G480">
        <v>0</v>
      </c>
      <c r="H480" s="1" t="s">
        <v>26</v>
      </c>
      <c r="I480" s="1" t="s">
        <v>75</v>
      </c>
      <c r="J480">
        <v>9</v>
      </c>
      <c r="K480">
        <v>27.99</v>
      </c>
      <c r="L480" s="1" t="s">
        <v>28</v>
      </c>
      <c r="M480" s="1" t="s">
        <v>61</v>
      </c>
      <c r="N480" s="1" t="s">
        <v>62</v>
      </c>
      <c r="O480" s="1" t="s">
        <v>31</v>
      </c>
      <c r="P480" s="2">
        <v>45726</v>
      </c>
      <c r="Q480" s="1" t="s">
        <v>1191</v>
      </c>
      <c r="R480" s="1" t="s">
        <v>1192</v>
      </c>
      <c r="S480" s="1" t="s">
        <v>88</v>
      </c>
      <c r="T480" s="1" t="s">
        <v>35</v>
      </c>
      <c r="U480" s="1" t="s">
        <v>55</v>
      </c>
      <c r="V480" s="1" t="s">
        <v>37</v>
      </c>
      <c r="W480">
        <v>2</v>
      </c>
      <c r="X480" s="1">
        <f t="shared" si="14"/>
        <v>8313.6899999999459</v>
      </c>
      <c r="Y480" s="1">
        <f t="shared" si="15"/>
        <v>5710.7699999999695</v>
      </c>
    </row>
    <row r="481" spans="1:25" x14ac:dyDescent="0.3">
      <c r="A481" s="1" t="s">
        <v>1193</v>
      </c>
      <c r="B481">
        <v>1</v>
      </c>
      <c r="C481">
        <v>30.99</v>
      </c>
      <c r="D481">
        <v>30.99</v>
      </c>
      <c r="E481" s="1" t="s">
        <v>1194</v>
      </c>
      <c r="F481" s="1" t="s">
        <v>40</v>
      </c>
      <c r="G481">
        <v>3</v>
      </c>
      <c r="H481" s="1" t="s">
        <v>41</v>
      </c>
      <c r="I481" s="1" t="s">
        <v>42</v>
      </c>
      <c r="J481">
        <v>10.5</v>
      </c>
      <c r="K481">
        <v>30.99</v>
      </c>
      <c r="L481" s="1" t="s">
        <v>28</v>
      </c>
      <c r="M481" s="1" t="s">
        <v>43</v>
      </c>
      <c r="N481" s="1" t="s">
        <v>44</v>
      </c>
      <c r="O481" s="1" t="s">
        <v>31</v>
      </c>
      <c r="P481" s="2">
        <v>45823</v>
      </c>
      <c r="Q481" s="1" t="s">
        <v>1195</v>
      </c>
      <c r="R481" s="1" t="s">
        <v>1196</v>
      </c>
      <c r="S481" s="1" t="s">
        <v>54</v>
      </c>
      <c r="T481" s="1" t="s">
        <v>35</v>
      </c>
      <c r="U481" s="1" t="s">
        <v>66</v>
      </c>
      <c r="V481" s="1" t="s">
        <v>37</v>
      </c>
      <c r="W481">
        <v>2</v>
      </c>
      <c r="X481" s="1">
        <f t="shared" si="14"/>
        <v>8551.6499999999451</v>
      </c>
      <c r="Y481" s="1">
        <f t="shared" si="15"/>
        <v>6397.4799999999632</v>
      </c>
    </row>
    <row r="482" spans="1:25" x14ac:dyDescent="0.3">
      <c r="A482" s="1" t="s">
        <v>1197</v>
      </c>
      <c r="B482">
        <v>1</v>
      </c>
      <c r="C482">
        <v>18.989999999999998</v>
      </c>
      <c r="D482">
        <v>18.989999999999998</v>
      </c>
      <c r="E482" s="1" t="s">
        <v>1198</v>
      </c>
      <c r="F482" s="1" t="s">
        <v>51</v>
      </c>
      <c r="G482">
        <v>0</v>
      </c>
      <c r="H482" s="1" t="s">
        <v>41</v>
      </c>
      <c r="I482" s="1" t="s">
        <v>97</v>
      </c>
      <c r="J482">
        <v>6</v>
      </c>
      <c r="K482">
        <v>18.989999999999998</v>
      </c>
      <c r="L482" s="1" t="s">
        <v>60</v>
      </c>
      <c r="M482" s="1" t="s">
        <v>43</v>
      </c>
      <c r="N482" s="1" t="s">
        <v>44</v>
      </c>
      <c r="O482" s="1" t="s">
        <v>31</v>
      </c>
      <c r="P482" s="2">
        <v>45823</v>
      </c>
      <c r="Q482" s="1" t="s">
        <v>140</v>
      </c>
      <c r="R482" s="1" t="s">
        <v>1199</v>
      </c>
      <c r="S482" s="1" t="s">
        <v>65</v>
      </c>
      <c r="T482" s="1" t="s">
        <v>35</v>
      </c>
      <c r="U482" s="1" t="s">
        <v>36</v>
      </c>
      <c r="V482" s="1" t="s">
        <v>100</v>
      </c>
      <c r="W482">
        <v>3.2</v>
      </c>
      <c r="X482" s="1">
        <f t="shared" si="14"/>
        <v>8551.6499999999451</v>
      </c>
      <c r="Y482" s="1">
        <f t="shared" si="15"/>
        <v>6355.4899999999634</v>
      </c>
    </row>
    <row r="483" spans="1:25" x14ac:dyDescent="0.3">
      <c r="A483" s="1" t="s">
        <v>1200</v>
      </c>
      <c r="B483">
        <v>1</v>
      </c>
      <c r="C483">
        <v>34.99</v>
      </c>
      <c r="D483">
        <v>34.99</v>
      </c>
      <c r="E483" s="1" t="s">
        <v>796</v>
      </c>
      <c r="F483" s="1" t="s">
        <v>40</v>
      </c>
      <c r="G483">
        <v>6</v>
      </c>
      <c r="H483" s="1" t="s">
        <v>41</v>
      </c>
      <c r="I483" s="1" t="s">
        <v>85</v>
      </c>
      <c r="J483">
        <v>12.5</v>
      </c>
      <c r="K483">
        <v>34.99</v>
      </c>
      <c r="L483" s="1" t="s">
        <v>60</v>
      </c>
      <c r="M483" s="1" t="s">
        <v>29</v>
      </c>
      <c r="N483" s="1" t="s">
        <v>30</v>
      </c>
      <c r="O483" s="1" t="s">
        <v>31</v>
      </c>
      <c r="P483" s="2">
        <v>45778</v>
      </c>
      <c r="Q483" s="1" t="s">
        <v>793</v>
      </c>
      <c r="R483" s="1" t="s">
        <v>1182</v>
      </c>
      <c r="S483" s="1" t="s">
        <v>88</v>
      </c>
      <c r="T483" s="1" t="s">
        <v>35</v>
      </c>
      <c r="U483" s="1" t="s">
        <v>82</v>
      </c>
      <c r="V483" s="1" t="s">
        <v>89</v>
      </c>
      <c r="W483">
        <v>2.4</v>
      </c>
      <c r="X483" s="1">
        <f t="shared" si="14"/>
        <v>8551.6499999999451</v>
      </c>
      <c r="Y483" s="1">
        <f t="shared" si="15"/>
        <v>7204.2099999999582</v>
      </c>
    </row>
    <row r="484" spans="1:25" x14ac:dyDescent="0.3">
      <c r="A484" s="1" t="s">
        <v>1201</v>
      </c>
      <c r="B484">
        <v>1</v>
      </c>
      <c r="C484">
        <v>16.989999999999998</v>
      </c>
      <c r="D484">
        <v>16.989999999999998</v>
      </c>
      <c r="E484" s="1" t="s">
        <v>228</v>
      </c>
      <c r="F484" s="1" t="s">
        <v>40</v>
      </c>
      <c r="G484">
        <v>25</v>
      </c>
      <c r="H484" s="1" t="s">
        <v>26</v>
      </c>
      <c r="I484" s="1" t="s">
        <v>59</v>
      </c>
      <c r="J484">
        <v>5</v>
      </c>
      <c r="K484">
        <v>16.989999999999998</v>
      </c>
      <c r="L484" s="1" t="s">
        <v>60</v>
      </c>
      <c r="M484" s="1" t="s">
        <v>61</v>
      </c>
      <c r="N484" s="1" t="s">
        <v>62</v>
      </c>
      <c r="O484" s="1" t="s">
        <v>31</v>
      </c>
      <c r="P484" s="2">
        <v>45726</v>
      </c>
      <c r="Q484" s="1" t="s">
        <v>278</v>
      </c>
      <c r="R484" s="1" t="s">
        <v>1202</v>
      </c>
      <c r="S484" s="1" t="s">
        <v>54</v>
      </c>
      <c r="T484" s="1" t="s">
        <v>35</v>
      </c>
      <c r="U484" s="1" t="s">
        <v>36</v>
      </c>
      <c r="V484" s="1" t="s">
        <v>67</v>
      </c>
      <c r="W484">
        <v>3</v>
      </c>
      <c r="X484" s="1">
        <f t="shared" si="14"/>
        <v>8313.6899999999459</v>
      </c>
      <c r="Y484" s="1">
        <f t="shared" si="15"/>
        <v>6355.4899999999634</v>
      </c>
    </row>
    <row r="485" spans="1:25" x14ac:dyDescent="0.3">
      <c r="A485" s="1" t="s">
        <v>1203</v>
      </c>
      <c r="B485">
        <v>2</v>
      </c>
      <c r="C485">
        <v>18.989999999999998</v>
      </c>
      <c r="D485">
        <v>32.479999999999997</v>
      </c>
      <c r="E485" s="1" t="s">
        <v>603</v>
      </c>
      <c r="F485" s="1" t="s">
        <v>40</v>
      </c>
      <c r="G485">
        <v>12</v>
      </c>
      <c r="H485" s="1" t="s">
        <v>41</v>
      </c>
      <c r="I485" s="1" t="s">
        <v>97</v>
      </c>
      <c r="J485">
        <v>6</v>
      </c>
      <c r="K485">
        <v>18.989999999999998</v>
      </c>
      <c r="L485" s="1" t="s">
        <v>60</v>
      </c>
      <c r="M485" s="1" t="s">
        <v>43</v>
      </c>
      <c r="N485" s="1" t="s">
        <v>44</v>
      </c>
      <c r="O485" s="1" t="s">
        <v>31</v>
      </c>
      <c r="P485" s="2">
        <v>45823</v>
      </c>
      <c r="Q485" s="1" t="s">
        <v>1204</v>
      </c>
      <c r="R485" s="1" t="s">
        <v>1205</v>
      </c>
      <c r="S485" s="1" t="s">
        <v>34</v>
      </c>
      <c r="T485" s="1" t="s">
        <v>35</v>
      </c>
      <c r="U485" s="1" t="s">
        <v>48</v>
      </c>
      <c r="V485" s="1" t="s">
        <v>100</v>
      </c>
      <c r="W485">
        <v>3.2</v>
      </c>
      <c r="X485" s="1">
        <f t="shared" si="14"/>
        <v>8551.6499999999451</v>
      </c>
      <c r="Y485" s="1">
        <f t="shared" si="15"/>
        <v>7682.919999999951</v>
      </c>
    </row>
    <row r="486" spans="1:25" x14ac:dyDescent="0.3">
      <c r="A486" s="1" t="s">
        <v>1206</v>
      </c>
      <c r="B486">
        <v>1</v>
      </c>
      <c r="C486">
        <v>18.989999999999998</v>
      </c>
      <c r="D486">
        <v>18.989999999999998</v>
      </c>
      <c r="E486" s="1" t="s">
        <v>1207</v>
      </c>
      <c r="F486" s="1" t="s">
        <v>51</v>
      </c>
      <c r="G486">
        <v>0</v>
      </c>
      <c r="H486" s="1" t="s">
        <v>96</v>
      </c>
      <c r="I486" s="1" t="s">
        <v>97</v>
      </c>
      <c r="J486">
        <v>6</v>
      </c>
      <c r="K486">
        <v>18.989999999999998</v>
      </c>
      <c r="L486" s="1" t="s">
        <v>60</v>
      </c>
      <c r="M486" s="1" t="s">
        <v>43</v>
      </c>
      <c r="N486" s="1" t="s">
        <v>44</v>
      </c>
      <c r="O486" s="1" t="s">
        <v>31</v>
      </c>
      <c r="P486" s="2">
        <v>45823</v>
      </c>
      <c r="Q486" s="1" t="s">
        <v>873</v>
      </c>
      <c r="R486" s="1" t="s">
        <v>1208</v>
      </c>
      <c r="S486" s="1" t="s">
        <v>54</v>
      </c>
      <c r="T486" s="1" t="s">
        <v>35</v>
      </c>
      <c r="U486" s="1" t="s">
        <v>82</v>
      </c>
      <c r="V486" s="1" t="s">
        <v>100</v>
      </c>
      <c r="W486">
        <v>3.2</v>
      </c>
      <c r="X486" s="1">
        <f t="shared" si="14"/>
        <v>7844.9099999999507</v>
      </c>
      <c r="Y486" s="1">
        <f t="shared" si="15"/>
        <v>7204.2099999999582</v>
      </c>
    </row>
    <row r="487" spans="1:25" x14ac:dyDescent="0.3">
      <c r="A487" s="1" t="s">
        <v>1209</v>
      </c>
      <c r="B487">
        <v>1</v>
      </c>
      <c r="C487">
        <v>27.99</v>
      </c>
      <c r="D487">
        <v>27.99</v>
      </c>
      <c r="E487" s="1" t="s">
        <v>989</v>
      </c>
      <c r="F487" s="1" t="s">
        <v>25</v>
      </c>
      <c r="G487">
        <v>2</v>
      </c>
      <c r="H487" s="1" t="s">
        <v>58</v>
      </c>
      <c r="I487" s="1" t="s">
        <v>75</v>
      </c>
      <c r="J487">
        <v>9</v>
      </c>
      <c r="K487">
        <v>27.99</v>
      </c>
      <c r="L487" s="1" t="s">
        <v>28</v>
      </c>
      <c r="M487" s="1" t="s">
        <v>61</v>
      </c>
      <c r="N487" s="1" t="s">
        <v>62</v>
      </c>
      <c r="O487" s="1" t="s">
        <v>31</v>
      </c>
      <c r="P487" s="2">
        <v>45726</v>
      </c>
      <c r="Q487" s="1" t="s">
        <v>720</v>
      </c>
      <c r="R487" s="1" t="s">
        <v>721</v>
      </c>
      <c r="S487" s="1" t="s">
        <v>54</v>
      </c>
      <c r="T487" s="1" t="s">
        <v>35</v>
      </c>
      <c r="U487" s="1" t="s">
        <v>82</v>
      </c>
      <c r="V487" s="1" t="s">
        <v>37</v>
      </c>
      <c r="W487">
        <v>2</v>
      </c>
      <c r="X487" s="1">
        <f t="shared" si="14"/>
        <v>8640.6199999999462</v>
      </c>
      <c r="Y487" s="1">
        <f t="shared" si="15"/>
        <v>7204.2099999999582</v>
      </c>
    </row>
    <row r="488" spans="1:25" x14ac:dyDescent="0.3">
      <c r="A488" s="1" t="s">
        <v>1210</v>
      </c>
      <c r="B488">
        <v>1</v>
      </c>
      <c r="C488">
        <v>18.989999999999998</v>
      </c>
      <c r="D488">
        <v>18.989999999999998</v>
      </c>
      <c r="E488" s="1" t="s">
        <v>1174</v>
      </c>
      <c r="F488" s="1" t="s">
        <v>51</v>
      </c>
      <c r="G488">
        <v>0</v>
      </c>
      <c r="H488" s="1" t="s">
        <v>26</v>
      </c>
      <c r="I488" s="1" t="s">
        <v>97</v>
      </c>
      <c r="J488">
        <v>6</v>
      </c>
      <c r="K488">
        <v>18.989999999999998</v>
      </c>
      <c r="L488" s="1" t="s">
        <v>60</v>
      </c>
      <c r="M488" s="1" t="s">
        <v>43</v>
      </c>
      <c r="N488" s="1" t="s">
        <v>44</v>
      </c>
      <c r="O488" s="1" t="s">
        <v>31</v>
      </c>
      <c r="P488" s="2">
        <v>45823</v>
      </c>
      <c r="Q488" s="1" t="s">
        <v>1211</v>
      </c>
      <c r="R488" s="1" t="s">
        <v>1212</v>
      </c>
      <c r="S488" s="1" t="s">
        <v>34</v>
      </c>
      <c r="T488" s="1" t="s">
        <v>35</v>
      </c>
      <c r="U488" s="1" t="s">
        <v>66</v>
      </c>
      <c r="V488" s="1" t="s">
        <v>100</v>
      </c>
      <c r="W488">
        <v>3.2</v>
      </c>
      <c r="X488" s="1">
        <f t="shared" si="14"/>
        <v>8313.6899999999459</v>
      </c>
      <c r="Y488" s="1">
        <f t="shared" si="15"/>
        <v>6397.4799999999632</v>
      </c>
    </row>
    <row r="489" spans="1:25" x14ac:dyDescent="0.3">
      <c r="A489" s="1" t="s">
        <v>1213</v>
      </c>
      <c r="B489">
        <v>3</v>
      </c>
      <c r="C489">
        <v>18.989999999999998</v>
      </c>
      <c r="D489">
        <v>44.87</v>
      </c>
      <c r="E489" s="1" t="s">
        <v>1214</v>
      </c>
      <c r="F489" s="1" t="s">
        <v>51</v>
      </c>
      <c r="G489">
        <v>0</v>
      </c>
      <c r="H489" s="1" t="s">
        <v>26</v>
      </c>
      <c r="I489" s="1" t="s">
        <v>97</v>
      </c>
      <c r="J489">
        <v>6</v>
      </c>
      <c r="K489">
        <v>18.989999999999998</v>
      </c>
      <c r="L489" s="1" t="s">
        <v>60</v>
      </c>
      <c r="M489" s="1" t="s">
        <v>43</v>
      </c>
      <c r="N489" s="1" t="s">
        <v>44</v>
      </c>
      <c r="O489" s="1" t="s">
        <v>31</v>
      </c>
      <c r="P489" s="2">
        <v>45823</v>
      </c>
      <c r="Q489" s="1" t="s">
        <v>1112</v>
      </c>
      <c r="R489" s="1" t="s">
        <v>1215</v>
      </c>
      <c r="S489" s="1" t="s">
        <v>54</v>
      </c>
      <c r="T489" s="1" t="s">
        <v>35</v>
      </c>
      <c r="U489" s="1" t="s">
        <v>48</v>
      </c>
      <c r="V489" s="1" t="s">
        <v>100</v>
      </c>
      <c r="W489">
        <v>3.2</v>
      </c>
      <c r="X489" s="1">
        <f t="shared" si="14"/>
        <v>8313.6899999999459</v>
      </c>
      <c r="Y489" s="1">
        <f t="shared" si="15"/>
        <v>7682.919999999951</v>
      </c>
    </row>
    <row r="490" spans="1:25" x14ac:dyDescent="0.3">
      <c r="A490" s="1" t="s">
        <v>1216</v>
      </c>
      <c r="B490">
        <v>2</v>
      </c>
      <c r="C490">
        <v>16.989999999999998</v>
      </c>
      <c r="D490">
        <v>29.53</v>
      </c>
      <c r="E490" s="1" t="s">
        <v>1217</v>
      </c>
      <c r="F490" s="1" t="s">
        <v>40</v>
      </c>
      <c r="G490">
        <v>20</v>
      </c>
      <c r="H490" s="1" t="s">
        <v>96</v>
      </c>
      <c r="I490" s="1" t="s">
        <v>59</v>
      </c>
      <c r="J490">
        <v>5</v>
      </c>
      <c r="K490">
        <v>16.989999999999998</v>
      </c>
      <c r="L490" s="1" t="s">
        <v>60</v>
      </c>
      <c r="M490" s="1" t="s">
        <v>61</v>
      </c>
      <c r="N490" s="1" t="s">
        <v>62</v>
      </c>
      <c r="O490" s="1" t="s">
        <v>31</v>
      </c>
      <c r="P490" s="2">
        <v>45726</v>
      </c>
      <c r="Q490" s="1" t="s">
        <v>1218</v>
      </c>
      <c r="R490" s="1" t="s">
        <v>1219</v>
      </c>
      <c r="S490" s="1" t="s">
        <v>105</v>
      </c>
      <c r="T490" s="1" t="s">
        <v>35</v>
      </c>
      <c r="U490" s="1" t="s">
        <v>82</v>
      </c>
      <c r="V490" s="1" t="s">
        <v>67</v>
      </c>
      <c r="W490">
        <v>3</v>
      </c>
      <c r="X490" s="1">
        <f t="shared" si="14"/>
        <v>7844.9099999999507</v>
      </c>
      <c r="Y490" s="1">
        <f t="shared" si="15"/>
        <v>7204.2099999999582</v>
      </c>
    </row>
    <row r="491" spans="1:25" x14ac:dyDescent="0.3">
      <c r="A491" s="1" t="s">
        <v>1220</v>
      </c>
      <c r="B491">
        <v>1</v>
      </c>
      <c r="C491">
        <v>18.989999999999998</v>
      </c>
      <c r="D491">
        <v>18.989999999999998</v>
      </c>
      <c r="E491" s="1" t="s">
        <v>348</v>
      </c>
      <c r="F491" s="1" t="s">
        <v>40</v>
      </c>
      <c r="G491">
        <v>11</v>
      </c>
      <c r="H491" s="1" t="s">
        <v>41</v>
      </c>
      <c r="I491" s="1" t="s">
        <v>97</v>
      </c>
      <c r="J491">
        <v>6</v>
      </c>
      <c r="K491">
        <v>18.989999999999998</v>
      </c>
      <c r="L491" s="1" t="s">
        <v>60</v>
      </c>
      <c r="M491" s="1" t="s">
        <v>43</v>
      </c>
      <c r="N491" s="1" t="s">
        <v>44</v>
      </c>
      <c r="O491" s="1" t="s">
        <v>31</v>
      </c>
      <c r="P491" s="2">
        <v>45823</v>
      </c>
      <c r="Q491" s="1" t="s">
        <v>965</v>
      </c>
      <c r="R491" s="1" t="s">
        <v>1221</v>
      </c>
      <c r="S491" s="1" t="s">
        <v>34</v>
      </c>
      <c r="T491" s="1" t="s">
        <v>35</v>
      </c>
      <c r="U491" s="1" t="s">
        <v>48</v>
      </c>
      <c r="V491" s="1" t="s">
        <v>100</v>
      </c>
      <c r="W491">
        <v>3.2</v>
      </c>
      <c r="X491" s="1">
        <f t="shared" si="14"/>
        <v>8551.6499999999451</v>
      </c>
      <c r="Y491" s="1">
        <f t="shared" si="15"/>
        <v>7682.919999999951</v>
      </c>
    </row>
    <row r="492" spans="1:25" x14ac:dyDescent="0.3">
      <c r="A492" s="1" t="s">
        <v>1222</v>
      </c>
      <c r="B492">
        <v>3</v>
      </c>
      <c r="C492">
        <v>21.99</v>
      </c>
      <c r="D492">
        <v>53.27</v>
      </c>
      <c r="E492" s="1" t="s">
        <v>272</v>
      </c>
      <c r="F492" s="1" t="s">
        <v>40</v>
      </c>
      <c r="G492">
        <v>3</v>
      </c>
      <c r="H492" s="1" t="s">
        <v>96</v>
      </c>
      <c r="I492" s="1" t="s">
        <v>27</v>
      </c>
      <c r="J492">
        <v>7</v>
      </c>
      <c r="K492">
        <v>21.99</v>
      </c>
      <c r="L492" s="1" t="s">
        <v>28</v>
      </c>
      <c r="M492" s="1" t="s">
        <v>29</v>
      </c>
      <c r="N492" s="1" t="s">
        <v>30</v>
      </c>
      <c r="O492" s="1" t="s">
        <v>31</v>
      </c>
      <c r="P492" s="2">
        <v>45778</v>
      </c>
      <c r="Q492" s="1" t="s">
        <v>593</v>
      </c>
      <c r="R492" s="1" t="s">
        <v>1223</v>
      </c>
      <c r="S492" s="1" t="s">
        <v>88</v>
      </c>
      <c r="T492" s="1" t="s">
        <v>35</v>
      </c>
      <c r="U492" s="1" t="s">
        <v>66</v>
      </c>
      <c r="V492" s="1" t="s">
        <v>37</v>
      </c>
      <c r="W492">
        <v>2</v>
      </c>
      <c r="X492" s="1">
        <f t="shared" si="14"/>
        <v>7844.9099999999507</v>
      </c>
      <c r="Y492" s="1">
        <f t="shared" si="15"/>
        <v>6397.4799999999632</v>
      </c>
    </row>
    <row r="493" spans="1:25" x14ac:dyDescent="0.3">
      <c r="A493" s="1" t="s">
        <v>1224</v>
      </c>
      <c r="B493">
        <v>1</v>
      </c>
      <c r="C493">
        <v>30.99</v>
      </c>
      <c r="D493">
        <v>30.99</v>
      </c>
      <c r="E493" s="1" t="s">
        <v>187</v>
      </c>
      <c r="F493" s="1" t="s">
        <v>70</v>
      </c>
      <c r="G493">
        <v>0</v>
      </c>
      <c r="H493" s="1" t="s">
        <v>58</v>
      </c>
      <c r="I493" s="1" t="s">
        <v>42</v>
      </c>
      <c r="J493">
        <v>10.5</v>
      </c>
      <c r="K493">
        <v>30.99</v>
      </c>
      <c r="L493" s="1" t="s">
        <v>28</v>
      </c>
      <c r="M493" s="1" t="s">
        <v>43</v>
      </c>
      <c r="N493" s="1" t="s">
        <v>44</v>
      </c>
      <c r="O493" s="1" t="s">
        <v>31</v>
      </c>
      <c r="P493" s="2">
        <v>45823</v>
      </c>
      <c r="Q493" s="1" t="s">
        <v>544</v>
      </c>
      <c r="R493" s="1" t="s">
        <v>1225</v>
      </c>
      <c r="S493" s="1" t="s">
        <v>88</v>
      </c>
      <c r="T493" s="1" t="s">
        <v>35</v>
      </c>
      <c r="U493" s="1" t="s">
        <v>36</v>
      </c>
      <c r="V493" s="1" t="s">
        <v>37</v>
      </c>
      <c r="W493">
        <v>2</v>
      </c>
      <c r="X493" s="1">
        <f t="shared" si="14"/>
        <v>8640.6199999999462</v>
      </c>
      <c r="Y493" s="1">
        <f t="shared" si="15"/>
        <v>6355.4899999999634</v>
      </c>
    </row>
    <row r="494" spans="1:25" x14ac:dyDescent="0.3">
      <c r="A494" s="1" t="s">
        <v>1226</v>
      </c>
      <c r="B494">
        <v>1</v>
      </c>
      <c r="C494">
        <v>18.989999999999998</v>
      </c>
      <c r="D494">
        <v>18.989999999999998</v>
      </c>
      <c r="E494" s="1" t="s">
        <v>1227</v>
      </c>
      <c r="F494" s="1" t="s">
        <v>51</v>
      </c>
      <c r="G494">
        <v>0</v>
      </c>
      <c r="H494" s="1" t="s">
        <v>96</v>
      </c>
      <c r="I494" s="1" t="s">
        <v>97</v>
      </c>
      <c r="J494">
        <v>6</v>
      </c>
      <c r="K494">
        <v>18.989999999999998</v>
      </c>
      <c r="L494" s="1" t="s">
        <v>60</v>
      </c>
      <c r="M494" s="1" t="s">
        <v>43</v>
      </c>
      <c r="N494" s="1" t="s">
        <v>44</v>
      </c>
      <c r="O494" s="1" t="s">
        <v>31</v>
      </c>
      <c r="P494" s="2">
        <v>45823</v>
      </c>
      <c r="Q494" s="1" t="s">
        <v>990</v>
      </c>
      <c r="R494" s="1" t="s">
        <v>1228</v>
      </c>
      <c r="S494" s="1" t="s">
        <v>47</v>
      </c>
      <c r="T494" s="1" t="s">
        <v>35</v>
      </c>
      <c r="U494" s="1" t="s">
        <v>55</v>
      </c>
      <c r="V494" s="1" t="s">
        <v>100</v>
      </c>
      <c r="W494">
        <v>3.2</v>
      </c>
      <c r="X494" s="1">
        <f t="shared" si="14"/>
        <v>7844.9099999999507</v>
      </c>
      <c r="Y494" s="1">
        <f t="shared" si="15"/>
        <v>5710.7699999999695</v>
      </c>
    </row>
    <row r="495" spans="1:25" x14ac:dyDescent="0.3">
      <c r="A495" s="1" t="s">
        <v>1229</v>
      </c>
      <c r="B495">
        <v>1</v>
      </c>
      <c r="C495">
        <v>30.99</v>
      </c>
      <c r="D495">
        <v>30.99</v>
      </c>
      <c r="E495" s="1" t="s">
        <v>1230</v>
      </c>
      <c r="F495" s="1" t="s">
        <v>188</v>
      </c>
      <c r="G495">
        <v>0</v>
      </c>
      <c r="H495" s="1" t="s">
        <v>41</v>
      </c>
      <c r="I495" s="1" t="s">
        <v>42</v>
      </c>
      <c r="J495">
        <v>10.5</v>
      </c>
      <c r="K495">
        <v>30.99</v>
      </c>
      <c r="L495" s="1" t="s">
        <v>28</v>
      </c>
      <c r="M495" s="1" t="s">
        <v>43</v>
      </c>
      <c r="N495" s="1" t="s">
        <v>44</v>
      </c>
      <c r="O495" s="1" t="s">
        <v>31</v>
      </c>
      <c r="P495" s="2">
        <v>45823</v>
      </c>
      <c r="Q495" s="1" t="s">
        <v>1058</v>
      </c>
      <c r="R495" s="1" t="s">
        <v>1231</v>
      </c>
      <c r="S495" s="1" t="s">
        <v>105</v>
      </c>
      <c r="T495" s="1" t="s">
        <v>35</v>
      </c>
      <c r="U495" s="1" t="s">
        <v>66</v>
      </c>
      <c r="V495" s="1" t="s">
        <v>37</v>
      </c>
      <c r="W495">
        <v>2</v>
      </c>
      <c r="X495" s="1">
        <f t="shared" si="14"/>
        <v>8551.6499999999451</v>
      </c>
      <c r="Y495" s="1">
        <f t="shared" si="15"/>
        <v>6397.4799999999632</v>
      </c>
    </row>
    <row r="496" spans="1:25" x14ac:dyDescent="0.3">
      <c r="A496" s="1" t="s">
        <v>1232</v>
      </c>
      <c r="B496">
        <v>1</v>
      </c>
      <c r="C496">
        <v>21.99</v>
      </c>
      <c r="D496">
        <v>21.99</v>
      </c>
      <c r="E496" s="1" t="s">
        <v>1233</v>
      </c>
      <c r="F496" s="1" t="s">
        <v>40</v>
      </c>
      <c r="G496">
        <v>3</v>
      </c>
      <c r="H496" s="1" t="s">
        <v>26</v>
      </c>
      <c r="I496" s="1" t="s">
        <v>27</v>
      </c>
      <c r="J496">
        <v>7</v>
      </c>
      <c r="K496">
        <v>21.99</v>
      </c>
      <c r="L496" s="1" t="s">
        <v>28</v>
      </c>
      <c r="M496" s="1" t="s">
        <v>29</v>
      </c>
      <c r="N496" s="1" t="s">
        <v>30</v>
      </c>
      <c r="O496" s="1" t="s">
        <v>31</v>
      </c>
      <c r="P496" s="2">
        <v>45778</v>
      </c>
      <c r="Q496" s="1" t="s">
        <v>1234</v>
      </c>
      <c r="R496" s="1" t="s">
        <v>1235</v>
      </c>
      <c r="S496" s="1" t="s">
        <v>88</v>
      </c>
      <c r="T496" s="1" t="s">
        <v>35</v>
      </c>
      <c r="U496" s="1" t="s">
        <v>48</v>
      </c>
      <c r="V496" s="1" t="s">
        <v>37</v>
      </c>
      <c r="W496">
        <v>2</v>
      </c>
      <c r="X496" s="1">
        <f t="shared" si="14"/>
        <v>8313.6899999999459</v>
      </c>
      <c r="Y496" s="1">
        <f t="shared" si="15"/>
        <v>7682.919999999951</v>
      </c>
    </row>
    <row r="497" spans="1:25" x14ac:dyDescent="0.3">
      <c r="A497" s="1" t="s">
        <v>1236</v>
      </c>
      <c r="B497">
        <v>1</v>
      </c>
      <c r="C497">
        <v>27.99</v>
      </c>
      <c r="D497">
        <v>27.99</v>
      </c>
      <c r="E497" s="1" t="s">
        <v>916</v>
      </c>
      <c r="F497" s="1" t="s">
        <v>40</v>
      </c>
      <c r="G497">
        <v>2</v>
      </c>
      <c r="H497" s="1" t="s">
        <v>26</v>
      </c>
      <c r="I497" s="1" t="s">
        <v>75</v>
      </c>
      <c r="J497">
        <v>9</v>
      </c>
      <c r="K497">
        <v>27.99</v>
      </c>
      <c r="L497" s="1" t="s">
        <v>28</v>
      </c>
      <c r="M497" s="1" t="s">
        <v>61</v>
      </c>
      <c r="N497" s="1" t="s">
        <v>62</v>
      </c>
      <c r="O497" s="1" t="s">
        <v>31</v>
      </c>
      <c r="P497" s="2">
        <v>45726</v>
      </c>
      <c r="Q497" s="1" t="s">
        <v>1237</v>
      </c>
      <c r="R497" s="1" t="s">
        <v>1238</v>
      </c>
      <c r="S497" s="1" t="s">
        <v>65</v>
      </c>
      <c r="T497" s="1" t="s">
        <v>35</v>
      </c>
      <c r="U497" s="1" t="s">
        <v>66</v>
      </c>
      <c r="V497" s="1" t="s">
        <v>37</v>
      </c>
      <c r="W497">
        <v>2</v>
      </c>
      <c r="X497" s="1">
        <f t="shared" si="14"/>
        <v>8313.6899999999459</v>
      </c>
      <c r="Y497" s="1">
        <f t="shared" si="15"/>
        <v>6397.4799999999632</v>
      </c>
    </row>
    <row r="498" spans="1:25" x14ac:dyDescent="0.3">
      <c r="A498" s="1" t="s">
        <v>1239</v>
      </c>
      <c r="B498">
        <v>1</v>
      </c>
      <c r="C498">
        <v>21.99</v>
      </c>
      <c r="D498">
        <v>21.99</v>
      </c>
      <c r="E498" s="1" t="s">
        <v>1240</v>
      </c>
      <c r="F498" s="1" t="s">
        <v>51</v>
      </c>
      <c r="G498">
        <v>0</v>
      </c>
      <c r="H498" s="1" t="s">
        <v>26</v>
      </c>
      <c r="I498" s="1" t="s">
        <v>27</v>
      </c>
      <c r="J498">
        <v>7</v>
      </c>
      <c r="K498">
        <v>21.99</v>
      </c>
      <c r="L498" s="1" t="s">
        <v>28</v>
      </c>
      <c r="M498" s="1" t="s">
        <v>29</v>
      </c>
      <c r="N498" s="1" t="s">
        <v>30</v>
      </c>
      <c r="O498" s="1" t="s">
        <v>31</v>
      </c>
      <c r="P498" s="2">
        <v>45778</v>
      </c>
      <c r="Q498" s="1" t="s">
        <v>1241</v>
      </c>
      <c r="R498" s="1" t="s">
        <v>1242</v>
      </c>
      <c r="S498" s="1" t="s">
        <v>54</v>
      </c>
      <c r="T498" s="1" t="s">
        <v>35</v>
      </c>
      <c r="U498" s="1" t="s">
        <v>48</v>
      </c>
      <c r="V498" s="1" t="s">
        <v>37</v>
      </c>
      <c r="W498">
        <v>2</v>
      </c>
      <c r="X498" s="1">
        <f t="shared" si="14"/>
        <v>8313.6899999999459</v>
      </c>
      <c r="Y498" s="1">
        <f t="shared" si="15"/>
        <v>7682.919999999951</v>
      </c>
    </row>
    <row r="499" spans="1:25" x14ac:dyDescent="0.3">
      <c r="A499" s="1" t="s">
        <v>1243</v>
      </c>
      <c r="B499">
        <v>1</v>
      </c>
      <c r="C499">
        <v>18.989999999999998</v>
      </c>
      <c r="D499">
        <v>18.989999999999998</v>
      </c>
      <c r="E499" s="1" t="s">
        <v>782</v>
      </c>
      <c r="F499" s="1" t="s">
        <v>40</v>
      </c>
      <c r="G499">
        <v>12</v>
      </c>
      <c r="H499" s="1" t="s">
        <v>41</v>
      </c>
      <c r="I499" s="1" t="s">
        <v>97</v>
      </c>
      <c r="J499">
        <v>6</v>
      </c>
      <c r="K499">
        <v>18.989999999999998</v>
      </c>
      <c r="L499" s="1" t="s">
        <v>60</v>
      </c>
      <c r="M499" s="1" t="s">
        <v>43</v>
      </c>
      <c r="N499" s="1" t="s">
        <v>44</v>
      </c>
      <c r="O499" s="1" t="s">
        <v>31</v>
      </c>
      <c r="P499" s="2">
        <v>45823</v>
      </c>
      <c r="Q499" s="1" t="s">
        <v>80</v>
      </c>
      <c r="R499" s="1" t="s">
        <v>1244</v>
      </c>
      <c r="S499" s="1" t="s">
        <v>54</v>
      </c>
      <c r="T499" s="1" t="s">
        <v>35</v>
      </c>
      <c r="U499" s="1" t="s">
        <v>82</v>
      </c>
      <c r="V499" s="1" t="s">
        <v>100</v>
      </c>
      <c r="W499">
        <v>3.2</v>
      </c>
      <c r="X499" s="1">
        <f t="shared" si="14"/>
        <v>8551.6499999999451</v>
      </c>
      <c r="Y499" s="1">
        <f t="shared" si="15"/>
        <v>7204.2099999999582</v>
      </c>
    </row>
    <row r="500" spans="1:25" x14ac:dyDescent="0.3">
      <c r="A500" s="1" t="s">
        <v>1245</v>
      </c>
      <c r="B500">
        <v>3</v>
      </c>
      <c r="C500">
        <v>27.99</v>
      </c>
      <c r="D500">
        <v>66.67</v>
      </c>
      <c r="E500" s="1" t="s">
        <v>1246</v>
      </c>
      <c r="F500" s="1" t="s">
        <v>40</v>
      </c>
      <c r="G500">
        <v>3</v>
      </c>
      <c r="H500" s="1" t="s">
        <v>96</v>
      </c>
      <c r="I500" s="1" t="s">
        <v>75</v>
      </c>
      <c r="J500">
        <v>9</v>
      </c>
      <c r="K500">
        <v>27.99</v>
      </c>
      <c r="L500" s="1" t="s">
        <v>28</v>
      </c>
      <c r="M500" s="1" t="s">
        <v>61</v>
      </c>
      <c r="N500" s="1" t="s">
        <v>62</v>
      </c>
      <c r="O500" s="1" t="s">
        <v>31</v>
      </c>
      <c r="P500" s="2">
        <v>45726</v>
      </c>
      <c r="Q500" s="1" t="s">
        <v>909</v>
      </c>
      <c r="R500" s="1" t="s">
        <v>1247</v>
      </c>
      <c r="S500" s="1" t="s">
        <v>88</v>
      </c>
      <c r="T500" s="1" t="s">
        <v>35</v>
      </c>
      <c r="U500" s="1" t="s">
        <v>55</v>
      </c>
      <c r="V500" s="1" t="s">
        <v>37</v>
      </c>
      <c r="W500">
        <v>2</v>
      </c>
      <c r="X500" s="1">
        <f t="shared" si="14"/>
        <v>7844.9099999999507</v>
      </c>
      <c r="Y500" s="1">
        <f t="shared" si="15"/>
        <v>5710.7699999999695</v>
      </c>
    </row>
    <row r="501" spans="1:25" x14ac:dyDescent="0.3">
      <c r="A501" s="1" t="s">
        <v>1248</v>
      </c>
      <c r="B501">
        <v>2</v>
      </c>
      <c r="C501">
        <v>16.989999999999998</v>
      </c>
      <c r="D501">
        <v>29.3</v>
      </c>
      <c r="E501" s="1" t="s">
        <v>1249</v>
      </c>
      <c r="F501" s="1" t="s">
        <v>40</v>
      </c>
      <c r="G501">
        <v>18</v>
      </c>
      <c r="H501" s="1" t="s">
        <v>26</v>
      </c>
      <c r="I501" s="1" t="s">
        <v>59</v>
      </c>
      <c r="J501">
        <v>5</v>
      </c>
      <c r="K501">
        <v>16.989999999999998</v>
      </c>
      <c r="L501" s="1" t="s">
        <v>60</v>
      </c>
      <c r="M501" s="1" t="s">
        <v>61</v>
      </c>
      <c r="N501" s="1" t="s">
        <v>62</v>
      </c>
      <c r="O501" s="1" t="s">
        <v>31</v>
      </c>
      <c r="P501" s="2">
        <v>45726</v>
      </c>
      <c r="Q501" s="1" t="s">
        <v>437</v>
      </c>
      <c r="R501" s="1" t="s">
        <v>1045</v>
      </c>
      <c r="S501" s="1" t="s">
        <v>34</v>
      </c>
      <c r="T501" s="1" t="s">
        <v>35</v>
      </c>
      <c r="U501" s="1" t="s">
        <v>66</v>
      </c>
      <c r="V501" s="1" t="s">
        <v>67</v>
      </c>
      <c r="W501">
        <v>3</v>
      </c>
      <c r="X501" s="1">
        <f t="shared" si="14"/>
        <v>8313.6899999999459</v>
      </c>
      <c r="Y501" s="1">
        <f t="shared" si="15"/>
        <v>6397.4799999999632</v>
      </c>
    </row>
    <row r="502" spans="1:25" x14ac:dyDescent="0.3">
      <c r="A502" s="1" t="s">
        <v>1250</v>
      </c>
      <c r="B502">
        <v>2</v>
      </c>
      <c r="C502">
        <v>34.99</v>
      </c>
      <c r="D502">
        <v>60.06</v>
      </c>
      <c r="E502" s="1" t="s">
        <v>260</v>
      </c>
      <c r="F502" s="1" t="s">
        <v>51</v>
      </c>
      <c r="G502">
        <v>0</v>
      </c>
      <c r="H502" s="1" t="s">
        <v>41</v>
      </c>
      <c r="I502" s="1" t="s">
        <v>85</v>
      </c>
      <c r="J502">
        <v>12.5</v>
      </c>
      <c r="K502">
        <v>34.99</v>
      </c>
      <c r="L502" s="1" t="s">
        <v>60</v>
      </c>
      <c r="M502" s="1" t="s">
        <v>29</v>
      </c>
      <c r="N502" s="1" t="s">
        <v>30</v>
      </c>
      <c r="O502" s="1" t="s">
        <v>31</v>
      </c>
      <c r="P502" s="2">
        <v>45778</v>
      </c>
      <c r="Q502" s="1" t="s">
        <v>930</v>
      </c>
      <c r="R502" s="1" t="s">
        <v>1251</v>
      </c>
      <c r="S502" s="1" t="s">
        <v>47</v>
      </c>
      <c r="T502" s="1" t="s">
        <v>35</v>
      </c>
      <c r="U502" s="1" t="s">
        <v>66</v>
      </c>
      <c r="V502" s="1" t="s">
        <v>89</v>
      </c>
      <c r="W502">
        <v>2.4</v>
      </c>
      <c r="X502" s="1">
        <f t="shared" si="14"/>
        <v>8551.6499999999451</v>
      </c>
      <c r="Y502" s="1">
        <f t="shared" si="15"/>
        <v>6397.4799999999632</v>
      </c>
    </row>
    <row r="503" spans="1:25" x14ac:dyDescent="0.3">
      <c r="A503" s="1" t="s">
        <v>1252</v>
      </c>
      <c r="B503">
        <v>1</v>
      </c>
      <c r="C503">
        <v>16.989999999999998</v>
      </c>
      <c r="D503">
        <v>16.989999999999998</v>
      </c>
      <c r="E503" s="1" t="s">
        <v>1240</v>
      </c>
      <c r="F503" s="1" t="s">
        <v>40</v>
      </c>
      <c r="G503">
        <v>15</v>
      </c>
      <c r="H503" s="1" t="s">
        <v>96</v>
      </c>
      <c r="I503" s="1" t="s">
        <v>59</v>
      </c>
      <c r="J503">
        <v>5</v>
      </c>
      <c r="K503">
        <v>16.989999999999998</v>
      </c>
      <c r="L503" s="1" t="s">
        <v>60</v>
      </c>
      <c r="M503" s="1" t="s">
        <v>61</v>
      </c>
      <c r="N503" s="1" t="s">
        <v>62</v>
      </c>
      <c r="O503" s="1" t="s">
        <v>31</v>
      </c>
      <c r="P503" s="2">
        <v>45726</v>
      </c>
      <c r="Q503" s="1" t="s">
        <v>1253</v>
      </c>
      <c r="R503" s="1" t="s">
        <v>1254</v>
      </c>
      <c r="S503" s="1" t="s">
        <v>105</v>
      </c>
      <c r="T503" s="1" t="s">
        <v>35</v>
      </c>
      <c r="U503" s="1" t="s">
        <v>66</v>
      </c>
      <c r="V503" s="1" t="s">
        <v>67</v>
      </c>
      <c r="W503">
        <v>3</v>
      </c>
      <c r="X503" s="1">
        <f t="shared" si="14"/>
        <v>7844.9099999999507</v>
      </c>
      <c r="Y503" s="1">
        <f t="shared" si="15"/>
        <v>6397.4799999999632</v>
      </c>
    </row>
    <row r="504" spans="1:25" x14ac:dyDescent="0.3">
      <c r="A504" s="1" t="s">
        <v>1255</v>
      </c>
      <c r="B504">
        <v>1</v>
      </c>
      <c r="C504">
        <v>34.99</v>
      </c>
      <c r="D504">
        <v>34.99</v>
      </c>
      <c r="E504" s="1" t="s">
        <v>156</v>
      </c>
      <c r="F504" s="1" t="s">
        <v>25</v>
      </c>
      <c r="G504">
        <v>7</v>
      </c>
      <c r="H504" s="1" t="s">
        <v>26</v>
      </c>
      <c r="I504" s="1" t="s">
        <v>85</v>
      </c>
      <c r="J504">
        <v>12.5</v>
      </c>
      <c r="K504">
        <v>34.99</v>
      </c>
      <c r="L504" s="1" t="s">
        <v>60</v>
      </c>
      <c r="M504" s="1" t="s">
        <v>29</v>
      </c>
      <c r="N504" s="1" t="s">
        <v>30</v>
      </c>
      <c r="O504" s="1" t="s">
        <v>31</v>
      </c>
      <c r="P504" s="2">
        <v>45778</v>
      </c>
      <c r="Q504" s="1" t="s">
        <v>1256</v>
      </c>
      <c r="R504" s="1" t="s">
        <v>1257</v>
      </c>
      <c r="S504" s="1" t="s">
        <v>47</v>
      </c>
      <c r="T504" s="1" t="s">
        <v>35</v>
      </c>
      <c r="U504" s="1" t="s">
        <v>82</v>
      </c>
      <c r="V504" s="1" t="s">
        <v>89</v>
      </c>
      <c r="W504">
        <v>2.4</v>
      </c>
      <c r="X504" s="1">
        <f t="shared" si="14"/>
        <v>8313.6899999999459</v>
      </c>
      <c r="Y504" s="1">
        <f t="shared" si="15"/>
        <v>7204.2099999999582</v>
      </c>
    </row>
    <row r="505" spans="1:25" x14ac:dyDescent="0.3">
      <c r="A505" s="1" t="s">
        <v>1258</v>
      </c>
      <c r="B505">
        <v>3</v>
      </c>
      <c r="C505">
        <v>34.99</v>
      </c>
      <c r="D505">
        <v>84.73</v>
      </c>
      <c r="E505" s="1" t="s">
        <v>1093</v>
      </c>
      <c r="F505" s="1" t="s">
        <v>40</v>
      </c>
      <c r="G505">
        <v>5</v>
      </c>
      <c r="H505" s="1" t="s">
        <v>26</v>
      </c>
      <c r="I505" s="1" t="s">
        <v>85</v>
      </c>
      <c r="J505">
        <v>12.5</v>
      </c>
      <c r="K505">
        <v>34.99</v>
      </c>
      <c r="L505" s="1" t="s">
        <v>60</v>
      </c>
      <c r="M505" s="1" t="s">
        <v>29</v>
      </c>
      <c r="N505" s="1" t="s">
        <v>30</v>
      </c>
      <c r="O505" s="1" t="s">
        <v>31</v>
      </c>
      <c r="P505" s="2">
        <v>45778</v>
      </c>
      <c r="Q505" s="1" t="s">
        <v>182</v>
      </c>
      <c r="R505" s="1" t="s">
        <v>754</v>
      </c>
      <c r="S505" s="1" t="s">
        <v>65</v>
      </c>
      <c r="T505" s="1" t="s">
        <v>35</v>
      </c>
      <c r="U505" s="1" t="s">
        <v>36</v>
      </c>
      <c r="V505" s="1" t="s">
        <v>89</v>
      </c>
      <c r="W505">
        <v>2.4</v>
      </c>
      <c r="X505" s="1">
        <f t="shared" si="14"/>
        <v>8313.6899999999459</v>
      </c>
      <c r="Y505" s="1">
        <f t="shared" si="15"/>
        <v>6355.4899999999634</v>
      </c>
    </row>
    <row r="506" spans="1:25" x14ac:dyDescent="0.3">
      <c r="A506" s="1" t="s">
        <v>1259</v>
      </c>
      <c r="B506">
        <v>3</v>
      </c>
      <c r="C506">
        <v>34.99</v>
      </c>
      <c r="D506">
        <v>84.13</v>
      </c>
      <c r="E506" s="1" t="s">
        <v>121</v>
      </c>
      <c r="F506" s="1" t="s">
        <v>40</v>
      </c>
      <c r="G506">
        <v>8</v>
      </c>
      <c r="H506" s="1" t="s">
        <v>41</v>
      </c>
      <c r="I506" s="1" t="s">
        <v>85</v>
      </c>
      <c r="J506">
        <v>12.5</v>
      </c>
      <c r="K506">
        <v>34.99</v>
      </c>
      <c r="L506" s="1" t="s">
        <v>60</v>
      </c>
      <c r="M506" s="1" t="s">
        <v>29</v>
      </c>
      <c r="N506" s="1" t="s">
        <v>30</v>
      </c>
      <c r="O506" s="1" t="s">
        <v>31</v>
      </c>
      <c r="P506" s="2">
        <v>45778</v>
      </c>
      <c r="Q506" s="1" t="s">
        <v>1260</v>
      </c>
      <c r="R506" s="1" t="s">
        <v>1261</v>
      </c>
      <c r="S506" s="1" t="s">
        <v>105</v>
      </c>
      <c r="T506" s="1" t="s">
        <v>35</v>
      </c>
      <c r="U506" s="1" t="s">
        <v>82</v>
      </c>
      <c r="V506" s="1" t="s">
        <v>89</v>
      </c>
      <c r="W506">
        <v>2.4</v>
      </c>
      <c r="X506" s="1">
        <f t="shared" si="14"/>
        <v>8551.6499999999451</v>
      </c>
      <c r="Y506" s="1">
        <f t="shared" si="15"/>
        <v>7204.2099999999582</v>
      </c>
    </row>
    <row r="507" spans="1:25" x14ac:dyDescent="0.3">
      <c r="A507" s="1" t="s">
        <v>1262</v>
      </c>
      <c r="B507">
        <v>1</v>
      </c>
      <c r="C507">
        <v>18.989999999999998</v>
      </c>
      <c r="D507">
        <v>18.989999999999998</v>
      </c>
      <c r="E507" s="1" t="s">
        <v>1122</v>
      </c>
      <c r="F507" s="1" t="s">
        <v>40</v>
      </c>
      <c r="G507">
        <v>11</v>
      </c>
      <c r="H507" s="1" t="s">
        <v>26</v>
      </c>
      <c r="I507" s="1" t="s">
        <v>97</v>
      </c>
      <c r="J507">
        <v>6</v>
      </c>
      <c r="K507">
        <v>18.989999999999998</v>
      </c>
      <c r="L507" s="1" t="s">
        <v>60</v>
      </c>
      <c r="M507" s="1" t="s">
        <v>43</v>
      </c>
      <c r="N507" s="1" t="s">
        <v>44</v>
      </c>
      <c r="O507" s="1" t="s">
        <v>31</v>
      </c>
      <c r="P507" s="2">
        <v>45823</v>
      </c>
      <c r="Q507" s="1" t="s">
        <v>732</v>
      </c>
      <c r="R507" s="1" t="s">
        <v>1263</v>
      </c>
      <c r="S507" s="1" t="s">
        <v>88</v>
      </c>
      <c r="T507" s="1" t="s">
        <v>35</v>
      </c>
      <c r="U507" s="1" t="s">
        <v>82</v>
      </c>
      <c r="V507" s="1" t="s">
        <v>100</v>
      </c>
      <c r="W507">
        <v>3.2</v>
      </c>
      <c r="X507" s="1">
        <f t="shared" si="14"/>
        <v>8313.6899999999459</v>
      </c>
      <c r="Y507" s="1">
        <f t="shared" si="15"/>
        <v>7204.2099999999582</v>
      </c>
    </row>
    <row r="508" spans="1:25" x14ac:dyDescent="0.3">
      <c r="A508" s="1" t="s">
        <v>1264</v>
      </c>
      <c r="B508">
        <v>1</v>
      </c>
      <c r="C508">
        <v>30.99</v>
      </c>
      <c r="D508">
        <v>30.99</v>
      </c>
      <c r="E508" s="1" t="s">
        <v>868</v>
      </c>
      <c r="F508" s="1" t="s">
        <v>25</v>
      </c>
      <c r="G508">
        <v>5</v>
      </c>
      <c r="H508" s="1" t="s">
        <v>26</v>
      </c>
      <c r="I508" s="1" t="s">
        <v>42</v>
      </c>
      <c r="J508">
        <v>10.5</v>
      </c>
      <c r="K508">
        <v>30.99</v>
      </c>
      <c r="L508" s="1" t="s">
        <v>28</v>
      </c>
      <c r="M508" s="1" t="s">
        <v>43</v>
      </c>
      <c r="N508" s="1" t="s">
        <v>44</v>
      </c>
      <c r="O508" s="1" t="s">
        <v>31</v>
      </c>
      <c r="P508" s="2">
        <v>45823</v>
      </c>
      <c r="Q508" s="1" t="s">
        <v>1150</v>
      </c>
      <c r="R508" s="1" t="s">
        <v>1151</v>
      </c>
      <c r="S508" s="1" t="s">
        <v>34</v>
      </c>
      <c r="T508" s="1" t="s">
        <v>35</v>
      </c>
      <c r="U508" s="1" t="s">
        <v>55</v>
      </c>
      <c r="V508" s="1" t="s">
        <v>37</v>
      </c>
      <c r="W508">
        <v>2</v>
      </c>
      <c r="X508" s="1">
        <f t="shared" si="14"/>
        <v>8313.6899999999459</v>
      </c>
      <c r="Y508" s="1">
        <f t="shared" si="15"/>
        <v>5710.7699999999695</v>
      </c>
    </row>
    <row r="509" spans="1:25" x14ac:dyDescent="0.3">
      <c r="A509" s="1" t="s">
        <v>1265</v>
      </c>
      <c r="B509">
        <v>1</v>
      </c>
      <c r="C509">
        <v>16.989999999999998</v>
      </c>
      <c r="D509">
        <v>16.989999999999998</v>
      </c>
      <c r="E509" s="1" t="s">
        <v>1266</v>
      </c>
      <c r="F509" s="1" t="s">
        <v>40</v>
      </c>
      <c r="G509">
        <v>15</v>
      </c>
      <c r="H509" s="1" t="s">
        <v>58</v>
      </c>
      <c r="I509" s="1" t="s">
        <v>59</v>
      </c>
      <c r="J509">
        <v>5</v>
      </c>
      <c r="K509">
        <v>16.989999999999998</v>
      </c>
      <c r="L509" s="1" t="s">
        <v>60</v>
      </c>
      <c r="M509" s="1" t="s">
        <v>61</v>
      </c>
      <c r="N509" s="1" t="s">
        <v>62</v>
      </c>
      <c r="O509" s="1" t="s">
        <v>31</v>
      </c>
      <c r="P509" s="2">
        <v>45726</v>
      </c>
      <c r="Q509" s="1" t="s">
        <v>873</v>
      </c>
      <c r="R509" s="1" t="s">
        <v>874</v>
      </c>
      <c r="S509" s="1" t="s">
        <v>105</v>
      </c>
      <c r="T509" s="1" t="s">
        <v>35</v>
      </c>
      <c r="U509" s="1" t="s">
        <v>48</v>
      </c>
      <c r="V509" s="1" t="s">
        <v>67</v>
      </c>
      <c r="W509">
        <v>3</v>
      </c>
      <c r="X509" s="1">
        <f t="shared" si="14"/>
        <v>8640.6199999999462</v>
      </c>
      <c r="Y509" s="1">
        <f t="shared" si="15"/>
        <v>7682.919999999951</v>
      </c>
    </row>
    <row r="510" spans="1:25" x14ac:dyDescent="0.3">
      <c r="A510" s="1" t="s">
        <v>1267</v>
      </c>
      <c r="B510">
        <v>1</v>
      </c>
      <c r="C510">
        <v>16.989999999999998</v>
      </c>
      <c r="D510">
        <v>16.989999999999998</v>
      </c>
      <c r="E510" s="1" t="s">
        <v>1268</v>
      </c>
      <c r="F510" s="1" t="s">
        <v>51</v>
      </c>
      <c r="G510">
        <v>0</v>
      </c>
      <c r="H510" s="1" t="s">
        <v>41</v>
      </c>
      <c r="I510" s="1" t="s">
        <v>59</v>
      </c>
      <c r="J510">
        <v>5</v>
      </c>
      <c r="K510">
        <v>16.989999999999998</v>
      </c>
      <c r="L510" s="1" t="s">
        <v>60</v>
      </c>
      <c r="M510" s="1" t="s">
        <v>61</v>
      </c>
      <c r="N510" s="1" t="s">
        <v>62</v>
      </c>
      <c r="O510" s="1" t="s">
        <v>31</v>
      </c>
      <c r="P510" s="2">
        <v>45726</v>
      </c>
      <c r="Q510" s="1" t="s">
        <v>930</v>
      </c>
      <c r="R510" s="1" t="s">
        <v>1251</v>
      </c>
      <c r="S510" s="1" t="s">
        <v>47</v>
      </c>
      <c r="T510" s="1" t="s">
        <v>35</v>
      </c>
      <c r="U510" s="1" t="s">
        <v>66</v>
      </c>
      <c r="V510" s="1" t="s">
        <v>67</v>
      </c>
      <c r="W510">
        <v>3</v>
      </c>
      <c r="X510" s="1">
        <f t="shared" si="14"/>
        <v>8551.6499999999451</v>
      </c>
      <c r="Y510" s="1">
        <f t="shared" si="15"/>
        <v>6397.4799999999632</v>
      </c>
    </row>
    <row r="511" spans="1:25" x14ac:dyDescent="0.3">
      <c r="A511" s="1" t="s">
        <v>1269</v>
      </c>
      <c r="B511">
        <v>1</v>
      </c>
      <c r="C511">
        <v>34.99</v>
      </c>
      <c r="D511">
        <v>34.99</v>
      </c>
      <c r="E511" s="1" t="s">
        <v>1111</v>
      </c>
      <c r="F511" s="1" t="s">
        <v>51</v>
      </c>
      <c r="G511">
        <v>0</v>
      </c>
      <c r="H511" s="1" t="s">
        <v>26</v>
      </c>
      <c r="I511" s="1" t="s">
        <v>85</v>
      </c>
      <c r="J511">
        <v>12.5</v>
      </c>
      <c r="K511">
        <v>34.99</v>
      </c>
      <c r="L511" s="1" t="s">
        <v>60</v>
      </c>
      <c r="M511" s="1" t="s">
        <v>29</v>
      </c>
      <c r="N511" s="1" t="s">
        <v>30</v>
      </c>
      <c r="O511" s="1" t="s">
        <v>31</v>
      </c>
      <c r="P511" s="2">
        <v>45778</v>
      </c>
      <c r="Q511" s="1" t="s">
        <v>689</v>
      </c>
      <c r="R511" s="1" t="s">
        <v>766</v>
      </c>
      <c r="S511" s="1" t="s">
        <v>105</v>
      </c>
      <c r="T511" s="1" t="s">
        <v>35</v>
      </c>
      <c r="U511" s="1" t="s">
        <v>48</v>
      </c>
      <c r="V511" s="1" t="s">
        <v>89</v>
      </c>
      <c r="W511">
        <v>2.4</v>
      </c>
      <c r="X511" s="1">
        <f t="shared" si="14"/>
        <v>8313.6899999999459</v>
      </c>
      <c r="Y511" s="1">
        <f t="shared" si="15"/>
        <v>7682.919999999951</v>
      </c>
    </row>
    <row r="512" spans="1:25" x14ac:dyDescent="0.3">
      <c r="A512" s="1" t="s">
        <v>1270</v>
      </c>
      <c r="B512">
        <v>1</v>
      </c>
      <c r="C512">
        <v>30.99</v>
      </c>
      <c r="D512">
        <v>30.99</v>
      </c>
      <c r="E512" s="1" t="s">
        <v>1271</v>
      </c>
      <c r="F512" s="1" t="s">
        <v>40</v>
      </c>
      <c r="G512">
        <v>6</v>
      </c>
      <c r="H512" s="1" t="s">
        <v>26</v>
      </c>
      <c r="I512" s="1" t="s">
        <v>42</v>
      </c>
      <c r="J512">
        <v>10.5</v>
      </c>
      <c r="K512">
        <v>30.99</v>
      </c>
      <c r="L512" s="1" t="s">
        <v>28</v>
      </c>
      <c r="M512" s="1" t="s">
        <v>43</v>
      </c>
      <c r="N512" s="1" t="s">
        <v>44</v>
      </c>
      <c r="O512" s="1" t="s">
        <v>31</v>
      </c>
      <c r="P512" s="2">
        <v>45823</v>
      </c>
      <c r="Q512" s="1" t="s">
        <v>1272</v>
      </c>
      <c r="R512" s="1" t="s">
        <v>1273</v>
      </c>
      <c r="S512" s="1" t="s">
        <v>88</v>
      </c>
      <c r="T512" s="1" t="s">
        <v>35</v>
      </c>
      <c r="U512" s="1" t="s">
        <v>48</v>
      </c>
      <c r="V512" s="1" t="s">
        <v>37</v>
      </c>
      <c r="W512">
        <v>2</v>
      </c>
      <c r="X512" s="1">
        <f t="shared" si="14"/>
        <v>8313.6899999999459</v>
      </c>
      <c r="Y512" s="1">
        <f t="shared" si="15"/>
        <v>7682.919999999951</v>
      </c>
    </row>
    <row r="513" spans="1:25" x14ac:dyDescent="0.3">
      <c r="A513" s="1" t="s">
        <v>1274</v>
      </c>
      <c r="B513">
        <v>1</v>
      </c>
      <c r="C513">
        <v>18.989999999999998</v>
      </c>
      <c r="D513">
        <v>18.989999999999998</v>
      </c>
      <c r="E513" s="1" t="s">
        <v>964</v>
      </c>
      <c r="F513" s="1" t="s">
        <v>40</v>
      </c>
      <c r="G513">
        <v>11</v>
      </c>
      <c r="H513" s="1" t="s">
        <v>26</v>
      </c>
      <c r="I513" s="1" t="s">
        <v>97</v>
      </c>
      <c r="J513">
        <v>6</v>
      </c>
      <c r="K513">
        <v>18.989999999999998</v>
      </c>
      <c r="L513" s="1" t="s">
        <v>60</v>
      </c>
      <c r="M513" s="1" t="s">
        <v>43</v>
      </c>
      <c r="N513" s="1" t="s">
        <v>44</v>
      </c>
      <c r="O513" s="1" t="s">
        <v>31</v>
      </c>
      <c r="P513" s="2">
        <v>45823</v>
      </c>
      <c r="Q513" s="1" t="s">
        <v>1275</v>
      </c>
      <c r="R513" s="1" t="s">
        <v>1276</v>
      </c>
      <c r="S513" s="1" t="s">
        <v>47</v>
      </c>
      <c r="T513" s="1" t="s">
        <v>35</v>
      </c>
      <c r="U513" s="1" t="s">
        <v>66</v>
      </c>
      <c r="V513" s="1" t="s">
        <v>100</v>
      </c>
      <c r="W513">
        <v>3.2</v>
      </c>
      <c r="X513" s="1">
        <f t="shared" si="14"/>
        <v>8313.6899999999459</v>
      </c>
      <c r="Y513" s="1">
        <f t="shared" si="15"/>
        <v>6397.4799999999632</v>
      </c>
    </row>
    <row r="514" spans="1:25" x14ac:dyDescent="0.3">
      <c r="A514" s="1" t="s">
        <v>1277</v>
      </c>
      <c r="B514">
        <v>1</v>
      </c>
      <c r="C514">
        <v>27.99</v>
      </c>
      <c r="D514">
        <v>27.99</v>
      </c>
      <c r="E514" s="1" t="s">
        <v>146</v>
      </c>
      <c r="F514" s="1" t="s">
        <v>40</v>
      </c>
      <c r="G514">
        <v>3</v>
      </c>
      <c r="H514" s="1" t="s">
        <v>26</v>
      </c>
      <c r="I514" s="1" t="s">
        <v>75</v>
      </c>
      <c r="J514">
        <v>9</v>
      </c>
      <c r="K514">
        <v>27.99</v>
      </c>
      <c r="L514" s="1" t="s">
        <v>28</v>
      </c>
      <c r="M514" s="1" t="s">
        <v>61</v>
      </c>
      <c r="N514" s="1" t="s">
        <v>62</v>
      </c>
      <c r="O514" s="1" t="s">
        <v>31</v>
      </c>
      <c r="P514" s="2">
        <v>45726</v>
      </c>
      <c r="Q514" s="1" t="s">
        <v>137</v>
      </c>
      <c r="R514" s="1" t="s">
        <v>1278</v>
      </c>
      <c r="S514" s="1" t="s">
        <v>34</v>
      </c>
      <c r="T514" s="1" t="s">
        <v>35</v>
      </c>
      <c r="U514" s="1" t="s">
        <v>36</v>
      </c>
      <c r="V514" s="1" t="s">
        <v>37</v>
      </c>
      <c r="W514">
        <v>2</v>
      </c>
      <c r="X514" s="1">
        <f t="shared" ref="X514:X577" si="16">SUMIF(H:H,H514,K:K)</f>
        <v>8313.6899999999459</v>
      </c>
      <c r="Y514" s="1">
        <f t="shared" ref="Y514:Y577" si="17">SUMIF(U:U,U514,K:K)</f>
        <v>6355.4899999999634</v>
      </c>
    </row>
    <row r="515" spans="1:25" x14ac:dyDescent="0.3">
      <c r="A515" s="1" t="s">
        <v>1279</v>
      </c>
      <c r="B515">
        <v>3</v>
      </c>
      <c r="C515">
        <v>16.989999999999998</v>
      </c>
      <c r="D515">
        <v>40.08</v>
      </c>
      <c r="E515" s="1" t="s">
        <v>107</v>
      </c>
      <c r="F515" s="1" t="s">
        <v>40</v>
      </c>
      <c r="G515">
        <v>17</v>
      </c>
      <c r="H515" s="1" t="s">
        <v>26</v>
      </c>
      <c r="I515" s="1" t="s">
        <v>59</v>
      </c>
      <c r="J515">
        <v>5</v>
      </c>
      <c r="K515">
        <v>16.989999999999998</v>
      </c>
      <c r="L515" s="1" t="s">
        <v>60</v>
      </c>
      <c r="M515" s="1" t="s">
        <v>61</v>
      </c>
      <c r="N515" s="1" t="s">
        <v>62</v>
      </c>
      <c r="O515" s="1" t="s">
        <v>31</v>
      </c>
      <c r="P515" s="2">
        <v>45726</v>
      </c>
      <c r="Q515" s="1" t="s">
        <v>71</v>
      </c>
      <c r="R515" s="1" t="s">
        <v>955</v>
      </c>
      <c r="S515" s="1" t="s">
        <v>65</v>
      </c>
      <c r="T515" s="1" t="s">
        <v>35</v>
      </c>
      <c r="U515" s="1" t="s">
        <v>82</v>
      </c>
      <c r="V515" s="1" t="s">
        <v>67</v>
      </c>
      <c r="W515">
        <v>3</v>
      </c>
      <c r="X515" s="1">
        <f t="shared" si="16"/>
        <v>8313.6899999999459</v>
      </c>
      <c r="Y515" s="1">
        <f t="shared" si="17"/>
        <v>7204.2099999999582</v>
      </c>
    </row>
    <row r="516" spans="1:25" x14ac:dyDescent="0.3">
      <c r="A516" s="1" t="s">
        <v>1280</v>
      </c>
      <c r="B516">
        <v>1</v>
      </c>
      <c r="C516">
        <v>21.99</v>
      </c>
      <c r="D516">
        <v>21.99</v>
      </c>
      <c r="E516" s="1" t="s">
        <v>1281</v>
      </c>
      <c r="F516" s="1" t="s">
        <v>40</v>
      </c>
      <c r="G516">
        <v>2</v>
      </c>
      <c r="H516" s="1" t="s">
        <v>41</v>
      </c>
      <c r="I516" s="1" t="s">
        <v>27</v>
      </c>
      <c r="J516">
        <v>7</v>
      </c>
      <c r="K516">
        <v>21.99</v>
      </c>
      <c r="L516" s="1" t="s">
        <v>28</v>
      </c>
      <c r="M516" s="1" t="s">
        <v>29</v>
      </c>
      <c r="N516" s="1" t="s">
        <v>30</v>
      </c>
      <c r="O516" s="1" t="s">
        <v>31</v>
      </c>
      <c r="P516" s="2">
        <v>45778</v>
      </c>
      <c r="Q516" s="1" t="s">
        <v>1282</v>
      </c>
      <c r="R516" s="1" t="s">
        <v>1283</v>
      </c>
      <c r="S516" s="1" t="s">
        <v>34</v>
      </c>
      <c r="T516" s="1" t="s">
        <v>35</v>
      </c>
      <c r="U516" s="1" t="s">
        <v>66</v>
      </c>
      <c r="V516" s="1" t="s">
        <v>37</v>
      </c>
      <c r="W516">
        <v>2</v>
      </c>
      <c r="X516" s="1">
        <f t="shared" si="16"/>
        <v>8551.6499999999451</v>
      </c>
      <c r="Y516" s="1">
        <f t="shared" si="17"/>
        <v>6397.4799999999632</v>
      </c>
    </row>
    <row r="517" spans="1:25" x14ac:dyDescent="0.3">
      <c r="A517" s="1" t="s">
        <v>1284</v>
      </c>
      <c r="B517">
        <v>1</v>
      </c>
      <c r="C517">
        <v>27.99</v>
      </c>
      <c r="D517">
        <v>27.99</v>
      </c>
      <c r="E517" s="1" t="s">
        <v>1285</v>
      </c>
      <c r="F517" s="1" t="s">
        <v>40</v>
      </c>
      <c r="G517">
        <v>2</v>
      </c>
      <c r="H517" s="1" t="s">
        <v>58</v>
      </c>
      <c r="I517" s="1" t="s">
        <v>75</v>
      </c>
      <c r="J517">
        <v>9</v>
      </c>
      <c r="K517">
        <v>27.99</v>
      </c>
      <c r="L517" s="1" t="s">
        <v>28</v>
      </c>
      <c r="M517" s="1" t="s">
        <v>61</v>
      </c>
      <c r="N517" s="1" t="s">
        <v>62</v>
      </c>
      <c r="O517" s="1" t="s">
        <v>31</v>
      </c>
      <c r="P517" s="2">
        <v>45726</v>
      </c>
      <c r="Q517" s="1" t="s">
        <v>1286</v>
      </c>
      <c r="R517" s="1" t="s">
        <v>1287</v>
      </c>
      <c r="S517" s="1" t="s">
        <v>47</v>
      </c>
      <c r="T517" s="1" t="s">
        <v>35</v>
      </c>
      <c r="U517" s="1" t="s">
        <v>66</v>
      </c>
      <c r="V517" s="1" t="s">
        <v>37</v>
      </c>
      <c r="W517">
        <v>2</v>
      </c>
      <c r="X517" s="1">
        <f t="shared" si="16"/>
        <v>8640.6199999999462</v>
      </c>
      <c r="Y517" s="1">
        <f t="shared" si="17"/>
        <v>6397.4799999999632</v>
      </c>
    </row>
    <row r="518" spans="1:25" x14ac:dyDescent="0.3">
      <c r="A518" s="1" t="s">
        <v>1288</v>
      </c>
      <c r="B518">
        <v>2</v>
      </c>
      <c r="C518">
        <v>34.99</v>
      </c>
      <c r="D518">
        <v>61.01</v>
      </c>
      <c r="E518" s="1" t="s">
        <v>1289</v>
      </c>
      <c r="F518" s="1" t="s">
        <v>40</v>
      </c>
      <c r="G518">
        <v>8</v>
      </c>
      <c r="H518" s="1" t="s">
        <v>26</v>
      </c>
      <c r="I518" s="1" t="s">
        <v>85</v>
      </c>
      <c r="J518">
        <v>12.5</v>
      </c>
      <c r="K518">
        <v>34.99</v>
      </c>
      <c r="L518" s="1" t="s">
        <v>60</v>
      </c>
      <c r="M518" s="1" t="s">
        <v>29</v>
      </c>
      <c r="N518" s="1" t="s">
        <v>30</v>
      </c>
      <c r="O518" s="1" t="s">
        <v>31</v>
      </c>
      <c r="P518" s="2">
        <v>45778</v>
      </c>
      <c r="Q518" s="1" t="s">
        <v>787</v>
      </c>
      <c r="R518" s="1" t="s">
        <v>788</v>
      </c>
      <c r="S518" s="1" t="s">
        <v>105</v>
      </c>
      <c r="T518" s="1" t="s">
        <v>35</v>
      </c>
      <c r="U518" s="1" t="s">
        <v>82</v>
      </c>
      <c r="V518" s="1" t="s">
        <v>89</v>
      </c>
      <c r="W518">
        <v>2.4</v>
      </c>
      <c r="X518" s="1">
        <f t="shared" si="16"/>
        <v>8313.6899999999459</v>
      </c>
      <c r="Y518" s="1">
        <f t="shared" si="17"/>
        <v>7204.2099999999582</v>
      </c>
    </row>
    <row r="519" spans="1:25" x14ac:dyDescent="0.3">
      <c r="A519" s="1" t="s">
        <v>1290</v>
      </c>
      <c r="B519">
        <v>3</v>
      </c>
      <c r="C519">
        <v>30.99</v>
      </c>
      <c r="D519">
        <v>74.849999999999994</v>
      </c>
      <c r="E519" s="1" t="s">
        <v>1291</v>
      </c>
      <c r="F519" s="1" t="s">
        <v>40</v>
      </c>
      <c r="G519">
        <v>3</v>
      </c>
      <c r="H519" s="1" t="s">
        <v>58</v>
      </c>
      <c r="I519" s="1" t="s">
        <v>42</v>
      </c>
      <c r="J519">
        <v>10.5</v>
      </c>
      <c r="K519">
        <v>30.99</v>
      </c>
      <c r="L519" s="1" t="s">
        <v>28</v>
      </c>
      <c r="M519" s="1" t="s">
        <v>43</v>
      </c>
      <c r="N519" s="1" t="s">
        <v>44</v>
      </c>
      <c r="O519" s="1" t="s">
        <v>31</v>
      </c>
      <c r="P519" s="2">
        <v>45823</v>
      </c>
      <c r="Q519" s="1" t="s">
        <v>893</v>
      </c>
      <c r="R519" s="1" t="s">
        <v>894</v>
      </c>
      <c r="S519" s="1" t="s">
        <v>411</v>
      </c>
      <c r="T519" s="1" t="s">
        <v>35</v>
      </c>
      <c r="U519" s="1" t="s">
        <v>48</v>
      </c>
      <c r="V519" s="1" t="s">
        <v>37</v>
      </c>
      <c r="W519">
        <v>2</v>
      </c>
      <c r="X519" s="1">
        <f t="shared" si="16"/>
        <v>8640.6199999999462</v>
      </c>
      <c r="Y519" s="1">
        <f t="shared" si="17"/>
        <v>7682.919999999951</v>
      </c>
    </row>
    <row r="520" spans="1:25" x14ac:dyDescent="0.3">
      <c r="A520" s="1" t="s">
        <v>1292</v>
      </c>
      <c r="B520">
        <v>2</v>
      </c>
      <c r="C520">
        <v>16.989999999999998</v>
      </c>
      <c r="D520">
        <v>29.64</v>
      </c>
      <c r="E520" s="1" t="s">
        <v>1293</v>
      </c>
      <c r="F520" s="1" t="s">
        <v>51</v>
      </c>
      <c r="G520">
        <v>0</v>
      </c>
      <c r="H520" s="1" t="s">
        <v>96</v>
      </c>
      <c r="I520" s="1" t="s">
        <v>59</v>
      </c>
      <c r="J520">
        <v>5</v>
      </c>
      <c r="K520">
        <v>16.989999999999998</v>
      </c>
      <c r="L520" s="1" t="s">
        <v>60</v>
      </c>
      <c r="M520" s="1" t="s">
        <v>61</v>
      </c>
      <c r="N520" s="1" t="s">
        <v>62</v>
      </c>
      <c r="O520" s="1" t="s">
        <v>31</v>
      </c>
      <c r="P520" s="2">
        <v>45726</v>
      </c>
      <c r="Q520" s="1" t="s">
        <v>1211</v>
      </c>
      <c r="R520" s="1" t="s">
        <v>1212</v>
      </c>
      <c r="S520" s="1" t="s">
        <v>34</v>
      </c>
      <c r="T520" s="1" t="s">
        <v>35</v>
      </c>
      <c r="U520" s="1" t="s">
        <v>66</v>
      </c>
      <c r="V520" s="1" t="s">
        <v>67</v>
      </c>
      <c r="W520">
        <v>3</v>
      </c>
      <c r="X520" s="1">
        <f t="shared" si="16"/>
        <v>7844.9099999999507</v>
      </c>
      <c r="Y520" s="1">
        <f t="shared" si="17"/>
        <v>6397.4799999999632</v>
      </c>
    </row>
    <row r="521" spans="1:25" x14ac:dyDescent="0.3">
      <c r="A521" s="1" t="s">
        <v>1294</v>
      </c>
      <c r="B521">
        <v>1</v>
      </c>
      <c r="C521">
        <v>18.989999999999998</v>
      </c>
      <c r="D521">
        <v>18.989999999999998</v>
      </c>
      <c r="E521" s="1" t="s">
        <v>1295</v>
      </c>
      <c r="F521" s="1" t="s">
        <v>70</v>
      </c>
      <c r="G521">
        <v>0</v>
      </c>
      <c r="H521" s="1" t="s">
        <v>96</v>
      </c>
      <c r="I521" s="1" t="s">
        <v>97</v>
      </c>
      <c r="J521">
        <v>6</v>
      </c>
      <c r="K521">
        <v>18.989999999999998</v>
      </c>
      <c r="L521" s="1" t="s">
        <v>60</v>
      </c>
      <c r="M521" s="1" t="s">
        <v>43</v>
      </c>
      <c r="N521" s="1" t="s">
        <v>44</v>
      </c>
      <c r="O521" s="1" t="s">
        <v>31</v>
      </c>
      <c r="P521" s="2">
        <v>45823</v>
      </c>
      <c r="Q521" s="1" t="s">
        <v>1009</v>
      </c>
      <c r="R521" s="1" t="s">
        <v>1010</v>
      </c>
      <c r="S521" s="1" t="s">
        <v>47</v>
      </c>
      <c r="T521" s="1" t="s">
        <v>35</v>
      </c>
      <c r="U521" s="1" t="s">
        <v>82</v>
      </c>
      <c r="V521" s="1" t="s">
        <v>100</v>
      </c>
      <c r="W521">
        <v>3.2</v>
      </c>
      <c r="X521" s="1">
        <f t="shared" si="16"/>
        <v>7844.9099999999507</v>
      </c>
      <c r="Y521" s="1">
        <f t="shared" si="17"/>
        <v>7204.2099999999582</v>
      </c>
    </row>
    <row r="522" spans="1:25" x14ac:dyDescent="0.3">
      <c r="A522" s="1" t="s">
        <v>1296</v>
      </c>
      <c r="B522">
        <v>1</v>
      </c>
      <c r="C522">
        <v>27.99</v>
      </c>
      <c r="D522">
        <v>27.99</v>
      </c>
      <c r="E522" s="1" t="s">
        <v>260</v>
      </c>
      <c r="F522" s="1" t="s">
        <v>40</v>
      </c>
      <c r="G522">
        <v>3</v>
      </c>
      <c r="H522" s="1" t="s">
        <v>26</v>
      </c>
      <c r="I522" s="1" t="s">
        <v>75</v>
      </c>
      <c r="J522">
        <v>9</v>
      </c>
      <c r="K522">
        <v>27.99</v>
      </c>
      <c r="L522" s="1" t="s">
        <v>28</v>
      </c>
      <c r="M522" s="1" t="s">
        <v>61</v>
      </c>
      <c r="N522" s="1" t="s">
        <v>62</v>
      </c>
      <c r="O522" s="1" t="s">
        <v>31</v>
      </c>
      <c r="P522" s="2">
        <v>45726</v>
      </c>
      <c r="Q522" s="1" t="s">
        <v>376</v>
      </c>
      <c r="R522" s="1" t="s">
        <v>1297</v>
      </c>
      <c r="S522" s="1" t="s">
        <v>54</v>
      </c>
      <c r="T522" s="1" t="s">
        <v>35</v>
      </c>
      <c r="U522" s="1" t="s">
        <v>55</v>
      </c>
      <c r="V522" s="1" t="s">
        <v>37</v>
      </c>
      <c r="W522">
        <v>2</v>
      </c>
      <c r="X522" s="1">
        <f t="shared" si="16"/>
        <v>8313.6899999999459</v>
      </c>
      <c r="Y522" s="1">
        <f t="shared" si="17"/>
        <v>5710.7699999999695</v>
      </c>
    </row>
    <row r="523" spans="1:25" x14ac:dyDescent="0.3">
      <c r="A523" s="1" t="s">
        <v>1298</v>
      </c>
      <c r="B523">
        <v>3</v>
      </c>
      <c r="C523">
        <v>34.99</v>
      </c>
      <c r="D523">
        <v>83.1</v>
      </c>
      <c r="E523" s="1" t="s">
        <v>1299</v>
      </c>
      <c r="F523" s="1" t="s">
        <v>70</v>
      </c>
      <c r="G523">
        <v>0</v>
      </c>
      <c r="H523" s="1" t="s">
        <v>96</v>
      </c>
      <c r="I523" s="1" t="s">
        <v>85</v>
      </c>
      <c r="J523">
        <v>12.5</v>
      </c>
      <c r="K523">
        <v>34.99</v>
      </c>
      <c r="L523" s="1" t="s">
        <v>60</v>
      </c>
      <c r="M523" s="1" t="s">
        <v>29</v>
      </c>
      <c r="N523" s="1" t="s">
        <v>30</v>
      </c>
      <c r="O523" s="1" t="s">
        <v>31</v>
      </c>
      <c r="P523" s="2">
        <v>45778</v>
      </c>
      <c r="Q523" s="1" t="s">
        <v>893</v>
      </c>
      <c r="R523" s="1" t="s">
        <v>1300</v>
      </c>
      <c r="S523" s="1" t="s">
        <v>34</v>
      </c>
      <c r="T523" s="1" t="s">
        <v>35</v>
      </c>
      <c r="U523" s="1" t="s">
        <v>66</v>
      </c>
      <c r="V523" s="1" t="s">
        <v>89</v>
      </c>
      <c r="W523">
        <v>2.4</v>
      </c>
      <c r="X523" s="1">
        <f t="shared" si="16"/>
        <v>7844.9099999999507</v>
      </c>
      <c r="Y523" s="1">
        <f t="shared" si="17"/>
        <v>6397.4799999999632</v>
      </c>
    </row>
    <row r="524" spans="1:25" x14ac:dyDescent="0.3">
      <c r="A524" s="1" t="s">
        <v>1301</v>
      </c>
      <c r="B524">
        <v>2</v>
      </c>
      <c r="C524">
        <v>16.989999999999998</v>
      </c>
      <c r="D524">
        <v>29.48</v>
      </c>
      <c r="E524" s="1" t="s">
        <v>1302</v>
      </c>
      <c r="F524" s="1" t="s">
        <v>40</v>
      </c>
      <c r="G524">
        <v>16</v>
      </c>
      <c r="H524" s="1" t="s">
        <v>26</v>
      </c>
      <c r="I524" s="1" t="s">
        <v>59</v>
      </c>
      <c r="J524">
        <v>5</v>
      </c>
      <c r="K524">
        <v>16.989999999999998</v>
      </c>
      <c r="L524" s="1" t="s">
        <v>60</v>
      </c>
      <c r="M524" s="1" t="s">
        <v>61</v>
      </c>
      <c r="N524" s="1" t="s">
        <v>62</v>
      </c>
      <c r="O524" s="1" t="s">
        <v>31</v>
      </c>
      <c r="P524" s="2">
        <v>45726</v>
      </c>
      <c r="Q524" s="1" t="s">
        <v>1028</v>
      </c>
      <c r="R524" s="1" t="s">
        <v>1303</v>
      </c>
      <c r="S524" s="1" t="s">
        <v>411</v>
      </c>
      <c r="T524" s="1" t="s">
        <v>35</v>
      </c>
      <c r="U524" s="1" t="s">
        <v>55</v>
      </c>
      <c r="V524" s="1" t="s">
        <v>67</v>
      </c>
      <c r="W524">
        <v>3</v>
      </c>
      <c r="X524" s="1">
        <f t="shared" si="16"/>
        <v>8313.6899999999459</v>
      </c>
      <c r="Y524" s="1">
        <f t="shared" si="17"/>
        <v>5710.7699999999695</v>
      </c>
    </row>
    <row r="525" spans="1:25" x14ac:dyDescent="0.3">
      <c r="A525" s="1" t="s">
        <v>1304</v>
      </c>
      <c r="B525">
        <v>3</v>
      </c>
      <c r="C525">
        <v>21.99</v>
      </c>
      <c r="D525">
        <v>53.26</v>
      </c>
      <c r="E525" s="1" t="s">
        <v>1027</v>
      </c>
      <c r="F525" s="1" t="s">
        <v>51</v>
      </c>
      <c r="G525">
        <v>0</v>
      </c>
      <c r="H525" s="1" t="s">
        <v>58</v>
      </c>
      <c r="I525" s="1" t="s">
        <v>27</v>
      </c>
      <c r="J525">
        <v>7</v>
      </c>
      <c r="K525">
        <v>21.99</v>
      </c>
      <c r="L525" s="1" t="s">
        <v>28</v>
      </c>
      <c r="M525" s="1" t="s">
        <v>29</v>
      </c>
      <c r="N525" s="1" t="s">
        <v>30</v>
      </c>
      <c r="O525" s="1" t="s">
        <v>31</v>
      </c>
      <c r="P525" s="2">
        <v>45778</v>
      </c>
      <c r="Q525" s="1" t="s">
        <v>913</v>
      </c>
      <c r="R525" s="1" t="s">
        <v>914</v>
      </c>
      <c r="S525" s="1" t="s">
        <v>65</v>
      </c>
      <c r="T525" s="1" t="s">
        <v>35</v>
      </c>
      <c r="U525" s="1" t="s">
        <v>48</v>
      </c>
      <c r="V525" s="1" t="s">
        <v>37</v>
      </c>
      <c r="W525">
        <v>2</v>
      </c>
      <c r="X525" s="1">
        <f t="shared" si="16"/>
        <v>8640.6199999999462</v>
      </c>
      <c r="Y525" s="1">
        <f t="shared" si="17"/>
        <v>7682.919999999951</v>
      </c>
    </row>
    <row r="526" spans="1:25" x14ac:dyDescent="0.3">
      <c r="A526" s="1" t="s">
        <v>1305</v>
      </c>
      <c r="B526">
        <v>1</v>
      </c>
      <c r="C526">
        <v>21.99</v>
      </c>
      <c r="D526">
        <v>21.99</v>
      </c>
      <c r="E526" s="1" t="s">
        <v>1295</v>
      </c>
      <c r="F526" s="1" t="s">
        <v>188</v>
      </c>
      <c r="G526">
        <v>0</v>
      </c>
      <c r="H526" s="1" t="s">
        <v>26</v>
      </c>
      <c r="I526" s="1" t="s">
        <v>27</v>
      </c>
      <c r="J526">
        <v>7</v>
      </c>
      <c r="K526">
        <v>21.99</v>
      </c>
      <c r="L526" s="1" t="s">
        <v>28</v>
      </c>
      <c r="M526" s="1" t="s">
        <v>29</v>
      </c>
      <c r="N526" s="1" t="s">
        <v>30</v>
      </c>
      <c r="O526" s="1" t="s">
        <v>31</v>
      </c>
      <c r="P526" s="2">
        <v>45778</v>
      </c>
      <c r="Q526" s="1" t="s">
        <v>1306</v>
      </c>
      <c r="R526" s="1" t="s">
        <v>1307</v>
      </c>
      <c r="S526" s="1" t="s">
        <v>47</v>
      </c>
      <c r="T526" s="1" t="s">
        <v>35</v>
      </c>
      <c r="U526" s="1" t="s">
        <v>66</v>
      </c>
      <c r="V526" s="1" t="s">
        <v>37</v>
      </c>
      <c r="W526">
        <v>2</v>
      </c>
      <c r="X526" s="1">
        <f t="shared" si="16"/>
        <v>8313.6899999999459</v>
      </c>
      <c r="Y526" s="1">
        <f t="shared" si="17"/>
        <v>6397.4799999999632</v>
      </c>
    </row>
    <row r="527" spans="1:25" x14ac:dyDescent="0.3">
      <c r="A527" s="1" t="s">
        <v>1308</v>
      </c>
      <c r="B527">
        <v>3</v>
      </c>
      <c r="C527">
        <v>18.989999999999998</v>
      </c>
      <c r="D527">
        <v>45.7</v>
      </c>
      <c r="E527" s="1" t="s">
        <v>1061</v>
      </c>
      <c r="F527" s="1" t="s">
        <v>25</v>
      </c>
      <c r="G527">
        <v>19</v>
      </c>
      <c r="H527" s="1" t="s">
        <v>58</v>
      </c>
      <c r="I527" s="1" t="s">
        <v>97</v>
      </c>
      <c r="J527">
        <v>6</v>
      </c>
      <c r="K527">
        <v>18.989999999999998</v>
      </c>
      <c r="L527" s="1" t="s">
        <v>60</v>
      </c>
      <c r="M527" s="1" t="s">
        <v>43</v>
      </c>
      <c r="N527" s="1" t="s">
        <v>44</v>
      </c>
      <c r="O527" s="1" t="s">
        <v>31</v>
      </c>
      <c r="P527" s="2">
        <v>45823</v>
      </c>
      <c r="Q527" s="1" t="s">
        <v>1069</v>
      </c>
      <c r="R527" s="1" t="s">
        <v>1070</v>
      </c>
      <c r="S527" s="1" t="s">
        <v>65</v>
      </c>
      <c r="T527" s="1" t="s">
        <v>35</v>
      </c>
      <c r="U527" s="1" t="s">
        <v>66</v>
      </c>
      <c r="V527" s="1" t="s">
        <v>100</v>
      </c>
      <c r="W527">
        <v>3.2</v>
      </c>
      <c r="X527" s="1">
        <f t="shared" si="16"/>
        <v>8640.6199999999462</v>
      </c>
      <c r="Y527" s="1">
        <f t="shared" si="17"/>
        <v>6397.4799999999632</v>
      </c>
    </row>
    <row r="528" spans="1:25" x14ac:dyDescent="0.3">
      <c r="A528" s="1" t="s">
        <v>1309</v>
      </c>
      <c r="B528">
        <v>1</v>
      </c>
      <c r="C528">
        <v>34.99</v>
      </c>
      <c r="D528">
        <v>34.99</v>
      </c>
      <c r="E528" s="1" t="s">
        <v>1310</v>
      </c>
      <c r="F528" s="1" t="s">
        <v>51</v>
      </c>
      <c r="G528">
        <v>0</v>
      </c>
      <c r="H528" s="1" t="s">
        <v>58</v>
      </c>
      <c r="I528" s="1" t="s">
        <v>85</v>
      </c>
      <c r="J528">
        <v>12.5</v>
      </c>
      <c r="K528">
        <v>34.99</v>
      </c>
      <c r="L528" s="1" t="s">
        <v>60</v>
      </c>
      <c r="M528" s="1" t="s">
        <v>29</v>
      </c>
      <c r="N528" s="1" t="s">
        <v>30</v>
      </c>
      <c r="O528" s="1" t="s">
        <v>31</v>
      </c>
      <c r="P528" s="2">
        <v>45778</v>
      </c>
      <c r="Q528" s="1" t="s">
        <v>137</v>
      </c>
      <c r="R528" s="1" t="s">
        <v>1311</v>
      </c>
      <c r="S528" s="1" t="s">
        <v>47</v>
      </c>
      <c r="T528" s="1" t="s">
        <v>35</v>
      </c>
      <c r="U528" s="1" t="s">
        <v>82</v>
      </c>
      <c r="V528" s="1" t="s">
        <v>89</v>
      </c>
      <c r="W528">
        <v>2.4</v>
      </c>
      <c r="X528" s="1">
        <f t="shared" si="16"/>
        <v>8640.6199999999462</v>
      </c>
      <c r="Y528" s="1">
        <f t="shared" si="17"/>
        <v>7204.2099999999582</v>
      </c>
    </row>
    <row r="529" spans="1:25" x14ac:dyDescent="0.3">
      <c r="A529" s="1" t="s">
        <v>1312</v>
      </c>
      <c r="B529">
        <v>2</v>
      </c>
      <c r="C529">
        <v>16.989999999999998</v>
      </c>
      <c r="D529">
        <v>29.34</v>
      </c>
      <c r="E529" s="1" t="s">
        <v>327</v>
      </c>
      <c r="F529" s="1" t="s">
        <v>40</v>
      </c>
      <c r="G529">
        <v>15</v>
      </c>
      <c r="H529" s="1" t="s">
        <v>41</v>
      </c>
      <c r="I529" s="1" t="s">
        <v>59</v>
      </c>
      <c r="J529">
        <v>5</v>
      </c>
      <c r="K529">
        <v>16.989999999999998</v>
      </c>
      <c r="L529" s="1" t="s">
        <v>60</v>
      </c>
      <c r="M529" s="1" t="s">
        <v>61</v>
      </c>
      <c r="N529" s="1" t="s">
        <v>62</v>
      </c>
      <c r="O529" s="1" t="s">
        <v>31</v>
      </c>
      <c r="P529" s="2">
        <v>45726</v>
      </c>
      <c r="Q529" s="1" t="s">
        <v>720</v>
      </c>
      <c r="R529" s="1" t="s">
        <v>721</v>
      </c>
      <c r="S529" s="1" t="s">
        <v>54</v>
      </c>
      <c r="T529" s="1" t="s">
        <v>35</v>
      </c>
      <c r="U529" s="1" t="s">
        <v>82</v>
      </c>
      <c r="V529" s="1" t="s">
        <v>67</v>
      </c>
      <c r="W529">
        <v>3</v>
      </c>
      <c r="X529" s="1">
        <f t="shared" si="16"/>
        <v>8551.6499999999451</v>
      </c>
      <c r="Y529" s="1">
        <f t="shared" si="17"/>
        <v>7204.2099999999582</v>
      </c>
    </row>
    <row r="530" spans="1:25" x14ac:dyDescent="0.3">
      <c r="A530" s="1" t="s">
        <v>1313</v>
      </c>
      <c r="B530">
        <v>2</v>
      </c>
      <c r="C530">
        <v>18.989999999999998</v>
      </c>
      <c r="D530">
        <v>32.729999999999997</v>
      </c>
      <c r="E530" s="1" t="s">
        <v>146</v>
      </c>
      <c r="F530" s="1" t="s">
        <v>51</v>
      </c>
      <c r="G530">
        <v>0</v>
      </c>
      <c r="H530" s="1" t="s">
        <v>96</v>
      </c>
      <c r="I530" s="1" t="s">
        <v>97</v>
      </c>
      <c r="J530">
        <v>6</v>
      </c>
      <c r="K530">
        <v>18.989999999999998</v>
      </c>
      <c r="L530" s="1" t="s">
        <v>60</v>
      </c>
      <c r="M530" s="1" t="s">
        <v>43</v>
      </c>
      <c r="N530" s="1" t="s">
        <v>44</v>
      </c>
      <c r="O530" s="1" t="s">
        <v>31</v>
      </c>
      <c r="P530" s="2">
        <v>45823</v>
      </c>
      <c r="Q530" s="1" t="s">
        <v>1028</v>
      </c>
      <c r="R530" s="1" t="s">
        <v>1303</v>
      </c>
      <c r="S530" s="1" t="s">
        <v>411</v>
      </c>
      <c r="T530" s="1" t="s">
        <v>35</v>
      </c>
      <c r="U530" s="1" t="s">
        <v>55</v>
      </c>
      <c r="V530" s="1" t="s">
        <v>100</v>
      </c>
      <c r="W530">
        <v>3.2</v>
      </c>
      <c r="X530" s="1">
        <f t="shared" si="16"/>
        <v>7844.9099999999507</v>
      </c>
      <c r="Y530" s="1">
        <f t="shared" si="17"/>
        <v>5710.7699999999695</v>
      </c>
    </row>
    <row r="531" spans="1:25" x14ac:dyDescent="0.3">
      <c r="A531" s="1" t="s">
        <v>1314</v>
      </c>
      <c r="B531">
        <v>1</v>
      </c>
      <c r="C531">
        <v>34.99</v>
      </c>
      <c r="D531">
        <v>34.99</v>
      </c>
      <c r="E531" s="1" t="s">
        <v>1315</v>
      </c>
      <c r="F531" s="1" t="s">
        <v>51</v>
      </c>
      <c r="G531">
        <v>0</v>
      </c>
      <c r="H531" s="1" t="s">
        <v>96</v>
      </c>
      <c r="I531" s="1" t="s">
        <v>85</v>
      </c>
      <c r="J531">
        <v>12.5</v>
      </c>
      <c r="K531">
        <v>34.99</v>
      </c>
      <c r="L531" s="1" t="s">
        <v>60</v>
      </c>
      <c r="M531" s="1" t="s">
        <v>29</v>
      </c>
      <c r="N531" s="1" t="s">
        <v>30</v>
      </c>
      <c r="O531" s="1" t="s">
        <v>31</v>
      </c>
      <c r="P531" s="2">
        <v>45778</v>
      </c>
      <c r="Q531" s="1" t="s">
        <v>1316</v>
      </c>
      <c r="R531" s="1" t="s">
        <v>1317</v>
      </c>
      <c r="S531" s="1" t="s">
        <v>105</v>
      </c>
      <c r="T531" s="1" t="s">
        <v>35</v>
      </c>
      <c r="U531" s="1" t="s">
        <v>66</v>
      </c>
      <c r="V531" s="1" t="s">
        <v>89</v>
      </c>
      <c r="W531">
        <v>2.4</v>
      </c>
      <c r="X531" s="1">
        <f t="shared" si="16"/>
        <v>7844.9099999999507</v>
      </c>
      <c r="Y531" s="1">
        <f t="shared" si="17"/>
        <v>6397.4799999999632</v>
      </c>
    </row>
    <row r="532" spans="1:25" x14ac:dyDescent="0.3">
      <c r="A532" s="1" t="s">
        <v>1318</v>
      </c>
      <c r="B532">
        <v>3</v>
      </c>
      <c r="C532">
        <v>34.99</v>
      </c>
      <c r="D532">
        <v>83.88</v>
      </c>
      <c r="E532" s="1" t="s">
        <v>824</v>
      </c>
      <c r="F532" s="1" t="s">
        <v>51</v>
      </c>
      <c r="G532">
        <v>0</v>
      </c>
      <c r="H532" s="1" t="s">
        <v>58</v>
      </c>
      <c r="I532" s="1" t="s">
        <v>85</v>
      </c>
      <c r="J532">
        <v>12.5</v>
      </c>
      <c r="K532">
        <v>34.99</v>
      </c>
      <c r="L532" s="1" t="s">
        <v>60</v>
      </c>
      <c r="M532" s="1" t="s">
        <v>29</v>
      </c>
      <c r="N532" s="1" t="s">
        <v>30</v>
      </c>
      <c r="O532" s="1" t="s">
        <v>31</v>
      </c>
      <c r="P532" s="2">
        <v>45778</v>
      </c>
      <c r="Q532" s="1" t="s">
        <v>1319</v>
      </c>
      <c r="R532" s="1" t="s">
        <v>1320</v>
      </c>
      <c r="S532" s="1" t="s">
        <v>54</v>
      </c>
      <c r="T532" s="1" t="s">
        <v>35</v>
      </c>
      <c r="U532" s="1" t="s">
        <v>82</v>
      </c>
      <c r="V532" s="1" t="s">
        <v>89</v>
      </c>
      <c r="W532">
        <v>2.4</v>
      </c>
      <c r="X532" s="1">
        <f t="shared" si="16"/>
        <v>8640.6199999999462</v>
      </c>
      <c r="Y532" s="1">
        <f t="shared" si="17"/>
        <v>7204.2099999999582</v>
      </c>
    </row>
    <row r="533" spans="1:25" x14ac:dyDescent="0.3">
      <c r="A533" s="1" t="s">
        <v>1321</v>
      </c>
      <c r="B533">
        <v>3</v>
      </c>
      <c r="C533">
        <v>34.99</v>
      </c>
      <c r="D533">
        <v>84.2</v>
      </c>
      <c r="E533" s="1" t="s">
        <v>954</v>
      </c>
      <c r="F533" s="1" t="s">
        <v>40</v>
      </c>
      <c r="G533">
        <v>8</v>
      </c>
      <c r="H533" s="1" t="s">
        <v>58</v>
      </c>
      <c r="I533" s="1" t="s">
        <v>85</v>
      </c>
      <c r="J533">
        <v>12.5</v>
      </c>
      <c r="K533">
        <v>34.99</v>
      </c>
      <c r="L533" s="1" t="s">
        <v>60</v>
      </c>
      <c r="M533" s="1" t="s">
        <v>29</v>
      </c>
      <c r="N533" s="1" t="s">
        <v>30</v>
      </c>
      <c r="O533" s="1" t="s">
        <v>31</v>
      </c>
      <c r="P533" s="2">
        <v>45778</v>
      </c>
      <c r="Q533" s="1" t="s">
        <v>150</v>
      </c>
      <c r="R533" s="1" t="s">
        <v>1322</v>
      </c>
      <c r="S533" s="1" t="s">
        <v>88</v>
      </c>
      <c r="T533" s="1" t="s">
        <v>35</v>
      </c>
      <c r="U533" s="1" t="s">
        <v>66</v>
      </c>
      <c r="V533" s="1" t="s">
        <v>89</v>
      </c>
      <c r="W533">
        <v>2.4</v>
      </c>
      <c r="X533" s="1">
        <f t="shared" si="16"/>
        <v>8640.6199999999462</v>
      </c>
      <c r="Y533" s="1">
        <f t="shared" si="17"/>
        <v>6397.4799999999632</v>
      </c>
    </row>
    <row r="534" spans="1:25" x14ac:dyDescent="0.3">
      <c r="A534" s="1" t="s">
        <v>1323</v>
      </c>
      <c r="B534">
        <v>1</v>
      </c>
      <c r="C534">
        <v>30.99</v>
      </c>
      <c r="D534">
        <v>30.99</v>
      </c>
      <c r="E534" s="1" t="s">
        <v>1324</v>
      </c>
      <c r="F534" s="1" t="s">
        <v>51</v>
      </c>
      <c r="G534">
        <v>0</v>
      </c>
      <c r="H534" s="1" t="s">
        <v>41</v>
      </c>
      <c r="I534" s="1" t="s">
        <v>42</v>
      </c>
      <c r="J534">
        <v>10.5</v>
      </c>
      <c r="K534">
        <v>30.99</v>
      </c>
      <c r="L534" s="1" t="s">
        <v>28</v>
      </c>
      <c r="M534" s="1" t="s">
        <v>43</v>
      </c>
      <c r="N534" s="1" t="s">
        <v>44</v>
      </c>
      <c r="O534" s="1" t="s">
        <v>31</v>
      </c>
      <c r="P534" s="2">
        <v>45823</v>
      </c>
      <c r="Q534" s="1" t="s">
        <v>1325</v>
      </c>
      <c r="R534" s="1" t="s">
        <v>1326</v>
      </c>
      <c r="S534" s="1" t="s">
        <v>105</v>
      </c>
      <c r="T534" s="1" t="s">
        <v>35</v>
      </c>
      <c r="U534" s="1" t="s">
        <v>82</v>
      </c>
      <c r="V534" s="1" t="s">
        <v>37</v>
      </c>
      <c r="W534">
        <v>2</v>
      </c>
      <c r="X534" s="1">
        <f t="shared" si="16"/>
        <v>8551.6499999999451</v>
      </c>
      <c r="Y534" s="1">
        <f t="shared" si="17"/>
        <v>7204.2099999999582</v>
      </c>
    </row>
    <row r="535" spans="1:25" x14ac:dyDescent="0.3">
      <c r="A535" s="1" t="s">
        <v>1327</v>
      </c>
      <c r="B535">
        <v>1</v>
      </c>
      <c r="C535">
        <v>16.989999999999998</v>
      </c>
      <c r="D535">
        <v>16.989999999999998</v>
      </c>
      <c r="E535" s="1" t="s">
        <v>1161</v>
      </c>
      <c r="F535" s="1" t="s">
        <v>40</v>
      </c>
      <c r="G535">
        <v>20</v>
      </c>
      <c r="H535" s="1" t="s">
        <v>41</v>
      </c>
      <c r="I535" s="1" t="s">
        <v>59</v>
      </c>
      <c r="J535">
        <v>5</v>
      </c>
      <c r="K535">
        <v>16.989999999999998</v>
      </c>
      <c r="L535" s="1" t="s">
        <v>60</v>
      </c>
      <c r="M535" s="1" t="s">
        <v>61</v>
      </c>
      <c r="N535" s="1" t="s">
        <v>62</v>
      </c>
      <c r="O535" s="1" t="s">
        <v>31</v>
      </c>
      <c r="P535" s="2">
        <v>45726</v>
      </c>
      <c r="Q535" s="1" t="s">
        <v>1328</v>
      </c>
      <c r="R535" s="1" t="s">
        <v>1329</v>
      </c>
      <c r="S535" s="1" t="s">
        <v>105</v>
      </c>
      <c r="T535" s="1" t="s">
        <v>35</v>
      </c>
      <c r="U535" s="1" t="s">
        <v>36</v>
      </c>
      <c r="V535" s="1" t="s">
        <v>67</v>
      </c>
      <c r="W535">
        <v>3</v>
      </c>
      <c r="X535" s="1">
        <f t="shared" si="16"/>
        <v>8551.6499999999451</v>
      </c>
      <c r="Y535" s="1">
        <f t="shared" si="17"/>
        <v>6355.4899999999634</v>
      </c>
    </row>
    <row r="536" spans="1:25" x14ac:dyDescent="0.3">
      <c r="A536" s="1" t="s">
        <v>1330</v>
      </c>
      <c r="B536">
        <v>1</v>
      </c>
      <c r="C536">
        <v>27.99</v>
      </c>
      <c r="D536">
        <v>27.99</v>
      </c>
      <c r="E536" s="1" t="s">
        <v>1331</v>
      </c>
      <c r="F536" s="1" t="s">
        <v>51</v>
      </c>
      <c r="G536">
        <v>0</v>
      </c>
      <c r="H536" s="1" t="s">
        <v>58</v>
      </c>
      <c r="I536" s="1" t="s">
        <v>75</v>
      </c>
      <c r="J536">
        <v>9</v>
      </c>
      <c r="K536">
        <v>27.99</v>
      </c>
      <c r="L536" s="1" t="s">
        <v>28</v>
      </c>
      <c r="M536" s="1" t="s">
        <v>61</v>
      </c>
      <c r="N536" s="1" t="s">
        <v>62</v>
      </c>
      <c r="O536" s="1" t="s">
        <v>31</v>
      </c>
      <c r="P536" s="2">
        <v>45726</v>
      </c>
      <c r="Q536" s="1" t="s">
        <v>1332</v>
      </c>
      <c r="R536" s="1" t="s">
        <v>1333</v>
      </c>
      <c r="S536" s="1" t="s">
        <v>34</v>
      </c>
      <c r="T536" s="1" t="s">
        <v>35</v>
      </c>
      <c r="U536" s="1" t="s">
        <v>55</v>
      </c>
      <c r="V536" s="1" t="s">
        <v>37</v>
      </c>
      <c r="W536">
        <v>2</v>
      </c>
      <c r="X536" s="1">
        <f t="shared" si="16"/>
        <v>8640.6199999999462</v>
      </c>
      <c r="Y536" s="1">
        <f t="shared" si="17"/>
        <v>5710.7699999999695</v>
      </c>
    </row>
    <row r="537" spans="1:25" x14ac:dyDescent="0.3">
      <c r="A537" s="1" t="s">
        <v>1334</v>
      </c>
      <c r="B537">
        <v>1</v>
      </c>
      <c r="C537">
        <v>18.989999999999998</v>
      </c>
      <c r="D537">
        <v>18.989999999999998</v>
      </c>
      <c r="E537" s="1" t="s">
        <v>1335</v>
      </c>
      <c r="F537" s="1" t="s">
        <v>51</v>
      </c>
      <c r="G537">
        <v>0</v>
      </c>
      <c r="H537" s="1" t="s">
        <v>96</v>
      </c>
      <c r="I537" s="1" t="s">
        <v>97</v>
      </c>
      <c r="J537">
        <v>6</v>
      </c>
      <c r="K537">
        <v>18.989999999999998</v>
      </c>
      <c r="L537" s="1" t="s">
        <v>60</v>
      </c>
      <c r="M537" s="1" t="s">
        <v>43</v>
      </c>
      <c r="N537" s="1" t="s">
        <v>44</v>
      </c>
      <c r="O537" s="1" t="s">
        <v>31</v>
      </c>
      <c r="P537" s="2">
        <v>45823</v>
      </c>
      <c r="Q537" s="1" t="s">
        <v>1336</v>
      </c>
      <c r="R537" s="1" t="s">
        <v>1337</v>
      </c>
      <c r="S537" s="1" t="s">
        <v>105</v>
      </c>
      <c r="T537" s="1" t="s">
        <v>35</v>
      </c>
      <c r="U537" s="1" t="s">
        <v>55</v>
      </c>
      <c r="V537" s="1" t="s">
        <v>100</v>
      </c>
      <c r="W537">
        <v>3.2</v>
      </c>
      <c r="X537" s="1">
        <f t="shared" si="16"/>
        <v>7844.9099999999507</v>
      </c>
      <c r="Y537" s="1">
        <f t="shared" si="17"/>
        <v>5710.7699999999695</v>
      </c>
    </row>
    <row r="538" spans="1:25" x14ac:dyDescent="0.3">
      <c r="A538" s="1" t="s">
        <v>1338</v>
      </c>
      <c r="B538">
        <v>1</v>
      </c>
      <c r="C538">
        <v>34.99</v>
      </c>
      <c r="D538">
        <v>34.99</v>
      </c>
      <c r="E538" s="1" t="s">
        <v>1008</v>
      </c>
      <c r="F538" s="1" t="s">
        <v>51</v>
      </c>
      <c r="G538">
        <v>0</v>
      </c>
      <c r="H538" s="1" t="s">
        <v>41</v>
      </c>
      <c r="I538" s="1" t="s">
        <v>85</v>
      </c>
      <c r="J538">
        <v>12.5</v>
      </c>
      <c r="K538">
        <v>34.99</v>
      </c>
      <c r="L538" s="1" t="s">
        <v>60</v>
      </c>
      <c r="M538" s="1" t="s">
        <v>29</v>
      </c>
      <c r="N538" s="1" t="s">
        <v>30</v>
      </c>
      <c r="O538" s="1" t="s">
        <v>31</v>
      </c>
      <c r="P538" s="2">
        <v>45778</v>
      </c>
      <c r="Q538" s="1" t="s">
        <v>865</v>
      </c>
      <c r="R538" s="1" t="s">
        <v>866</v>
      </c>
      <c r="S538" s="1" t="s">
        <v>105</v>
      </c>
      <c r="T538" s="1" t="s">
        <v>35</v>
      </c>
      <c r="U538" s="1" t="s">
        <v>36</v>
      </c>
      <c r="V538" s="1" t="s">
        <v>89</v>
      </c>
      <c r="W538">
        <v>2.4</v>
      </c>
      <c r="X538" s="1">
        <f t="shared" si="16"/>
        <v>8551.6499999999451</v>
      </c>
      <c r="Y538" s="1">
        <f t="shared" si="17"/>
        <v>6355.4899999999634</v>
      </c>
    </row>
    <row r="539" spans="1:25" x14ac:dyDescent="0.3">
      <c r="A539" s="1" t="s">
        <v>1339</v>
      </c>
      <c r="B539">
        <v>3</v>
      </c>
      <c r="C539">
        <v>34.99</v>
      </c>
      <c r="D539">
        <v>83.88</v>
      </c>
      <c r="E539" s="1" t="s">
        <v>1340</v>
      </c>
      <c r="F539" s="1" t="s">
        <v>40</v>
      </c>
      <c r="G539">
        <v>6</v>
      </c>
      <c r="H539" s="1" t="s">
        <v>58</v>
      </c>
      <c r="I539" s="1" t="s">
        <v>85</v>
      </c>
      <c r="J539">
        <v>12.5</v>
      </c>
      <c r="K539">
        <v>34.99</v>
      </c>
      <c r="L539" s="1" t="s">
        <v>60</v>
      </c>
      <c r="M539" s="1" t="s">
        <v>29</v>
      </c>
      <c r="N539" s="1" t="s">
        <v>30</v>
      </c>
      <c r="O539" s="1" t="s">
        <v>31</v>
      </c>
      <c r="P539" s="2">
        <v>45778</v>
      </c>
      <c r="Q539" s="1" t="s">
        <v>1052</v>
      </c>
      <c r="R539" s="1" t="s">
        <v>1053</v>
      </c>
      <c r="S539" s="1" t="s">
        <v>105</v>
      </c>
      <c r="T539" s="1" t="s">
        <v>35</v>
      </c>
      <c r="U539" s="1" t="s">
        <v>55</v>
      </c>
      <c r="V539" s="1" t="s">
        <v>89</v>
      </c>
      <c r="W539">
        <v>2.4</v>
      </c>
      <c r="X539" s="1">
        <f t="shared" si="16"/>
        <v>8640.6199999999462</v>
      </c>
      <c r="Y539" s="1">
        <f t="shared" si="17"/>
        <v>5710.7699999999695</v>
      </c>
    </row>
    <row r="540" spans="1:25" x14ac:dyDescent="0.3">
      <c r="A540" s="1" t="s">
        <v>1341</v>
      </c>
      <c r="B540">
        <v>1</v>
      </c>
      <c r="C540">
        <v>21.99</v>
      </c>
      <c r="D540">
        <v>21.99</v>
      </c>
      <c r="E540" s="1" t="s">
        <v>881</v>
      </c>
      <c r="F540" s="1" t="s">
        <v>40</v>
      </c>
      <c r="G540">
        <v>2</v>
      </c>
      <c r="H540" s="1" t="s">
        <v>58</v>
      </c>
      <c r="I540" s="1" t="s">
        <v>27</v>
      </c>
      <c r="J540">
        <v>7</v>
      </c>
      <c r="K540">
        <v>21.99</v>
      </c>
      <c r="L540" s="1" t="s">
        <v>28</v>
      </c>
      <c r="M540" s="1" t="s">
        <v>29</v>
      </c>
      <c r="N540" s="1" t="s">
        <v>30</v>
      </c>
      <c r="O540" s="1" t="s">
        <v>31</v>
      </c>
      <c r="P540" s="2">
        <v>45778</v>
      </c>
      <c r="Q540" s="1" t="s">
        <v>1342</v>
      </c>
      <c r="R540" s="1" t="s">
        <v>1343</v>
      </c>
      <c r="S540" s="1" t="s">
        <v>88</v>
      </c>
      <c r="T540" s="1" t="s">
        <v>35</v>
      </c>
      <c r="U540" s="1" t="s">
        <v>48</v>
      </c>
      <c r="V540" s="1" t="s">
        <v>37</v>
      </c>
      <c r="W540">
        <v>2</v>
      </c>
      <c r="X540" s="1">
        <f t="shared" si="16"/>
        <v>8640.6199999999462</v>
      </c>
      <c r="Y540" s="1">
        <f t="shared" si="17"/>
        <v>7682.919999999951</v>
      </c>
    </row>
    <row r="541" spans="1:25" x14ac:dyDescent="0.3">
      <c r="A541" s="1" t="s">
        <v>1344</v>
      </c>
      <c r="B541">
        <v>1</v>
      </c>
      <c r="C541">
        <v>30.99</v>
      </c>
      <c r="D541">
        <v>30.99</v>
      </c>
      <c r="E541" s="1" t="s">
        <v>1345</v>
      </c>
      <c r="F541" s="1" t="s">
        <v>188</v>
      </c>
      <c r="G541">
        <v>0</v>
      </c>
      <c r="H541" s="1" t="s">
        <v>96</v>
      </c>
      <c r="I541" s="1" t="s">
        <v>42</v>
      </c>
      <c r="J541">
        <v>10.5</v>
      </c>
      <c r="K541">
        <v>30.99</v>
      </c>
      <c r="L541" s="1" t="s">
        <v>28</v>
      </c>
      <c r="M541" s="1" t="s">
        <v>43</v>
      </c>
      <c r="N541" s="1" t="s">
        <v>44</v>
      </c>
      <c r="O541" s="1" t="s">
        <v>31</v>
      </c>
      <c r="P541" s="2">
        <v>45823</v>
      </c>
      <c r="Q541" s="1" t="s">
        <v>943</v>
      </c>
      <c r="R541" s="1" t="s">
        <v>1346</v>
      </c>
      <c r="S541" s="1" t="s">
        <v>54</v>
      </c>
      <c r="T541" s="1" t="s">
        <v>35</v>
      </c>
      <c r="U541" s="1" t="s">
        <v>55</v>
      </c>
      <c r="V541" s="1" t="s">
        <v>37</v>
      </c>
      <c r="W541">
        <v>2</v>
      </c>
      <c r="X541" s="1">
        <f t="shared" si="16"/>
        <v>7844.9099999999507</v>
      </c>
      <c r="Y541" s="1">
        <f t="shared" si="17"/>
        <v>5710.7699999999695</v>
      </c>
    </row>
    <row r="542" spans="1:25" x14ac:dyDescent="0.3">
      <c r="A542" s="1" t="s">
        <v>1347</v>
      </c>
      <c r="B542">
        <v>2</v>
      </c>
      <c r="C542">
        <v>34.99</v>
      </c>
      <c r="D542">
        <v>61.06</v>
      </c>
      <c r="E542" s="1" t="s">
        <v>1348</v>
      </c>
      <c r="F542" s="1" t="s">
        <v>25</v>
      </c>
      <c r="G542">
        <v>8</v>
      </c>
      <c r="H542" s="1" t="s">
        <v>96</v>
      </c>
      <c r="I542" s="1" t="s">
        <v>85</v>
      </c>
      <c r="J542">
        <v>12.5</v>
      </c>
      <c r="K542">
        <v>34.99</v>
      </c>
      <c r="L542" s="1" t="s">
        <v>60</v>
      </c>
      <c r="M542" s="1" t="s">
        <v>29</v>
      </c>
      <c r="N542" s="1" t="s">
        <v>30</v>
      </c>
      <c r="O542" s="1" t="s">
        <v>31</v>
      </c>
      <c r="P542" s="2">
        <v>45778</v>
      </c>
      <c r="Q542" s="1" t="s">
        <v>1349</v>
      </c>
      <c r="R542" s="1" t="s">
        <v>1350</v>
      </c>
      <c r="S542" s="1" t="s">
        <v>47</v>
      </c>
      <c r="T542" s="1" t="s">
        <v>35</v>
      </c>
      <c r="U542" s="1" t="s">
        <v>48</v>
      </c>
      <c r="V542" s="1" t="s">
        <v>89</v>
      </c>
      <c r="W542">
        <v>2.4</v>
      </c>
      <c r="X542" s="1">
        <f t="shared" si="16"/>
        <v>7844.9099999999507</v>
      </c>
      <c r="Y542" s="1">
        <f t="shared" si="17"/>
        <v>7682.919999999951</v>
      </c>
    </row>
    <row r="543" spans="1:25" x14ac:dyDescent="0.3">
      <c r="A543" s="1" t="s">
        <v>1351</v>
      </c>
      <c r="B543">
        <v>1</v>
      </c>
      <c r="C543">
        <v>27.99</v>
      </c>
      <c r="D543">
        <v>27.99</v>
      </c>
      <c r="E543" s="1" t="s">
        <v>1352</v>
      </c>
      <c r="F543" s="1" t="s">
        <v>40</v>
      </c>
      <c r="G543">
        <v>3</v>
      </c>
      <c r="H543" s="1" t="s">
        <v>26</v>
      </c>
      <c r="I543" s="1" t="s">
        <v>75</v>
      </c>
      <c r="J543">
        <v>9</v>
      </c>
      <c r="K543">
        <v>27.99</v>
      </c>
      <c r="L543" s="1" t="s">
        <v>28</v>
      </c>
      <c r="M543" s="1" t="s">
        <v>61</v>
      </c>
      <c r="N543" s="1" t="s">
        <v>62</v>
      </c>
      <c r="O543" s="1" t="s">
        <v>31</v>
      </c>
      <c r="P543" s="2">
        <v>45726</v>
      </c>
      <c r="Q543" s="1" t="s">
        <v>593</v>
      </c>
      <c r="R543" s="1" t="s">
        <v>1353</v>
      </c>
      <c r="S543" s="1" t="s">
        <v>65</v>
      </c>
      <c r="T543" s="1" t="s">
        <v>35</v>
      </c>
      <c r="U543" s="1" t="s">
        <v>66</v>
      </c>
      <c r="V543" s="1" t="s">
        <v>37</v>
      </c>
      <c r="W543">
        <v>2</v>
      </c>
      <c r="X543" s="1">
        <f t="shared" si="16"/>
        <v>8313.6899999999459</v>
      </c>
      <c r="Y543" s="1">
        <f t="shared" si="17"/>
        <v>6397.4799999999632</v>
      </c>
    </row>
    <row r="544" spans="1:25" x14ac:dyDescent="0.3">
      <c r="A544" s="1" t="s">
        <v>1354</v>
      </c>
      <c r="B544">
        <v>1</v>
      </c>
      <c r="C544">
        <v>16.989999999999998</v>
      </c>
      <c r="D544">
        <v>16.989999999999998</v>
      </c>
      <c r="E544" s="1" t="s">
        <v>1355</v>
      </c>
      <c r="F544" s="1" t="s">
        <v>40</v>
      </c>
      <c r="G544">
        <v>23</v>
      </c>
      <c r="H544" s="1" t="s">
        <v>58</v>
      </c>
      <c r="I544" s="1" t="s">
        <v>59</v>
      </c>
      <c r="J544">
        <v>5</v>
      </c>
      <c r="K544">
        <v>16.989999999999998</v>
      </c>
      <c r="L544" s="1" t="s">
        <v>60</v>
      </c>
      <c r="M544" s="1" t="s">
        <v>61</v>
      </c>
      <c r="N544" s="1" t="s">
        <v>62</v>
      </c>
      <c r="O544" s="1" t="s">
        <v>31</v>
      </c>
      <c r="P544" s="2">
        <v>45726</v>
      </c>
      <c r="Q544" s="1" t="s">
        <v>1356</v>
      </c>
      <c r="R544" s="1" t="s">
        <v>1357</v>
      </c>
      <c r="S544" s="1" t="s">
        <v>34</v>
      </c>
      <c r="T544" s="1" t="s">
        <v>35</v>
      </c>
      <c r="U544" s="1" t="s">
        <v>55</v>
      </c>
      <c r="V544" s="1" t="s">
        <v>67</v>
      </c>
      <c r="W544">
        <v>3</v>
      </c>
      <c r="X544" s="1">
        <f t="shared" si="16"/>
        <v>8640.6199999999462</v>
      </c>
      <c r="Y544" s="1">
        <f t="shared" si="17"/>
        <v>5710.7699999999695</v>
      </c>
    </row>
    <row r="545" spans="1:25" x14ac:dyDescent="0.3">
      <c r="A545" s="1" t="s">
        <v>1358</v>
      </c>
      <c r="B545">
        <v>2</v>
      </c>
      <c r="C545">
        <v>34.99</v>
      </c>
      <c r="D545">
        <v>60.13</v>
      </c>
      <c r="E545" s="1" t="s">
        <v>1359</v>
      </c>
      <c r="F545" s="1" t="s">
        <v>40</v>
      </c>
      <c r="G545">
        <v>8</v>
      </c>
      <c r="H545" s="1" t="s">
        <v>96</v>
      </c>
      <c r="I545" s="1" t="s">
        <v>85</v>
      </c>
      <c r="J545">
        <v>12.5</v>
      </c>
      <c r="K545">
        <v>34.99</v>
      </c>
      <c r="L545" s="1" t="s">
        <v>60</v>
      </c>
      <c r="M545" s="1" t="s">
        <v>29</v>
      </c>
      <c r="N545" s="1" t="s">
        <v>30</v>
      </c>
      <c r="O545" s="1" t="s">
        <v>31</v>
      </c>
      <c r="P545" s="2">
        <v>45778</v>
      </c>
      <c r="Q545" s="1" t="s">
        <v>793</v>
      </c>
      <c r="R545" s="1" t="s">
        <v>794</v>
      </c>
      <c r="S545" s="1" t="s">
        <v>34</v>
      </c>
      <c r="T545" s="1" t="s">
        <v>35</v>
      </c>
      <c r="U545" s="1" t="s">
        <v>82</v>
      </c>
      <c r="V545" s="1" t="s">
        <v>89</v>
      </c>
      <c r="W545">
        <v>2.4</v>
      </c>
      <c r="X545" s="1">
        <f t="shared" si="16"/>
        <v>7844.9099999999507</v>
      </c>
      <c r="Y545" s="1">
        <f t="shared" si="17"/>
        <v>7204.2099999999582</v>
      </c>
    </row>
    <row r="546" spans="1:25" x14ac:dyDescent="0.3">
      <c r="A546" s="1" t="s">
        <v>1360</v>
      </c>
      <c r="B546">
        <v>1</v>
      </c>
      <c r="C546">
        <v>16.989999999999998</v>
      </c>
      <c r="D546">
        <v>16.989999999999998</v>
      </c>
      <c r="E546" s="1" t="s">
        <v>704</v>
      </c>
      <c r="F546" s="1" t="s">
        <v>40</v>
      </c>
      <c r="G546">
        <v>20</v>
      </c>
      <c r="H546" s="1" t="s">
        <v>58</v>
      </c>
      <c r="I546" s="1" t="s">
        <v>59</v>
      </c>
      <c r="J546">
        <v>5</v>
      </c>
      <c r="K546">
        <v>16.989999999999998</v>
      </c>
      <c r="L546" s="1" t="s">
        <v>60</v>
      </c>
      <c r="M546" s="1" t="s">
        <v>61</v>
      </c>
      <c r="N546" s="1" t="s">
        <v>62</v>
      </c>
      <c r="O546" s="1" t="s">
        <v>31</v>
      </c>
      <c r="P546" s="2">
        <v>45726</v>
      </c>
      <c r="Q546" s="1" t="s">
        <v>133</v>
      </c>
      <c r="R546" s="1" t="s">
        <v>776</v>
      </c>
      <c r="S546" s="1" t="s">
        <v>88</v>
      </c>
      <c r="T546" s="1" t="s">
        <v>35</v>
      </c>
      <c r="U546" s="1" t="s">
        <v>48</v>
      </c>
      <c r="V546" s="1" t="s">
        <v>67</v>
      </c>
      <c r="W546">
        <v>3</v>
      </c>
      <c r="X546" s="1">
        <f t="shared" si="16"/>
        <v>8640.6199999999462</v>
      </c>
      <c r="Y546" s="1">
        <f t="shared" si="17"/>
        <v>7682.919999999951</v>
      </c>
    </row>
    <row r="547" spans="1:25" x14ac:dyDescent="0.3">
      <c r="A547" s="1" t="s">
        <v>1361</v>
      </c>
      <c r="B547">
        <v>1</v>
      </c>
      <c r="C547">
        <v>34.99</v>
      </c>
      <c r="D547">
        <v>34.99</v>
      </c>
      <c r="E547" s="1" t="s">
        <v>1100</v>
      </c>
      <c r="F547" s="1" t="s">
        <v>40</v>
      </c>
      <c r="G547">
        <v>6</v>
      </c>
      <c r="H547" s="1" t="s">
        <v>41</v>
      </c>
      <c r="I547" s="1" t="s">
        <v>85</v>
      </c>
      <c r="J547">
        <v>12.5</v>
      </c>
      <c r="K547">
        <v>34.99</v>
      </c>
      <c r="L547" s="1" t="s">
        <v>60</v>
      </c>
      <c r="M547" s="1" t="s">
        <v>29</v>
      </c>
      <c r="N547" s="1" t="s">
        <v>30</v>
      </c>
      <c r="O547" s="1" t="s">
        <v>31</v>
      </c>
      <c r="P547" s="2">
        <v>45778</v>
      </c>
      <c r="Q547" s="1" t="s">
        <v>1362</v>
      </c>
      <c r="R547" s="1" t="s">
        <v>1363</v>
      </c>
      <c r="S547" s="1" t="s">
        <v>47</v>
      </c>
      <c r="T547" s="1" t="s">
        <v>35</v>
      </c>
      <c r="U547" s="1" t="s">
        <v>55</v>
      </c>
      <c r="V547" s="1" t="s">
        <v>89</v>
      </c>
      <c r="W547">
        <v>2.4</v>
      </c>
      <c r="X547" s="1">
        <f t="shared" si="16"/>
        <v>8551.6499999999451</v>
      </c>
      <c r="Y547" s="1">
        <f t="shared" si="17"/>
        <v>5710.7699999999695</v>
      </c>
    </row>
    <row r="548" spans="1:25" x14ac:dyDescent="0.3">
      <c r="A548" s="1" t="s">
        <v>1364</v>
      </c>
      <c r="B548">
        <v>1</v>
      </c>
      <c r="C548">
        <v>27.99</v>
      </c>
      <c r="D548">
        <v>27.99</v>
      </c>
      <c r="E548" s="1" t="s">
        <v>771</v>
      </c>
      <c r="F548" s="1" t="s">
        <v>40</v>
      </c>
      <c r="G548">
        <v>2</v>
      </c>
      <c r="H548" s="1" t="s">
        <v>96</v>
      </c>
      <c r="I548" s="1" t="s">
        <v>75</v>
      </c>
      <c r="J548">
        <v>9</v>
      </c>
      <c r="K548">
        <v>27.99</v>
      </c>
      <c r="L548" s="1" t="s">
        <v>28</v>
      </c>
      <c r="M548" s="1" t="s">
        <v>61</v>
      </c>
      <c r="N548" s="1" t="s">
        <v>62</v>
      </c>
      <c r="O548" s="1" t="s">
        <v>31</v>
      </c>
      <c r="P548" s="2">
        <v>45726</v>
      </c>
      <c r="Q548" s="1" t="s">
        <v>1191</v>
      </c>
      <c r="R548" s="1" t="s">
        <v>1365</v>
      </c>
      <c r="S548" s="1" t="s">
        <v>54</v>
      </c>
      <c r="T548" s="1" t="s">
        <v>35</v>
      </c>
      <c r="U548" s="1" t="s">
        <v>82</v>
      </c>
      <c r="V548" s="1" t="s">
        <v>37</v>
      </c>
      <c r="W548">
        <v>2</v>
      </c>
      <c r="X548" s="1">
        <f t="shared" si="16"/>
        <v>7844.9099999999507</v>
      </c>
      <c r="Y548" s="1">
        <f t="shared" si="17"/>
        <v>7204.2099999999582</v>
      </c>
    </row>
    <row r="549" spans="1:25" x14ac:dyDescent="0.3">
      <c r="A549" s="1" t="s">
        <v>1366</v>
      </c>
      <c r="B549">
        <v>1</v>
      </c>
      <c r="C549">
        <v>34.99</v>
      </c>
      <c r="D549">
        <v>34.99</v>
      </c>
      <c r="E549" s="1" t="s">
        <v>1367</v>
      </c>
      <c r="F549" s="1" t="s">
        <v>25</v>
      </c>
      <c r="G549">
        <v>8</v>
      </c>
      <c r="H549" s="1" t="s">
        <v>26</v>
      </c>
      <c r="I549" s="1" t="s">
        <v>85</v>
      </c>
      <c r="J549">
        <v>12.5</v>
      </c>
      <c r="K549">
        <v>34.99</v>
      </c>
      <c r="L549" s="1" t="s">
        <v>60</v>
      </c>
      <c r="M549" s="1" t="s">
        <v>29</v>
      </c>
      <c r="N549" s="1" t="s">
        <v>30</v>
      </c>
      <c r="O549" s="1" t="s">
        <v>31</v>
      </c>
      <c r="P549" s="2">
        <v>45778</v>
      </c>
      <c r="Q549" s="1" t="s">
        <v>63</v>
      </c>
      <c r="R549" s="1" t="s">
        <v>736</v>
      </c>
      <c r="S549" s="1" t="s">
        <v>47</v>
      </c>
      <c r="T549" s="1" t="s">
        <v>35</v>
      </c>
      <c r="U549" s="1" t="s">
        <v>66</v>
      </c>
      <c r="V549" s="1" t="s">
        <v>89</v>
      </c>
      <c r="W549">
        <v>2.4</v>
      </c>
      <c r="X549" s="1">
        <f t="shared" si="16"/>
        <v>8313.6899999999459</v>
      </c>
      <c r="Y549" s="1">
        <f t="shared" si="17"/>
        <v>6397.4799999999632</v>
      </c>
    </row>
    <row r="550" spans="1:25" x14ac:dyDescent="0.3">
      <c r="A550" s="1" t="s">
        <v>1368</v>
      </c>
      <c r="B550">
        <v>2</v>
      </c>
      <c r="C550">
        <v>16.989999999999998</v>
      </c>
      <c r="D550">
        <v>29.66</v>
      </c>
      <c r="E550" s="1" t="s">
        <v>1002</v>
      </c>
      <c r="F550" s="1" t="s">
        <v>40</v>
      </c>
      <c r="G550">
        <v>16</v>
      </c>
      <c r="H550" s="1" t="s">
        <v>26</v>
      </c>
      <c r="I550" s="1" t="s">
        <v>59</v>
      </c>
      <c r="J550">
        <v>5</v>
      </c>
      <c r="K550">
        <v>16.989999999999998</v>
      </c>
      <c r="L550" s="1" t="s">
        <v>60</v>
      </c>
      <c r="M550" s="1" t="s">
        <v>61</v>
      </c>
      <c r="N550" s="1" t="s">
        <v>62</v>
      </c>
      <c r="O550" s="1" t="s">
        <v>31</v>
      </c>
      <c r="P550" s="2">
        <v>45726</v>
      </c>
      <c r="Q550" s="1" t="s">
        <v>1195</v>
      </c>
      <c r="R550" s="1" t="s">
        <v>1196</v>
      </c>
      <c r="S550" s="1" t="s">
        <v>54</v>
      </c>
      <c r="T550" s="1" t="s">
        <v>35</v>
      </c>
      <c r="U550" s="1" t="s">
        <v>66</v>
      </c>
      <c r="V550" s="1" t="s">
        <v>67</v>
      </c>
      <c r="W550">
        <v>3</v>
      </c>
      <c r="X550" s="1">
        <f t="shared" si="16"/>
        <v>8313.6899999999459</v>
      </c>
      <c r="Y550" s="1">
        <f t="shared" si="17"/>
        <v>6397.4799999999632</v>
      </c>
    </row>
    <row r="551" spans="1:25" x14ac:dyDescent="0.3">
      <c r="A551" s="1" t="s">
        <v>1369</v>
      </c>
      <c r="B551">
        <v>1</v>
      </c>
      <c r="C551">
        <v>34.99</v>
      </c>
      <c r="D551">
        <v>34.99</v>
      </c>
      <c r="E551" s="1" t="s">
        <v>331</v>
      </c>
      <c r="F551" s="1" t="s">
        <v>40</v>
      </c>
      <c r="G551">
        <v>5</v>
      </c>
      <c r="H551" s="1" t="s">
        <v>26</v>
      </c>
      <c r="I551" s="1" t="s">
        <v>85</v>
      </c>
      <c r="J551">
        <v>12.5</v>
      </c>
      <c r="K551">
        <v>34.99</v>
      </c>
      <c r="L551" s="1" t="s">
        <v>60</v>
      </c>
      <c r="M551" s="1" t="s">
        <v>29</v>
      </c>
      <c r="N551" s="1" t="s">
        <v>30</v>
      </c>
      <c r="O551" s="1" t="s">
        <v>31</v>
      </c>
      <c r="P551" s="2">
        <v>45778</v>
      </c>
      <c r="Q551" s="1" t="s">
        <v>1370</v>
      </c>
      <c r="R551" s="1" t="s">
        <v>1371</v>
      </c>
      <c r="S551" s="1" t="s">
        <v>34</v>
      </c>
      <c r="T551" s="1" t="s">
        <v>35</v>
      </c>
      <c r="U551" s="1" t="s">
        <v>55</v>
      </c>
      <c r="V551" s="1" t="s">
        <v>89</v>
      </c>
      <c r="W551">
        <v>2.4</v>
      </c>
      <c r="X551" s="1">
        <f t="shared" si="16"/>
        <v>8313.6899999999459</v>
      </c>
      <c r="Y551" s="1">
        <f t="shared" si="17"/>
        <v>5710.7699999999695</v>
      </c>
    </row>
    <row r="552" spans="1:25" x14ac:dyDescent="0.3">
      <c r="A552" s="1" t="s">
        <v>1372</v>
      </c>
      <c r="B552">
        <v>2</v>
      </c>
      <c r="C552">
        <v>21.99</v>
      </c>
      <c r="D552">
        <v>38.18</v>
      </c>
      <c r="E552" s="1" t="s">
        <v>1373</v>
      </c>
      <c r="F552" s="1" t="s">
        <v>51</v>
      </c>
      <c r="G552">
        <v>0</v>
      </c>
      <c r="H552" s="1" t="s">
        <v>96</v>
      </c>
      <c r="I552" s="1" t="s">
        <v>27</v>
      </c>
      <c r="J552">
        <v>7</v>
      </c>
      <c r="K552">
        <v>21.99</v>
      </c>
      <c r="L552" s="1" t="s">
        <v>28</v>
      </c>
      <c r="M552" s="1" t="s">
        <v>29</v>
      </c>
      <c r="N552" s="1" t="s">
        <v>30</v>
      </c>
      <c r="O552" s="1" t="s">
        <v>31</v>
      </c>
      <c r="P552" s="2">
        <v>45778</v>
      </c>
      <c r="Q552" s="1" t="s">
        <v>203</v>
      </c>
      <c r="R552" s="1" t="s">
        <v>888</v>
      </c>
      <c r="S552" s="1" t="s">
        <v>88</v>
      </c>
      <c r="T552" s="1" t="s">
        <v>35</v>
      </c>
      <c r="U552" s="1" t="s">
        <v>55</v>
      </c>
      <c r="V552" s="1" t="s">
        <v>37</v>
      </c>
      <c r="W552">
        <v>2</v>
      </c>
      <c r="X552" s="1">
        <f t="shared" si="16"/>
        <v>7844.9099999999507</v>
      </c>
      <c r="Y552" s="1">
        <f t="shared" si="17"/>
        <v>5710.7699999999695</v>
      </c>
    </row>
    <row r="553" spans="1:25" x14ac:dyDescent="0.3">
      <c r="A553" s="1" t="s">
        <v>1374</v>
      </c>
      <c r="B553">
        <v>1</v>
      </c>
      <c r="C553">
        <v>18.989999999999998</v>
      </c>
      <c r="D553">
        <v>18.989999999999998</v>
      </c>
      <c r="E553" s="1" t="s">
        <v>1375</v>
      </c>
      <c r="F553" s="1" t="s">
        <v>188</v>
      </c>
      <c r="G553">
        <v>0</v>
      </c>
      <c r="H553" s="1" t="s">
        <v>26</v>
      </c>
      <c r="I553" s="1" t="s">
        <v>97</v>
      </c>
      <c r="J553">
        <v>6</v>
      </c>
      <c r="K553">
        <v>18.989999999999998</v>
      </c>
      <c r="L553" s="1" t="s">
        <v>60</v>
      </c>
      <c r="M553" s="1" t="s">
        <v>43</v>
      </c>
      <c r="N553" s="1" t="s">
        <v>44</v>
      </c>
      <c r="O553" s="1" t="s">
        <v>31</v>
      </c>
      <c r="P553" s="2">
        <v>45823</v>
      </c>
      <c r="Q553" s="1" t="s">
        <v>1376</v>
      </c>
      <c r="R553" s="1" t="s">
        <v>1377</v>
      </c>
      <c r="S553" s="1" t="s">
        <v>54</v>
      </c>
      <c r="T553" s="1" t="s">
        <v>35</v>
      </c>
      <c r="U553" s="1" t="s">
        <v>66</v>
      </c>
      <c r="V553" s="1" t="s">
        <v>100</v>
      </c>
      <c r="W553">
        <v>3.2</v>
      </c>
      <c r="X553" s="1">
        <f t="shared" si="16"/>
        <v>8313.6899999999459</v>
      </c>
      <c r="Y553" s="1">
        <f t="shared" si="17"/>
        <v>6397.4799999999632</v>
      </c>
    </row>
    <row r="554" spans="1:25" x14ac:dyDescent="0.3">
      <c r="A554" s="1" t="s">
        <v>1378</v>
      </c>
      <c r="B554">
        <v>3</v>
      </c>
      <c r="C554">
        <v>34.99</v>
      </c>
      <c r="D554">
        <v>83.72</v>
      </c>
      <c r="E554" s="1" t="s">
        <v>1379</v>
      </c>
      <c r="F554" s="1" t="s">
        <v>40</v>
      </c>
      <c r="G554">
        <v>5</v>
      </c>
      <c r="H554" s="1" t="s">
        <v>96</v>
      </c>
      <c r="I554" s="1" t="s">
        <v>85</v>
      </c>
      <c r="J554">
        <v>12.5</v>
      </c>
      <c r="K554">
        <v>34.99</v>
      </c>
      <c r="L554" s="1" t="s">
        <v>60</v>
      </c>
      <c r="M554" s="1" t="s">
        <v>29</v>
      </c>
      <c r="N554" s="1" t="s">
        <v>30</v>
      </c>
      <c r="O554" s="1" t="s">
        <v>31</v>
      </c>
      <c r="P554" s="2">
        <v>45778</v>
      </c>
      <c r="Q554" s="1" t="s">
        <v>466</v>
      </c>
      <c r="R554" s="1" t="s">
        <v>1104</v>
      </c>
      <c r="S554" s="1" t="s">
        <v>47</v>
      </c>
      <c r="T554" s="1" t="s">
        <v>35</v>
      </c>
      <c r="U554" s="1" t="s">
        <v>66</v>
      </c>
      <c r="V554" s="1" t="s">
        <v>89</v>
      </c>
      <c r="W554">
        <v>2.4</v>
      </c>
      <c r="X554" s="1">
        <f t="shared" si="16"/>
        <v>7844.9099999999507</v>
      </c>
      <c r="Y554" s="1">
        <f t="shared" si="17"/>
        <v>6397.4799999999632</v>
      </c>
    </row>
    <row r="555" spans="1:25" x14ac:dyDescent="0.3">
      <c r="A555" s="1" t="s">
        <v>1380</v>
      </c>
      <c r="B555">
        <v>1</v>
      </c>
      <c r="C555">
        <v>27.99</v>
      </c>
      <c r="D555">
        <v>27.99</v>
      </c>
      <c r="E555" s="1" t="s">
        <v>1381</v>
      </c>
      <c r="F555" s="1" t="s">
        <v>40</v>
      </c>
      <c r="G555">
        <v>8</v>
      </c>
      <c r="H555" s="1" t="s">
        <v>58</v>
      </c>
      <c r="I555" s="1" t="s">
        <v>75</v>
      </c>
      <c r="J555">
        <v>9</v>
      </c>
      <c r="K555">
        <v>27.99</v>
      </c>
      <c r="L555" s="1" t="s">
        <v>28</v>
      </c>
      <c r="M555" s="1" t="s">
        <v>61</v>
      </c>
      <c r="N555" s="1" t="s">
        <v>62</v>
      </c>
      <c r="O555" s="1" t="s">
        <v>31</v>
      </c>
      <c r="P555" s="2">
        <v>45726</v>
      </c>
      <c r="Q555" s="1" t="s">
        <v>1382</v>
      </c>
      <c r="R555" s="1" t="s">
        <v>1383</v>
      </c>
      <c r="S555" s="1" t="s">
        <v>65</v>
      </c>
      <c r="T555" s="1" t="s">
        <v>35</v>
      </c>
      <c r="U555" s="1" t="s">
        <v>82</v>
      </c>
      <c r="V555" s="1" t="s">
        <v>37</v>
      </c>
      <c r="W555">
        <v>2</v>
      </c>
      <c r="X555" s="1">
        <f t="shared" si="16"/>
        <v>8640.6199999999462</v>
      </c>
      <c r="Y555" s="1">
        <f t="shared" si="17"/>
        <v>7204.2099999999582</v>
      </c>
    </row>
    <row r="556" spans="1:25" x14ac:dyDescent="0.3">
      <c r="A556" s="1" t="s">
        <v>1384</v>
      </c>
      <c r="B556">
        <v>1</v>
      </c>
      <c r="C556">
        <v>21.99</v>
      </c>
      <c r="D556">
        <v>21.99</v>
      </c>
      <c r="E556" s="1" t="s">
        <v>1015</v>
      </c>
      <c r="F556" s="1" t="s">
        <v>40</v>
      </c>
      <c r="G556">
        <v>2</v>
      </c>
      <c r="H556" s="1" t="s">
        <v>41</v>
      </c>
      <c r="I556" s="1" t="s">
        <v>27</v>
      </c>
      <c r="J556">
        <v>7</v>
      </c>
      <c r="K556">
        <v>21.99</v>
      </c>
      <c r="L556" s="1" t="s">
        <v>28</v>
      </c>
      <c r="M556" s="1" t="s">
        <v>29</v>
      </c>
      <c r="N556" s="1" t="s">
        <v>30</v>
      </c>
      <c r="O556" s="1" t="s">
        <v>31</v>
      </c>
      <c r="P556" s="2">
        <v>45778</v>
      </c>
      <c r="Q556" s="1" t="s">
        <v>1385</v>
      </c>
      <c r="R556" s="1" t="s">
        <v>1386</v>
      </c>
      <c r="S556" s="1" t="s">
        <v>47</v>
      </c>
      <c r="T556" s="1" t="s">
        <v>35</v>
      </c>
      <c r="U556" s="1" t="s">
        <v>66</v>
      </c>
      <c r="V556" s="1" t="s">
        <v>37</v>
      </c>
      <c r="W556">
        <v>2</v>
      </c>
      <c r="X556" s="1">
        <f t="shared" si="16"/>
        <v>8551.6499999999451</v>
      </c>
      <c r="Y556" s="1">
        <f t="shared" si="17"/>
        <v>6397.4799999999632</v>
      </c>
    </row>
    <row r="557" spans="1:25" x14ac:dyDescent="0.3">
      <c r="A557" s="1" t="s">
        <v>1387</v>
      </c>
      <c r="B557">
        <v>1</v>
      </c>
      <c r="C557">
        <v>27.99</v>
      </c>
      <c r="D557">
        <v>27.99</v>
      </c>
      <c r="E557" s="1" t="s">
        <v>1388</v>
      </c>
      <c r="F557" s="1" t="s">
        <v>40</v>
      </c>
      <c r="G557">
        <v>7</v>
      </c>
      <c r="H557" s="1" t="s">
        <v>96</v>
      </c>
      <c r="I557" s="1" t="s">
        <v>75</v>
      </c>
      <c r="J557">
        <v>9</v>
      </c>
      <c r="K557">
        <v>27.99</v>
      </c>
      <c r="L557" s="1" t="s">
        <v>28</v>
      </c>
      <c r="M557" s="1" t="s">
        <v>61</v>
      </c>
      <c r="N557" s="1" t="s">
        <v>62</v>
      </c>
      <c r="O557" s="1" t="s">
        <v>31</v>
      </c>
      <c r="P557" s="2">
        <v>45726</v>
      </c>
      <c r="Q557" s="1" t="s">
        <v>1275</v>
      </c>
      <c r="R557" s="1" t="s">
        <v>1276</v>
      </c>
      <c r="S557" s="1" t="s">
        <v>47</v>
      </c>
      <c r="T557" s="1" t="s">
        <v>35</v>
      </c>
      <c r="U557" s="1" t="s">
        <v>66</v>
      </c>
      <c r="V557" s="1" t="s">
        <v>37</v>
      </c>
      <c r="W557">
        <v>2</v>
      </c>
      <c r="X557" s="1">
        <f t="shared" si="16"/>
        <v>7844.9099999999507</v>
      </c>
      <c r="Y557" s="1">
        <f t="shared" si="17"/>
        <v>6397.4799999999632</v>
      </c>
    </row>
    <row r="558" spans="1:25" x14ac:dyDescent="0.3">
      <c r="A558" s="1" t="s">
        <v>1389</v>
      </c>
      <c r="B558">
        <v>1</v>
      </c>
      <c r="C558">
        <v>27.99</v>
      </c>
      <c r="D558">
        <v>27.99</v>
      </c>
      <c r="E558" s="1" t="s">
        <v>1390</v>
      </c>
      <c r="F558" s="1" t="s">
        <v>70</v>
      </c>
      <c r="G558">
        <v>0</v>
      </c>
      <c r="H558" s="1" t="s">
        <v>96</v>
      </c>
      <c r="I558" s="1" t="s">
        <v>75</v>
      </c>
      <c r="J558">
        <v>9</v>
      </c>
      <c r="K558">
        <v>27.99</v>
      </c>
      <c r="L558" s="1" t="s">
        <v>28</v>
      </c>
      <c r="M558" s="1" t="s">
        <v>61</v>
      </c>
      <c r="N558" s="1" t="s">
        <v>62</v>
      </c>
      <c r="O558" s="1" t="s">
        <v>31</v>
      </c>
      <c r="P558" s="2">
        <v>45726</v>
      </c>
      <c r="Q558" s="1" t="s">
        <v>358</v>
      </c>
      <c r="R558" s="1" t="s">
        <v>1391</v>
      </c>
      <c r="S558" s="1" t="s">
        <v>34</v>
      </c>
      <c r="T558" s="1" t="s">
        <v>35</v>
      </c>
      <c r="U558" s="1" t="s">
        <v>82</v>
      </c>
      <c r="V558" s="1" t="s">
        <v>37</v>
      </c>
      <c r="W558">
        <v>2</v>
      </c>
      <c r="X558" s="1">
        <f t="shared" si="16"/>
        <v>7844.9099999999507</v>
      </c>
      <c r="Y558" s="1">
        <f t="shared" si="17"/>
        <v>7204.2099999999582</v>
      </c>
    </row>
    <row r="559" spans="1:25" x14ac:dyDescent="0.3">
      <c r="A559" s="1" t="s">
        <v>1392</v>
      </c>
      <c r="B559">
        <v>1</v>
      </c>
      <c r="C559">
        <v>30.99</v>
      </c>
      <c r="D559">
        <v>30.99</v>
      </c>
      <c r="E559" s="1" t="s">
        <v>1393</v>
      </c>
      <c r="F559" s="1" t="s">
        <v>51</v>
      </c>
      <c r="G559">
        <v>0</v>
      </c>
      <c r="H559" s="1" t="s">
        <v>58</v>
      </c>
      <c r="I559" s="1" t="s">
        <v>42</v>
      </c>
      <c r="J559">
        <v>10.5</v>
      </c>
      <c r="K559">
        <v>30.99</v>
      </c>
      <c r="L559" s="1" t="s">
        <v>28</v>
      </c>
      <c r="M559" s="1" t="s">
        <v>43</v>
      </c>
      <c r="N559" s="1" t="s">
        <v>44</v>
      </c>
      <c r="O559" s="1" t="s">
        <v>31</v>
      </c>
      <c r="P559" s="2">
        <v>45823</v>
      </c>
      <c r="Q559" s="1" t="s">
        <v>1342</v>
      </c>
      <c r="R559" s="1" t="s">
        <v>1343</v>
      </c>
      <c r="S559" s="1" t="s">
        <v>88</v>
      </c>
      <c r="T559" s="1" t="s">
        <v>35</v>
      </c>
      <c r="U559" s="1" t="s">
        <v>48</v>
      </c>
      <c r="V559" s="1" t="s">
        <v>37</v>
      </c>
      <c r="W559">
        <v>2</v>
      </c>
      <c r="X559" s="1">
        <f t="shared" si="16"/>
        <v>8640.6199999999462</v>
      </c>
      <c r="Y559" s="1">
        <f t="shared" si="17"/>
        <v>7682.919999999951</v>
      </c>
    </row>
    <row r="560" spans="1:25" x14ac:dyDescent="0.3">
      <c r="A560" s="1" t="s">
        <v>1394</v>
      </c>
      <c r="B560">
        <v>1</v>
      </c>
      <c r="C560">
        <v>30.99</v>
      </c>
      <c r="D560">
        <v>30.99</v>
      </c>
      <c r="E560" s="1" t="s">
        <v>1002</v>
      </c>
      <c r="F560" s="1" t="s">
        <v>51</v>
      </c>
      <c r="G560">
        <v>0</v>
      </c>
      <c r="H560" s="1" t="s">
        <v>58</v>
      </c>
      <c r="I560" s="1" t="s">
        <v>42</v>
      </c>
      <c r="J560">
        <v>10.5</v>
      </c>
      <c r="K560">
        <v>30.99</v>
      </c>
      <c r="L560" s="1" t="s">
        <v>28</v>
      </c>
      <c r="M560" s="1" t="s">
        <v>43</v>
      </c>
      <c r="N560" s="1" t="s">
        <v>44</v>
      </c>
      <c r="O560" s="1" t="s">
        <v>31</v>
      </c>
      <c r="P560" s="2">
        <v>45823</v>
      </c>
      <c r="Q560" s="1" t="s">
        <v>738</v>
      </c>
      <c r="R560" s="1" t="s">
        <v>739</v>
      </c>
      <c r="S560" s="1" t="s">
        <v>34</v>
      </c>
      <c r="T560" s="1" t="s">
        <v>35</v>
      </c>
      <c r="U560" s="1" t="s">
        <v>82</v>
      </c>
      <c r="V560" s="1" t="s">
        <v>37</v>
      </c>
      <c r="W560">
        <v>2</v>
      </c>
      <c r="X560" s="1">
        <f t="shared" si="16"/>
        <v>8640.6199999999462</v>
      </c>
      <c r="Y560" s="1">
        <f t="shared" si="17"/>
        <v>7204.2099999999582</v>
      </c>
    </row>
    <row r="561" spans="1:25" x14ac:dyDescent="0.3">
      <c r="A561" s="1" t="s">
        <v>1395</v>
      </c>
      <c r="B561">
        <v>1</v>
      </c>
      <c r="C561">
        <v>21.99</v>
      </c>
      <c r="D561">
        <v>21.99</v>
      </c>
      <c r="E561" s="1" t="s">
        <v>1064</v>
      </c>
      <c r="F561" s="1" t="s">
        <v>188</v>
      </c>
      <c r="G561">
        <v>0</v>
      </c>
      <c r="H561" s="1" t="s">
        <v>26</v>
      </c>
      <c r="I561" s="1" t="s">
        <v>27</v>
      </c>
      <c r="J561">
        <v>7</v>
      </c>
      <c r="K561">
        <v>21.99</v>
      </c>
      <c r="L561" s="1" t="s">
        <v>28</v>
      </c>
      <c r="M561" s="1" t="s">
        <v>29</v>
      </c>
      <c r="N561" s="1" t="s">
        <v>30</v>
      </c>
      <c r="O561" s="1" t="s">
        <v>31</v>
      </c>
      <c r="P561" s="2">
        <v>45778</v>
      </c>
      <c r="Q561" s="1" t="s">
        <v>905</v>
      </c>
      <c r="R561" s="1" t="s">
        <v>906</v>
      </c>
      <c r="S561" s="1" t="s">
        <v>105</v>
      </c>
      <c r="T561" s="1" t="s">
        <v>35</v>
      </c>
      <c r="U561" s="1" t="s">
        <v>55</v>
      </c>
      <c r="V561" s="1" t="s">
        <v>37</v>
      </c>
      <c r="W561">
        <v>2</v>
      </c>
      <c r="X561" s="1">
        <f t="shared" si="16"/>
        <v>8313.6899999999459</v>
      </c>
      <c r="Y561" s="1">
        <f t="shared" si="17"/>
        <v>5710.7699999999695</v>
      </c>
    </row>
    <row r="562" spans="1:25" x14ac:dyDescent="0.3">
      <c r="A562" s="1" t="s">
        <v>1396</v>
      </c>
      <c r="B562">
        <v>1</v>
      </c>
      <c r="C562">
        <v>27.99</v>
      </c>
      <c r="D562">
        <v>27.99</v>
      </c>
      <c r="E562" s="1" t="s">
        <v>1397</v>
      </c>
      <c r="F562" s="1" t="s">
        <v>40</v>
      </c>
      <c r="G562">
        <v>2</v>
      </c>
      <c r="H562" s="1" t="s">
        <v>58</v>
      </c>
      <c r="I562" s="1" t="s">
        <v>75</v>
      </c>
      <c r="J562">
        <v>9</v>
      </c>
      <c r="K562">
        <v>27.99</v>
      </c>
      <c r="L562" s="1" t="s">
        <v>28</v>
      </c>
      <c r="M562" s="1" t="s">
        <v>61</v>
      </c>
      <c r="N562" s="1" t="s">
        <v>62</v>
      </c>
      <c r="O562" s="1" t="s">
        <v>31</v>
      </c>
      <c r="P562" s="2">
        <v>45726</v>
      </c>
      <c r="Q562" s="1" t="s">
        <v>1398</v>
      </c>
      <c r="R562" s="1" t="s">
        <v>1399</v>
      </c>
      <c r="S562" s="1" t="s">
        <v>54</v>
      </c>
      <c r="T562" s="1" t="s">
        <v>35</v>
      </c>
      <c r="U562" s="1" t="s">
        <v>48</v>
      </c>
      <c r="V562" s="1" t="s">
        <v>37</v>
      </c>
      <c r="W562">
        <v>2</v>
      </c>
      <c r="X562" s="1">
        <f t="shared" si="16"/>
        <v>8640.6199999999462</v>
      </c>
      <c r="Y562" s="1">
        <f t="shared" si="17"/>
        <v>7682.919999999951</v>
      </c>
    </row>
    <row r="563" spans="1:25" x14ac:dyDescent="0.3">
      <c r="A563" s="1" t="s">
        <v>1400</v>
      </c>
      <c r="B563">
        <v>3</v>
      </c>
      <c r="C563">
        <v>18.989999999999998</v>
      </c>
      <c r="D563">
        <v>45.85</v>
      </c>
      <c r="E563" s="1" t="s">
        <v>937</v>
      </c>
      <c r="F563" s="1" t="s">
        <v>40</v>
      </c>
      <c r="G563">
        <v>10</v>
      </c>
      <c r="H563" s="1" t="s">
        <v>58</v>
      </c>
      <c r="I563" s="1" t="s">
        <v>97</v>
      </c>
      <c r="J563">
        <v>6</v>
      </c>
      <c r="K563">
        <v>18.989999999999998</v>
      </c>
      <c r="L563" s="1" t="s">
        <v>60</v>
      </c>
      <c r="M563" s="1" t="s">
        <v>43</v>
      </c>
      <c r="N563" s="1" t="s">
        <v>44</v>
      </c>
      <c r="O563" s="1" t="s">
        <v>31</v>
      </c>
      <c r="P563" s="2">
        <v>45823</v>
      </c>
      <c r="Q563" s="1" t="s">
        <v>1401</v>
      </c>
      <c r="R563" s="1" t="s">
        <v>1402</v>
      </c>
      <c r="S563" s="1" t="s">
        <v>65</v>
      </c>
      <c r="T563" s="1" t="s">
        <v>35</v>
      </c>
      <c r="U563" s="1" t="s">
        <v>66</v>
      </c>
      <c r="V563" s="1" t="s">
        <v>100</v>
      </c>
      <c r="W563">
        <v>3.2</v>
      </c>
      <c r="X563" s="1">
        <f t="shared" si="16"/>
        <v>8640.6199999999462</v>
      </c>
      <c r="Y563" s="1">
        <f t="shared" si="17"/>
        <v>6397.4799999999632</v>
      </c>
    </row>
    <row r="564" spans="1:25" x14ac:dyDescent="0.3">
      <c r="A564" s="1" t="s">
        <v>1403</v>
      </c>
      <c r="B564">
        <v>1</v>
      </c>
      <c r="C564">
        <v>18.989999999999998</v>
      </c>
      <c r="D564">
        <v>18.989999999999998</v>
      </c>
      <c r="E564" s="1" t="s">
        <v>1404</v>
      </c>
      <c r="F564" s="1" t="s">
        <v>40</v>
      </c>
      <c r="G564">
        <v>10</v>
      </c>
      <c r="H564" s="1" t="s">
        <v>96</v>
      </c>
      <c r="I564" s="1" t="s">
        <v>97</v>
      </c>
      <c r="J564">
        <v>6</v>
      </c>
      <c r="K564">
        <v>18.989999999999998</v>
      </c>
      <c r="L564" s="1" t="s">
        <v>60</v>
      </c>
      <c r="M564" s="1" t="s">
        <v>43</v>
      </c>
      <c r="N564" s="1" t="s">
        <v>44</v>
      </c>
      <c r="O564" s="1" t="s">
        <v>31</v>
      </c>
      <c r="P564" s="2">
        <v>45823</v>
      </c>
      <c r="Q564" s="1" t="s">
        <v>893</v>
      </c>
      <c r="R564" s="1" t="s">
        <v>1405</v>
      </c>
      <c r="S564" s="1" t="s">
        <v>65</v>
      </c>
      <c r="T564" s="1" t="s">
        <v>35</v>
      </c>
      <c r="U564" s="1" t="s">
        <v>82</v>
      </c>
      <c r="V564" s="1" t="s">
        <v>100</v>
      </c>
      <c r="W564">
        <v>3.2</v>
      </c>
      <c r="X564" s="1">
        <f t="shared" si="16"/>
        <v>7844.9099999999507</v>
      </c>
      <c r="Y564" s="1">
        <f t="shared" si="17"/>
        <v>7204.2099999999582</v>
      </c>
    </row>
    <row r="565" spans="1:25" x14ac:dyDescent="0.3">
      <c r="A565" s="1" t="s">
        <v>1406</v>
      </c>
      <c r="B565">
        <v>3</v>
      </c>
      <c r="C565">
        <v>27.99</v>
      </c>
      <c r="D565">
        <v>67.849999999999994</v>
      </c>
      <c r="E565" s="1" t="s">
        <v>1407</v>
      </c>
      <c r="F565" s="1" t="s">
        <v>51</v>
      </c>
      <c r="G565">
        <v>0</v>
      </c>
      <c r="H565" s="1" t="s">
        <v>41</v>
      </c>
      <c r="I565" s="1" t="s">
        <v>75</v>
      </c>
      <c r="J565">
        <v>9</v>
      </c>
      <c r="K565">
        <v>27.99</v>
      </c>
      <c r="L565" s="1" t="s">
        <v>28</v>
      </c>
      <c r="M565" s="1" t="s">
        <v>61</v>
      </c>
      <c r="N565" s="1" t="s">
        <v>62</v>
      </c>
      <c r="O565" s="1" t="s">
        <v>31</v>
      </c>
      <c r="P565" s="2">
        <v>45726</v>
      </c>
      <c r="Q565" s="1" t="s">
        <v>1408</v>
      </c>
      <c r="R565" s="1" t="s">
        <v>1409</v>
      </c>
      <c r="S565" s="1" t="s">
        <v>54</v>
      </c>
      <c r="T565" s="1" t="s">
        <v>35</v>
      </c>
      <c r="U565" s="1" t="s">
        <v>36</v>
      </c>
      <c r="V565" s="1" t="s">
        <v>37</v>
      </c>
      <c r="W565">
        <v>2</v>
      </c>
      <c r="X565" s="1">
        <f t="shared" si="16"/>
        <v>8551.6499999999451</v>
      </c>
      <c r="Y565" s="1">
        <f t="shared" si="17"/>
        <v>6355.4899999999634</v>
      </c>
    </row>
    <row r="566" spans="1:25" x14ac:dyDescent="0.3">
      <c r="A566" s="1" t="s">
        <v>1410</v>
      </c>
      <c r="B566">
        <v>1</v>
      </c>
      <c r="C566">
        <v>18.989999999999998</v>
      </c>
      <c r="D566">
        <v>18.989999999999998</v>
      </c>
      <c r="E566" s="1" t="s">
        <v>1411</v>
      </c>
      <c r="F566" s="1" t="s">
        <v>51</v>
      </c>
      <c r="G566">
        <v>0</v>
      </c>
      <c r="H566" s="1" t="s">
        <v>96</v>
      </c>
      <c r="I566" s="1" t="s">
        <v>97</v>
      </c>
      <c r="J566">
        <v>6</v>
      </c>
      <c r="K566">
        <v>18.989999999999998</v>
      </c>
      <c r="L566" s="1" t="s">
        <v>60</v>
      </c>
      <c r="M566" s="1" t="s">
        <v>43</v>
      </c>
      <c r="N566" s="1" t="s">
        <v>44</v>
      </c>
      <c r="O566" s="1" t="s">
        <v>31</v>
      </c>
      <c r="P566" s="2">
        <v>45823</v>
      </c>
      <c r="Q566" s="1" t="s">
        <v>850</v>
      </c>
      <c r="R566" s="1" t="s">
        <v>1412</v>
      </c>
      <c r="S566" s="1" t="s">
        <v>47</v>
      </c>
      <c r="T566" s="1" t="s">
        <v>35</v>
      </c>
      <c r="U566" s="1" t="s">
        <v>36</v>
      </c>
      <c r="V566" s="1" t="s">
        <v>100</v>
      </c>
      <c r="W566">
        <v>3.2</v>
      </c>
      <c r="X566" s="1">
        <f t="shared" si="16"/>
        <v>7844.9099999999507</v>
      </c>
      <c r="Y566" s="1">
        <f t="shared" si="17"/>
        <v>6355.4899999999634</v>
      </c>
    </row>
    <row r="567" spans="1:25" x14ac:dyDescent="0.3">
      <c r="A567" s="1" t="s">
        <v>1413</v>
      </c>
      <c r="B567">
        <v>1</v>
      </c>
      <c r="C567">
        <v>18.989999999999998</v>
      </c>
      <c r="D567">
        <v>18.989999999999998</v>
      </c>
      <c r="E567" s="1" t="s">
        <v>704</v>
      </c>
      <c r="F567" s="1" t="s">
        <v>51</v>
      </c>
      <c r="G567">
        <v>0</v>
      </c>
      <c r="H567" s="1" t="s">
        <v>41</v>
      </c>
      <c r="I567" s="1" t="s">
        <v>97</v>
      </c>
      <c r="J567">
        <v>6</v>
      </c>
      <c r="K567">
        <v>18.989999999999998</v>
      </c>
      <c r="L567" s="1" t="s">
        <v>60</v>
      </c>
      <c r="M567" s="1" t="s">
        <v>43</v>
      </c>
      <c r="N567" s="1" t="s">
        <v>44</v>
      </c>
      <c r="O567" s="1" t="s">
        <v>31</v>
      </c>
      <c r="P567" s="2">
        <v>45823</v>
      </c>
      <c r="Q567" s="1" t="s">
        <v>1414</v>
      </c>
      <c r="R567" s="1" t="s">
        <v>1415</v>
      </c>
      <c r="S567" s="1" t="s">
        <v>88</v>
      </c>
      <c r="T567" s="1" t="s">
        <v>35</v>
      </c>
      <c r="U567" s="1" t="s">
        <v>48</v>
      </c>
      <c r="V567" s="1" t="s">
        <v>100</v>
      </c>
      <c r="W567">
        <v>3.2</v>
      </c>
      <c r="X567" s="1">
        <f t="shared" si="16"/>
        <v>8551.6499999999451</v>
      </c>
      <c r="Y567" s="1">
        <f t="shared" si="17"/>
        <v>7682.919999999951</v>
      </c>
    </row>
    <row r="568" spans="1:25" x14ac:dyDescent="0.3">
      <c r="A568" s="1" t="s">
        <v>1416</v>
      </c>
      <c r="B568">
        <v>1</v>
      </c>
      <c r="C568">
        <v>16.989999999999998</v>
      </c>
      <c r="D568">
        <v>16.989999999999998</v>
      </c>
      <c r="E568" s="1" t="s">
        <v>1068</v>
      </c>
      <c r="F568" s="1" t="s">
        <v>40</v>
      </c>
      <c r="G568">
        <v>15</v>
      </c>
      <c r="H568" s="1" t="s">
        <v>26</v>
      </c>
      <c r="I568" s="1" t="s">
        <v>59</v>
      </c>
      <c r="J568">
        <v>5</v>
      </c>
      <c r="K568">
        <v>16.989999999999998</v>
      </c>
      <c r="L568" s="1" t="s">
        <v>60</v>
      </c>
      <c r="M568" s="1" t="s">
        <v>61</v>
      </c>
      <c r="N568" s="1" t="s">
        <v>62</v>
      </c>
      <c r="O568" s="1" t="s">
        <v>31</v>
      </c>
      <c r="P568" s="2">
        <v>45726</v>
      </c>
      <c r="Q568" s="1" t="s">
        <v>1417</v>
      </c>
      <c r="R568" s="1" t="s">
        <v>1418</v>
      </c>
      <c r="S568" s="1" t="s">
        <v>65</v>
      </c>
      <c r="T568" s="1" t="s">
        <v>35</v>
      </c>
      <c r="U568" s="1" t="s">
        <v>55</v>
      </c>
      <c r="V568" s="1" t="s">
        <v>67</v>
      </c>
      <c r="W568">
        <v>3</v>
      </c>
      <c r="X568" s="1">
        <f t="shared" si="16"/>
        <v>8313.6899999999459</v>
      </c>
      <c r="Y568" s="1">
        <f t="shared" si="17"/>
        <v>5710.7699999999695</v>
      </c>
    </row>
    <row r="569" spans="1:25" x14ac:dyDescent="0.3">
      <c r="A569" s="1" t="s">
        <v>1419</v>
      </c>
      <c r="B569">
        <v>1</v>
      </c>
      <c r="C569">
        <v>34.99</v>
      </c>
      <c r="D569">
        <v>34.99</v>
      </c>
      <c r="E569" s="1" t="s">
        <v>1420</v>
      </c>
      <c r="F569" s="1" t="s">
        <v>40</v>
      </c>
      <c r="G569">
        <v>6</v>
      </c>
      <c r="H569" s="1" t="s">
        <v>96</v>
      </c>
      <c r="I569" s="1" t="s">
        <v>85</v>
      </c>
      <c r="J569">
        <v>12.5</v>
      </c>
      <c r="K569">
        <v>34.99</v>
      </c>
      <c r="L569" s="1" t="s">
        <v>60</v>
      </c>
      <c r="M569" s="1" t="s">
        <v>29</v>
      </c>
      <c r="N569" s="1" t="s">
        <v>30</v>
      </c>
      <c r="O569" s="1" t="s">
        <v>31</v>
      </c>
      <c r="P569" s="2">
        <v>45778</v>
      </c>
      <c r="Q569" s="1" t="s">
        <v>1421</v>
      </c>
      <c r="R569" s="1" t="s">
        <v>1422</v>
      </c>
      <c r="S569" s="1" t="s">
        <v>105</v>
      </c>
      <c r="T569" s="1" t="s">
        <v>35</v>
      </c>
      <c r="U569" s="1" t="s">
        <v>82</v>
      </c>
      <c r="V569" s="1" t="s">
        <v>89</v>
      </c>
      <c r="W569">
        <v>2.4</v>
      </c>
      <c r="X569" s="1">
        <f t="shared" si="16"/>
        <v>7844.9099999999507</v>
      </c>
      <c r="Y569" s="1">
        <f t="shared" si="17"/>
        <v>7204.2099999999582</v>
      </c>
    </row>
    <row r="570" spans="1:25" x14ac:dyDescent="0.3">
      <c r="A570" s="1" t="s">
        <v>1423</v>
      </c>
      <c r="B570">
        <v>1</v>
      </c>
      <c r="C570">
        <v>27.99</v>
      </c>
      <c r="D570">
        <v>27.99</v>
      </c>
      <c r="E570" s="1" t="s">
        <v>1424</v>
      </c>
      <c r="F570" s="1" t="s">
        <v>51</v>
      </c>
      <c r="G570">
        <v>0</v>
      </c>
      <c r="H570" s="1" t="s">
        <v>41</v>
      </c>
      <c r="I570" s="1" t="s">
        <v>75</v>
      </c>
      <c r="J570">
        <v>9</v>
      </c>
      <c r="K570">
        <v>27.99</v>
      </c>
      <c r="L570" s="1" t="s">
        <v>28</v>
      </c>
      <c r="M570" s="1" t="s">
        <v>61</v>
      </c>
      <c r="N570" s="1" t="s">
        <v>62</v>
      </c>
      <c r="O570" s="1" t="s">
        <v>31</v>
      </c>
      <c r="P570" s="2">
        <v>45726</v>
      </c>
      <c r="Q570" s="1" t="s">
        <v>947</v>
      </c>
      <c r="R570" s="1" t="s">
        <v>1425</v>
      </c>
      <c r="S570" s="1" t="s">
        <v>88</v>
      </c>
      <c r="T570" s="1" t="s">
        <v>35</v>
      </c>
      <c r="U570" s="1" t="s">
        <v>55</v>
      </c>
      <c r="V570" s="1" t="s">
        <v>37</v>
      </c>
      <c r="W570">
        <v>2</v>
      </c>
      <c r="X570" s="1">
        <f t="shared" si="16"/>
        <v>8551.6499999999451</v>
      </c>
      <c r="Y570" s="1">
        <f t="shared" si="17"/>
        <v>5710.7699999999695</v>
      </c>
    </row>
    <row r="571" spans="1:25" x14ac:dyDescent="0.3">
      <c r="A571" s="1" t="s">
        <v>1426</v>
      </c>
      <c r="B571">
        <v>1</v>
      </c>
      <c r="C571">
        <v>16.989999999999998</v>
      </c>
      <c r="D571">
        <v>16.989999999999998</v>
      </c>
      <c r="E571" s="1" t="s">
        <v>222</v>
      </c>
      <c r="F571" s="1" t="s">
        <v>51</v>
      </c>
      <c r="G571">
        <v>0</v>
      </c>
      <c r="H571" s="1" t="s">
        <v>96</v>
      </c>
      <c r="I571" s="1" t="s">
        <v>59</v>
      </c>
      <c r="J571">
        <v>5</v>
      </c>
      <c r="K571">
        <v>16.989999999999998</v>
      </c>
      <c r="L571" s="1" t="s">
        <v>60</v>
      </c>
      <c r="M571" s="1" t="s">
        <v>61</v>
      </c>
      <c r="N571" s="1" t="s">
        <v>62</v>
      </c>
      <c r="O571" s="1" t="s">
        <v>31</v>
      </c>
      <c r="P571" s="2">
        <v>45726</v>
      </c>
      <c r="Q571" s="1" t="s">
        <v>1048</v>
      </c>
      <c r="R571" s="1" t="s">
        <v>1049</v>
      </c>
      <c r="S571" s="1" t="s">
        <v>47</v>
      </c>
      <c r="T571" s="1" t="s">
        <v>35</v>
      </c>
      <c r="U571" s="1" t="s">
        <v>82</v>
      </c>
      <c r="V571" s="1" t="s">
        <v>67</v>
      </c>
      <c r="W571">
        <v>3</v>
      </c>
      <c r="X571" s="1">
        <f t="shared" si="16"/>
        <v>7844.9099999999507</v>
      </c>
      <c r="Y571" s="1">
        <f t="shared" si="17"/>
        <v>7204.2099999999582</v>
      </c>
    </row>
    <row r="572" spans="1:25" x14ac:dyDescent="0.3">
      <c r="A572" s="1" t="s">
        <v>1427</v>
      </c>
      <c r="B572">
        <v>1</v>
      </c>
      <c r="C572">
        <v>34.99</v>
      </c>
      <c r="D572">
        <v>34.99</v>
      </c>
      <c r="E572" s="1" t="s">
        <v>782</v>
      </c>
      <c r="F572" s="1" t="s">
        <v>188</v>
      </c>
      <c r="G572">
        <v>0</v>
      </c>
      <c r="H572" s="1" t="s">
        <v>96</v>
      </c>
      <c r="I572" s="1" t="s">
        <v>85</v>
      </c>
      <c r="J572">
        <v>12.5</v>
      </c>
      <c r="K572">
        <v>34.99</v>
      </c>
      <c r="L572" s="1" t="s">
        <v>60</v>
      </c>
      <c r="M572" s="1" t="s">
        <v>29</v>
      </c>
      <c r="N572" s="1" t="s">
        <v>30</v>
      </c>
      <c r="O572" s="1" t="s">
        <v>31</v>
      </c>
      <c r="P572" s="2">
        <v>45778</v>
      </c>
      <c r="Q572" s="1" t="s">
        <v>1075</v>
      </c>
      <c r="R572" s="1" t="s">
        <v>1076</v>
      </c>
      <c r="S572" s="1" t="s">
        <v>65</v>
      </c>
      <c r="T572" s="1" t="s">
        <v>35</v>
      </c>
      <c r="U572" s="1" t="s">
        <v>55</v>
      </c>
      <c r="V572" s="1" t="s">
        <v>89</v>
      </c>
      <c r="W572">
        <v>2.4</v>
      </c>
      <c r="X572" s="1">
        <f t="shared" si="16"/>
        <v>7844.9099999999507</v>
      </c>
      <c r="Y572" s="1">
        <f t="shared" si="17"/>
        <v>5710.7699999999695</v>
      </c>
    </row>
    <row r="573" spans="1:25" x14ac:dyDescent="0.3">
      <c r="A573" s="1" t="s">
        <v>1428</v>
      </c>
      <c r="B573">
        <v>3</v>
      </c>
      <c r="C573">
        <v>21.99</v>
      </c>
      <c r="D573">
        <v>52.43</v>
      </c>
      <c r="E573" s="1" t="s">
        <v>1429</v>
      </c>
      <c r="F573" s="1" t="s">
        <v>40</v>
      </c>
      <c r="G573">
        <v>2</v>
      </c>
      <c r="H573" s="1" t="s">
        <v>96</v>
      </c>
      <c r="I573" s="1" t="s">
        <v>27</v>
      </c>
      <c r="J573">
        <v>7</v>
      </c>
      <c r="K573">
        <v>21.99</v>
      </c>
      <c r="L573" s="1" t="s">
        <v>28</v>
      </c>
      <c r="M573" s="1" t="s">
        <v>29</v>
      </c>
      <c r="N573" s="1" t="s">
        <v>30</v>
      </c>
      <c r="O573" s="1" t="s">
        <v>31</v>
      </c>
      <c r="P573" s="2">
        <v>45778</v>
      </c>
      <c r="Q573" s="1" t="s">
        <v>1175</v>
      </c>
      <c r="R573" s="1" t="s">
        <v>1176</v>
      </c>
      <c r="S573" s="1" t="s">
        <v>34</v>
      </c>
      <c r="T573" s="1" t="s">
        <v>35</v>
      </c>
      <c r="U573" s="1" t="s">
        <v>48</v>
      </c>
      <c r="V573" s="1" t="s">
        <v>37</v>
      </c>
      <c r="W573">
        <v>2</v>
      </c>
      <c r="X573" s="1">
        <f t="shared" si="16"/>
        <v>7844.9099999999507</v>
      </c>
      <c r="Y573" s="1">
        <f t="shared" si="17"/>
        <v>7682.919999999951</v>
      </c>
    </row>
    <row r="574" spans="1:25" x14ac:dyDescent="0.3">
      <c r="A574" s="1" t="s">
        <v>1430</v>
      </c>
      <c r="B574">
        <v>2</v>
      </c>
      <c r="C574">
        <v>21.99</v>
      </c>
      <c r="D574">
        <v>38.36</v>
      </c>
      <c r="E574" s="1" t="s">
        <v>1431</v>
      </c>
      <c r="F574" s="1" t="s">
        <v>51</v>
      </c>
      <c r="G574">
        <v>0</v>
      </c>
      <c r="H574" s="1" t="s">
        <v>26</v>
      </c>
      <c r="I574" s="1" t="s">
        <v>27</v>
      </c>
      <c r="J574">
        <v>7</v>
      </c>
      <c r="K574">
        <v>21.99</v>
      </c>
      <c r="L574" s="1" t="s">
        <v>28</v>
      </c>
      <c r="M574" s="1" t="s">
        <v>29</v>
      </c>
      <c r="N574" s="1" t="s">
        <v>30</v>
      </c>
      <c r="O574" s="1" t="s">
        <v>31</v>
      </c>
      <c r="P574" s="2">
        <v>45778</v>
      </c>
      <c r="Q574" s="1" t="s">
        <v>1349</v>
      </c>
      <c r="R574" s="1" t="s">
        <v>1432</v>
      </c>
      <c r="S574" s="1" t="s">
        <v>47</v>
      </c>
      <c r="T574" s="1" t="s">
        <v>35</v>
      </c>
      <c r="U574" s="1" t="s">
        <v>36</v>
      </c>
      <c r="V574" s="1" t="s">
        <v>37</v>
      </c>
      <c r="W574">
        <v>2</v>
      </c>
      <c r="X574" s="1">
        <f t="shared" si="16"/>
        <v>8313.6899999999459</v>
      </c>
      <c r="Y574" s="1">
        <f t="shared" si="17"/>
        <v>6355.4899999999634</v>
      </c>
    </row>
    <row r="575" spans="1:25" x14ac:dyDescent="0.3">
      <c r="A575" s="1" t="s">
        <v>1433</v>
      </c>
      <c r="B575">
        <v>2</v>
      </c>
      <c r="C575">
        <v>27.99</v>
      </c>
      <c r="D575">
        <v>48.16</v>
      </c>
      <c r="E575" s="1" t="s">
        <v>1434</v>
      </c>
      <c r="F575" s="1" t="s">
        <v>40</v>
      </c>
      <c r="G575">
        <v>2</v>
      </c>
      <c r="H575" s="1" t="s">
        <v>41</v>
      </c>
      <c r="I575" s="1" t="s">
        <v>75</v>
      </c>
      <c r="J575">
        <v>9</v>
      </c>
      <c r="K575">
        <v>27.99</v>
      </c>
      <c r="L575" s="1" t="s">
        <v>28</v>
      </c>
      <c r="M575" s="1" t="s">
        <v>61</v>
      </c>
      <c r="N575" s="1" t="s">
        <v>62</v>
      </c>
      <c r="O575" s="1" t="s">
        <v>31</v>
      </c>
      <c r="P575" s="2">
        <v>45726</v>
      </c>
      <c r="Q575" s="1" t="s">
        <v>425</v>
      </c>
      <c r="R575" s="1" t="s">
        <v>1435</v>
      </c>
      <c r="S575" s="1" t="s">
        <v>54</v>
      </c>
      <c r="T575" s="1" t="s">
        <v>35</v>
      </c>
      <c r="U575" s="1" t="s">
        <v>48</v>
      </c>
      <c r="V575" s="1" t="s">
        <v>37</v>
      </c>
      <c r="W575">
        <v>2</v>
      </c>
      <c r="X575" s="1">
        <f t="shared" si="16"/>
        <v>8551.6499999999451</v>
      </c>
      <c r="Y575" s="1">
        <f t="shared" si="17"/>
        <v>7682.919999999951</v>
      </c>
    </row>
    <row r="576" spans="1:25" x14ac:dyDescent="0.3">
      <c r="A576" s="1" t="s">
        <v>1436</v>
      </c>
      <c r="B576">
        <v>1</v>
      </c>
      <c r="C576">
        <v>16.989999999999998</v>
      </c>
      <c r="D576">
        <v>16.989999999999998</v>
      </c>
      <c r="E576" s="1" t="s">
        <v>79</v>
      </c>
      <c r="F576" s="1" t="s">
        <v>40</v>
      </c>
      <c r="G576">
        <v>17</v>
      </c>
      <c r="H576" s="1" t="s">
        <v>41</v>
      </c>
      <c r="I576" s="1" t="s">
        <v>59</v>
      </c>
      <c r="J576">
        <v>5</v>
      </c>
      <c r="K576">
        <v>16.989999999999998</v>
      </c>
      <c r="L576" s="1" t="s">
        <v>60</v>
      </c>
      <c r="M576" s="1" t="s">
        <v>61</v>
      </c>
      <c r="N576" s="1" t="s">
        <v>62</v>
      </c>
      <c r="O576" s="1" t="s">
        <v>31</v>
      </c>
      <c r="P576" s="2">
        <v>45726</v>
      </c>
      <c r="Q576" s="1" t="s">
        <v>828</v>
      </c>
      <c r="R576" s="1" t="s">
        <v>829</v>
      </c>
      <c r="S576" s="1" t="s">
        <v>65</v>
      </c>
      <c r="T576" s="1" t="s">
        <v>35</v>
      </c>
      <c r="U576" s="1" t="s">
        <v>48</v>
      </c>
      <c r="V576" s="1" t="s">
        <v>67</v>
      </c>
      <c r="W576">
        <v>3</v>
      </c>
      <c r="X576" s="1">
        <f t="shared" si="16"/>
        <v>8551.6499999999451</v>
      </c>
      <c r="Y576" s="1">
        <f t="shared" si="17"/>
        <v>7682.919999999951</v>
      </c>
    </row>
    <row r="577" spans="1:25" x14ac:dyDescent="0.3">
      <c r="A577" s="1" t="s">
        <v>1437</v>
      </c>
      <c r="B577">
        <v>2</v>
      </c>
      <c r="C577">
        <v>34.99</v>
      </c>
      <c r="D577">
        <v>59.9</v>
      </c>
      <c r="E577" s="1" t="s">
        <v>902</v>
      </c>
      <c r="F577" s="1" t="s">
        <v>188</v>
      </c>
      <c r="G577">
        <v>0</v>
      </c>
      <c r="H577" s="1" t="s">
        <v>58</v>
      </c>
      <c r="I577" s="1" t="s">
        <v>85</v>
      </c>
      <c r="J577">
        <v>12.5</v>
      </c>
      <c r="K577">
        <v>34.99</v>
      </c>
      <c r="L577" s="1" t="s">
        <v>60</v>
      </c>
      <c r="M577" s="1" t="s">
        <v>29</v>
      </c>
      <c r="N577" s="1" t="s">
        <v>30</v>
      </c>
      <c r="O577" s="1" t="s">
        <v>31</v>
      </c>
      <c r="P577" s="2">
        <v>45778</v>
      </c>
      <c r="Q577" s="1" t="s">
        <v>1241</v>
      </c>
      <c r="R577" s="1" t="s">
        <v>1242</v>
      </c>
      <c r="S577" s="1" t="s">
        <v>54</v>
      </c>
      <c r="T577" s="1" t="s">
        <v>35</v>
      </c>
      <c r="U577" s="1" t="s">
        <v>48</v>
      </c>
      <c r="V577" s="1" t="s">
        <v>89</v>
      </c>
      <c r="W577">
        <v>2.4</v>
      </c>
      <c r="X577" s="1">
        <f t="shared" si="16"/>
        <v>8640.6199999999462</v>
      </c>
      <c r="Y577" s="1">
        <f t="shared" si="17"/>
        <v>7682.919999999951</v>
      </c>
    </row>
    <row r="578" spans="1:25" x14ac:dyDescent="0.3">
      <c r="A578" s="1" t="s">
        <v>1438</v>
      </c>
      <c r="B578">
        <v>1</v>
      </c>
      <c r="C578">
        <v>18.989999999999998</v>
      </c>
      <c r="D578">
        <v>18.989999999999998</v>
      </c>
      <c r="E578" s="1" t="s">
        <v>822</v>
      </c>
      <c r="F578" s="1" t="s">
        <v>70</v>
      </c>
      <c r="G578">
        <v>0</v>
      </c>
      <c r="H578" s="1" t="s">
        <v>41</v>
      </c>
      <c r="I578" s="1" t="s">
        <v>97</v>
      </c>
      <c r="J578">
        <v>6</v>
      </c>
      <c r="K578">
        <v>18.989999999999998</v>
      </c>
      <c r="L578" s="1" t="s">
        <v>60</v>
      </c>
      <c r="M578" s="1" t="s">
        <v>43</v>
      </c>
      <c r="N578" s="1" t="s">
        <v>44</v>
      </c>
      <c r="O578" s="1" t="s">
        <v>31</v>
      </c>
      <c r="P578" s="2">
        <v>45823</v>
      </c>
      <c r="Q578" s="1" t="s">
        <v>1349</v>
      </c>
      <c r="R578" s="1" t="s">
        <v>1439</v>
      </c>
      <c r="S578" s="1" t="s">
        <v>65</v>
      </c>
      <c r="T578" s="1" t="s">
        <v>35</v>
      </c>
      <c r="U578" s="1" t="s">
        <v>36</v>
      </c>
      <c r="V578" s="1" t="s">
        <v>100</v>
      </c>
      <c r="W578">
        <v>3.2</v>
      </c>
      <c r="X578" s="1">
        <f t="shared" ref="X578:X641" si="18">SUMIF(H:H,H578,K:K)</f>
        <v>8551.6499999999451</v>
      </c>
      <c r="Y578" s="1">
        <f t="shared" ref="Y578:Y641" si="19">SUMIF(U:U,U578,K:K)</f>
        <v>6355.4899999999634</v>
      </c>
    </row>
    <row r="579" spans="1:25" x14ac:dyDescent="0.3">
      <c r="A579" s="1" t="s">
        <v>1440</v>
      </c>
      <c r="B579">
        <v>1</v>
      </c>
      <c r="C579">
        <v>21.99</v>
      </c>
      <c r="D579">
        <v>21.99</v>
      </c>
      <c r="E579" s="1" t="s">
        <v>325</v>
      </c>
      <c r="F579" s="1" t="s">
        <v>188</v>
      </c>
      <c r="G579">
        <v>0</v>
      </c>
      <c r="H579" s="1" t="s">
        <v>26</v>
      </c>
      <c r="I579" s="1" t="s">
        <v>27</v>
      </c>
      <c r="J579">
        <v>7</v>
      </c>
      <c r="K579">
        <v>21.99</v>
      </c>
      <c r="L579" s="1" t="s">
        <v>28</v>
      </c>
      <c r="M579" s="1" t="s">
        <v>29</v>
      </c>
      <c r="N579" s="1" t="s">
        <v>30</v>
      </c>
      <c r="O579" s="1" t="s">
        <v>31</v>
      </c>
      <c r="P579" s="2">
        <v>45778</v>
      </c>
      <c r="Q579" s="1" t="s">
        <v>745</v>
      </c>
      <c r="R579" s="1" t="s">
        <v>746</v>
      </c>
      <c r="S579" s="1" t="s">
        <v>105</v>
      </c>
      <c r="T579" s="1" t="s">
        <v>35</v>
      </c>
      <c r="U579" s="1" t="s">
        <v>48</v>
      </c>
      <c r="V579" s="1" t="s">
        <v>37</v>
      </c>
      <c r="W579">
        <v>2</v>
      </c>
      <c r="X579" s="1">
        <f t="shared" si="18"/>
        <v>8313.6899999999459</v>
      </c>
      <c r="Y579" s="1">
        <f t="shared" si="19"/>
        <v>7682.919999999951</v>
      </c>
    </row>
    <row r="580" spans="1:25" x14ac:dyDescent="0.3">
      <c r="A580" s="1" t="s">
        <v>1441</v>
      </c>
      <c r="B580">
        <v>3</v>
      </c>
      <c r="C580">
        <v>34.99</v>
      </c>
      <c r="D580">
        <v>84.67</v>
      </c>
      <c r="E580" s="1" t="s">
        <v>1122</v>
      </c>
      <c r="F580" s="1" t="s">
        <v>40</v>
      </c>
      <c r="G580">
        <v>6</v>
      </c>
      <c r="H580" s="1" t="s">
        <v>26</v>
      </c>
      <c r="I580" s="1" t="s">
        <v>85</v>
      </c>
      <c r="J580">
        <v>12.5</v>
      </c>
      <c r="K580">
        <v>34.99</v>
      </c>
      <c r="L580" s="1" t="s">
        <v>60</v>
      </c>
      <c r="M580" s="1" t="s">
        <v>29</v>
      </c>
      <c r="N580" s="1" t="s">
        <v>30</v>
      </c>
      <c r="O580" s="1" t="s">
        <v>31</v>
      </c>
      <c r="P580" s="2">
        <v>45778</v>
      </c>
      <c r="Q580" s="1" t="s">
        <v>850</v>
      </c>
      <c r="R580" s="1" t="s">
        <v>851</v>
      </c>
      <c r="S580" s="1" t="s">
        <v>65</v>
      </c>
      <c r="T580" s="1" t="s">
        <v>35</v>
      </c>
      <c r="U580" s="1" t="s">
        <v>36</v>
      </c>
      <c r="V580" s="1" t="s">
        <v>89</v>
      </c>
      <c r="W580">
        <v>2.4</v>
      </c>
      <c r="X580" s="1">
        <f t="shared" si="18"/>
        <v>8313.6899999999459</v>
      </c>
      <c r="Y580" s="1">
        <f t="shared" si="19"/>
        <v>6355.4899999999634</v>
      </c>
    </row>
    <row r="581" spans="1:25" x14ac:dyDescent="0.3">
      <c r="A581" s="1" t="s">
        <v>1442</v>
      </c>
      <c r="B581">
        <v>1</v>
      </c>
      <c r="C581">
        <v>30.99</v>
      </c>
      <c r="D581">
        <v>30.99</v>
      </c>
      <c r="E581" s="1" t="s">
        <v>1443</v>
      </c>
      <c r="F581" s="1" t="s">
        <v>51</v>
      </c>
      <c r="G581">
        <v>0</v>
      </c>
      <c r="H581" s="1" t="s">
        <v>41</v>
      </c>
      <c r="I581" s="1" t="s">
        <v>42</v>
      </c>
      <c r="J581">
        <v>10.5</v>
      </c>
      <c r="K581">
        <v>30.99</v>
      </c>
      <c r="L581" s="1" t="s">
        <v>28</v>
      </c>
      <c r="M581" s="1" t="s">
        <v>43</v>
      </c>
      <c r="N581" s="1" t="s">
        <v>44</v>
      </c>
      <c r="O581" s="1" t="s">
        <v>31</v>
      </c>
      <c r="P581" s="2">
        <v>45823</v>
      </c>
      <c r="Q581" s="1" t="s">
        <v>1069</v>
      </c>
      <c r="R581" s="1" t="s">
        <v>1070</v>
      </c>
      <c r="S581" s="1" t="s">
        <v>65</v>
      </c>
      <c r="T581" s="1" t="s">
        <v>35</v>
      </c>
      <c r="U581" s="1" t="s">
        <v>66</v>
      </c>
      <c r="V581" s="1" t="s">
        <v>37</v>
      </c>
      <c r="W581">
        <v>2</v>
      </c>
      <c r="X581" s="1">
        <f t="shared" si="18"/>
        <v>8551.6499999999451</v>
      </c>
      <c r="Y581" s="1">
        <f t="shared" si="19"/>
        <v>6397.4799999999632</v>
      </c>
    </row>
    <row r="582" spans="1:25" x14ac:dyDescent="0.3">
      <c r="A582" s="1" t="s">
        <v>1444</v>
      </c>
      <c r="B582">
        <v>1</v>
      </c>
      <c r="C582">
        <v>34.99</v>
      </c>
      <c r="D582">
        <v>34.99</v>
      </c>
      <c r="E582" s="1" t="s">
        <v>1027</v>
      </c>
      <c r="F582" s="1" t="s">
        <v>40</v>
      </c>
      <c r="G582">
        <v>8</v>
      </c>
      <c r="H582" s="1" t="s">
        <v>41</v>
      </c>
      <c r="I582" s="1" t="s">
        <v>85</v>
      </c>
      <c r="J582">
        <v>12.5</v>
      </c>
      <c r="K582">
        <v>34.99</v>
      </c>
      <c r="L582" s="1" t="s">
        <v>60</v>
      </c>
      <c r="M582" s="1" t="s">
        <v>29</v>
      </c>
      <c r="N582" s="1" t="s">
        <v>30</v>
      </c>
      <c r="O582" s="1" t="s">
        <v>31</v>
      </c>
      <c r="P582" s="2">
        <v>45778</v>
      </c>
      <c r="Q582" s="1" t="s">
        <v>828</v>
      </c>
      <c r="R582" s="1" t="s">
        <v>829</v>
      </c>
      <c r="S582" s="1" t="s">
        <v>65</v>
      </c>
      <c r="T582" s="1" t="s">
        <v>35</v>
      </c>
      <c r="U582" s="1" t="s">
        <v>48</v>
      </c>
      <c r="V582" s="1" t="s">
        <v>89</v>
      </c>
      <c r="W582">
        <v>2.4</v>
      </c>
      <c r="X582" s="1">
        <f t="shared" si="18"/>
        <v>8551.6499999999451</v>
      </c>
      <c r="Y582" s="1">
        <f t="shared" si="19"/>
        <v>7682.919999999951</v>
      </c>
    </row>
    <row r="583" spans="1:25" x14ac:dyDescent="0.3">
      <c r="A583" s="1" t="s">
        <v>1445</v>
      </c>
      <c r="B583">
        <v>3</v>
      </c>
      <c r="C583">
        <v>18.989999999999998</v>
      </c>
      <c r="D583">
        <v>45.49</v>
      </c>
      <c r="E583" s="1" t="s">
        <v>1446</v>
      </c>
      <c r="F583" s="1" t="s">
        <v>25</v>
      </c>
      <c r="G583">
        <v>14</v>
      </c>
      <c r="H583" s="1" t="s">
        <v>41</v>
      </c>
      <c r="I583" s="1" t="s">
        <v>97</v>
      </c>
      <c r="J583">
        <v>6</v>
      </c>
      <c r="K583">
        <v>18.989999999999998</v>
      </c>
      <c r="L583" s="1" t="s">
        <v>60</v>
      </c>
      <c r="M583" s="1" t="s">
        <v>43</v>
      </c>
      <c r="N583" s="1" t="s">
        <v>44</v>
      </c>
      <c r="O583" s="1" t="s">
        <v>31</v>
      </c>
      <c r="P583" s="2">
        <v>45823</v>
      </c>
      <c r="Q583" s="1" t="s">
        <v>1447</v>
      </c>
      <c r="R583" s="1" t="s">
        <v>1448</v>
      </c>
      <c r="S583" s="1" t="s">
        <v>47</v>
      </c>
      <c r="T583" s="1" t="s">
        <v>35</v>
      </c>
      <c r="U583" s="1" t="s">
        <v>36</v>
      </c>
      <c r="V583" s="1" t="s">
        <v>100</v>
      </c>
      <c r="W583">
        <v>3.2</v>
      </c>
      <c r="X583" s="1">
        <f t="shared" si="18"/>
        <v>8551.6499999999451</v>
      </c>
      <c r="Y583" s="1">
        <f t="shared" si="19"/>
        <v>6355.4899999999634</v>
      </c>
    </row>
    <row r="584" spans="1:25" x14ac:dyDescent="0.3">
      <c r="A584" s="1" t="s">
        <v>1449</v>
      </c>
      <c r="B584">
        <v>3</v>
      </c>
      <c r="C584">
        <v>21.99</v>
      </c>
      <c r="D584">
        <v>52.41</v>
      </c>
      <c r="E584" s="1" t="s">
        <v>1450</v>
      </c>
      <c r="F584" s="1" t="s">
        <v>70</v>
      </c>
      <c r="G584">
        <v>0</v>
      </c>
      <c r="H584" s="1" t="s">
        <v>41</v>
      </c>
      <c r="I584" s="1" t="s">
        <v>27</v>
      </c>
      <c r="J584">
        <v>7</v>
      </c>
      <c r="K584">
        <v>21.99</v>
      </c>
      <c r="L584" s="1" t="s">
        <v>28</v>
      </c>
      <c r="M584" s="1" t="s">
        <v>29</v>
      </c>
      <c r="N584" s="1" t="s">
        <v>30</v>
      </c>
      <c r="O584" s="1" t="s">
        <v>31</v>
      </c>
      <c r="P584" s="2">
        <v>45778</v>
      </c>
      <c r="Q584" s="1" t="s">
        <v>728</v>
      </c>
      <c r="R584" s="1" t="s">
        <v>729</v>
      </c>
      <c r="S584" s="1" t="s">
        <v>88</v>
      </c>
      <c r="T584" s="1" t="s">
        <v>35</v>
      </c>
      <c r="U584" s="1" t="s">
        <v>55</v>
      </c>
      <c r="V584" s="1" t="s">
        <v>37</v>
      </c>
      <c r="W584">
        <v>2</v>
      </c>
      <c r="X584" s="1">
        <f t="shared" si="18"/>
        <v>8551.6499999999451</v>
      </c>
      <c r="Y584" s="1">
        <f t="shared" si="19"/>
        <v>5710.7699999999695</v>
      </c>
    </row>
    <row r="585" spans="1:25" x14ac:dyDescent="0.3">
      <c r="A585" s="1" t="s">
        <v>1451</v>
      </c>
      <c r="B585">
        <v>1</v>
      </c>
      <c r="C585">
        <v>18.989999999999998</v>
      </c>
      <c r="D585">
        <v>18.989999999999998</v>
      </c>
      <c r="E585" s="1" t="s">
        <v>1452</v>
      </c>
      <c r="F585" s="1" t="s">
        <v>188</v>
      </c>
      <c r="G585">
        <v>0</v>
      </c>
      <c r="H585" s="1" t="s">
        <v>26</v>
      </c>
      <c r="I585" s="1" t="s">
        <v>97</v>
      </c>
      <c r="J585">
        <v>6</v>
      </c>
      <c r="K585">
        <v>18.989999999999998</v>
      </c>
      <c r="L585" s="1" t="s">
        <v>60</v>
      </c>
      <c r="M585" s="1" t="s">
        <v>43</v>
      </c>
      <c r="N585" s="1" t="s">
        <v>44</v>
      </c>
      <c r="O585" s="1" t="s">
        <v>31</v>
      </c>
      <c r="P585" s="2">
        <v>45823</v>
      </c>
      <c r="Q585" s="1" t="s">
        <v>283</v>
      </c>
      <c r="R585" s="1" t="s">
        <v>1453</v>
      </c>
      <c r="S585" s="1" t="s">
        <v>88</v>
      </c>
      <c r="T585" s="1" t="s">
        <v>35</v>
      </c>
      <c r="U585" s="1" t="s">
        <v>66</v>
      </c>
      <c r="V585" s="1" t="s">
        <v>100</v>
      </c>
      <c r="W585">
        <v>3.2</v>
      </c>
      <c r="X585" s="1">
        <f t="shared" si="18"/>
        <v>8313.6899999999459</v>
      </c>
      <c r="Y585" s="1">
        <f t="shared" si="19"/>
        <v>6397.4799999999632</v>
      </c>
    </row>
    <row r="586" spans="1:25" x14ac:dyDescent="0.3">
      <c r="A586" s="1" t="s">
        <v>1454</v>
      </c>
      <c r="B586">
        <v>2</v>
      </c>
      <c r="C586">
        <v>30.99</v>
      </c>
      <c r="D586">
        <v>53.07</v>
      </c>
      <c r="E586" s="1" t="s">
        <v>1455</v>
      </c>
      <c r="F586" s="1" t="s">
        <v>40</v>
      </c>
      <c r="G586">
        <v>3</v>
      </c>
      <c r="H586" s="1" t="s">
        <v>96</v>
      </c>
      <c r="I586" s="1" t="s">
        <v>42</v>
      </c>
      <c r="J586">
        <v>10.5</v>
      </c>
      <c r="K586">
        <v>30.99</v>
      </c>
      <c r="L586" s="1" t="s">
        <v>28</v>
      </c>
      <c r="M586" s="1" t="s">
        <v>43</v>
      </c>
      <c r="N586" s="1" t="s">
        <v>44</v>
      </c>
      <c r="O586" s="1" t="s">
        <v>31</v>
      </c>
      <c r="P586" s="2">
        <v>45823</v>
      </c>
      <c r="Q586" s="1" t="s">
        <v>1376</v>
      </c>
      <c r="R586" s="1" t="s">
        <v>1456</v>
      </c>
      <c r="S586" s="1" t="s">
        <v>105</v>
      </c>
      <c r="T586" s="1" t="s">
        <v>35</v>
      </c>
      <c r="U586" s="1" t="s">
        <v>36</v>
      </c>
      <c r="V586" s="1" t="s">
        <v>37</v>
      </c>
      <c r="W586">
        <v>2</v>
      </c>
      <c r="X586" s="1">
        <f t="shared" si="18"/>
        <v>7844.9099999999507</v>
      </c>
      <c r="Y586" s="1">
        <f t="shared" si="19"/>
        <v>6355.4899999999634</v>
      </c>
    </row>
    <row r="587" spans="1:25" x14ac:dyDescent="0.3">
      <c r="A587" s="1" t="s">
        <v>1457</v>
      </c>
      <c r="B587">
        <v>1</v>
      </c>
      <c r="C587">
        <v>18.989999999999998</v>
      </c>
      <c r="D587">
        <v>18.989999999999998</v>
      </c>
      <c r="E587" s="1" t="s">
        <v>1108</v>
      </c>
      <c r="F587" s="1" t="s">
        <v>40</v>
      </c>
      <c r="G587">
        <v>20</v>
      </c>
      <c r="H587" s="1" t="s">
        <v>41</v>
      </c>
      <c r="I587" s="1" t="s">
        <v>97</v>
      </c>
      <c r="J587">
        <v>6</v>
      </c>
      <c r="K587">
        <v>18.989999999999998</v>
      </c>
      <c r="L587" s="1" t="s">
        <v>60</v>
      </c>
      <c r="M587" s="1" t="s">
        <v>43</v>
      </c>
      <c r="N587" s="1" t="s">
        <v>44</v>
      </c>
      <c r="O587" s="1" t="s">
        <v>31</v>
      </c>
      <c r="P587" s="2">
        <v>45823</v>
      </c>
      <c r="Q587" s="1" t="s">
        <v>1458</v>
      </c>
      <c r="R587" s="1" t="s">
        <v>1459</v>
      </c>
      <c r="S587" s="1" t="s">
        <v>88</v>
      </c>
      <c r="T587" s="1" t="s">
        <v>35</v>
      </c>
      <c r="U587" s="1" t="s">
        <v>82</v>
      </c>
      <c r="V587" s="1" t="s">
        <v>100</v>
      </c>
      <c r="W587">
        <v>3.2</v>
      </c>
      <c r="X587" s="1">
        <f t="shared" si="18"/>
        <v>8551.6499999999451</v>
      </c>
      <c r="Y587" s="1">
        <f t="shared" si="19"/>
        <v>7204.2099999999582</v>
      </c>
    </row>
    <row r="588" spans="1:25" x14ac:dyDescent="0.3">
      <c r="A588" s="1" t="s">
        <v>1460</v>
      </c>
      <c r="B588">
        <v>3</v>
      </c>
      <c r="C588">
        <v>16.989999999999998</v>
      </c>
      <c r="D588">
        <v>40.950000000000003</v>
      </c>
      <c r="E588" s="1" t="s">
        <v>1461</v>
      </c>
      <c r="F588" s="1" t="s">
        <v>51</v>
      </c>
      <c r="G588">
        <v>0</v>
      </c>
      <c r="H588" s="1" t="s">
        <v>26</v>
      </c>
      <c r="I588" s="1" t="s">
        <v>59</v>
      </c>
      <c r="J588">
        <v>5</v>
      </c>
      <c r="K588">
        <v>16.989999999999998</v>
      </c>
      <c r="L588" s="1" t="s">
        <v>60</v>
      </c>
      <c r="M588" s="1" t="s">
        <v>61</v>
      </c>
      <c r="N588" s="1" t="s">
        <v>62</v>
      </c>
      <c r="O588" s="1" t="s">
        <v>31</v>
      </c>
      <c r="P588" s="2">
        <v>45726</v>
      </c>
      <c r="Q588" s="1" t="s">
        <v>832</v>
      </c>
      <c r="R588" s="1" t="s">
        <v>879</v>
      </c>
      <c r="S588" s="1" t="s">
        <v>105</v>
      </c>
      <c r="T588" s="1" t="s">
        <v>35</v>
      </c>
      <c r="U588" s="1" t="s">
        <v>66</v>
      </c>
      <c r="V588" s="1" t="s">
        <v>67</v>
      </c>
      <c r="W588">
        <v>3</v>
      </c>
      <c r="X588" s="1">
        <f t="shared" si="18"/>
        <v>8313.6899999999459</v>
      </c>
      <c r="Y588" s="1">
        <f t="shared" si="19"/>
        <v>6397.4799999999632</v>
      </c>
    </row>
    <row r="589" spans="1:25" x14ac:dyDescent="0.3">
      <c r="A589" s="1" t="s">
        <v>1462</v>
      </c>
      <c r="B589">
        <v>1</v>
      </c>
      <c r="C589">
        <v>21.99</v>
      </c>
      <c r="D589">
        <v>21.99</v>
      </c>
      <c r="E589" s="1" t="s">
        <v>1390</v>
      </c>
      <c r="F589" s="1" t="s">
        <v>40</v>
      </c>
      <c r="G589">
        <v>3</v>
      </c>
      <c r="H589" s="1" t="s">
        <v>41</v>
      </c>
      <c r="I589" s="1" t="s">
        <v>27</v>
      </c>
      <c r="J589">
        <v>7</v>
      </c>
      <c r="K589">
        <v>21.99</v>
      </c>
      <c r="L589" s="1" t="s">
        <v>28</v>
      </c>
      <c r="M589" s="1" t="s">
        <v>29</v>
      </c>
      <c r="N589" s="1" t="s">
        <v>30</v>
      </c>
      <c r="O589" s="1" t="s">
        <v>31</v>
      </c>
      <c r="P589" s="2">
        <v>45778</v>
      </c>
      <c r="Q589" s="1" t="s">
        <v>518</v>
      </c>
      <c r="R589" s="1" t="s">
        <v>1463</v>
      </c>
      <c r="S589" s="1" t="s">
        <v>34</v>
      </c>
      <c r="T589" s="1" t="s">
        <v>35</v>
      </c>
      <c r="U589" s="1" t="s">
        <v>66</v>
      </c>
      <c r="V589" s="1" t="s">
        <v>37</v>
      </c>
      <c r="W589">
        <v>2</v>
      </c>
      <c r="X589" s="1">
        <f t="shared" si="18"/>
        <v>8551.6499999999451</v>
      </c>
      <c r="Y589" s="1">
        <f t="shared" si="19"/>
        <v>6397.4799999999632</v>
      </c>
    </row>
    <row r="590" spans="1:25" x14ac:dyDescent="0.3">
      <c r="A590" s="1" t="s">
        <v>1464</v>
      </c>
      <c r="B590">
        <v>1</v>
      </c>
      <c r="C590">
        <v>30.99</v>
      </c>
      <c r="D590">
        <v>30.99</v>
      </c>
      <c r="E590" s="1" t="s">
        <v>1420</v>
      </c>
      <c r="F590" s="1" t="s">
        <v>40</v>
      </c>
      <c r="G590">
        <v>2</v>
      </c>
      <c r="H590" s="1" t="s">
        <v>41</v>
      </c>
      <c r="I590" s="1" t="s">
        <v>42</v>
      </c>
      <c r="J590">
        <v>10.5</v>
      </c>
      <c r="K590">
        <v>30.99</v>
      </c>
      <c r="L590" s="1" t="s">
        <v>28</v>
      </c>
      <c r="M590" s="1" t="s">
        <v>43</v>
      </c>
      <c r="N590" s="1" t="s">
        <v>44</v>
      </c>
      <c r="O590" s="1" t="s">
        <v>31</v>
      </c>
      <c r="P590" s="2">
        <v>45823</v>
      </c>
      <c r="Q590" s="1" t="s">
        <v>689</v>
      </c>
      <c r="R590" s="1" t="s">
        <v>766</v>
      </c>
      <c r="S590" s="1" t="s">
        <v>105</v>
      </c>
      <c r="T590" s="1" t="s">
        <v>35</v>
      </c>
      <c r="U590" s="1" t="s">
        <v>48</v>
      </c>
      <c r="V590" s="1" t="s">
        <v>37</v>
      </c>
      <c r="W590">
        <v>2</v>
      </c>
      <c r="X590" s="1">
        <f t="shared" si="18"/>
        <v>8551.6499999999451</v>
      </c>
      <c r="Y590" s="1">
        <f t="shared" si="19"/>
        <v>7682.919999999951</v>
      </c>
    </row>
    <row r="591" spans="1:25" x14ac:dyDescent="0.3">
      <c r="A591" s="1" t="s">
        <v>1465</v>
      </c>
      <c r="B591">
        <v>2</v>
      </c>
      <c r="C591">
        <v>16.989999999999998</v>
      </c>
      <c r="D591">
        <v>29.62</v>
      </c>
      <c r="E591" s="1" t="s">
        <v>759</v>
      </c>
      <c r="F591" s="1" t="s">
        <v>40</v>
      </c>
      <c r="G591">
        <v>16</v>
      </c>
      <c r="H591" s="1" t="s">
        <v>26</v>
      </c>
      <c r="I591" s="1" t="s">
        <v>59</v>
      </c>
      <c r="J591">
        <v>5</v>
      </c>
      <c r="K591">
        <v>16.989999999999998</v>
      </c>
      <c r="L591" s="1" t="s">
        <v>60</v>
      </c>
      <c r="M591" s="1" t="s">
        <v>61</v>
      </c>
      <c r="N591" s="1" t="s">
        <v>62</v>
      </c>
      <c r="O591" s="1" t="s">
        <v>31</v>
      </c>
      <c r="P591" s="2">
        <v>45726</v>
      </c>
      <c r="Q591" s="1" t="s">
        <v>1466</v>
      </c>
      <c r="R591" s="1" t="s">
        <v>1467</v>
      </c>
      <c r="S591" s="1" t="s">
        <v>65</v>
      </c>
      <c r="T591" s="1" t="s">
        <v>35</v>
      </c>
      <c r="U591" s="1" t="s">
        <v>48</v>
      </c>
      <c r="V591" s="1" t="s">
        <v>67</v>
      </c>
      <c r="W591">
        <v>3</v>
      </c>
      <c r="X591" s="1">
        <f t="shared" si="18"/>
        <v>8313.6899999999459</v>
      </c>
      <c r="Y591" s="1">
        <f t="shared" si="19"/>
        <v>7682.919999999951</v>
      </c>
    </row>
    <row r="592" spans="1:25" x14ac:dyDescent="0.3">
      <c r="A592" s="1" t="s">
        <v>1468</v>
      </c>
      <c r="B592">
        <v>1</v>
      </c>
      <c r="C592">
        <v>30.99</v>
      </c>
      <c r="D592">
        <v>30.99</v>
      </c>
      <c r="E592" s="1" t="s">
        <v>1115</v>
      </c>
      <c r="F592" s="1" t="s">
        <v>40</v>
      </c>
      <c r="G592">
        <v>3</v>
      </c>
      <c r="H592" s="1" t="s">
        <v>58</v>
      </c>
      <c r="I592" s="1" t="s">
        <v>42</v>
      </c>
      <c r="J592">
        <v>10.5</v>
      </c>
      <c r="K592">
        <v>30.99</v>
      </c>
      <c r="L592" s="1" t="s">
        <v>28</v>
      </c>
      <c r="M592" s="1" t="s">
        <v>43</v>
      </c>
      <c r="N592" s="1" t="s">
        <v>44</v>
      </c>
      <c r="O592" s="1" t="s">
        <v>31</v>
      </c>
      <c r="P592" s="2">
        <v>45823</v>
      </c>
      <c r="Q592" s="1" t="s">
        <v>425</v>
      </c>
      <c r="R592" s="1" t="s">
        <v>1469</v>
      </c>
      <c r="S592" s="1" t="s">
        <v>88</v>
      </c>
      <c r="T592" s="1" t="s">
        <v>35</v>
      </c>
      <c r="U592" s="1" t="s">
        <v>82</v>
      </c>
      <c r="V592" s="1" t="s">
        <v>37</v>
      </c>
      <c r="W592">
        <v>2</v>
      </c>
      <c r="X592" s="1">
        <f t="shared" si="18"/>
        <v>8640.6199999999462</v>
      </c>
      <c r="Y592" s="1">
        <f t="shared" si="19"/>
        <v>7204.2099999999582</v>
      </c>
    </row>
    <row r="593" spans="1:25" x14ac:dyDescent="0.3">
      <c r="A593" s="1" t="s">
        <v>1470</v>
      </c>
      <c r="B593">
        <v>1</v>
      </c>
      <c r="C593">
        <v>18.989999999999998</v>
      </c>
      <c r="D593">
        <v>18.989999999999998</v>
      </c>
      <c r="E593" s="1" t="s">
        <v>1471</v>
      </c>
      <c r="F593" s="1" t="s">
        <v>40</v>
      </c>
      <c r="G593">
        <v>14</v>
      </c>
      <c r="H593" s="1" t="s">
        <v>96</v>
      </c>
      <c r="I593" s="1" t="s">
        <v>97</v>
      </c>
      <c r="J593">
        <v>6</v>
      </c>
      <c r="K593">
        <v>18.989999999999998</v>
      </c>
      <c r="L593" s="1" t="s">
        <v>60</v>
      </c>
      <c r="M593" s="1" t="s">
        <v>43</v>
      </c>
      <c r="N593" s="1" t="s">
        <v>44</v>
      </c>
      <c r="O593" s="1" t="s">
        <v>31</v>
      </c>
      <c r="P593" s="2">
        <v>45823</v>
      </c>
      <c r="Q593" s="1" t="s">
        <v>1234</v>
      </c>
      <c r="R593" s="1" t="s">
        <v>1472</v>
      </c>
      <c r="S593" s="1" t="s">
        <v>54</v>
      </c>
      <c r="T593" s="1" t="s">
        <v>35</v>
      </c>
      <c r="U593" s="1" t="s">
        <v>66</v>
      </c>
      <c r="V593" s="1" t="s">
        <v>100</v>
      </c>
      <c r="W593">
        <v>3.2</v>
      </c>
      <c r="X593" s="1">
        <f t="shared" si="18"/>
        <v>7844.9099999999507</v>
      </c>
      <c r="Y593" s="1">
        <f t="shared" si="19"/>
        <v>6397.4799999999632</v>
      </c>
    </row>
    <row r="594" spans="1:25" x14ac:dyDescent="0.3">
      <c r="A594" s="1" t="s">
        <v>1473</v>
      </c>
      <c r="B594">
        <v>1</v>
      </c>
      <c r="C594">
        <v>16.989999999999998</v>
      </c>
      <c r="D594">
        <v>16.989999999999998</v>
      </c>
      <c r="E594" s="1" t="s">
        <v>900</v>
      </c>
      <c r="F594" s="1" t="s">
        <v>40</v>
      </c>
      <c r="G594">
        <v>16</v>
      </c>
      <c r="H594" s="1" t="s">
        <v>96</v>
      </c>
      <c r="I594" s="1" t="s">
        <v>59</v>
      </c>
      <c r="J594">
        <v>5</v>
      </c>
      <c r="K594">
        <v>16.989999999999998</v>
      </c>
      <c r="L594" s="1" t="s">
        <v>60</v>
      </c>
      <c r="M594" s="1" t="s">
        <v>61</v>
      </c>
      <c r="N594" s="1" t="s">
        <v>62</v>
      </c>
      <c r="O594" s="1" t="s">
        <v>31</v>
      </c>
      <c r="P594" s="2">
        <v>45726</v>
      </c>
      <c r="Q594" s="1" t="s">
        <v>793</v>
      </c>
      <c r="R594" s="1" t="s">
        <v>794</v>
      </c>
      <c r="S594" s="1" t="s">
        <v>34</v>
      </c>
      <c r="T594" s="1" t="s">
        <v>35</v>
      </c>
      <c r="U594" s="1" t="s">
        <v>82</v>
      </c>
      <c r="V594" s="1" t="s">
        <v>67</v>
      </c>
      <c r="W594">
        <v>3</v>
      </c>
      <c r="X594" s="1">
        <f t="shared" si="18"/>
        <v>7844.9099999999507</v>
      </c>
      <c r="Y594" s="1">
        <f t="shared" si="19"/>
        <v>7204.2099999999582</v>
      </c>
    </row>
    <row r="595" spans="1:25" x14ac:dyDescent="0.3">
      <c r="A595" s="1" t="s">
        <v>1474</v>
      </c>
      <c r="B595">
        <v>1</v>
      </c>
      <c r="C595">
        <v>30.99</v>
      </c>
      <c r="D595">
        <v>30.99</v>
      </c>
      <c r="E595" s="1" t="s">
        <v>445</v>
      </c>
      <c r="F595" s="1" t="s">
        <v>40</v>
      </c>
      <c r="G595">
        <v>3</v>
      </c>
      <c r="H595" s="1" t="s">
        <v>41</v>
      </c>
      <c r="I595" s="1" t="s">
        <v>42</v>
      </c>
      <c r="J595">
        <v>10.5</v>
      </c>
      <c r="K595">
        <v>30.99</v>
      </c>
      <c r="L595" s="1" t="s">
        <v>28</v>
      </c>
      <c r="M595" s="1" t="s">
        <v>43</v>
      </c>
      <c r="N595" s="1" t="s">
        <v>44</v>
      </c>
      <c r="O595" s="1" t="s">
        <v>31</v>
      </c>
      <c r="P595" s="2">
        <v>45823</v>
      </c>
      <c r="Q595" s="1" t="s">
        <v>1475</v>
      </c>
      <c r="R595" s="1" t="s">
        <v>1476</v>
      </c>
      <c r="S595" s="1" t="s">
        <v>34</v>
      </c>
      <c r="T595" s="1" t="s">
        <v>35</v>
      </c>
      <c r="U595" s="1" t="s">
        <v>36</v>
      </c>
      <c r="V595" s="1" t="s">
        <v>37</v>
      </c>
      <c r="W595">
        <v>2</v>
      </c>
      <c r="X595" s="1">
        <f t="shared" si="18"/>
        <v>8551.6499999999451</v>
      </c>
      <c r="Y595" s="1">
        <f t="shared" si="19"/>
        <v>6355.4899999999634</v>
      </c>
    </row>
    <row r="596" spans="1:25" x14ac:dyDescent="0.3">
      <c r="A596" s="1" t="s">
        <v>1477</v>
      </c>
      <c r="B596">
        <v>1</v>
      </c>
      <c r="C596">
        <v>34.99</v>
      </c>
      <c r="D596">
        <v>34.99</v>
      </c>
      <c r="E596" s="1" t="s">
        <v>1397</v>
      </c>
      <c r="F596" s="1" t="s">
        <v>40</v>
      </c>
      <c r="G596">
        <v>8</v>
      </c>
      <c r="H596" s="1" t="s">
        <v>41</v>
      </c>
      <c r="I596" s="1" t="s">
        <v>85</v>
      </c>
      <c r="J596">
        <v>12.5</v>
      </c>
      <c r="K596">
        <v>34.99</v>
      </c>
      <c r="L596" s="1" t="s">
        <v>60</v>
      </c>
      <c r="M596" s="1" t="s">
        <v>29</v>
      </c>
      <c r="N596" s="1" t="s">
        <v>30</v>
      </c>
      <c r="O596" s="1" t="s">
        <v>31</v>
      </c>
      <c r="P596" s="2">
        <v>45778</v>
      </c>
      <c r="Q596" s="1" t="s">
        <v>817</v>
      </c>
      <c r="R596" s="1" t="s">
        <v>1478</v>
      </c>
      <c r="S596" s="1" t="s">
        <v>65</v>
      </c>
      <c r="T596" s="1" t="s">
        <v>35</v>
      </c>
      <c r="U596" s="1" t="s">
        <v>82</v>
      </c>
      <c r="V596" s="1" t="s">
        <v>89</v>
      </c>
      <c r="W596">
        <v>2.4</v>
      </c>
      <c r="X596" s="1">
        <f t="shared" si="18"/>
        <v>8551.6499999999451</v>
      </c>
      <c r="Y596" s="1">
        <f t="shared" si="19"/>
        <v>7204.2099999999582</v>
      </c>
    </row>
    <row r="597" spans="1:25" x14ac:dyDescent="0.3">
      <c r="A597" s="1" t="s">
        <v>1479</v>
      </c>
      <c r="B597">
        <v>1</v>
      </c>
      <c r="C597">
        <v>34.99</v>
      </c>
      <c r="D597">
        <v>34.99</v>
      </c>
      <c r="E597" s="1" t="s">
        <v>561</v>
      </c>
      <c r="F597" s="1" t="s">
        <v>70</v>
      </c>
      <c r="G597">
        <v>0</v>
      </c>
      <c r="H597" s="1" t="s">
        <v>26</v>
      </c>
      <c r="I597" s="1" t="s">
        <v>85</v>
      </c>
      <c r="J597">
        <v>12.5</v>
      </c>
      <c r="K597">
        <v>34.99</v>
      </c>
      <c r="L597" s="1" t="s">
        <v>60</v>
      </c>
      <c r="M597" s="1" t="s">
        <v>29</v>
      </c>
      <c r="N597" s="1" t="s">
        <v>30</v>
      </c>
      <c r="O597" s="1" t="s">
        <v>31</v>
      </c>
      <c r="P597" s="2">
        <v>45778</v>
      </c>
      <c r="Q597" s="1" t="s">
        <v>1480</v>
      </c>
      <c r="R597" s="1" t="s">
        <v>1481</v>
      </c>
      <c r="S597" s="1" t="s">
        <v>34</v>
      </c>
      <c r="T597" s="1" t="s">
        <v>35</v>
      </c>
      <c r="U597" s="1" t="s">
        <v>66</v>
      </c>
      <c r="V597" s="1" t="s">
        <v>89</v>
      </c>
      <c r="W597">
        <v>2.4</v>
      </c>
      <c r="X597" s="1">
        <f t="shared" si="18"/>
        <v>8313.6899999999459</v>
      </c>
      <c r="Y597" s="1">
        <f t="shared" si="19"/>
        <v>6397.4799999999632</v>
      </c>
    </row>
    <row r="598" spans="1:25" x14ac:dyDescent="0.3">
      <c r="A598" s="1" t="s">
        <v>1482</v>
      </c>
      <c r="B598">
        <v>1</v>
      </c>
      <c r="C598">
        <v>18.989999999999998</v>
      </c>
      <c r="D598">
        <v>18.989999999999998</v>
      </c>
      <c r="E598" s="1" t="s">
        <v>756</v>
      </c>
      <c r="F598" s="1" t="s">
        <v>25</v>
      </c>
      <c r="G598">
        <v>12</v>
      </c>
      <c r="H598" s="1" t="s">
        <v>96</v>
      </c>
      <c r="I598" s="1" t="s">
        <v>97</v>
      </c>
      <c r="J598">
        <v>6</v>
      </c>
      <c r="K598">
        <v>18.989999999999998</v>
      </c>
      <c r="L598" s="1" t="s">
        <v>60</v>
      </c>
      <c r="M598" s="1" t="s">
        <v>43</v>
      </c>
      <c r="N598" s="1" t="s">
        <v>44</v>
      </c>
      <c r="O598" s="1" t="s">
        <v>31</v>
      </c>
      <c r="P598" s="2">
        <v>45823</v>
      </c>
      <c r="Q598" s="1" t="s">
        <v>1483</v>
      </c>
      <c r="R598" s="1" t="s">
        <v>1484</v>
      </c>
      <c r="S598" s="1" t="s">
        <v>54</v>
      </c>
      <c r="T598" s="1" t="s">
        <v>35</v>
      </c>
      <c r="U598" s="1" t="s">
        <v>66</v>
      </c>
      <c r="V598" s="1" t="s">
        <v>100</v>
      </c>
      <c r="W598">
        <v>3.2</v>
      </c>
      <c r="X598" s="1">
        <f t="shared" si="18"/>
        <v>7844.9099999999507</v>
      </c>
      <c r="Y598" s="1">
        <f t="shared" si="19"/>
        <v>6397.4799999999632</v>
      </c>
    </row>
    <row r="599" spans="1:25" x14ac:dyDescent="0.3">
      <c r="A599" s="1" t="s">
        <v>1485</v>
      </c>
      <c r="B599">
        <v>3</v>
      </c>
      <c r="C599">
        <v>34.99</v>
      </c>
      <c r="D599">
        <v>83.12</v>
      </c>
      <c r="E599" s="1" t="s">
        <v>1486</v>
      </c>
      <c r="F599" s="1" t="s">
        <v>70</v>
      </c>
      <c r="G599">
        <v>0</v>
      </c>
      <c r="H599" s="1" t="s">
        <v>26</v>
      </c>
      <c r="I599" s="1" t="s">
        <v>85</v>
      </c>
      <c r="J599">
        <v>12.5</v>
      </c>
      <c r="K599">
        <v>34.99</v>
      </c>
      <c r="L599" s="1" t="s">
        <v>60</v>
      </c>
      <c r="M599" s="1" t="s">
        <v>29</v>
      </c>
      <c r="N599" s="1" t="s">
        <v>30</v>
      </c>
      <c r="O599" s="1" t="s">
        <v>31</v>
      </c>
      <c r="P599" s="2">
        <v>45778</v>
      </c>
      <c r="Q599" s="1" t="s">
        <v>1487</v>
      </c>
      <c r="R599" s="1" t="s">
        <v>1488</v>
      </c>
      <c r="S599" s="1" t="s">
        <v>34</v>
      </c>
      <c r="T599" s="1" t="s">
        <v>35</v>
      </c>
      <c r="U599" s="1" t="s">
        <v>48</v>
      </c>
      <c r="V599" s="1" t="s">
        <v>89</v>
      </c>
      <c r="W599">
        <v>2.4</v>
      </c>
      <c r="X599" s="1">
        <f t="shared" si="18"/>
        <v>8313.6899999999459</v>
      </c>
      <c r="Y599" s="1">
        <f t="shared" si="19"/>
        <v>7682.919999999951</v>
      </c>
    </row>
    <row r="600" spans="1:25" x14ac:dyDescent="0.3">
      <c r="A600" s="1" t="s">
        <v>1489</v>
      </c>
      <c r="B600">
        <v>1</v>
      </c>
      <c r="C600">
        <v>27.99</v>
      </c>
      <c r="D600">
        <v>27.99</v>
      </c>
      <c r="E600" s="1" t="s">
        <v>727</v>
      </c>
      <c r="F600" s="1" t="s">
        <v>51</v>
      </c>
      <c r="G600">
        <v>0</v>
      </c>
      <c r="H600" s="1" t="s">
        <v>96</v>
      </c>
      <c r="I600" s="1" t="s">
        <v>75</v>
      </c>
      <c r="J600">
        <v>9</v>
      </c>
      <c r="K600">
        <v>27.99</v>
      </c>
      <c r="L600" s="1" t="s">
        <v>28</v>
      </c>
      <c r="M600" s="1" t="s">
        <v>61</v>
      </c>
      <c r="N600" s="1" t="s">
        <v>62</v>
      </c>
      <c r="O600" s="1" t="s">
        <v>31</v>
      </c>
      <c r="P600" s="2">
        <v>45726</v>
      </c>
      <c r="Q600" s="1" t="s">
        <v>990</v>
      </c>
      <c r="R600" s="1" t="s">
        <v>1490</v>
      </c>
      <c r="S600" s="1" t="s">
        <v>88</v>
      </c>
      <c r="T600" s="1" t="s">
        <v>35</v>
      </c>
      <c r="U600" s="1" t="s">
        <v>82</v>
      </c>
      <c r="V600" s="1" t="s">
        <v>37</v>
      </c>
      <c r="W600">
        <v>2</v>
      </c>
      <c r="X600" s="1">
        <f t="shared" si="18"/>
        <v>7844.9099999999507</v>
      </c>
      <c r="Y600" s="1">
        <f t="shared" si="19"/>
        <v>7204.2099999999582</v>
      </c>
    </row>
    <row r="601" spans="1:25" x14ac:dyDescent="0.3">
      <c r="A601" s="1" t="s">
        <v>1491</v>
      </c>
      <c r="B601">
        <v>2</v>
      </c>
      <c r="C601">
        <v>34.99</v>
      </c>
      <c r="D601">
        <v>60.35</v>
      </c>
      <c r="E601" s="1" t="s">
        <v>1492</v>
      </c>
      <c r="F601" s="1" t="s">
        <v>25</v>
      </c>
      <c r="G601">
        <v>6</v>
      </c>
      <c r="H601" s="1" t="s">
        <v>58</v>
      </c>
      <c r="I601" s="1" t="s">
        <v>85</v>
      </c>
      <c r="J601">
        <v>12.5</v>
      </c>
      <c r="K601">
        <v>34.99</v>
      </c>
      <c r="L601" s="1" t="s">
        <v>60</v>
      </c>
      <c r="M601" s="1" t="s">
        <v>29</v>
      </c>
      <c r="N601" s="1" t="s">
        <v>30</v>
      </c>
      <c r="O601" s="1" t="s">
        <v>31</v>
      </c>
      <c r="P601" s="2">
        <v>45778</v>
      </c>
      <c r="Q601" s="1" t="s">
        <v>1021</v>
      </c>
      <c r="R601" s="1" t="s">
        <v>1022</v>
      </c>
      <c r="S601" s="1" t="s">
        <v>54</v>
      </c>
      <c r="T601" s="1" t="s">
        <v>35</v>
      </c>
      <c r="U601" s="1" t="s">
        <v>82</v>
      </c>
      <c r="V601" s="1" t="s">
        <v>89</v>
      </c>
      <c r="W601">
        <v>2.4</v>
      </c>
      <c r="X601" s="1">
        <f t="shared" si="18"/>
        <v>8640.6199999999462</v>
      </c>
      <c r="Y601" s="1">
        <f t="shared" si="19"/>
        <v>7204.2099999999582</v>
      </c>
    </row>
    <row r="602" spans="1:25" x14ac:dyDescent="0.3">
      <c r="A602" s="1" t="s">
        <v>1493</v>
      </c>
      <c r="B602">
        <v>1</v>
      </c>
      <c r="C602">
        <v>16.989999999999998</v>
      </c>
      <c r="D602">
        <v>16.989999999999998</v>
      </c>
      <c r="E602" s="1" t="s">
        <v>1100</v>
      </c>
      <c r="F602" s="1" t="s">
        <v>40</v>
      </c>
      <c r="G602">
        <v>18</v>
      </c>
      <c r="H602" s="1" t="s">
        <v>41</v>
      </c>
      <c r="I602" s="1" t="s">
        <v>59</v>
      </c>
      <c r="J602">
        <v>5</v>
      </c>
      <c r="K602">
        <v>16.989999999999998</v>
      </c>
      <c r="L602" s="1" t="s">
        <v>60</v>
      </c>
      <c r="M602" s="1" t="s">
        <v>61</v>
      </c>
      <c r="N602" s="1" t="s">
        <v>62</v>
      </c>
      <c r="O602" s="1" t="s">
        <v>31</v>
      </c>
      <c r="P602" s="2">
        <v>45726</v>
      </c>
      <c r="Q602" s="1" t="s">
        <v>1494</v>
      </c>
      <c r="R602" s="1" t="s">
        <v>1495</v>
      </c>
      <c r="S602" s="1" t="s">
        <v>65</v>
      </c>
      <c r="T602" s="1" t="s">
        <v>35</v>
      </c>
      <c r="U602" s="1" t="s">
        <v>48</v>
      </c>
      <c r="V602" s="1" t="s">
        <v>67</v>
      </c>
      <c r="W602">
        <v>3</v>
      </c>
      <c r="X602" s="1">
        <f t="shared" si="18"/>
        <v>8551.6499999999451</v>
      </c>
      <c r="Y602" s="1">
        <f t="shared" si="19"/>
        <v>7682.919999999951</v>
      </c>
    </row>
    <row r="603" spans="1:25" x14ac:dyDescent="0.3">
      <c r="A603" s="1" t="s">
        <v>1496</v>
      </c>
      <c r="B603">
        <v>1</v>
      </c>
      <c r="C603">
        <v>21.99</v>
      </c>
      <c r="D603">
        <v>21.99</v>
      </c>
      <c r="E603" s="1" t="s">
        <v>982</v>
      </c>
      <c r="F603" s="1" t="s">
        <v>40</v>
      </c>
      <c r="G603">
        <v>3</v>
      </c>
      <c r="H603" s="1" t="s">
        <v>26</v>
      </c>
      <c r="I603" s="1" t="s">
        <v>27</v>
      </c>
      <c r="J603">
        <v>7</v>
      </c>
      <c r="K603">
        <v>21.99</v>
      </c>
      <c r="L603" s="1" t="s">
        <v>28</v>
      </c>
      <c r="M603" s="1" t="s">
        <v>29</v>
      </c>
      <c r="N603" s="1" t="s">
        <v>30</v>
      </c>
      <c r="O603" s="1" t="s">
        <v>31</v>
      </c>
      <c r="P603" s="2">
        <v>45778</v>
      </c>
      <c r="Q603" s="1" t="s">
        <v>1497</v>
      </c>
      <c r="R603" s="1" t="s">
        <v>1498</v>
      </c>
      <c r="S603" s="1" t="s">
        <v>34</v>
      </c>
      <c r="T603" s="1" t="s">
        <v>35</v>
      </c>
      <c r="U603" s="1" t="s">
        <v>55</v>
      </c>
      <c r="V603" s="1" t="s">
        <v>37</v>
      </c>
      <c r="W603">
        <v>2</v>
      </c>
      <c r="X603" s="1">
        <f t="shared" si="18"/>
        <v>8313.6899999999459</v>
      </c>
      <c r="Y603" s="1">
        <f t="shared" si="19"/>
        <v>5710.7699999999695</v>
      </c>
    </row>
    <row r="604" spans="1:25" x14ac:dyDescent="0.3">
      <c r="A604" s="1" t="s">
        <v>1499</v>
      </c>
      <c r="B604">
        <v>2</v>
      </c>
      <c r="C604">
        <v>18.989999999999998</v>
      </c>
      <c r="D604">
        <v>33.119999999999997</v>
      </c>
      <c r="E604" s="1" t="s">
        <v>143</v>
      </c>
      <c r="F604" s="1" t="s">
        <v>40</v>
      </c>
      <c r="G604">
        <v>18</v>
      </c>
      <c r="H604" s="1" t="s">
        <v>41</v>
      </c>
      <c r="I604" s="1" t="s">
        <v>97</v>
      </c>
      <c r="J604">
        <v>6</v>
      </c>
      <c r="K604">
        <v>18.989999999999998</v>
      </c>
      <c r="L604" s="1" t="s">
        <v>60</v>
      </c>
      <c r="M604" s="1" t="s">
        <v>43</v>
      </c>
      <c r="N604" s="1" t="s">
        <v>44</v>
      </c>
      <c r="O604" s="1" t="s">
        <v>31</v>
      </c>
      <c r="P604" s="2">
        <v>45823</v>
      </c>
      <c r="Q604" s="1" t="s">
        <v>1500</v>
      </c>
      <c r="R604" s="1" t="s">
        <v>1501</v>
      </c>
      <c r="S604" s="1" t="s">
        <v>54</v>
      </c>
      <c r="T604" s="1" t="s">
        <v>35</v>
      </c>
      <c r="U604" s="1" t="s">
        <v>55</v>
      </c>
      <c r="V604" s="1" t="s">
        <v>100</v>
      </c>
      <c r="W604">
        <v>3.2</v>
      </c>
      <c r="X604" s="1">
        <f t="shared" si="18"/>
        <v>8551.6499999999451</v>
      </c>
      <c r="Y604" s="1">
        <f t="shared" si="19"/>
        <v>5710.7699999999695</v>
      </c>
    </row>
    <row r="605" spans="1:25" x14ac:dyDescent="0.3">
      <c r="A605" s="1" t="s">
        <v>1502</v>
      </c>
      <c r="B605">
        <v>1</v>
      </c>
      <c r="C605">
        <v>27.99</v>
      </c>
      <c r="D605">
        <v>27.99</v>
      </c>
      <c r="E605" s="1" t="s">
        <v>1503</v>
      </c>
      <c r="F605" s="1" t="s">
        <v>40</v>
      </c>
      <c r="G605">
        <v>3</v>
      </c>
      <c r="H605" s="1" t="s">
        <v>26</v>
      </c>
      <c r="I605" s="1" t="s">
        <v>75</v>
      </c>
      <c r="J605">
        <v>9</v>
      </c>
      <c r="K605">
        <v>27.99</v>
      </c>
      <c r="L605" s="1" t="s">
        <v>28</v>
      </c>
      <c r="M605" s="1" t="s">
        <v>61</v>
      </c>
      <c r="N605" s="1" t="s">
        <v>62</v>
      </c>
      <c r="O605" s="1" t="s">
        <v>31</v>
      </c>
      <c r="P605" s="2">
        <v>45726</v>
      </c>
      <c r="Q605" s="1" t="s">
        <v>842</v>
      </c>
      <c r="R605" s="1" t="s">
        <v>1504</v>
      </c>
      <c r="S605" s="1" t="s">
        <v>47</v>
      </c>
      <c r="T605" s="1" t="s">
        <v>35</v>
      </c>
      <c r="U605" s="1" t="s">
        <v>66</v>
      </c>
      <c r="V605" s="1" t="s">
        <v>37</v>
      </c>
      <c r="W605">
        <v>2</v>
      </c>
      <c r="X605" s="1">
        <f t="shared" si="18"/>
        <v>8313.6899999999459</v>
      </c>
      <c r="Y605" s="1">
        <f t="shared" si="19"/>
        <v>6397.4799999999632</v>
      </c>
    </row>
    <row r="606" spans="1:25" x14ac:dyDescent="0.3">
      <c r="A606" s="1" t="s">
        <v>1505</v>
      </c>
      <c r="B606">
        <v>1</v>
      </c>
      <c r="C606">
        <v>34.99</v>
      </c>
      <c r="D606">
        <v>34.99</v>
      </c>
      <c r="E606" s="1" t="s">
        <v>1299</v>
      </c>
      <c r="F606" s="1" t="s">
        <v>40</v>
      </c>
      <c r="G606">
        <v>8</v>
      </c>
      <c r="H606" s="1" t="s">
        <v>58</v>
      </c>
      <c r="I606" s="1" t="s">
        <v>85</v>
      </c>
      <c r="J606">
        <v>12.5</v>
      </c>
      <c r="K606">
        <v>34.99</v>
      </c>
      <c r="L606" s="1" t="s">
        <v>60</v>
      </c>
      <c r="M606" s="1" t="s">
        <v>29</v>
      </c>
      <c r="N606" s="1" t="s">
        <v>30</v>
      </c>
      <c r="O606" s="1" t="s">
        <v>31</v>
      </c>
      <c r="P606" s="2">
        <v>45778</v>
      </c>
      <c r="Q606" s="1" t="s">
        <v>1506</v>
      </c>
      <c r="R606" s="1" t="s">
        <v>1507</v>
      </c>
      <c r="S606" s="1" t="s">
        <v>105</v>
      </c>
      <c r="T606" s="1" t="s">
        <v>35</v>
      </c>
      <c r="U606" s="1" t="s">
        <v>82</v>
      </c>
      <c r="V606" s="1" t="s">
        <v>89</v>
      </c>
      <c r="W606">
        <v>2.4</v>
      </c>
      <c r="X606" s="1">
        <f t="shared" si="18"/>
        <v>8640.6199999999462</v>
      </c>
      <c r="Y606" s="1">
        <f t="shared" si="19"/>
        <v>7204.2099999999582</v>
      </c>
    </row>
    <row r="607" spans="1:25" x14ac:dyDescent="0.3">
      <c r="A607" s="1" t="s">
        <v>1508</v>
      </c>
      <c r="B607">
        <v>1</v>
      </c>
      <c r="C607">
        <v>27.99</v>
      </c>
      <c r="D607">
        <v>27.99</v>
      </c>
      <c r="E607" s="1" t="s">
        <v>1509</v>
      </c>
      <c r="F607" s="1" t="s">
        <v>40</v>
      </c>
      <c r="G607">
        <v>3</v>
      </c>
      <c r="H607" s="1" t="s">
        <v>58</v>
      </c>
      <c r="I607" s="1" t="s">
        <v>75</v>
      </c>
      <c r="J607">
        <v>9</v>
      </c>
      <c r="K607">
        <v>27.99</v>
      </c>
      <c r="L607" s="1" t="s">
        <v>28</v>
      </c>
      <c r="M607" s="1" t="s">
        <v>61</v>
      </c>
      <c r="N607" s="1" t="s">
        <v>62</v>
      </c>
      <c r="O607" s="1" t="s">
        <v>31</v>
      </c>
      <c r="P607" s="2">
        <v>45726</v>
      </c>
      <c r="Q607" s="1" t="s">
        <v>385</v>
      </c>
      <c r="R607" s="1" t="s">
        <v>1510</v>
      </c>
      <c r="S607" s="1" t="s">
        <v>88</v>
      </c>
      <c r="T607" s="1" t="s">
        <v>35</v>
      </c>
      <c r="U607" s="1" t="s">
        <v>48</v>
      </c>
      <c r="V607" s="1" t="s">
        <v>37</v>
      </c>
      <c r="W607">
        <v>2</v>
      </c>
      <c r="X607" s="1">
        <f t="shared" si="18"/>
        <v>8640.6199999999462</v>
      </c>
      <c r="Y607" s="1">
        <f t="shared" si="19"/>
        <v>7682.919999999951</v>
      </c>
    </row>
    <row r="608" spans="1:25" x14ac:dyDescent="0.3">
      <c r="A608" s="1" t="s">
        <v>1511</v>
      </c>
      <c r="B608">
        <v>1</v>
      </c>
      <c r="C608">
        <v>21.99</v>
      </c>
      <c r="D608">
        <v>21.99</v>
      </c>
      <c r="E608" s="1" t="s">
        <v>1115</v>
      </c>
      <c r="F608" s="1" t="s">
        <v>40</v>
      </c>
      <c r="G608">
        <v>2</v>
      </c>
      <c r="H608" s="1" t="s">
        <v>58</v>
      </c>
      <c r="I608" s="1" t="s">
        <v>27</v>
      </c>
      <c r="J608">
        <v>7</v>
      </c>
      <c r="K608">
        <v>21.99</v>
      </c>
      <c r="L608" s="1" t="s">
        <v>28</v>
      </c>
      <c r="M608" s="1" t="s">
        <v>29</v>
      </c>
      <c r="N608" s="1" t="s">
        <v>30</v>
      </c>
      <c r="O608" s="1" t="s">
        <v>31</v>
      </c>
      <c r="P608" s="2">
        <v>45778</v>
      </c>
      <c r="Q608" s="1" t="s">
        <v>1512</v>
      </c>
      <c r="R608" s="1" t="s">
        <v>1513</v>
      </c>
      <c r="S608" s="1" t="s">
        <v>88</v>
      </c>
      <c r="T608" s="1" t="s">
        <v>35</v>
      </c>
      <c r="U608" s="1" t="s">
        <v>36</v>
      </c>
      <c r="V608" s="1" t="s">
        <v>37</v>
      </c>
      <c r="W608">
        <v>2</v>
      </c>
      <c r="X608" s="1">
        <f t="shared" si="18"/>
        <v>8640.6199999999462</v>
      </c>
      <c r="Y608" s="1">
        <f t="shared" si="19"/>
        <v>6355.4899999999634</v>
      </c>
    </row>
    <row r="609" spans="1:25" x14ac:dyDescent="0.3">
      <c r="A609" s="1" t="s">
        <v>1514</v>
      </c>
      <c r="B609">
        <v>1</v>
      </c>
      <c r="C609">
        <v>27.99</v>
      </c>
      <c r="D609">
        <v>27.99</v>
      </c>
      <c r="E609" s="1" t="s">
        <v>1515</v>
      </c>
      <c r="F609" s="1" t="s">
        <v>40</v>
      </c>
      <c r="G609">
        <v>2</v>
      </c>
      <c r="H609" s="1" t="s">
        <v>58</v>
      </c>
      <c r="I609" s="1" t="s">
        <v>75</v>
      </c>
      <c r="J609">
        <v>9</v>
      </c>
      <c r="K609">
        <v>27.99</v>
      </c>
      <c r="L609" s="1" t="s">
        <v>28</v>
      </c>
      <c r="M609" s="1" t="s">
        <v>61</v>
      </c>
      <c r="N609" s="1" t="s">
        <v>62</v>
      </c>
      <c r="O609" s="1" t="s">
        <v>31</v>
      </c>
      <c r="P609" s="2">
        <v>45726</v>
      </c>
      <c r="Q609" s="1" t="s">
        <v>828</v>
      </c>
      <c r="R609" s="1" t="s">
        <v>829</v>
      </c>
      <c r="S609" s="1" t="s">
        <v>65</v>
      </c>
      <c r="T609" s="1" t="s">
        <v>35</v>
      </c>
      <c r="U609" s="1" t="s">
        <v>48</v>
      </c>
      <c r="V609" s="1" t="s">
        <v>37</v>
      </c>
      <c r="W609">
        <v>2</v>
      </c>
      <c r="X609" s="1">
        <f t="shared" si="18"/>
        <v>8640.6199999999462</v>
      </c>
      <c r="Y609" s="1">
        <f t="shared" si="19"/>
        <v>7682.919999999951</v>
      </c>
    </row>
    <row r="610" spans="1:25" x14ac:dyDescent="0.3">
      <c r="A610" s="1" t="s">
        <v>1516</v>
      </c>
      <c r="B610">
        <v>3</v>
      </c>
      <c r="C610">
        <v>34.99</v>
      </c>
      <c r="D610">
        <v>82.76</v>
      </c>
      <c r="E610" s="1" t="s">
        <v>1390</v>
      </c>
      <c r="F610" s="1" t="s">
        <v>40</v>
      </c>
      <c r="G610">
        <v>8</v>
      </c>
      <c r="H610" s="1" t="s">
        <v>41</v>
      </c>
      <c r="I610" s="1" t="s">
        <v>85</v>
      </c>
      <c r="J610">
        <v>12.5</v>
      </c>
      <c r="K610">
        <v>34.99</v>
      </c>
      <c r="L610" s="1" t="s">
        <v>60</v>
      </c>
      <c r="M610" s="1" t="s">
        <v>29</v>
      </c>
      <c r="N610" s="1" t="s">
        <v>30</v>
      </c>
      <c r="O610" s="1" t="s">
        <v>31</v>
      </c>
      <c r="P610" s="2">
        <v>45778</v>
      </c>
      <c r="Q610" s="1" t="s">
        <v>768</v>
      </c>
      <c r="R610" s="1" t="s">
        <v>769</v>
      </c>
      <c r="S610" s="1" t="s">
        <v>54</v>
      </c>
      <c r="T610" s="1" t="s">
        <v>35</v>
      </c>
      <c r="U610" s="1" t="s">
        <v>36</v>
      </c>
      <c r="V610" s="1" t="s">
        <v>89</v>
      </c>
      <c r="W610">
        <v>2.4</v>
      </c>
      <c r="X610" s="1">
        <f t="shared" si="18"/>
        <v>8551.6499999999451</v>
      </c>
      <c r="Y610" s="1">
        <f t="shared" si="19"/>
        <v>6355.4899999999634</v>
      </c>
    </row>
    <row r="611" spans="1:25" x14ac:dyDescent="0.3">
      <c r="A611" s="1" t="s">
        <v>1517</v>
      </c>
      <c r="B611">
        <v>1</v>
      </c>
      <c r="C611">
        <v>34.99</v>
      </c>
      <c r="D611">
        <v>34.99</v>
      </c>
      <c r="E611" s="1" t="s">
        <v>1434</v>
      </c>
      <c r="F611" s="1" t="s">
        <v>40</v>
      </c>
      <c r="G611">
        <v>7</v>
      </c>
      <c r="H611" s="1" t="s">
        <v>96</v>
      </c>
      <c r="I611" s="1" t="s">
        <v>85</v>
      </c>
      <c r="J611">
        <v>12.5</v>
      </c>
      <c r="K611">
        <v>34.99</v>
      </c>
      <c r="L611" s="1" t="s">
        <v>60</v>
      </c>
      <c r="M611" s="1" t="s">
        <v>29</v>
      </c>
      <c r="N611" s="1" t="s">
        <v>30</v>
      </c>
      <c r="O611" s="1" t="s">
        <v>31</v>
      </c>
      <c r="P611" s="2">
        <v>45778</v>
      </c>
      <c r="Q611" s="1" t="s">
        <v>975</v>
      </c>
      <c r="R611" s="1" t="s">
        <v>1518</v>
      </c>
      <c r="S611" s="1" t="s">
        <v>105</v>
      </c>
      <c r="T611" s="1" t="s">
        <v>35</v>
      </c>
      <c r="U611" s="1" t="s">
        <v>48</v>
      </c>
      <c r="V611" s="1" t="s">
        <v>89</v>
      </c>
      <c r="W611">
        <v>2.4</v>
      </c>
      <c r="X611" s="1">
        <f t="shared" si="18"/>
        <v>7844.9099999999507</v>
      </c>
      <c r="Y611" s="1">
        <f t="shared" si="19"/>
        <v>7682.919999999951</v>
      </c>
    </row>
    <row r="612" spans="1:25" x14ac:dyDescent="0.3">
      <c r="A612" s="1" t="s">
        <v>1519</v>
      </c>
      <c r="B612">
        <v>2</v>
      </c>
      <c r="C612">
        <v>18.989999999999998</v>
      </c>
      <c r="D612">
        <v>33.06</v>
      </c>
      <c r="E612" s="1" t="s">
        <v>1086</v>
      </c>
      <c r="F612" s="1" t="s">
        <v>51</v>
      </c>
      <c r="G612">
        <v>0</v>
      </c>
      <c r="H612" s="1" t="s">
        <v>96</v>
      </c>
      <c r="I612" s="1" t="s">
        <v>97</v>
      </c>
      <c r="J612">
        <v>6</v>
      </c>
      <c r="K612">
        <v>18.989999999999998</v>
      </c>
      <c r="L612" s="1" t="s">
        <v>60</v>
      </c>
      <c r="M612" s="1" t="s">
        <v>43</v>
      </c>
      <c r="N612" s="1" t="s">
        <v>44</v>
      </c>
      <c r="O612" s="1" t="s">
        <v>31</v>
      </c>
      <c r="P612" s="2">
        <v>45823</v>
      </c>
      <c r="Q612" s="1" t="s">
        <v>466</v>
      </c>
      <c r="R612" s="1" t="s">
        <v>1520</v>
      </c>
      <c r="S612" s="1" t="s">
        <v>105</v>
      </c>
      <c r="T612" s="1" t="s">
        <v>35</v>
      </c>
      <c r="U612" s="1" t="s">
        <v>48</v>
      </c>
      <c r="V612" s="1" t="s">
        <v>100</v>
      </c>
      <c r="W612">
        <v>3.2</v>
      </c>
      <c r="X612" s="1">
        <f t="shared" si="18"/>
        <v>7844.9099999999507</v>
      </c>
      <c r="Y612" s="1">
        <f t="shared" si="19"/>
        <v>7682.919999999951</v>
      </c>
    </row>
    <row r="613" spans="1:25" x14ac:dyDescent="0.3">
      <c r="A613" s="1" t="s">
        <v>1521</v>
      </c>
      <c r="B613">
        <v>1</v>
      </c>
      <c r="C613">
        <v>27.99</v>
      </c>
      <c r="D613">
        <v>27.99</v>
      </c>
      <c r="E613" s="1" t="s">
        <v>1340</v>
      </c>
      <c r="F613" s="1" t="s">
        <v>40</v>
      </c>
      <c r="G613">
        <v>2</v>
      </c>
      <c r="H613" s="1" t="s">
        <v>26</v>
      </c>
      <c r="I613" s="1" t="s">
        <v>75</v>
      </c>
      <c r="J613">
        <v>9</v>
      </c>
      <c r="K613">
        <v>27.99</v>
      </c>
      <c r="L613" s="1" t="s">
        <v>28</v>
      </c>
      <c r="M613" s="1" t="s">
        <v>61</v>
      </c>
      <c r="N613" s="1" t="s">
        <v>62</v>
      </c>
      <c r="O613" s="1" t="s">
        <v>31</v>
      </c>
      <c r="P613" s="2">
        <v>45726</v>
      </c>
      <c r="Q613" s="1" t="s">
        <v>738</v>
      </c>
      <c r="R613" s="1" t="s">
        <v>739</v>
      </c>
      <c r="S613" s="1" t="s">
        <v>34</v>
      </c>
      <c r="T613" s="1" t="s">
        <v>35</v>
      </c>
      <c r="U613" s="1" t="s">
        <v>82</v>
      </c>
      <c r="V613" s="1" t="s">
        <v>37</v>
      </c>
      <c r="W613">
        <v>2</v>
      </c>
      <c r="X613" s="1">
        <f t="shared" si="18"/>
        <v>8313.6899999999459</v>
      </c>
      <c r="Y613" s="1">
        <f t="shared" si="19"/>
        <v>7204.2099999999582</v>
      </c>
    </row>
    <row r="614" spans="1:25" x14ac:dyDescent="0.3">
      <c r="A614" s="1" t="s">
        <v>1522</v>
      </c>
      <c r="B614">
        <v>1</v>
      </c>
      <c r="C614">
        <v>16.989999999999998</v>
      </c>
      <c r="D614">
        <v>16.989999999999998</v>
      </c>
      <c r="E614" s="1" t="s">
        <v>39</v>
      </c>
      <c r="F614" s="1" t="s">
        <v>40</v>
      </c>
      <c r="G614">
        <v>20</v>
      </c>
      <c r="H614" s="1" t="s">
        <v>58</v>
      </c>
      <c r="I614" s="1" t="s">
        <v>59</v>
      </c>
      <c r="J614">
        <v>5</v>
      </c>
      <c r="K614">
        <v>16.989999999999998</v>
      </c>
      <c r="L614" s="1" t="s">
        <v>60</v>
      </c>
      <c r="M614" s="1" t="s">
        <v>61</v>
      </c>
      <c r="N614" s="1" t="s">
        <v>62</v>
      </c>
      <c r="O614" s="1" t="s">
        <v>31</v>
      </c>
      <c r="P614" s="2">
        <v>45726</v>
      </c>
      <c r="Q614" s="1" t="s">
        <v>80</v>
      </c>
      <c r="R614" s="1" t="s">
        <v>1244</v>
      </c>
      <c r="S614" s="1" t="s">
        <v>54</v>
      </c>
      <c r="T614" s="1" t="s">
        <v>35</v>
      </c>
      <c r="U614" s="1" t="s">
        <v>82</v>
      </c>
      <c r="V614" s="1" t="s">
        <v>67</v>
      </c>
      <c r="W614">
        <v>3</v>
      </c>
      <c r="X614" s="1">
        <f t="shared" si="18"/>
        <v>8640.6199999999462</v>
      </c>
      <c r="Y614" s="1">
        <f t="shared" si="19"/>
        <v>7204.2099999999582</v>
      </c>
    </row>
    <row r="615" spans="1:25" x14ac:dyDescent="0.3">
      <c r="A615" s="1" t="s">
        <v>1523</v>
      </c>
      <c r="B615">
        <v>1</v>
      </c>
      <c r="C615">
        <v>18.989999999999998</v>
      </c>
      <c r="D615">
        <v>18.989999999999998</v>
      </c>
      <c r="E615" s="1" t="s">
        <v>1170</v>
      </c>
      <c r="F615" s="1" t="s">
        <v>40</v>
      </c>
      <c r="G615">
        <v>12</v>
      </c>
      <c r="H615" s="1" t="s">
        <v>58</v>
      </c>
      <c r="I615" s="1" t="s">
        <v>97</v>
      </c>
      <c r="J615">
        <v>6</v>
      </c>
      <c r="K615">
        <v>18.989999999999998</v>
      </c>
      <c r="L615" s="1" t="s">
        <v>60</v>
      </c>
      <c r="M615" s="1" t="s">
        <v>43</v>
      </c>
      <c r="N615" s="1" t="s">
        <v>44</v>
      </c>
      <c r="O615" s="1" t="s">
        <v>31</v>
      </c>
      <c r="P615" s="2">
        <v>45823</v>
      </c>
      <c r="Q615" s="1" t="s">
        <v>1524</v>
      </c>
      <c r="R615" s="1" t="s">
        <v>1525</v>
      </c>
      <c r="S615" s="1" t="s">
        <v>65</v>
      </c>
      <c r="T615" s="1" t="s">
        <v>35</v>
      </c>
      <c r="U615" s="1" t="s">
        <v>66</v>
      </c>
      <c r="V615" s="1" t="s">
        <v>100</v>
      </c>
      <c r="W615">
        <v>3.2</v>
      </c>
      <c r="X615" s="1">
        <f t="shared" si="18"/>
        <v>8640.6199999999462</v>
      </c>
      <c r="Y615" s="1">
        <f t="shared" si="19"/>
        <v>6397.4799999999632</v>
      </c>
    </row>
    <row r="616" spans="1:25" x14ac:dyDescent="0.3">
      <c r="A616" s="1" t="s">
        <v>1526</v>
      </c>
      <c r="B616">
        <v>2</v>
      </c>
      <c r="C616">
        <v>30.99</v>
      </c>
      <c r="D616">
        <v>53.03</v>
      </c>
      <c r="E616" s="1" t="s">
        <v>1527</v>
      </c>
      <c r="F616" s="1" t="s">
        <v>51</v>
      </c>
      <c r="G616">
        <v>0</v>
      </c>
      <c r="H616" s="1" t="s">
        <v>96</v>
      </c>
      <c r="I616" s="1" t="s">
        <v>42</v>
      </c>
      <c r="J616">
        <v>10.5</v>
      </c>
      <c r="K616">
        <v>30.99</v>
      </c>
      <c r="L616" s="1" t="s">
        <v>28</v>
      </c>
      <c r="M616" s="1" t="s">
        <v>43</v>
      </c>
      <c r="N616" s="1" t="s">
        <v>44</v>
      </c>
      <c r="O616" s="1" t="s">
        <v>31</v>
      </c>
      <c r="P616" s="2">
        <v>45823</v>
      </c>
      <c r="Q616" s="1" t="s">
        <v>206</v>
      </c>
      <c r="R616" s="1" t="s">
        <v>1528</v>
      </c>
      <c r="S616" s="1" t="s">
        <v>88</v>
      </c>
      <c r="T616" s="1" t="s">
        <v>35</v>
      </c>
      <c r="U616" s="1" t="s">
        <v>36</v>
      </c>
      <c r="V616" s="1" t="s">
        <v>37</v>
      </c>
      <c r="W616">
        <v>2</v>
      </c>
      <c r="X616" s="1">
        <f t="shared" si="18"/>
        <v>7844.9099999999507</v>
      </c>
      <c r="Y616" s="1">
        <f t="shared" si="19"/>
        <v>6355.4899999999634</v>
      </c>
    </row>
    <row r="617" spans="1:25" x14ac:dyDescent="0.3">
      <c r="A617" s="1" t="s">
        <v>1529</v>
      </c>
      <c r="B617">
        <v>1</v>
      </c>
      <c r="C617">
        <v>30.99</v>
      </c>
      <c r="D617">
        <v>30.99</v>
      </c>
      <c r="E617" s="1" t="s">
        <v>1530</v>
      </c>
      <c r="F617" s="1" t="s">
        <v>40</v>
      </c>
      <c r="G617">
        <v>4</v>
      </c>
      <c r="H617" s="1" t="s">
        <v>96</v>
      </c>
      <c r="I617" s="1" t="s">
        <v>42</v>
      </c>
      <c r="J617">
        <v>10.5</v>
      </c>
      <c r="K617">
        <v>30.99</v>
      </c>
      <c r="L617" s="1" t="s">
        <v>28</v>
      </c>
      <c r="M617" s="1" t="s">
        <v>43</v>
      </c>
      <c r="N617" s="1" t="s">
        <v>44</v>
      </c>
      <c r="O617" s="1" t="s">
        <v>31</v>
      </c>
      <c r="P617" s="2">
        <v>45823</v>
      </c>
      <c r="Q617" s="1" t="s">
        <v>896</v>
      </c>
      <c r="R617" s="1" t="s">
        <v>897</v>
      </c>
      <c r="S617" s="1" t="s">
        <v>105</v>
      </c>
      <c r="T617" s="1" t="s">
        <v>35</v>
      </c>
      <c r="U617" s="1" t="s">
        <v>55</v>
      </c>
      <c r="V617" s="1" t="s">
        <v>37</v>
      </c>
      <c r="W617">
        <v>2</v>
      </c>
      <c r="X617" s="1">
        <f t="shared" si="18"/>
        <v>7844.9099999999507</v>
      </c>
      <c r="Y617" s="1">
        <f t="shared" si="19"/>
        <v>5710.7699999999695</v>
      </c>
    </row>
    <row r="618" spans="1:25" x14ac:dyDescent="0.3">
      <c r="A618" s="1" t="s">
        <v>1531</v>
      </c>
      <c r="B618">
        <v>1</v>
      </c>
      <c r="C618">
        <v>16.989999999999998</v>
      </c>
      <c r="D618">
        <v>16.989999999999998</v>
      </c>
      <c r="E618" s="1" t="s">
        <v>146</v>
      </c>
      <c r="F618" s="1" t="s">
        <v>51</v>
      </c>
      <c r="G618">
        <v>0</v>
      </c>
      <c r="H618" s="1" t="s">
        <v>96</v>
      </c>
      <c r="I618" s="1" t="s">
        <v>59</v>
      </c>
      <c r="J618">
        <v>5</v>
      </c>
      <c r="K618">
        <v>16.989999999999998</v>
      </c>
      <c r="L618" s="1" t="s">
        <v>60</v>
      </c>
      <c r="M618" s="1" t="s">
        <v>61</v>
      </c>
      <c r="N618" s="1" t="s">
        <v>62</v>
      </c>
      <c r="O618" s="1" t="s">
        <v>31</v>
      </c>
      <c r="P618" s="2">
        <v>45726</v>
      </c>
      <c r="Q618" s="1" t="s">
        <v>420</v>
      </c>
      <c r="R618" s="1" t="s">
        <v>1131</v>
      </c>
      <c r="S618" s="1" t="s">
        <v>54</v>
      </c>
      <c r="T618" s="1" t="s">
        <v>35</v>
      </c>
      <c r="U618" s="1" t="s">
        <v>55</v>
      </c>
      <c r="V618" s="1" t="s">
        <v>67</v>
      </c>
      <c r="W618">
        <v>3</v>
      </c>
      <c r="X618" s="1">
        <f t="shared" si="18"/>
        <v>7844.9099999999507</v>
      </c>
      <c r="Y618" s="1">
        <f t="shared" si="19"/>
        <v>5710.7699999999695</v>
      </c>
    </row>
    <row r="619" spans="1:25" x14ac:dyDescent="0.3">
      <c r="A619" s="1" t="s">
        <v>1532</v>
      </c>
      <c r="B619">
        <v>2</v>
      </c>
      <c r="C619">
        <v>21.99</v>
      </c>
      <c r="D619">
        <v>38.07</v>
      </c>
      <c r="E619" s="1" t="s">
        <v>1390</v>
      </c>
      <c r="F619" s="1" t="s">
        <v>40</v>
      </c>
      <c r="G619">
        <v>3</v>
      </c>
      <c r="H619" s="1" t="s">
        <v>58</v>
      </c>
      <c r="I619" s="1" t="s">
        <v>27</v>
      </c>
      <c r="J619">
        <v>7</v>
      </c>
      <c r="K619">
        <v>21.99</v>
      </c>
      <c r="L619" s="1" t="s">
        <v>28</v>
      </c>
      <c r="M619" s="1" t="s">
        <v>29</v>
      </c>
      <c r="N619" s="1" t="s">
        <v>30</v>
      </c>
      <c r="O619" s="1" t="s">
        <v>31</v>
      </c>
      <c r="P619" s="2">
        <v>45778</v>
      </c>
      <c r="Q619" s="1" t="s">
        <v>1533</v>
      </c>
      <c r="R619" s="1" t="s">
        <v>1534</v>
      </c>
      <c r="S619" s="1" t="s">
        <v>47</v>
      </c>
      <c r="T619" s="1" t="s">
        <v>35</v>
      </c>
      <c r="U619" s="1" t="s">
        <v>48</v>
      </c>
      <c r="V619" s="1" t="s">
        <v>37</v>
      </c>
      <c r="W619">
        <v>2</v>
      </c>
      <c r="X619" s="1">
        <f t="shared" si="18"/>
        <v>8640.6199999999462</v>
      </c>
      <c r="Y619" s="1">
        <f t="shared" si="19"/>
        <v>7682.919999999951</v>
      </c>
    </row>
    <row r="620" spans="1:25" x14ac:dyDescent="0.3">
      <c r="A620" s="1" t="s">
        <v>1535</v>
      </c>
      <c r="B620">
        <v>3</v>
      </c>
      <c r="C620">
        <v>16.989999999999998</v>
      </c>
      <c r="D620">
        <v>40.67</v>
      </c>
      <c r="E620" s="1" t="s">
        <v>445</v>
      </c>
      <c r="F620" s="1" t="s">
        <v>70</v>
      </c>
      <c r="G620">
        <v>0</v>
      </c>
      <c r="H620" s="1" t="s">
        <v>26</v>
      </c>
      <c r="I620" s="1" t="s">
        <v>59</v>
      </c>
      <c r="J620">
        <v>5</v>
      </c>
      <c r="K620">
        <v>16.989999999999998</v>
      </c>
      <c r="L620" s="1" t="s">
        <v>60</v>
      </c>
      <c r="M620" s="1" t="s">
        <v>61</v>
      </c>
      <c r="N620" s="1" t="s">
        <v>62</v>
      </c>
      <c r="O620" s="1" t="s">
        <v>31</v>
      </c>
      <c r="P620" s="2">
        <v>45726</v>
      </c>
      <c r="Q620" s="1" t="s">
        <v>1417</v>
      </c>
      <c r="R620" s="1" t="s">
        <v>1418</v>
      </c>
      <c r="S620" s="1" t="s">
        <v>65</v>
      </c>
      <c r="T620" s="1" t="s">
        <v>35</v>
      </c>
      <c r="U620" s="1" t="s">
        <v>55</v>
      </c>
      <c r="V620" s="1" t="s">
        <v>67</v>
      </c>
      <c r="W620">
        <v>3</v>
      </c>
      <c r="X620" s="1">
        <f t="shared" si="18"/>
        <v>8313.6899999999459</v>
      </c>
      <c r="Y620" s="1">
        <f t="shared" si="19"/>
        <v>5710.7699999999695</v>
      </c>
    </row>
    <row r="621" spans="1:25" x14ac:dyDescent="0.3">
      <c r="A621" s="1" t="s">
        <v>1536</v>
      </c>
      <c r="B621">
        <v>1</v>
      </c>
      <c r="C621">
        <v>34.99</v>
      </c>
      <c r="D621">
        <v>34.99</v>
      </c>
      <c r="E621" s="1" t="s">
        <v>136</v>
      </c>
      <c r="F621" s="1" t="s">
        <v>40</v>
      </c>
      <c r="G621">
        <v>6</v>
      </c>
      <c r="H621" s="1" t="s">
        <v>41</v>
      </c>
      <c r="I621" s="1" t="s">
        <v>85</v>
      </c>
      <c r="J621">
        <v>12.5</v>
      </c>
      <c r="K621">
        <v>34.99</v>
      </c>
      <c r="L621" s="1" t="s">
        <v>60</v>
      </c>
      <c r="M621" s="1" t="s">
        <v>29</v>
      </c>
      <c r="N621" s="1" t="s">
        <v>30</v>
      </c>
      <c r="O621" s="1" t="s">
        <v>31</v>
      </c>
      <c r="P621" s="2">
        <v>45778</v>
      </c>
      <c r="Q621" s="1" t="s">
        <v>1211</v>
      </c>
      <c r="R621" s="1" t="s">
        <v>1212</v>
      </c>
      <c r="S621" s="1" t="s">
        <v>34</v>
      </c>
      <c r="T621" s="1" t="s">
        <v>35</v>
      </c>
      <c r="U621" s="1" t="s">
        <v>66</v>
      </c>
      <c r="V621" s="1" t="s">
        <v>89</v>
      </c>
      <c r="W621">
        <v>2.4</v>
      </c>
      <c r="X621" s="1">
        <f t="shared" si="18"/>
        <v>8551.6499999999451</v>
      </c>
      <c r="Y621" s="1">
        <f t="shared" si="19"/>
        <v>6397.4799999999632</v>
      </c>
    </row>
    <row r="622" spans="1:25" x14ac:dyDescent="0.3">
      <c r="A622" s="1" t="s">
        <v>1537</v>
      </c>
      <c r="B622">
        <v>1</v>
      </c>
      <c r="C622">
        <v>21.99</v>
      </c>
      <c r="D622">
        <v>21.99</v>
      </c>
      <c r="E622" s="1" t="s">
        <v>1538</v>
      </c>
      <c r="F622" s="1" t="s">
        <v>70</v>
      </c>
      <c r="G622">
        <v>0</v>
      </c>
      <c r="H622" s="1" t="s">
        <v>41</v>
      </c>
      <c r="I622" s="1" t="s">
        <v>27</v>
      </c>
      <c r="J622">
        <v>7</v>
      </c>
      <c r="K622">
        <v>21.99</v>
      </c>
      <c r="L622" s="1" t="s">
        <v>28</v>
      </c>
      <c r="M622" s="1" t="s">
        <v>29</v>
      </c>
      <c r="N622" s="1" t="s">
        <v>30</v>
      </c>
      <c r="O622" s="1" t="s">
        <v>31</v>
      </c>
      <c r="P622" s="2">
        <v>45778</v>
      </c>
      <c r="Q622" s="1" t="s">
        <v>1539</v>
      </c>
      <c r="R622" s="1" t="s">
        <v>1540</v>
      </c>
      <c r="S622" s="1" t="s">
        <v>47</v>
      </c>
      <c r="T622" s="1" t="s">
        <v>35</v>
      </c>
      <c r="U622" s="1" t="s">
        <v>36</v>
      </c>
      <c r="V622" s="1" t="s">
        <v>37</v>
      </c>
      <c r="W622">
        <v>2</v>
      </c>
      <c r="X622" s="1">
        <f t="shared" si="18"/>
        <v>8551.6499999999451</v>
      </c>
      <c r="Y622" s="1">
        <f t="shared" si="19"/>
        <v>6355.4899999999634</v>
      </c>
    </row>
    <row r="623" spans="1:25" x14ac:dyDescent="0.3">
      <c r="A623" s="1" t="s">
        <v>1541</v>
      </c>
      <c r="B623">
        <v>2</v>
      </c>
      <c r="C623">
        <v>18.989999999999998</v>
      </c>
      <c r="D623">
        <v>32.92</v>
      </c>
      <c r="E623" s="1" t="s">
        <v>200</v>
      </c>
      <c r="F623" s="1" t="s">
        <v>40</v>
      </c>
      <c r="G623">
        <v>13</v>
      </c>
      <c r="H623" s="1" t="s">
        <v>58</v>
      </c>
      <c r="I623" s="1" t="s">
        <v>97</v>
      </c>
      <c r="J623">
        <v>6</v>
      </c>
      <c r="K623">
        <v>18.989999999999998</v>
      </c>
      <c r="L623" s="1" t="s">
        <v>60</v>
      </c>
      <c r="M623" s="1" t="s">
        <v>43</v>
      </c>
      <c r="N623" s="1" t="s">
        <v>44</v>
      </c>
      <c r="O623" s="1" t="s">
        <v>31</v>
      </c>
      <c r="P623" s="2">
        <v>45823</v>
      </c>
      <c r="Q623" s="1" t="s">
        <v>1003</v>
      </c>
      <c r="R623" s="1" t="s">
        <v>1542</v>
      </c>
      <c r="S623" s="1" t="s">
        <v>54</v>
      </c>
      <c r="T623" s="1" t="s">
        <v>35</v>
      </c>
      <c r="U623" s="1" t="s">
        <v>48</v>
      </c>
      <c r="V623" s="1" t="s">
        <v>100</v>
      </c>
      <c r="W623">
        <v>3.2</v>
      </c>
      <c r="X623" s="1">
        <f t="shared" si="18"/>
        <v>8640.6199999999462</v>
      </c>
      <c r="Y623" s="1">
        <f t="shared" si="19"/>
        <v>7682.919999999951</v>
      </c>
    </row>
    <row r="624" spans="1:25" x14ac:dyDescent="0.3">
      <c r="A624" s="1" t="s">
        <v>1543</v>
      </c>
      <c r="B624">
        <v>1</v>
      </c>
      <c r="C624">
        <v>18.989999999999998</v>
      </c>
      <c r="D624">
        <v>18.989999999999998</v>
      </c>
      <c r="E624" s="1" t="s">
        <v>338</v>
      </c>
      <c r="F624" s="1" t="s">
        <v>40</v>
      </c>
      <c r="G624">
        <v>11</v>
      </c>
      <c r="H624" s="1" t="s">
        <v>96</v>
      </c>
      <c r="I624" s="1" t="s">
        <v>97</v>
      </c>
      <c r="J624">
        <v>6</v>
      </c>
      <c r="K624">
        <v>18.989999999999998</v>
      </c>
      <c r="L624" s="1" t="s">
        <v>60</v>
      </c>
      <c r="M624" s="1" t="s">
        <v>43</v>
      </c>
      <c r="N624" s="1" t="s">
        <v>44</v>
      </c>
      <c r="O624" s="1" t="s">
        <v>31</v>
      </c>
      <c r="P624" s="2">
        <v>45823</v>
      </c>
      <c r="Q624" s="1" t="s">
        <v>869</v>
      </c>
      <c r="R624" s="1" t="s">
        <v>870</v>
      </c>
      <c r="S624" s="1" t="s">
        <v>88</v>
      </c>
      <c r="T624" s="1" t="s">
        <v>35</v>
      </c>
      <c r="U624" s="1" t="s">
        <v>55</v>
      </c>
      <c r="V624" s="1" t="s">
        <v>100</v>
      </c>
      <c r="W624">
        <v>3.2</v>
      </c>
      <c r="X624" s="1">
        <f t="shared" si="18"/>
        <v>7844.9099999999507</v>
      </c>
      <c r="Y624" s="1">
        <f t="shared" si="19"/>
        <v>5710.7699999999695</v>
      </c>
    </row>
    <row r="625" spans="1:25" x14ac:dyDescent="0.3">
      <c r="A625" s="1" t="s">
        <v>1544</v>
      </c>
      <c r="B625">
        <v>2</v>
      </c>
      <c r="C625">
        <v>30.99</v>
      </c>
      <c r="D625">
        <v>54.21</v>
      </c>
      <c r="E625" s="1" t="s">
        <v>102</v>
      </c>
      <c r="F625" s="1" t="s">
        <v>25</v>
      </c>
      <c r="G625">
        <v>2</v>
      </c>
      <c r="H625" s="1" t="s">
        <v>41</v>
      </c>
      <c r="I625" s="1" t="s">
        <v>42</v>
      </c>
      <c r="J625">
        <v>10.5</v>
      </c>
      <c r="K625">
        <v>30.99</v>
      </c>
      <c r="L625" s="1" t="s">
        <v>28</v>
      </c>
      <c r="M625" s="1" t="s">
        <v>43</v>
      </c>
      <c r="N625" s="1" t="s">
        <v>44</v>
      </c>
      <c r="O625" s="1" t="s">
        <v>31</v>
      </c>
      <c r="P625" s="2">
        <v>45823</v>
      </c>
      <c r="Q625" s="1" t="s">
        <v>1545</v>
      </c>
      <c r="R625" s="1" t="s">
        <v>1546</v>
      </c>
      <c r="S625" s="1" t="s">
        <v>105</v>
      </c>
      <c r="T625" s="1" t="s">
        <v>35</v>
      </c>
      <c r="U625" s="1" t="s">
        <v>48</v>
      </c>
      <c r="V625" s="1" t="s">
        <v>37</v>
      </c>
      <c r="W625">
        <v>2</v>
      </c>
      <c r="X625" s="1">
        <f t="shared" si="18"/>
        <v>8551.6499999999451</v>
      </c>
      <c r="Y625" s="1">
        <f t="shared" si="19"/>
        <v>7682.919999999951</v>
      </c>
    </row>
    <row r="626" spans="1:25" x14ac:dyDescent="0.3">
      <c r="A626" s="1" t="s">
        <v>1547</v>
      </c>
      <c r="B626">
        <v>1</v>
      </c>
      <c r="C626">
        <v>18.989999999999998</v>
      </c>
      <c r="D626">
        <v>18.989999999999998</v>
      </c>
      <c r="E626" s="1" t="s">
        <v>1548</v>
      </c>
      <c r="F626" s="1" t="s">
        <v>40</v>
      </c>
      <c r="G626">
        <v>12</v>
      </c>
      <c r="H626" s="1" t="s">
        <v>41</v>
      </c>
      <c r="I626" s="1" t="s">
        <v>97</v>
      </c>
      <c r="J626">
        <v>6</v>
      </c>
      <c r="K626">
        <v>18.989999999999998</v>
      </c>
      <c r="L626" s="1" t="s">
        <v>60</v>
      </c>
      <c r="M626" s="1" t="s">
        <v>43</v>
      </c>
      <c r="N626" s="1" t="s">
        <v>44</v>
      </c>
      <c r="O626" s="1" t="s">
        <v>31</v>
      </c>
      <c r="P626" s="2">
        <v>45823</v>
      </c>
      <c r="Q626" s="1" t="s">
        <v>1549</v>
      </c>
      <c r="R626" s="1" t="s">
        <v>1550</v>
      </c>
      <c r="S626" s="1" t="s">
        <v>34</v>
      </c>
      <c r="T626" s="1" t="s">
        <v>35</v>
      </c>
      <c r="U626" s="1" t="s">
        <v>48</v>
      </c>
      <c r="V626" s="1" t="s">
        <v>100</v>
      </c>
      <c r="W626">
        <v>3.2</v>
      </c>
      <c r="X626" s="1">
        <f t="shared" si="18"/>
        <v>8551.6499999999451</v>
      </c>
      <c r="Y626" s="1">
        <f t="shared" si="19"/>
        <v>7682.919999999951</v>
      </c>
    </row>
    <row r="627" spans="1:25" x14ac:dyDescent="0.3">
      <c r="A627" s="1" t="s">
        <v>1551</v>
      </c>
      <c r="B627">
        <v>1</v>
      </c>
      <c r="C627">
        <v>34.99</v>
      </c>
      <c r="D627">
        <v>34.99</v>
      </c>
      <c r="E627" s="1" t="s">
        <v>1552</v>
      </c>
      <c r="F627" s="1" t="s">
        <v>51</v>
      </c>
      <c r="G627">
        <v>0</v>
      </c>
      <c r="H627" s="1" t="s">
        <v>96</v>
      </c>
      <c r="I627" s="1" t="s">
        <v>85</v>
      </c>
      <c r="J627">
        <v>12.5</v>
      </c>
      <c r="K627">
        <v>34.99</v>
      </c>
      <c r="L627" s="1" t="s">
        <v>60</v>
      </c>
      <c r="M627" s="1" t="s">
        <v>29</v>
      </c>
      <c r="N627" s="1" t="s">
        <v>30</v>
      </c>
      <c r="O627" s="1" t="s">
        <v>31</v>
      </c>
      <c r="P627" s="2">
        <v>45778</v>
      </c>
      <c r="Q627" s="1" t="s">
        <v>1237</v>
      </c>
      <c r="R627" s="1" t="s">
        <v>1553</v>
      </c>
      <c r="S627" s="1" t="s">
        <v>88</v>
      </c>
      <c r="T627" s="1" t="s">
        <v>35</v>
      </c>
      <c r="U627" s="1" t="s">
        <v>82</v>
      </c>
      <c r="V627" s="1" t="s">
        <v>89</v>
      </c>
      <c r="W627">
        <v>2.4</v>
      </c>
      <c r="X627" s="1">
        <f t="shared" si="18"/>
        <v>7844.9099999999507</v>
      </c>
      <c r="Y627" s="1">
        <f t="shared" si="19"/>
        <v>7204.2099999999582</v>
      </c>
    </row>
    <row r="628" spans="1:25" x14ac:dyDescent="0.3">
      <c r="A628" s="1" t="s">
        <v>1554</v>
      </c>
      <c r="B628">
        <v>3</v>
      </c>
      <c r="C628">
        <v>21.99</v>
      </c>
      <c r="D628">
        <v>51.96</v>
      </c>
      <c r="E628" s="1" t="s">
        <v>1443</v>
      </c>
      <c r="F628" s="1" t="s">
        <v>40</v>
      </c>
      <c r="G628">
        <v>3</v>
      </c>
      <c r="H628" s="1" t="s">
        <v>41</v>
      </c>
      <c r="I628" s="1" t="s">
        <v>27</v>
      </c>
      <c r="J628">
        <v>7</v>
      </c>
      <c r="K628">
        <v>21.99</v>
      </c>
      <c r="L628" s="1" t="s">
        <v>28</v>
      </c>
      <c r="M628" s="1" t="s">
        <v>29</v>
      </c>
      <c r="N628" s="1" t="s">
        <v>30</v>
      </c>
      <c r="O628" s="1" t="s">
        <v>31</v>
      </c>
      <c r="P628" s="2">
        <v>45778</v>
      </c>
      <c r="Q628" s="1" t="s">
        <v>1316</v>
      </c>
      <c r="R628" s="1" t="s">
        <v>1317</v>
      </c>
      <c r="S628" s="1" t="s">
        <v>105</v>
      </c>
      <c r="T628" s="1" t="s">
        <v>35</v>
      </c>
      <c r="U628" s="1" t="s">
        <v>66</v>
      </c>
      <c r="V628" s="1" t="s">
        <v>37</v>
      </c>
      <c r="W628">
        <v>2</v>
      </c>
      <c r="X628" s="1">
        <f t="shared" si="18"/>
        <v>8551.6499999999451</v>
      </c>
      <c r="Y628" s="1">
        <f t="shared" si="19"/>
        <v>6397.4799999999632</v>
      </c>
    </row>
    <row r="629" spans="1:25" x14ac:dyDescent="0.3">
      <c r="A629" s="1" t="s">
        <v>1555</v>
      </c>
      <c r="B629">
        <v>1</v>
      </c>
      <c r="C629">
        <v>30.99</v>
      </c>
      <c r="D629">
        <v>30.99</v>
      </c>
      <c r="E629" s="1" t="s">
        <v>1556</v>
      </c>
      <c r="F629" s="1" t="s">
        <v>51</v>
      </c>
      <c r="G629">
        <v>0</v>
      </c>
      <c r="H629" s="1" t="s">
        <v>41</v>
      </c>
      <c r="I629" s="1" t="s">
        <v>42</v>
      </c>
      <c r="J629">
        <v>10.5</v>
      </c>
      <c r="K629">
        <v>30.99</v>
      </c>
      <c r="L629" s="1" t="s">
        <v>28</v>
      </c>
      <c r="M629" s="1" t="s">
        <v>43</v>
      </c>
      <c r="N629" s="1" t="s">
        <v>44</v>
      </c>
      <c r="O629" s="1" t="s">
        <v>31</v>
      </c>
      <c r="P629" s="2">
        <v>45823</v>
      </c>
      <c r="Q629" s="1" t="s">
        <v>1487</v>
      </c>
      <c r="R629" s="1" t="s">
        <v>1557</v>
      </c>
      <c r="S629" s="1" t="s">
        <v>47</v>
      </c>
      <c r="T629" s="1" t="s">
        <v>35</v>
      </c>
      <c r="U629" s="1" t="s">
        <v>82</v>
      </c>
      <c r="V629" s="1" t="s">
        <v>37</v>
      </c>
      <c r="W629">
        <v>2</v>
      </c>
      <c r="X629" s="1">
        <f t="shared" si="18"/>
        <v>8551.6499999999451</v>
      </c>
      <c r="Y629" s="1">
        <f t="shared" si="19"/>
        <v>7204.2099999999582</v>
      </c>
    </row>
    <row r="630" spans="1:25" x14ac:dyDescent="0.3">
      <c r="A630" s="1" t="s">
        <v>1558</v>
      </c>
      <c r="B630">
        <v>1</v>
      </c>
      <c r="C630">
        <v>21.99</v>
      </c>
      <c r="D630">
        <v>21.99</v>
      </c>
      <c r="E630" s="1" t="s">
        <v>1345</v>
      </c>
      <c r="F630" s="1" t="s">
        <v>40</v>
      </c>
      <c r="G630">
        <v>3</v>
      </c>
      <c r="H630" s="1" t="s">
        <v>26</v>
      </c>
      <c r="I630" s="1" t="s">
        <v>27</v>
      </c>
      <c r="J630">
        <v>7</v>
      </c>
      <c r="K630">
        <v>21.99</v>
      </c>
      <c r="L630" s="1" t="s">
        <v>28</v>
      </c>
      <c r="M630" s="1" t="s">
        <v>29</v>
      </c>
      <c r="N630" s="1" t="s">
        <v>30</v>
      </c>
      <c r="O630" s="1" t="s">
        <v>31</v>
      </c>
      <c r="P630" s="2">
        <v>45778</v>
      </c>
      <c r="Q630" s="1" t="s">
        <v>1398</v>
      </c>
      <c r="R630" s="1" t="s">
        <v>1399</v>
      </c>
      <c r="S630" s="1" t="s">
        <v>54</v>
      </c>
      <c r="T630" s="1" t="s">
        <v>35</v>
      </c>
      <c r="U630" s="1" t="s">
        <v>48</v>
      </c>
      <c r="V630" s="1" t="s">
        <v>37</v>
      </c>
      <c r="W630">
        <v>2</v>
      </c>
      <c r="X630" s="1">
        <f t="shared" si="18"/>
        <v>8313.6899999999459</v>
      </c>
      <c r="Y630" s="1">
        <f t="shared" si="19"/>
        <v>7682.919999999951</v>
      </c>
    </row>
    <row r="631" spans="1:25" x14ac:dyDescent="0.3">
      <c r="A631" s="1" t="s">
        <v>1559</v>
      </c>
      <c r="B631">
        <v>1</v>
      </c>
      <c r="C631">
        <v>18.989999999999998</v>
      </c>
      <c r="D631">
        <v>18.989999999999998</v>
      </c>
      <c r="E631" s="1" t="s">
        <v>160</v>
      </c>
      <c r="F631" s="1" t="s">
        <v>51</v>
      </c>
      <c r="G631">
        <v>0</v>
      </c>
      <c r="H631" s="1" t="s">
        <v>26</v>
      </c>
      <c r="I631" s="1" t="s">
        <v>97</v>
      </c>
      <c r="J631">
        <v>6</v>
      </c>
      <c r="K631">
        <v>18.989999999999998</v>
      </c>
      <c r="L631" s="1" t="s">
        <v>60</v>
      </c>
      <c r="M631" s="1" t="s">
        <v>43</v>
      </c>
      <c r="N631" s="1" t="s">
        <v>44</v>
      </c>
      <c r="O631" s="1" t="s">
        <v>31</v>
      </c>
      <c r="P631" s="2">
        <v>45823</v>
      </c>
      <c r="Q631" s="1" t="s">
        <v>305</v>
      </c>
      <c r="R631" s="1" t="s">
        <v>1560</v>
      </c>
      <c r="S631" s="1" t="s">
        <v>65</v>
      </c>
      <c r="T631" s="1" t="s">
        <v>35</v>
      </c>
      <c r="U631" s="1" t="s">
        <v>55</v>
      </c>
      <c r="V631" s="1" t="s">
        <v>100</v>
      </c>
      <c r="W631">
        <v>3.2</v>
      </c>
      <c r="X631" s="1">
        <f t="shared" si="18"/>
        <v>8313.6899999999459</v>
      </c>
      <c r="Y631" s="1">
        <f t="shared" si="19"/>
        <v>5710.7699999999695</v>
      </c>
    </row>
    <row r="632" spans="1:25" x14ac:dyDescent="0.3">
      <c r="A632" s="1" t="s">
        <v>1561</v>
      </c>
      <c r="B632">
        <v>1</v>
      </c>
      <c r="C632">
        <v>30.99</v>
      </c>
      <c r="D632">
        <v>30.99</v>
      </c>
      <c r="E632" s="1" t="s">
        <v>1562</v>
      </c>
      <c r="F632" s="1" t="s">
        <v>40</v>
      </c>
      <c r="G632">
        <v>3</v>
      </c>
      <c r="H632" s="1" t="s">
        <v>26</v>
      </c>
      <c r="I632" s="1" t="s">
        <v>42</v>
      </c>
      <c r="J632">
        <v>10.5</v>
      </c>
      <c r="K632">
        <v>30.99</v>
      </c>
      <c r="L632" s="1" t="s">
        <v>28</v>
      </c>
      <c r="M632" s="1" t="s">
        <v>43</v>
      </c>
      <c r="N632" s="1" t="s">
        <v>44</v>
      </c>
      <c r="O632" s="1" t="s">
        <v>31</v>
      </c>
      <c r="P632" s="2">
        <v>45823</v>
      </c>
      <c r="Q632" s="1" t="s">
        <v>913</v>
      </c>
      <c r="R632" s="1" t="s">
        <v>914</v>
      </c>
      <c r="S632" s="1" t="s">
        <v>65</v>
      </c>
      <c r="T632" s="1" t="s">
        <v>35</v>
      </c>
      <c r="U632" s="1" t="s">
        <v>48</v>
      </c>
      <c r="V632" s="1" t="s">
        <v>37</v>
      </c>
      <c r="W632">
        <v>2</v>
      </c>
      <c r="X632" s="1">
        <f t="shared" si="18"/>
        <v>8313.6899999999459</v>
      </c>
      <c r="Y632" s="1">
        <f t="shared" si="19"/>
        <v>7682.919999999951</v>
      </c>
    </row>
    <row r="633" spans="1:25" x14ac:dyDescent="0.3">
      <c r="A633" s="1" t="s">
        <v>1563</v>
      </c>
      <c r="B633">
        <v>1</v>
      </c>
      <c r="C633">
        <v>27.99</v>
      </c>
      <c r="D633">
        <v>27.99</v>
      </c>
      <c r="E633" s="1" t="s">
        <v>968</v>
      </c>
      <c r="F633" s="1" t="s">
        <v>40</v>
      </c>
      <c r="G633">
        <v>3</v>
      </c>
      <c r="H633" s="1" t="s">
        <v>58</v>
      </c>
      <c r="I633" s="1" t="s">
        <v>75</v>
      </c>
      <c r="J633">
        <v>9</v>
      </c>
      <c r="K633">
        <v>27.99</v>
      </c>
      <c r="L633" s="1" t="s">
        <v>28</v>
      </c>
      <c r="M633" s="1" t="s">
        <v>61</v>
      </c>
      <c r="N633" s="1" t="s">
        <v>62</v>
      </c>
      <c r="O633" s="1" t="s">
        <v>31</v>
      </c>
      <c r="P633" s="2">
        <v>45726</v>
      </c>
      <c r="Q633" s="1" t="s">
        <v>1282</v>
      </c>
      <c r="R633" s="1" t="s">
        <v>1283</v>
      </c>
      <c r="S633" s="1" t="s">
        <v>34</v>
      </c>
      <c r="T633" s="1" t="s">
        <v>35</v>
      </c>
      <c r="U633" s="1" t="s">
        <v>66</v>
      </c>
      <c r="V633" s="1" t="s">
        <v>37</v>
      </c>
      <c r="W633">
        <v>2</v>
      </c>
      <c r="X633" s="1">
        <f t="shared" si="18"/>
        <v>8640.6199999999462</v>
      </c>
      <c r="Y633" s="1">
        <f t="shared" si="19"/>
        <v>6397.4799999999632</v>
      </c>
    </row>
    <row r="634" spans="1:25" x14ac:dyDescent="0.3">
      <c r="A634" s="1" t="s">
        <v>1564</v>
      </c>
      <c r="B634">
        <v>3</v>
      </c>
      <c r="C634">
        <v>16.989999999999998</v>
      </c>
      <c r="D634">
        <v>41.04</v>
      </c>
      <c r="E634" s="1" t="s">
        <v>1565</v>
      </c>
      <c r="F634" s="1" t="s">
        <v>40</v>
      </c>
      <c r="G634">
        <v>15</v>
      </c>
      <c r="H634" s="1" t="s">
        <v>58</v>
      </c>
      <c r="I634" s="1" t="s">
        <v>59</v>
      </c>
      <c r="J634">
        <v>5</v>
      </c>
      <c r="K634">
        <v>16.989999999999998</v>
      </c>
      <c r="L634" s="1" t="s">
        <v>60</v>
      </c>
      <c r="M634" s="1" t="s">
        <v>61</v>
      </c>
      <c r="N634" s="1" t="s">
        <v>62</v>
      </c>
      <c r="O634" s="1" t="s">
        <v>31</v>
      </c>
      <c r="P634" s="2">
        <v>45726</v>
      </c>
      <c r="Q634" s="1" t="s">
        <v>1058</v>
      </c>
      <c r="R634" s="1" t="s">
        <v>1059</v>
      </c>
      <c r="S634" s="1" t="s">
        <v>65</v>
      </c>
      <c r="T634" s="1" t="s">
        <v>35</v>
      </c>
      <c r="U634" s="1" t="s">
        <v>82</v>
      </c>
      <c r="V634" s="1" t="s">
        <v>67</v>
      </c>
      <c r="W634">
        <v>3</v>
      </c>
      <c r="X634" s="1">
        <f t="shared" si="18"/>
        <v>8640.6199999999462</v>
      </c>
      <c r="Y634" s="1">
        <f t="shared" si="19"/>
        <v>7204.2099999999582</v>
      </c>
    </row>
    <row r="635" spans="1:25" x14ac:dyDescent="0.3">
      <c r="A635" s="1" t="s">
        <v>1566</v>
      </c>
      <c r="B635">
        <v>1</v>
      </c>
      <c r="C635">
        <v>30.99</v>
      </c>
      <c r="D635">
        <v>30.99</v>
      </c>
      <c r="E635" s="1" t="s">
        <v>1153</v>
      </c>
      <c r="F635" s="1" t="s">
        <v>25</v>
      </c>
      <c r="G635">
        <v>2</v>
      </c>
      <c r="H635" s="1" t="s">
        <v>96</v>
      </c>
      <c r="I635" s="1" t="s">
        <v>42</v>
      </c>
      <c r="J635">
        <v>10.5</v>
      </c>
      <c r="K635">
        <v>30.99</v>
      </c>
      <c r="L635" s="1" t="s">
        <v>28</v>
      </c>
      <c r="M635" s="1" t="s">
        <v>43</v>
      </c>
      <c r="N635" s="1" t="s">
        <v>44</v>
      </c>
      <c r="O635" s="1" t="s">
        <v>31</v>
      </c>
      <c r="P635" s="2">
        <v>45823</v>
      </c>
      <c r="Q635" s="1" t="s">
        <v>1567</v>
      </c>
      <c r="R635" s="1" t="s">
        <v>1568</v>
      </c>
      <c r="S635" s="1" t="s">
        <v>65</v>
      </c>
      <c r="T635" s="1" t="s">
        <v>35</v>
      </c>
      <c r="U635" s="1" t="s">
        <v>55</v>
      </c>
      <c r="V635" s="1" t="s">
        <v>37</v>
      </c>
      <c r="W635">
        <v>2</v>
      </c>
      <c r="X635" s="1">
        <f t="shared" si="18"/>
        <v>7844.9099999999507</v>
      </c>
      <c r="Y635" s="1">
        <f t="shared" si="19"/>
        <v>5710.7699999999695</v>
      </c>
    </row>
    <row r="636" spans="1:25" x14ac:dyDescent="0.3">
      <c r="A636" s="1" t="s">
        <v>1569</v>
      </c>
      <c r="B636">
        <v>3</v>
      </c>
      <c r="C636">
        <v>18.989999999999998</v>
      </c>
      <c r="D636">
        <v>44.74</v>
      </c>
      <c r="E636" s="1" t="s">
        <v>1570</v>
      </c>
      <c r="F636" s="1" t="s">
        <v>40</v>
      </c>
      <c r="G636">
        <v>14</v>
      </c>
      <c r="H636" s="1" t="s">
        <v>41</v>
      </c>
      <c r="I636" s="1" t="s">
        <v>97</v>
      </c>
      <c r="J636">
        <v>6</v>
      </c>
      <c r="K636">
        <v>18.989999999999998</v>
      </c>
      <c r="L636" s="1" t="s">
        <v>60</v>
      </c>
      <c r="M636" s="1" t="s">
        <v>43</v>
      </c>
      <c r="N636" s="1" t="s">
        <v>44</v>
      </c>
      <c r="O636" s="1" t="s">
        <v>31</v>
      </c>
      <c r="P636" s="2">
        <v>45823</v>
      </c>
      <c r="Q636" s="1" t="s">
        <v>1195</v>
      </c>
      <c r="R636" s="1" t="s">
        <v>1196</v>
      </c>
      <c r="S636" s="1" t="s">
        <v>54</v>
      </c>
      <c r="T636" s="1" t="s">
        <v>35</v>
      </c>
      <c r="U636" s="1" t="s">
        <v>66</v>
      </c>
      <c r="V636" s="1" t="s">
        <v>100</v>
      </c>
      <c r="W636">
        <v>3.2</v>
      </c>
      <c r="X636" s="1">
        <f t="shared" si="18"/>
        <v>8551.6499999999451</v>
      </c>
      <c r="Y636" s="1">
        <f t="shared" si="19"/>
        <v>6397.4799999999632</v>
      </c>
    </row>
    <row r="637" spans="1:25" x14ac:dyDescent="0.3">
      <c r="A637" s="1" t="s">
        <v>1571</v>
      </c>
      <c r="B637">
        <v>3</v>
      </c>
      <c r="C637">
        <v>18.989999999999998</v>
      </c>
      <c r="D637">
        <v>45.51</v>
      </c>
      <c r="E637" s="1" t="s">
        <v>1572</v>
      </c>
      <c r="F637" s="1" t="s">
        <v>40</v>
      </c>
      <c r="G637">
        <v>20</v>
      </c>
      <c r="H637" s="1" t="s">
        <v>96</v>
      </c>
      <c r="I637" s="1" t="s">
        <v>97</v>
      </c>
      <c r="J637">
        <v>6</v>
      </c>
      <c r="K637">
        <v>18.989999999999998</v>
      </c>
      <c r="L637" s="1" t="s">
        <v>60</v>
      </c>
      <c r="M637" s="1" t="s">
        <v>43</v>
      </c>
      <c r="N637" s="1" t="s">
        <v>44</v>
      </c>
      <c r="O637" s="1" t="s">
        <v>31</v>
      </c>
      <c r="P637" s="2">
        <v>45823</v>
      </c>
      <c r="Q637" s="1" t="s">
        <v>1494</v>
      </c>
      <c r="R637" s="1" t="s">
        <v>1495</v>
      </c>
      <c r="S637" s="1" t="s">
        <v>65</v>
      </c>
      <c r="T637" s="1" t="s">
        <v>35</v>
      </c>
      <c r="U637" s="1" t="s">
        <v>48</v>
      </c>
      <c r="V637" s="1" t="s">
        <v>100</v>
      </c>
      <c r="W637">
        <v>3.2</v>
      </c>
      <c r="X637" s="1">
        <f t="shared" si="18"/>
        <v>7844.9099999999507</v>
      </c>
      <c r="Y637" s="1">
        <f t="shared" si="19"/>
        <v>7682.919999999951</v>
      </c>
    </row>
    <row r="638" spans="1:25" x14ac:dyDescent="0.3">
      <c r="A638" s="1" t="s">
        <v>1573</v>
      </c>
      <c r="B638">
        <v>2</v>
      </c>
      <c r="C638">
        <v>16.989999999999998</v>
      </c>
      <c r="D638">
        <v>29.18</v>
      </c>
      <c r="E638" s="1" t="s">
        <v>1574</v>
      </c>
      <c r="F638" s="1" t="s">
        <v>188</v>
      </c>
      <c r="G638">
        <v>0</v>
      </c>
      <c r="H638" s="1" t="s">
        <v>26</v>
      </c>
      <c r="I638" s="1" t="s">
        <v>59</v>
      </c>
      <c r="J638">
        <v>5</v>
      </c>
      <c r="K638">
        <v>16.989999999999998</v>
      </c>
      <c r="L638" s="1" t="s">
        <v>60</v>
      </c>
      <c r="M638" s="1" t="s">
        <v>61</v>
      </c>
      <c r="N638" s="1" t="s">
        <v>62</v>
      </c>
      <c r="O638" s="1" t="s">
        <v>31</v>
      </c>
      <c r="P638" s="2">
        <v>45726</v>
      </c>
      <c r="Q638" s="1" t="s">
        <v>241</v>
      </c>
      <c r="R638" s="1" t="s">
        <v>1575</v>
      </c>
      <c r="S638" s="1" t="s">
        <v>65</v>
      </c>
      <c r="T638" s="1" t="s">
        <v>35</v>
      </c>
      <c r="U638" s="1" t="s">
        <v>82</v>
      </c>
      <c r="V638" s="1" t="s">
        <v>67</v>
      </c>
      <c r="W638">
        <v>3</v>
      </c>
      <c r="X638" s="1">
        <f t="shared" si="18"/>
        <v>8313.6899999999459</v>
      </c>
      <c r="Y638" s="1">
        <f t="shared" si="19"/>
        <v>7204.2099999999582</v>
      </c>
    </row>
    <row r="639" spans="1:25" x14ac:dyDescent="0.3">
      <c r="A639" s="1" t="s">
        <v>1576</v>
      </c>
      <c r="B639">
        <v>1</v>
      </c>
      <c r="C639">
        <v>30.99</v>
      </c>
      <c r="D639">
        <v>30.99</v>
      </c>
      <c r="E639" s="1" t="s">
        <v>1577</v>
      </c>
      <c r="F639" s="1" t="s">
        <v>188</v>
      </c>
      <c r="G639">
        <v>0</v>
      </c>
      <c r="H639" s="1" t="s">
        <v>26</v>
      </c>
      <c r="I639" s="1" t="s">
        <v>42</v>
      </c>
      <c r="J639">
        <v>10.5</v>
      </c>
      <c r="K639">
        <v>30.99</v>
      </c>
      <c r="L639" s="1" t="s">
        <v>28</v>
      </c>
      <c r="M639" s="1" t="s">
        <v>43</v>
      </c>
      <c r="N639" s="1" t="s">
        <v>44</v>
      </c>
      <c r="O639" s="1" t="s">
        <v>31</v>
      </c>
      <c r="P639" s="2">
        <v>45823</v>
      </c>
      <c r="Q639" s="1" t="s">
        <v>593</v>
      </c>
      <c r="R639" s="1" t="s">
        <v>1223</v>
      </c>
      <c r="S639" s="1" t="s">
        <v>88</v>
      </c>
      <c r="T639" s="1" t="s">
        <v>35</v>
      </c>
      <c r="U639" s="1" t="s">
        <v>66</v>
      </c>
      <c r="V639" s="1" t="s">
        <v>37</v>
      </c>
      <c r="W639">
        <v>2</v>
      </c>
      <c r="X639" s="1">
        <f t="shared" si="18"/>
        <v>8313.6899999999459</v>
      </c>
      <c r="Y639" s="1">
        <f t="shared" si="19"/>
        <v>6397.4799999999632</v>
      </c>
    </row>
    <row r="640" spans="1:25" x14ac:dyDescent="0.3">
      <c r="A640" s="1" t="s">
        <v>1578</v>
      </c>
      <c r="B640">
        <v>1</v>
      </c>
      <c r="C640">
        <v>18.989999999999998</v>
      </c>
      <c r="D640">
        <v>18.989999999999998</v>
      </c>
      <c r="E640" s="1" t="s">
        <v>786</v>
      </c>
      <c r="F640" s="1" t="s">
        <v>188</v>
      </c>
      <c r="G640">
        <v>0</v>
      </c>
      <c r="H640" s="1" t="s">
        <v>26</v>
      </c>
      <c r="I640" s="1" t="s">
        <v>97</v>
      </c>
      <c r="J640">
        <v>6</v>
      </c>
      <c r="K640">
        <v>18.989999999999998</v>
      </c>
      <c r="L640" s="1" t="s">
        <v>60</v>
      </c>
      <c r="M640" s="1" t="s">
        <v>43</v>
      </c>
      <c r="N640" s="1" t="s">
        <v>44</v>
      </c>
      <c r="O640" s="1" t="s">
        <v>31</v>
      </c>
      <c r="P640" s="2">
        <v>45823</v>
      </c>
      <c r="Q640" s="1" t="s">
        <v>182</v>
      </c>
      <c r="R640" s="1" t="s">
        <v>1579</v>
      </c>
      <c r="S640" s="1" t="s">
        <v>105</v>
      </c>
      <c r="T640" s="1" t="s">
        <v>35</v>
      </c>
      <c r="U640" s="1" t="s">
        <v>66</v>
      </c>
      <c r="V640" s="1" t="s">
        <v>100</v>
      </c>
      <c r="W640">
        <v>3.2</v>
      </c>
      <c r="X640" s="1">
        <f t="shared" si="18"/>
        <v>8313.6899999999459</v>
      </c>
      <c r="Y640" s="1">
        <f t="shared" si="19"/>
        <v>6397.4799999999632</v>
      </c>
    </row>
    <row r="641" spans="1:25" x14ac:dyDescent="0.3">
      <c r="A641" s="1" t="s">
        <v>1580</v>
      </c>
      <c r="B641">
        <v>2</v>
      </c>
      <c r="C641">
        <v>18.989999999999998</v>
      </c>
      <c r="D641">
        <v>32.71</v>
      </c>
      <c r="E641" s="1" t="s">
        <v>1581</v>
      </c>
      <c r="F641" s="1" t="s">
        <v>40</v>
      </c>
      <c r="G641">
        <v>10</v>
      </c>
      <c r="H641" s="1" t="s">
        <v>58</v>
      </c>
      <c r="I641" s="1" t="s">
        <v>97</v>
      </c>
      <c r="J641">
        <v>6</v>
      </c>
      <c r="K641">
        <v>18.989999999999998</v>
      </c>
      <c r="L641" s="1" t="s">
        <v>60</v>
      </c>
      <c r="M641" s="1" t="s">
        <v>43</v>
      </c>
      <c r="N641" s="1" t="s">
        <v>44</v>
      </c>
      <c r="O641" s="1" t="s">
        <v>31</v>
      </c>
      <c r="P641" s="2">
        <v>45823</v>
      </c>
      <c r="Q641" s="1" t="s">
        <v>140</v>
      </c>
      <c r="R641" s="1" t="s">
        <v>1199</v>
      </c>
      <c r="S641" s="1" t="s">
        <v>65</v>
      </c>
      <c r="T641" s="1" t="s">
        <v>35</v>
      </c>
      <c r="U641" s="1" t="s">
        <v>36</v>
      </c>
      <c r="V641" s="1" t="s">
        <v>100</v>
      </c>
      <c r="W641">
        <v>3.2</v>
      </c>
      <c r="X641" s="1">
        <f t="shared" si="18"/>
        <v>8640.6199999999462</v>
      </c>
      <c r="Y641" s="1">
        <f t="shared" si="19"/>
        <v>6355.4899999999634</v>
      </c>
    </row>
    <row r="642" spans="1:25" x14ac:dyDescent="0.3">
      <c r="A642" s="1" t="s">
        <v>1582</v>
      </c>
      <c r="B642">
        <v>1</v>
      </c>
      <c r="C642">
        <v>21.99</v>
      </c>
      <c r="D642">
        <v>21.99</v>
      </c>
      <c r="E642" s="1" t="s">
        <v>1552</v>
      </c>
      <c r="F642" s="1" t="s">
        <v>40</v>
      </c>
      <c r="G642">
        <v>2</v>
      </c>
      <c r="H642" s="1" t="s">
        <v>41</v>
      </c>
      <c r="I642" s="1" t="s">
        <v>27</v>
      </c>
      <c r="J642">
        <v>7</v>
      </c>
      <c r="K642">
        <v>21.99</v>
      </c>
      <c r="L642" s="1" t="s">
        <v>28</v>
      </c>
      <c r="M642" s="1" t="s">
        <v>29</v>
      </c>
      <c r="N642" s="1" t="s">
        <v>30</v>
      </c>
      <c r="O642" s="1" t="s">
        <v>31</v>
      </c>
      <c r="P642" s="2">
        <v>45778</v>
      </c>
      <c r="Q642" s="1" t="s">
        <v>409</v>
      </c>
      <c r="R642" s="1" t="s">
        <v>1583</v>
      </c>
      <c r="S642" s="1" t="s">
        <v>105</v>
      </c>
      <c r="T642" s="1" t="s">
        <v>35</v>
      </c>
      <c r="U642" s="1" t="s">
        <v>48</v>
      </c>
      <c r="V642" s="1" t="s">
        <v>37</v>
      </c>
      <c r="W642">
        <v>2</v>
      </c>
      <c r="X642" s="1">
        <f t="shared" ref="X642:X705" si="20">SUMIF(H:H,H642,K:K)</f>
        <v>8551.6499999999451</v>
      </c>
      <c r="Y642" s="1">
        <f t="shared" ref="Y642:Y705" si="21">SUMIF(U:U,U642,K:K)</f>
        <v>7682.919999999951</v>
      </c>
    </row>
    <row r="643" spans="1:25" x14ac:dyDescent="0.3">
      <c r="A643" s="1" t="s">
        <v>1584</v>
      </c>
      <c r="B643">
        <v>3</v>
      </c>
      <c r="C643">
        <v>16.989999999999998</v>
      </c>
      <c r="D643">
        <v>40.15</v>
      </c>
      <c r="E643" s="1" t="s">
        <v>1198</v>
      </c>
      <c r="F643" s="1" t="s">
        <v>40</v>
      </c>
      <c r="G643">
        <v>19</v>
      </c>
      <c r="H643" s="1" t="s">
        <v>41</v>
      </c>
      <c r="I643" s="1" t="s">
        <v>59</v>
      </c>
      <c r="J643">
        <v>5</v>
      </c>
      <c r="K643">
        <v>16.989999999999998</v>
      </c>
      <c r="L643" s="1" t="s">
        <v>60</v>
      </c>
      <c r="M643" s="1" t="s">
        <v>61</v>
      </c>
      <c r="N643" s="1" t="s">
        <v>62</v>
      </c>
      <c r="O643" s="1" t="s">
        <v>31</v>
      </c>
      <c r="P643" s="2">
        <v>45726</v>
      </c>
      <c r="Q643" s="1" t="s">
        <v>732</v>
      </c>
      <c r="R643" s="1" t="s">
        <v>733</v>
      </c>
      <c r="S643" s="1" t="s">
        <v>65</v>
      </c>
      <c r="T643" s="1" t="s">
        <v>35</v>
      </c>
      <c r="U643" s="1" t="s">
        <v>48</v>
      </c>
      <c r="V643" s="1" t="s">
        <v>67</v>
      </c>
      <c r="W643">
        <v>3</v>
      </c>
      <c r="X643" s="1">
        <f t="shared" si="20"/>
        <v>8551.6499999999451</v>
      </c>
      <c r="Y643" s="1">
        <f t="shared" si="21"/>
        <v>7682.919999999951</v>
      </c>
    </row>
    <row r="644" spans="1:25" x14ac:dyDescent="0.3">
      <c r="A644" s="1" t="s">
        <v>1585</v>
      </c>
      <c r="B644">
        <v>3</v>
      </c>
      <c r="C644">
        <v>30.99</v>
      </c>
      <c r="D644">
        <v>73.5</v>
      </c>
      <c r="E644" s="1" t="s">
        <v>1002</v>
      </c>
      <c r="F644" s="1" t="s">
        <v>40</v>
      </c>
      <c r="G644">
        <v>2</v>
      </c>
      <c r="H644" s="1" t="s">
        <v>58</v>
      </c>
      <c r="I644" s="1" t="s">
        <v>42</v>
      </c>
      <c r="J644">
        <v>10.5</v>
      </c>
      <c r="K644">
        <v>30.99</v>
      </c>
      <c r="L644" s="1" t="s">
        <v>28</v>
      </c>
      <c r="M644" s="1" t="s">
        <v>43</v>
      </c>
      <c r="N644" s="1" t="s">
        <v>44</v>
      </c>
      <c r="O644" s="1" t="s">
        <v>31</v>
      </c>
      <c r="P644" s="2">
        <v>45823</v>
      </c>
      <c r="Q644" s="1" t="s">
        <v>1144</v>
      </c>
      <c r="R644" s="1" t="s">
        <v>1145</v>
      </c>
      <c r="S644" s="1" t="s">
        <v>105</v>
      </c>
      <c r="T644" s="1" t="s">
        <v>35</v>
      </c>
      <c r="U644" s="1" t="s">
        <v>36</v>
      </c>
      <c r="V644" s="1" t="s">
        <v>37</v>
      </c>
      <c r="W644">
        <v>2</v>
      </c>
      <c r="X644" s="1">
        <f t="shared" si="20"/>
        <v>8640.6199999999462</v>
      </c>
      <c r="Y644" s="1">
        <f t="shared" si="21"/>
        <v>6355.4899999999634</v>
      </c>
    </row>
    <row r="645" spans="1:25" x14ac:dyDescent="0.3">
      <c r="A645" s="1" t="s">
        <v>1586</v>
      </c>
      <c r="B645">
        <v>1</v>
      </c>
      <c r="C645">
        <v>21.99</v>
      </c>
      <c r="D645">
        <v>21.99</v>
      </c>
      <c r="E645" s="1" t="s">
        <v>334</v>
      </c>
      <c r="F645" s="1" t="s">
        <v>40</v>
      </c>
      <c r="G645">
        <v>2</v>
      </c>
      <c r="H645" s="1" t="s">
        <v>26</v>
      </c>
      <c r="I645" s="1" t="s">
        <v>27</v>
      </c>
      <c r="J645">
        <v>7</v>
      </c>
      <c r="K645">
        <v>21.99</v>
      </c>
      <c r="L645" s="1" t="s">
        <v>28</v>
      </c>
      <c r="M645" s="1" t="s">
        <v>29</v>
      </c>
      <c r="N645" s="1" t="s">
        <v>30</v>
      </c>
      <c r="O645" s="1" t="s">
        <v>31</v>
      </c>
      <c r="P645" s="2">
        <v>45778</v>
      </c>
      <c r="Q645" s="1" t="s">
        <v>1140</v>
      </c>
      <c r="R645" s="1" t="s">
        <v>1141</v>
      </c>
      <c r="S645" s="1" t="s">
        <v>34</v>
      </c>
      <c r="T645" s="1" t="s">
        <v>35</v>
      </c>
      <c r="U645" s="1" t="s">
        <v>36</v>
      </c>
      <c r="V645" s="1" t="s">
        <v>37</v>
      </c>
      <c r="W645">
        <v>2</v>
      </c>
      <c r="X645" s="1">
        <f t="shared" si="20"/>
        <v>8313.6899999999459</v>
      </c>
      <c r="Y645" s="1">
        <f t="shared" si="21"/>
        <v>6355.4899999999634</v>
      </c>
    </row>
    <row r="646" spans="1:25" x14ac:dyDescent="0.3">
      <c r="A646" s="1" t="s">
        <v>1587</v>
      </c>
      <c r="B646">
        <v>1</v>
      </c>
      <c r="C646">
        <v>21.99</v>
      </c>
      <c r="D646">
        <v>21.99</v>
      </c>
      <c r="E646" s="1" t="s">
        <v>1588</v>
      </c>
      <c r="F646" s="1" t="s">
        <v>51</v>
      </c>
      <c r="G646">
        <v>0</v>
      </c>
      <c r="H646" s="1" t="s">
        <v>26</v>
      </c>
      <c r="I646" s="1" t="s">
        <v>27</v>
      </c>
      <c r="J646">
        <v>7</v>
      </c>
      <c r="K646">
        <v>21.99</v>
      </c>
      <c r="L646" s="1" t="s">
        <v>28</v>
      </c>
      <c r="M646" s="1" t="s">
        <v>29</v>
      </c>
      <c r="N646" s="1" t="s">
        <v>30</v>
      </c>
      <c r="O646" s="1" t="s">
        <v>31</v>
      </c>
      <c r="P646" s="2">
        <v>45778</v>
      </c>
      <c r="Q646" s="1" t="s">
        <v>385</v>
      </c>
      <c r="R646" s="1" t="s">
        <v>1510</v>
      </c>
      <c r="S646" s="1" t="s">
        <v>88</v>
      </c>
      <c r="T646" s="1" t="s">
        <v>35</v>
      </c>
      <c r="U646" s="1" t="s">
        <v>48</v>
      </c>
      <c r="V646" s="1" t="s">
        <v>37</v>
      </c>
      <c r="W646">
        <v>2</v>
      </c>
      <c r="X646" s="1">
        <f t="shared" si="20"/>
        <v>8313.6899999999459</v>
      </c>
      <c r="Y646" s="1">
        <f t="shared" si="21"/>
        <v>7682.919999999951</v>
      </c>
    </row>
    <row r="647" spans="1:25" x14ac:dyDescent="0.3">
      <c r="A647" s="1" t="s">
        <v>1589</v>
      </c>
      <c r="B647">
        <v>1</v>
      </c>
      <c r="C647">
        <v>34.99</v>
      </c>
      <c r="D647">
        <v>34.99</v>
      </c>
      <c r="E647" s="1" t="s">
        <v>1590</v>
      </c>
      <c r="F647" s="1" t="s">
        <v>40</v>
      </c>
      <c r="G647">
        <v>7</v>
      </c>
      <c r="H647" s="1" t="s">
        <v>96</v>
      </c>
      <c r="I647" s="1" t="s">
        <v>85</v>
      </c>
      <c r="J647">
        <v>12.5</v>
      </c>
      <c r="K647">
        <v>34.99</v>
      </c>
      <c r="L647" s="1" t="s">
        <v>60</v>
      </c>
      <c r="M647" s="1" t="s">
        <v>29</v>
      </c>
      <c r="N647" s="1" t="s">
        <v>30</v>
      </c>
      <c r="O647" s="1" t="s">
        <v>31</v>
      </c>
      <c r="P647" s="2">
        <v>45778</v>
      </c>
      <c r="Q647" s="1" t="s">
        <v>1253</v>
      </c>
      <c r="R647" s="1" t="s">
        <v>1254</v>
      </c>
      <c r="S647" s="1" t="s">
        <v>105</v>
      </c>
      <c r="T647" s="1" t="s">
        <v>35</v>
      </c>
      <c r="U647" s="1" t="s">
        <v>66</v>
      </c>
      <c r="V647" s="1" t="s">
        <v>89</v>
      </c>
      <c r="W647">
        <v>2.4</v>
      </c>
      <c r="X647" s="1">
        <f t="shared" si="20"/>
        <v>7844.9099999999507</v>
      </c>
      <c r="Y647" s="1">
        <f t="shared" si="21"/>
        <v>6397.4799999999632</v>
      </c>
    </row>
    <row r="648" spans="1:25" x14ac:dyDescent="0.3">
      <c r="A648" s="1" t="s">
        <v>1591</v>
      </c>
      <c r="B648">
        <v>2</v>
      </c>
      <c r="C648">
        <v>30.99</v>
      </c>
      <c r="D648">
        <v>53.45</v>
      </c>
      <c r="E648" s="1" t="s">
        <v>1592</v>
      </c>
      <c r="F648" s="1" t="s">
        <v>25</v>
      </c>
      <c r="G648">
        <v>2</v>
      </c>
      <c r="H648" s="1" t="s">
        <v>26</v>
      </c>
      <c r="I648" s="1" t="s">
        <v>42</v>
      </c>
      <c r="J648">
        <v>10.5</v>
      </c>
      <c r="K648">
        <v>30.99</v>
      </c>
      <c r="L648" s="1" t="s">
        <v>28</v>
      </c>
      <c r="M648" s="1" t="s">
        <v>43</v>
      </c>
      <c r="N648" s="1" t="s">
        <v>44</v>
      </c>
      <c r="O648" s="1" t="s">
        <v>31</v>
      </c>
      <c r="P648" s="2">
        <v>45823</v>
      </c>
      <c r="Q648" s="1" t="s">
        <v>1593</v>
      </c>
      <c r="R648" s="1" t="s">
        <v>1594</v>
      </c>
      <c r="S648" s="1" t="s">
        <v>47</v>
      </c>
      <c r="T648" s="1" t="s">
        <v>35</v>
      </c>
      <c r="U648" s="1" t="s">
        <v>48</v>
      </c>
      <c r="V648" s="1" t="s">
        <v>37</v>
      </c>
      <c r="W648">
        <v>2</v>
      </c>
      <c r="X648" s="1">
        <f t="shared" si="20"/>
        <v>8313.6899999999459</v>
      </c>
      <c r="Y648" s="1">
        <f t="shared" si="21"/>
        <v>7682.919999999951</v>
      </c>
    </row>
    <row r="649" spans="1:25" x14ac:dyDescent="0.3">
      <c r="A649" s="1" t="s">
        <v>1595</v>
      </c>
      <c r="B649">
        <v>1</v>
      </c>
      <c r="C649">
        <v>18.989999999999998</v>
      </c>
      <c r="D649">
        <v>18.989999999999998</v>
      </c>
      <c r="E649" s="1" t="s">
        <v>1596</v>
      </c>
      <c r="F649" s="1" t="s">
        <v>188</v>
      </c>
      <c r="G649">
        <v>0</v>
      </c>
      <c r="H649" s="1" t="s">
        <v>96</v>
      </c>
      <c r="I649" s="1" t="s">
        <v>97</v>
      </c>
      <c r="J649">
        <v>6</v>
      </c>
      <c r="K649">
        <v>18.989999999999998</v>
      </c>
      <c r="L649" s="1" t="s">
        <v>60</v>
      </c>
      <c r="M649" s="1" t="s">
        <v>43</v>
      </c>
      <c r="N649" s="1" t="s">
        <v>44</v>
      </c>
      <c r="O649" s="1" t="s">
        <v>31</v>
      </c>
      <c r="P649" s="2">
        <v>45823</v>
      </c>
      <c r="Q649" s="1" t="s">
        <v>1187</v>
      </c>
      <c r="R649" s="1" t="s">
        <v>1188</v>
      </c>
      <c r="S649" s="1" t="s">
        <v>47</v>
      </c>
      <c r="T649" s="1" t="s">
        <v>35</v>
      </c>
      <c r="U649" s="1" t="s">
        <v>48</v>
      </c>
      <c r="V649" s="1" t="s">
        <v>100</v>
      </c>
      <c r="W649">
        <v>3.2</v>
      </c>
      <c r="X649" s="1">
        <f t="shared" si="20"/>
        <v>7844.9099999999507</v>
      </c>
      <c r="Y649" s="1">
        <f t="shared" si="21"/>
        <v>7682.919999999951</v>
      </c>
    </row>
    <row r="650" spans="1:25" x14ac:dyDescent="0.3">
      <c r="A650" s="1" t="s">
        <v>1597</v>
      </c>
      <c r="B650">
        <v>1</v>
      </c>
      <c r="C650">
        <v>30.99</v>
      </c>
      <c r="D650">
        <v>30.99</v>
      </c>
      <c r="E650" s="1" t="s">
        <v>1598</v>
      </c>
      <c r="F650" s="1" t="s">
        <v>40</v>
      </c>
      <c r="G650">
        <v>3</v>
      </c>
      <c r="H650" s="1" t="s">
        <v>58</v>
      </c>
      <c r="I650" s="1" t="s">
        <v>42</v>
      </c>
      <c r="J650">
        <v>10.5</v>
      </c>
      <c r="K650">
        <v>30.99</v>
      </c>
      <c r="L650" s="1" t="s">
        <v>28</v>
      </c>
      <c r="M650" s="1" t="s">
        <v>43</v>
      </c>
      <c r="N650" s="1" t="s">
        <v>44</v>
      </c>
      <c r="O650" s="1" t="s">
        <v>31</v>
      </c>
      <c r="P650" s="2">
        <v>45823</v>
      </c>
      <c r="Q650" s="1" t="s">
        <v>1286</v>
      </c>
      <c r="R650" s="1" t="s">
        <v>1599</v>
      </c>
      <c r="S650" s="1" t="s">
        <v>34</v>
      </c>
      <c r="T650" s="1" t="s">
        <v>35</v>
      </c>
      <c r="U650" s="1" t="s">
        <v>82</v>
      </c>
      <c r="V650" s="1" t="s">
        <v>37</v>
      </c>
      <c r="W650">
        <v>2</v>
      </c>
      <c r="X650" s="1">
        <f t="shared" si="20"/>
        <v>8640.6199999999462</v>
      </c>
      <c r="Y650" s="1">
        <f t="shared" si="21"/>
        <v>7204.2099999999582</v>
      </c>
    </row>
    <row r="651" spans="1:25" x14ac:dyDescent="0.3">
      <c r="A651" s="1" t="s">
        <v>1600</v>
      </c>
      <c r="B651">
        <v>1</v>
      </c>
      <c r="C651">
        <v>21.99</v>
      </c>
      <c r="D651">
        <v>21.99</v>
      </c>
      <c r="E651" s="1" t="s">
        <v>1230</v>
      </c>
      <c r="F651" s="1" t="s">
        <v>40</v>
      </c>
      <c r="G651">
        <v>2</v>
      </c>
      <c r="H651" s="1" t="s">
        <v>41</v>
      </c>
      <c r="I651" s="1" t="s">
        <v>27</v>
      </c>
      <c r="J651">
        <v>7</v>
      </c>
      <c r="K651">
        <v>21.99</v>
      </c>
      <c r="L651" s="1" t="s">
        <v>28</v>
      </c>
      <c r="M651" s="1" t="s">
        <v>29</v>
      </c>
      <c r="N651" s="1" t="s">
        <v>30</v>
      </c>
      <c r="O651" s="1" t="s">
        <v>31</v>
      </c>
      <c r="P651" s="2">
        <v>45778</v>
      </c>
      <c r="Q651" s="1" t="s">
        <v>147</v>
      </c>
      <c r="R651" s="1" t="s">
        <v>1601</v>
      </c>
      <c r="S651" s="1" t="s">
        <v>105</v>
      </c>
      <c r="T651" s="1" t="s">
        <v>35</v>
      </c>
      <c r="U651" s="1" t="s">
        <v>55</v>
      </c>
      <c r="V651" s="1" t="s">
        <v>37</v>
      </c>
      <c r="W651">
        <v>2</v>
      </c>
      <c r="X651" s="1">
        <f t="shared" si="20"/>
        <v>8551.6499999999451</v>
      </c>
      <c r="Y651" s="1">
        <f t="shared" si="21"/>
        <v>5710.7699999999695</v>
      </c>
    </row>
    <row r="652" spans="1:25" x14ac:dyDescent="0.3">
      <c r="A652" s="1" t="s">
        <v>1602</v>
      </c>
      <c r="B652">
        <v>3</v>
      </c>
      <c r="C652">
        <v>18.989999999999998</v>
      </c>
      <c r="D652">
        <v>45.58</v>
      </c>
      <c r="E652" s="1" t="s">
        <v>1230</v>
      </c>
      <c r="F652" s="1" t="s">
        <v>188</v>
      </c>
      <c r="G652">
        <v>0</v>
      </c>
      <c r="H652" s="1" t="s">
        <v>41</v>
      </c>
      <c r="I652" s="1" t="s">
        <v>97</v>
      </c>
      <c r="J652">
        <v>6</v>
      </c>
      <c r="K652">
        <v>18.989999999999998</v>
      </c>
      <c r="L652" s="1" t="s">
        <v>60</v>
      </c>
      <c r="M652" s="1" t="s">
        <v>43</v>
      </c>
      <c r="N652" s="1" t="s">
        <v>44</v>
      </c>
      <c r="O652" s="1" t="s">
        <v>31</v>
      </c>
      <c r="P652" s="2">
        <v>45823</v>
      </c>
      <c r="Q652" s="1" t="s">
        <v>1603</v>
      </c>
      <c r="R652" s="1" t="s">
        <v>1604</v>
      </c>
      <c r="S652" s="1" t="s">
        <v>105</v>
      </c>
      <c r="T652" s="1" t="s">
        <v>35</v>
      </c>
      <c r="U652" s="1" t="s">
        <v>55</v>
      </c>
      <c r="V652" s="1" t="s">
        <v>100</v>
      </c>
      <c r="W652">
        <v>3.2</v>
      </c>
      <c r="X652" s="1">
        <f t="shared" si="20"/>
        <v>8551.6499999999451</v>
      </c>
      <c r="Y652" s="1">
        <f t="shared" si="21"/>
        <v>5710.7699999999695</v>
      </c>
    </row>
    <row r="653" spans="1:25" x14ac:dyDescent="0.3">
      <c r="A653" s="1" t="s">
        <v>1605</v>
      </c>
      <c r="B653">
        <v>1</v>
      </c>
      <c r="C653">
        <v>21.99</v>
      </c>
      <c r="D653">
        <v>21.99</v>
      </c>
      <c r="E653" s="1" t="s">
        <v>1367</v>
      </c>
      <c r="F653" s="1" t="s">
        <v>40</v>
      </c>
      <c r="G653">
        <v>3</v>
      </c>
      <c r="H653" s="1" t="s">
        <v>41</v>
      </c>
      <c r="I653" s="1" t="s">
        <v>27</v>
      </c>
      <c r="J653">
        <v>7</v>
      </c>
      <c r="K653">
        <v>21.99</v>
      </c>
      <c r="L653" s="1" t="s">
        <v>28</v>
      </c>
      <c r="M653" s="1" t="s">
        <v>29</v>
      </c>
      <c r="N653" s="1" t="s">
        <v>30</v>
      </c>
      <c r="O653" s="1" t="s">
        <v>31</v>
      </c>
      <c r="P653" s="2">
        <v>45778</v>
      </c>
      <c r="Q653" s="1" t="s">
        <v>990</v>
      </c>
      <c r="R653" s="1" t="s">
        <v>1490</v>
      </c>
      <c r="S653" s="1" t="s">
        <v>88</v>
      </c>
      <c r="T653" s="1" t="s">
        <v>35</v>
      </c>
      <c r="U653" s="1" t="s">
        <v>82</v>
      </c>
      <c r="V653" s="1" t="s">
        <v>37</v>
      </c>
      <c r="W653">
        <v>2</v>
      </c>
      <c r="X653" s="1">
        <f t="shared" si="20"/>
        <v>8551.6499999999451</v>
      </c>
      <c r="Y653" s="1">
        <f t="shared" si="21"/>
        <v>7204.2099999999582</v>
      </c>
    </row>
    <row r="654" spans="1:25" x14ac:dyDescent="0.3">
      <c r="A654" s="1" t="s">
        <v>1606</v>
      </c>
      <c r="B654">
        <v>2</v>
      </c>
      <c r="C654">
        <v>27.99</v>
      </c>
      <c r="D654">
        <v>48.72</v>
      </c>
      <c r="E654" s="1" t="s">
        <v>1431</v>
      </c>
      <c r="F654" s="1" t="s">
        <v>51</v>
      </c>
      <c r="G654">
        <v>0</v>
      </c>
      <c r="H654" s="1" t="s">
        <v>58</v>
      </c>
      <c r="I654" s="1" t="s">
        <v>75</v>
      </c>
      <c r="J654">
        <v>9</v>
      </c>
      <c r="K654">
        <v>27.99</v>
      </c>
      <c r="L654" s="1" t="s">
        <v>28</v>
      </c>
      <c r="M654" s="1" t="s">
        <v>61</v>
      </c>
      <c r="N654" s="1" t="s">
        <v>62</v>
      </c>
      <c r="O654" s="1" t="s">
        <v>31</v>
      </c>
      <c r="P654" s="2">
        <v>45726</v>
      </c>
      <c r="Q654" s="1" t="s">
        <v>957</v>
      </c>
      <c r="R654" s="1" t="s">
        <v>958</v>
      </c>
      <c r="S654" s="1" t="s">
        <v>105</v>
      </c>
      <c r="T654" s="1" t="s">
        <v>35</v>
      </c>
      <c r="U654" s="1" t="s">
        <v>66</v>
      </c>
      <c r="V654" s="1" t="s">
        <v>37</v>
      </c>
      <c r="W654">
        <v>2</v>
      </c>
      <c r="X654" s="1">
        <f t="shared" si="20"/>
        <v>8640.6199999999462</v>
      </c>
      <c r="Y654" s="1">
        <f t="shared" si="21"/>
        <v>6397.4799999999632</v>
      </c>
    </row>
    <row r="655" spans="1:25" x14ac:dyDescent="0.3">
      <c r="A655" s="1" t="s">
        <v>1607</v>
      </c>
      <c r="B655">
        <v>1</v>
      </c>
      <c r="C655">
        <v>27.99</v>
      </c>
      <c r="D655">
        <v>27.99</v>
      </c>
      <c r="E655" s="1" t="s">
        <v>1608</v>
      </c>
      <c r="F655" s="1" t="s">
        <v>51</v>
      </c>
      <c r="G655">
        <v>0</v>
      </c>
      <c r="H655" s="1" t="s">
        <v>41</v>
      </c>
      <c r="I655" s="1" t="s">
        <v>75</v>
      </c>
      <c r="J655">
        <v>9</v>
      </c>
      <c r="K655">
        <v>27.99</v>
      </c>
      <c r="L655" s="1" t="s">
        <v>28</v>
      </c>
      <c r="M655" s="1" t="s">
        <v>61</v>
      </c>
      <c r="N655" s="1" t="s">
        <v>62</v>
      </c>
      <c r="O655" s="1" t="s">
        <v>31</v>
      </c>
      <c r="P655" s="2">
        <v>45726</v>
      </c>
      <c r="Q655" s="1" t="s">
        <v>544</v>
      </c>
      <c r="R655" s="1" t="s">
        <v>1225</v>
      </c>
      <c r="S655" s="1" t="s">
        <v>88</v>
      </c>
      <c r="T655" s="1" t="s">
        <v>35</v>
      </c>
      <c r="U655" s="1" t="s">
        <v>36</v>
      </c>
      <c r="V655" s="1" t="s">
        <v>37</v>
      </c>
      <c r="W655">
        <v>2</v>
      </c>
      <c r="X655" s="1">
        <f t="shared" si="20"/>
        <v>8551.6499999999451</v>
      </c>
      <c r="Y655" s="1">
        <f t="shared" si="21"/>
        <v>6355.4899999999634</v>
      </c>
    </row>
    <row r="656" spans="1:25" x14ac:dyDescent="0.3">
      <c r="A656" s="1" t="s">
        <v>1609</v>
      </c>
      <c r="B656">
        <v>1</v>
      </c>
      <c r="C656">
        <v>18.989999999999998</v>
      </c>
      <c r="D656">
        <v>18.989999999999998</v>
      </c>
      <c r="E656" s="1" t="s">
        <v>1227</v>
      </c>
      <c r="F656" s="1" t="s">
        <v>40</v>
      </c>
      <c r="G656">
        <v>15</v>
      </c>
      <c r="H656" s="1" t="s">
        <v>96</v>
      </c>
      <c r="I656" s="1" t="s">
        <v>97</v>
      </c>
      <c r="J656">
        <v>6</v>
      </c>
      <c r="K656">
        <v>18.989999999999998</v>
      </c>
      <c r="L656" s="1" t="s">
        <v>60</v>
      </c>
      <c r="M656" s="1" t="s">
        <v>43</v>
      </c>
      <c r="N656" s="1" t="s">
        <v>44</v>
      </c>
      <c r="O656" s="1" t="s">
        <v>31</v>
      </c>
      <c r="P656" s="2">
        <v>45823</v>
      </c>
      <c r="Q656" s="1" t="s">
        <v>1211</v>
      </c>
      <c r="R656" s="1" t="s">
        <v>1610</v>
      </c>
      <c r="S656" s="1" t="s">
        <v>65</v>
      </c>
      <c r="T656" s="1" t="s">
        <v>35</v>
      </c>
      <c r="U656" s="1" t="s">
        <v>55</v>
      </c>
      <c r="V656" s="1" t="s">
        <v>100</v>
      </c>
      <c r="W656">
        <v>3.2</v>
      </c>
      <c r="X656" s="1">
        <f t="shared" si="20"/>
        <v>7844.9099999999507</v>
      </c>
      <c r="Y656" s="1">
        <f t="shared" si="21"/>
        <v>5710.7699999999695</v>
      </c>
    </row>
    <row r="657" spans="1:25" x14ac:dyDescent="0.3">
      <c r="A657" s="1" t="s">
        <v>1611</v>
      </c>
      <c r="B657">
        <v>1</v>
      </c>
      <c r="C657">
        <v>21.99</v>
      </c>
      <c r="D657">
        <v>21.99</v>
      </c>
      <c r="E657" s="1" t="s">
        <v>1461</v>
      </c>
      <c r="F657" s="1" t="s">
        <v>51</v>
      </c>
      <c r="G657">
        <v>0</v>
      </c>
      <c r="H657" s="1" t="s">
        <v>58</v>
      </c>
      <c r="I657" s="1" t="s">
        <v>27</v>
      </c>
      <c r="J657">
        <v>7</v>
      </c>
      <c r="K657">
        <v>21.99</v>
      </c>
      <c r="L657" s="1" t="s">
        <v>28</v>
      </c>
      <c r="M657" s="1" t="s">
        <v>29</v>
      </c>
      <c r="N657" s="1" t="s">
        <v>30</v>
      </c>
      <c r="O657" s="1" t="s">
        <v>31</v>
      </c>
      <c r="P657" s="2">
        <v>45778</v>
      </c>
      <c r="Q657" s="1" t="s">
        <v>957</v>
      </c>
      <c r="R657" s="1" t="s">
        <v>958</v>
      </c>
      <c r="S657" s="1" t="s">
        <v>105</v>
      </c>
      <c r="T657" s="1" t="s">
        <v>35</v>
      </c>
      <c r="U657" s="1" t="s">
        <v>66</v>
      </c>
      <c r="V657" s="1" t="s">
        <v>37</v>
      </c>
      <c r="W657">
        <v>2</v>
      </c>
      <c r="X657" s="1">
        <f t="shared" si="20"/>
        <v>8640.6199999999462</v>
      </c>
      <c r="Y657" s="1">
        <f t="shared" si="21"/>
        <v>6397.4799999999632</v>
      </c>
    </row>
    <row r="658" spans="1:25" x14ac:dyDescent="0.3">
      <c r="A658" s="1" t="s">
        <v>1612</v>
      </c>
      <c r="B658">
        <v>1</v>
      </c>
      <c r="C658">
        <v>34.99</v>
      </c>
      <c r="D658">
        <v>34.99</v>
      </c>
      <c r="E658" s="1" t="s">
        <v>1379</v>
      </c>
      <c r="F658" s="1" t="s">
        <v>188</v>
      </c>
      <c r="G658">
        <v>0</v>
      </c>
      <c r="H658" s="1" t="s">
        <v>58</v>
      </c>
      <c r="I658" s="1" t="s">
        <v>85</v>
      </c>
      <c r="J658">
        <v>12.5</v>
      </c>
      <c r="K658">
        <v>34.99</v>
      </c>
      <c r="L658" s="1" t="s">
        <v>60</v>
      </c>
      <c r="M658" s="1" t="s">
        <v>29</v>
      </c>
      <c r="N658" s="1" t="s">
        <v>30</v>
      </c>
      <c r="O658" s="1" t="s">
        <v>31</v>
      </c>
      <c r="P658" s="2">
        <v>45778</v>
      </c>
      <c r="Q658" s="1" t="s">
        <v>1613</v>
      </c>
      <c r="R658" s="1" t="s">
        <v>1614</v>
      </c>
      <c r="S658" s="1" t="s">
        <v>34</v>
      </c>
      <c r="T658" s="1" t="s">
        <v>35</v>
      </c>
      <c r="U658" s="1" t="s">
        <v>55</v>
      </c>
      <c r="V658" s="1" t="s">
        <v>89</v>
      </c>
      <c r="W658">
        <v>2.4</v>
      </c>
      <c r="X658" s="1">
        <f t="shared" si="20"/>
        <v>8640.6199999999462</v>
      </c>
      <c r="Y658" s="1">
        <f t="shared" si="21"/>
        <v>5710.7699999999695</v>
      </c>
    </row>
    <row r="659" spans="1:25" x14ac:dyDescent="0.3">
      <c r="A659" s="1" t="s">
        <v>1615</v>
      </c>
      <c r="B659">
        <v>2</v>
      </c>
      <c r="C659">
        <v>16.989999999999998</v>
      </c>
      <c r="D659">
        <v>29.42</v>
      </c>
      <c r="E659" s="1" t="s">
        <v>946</v>
      </c>
      <c r="F659" s="1" t="s">
        <v>40</v>
      </c>
      <c r="G659">
        <v>17</v>
      </c>
      <c r="H659" s="1" t="s">
        <v>96</v>
      </c>
      <c r="I659" s="1" t="s">
        <v>59</v>
      </c>
      <c r="J659">
        <v>5</v>
      </c>
      <c r="K659">
        <v>16.989999999999998</v>
      </c>
      <c r="L659" s="1" t="s">
        <v>60</v>
      </c>
      <c r="M659" s="1" t="s">
        <v>61</v>
      </c>
      <c r="N659" s="1" t="s">
        <v>62</v>
      </c>
      <c r="O659" s="1" t="s">
        <v>31</v>
      </c>
      <c r="P659" s="2">
        <v>45726</v>
      </c>
      <c r="Q659" s="1" t="s">
        <v>1616</v>
      </c>
      <c r="R659" s="1" t="s">
        <v>1617</v>
      </c>
      <c r="S659" s="1" t="s">
        <v>105</v>
      </c>
      <c r="T659" s="1" t="s">
        <v>35</v>
      </c>
      <c r="U659" s="1" t="s">
        <v>82</v>
      </c>
      <c r="V659" s="1" t="s">
        <v>67</v>
      </c>
      <c r="W659">
        <v>3</v>
      </c>
      <c r="X659" s="1">
        <f t="shared" si="20"/>
        <v>7844.9099999999507</v>
      </c>
      <c r="Y659" s="1">
        <f t="shared" si="21"/>
        <v>7204.2099999999582</v>
      </c>
    </row>
    <row r="660" spans="1:25" x14ac:dyDescent="0.3">
      <c r="A660" s="1" t="s">
        <v>1618</v>
      </c>
      <c r="B660">
        <v>1</v>
      </c>
      <c r="C660">
        <v>30.99</v>
      </c>
      <c r="D660">
        <v>30.99</v>
      </c>
      <c r="E660" s="1" t="s">
        <v>1556</v>
      </c>
      <c r="F660" s="1" t="s">
        <v>51</v>
      </c>
      <c r="G660">
        <v>0</v>
      </c>
      <c r="H660" s="1" t="s">
        <v>96</v>
      </c>
      <c r="I660" s="1" t="s">
        <v>42</v>
      </c>
      <c r="J660">
        <v>10.5</v>
      </c>
      <c r="K660">
        <v>30.99</v>
      </c>
      <c r="L660" s="1" t="s">
        <v>28</v>
      </c>
      <c r="M660" s="1" t="s">
        <v>43</v>
      </c>
      <c r="N660" s="1" t="s">
        <v>44</v>
      </c>
      <c r="O660" s="1" t="s">
        <v>31</v>
      </c>
      <c r="P660" s="2">
        <v>45823</v>
      </c>
      <c r="Q660" s="1" t="s">
        <v>836</v>
      </c>
      <c r="R660" s="1" t="s">
        <v>837</v>
      </c>
      <c r="S660" s="1" t="s">
        <v>105</v>
      </c>
      <c r="T660" s="1" t="s">
        <v>35</v>
      </c>
      <c r="U660" s="1" t="s">
        <v>55</v>
      </c>
      <c r="V660" s="1" t="s">
        <v>37</v>
      </c>
      <c r="W660">
        <v>2</v>
      </c>
      <c r="X660" s="1">
        <f t="shared" si="20"/>
        <v>7844.9099999999507</v>
      </c>
      <c r="Y660" s="1">
        <f t="shared" si="21"/>
        <v>5710.7699999999695</v>
      </c>
    </row>
    <row r="661" spans="1:25" x14ac:dyDescent="0.3">
      <c r="A661" s="1" t="s">
        <v>1619</v>
      </c>
      <c r="B661">
        <v>2</v>
      </c>
      <c r="C661">
        <v>34.99</v>
      </c>
      <c r="D661">
        <v>60.76</v>
      </c>
      <c r="E661" s="1" t="s">
        <v>731</v>
      </c>
      <c r="F661" s="1" t="s">
        <v>51</v>
      </c>
      <c r="G661">
        <v>0</v>
      </c>
      <c r="H661" s="1" t="s">
        <v>41</v>
      </c>
      <c r="I661" s="1" t="s">
        <v>85</v>
      </c>
      <c r="J661">
        <v>12.5</v>
      </c>
      <c r="K661">
        <v>34.99</v>
      </c>
      <c r="L661" s="1" t="s">
        <v>60</v>
      </c>
      <c r="M661" s="1" t="s">
        <v>29</v>
      </c>
      <c r="N661" s="1" t="s">
        <v>30</v>
      </c>
      <c r="O661" s="1" t="s">
        <v>31</v>
      </c>
      <c r="P661" s="2">
        <v>45778</v>
      </c>
      <c r="Q661" s="1" t="s">
        <v>1620</v>
      </c>
      <c r="R661" s="1" t="s">
        <v>1621</v>
      </c>
      <c r="S661" s="1" t="s">
        <v>88</v>
      </c>
      <c r="T661" s="1" t="s">
        <v>35</v>
      </c>
      <c r="U661" s="1" t="s">
        <v>82</v>
      </c>
      <c r="V661" s="1" t="s">
        <v>89</v>
      </c>
      <c r="W661">
        <v>2.4</v>
      </c>
      <c r="X661" s="1">
        <f t="shared" si="20"/>
        <v>8551.6499999999451</v>
      </c>
      <c r="Y661" s="1">
        <f t="shared" si="21"/>
        <v>7204.2099999999582</v>
      </c>
    </row>
    <row r="662" spans="1:25" x14ac:dyDescent="0.3">
      <c r="A662" s="1" t="s">
        <v>1622</v>
      </c>
      <c r="B662">
        <v>1</v>
      </c>
      <c r="C662">
        <v>21.99</v>
      </c>
      <c r="D662">
        <v>21.99</v>
      </c>
      <c r="E662" s="1" t="s">
        <v>771</v>
      </c>
      <c r="F662" s="1" t="s">
        <v>25</v>
      </c>
      <c r="G662">
        <v>2</v>
      </c>
      <c r="H662" s="1" t="s">
        <v>41</v>
      </c>
      <c r="I662" s="1" t="s">
        <v>27</v>
      </c>
      <c r="J662">
        <v>7</v>
      </c>
      <c r="K662">
        <v>21.99</v>
      </c>
      <c r="L662" s="1" t="s">
        <v>28</v>
      </c>
      <c r="M662" s="1" t="s">
        <v>29</v>
      </c>
      <c r="N662" s="1" t="s">
        <v>30</v>
      </c>
      <c r="O662" s="1" t="s">
        <v>31</v>
      </c>
      <c r="P662" s="2">
        <v>45778</v>
      </c>
      <c r="Q662" s="1" t="s">
        <v>990</v>
      </c>
      <c r="R662" s="1" t="s">
        <v>1623</v>
      </c>
      <c r="S662" s="1" t="s">
        <v>54</v>
      </c>
      <c r="T662" s="1" t="s">
        <v>35</v>
      </c>
      <c r="U662" s="1" t="s">
        <v>48</v>
      </c>
      <c r="V662" s="1" t="s">
        <v>37</v>
      </c>
      <c r="W662">
        <v>2</v>
      </c>
      <c r="X662" s="1">
        <f t="shared" si="20"/>
        <v>8551.6499999999451</v>
      </c>
      <c r="Y662" s="1">
        <f t="shared" si="21"/>
        <v>7682.919999999951</v>
      </c>
    </row>
    <row r="663" spans="1:25" x14ac:dyDescent="0.3">
      <c r="A663" s="1" t="s">
        <v>1624</v>
      </c>
      <c r="B663">
        <v>2</v>
      </c>
      <c r="C663">
        <v>18.989999999999998</v>
      </c>
      <c r="D663">
        <v>32.86</v>
      </c>
      <c r="E663" s="1" t="s">
        <v>1111</v>
      </c>
      <c r="F663" s="1" t="s">
        <v>40</v>
      </c>
      <c r="G663">
        <v>16</v>
      </c>
      <c r="H663" s="1" t="s">
        <v>96</v>
      </c>
      <c r="I663" s="1" t="s">
        <v>97</v>
      </c>
      <c r="J663">
        <v>6</v>
      </c>
      <c r="K663">
        <v>18.989999999999998</v>
      </c>
      <c r="L663" s="1" t="s">
        <v>60</v>
      </c>
      <c r="M663" s="1" t="s">
        <v>43</v>
      </c>
      <c r="N663" s="1" t="s">
        <v>44</v>
      </c>
      <c r="O663" s="1" t="s">
        <v>31</v>
      </c>
      <c r="P663" s="2">
        <v>45823</v>
      </c>
      <c r="Q663" s="1" t="s">
        <v>147</v>
      </c>
      <c r="R663" s="1" t="s">
        <v>757</v>
      </c>
      <c r="S663" s="1" t="s">
        <v>47</v>
      </c>
      <c r="T663" s="1" t="s">
        <v>35</v>
      </c>
      <c r="U663" s="1" t="s">
        <v>48</v>
      </c>
      <c r="V663" s="1" t="s">
        <v>100</v>
      </c>
      <c r="W663">
        <v>3.2</v>
      </c>
      <c r="X663" s="1">
        <f t="shared" si="20"/>
        <v>7844.9099999999507</v>
      </c>
      <c r="Y663" s="1">
        <f t="shared" si="21"/>
        <v>7682.919999999951</v>
      </c>
    </row>
    <row r="664" spans="1:25" x14ac:dyDescent="0.3">
      <c r="A664" s="1" t="s">
        <v>1625</v>
      </c>
      <c r="B664">
        <v>3</v>
      </c>
      <c r="C664">
        <v>27.99</v>
      </c>
      <c r="D664">
        <v>66.989999999999995</v>
      </c>
      <c r="E664" s="1" t="s">
        <v>1626</v>
      </c>
      <c r="F664" s="1" t="s">
        <v>188</v>
      </c>
      <c r="G664">
        <v>0</v>
      </c>
      <c r="H664" s="1" t="s">
        <v>58</v>
      </c>
      <c r="I664" s="1" t="s">
        <v>75</v>
      </c>
      <c r="J664">
        <v>9</v>
      </c>
      <c r="K664">
        <v>27.99</v>
      </c>
      <c r="L664" s="1" t="s">
        <v>28</v>
      </c>
      <c r="M664" s="1" t="s">
        <v>61</v>
      </c>
      <c r="N664" s="1" t="s">
        <v>62</v>
      </c>
      <c r="O664" s="1" t="s">
        <v>31</v>
      </c>
      <c r="P664" s="2">
        <v>45726</v>
      </c>
      <c r="Q664" s="1" t="s">
        <v>1616</v>
      </c>
      <c r="R664" s="1" t="s">
        <v>1617</v>
      </c>
      <c r="S664" s="1" t="s">
        <v>105</v>
      </c>
      <c r="T664" s="1" t="s">
        <v>35</v>
      </c>
      <c r="U664" s="1" t="s">
        <v>82</v>
      </c>
      <c r="V664" s="1" t="s">
        <v>37</v>
      </c>
      <c r="W664">
        <v>2</v>
      </c>
      <c r="X664" s="1">
        <f t="shared" si="20"/>
        <v>8640.6199999999462</v>
      </c>
      <c r="Y664" s="1">
        <f t="shared" si="21"/>
        <v>7204.2099999999582</v>
      </c>
    </row>
    <row r="665" spans="1:25" x14ac:dyDescent="0.3">
      <c r="A665" s="1" t="s">
        <v>1627</v>
      </c>
      <c r="B665">
        <v>3</v>
      </c>
      <c r="C665">
        <v>30.99</v>
      </c>
      <c r="D665">
        <v>74.650000000000006</v>
      </c>
      <c r="E665" s="1" t="s">
        <v>1628</v>
      </c>
      <c r="F665" s="1" t="s">
        <v>40</v>
      </c>
      <c r="G665">
        <v>3</v>
      </c>
      <c r="H665" s="1" t="s">
        <v>26</v>
      </c>
      <c r="I665" s="1" t="s">
        <v>42</v>
      </c>
      <c r="J665">
        <v>10.5</v>
      </c>
      <c r="K665">
        <v>30.99</v>
      </c>
      <c r="L665" s="1" t="s">
        <v>28</v>
      </c>
      <c r="M665" s="1" t="s">
        <v>43</v>
      </c>
      <c r="N665" s="1" t="s">
        <v>44</v>
      </c>
      <c r="O665" s="1" t="s">
        <v>31</v>
      </c>
      <c r="P665" s="2">
        <v>45823</v>
      </c>
      <c r="Q665" s="1" t="s">
        <v>1237</v>
      </c>
      <c r="R665" s="1" t="s">
        <v>1238</v>
      </c>
      <c r="S665" s="1" t="s">
        <v>65</v>
      </c>
      <c r="T665" s="1" t="s">
        <v>35</v>
      </c>
      <c r="U665" s="1" t="s">
        <v>66</v>
      </c>
      <c r="V665" s="1" t="s">
        <v>37</v>
      </c>
      <c r="W665">
        <v>2</v>
      </c>
      <c r="X665" s="1">
        <f t="shared" si="20"/>
        <v>8313.6899999999459</v>
      </c>
      <c r="Y665" s="1">
        <f t="shared" si="21"/>
        <v>6397.4799999999632</v>
      </c>
    </row>
    <row r="666" spans="1:25" x14ac:dyDescent="0.3">
      <c r="A666" s="1" t="s">
        <v>1629</v>
      </c>
      <c r="B666">
        <v>1</v>
      </c>
      <c r="C666">
        <v>16.989999999999998</v>
      </c>
      <c r="D666">
        <v>16.989999999999998</v>
      </c>
      <c r="E666" s="1" t="s">
        <v>244</v>
      </c>
      <c r="F666" s="1" t="s">
        <v>51</v>
      </c>
      <c r="G666">
        <v>0</v>
      </c>
      <c r="H666" s="1" t="s">
        <v>26</v>
      </c>
      <c r="I666" s="1" t="s">
        <v>59</v>
      </c>
      <c r="J666">
        <v>5</v>
      </c>
      <c r="K666">
        <v>16.989999999999998</v>
      </c>
      <c r="L666" s="1" t="s">
        <v>60</v>
      </c>
      <c r="M666" s="1" t="s">
        <v>61</v>
      </c>
      <c r="N666" s="1" t="s">
        <v>62</v>
      </c>
      <c r="O666" s="1" t="s">
        <v>31</v>
      </c>
      <c r="P666" s="2">
        <v>45726</v>
      </c>
      <c r="Q666" s="1" t="s">
        <v>1385</v>
      </c>
      <c r="R666" s="1" t="s">
        <v>1630</v>
      </c>
      <c r="S666" s="1" t="s">
        <v>65</v>
      </c>
      <c r="T666" s="1" t="s">
        <v>35</v>
      </c>
      <c r="U666" s="1" t="s">
        <v>55</v>
      </c>
      <c r="V666" s="1" t="s">
        <v>67</v>
      </c>
      <c r="W666">
        <v>3</v>
      </c>
      <c r="X666" s="1">
        <f t="shared" si="20"/>
        <v>8313.6899999999459</v>
      </c>
      <c r="Y666" s="1">
        <f t="shared" si="21"/>
        <v>5710.7699999999695</v>
      </c>
    </row>
    <row r="667" spans="1:25" x14ac:dyDescent="0.3">
      <c r="A667" s="1" t="s">
        <v>1631</v>
      </c>
      <c r="B667">
        <v>1</v>
      </c>
      <c r="C667">
        <v>18.989999999999998</v>
      </c>
      <c r="D667">
        <v>18.989999999999998</v>
      </c>
      <c r="E667" s="1" t="s">
        <v>325</v>
      </c>
      <c r="F667" s="1" t="s">
        <v>51</v>
      </c>
      <c r="G667">
        <v>0</v>
      </c>
      <c r="H667" s="1" t="s">
        <v>26</v>
      </c>
      <c r="I667" s="1" t="s">
        <v>97</v>
      </c>
      <c r="J667">
        <v>6</v>
      </c>
      <c r="K667">
        <v>18.989999999999998</v>
      </c>
      <c r="L667" s="1" t="s">
        <v>60</v>
      </c>
      <c r="M667" s="1" t="s">
        <v>43</v>
      </c>
      <c r="N667" s="1" t="s">
        <v>44</v>
      </c>
      <c r="O667" s="1" t="s">
        <v>31</v>
      </c>
      <c r="P667" s="2">
        <v>45823</v>
      </c>
      <c r="Q667" s="1" t="s">
        <v>1401</v>
      </c>
      <c r="R667" s="1" t="s">
        <v>1632</v>
      </c>
      <c r="S667" s="1" t="s">
        <v>88</v>
      </c>
      <c r="T667" s="1" t="s">
        <v>35</v>
      </c>
      <c r="U667" s="1" t="s">
        <v>36</v>
      </c>
      <c r="V667" s="1" t="s">
        <v>100</v>
      </c>
      <c r="W667">
        <v>3.2</v>
      </c>
      <c r="X667" s="1">
        <f t="shared" si="20"/>
        <v>8313.6899999999459</v>
      </c>
      <c r="Y667" s="1">
        <f t="shared" si="21"/>
        <v>6355.4899999999634</v>
      </c>
    </row>
    <row r="668" spans="1:25" x14ac:dyDescent="0.3">
      <c r="A668" s="1" t="s">
        <v>1633</v>
      </c>
      <c r="B668">
        <v>1</v>
      </c>
      <c r="C668">
        <v>34.99</v>
      </c>
      <c r="D668">
        <v>34.99</v>
      </c>
      <c r="E668" s="1" t="s">
        <v>1634</v>
      </c>
      <c r="F668" s="1" t="s">
        <v>188</v>
      </c>
      <c r="G668">
        <v>0</v>
      </c>
      <c r="H668" s="1" t="s">
        <v>41</v>
      </c>
      <c r="I668" s="1" t="s">
        <v>85</v>
      </c>
      <c r="J668">
        <v>12.5</v>
      </c>
      <c r="K668">
        <v>34.99</v>
      </c>
      <c r="L668" s="1" t="s">
        <v>60</v>
      </c>
      <c r="M668" s="1" t="s">
        <v>29</v>
      </c>
      <c r="N668" s="1" t="s">
        <v>30</v>
      </c>
      <c r="O668" s="1" t="s">
        <v>31</v>
      </c>
      <c r="P668" s="2">
        <v>45778</v>
      </c>
      <c r="Q668" s="1" t="s">
        <v>1533</v>
      </c>
      <c r="R668" s="1" t="s">
        <v>1635</v>
      </c>
      <c r="S668" s="1" t="s">
        <v>105</v>
      </c>
      <c r="T668" s="1" t="s">
        <v>35</v>
      </c>
      <c r="U668" s="1" t="s">
        <v>36</v>
      </c>
      <c r="V668" s="1" t="s">
        <v>89</v>
      </c>
      <c r="W668">
        <v>2.4</v>
      </c>
      <c r="X668" s="1">
        <f t="shared" si="20"/>
        <v>8551.6499999999451</v>
      </c>
      <c r="Y668" s="1">
        <f t="shared" si="21"/>
        <v>6355.4899999999634</v>
      </c>
    </row>
    <row r="669" spans="1:25" x14ac:dyDescent="0.3">
      <c r="A669" s="1" t="s">
        <v>1636</v>
      </c>
      <c r="B669">
        <v>1</v>
      </c>
      <c r="C669">
        <v>27.99</v>
      </c>
      <c r="D669">
        <v>27.99</v>
      </c>
      <c r="E669" s="1" t="s">
        <v>69</v>
      </c>
      <c r="F669" s="1" t="s">
        <v>40</v>
      </c>
      <c r="G669">
        <v>2</v>
      </c>
      <c r="H669" s="1" t="s">
        <v>26</v>
      </c>
      <c r="I669" s="1" t="s">
        <v>75</v>
      </c>
      <c r="J669">
        <v>9</v>
      </c>
      <c r="K669">
        <v>27.99</v>
      </c>
      <c r="L669" s="1" t="s">
        <v>28</v>
      </c>
      <c r="M669" s="1" t="s">
        <v>61</v>
      </c>
      <c r="N669" s="1" t="s">
        <v>62</v>
      </c>
      <c r="O669" s="1" t="s">
        <v>31</v>
      </c>
      <c r="P669" s="2">
        <v>45726</v>
      </c>
      <c r="Q669" s="1" t="s">
        <v>1497</v>
      </c>
      <c r="R669" s="1" t="s">
        <v>1498</v>
      </c>
      <c r="S669" s="1" t="s">
        <v>34</v>
      </c>
      <c r="T669" s="1" t="s">
        <v>35</v>
      </c>
      <c r="U669" s="1" t="s">
        <v>55</v>
      </c>
      <c r="V669" s="1" t="s">
        <v>37</v>
      </c>
      <c r="W669">
        <v>2</v>
      </c>
      <c r="X669" s="1">
        <f t="shared" si="20"/>
        <v>8313.6899999999459</v>
      </c>
      <c r="Y669" s="1">
        <f t="shared" si="21"/>
        <v>5710.7699999999695</v>
      </c>
    </row>
    <row r="670" spans="1:25" x14ac:dyDescent="0.3">
      <c r="A670" s="1" t="s">
        <v>1637</v>
      </c>
      <c r="B670">
        <v>1</v>
      </c>
      <c r="C670">
        <v>34.99</v>
      </c>
      <c r="D670">
        <v>34.99</v>
      </c>
      <c r="E670" s="1" t="s">
        <v>1638</v>
      </c>
      <c r="F670" s="1" t="s">
        <v>188</v>
      </c>
      <c r="G670">
        <v>0</v>
      </c>
      <c r="H670" s="1" t="s">
        <v>26</v>
      </c>
      <c r="I670" s="1" t="s">
        <v>85</v>
      </c>
      <c r="J670">
        <v>12.5</v>
      </c>
      <c r="K670">
        <v>34.99</v>
      </c>
      <c r="L670" s="1" t="s">
        <v>60</v>
      </c>
      <c r="M670" s="1" t="s">
        <v>29</v>
      </c>
      <c r="N670" s="1" t="s">
        <v>30</v>
      </c>
      <c r="O670" s="1" t="s">
        <v>31</v>
      </c>
      <c r="P670" s="2">
        <v>45778</v>
      </c>
      <c r="Q670" s="1" t="s">
        <v>1639</v>
      </c>
      <c r="R670" s="1" t="s">
        <v>1640</v>
      </c>
      <c r="S670" s="1" t="s">
        <v>105</v>
      </c>
      <c r="T670" s="1" t="s">
        <v>35</v>
      </c>
      <c r="U670" s="1" t="s">
        <v>36</v>
      </c>
      <c r="V670" s="1" t="s">
        <v>89</v>
      </c>
      <c r="W670">
        <v>2.4</v>
      </c>
      <c r="X670" s="1">
        <f t="shared" si="20"/>
        <v>8313.6899999999459</v>
      </c>
      <c r="Y670" s="1">
        <f t="shared" si="21"/>
        <v>6355.4899999999634</v>
      </c>
    </row>
    <row r="671" spans="1:25" x14ac:dyDescent="0.3">
      <c r="A671" s="1" t="s">
        <v>1641</v>
      </c>
      <c r="B671">
        <v>3</v>
      </c>
      <c r="C671">
        <v>18.989999999999998</v>
      </c>
      <c r="D671">
        <v>44.9</v>
      </c>
      <c r="E671" s="1" t="s">
        <v>1153</v>
      </c>
      <c r="F671" s="1" t="s">
        <v>188</v>
      </c>
      <c r="G671">
        <v>0</v>
      </c>
      <c r="H671" s="1" t="s">
        <v>41</v>
      </c>
      <c r="I671" s="1" t="s">
        <v>97</v>
      </c>
      <c r="J671">
        <v>6</v>
      </c>
      <c r="K671">
        <v>18.989999999999998</v>
      </c>
      <c r="L671" s="1" t="s">
        <v>60</v>
      </c>
      <c r="M671" s="1" t="s">
        <v>43</v>
      </c>
      <c r="N671" s="1" t="s">
        <v>44</v>
      </c>
      <c r="O671" s="1" t="s">
        <v>31</v>
      </c>
      <c r="P671" s="2">
        <v>45823</v>
      </c>
      <c r="Q671" s="1" t="s">
        <v>1642</v>
      </c>
      <c r="R671" s="1" t="s">
        <v>1643</v>
      </c>
      <c r="S671" s="1" t="s">
        <v>88</v>
      </c>
      <c r="T671" s="1" t="s">
        <v>35</v>
      </c>
      <c r="U671" s="1" t="s">
        <v>36</v>
      </c>
      <c r="V671" s="1" t="s">
        <v>100</v>
      </c>
      <c r="W671">
        <v>3.2</v>
      </c>
      <c r="X671" s="1">
        <f t="shared" si="20"/>
        <v>8551.6499999999451</v>
      </c>
      <c r="Y671" s="1">
        <f t="shared" si="21"/>
        <v>6355.4899999999634</v>
      </c>
    </row>
    <row r="672" spans="1:25" x14ac:dyDescent="0.3">
      <c r="A672" s="1" t="s">
        <v>1644</v>
      </c>
      <c r="B672">
        <v>1</v>
      </c>
      <c r="C672">
        <v>30.99</v>
      </c>
      <c r="D672">
        <v>30.99</v>
      </c>
      <c r="E672" s="1" t="s">
        <v>756</v>
      </c>
      <c r="F672" s="1" t="s">
        <v>51</v>
      </c>
      <c r="G672">
        <v>0</v>
      </c>
      <c r="H672" s="1" t="s">
        <v>26</v>
      </c>
      <c r="I672" s="1" t="s">
        <v>42</v>
      </c>
      <c r="J672">
        <v>10.5</v>
      </c>
      <c r="K672">
        <v>30.99</v>
      </c>
      <c r="L672" s="1" t="s">
        <v>28</v>
      </c>
      <c r="M672" s="1" t="s">
        <v>43</v>
      </c>
      <c r="N672" s="1" t="s">
        <v>44</v>
      </c>
      <c r="O672" s="1" t="s">
        <v>31</v>
      </c>
      <c r="P672" s="2">
        <v>45823</v>
      </c>
      <c r="Q672" s="1" t="s">
        <v>203</v>
      </c>
      <c r="R672" s="1" t="s">
        <v>876</v>
      </c>
      <c r="S672" s="1" t="s">
        <v>54</v>
      </c>
      <c r="T672" s="1" t="s">
        <v>35</v>
      </c>
      <c r="U672" s="1" t="s">
        <v>82</v>
      </c>
      <c r="V672" s="1" t="s">
        <v>37</v>
      </c>
      <c r="W672">
        <v>2</v>
      </c>
      <c r="X672" s="1">
        <f t="shared" si="20"/>
        <v>8313.6899999999459</v>
      </c>
      <c r="Y672" s="1">
        <f t="shared" si="21"/>
        <v>7204.2099999999582</v>
      </c>
    </row>
    <row r="673" spans="1:25" x14ac:dyDescent="0.3">
      <c r="A673" s="1" t="s">
        <v>1645</v>
      </c>
      <c r="B673">
        <v>2</v>
      </c>
      <c r="C673">
        <v>21.99</v>
      </c>
      <c r="D673">
        <v>37.69</v>
      </c>
      <c r="E673" s="1" t="s">
        <v>995</v>
      </c>
      <c r="F673" s="1" t="s">
        <v>51</v>
      </c>
      <c r="G673">
        <v>0</v>
      </c>
      <c r="H673" s="1" t="s">
        <v>58</v>
      </c>
      <c r="I673" s="1" t="s">
        <v>27</v>
      </c>
      <c r="J673">
        <v>7</v>
      </c>
      <c r="K673">
        <v>21.99</v>
      </c>
      <c r="L673" s="1" t="s">
        <v>28</v>
      </c>
      <c r="M673" s="1" t="s">
        <v>29</v>
      </c>
      <c r="N673" s="1" t="s">
        <v>30</v>
      </c>
      <c r="O673" s="1" t="s">
        <v>31</v>
      </c>
      <c r="P673" s="2">
        <v>45778</v>
      </c>
      <c r="Q673" s="1" t="s">
        <v>234</v>
      </c>
      <c r="R673" s="1" t="s">
        <v>1646</v>
      </c>
      <c r="S673" s="1" t="s">
        <v>54</v>
      </c>
      <c r="T673" s="1" t="s">
        <v>35</v>
      </c>
      <c r="U673" s="1" t="s">
        <v>36</v>
      </c>
      <c r="V673" s="1" t="s">
        <v>37</v>
      </c>
      <c r="W673">
        <v>2</v>
      </c>
      <c r="X673" s="1">
        <f t="shared" si="20"/>
        <v>8640.6199999999462</v>
      </c>
      <c r="Y673" s="1">
        <f t="shared" si="21"/>
        <v>6355.4899999999634</v>
      </c>
    </row>
    <row r="674" spans="1:25" x14ac:dyDescent="0.3">
      <c r="A674" s="1" t="s">
        <v>1647</v>
      </c>
      <c r="B674">
        <v>1</v>
      </c>
      <c r="C674">
        <v>16.989999999999998</v>
      </c>
      <c r="D674">
        <v>16.989999999999998</v>
      </c>
      <c r="E674" s="1" t="s">
        <v>1648</v>
      </c>
      <c r="F674" s="1" t="s">
        <v>70</v>
      </c>
      <c r="G674">
        <v>0</v>
      </c>
      <c r="H674" s="1" t="s">
        <v>96</v>
      </c>
      <c r="I674" s="1" t="s">
        <v>59</v>
      </c>
      <c r="J674">
        <v>5</v>
      </c>
      <c r="K674">
        <v>16.989999999999998</v>
      </c>
      <c r="L674" s="1" t="s">
        <v>60</v>
      </c>
      <c r="M674" s="1" t="s">
        <v>61</v>
      </c>
      <c r="N674" s="1" t="s">
        <v>62</v>
      </c>
      <c r="O674" s="1" t="s">
        <v>31</v>
      </c>
      <c r="P674" s="2">
        <v>45726</v>
      </c>
      <c r="Q674" s="1" t="s">
        <v>1336</v>
      </c>
      <c r="R674" s="1" t="s">
        <v>1337</v>
      </c>
      <c r="S674" s="1" t="s">
        <v>105</v>
      </c>
      <c r="T674" s="1" t="s">
        <v>35</v>
      </c>
      <c r="U674" s="1" t="s">
        <v>55</v>
      </c>
      <c r="V674" s="1" t="s">
        <v>67</v>
      </c>
      <c r="W674">
        <v>3</v>
      </c>
      <c r="X674" s="1">
        <f t="shared" si="20"/>
        <v>7844.9099999999507</v>
      </c>
      <c r="Y674" s="1">
        <f t="shared" si="21"/>
        <v>5710.7699999999695</v>
      </c>
    </row>
    <row r="675" spans="1:25" x14ac:dyDescent="0.3">
      <c r="A675" s="1" t="s">
        <v>1649</v>
      </c>
      <c r="B675">
        <v>3</v>
      </c>
      <c r="C675">
        <v>21.99</v>
      </c>
      <c r="D675">
        <v>51.92</v>
      </c>
      <c r="E675" s="1" t="s">
        <v>923</v>
      </c>
      <c r="F675" s="1" t="s">
        <v>188</v>
      </c>
      <c r="G675">
        <v>0</v>
      </c>
      <c r="H675" s="1" t="s">
        <v>41</v>
      </c>
      <c r="I675" s="1" t="s">
        <v>27</v>
      </c>
      <c r="J675">
        <v>7</v>
      </c>
      <c r="K675">
        <v>21.99</v>
      </c>
      <c r="L675" s="1" t="s">
        <v>28</v>
      </c>
      <c r="M675" s="1" t="s">
        <v>29</v>
      </c>
      <c r="N675" s="1" t="s">
        <v>30</v>
      </c>
      <c r="O675" s="1" t="s">
        <v>31</v>
      </c>
      <c r="P675" s="2">
        <v>45778</v>
      </c>
      <c r="Q675" s="1" t="s">
        <v>496</v>
      </c>
      <c r="R675" s="1" t="s">
        <v>1650</v>
      </c>
      <c r="S675" s="1" t="s">
        <v>47</v>
      </c>
      <c r="T675" s="1" t="s">
        <v>35</v>
      </c>
      <c r="U675" s="1" t="s">
        <v>48</v>
      </c>
      <c r="V675" s="1" t="s">
        <v>37</v>
      </c>
      <c r="W675">
        <v>2</v>
      </c>
      <c r="X675" s="1">
        <f t="shared" si="20"/>
        <v>8551.6499999999451</v>
      </c>
      <c r="Y675" s="1">
        <f t="shared" si="21"/>
        <v>7682.919999999951</v>
      </c>
    </row>
    <row r="676" spans="1:25" x14ac:dyDescent="0.3">
      <c r="A676" s="1" t="s">
        <v>1651</v>
      </c>
      <c r="B676">
        <v>3</v>
      </c>
      <c r="C676">
        <v>18.989999999999998</v>
      </c>
      <c r="D676">
        <v>45.8</v>
      </c>
      <c r="E676" s="1" t="s">
        <v>1652</v>
      </c>
      <c r="F676" s="1" t="s">
        <v>51</v>
      </c>
      <c r="G676">
        <v>0</v>
      </c>
      <c r="H676" s="1" t="s">
        <v>96</v>
      </c>
      <c r="I676" s="1" t="s">
        <v>97</v>
      </c>
      <c r="J676">
        <v>6</v>
      </c>
      <c r="K676">
        <v>18.989999999999998</v>
      </c>
      <c r="L676" s="1" t="s">
        <v>60</v>
      </c>
      <c r="M676" s="1" t="s">
        <v>43</v>
      </c>
      <c r="N676" s="1" t="s">
        <v>44</v>
      </c>
      <c r="O676" s="1" t="s">
        <v>31</v>
      </c>
      <c r="P676" s="2">
        <v>45823</v>
      </c>
      <c r="Q676" s="1" t="s">
        <v>1237</v>
      </c>
      <c r="R676" s="1" t="s">
        <v>1553</v>
      </c>
      <c r="S676" s="1" t="s">
        <v>88</v>
      </c>
      <c r="T676" s="1" t="s">
        <v>35</v>
      </c>
      <c r="U676" s="1" t="s">
        <v>82</v>
      </c>
      <c r="V676" s="1" t="s">
        <v>100</v>
      </c>
      <c r="W676">
        <v>3.2</v>
      </c>
      <c r="X676" s="1">
        <f t="shared" si="20"/>
        <v>7844.9099999999507</v>
      </c>
      <c r="Y676" s="1">
        <f t="shared" si="21"/>
        <v>7204.2099999999582</v>
      </c>
    </row>
    <row r="677" spans="1:25" x14ac:dyDescent="0.3">
      <c r="A677" s="1" t="s">
        <v>1653</v>
      </c>
      <c r="B677">
        <v>1</v>
      </c>
      <c r="C677">
        <v>27.99</v>
      </c>
      <c r="D677">
        <v>27.99</v>
      </c>
      <c r="E677" s="1" t="s">
        <v>1214</v>
      </c>
      <c r="F677" s="1" t="s">
        <v>40</v>
      </c>
      <c r="G677">
        <v>3</v>
      </c>
      <c r="H677" s="1" t="s">
        <v>41</v>
      </c>
      <c r="I677" s="1" t="s">
        <v>75</v>
      </c>
      <c r="J677">
        <v>9</v>
      </c>
      <c r="K677">
        <v>27.99</v>
      </c>
      <c r="L677" s="1" t="s">
        <v>28</v>
      </c>
      <c r="M677" s="1" t="s">
        <v>61</v>
      </c>
      <c r="N677" s="1" t="s">
        <v>62</v>
      </c>
      <c r="O677" s="1" t="s">
        <v>31</v>
      </c>
      <c r="P677" s="2">
        <v>45726</v>
      </c>
      <c r="Q677" s="1" t="s">
        <v>1654</v>
      </c>
      <c r="R677" s="1" t="s">
        <v>1655</v>
      </c>
      <c r="S677" s="1" t="s">
        <v>88</v>
      </c>
      <c r="T677" s="1" t="s">
        <v>35</v>
      </c>
      <c r="U677" s="1" t="s">
        <v>82</v>
      </c>
      <c r="V677" s="1" t="s">
        <v>37</v>
      </c>
      <c r="W677">
        <v>2</v>
      </c>
      <c r="X677" s="1">
        <f t="shared" si="20"/>
        <v>8551.6499999999451</v>
      </c>
      <c r="Y677" s="1">
        <f t="shared" si="21"/>
        <v>7204.2099999999582</v>
      </c>
    </row>
    <row r="678" spans="1:25" x14ac:dyDescent="0.3">
      <c r="A678" s="1" t="s">
        <v>1656</v>
      </c>
      <c r="B678">
        <v>1</v>
      </c>
      <c r="C678">
        <v>18.989999999999998</v>
      </c>
      <c r="D678">
        <v>18.989999999999998</v>
      </c>
      <c r="E678" s="1" t="s">
        <v>252</v>
      </c>
      <c r="F678" s="1" t="s">
        <v>40</v>
      </c>
      <c r="G678">
        <v>13</v>
      </c>
      <c r="H678" s="1" t="s">
        <v>41</v>
      </c>
      <c r="I678" s="1" t="s">
        <v>97</v>
      </c>
      <c r="J678">
        <v>6</v>
      </c>
      <c r="K678">
        <v>18.989999999999998</v>
      </c>
      <c r="L678" s="1" t="s">
        <v>60</v>
      </c>
      <c r="M678" s="1" t="s">
        <v>43</v>
      </c>
      <c r="N678" s="1" t="s">
        <v>44</v>
      </c>
      <c r="O678" s="1" t="s">
        <v>31</v>
      </c>
      <c r="P678" s="2">
        <v>45823</v>
      </c>
      <c r="Q678" s="1" t="s">
        <v>1657</v>
      </c>
      <c r="R678" s="1" t="s">
        <v>1658</v>
      </c>
      <c r="S678" s="1" t="s">
        <v>65</v>
      </c>
      <c r="T678" s="1" t="s">
        <v>35</v>
      </c>
      <c r="U678" s="1" t="s">
        <v>36</v>
      </c>
      <c r="V678" s="1" t="s">
        <v>100</v>
      </c>
      <c r="W678">
        <v>3.2</v>
      </c>
      <c r="X678" s="1">
        <f t="shared" si="20"/>
        <v>8551.6499999999451</v>
      </c>
      <c r="Y678" s="1">
        <f t="shared" si="21"/>
        <v>6355.4899999999634</v>
      </c>
    </row>
    <row r="679" spans="1:25" x14ac:dyDescent="0.3">
      <c r="A679" s="1" t="s">
        <v>1659</v>
      </c>
      <c r="B679">
        <v>1</v>
      </c>
      <c r="C679">
        <v>21.99</v>
      </c>
      <c r="D679">
        <v>21.99</v>
      </c>
      <c r="E679" s="1" t="s">
        <v>1100</v>
      </c>
      <c r="F679" s="1" t="s">
        <v>51</v>
      </c>
      <c r="G679">
        <v>0</v>
      </c>
      <c r="H679" s="1" t="s">
        <v>96</v>
      </c>
      <c r="I679" s="1" t="s">
        <v>27</v>
      </c>
      <c r="J679">
        <v>7</v>
      </c>
      <c r="K679">
        <v>21.99</v>
      </c>
      <c r="L679" s="1" t="s">
        <v>28</v>
      </c>
      <c r="M679" s="1" t="s">
        <v>29</v>
      </c>
      <c r="N679" s="1" t="s">
        <v>30</v>
      </c>
      <c r="O679" s="1" t="s">
        <v>31</v>
      </c>
      <c r="P679" s="2">
        <v>45778</v>
      </c>
      <c r="Q679" s="1" t="s">
        <v>1282</v>
      </c>
      <c r="R679" s="1" t="s">
        <v>1283</v>
      </c>
      <c r="S679" s="1" t="s">
        <v>34</v>
      </c>
      <c r="T679" s="1" t="s">
        <v>35</v>
      </c>
      <c r="U679" s="1" t="s">
        <v>66</v>
      </c>
      <c r="V679" s="1" t="s">
        <v>37</v>
      </c>
      <c r="W679">
        <v>2</v>
      </c>
      <c r="X679" s="1">
        <f t="shared" si="20"/>
        <v>7844.9099999999507</v>
      </c>
      <c r="Y679" s="1">
        <f t="shared" si="21"/>
        <v>6397.4799999999632</v>
      </c>
    </row>
    <row r="680" spans="1:25" x14ac:dyDescent="0.3">
      <c r="A680" s="1" t="s">
        <v>1660</v>
      </c>
      <c r="B680">
        <v>1</v>
      </c>
      <c r="C680">
        <v>34.99</v>
      </c>
      <c r="D680">
        <v>34.99</v>
      </c>
      <c r="E680" s="1" t="s">
        <v>74</v>
      </c>
      <c r="F680" s="1" t="s">
        <v>40</v>
      </c>
      <c r="G680">
        <v>8</v>
      </c>
      <c r="H680" s="1" t="s">
        <v>26</v>
      </c>
      <c r="I680" s="1" t="s">
        <v>85</v>
      </c>
      <c r="J680">
        <v>12.5</v>
      </c>
      <c r="K680">
        <v>34.99</v>
      </c>
      <c r="L680" s="1" t="s">
        <v>60</v>
      </c>
      <c r="M680" s="1" t="s">
        <v>29</v>
      </c>
      <c r="N680" s="1" t="s">
        <v>30</v>
      </c>
      <c r="O680" s="1" t="s">
        <v>31</v>
      </c>
      <c r="P680" s="2">
        <v>45778</v>
      </c>
      <c r="Q680" s="1" t="s">
        <v>358</v>
      </c>
      <c r="R680" s="1" t="s">
        <v>1391</v>
      </c>
      <c r="S680" s="1" t="s">
        <v>34</v>
      </c>
      <c r="T680" s="1" t="s">
        <v>35</v>
      </c>
      <c r="U680" s="1" t="s">
        <v>82</v>
      </c>
      <c r="V680" s="1" t="s">
        <v>89</v>
      </c>
      <c r="W680">
        <v>2.4</v>
      </c>
      <c r="X680" s="1">
        <f t="shared" si="20"/>
        <v>8313.6899999999459</v>
      </c>
      <c r="Y680" s="1">
        <f t="shared" si="21"/>
        <v>7204.2099999999582</v>
      </c>
    </row>
    <row r="681" spans="1:25" x14ac:dyDescent="0.3">
      <c r="A681" s="1" t="s">
        <v>1661</v>
      </c>
      <c r="B681">
        <v>1</v>
      </c>
      <c r="C681">
        <v>27.99</v>
      </c>
      <c r="D681">
        <v>27.99</v>
      </c>
      <c r="E681" s="1" t="s">
        <v>1420</v>
      </c>
      <c r="F681" s="1" t="s">
        <v>70</v>
      </c>
      <c r="G681">
        <v>0</v>
      </c>
      <c r="H681" s="1" t="s">
        <v>96</v>
      </c>
      <c r="I681" s="1" t="s">
        <v>75</v>
      </c>
      <c r="J681">
        <v>9</v>
      </c>
      <c r="K681">
        <v>27.99</v>
      </c>
      <c r="L681" s="1" t="s">
        <v>28</v>
      </c>
      <c r="M681" s="1" t="s">
        <v>61</v>
      </c>
      <c r="N681" s="1" t="s">
        <v>62</v>
      </c>
      <c r="O681" s="1" t="s">
        <v>31</v>
      </c>
      <c r="P681" s="2">
        <v>45726</v>
      </c>
      <c r="Q681" s="1" t="s">
        <v>425</v>
      </c>
      <c r="R681" s="1" t="s">
        <v>1435</v>
      </c>
      <c r="S681" s="1" t="s">
        <v>54</v>
      </c>
      <c r="T681" s="1" t="s">
        <v>35</v>
      </c>
      <c r="U681" s="1" t="s">
        <v>48</v>
      </c>
      <c r="V681" s="1" t="s">
        <v>37</v>
      </c>
      <c r="W681">
        <v>2</v>
      </c>
      <c r="X681" s="1">
        <f t="shared" si="20"/>
        <v>7844.9099999999507</v>
      </c>
      <c r="Y681" s="1">
        <f t="shared" si="21"/>
        <v>7682.919999999951</v>
      </c>
    </row>
    <row r="682" spans="1:25" x14ac:dyDescent="0.3">
      <c r="A682" s="1" t="s">
        <v>1662</v>
      </c>
      <c r="B682">
        <v>2</v>
      </c>
      <c r="C682">
        <v>27.99</v>
      </c>
      <c r="D682">
        <v>47.87</v>
      </c>
      <c r="E682" s="1" t="s">
        <v>457</v>
      </c>
      <c r="F682" s="1" t="s">
        <v>40</v>
      </c>
      <c r="G682">
        <v>2</v>
      </c>
      <c r="H682" s="1" t="s">
        <v>58</v>
      </c>
      <c r="I682" s="1" t="s">
        <v>75</v>
      </c>
      <c r="J682">
        <v>9</v>
      </c>
      <c r="K682">
        <v>27.99</v>
      </c>
      <c r="L682" s="1" t="s">
        <v>28</v>
      </c>
      <c r="M682" s="1" t="s">
        <v>61</v>
      </c>
      <c r="N682" s="1" t="s">
        <v>62</v>
      </c>
      <c r="O682" s="1" t="s">
        <v>31</v>
      </c>
      <c r="P682" s="2">
        <v>45726</v>
      </c>
      <c r="Q682" s="1" t="s">
        <v>137</v>
      </c>
      <c r="R682" s="1" t="s">
        <v>1311</v>
      </c>
      <c r="S682" s="1" t="s">
        <v>47</v>
      </c>
      <c r="T682" s="1" t="s">
        <v>35</v>
      </c>
      <c r="U682" s="1" t="s">
        <v>82</v>
      </c>
      <c r="V682" s="1" t="s">
        <v>37</v>
      </c>
      <c r="W682">
        <v>2</v>
      </c>
      <c r="X682" s="1">
        <f t="shared" si="20"/>
        <v>8640.6199999999462</v>
      </c>
      <c r="Y682" s="1">
        <f t="shared" si="21"/>
        <v>7204.2099999999582</v>
      </c>
    </row>
    <row r="683" spans="1:25" x14ac:dyDescent="0.3">
      <c r="A683" s="1" t="s">
        <v>1663</v>
      </c>
      <c r="B683">
        <v>1</v>
      </c>
      <c r="C683">
        <v>30.99</v>
      </c>
      <c r="D683">
        <v>30.99</v>
      </c>
      <c r="E683" s="1" t="s">
        <v>1664</v>
      </c>
      <c r="F683" s="1" t="s">
        <v>25</v>
      </c>
      <c r="G683">
        <v>3</v>
      </c>
      <c r="H683" s="1" t="s">
        <v>96</v>
      </c>
      <c r="I683" s="1" t="s">
        <v>42</v>
      </c>
      <c r="J683">
        <v>10.5</v>
      </c>
      <c r="K683">
        <v>30.99</v>
      </c>
      <c r="L683" s="1" t="s">
        <v>28</v>
      </c>
      <c r="M683" s="1" t="s">
        <v>43</v>
      </c>
      <c r="N683" s="1" t="s">
        <v>44</v>
      </c>
      <c r="O683" s="1" t="s">
        <v>31</v>
      </c>
      <c r="P683" s="2">
        <v>45823</v>
      </c>
      <c r="Q683" s="1" t="s">
        <v>1140</v>
      </c>
      <c r="R683" s="1" t="s">
        <v>1141</v>
      </c>
      <c r="S683" s="1" t="s">
        <v>34</v>
      </c>
      <c r="T683" s="1" t="s">
        <v>35</v>
      </c>
      <c r="U683" s="1" t="s">
        <v>36</v>
      </c>
      <c r="V683" s="1" t="s">
        <v>37</v>
      </c>
      <c r="W683">
        <v>2</v>
      </c>
      <c r="X683" s="1">
        <f t="shared" si="20"/>
        <v>7844.9099999999507</v>
      </c>
      <c r="Y683" s="1">
        <f t="shared" si="21"/>
        <v>6355.4899999999634</v>
      </c>
    </row>
    <row r="684" spans="1:25" x14ac:dyDescent="0.3">
      <c r="A684" s="1" t="s">
        <v>1665</v>
      </c>
      <c r="B684">
        <v>1</v>
      </c>
      <c r="C684">
        <v>30.99</v>
      </c>
      <c r="D684">
        <v>30.99</v>
      </c>
      <c r="E684" s="1" t="s">
        <v>1381</v>
      </c>
      <c r="F684" s="1" t="s">
        <v>40</v>
      </c>
      <c r="G684">
        <v>3</v>
      </c>
      <c r="H684" s="1" t="s">
        <v>58</v>
      </c>
      <c r="I684" s="1" t="s">
        <v>42</v>
      </c>
      <c r="J684">
        <v>10.5</v>
      </c>
      <c r="K684">
        <v>30.99</v>
      </c>
      <c r="L684" s="1" t="s">
        <v>28</v>
      </c>
      <c r="M684" s="1" t="s">
        <v>43</v>
      </c>
      <c r="N684" s="1" t="s">
        <v>44</v>
      </c>
      <c r="O684" s="1" t="s">
        <v>31</v>
      </c>
      <c r="P684" s="2">
        <v>45823</v>
      </c>
      <c r="Q684" s="1" t="s">
        <v>1260</v>
      </c>
      <c r="R684" s="1" t="s">
        <v>1261</v>
      </c>
      <c r="S684" s="1" t="s">
        <v>105</v>
      </c>
      <c r="T684" s="1" t="s">
        <v>35</v>
      </c>
      <c r="U684" s="1" t="s">
        <v>82</v>
      </c>
      <c r="V684" s="1" t="s">
        <v>37</v>
      </c>
      <c r="W684">
        <v>2</v>
      </c>
      <c r="X684" s="1">
        <f t="shared" si="20"/>
        <v>8640.6199999999462</v>
      </c>
      <c r="Y684" s="1">
        <f t="shared" si="21"/>
        <v>7204.2099999999582</v>
      </c>
    </row>
    <row r="685" spans="1:25" x14ac:dyDescent="0.3">
      <c r="A685" s="1" t="s">
        <v>1666</v>
      </c>
      <c r="B685">
        <v>1</v>
      </c>
      <c r="C685">
        <v>16.989999999999998</v>
      </c>
      <c r="D685">
        <v>16.989999999999998</v>
      </c>
      <c r="E685" s="1" t="s">
        <v>1295</v>
      </c>
      <c r="F685" s="1" t="s">
        <v>188</v>
      </c>
      <c r="G685">
        <v>0</v>
      </c>
      <c r="H685" s="1" t="s">
        <v>58</v>
      </c>
      <c r="I685" s="1" t="s">
        <v>59</v>
      </c>
      <c r="J685">
        <v>5</v>
      </c>
      <c r="K685">
        <v>16.989999999999998</v>
      </c>
      <c r="L685" s="1" t="s">
        <v>60</v>
      </c>
      <c r="M685" s="1" t="s">
        <v>61</v>
      </c>
      <c r="N685" s="1" t="s">
        <v>62</v>
      </c>
      <c r="O685" s="1" t="s">
        <v>31</v>
      </c>
      <c r="P685" s="2">
        <v>45726</v>
      </c>
      <c r="Q685" s="1" t="s">
        <v>133</v>
      </c>
      <c r="R685" s="1" t="s">
        <v>776</v>
      </c>
      <c r="S685" s="1" t="s">
        <v>88</v>
      </c>
      <c r="T685" s="1" t="s">
        <v>35</v>
      </c>
      <c r="U685" s="1" t="s">
        <v>48</v>
      </c>
      <c r="V685" s="1" t="s">
        <v>67</v>
      </c>
      <c r="W685">
        <v>3</v>
      </c>
      <c r="X685" s="1">
        <f t="shared" si="20"/>
        <v>8640.6199999999462</v>
      </c>
      <c r="Y685" s="1">
        <f t="shared" si="21"/>
        <v>7682.919999999951</v>
      </c>
    </row>
    <row r="686" spans="1:25" x14ac:dyDescent="0.3">
      <c r="A686" s="1" t="s">
        <v>1667</v>
      </c>
      <c r="B686">
        <v>1</v>
      </c>
      <c r="C686">
        <v>16.989999999999998</v>
      </c>
      <c r="D686">
        <v>16.989999999999998</v>
      </c>
      <c r="E686" s="1" t="s">
        <v>1271</v>
      </c>
      <c r="F686" s="1" t="s">
        <v>40</v>
      </c>
      <c r="G686">
        <v>18</v>
      </c>
      <c r="H686" s="1" t="s">
        <v>58</v>
      </c>
      <c r="I686" s="1" t="s">
        <v>59</v>
      </c>
      <c r="J686">
        <v>5</v>
      </c>
      <c r="K686">
        <v>16.989999999999998</v>
      </c>
      <c r="L686" s="1" t="s">
        <v>60</v>
      </c>
      <c r="M686" s="1" t="s">
        <v>61</v>
      </c>
      <c r="N686" s="1" t="s">
        <v>62</v>
      </c>
      <c r="O686" s="1" t="s">
        <v>31</v>
      </c>
      <c r="P686" s="2">
        <v>45726</v>
      </c>
      <c r="Q686" s="1" t="s">
        <v>1191</v>
      </c>
      <c r="R686" s="1" t="s">
        <v>1668</v>
      </c>
      <c r="S686" s="1" t="s">
        <v>65</v>
      </c>
      <c r="T686" s="1" t="s">
        <v>35</v>
      </c>
      <c r="U686" s="1" t="s">
        <v>55</v>
      </c>
      <c r="V686" s="1" t="s">
        <v>67</v>
      </c>
      <c r="W686">
        <v>3</v>
      </c>
      <c r="X686" s="1">
        <f t="shared" si="20"/>
        <v>8640.6199999999462</v>
      </c>
      <c r="Y686" s="1">
        <f t="shared" si="21"/>
        <v>5710.7699999999695</v>
      </c>
    </row>
    <row r="687" spans="1:25" x14ac:dyDescent="0.3">
      <c r="A687" s="1" t="s">
        <v>1669</v>
      </c>
      <c r="B687">
        <v>1</v>
      </c>
      <c r="C687">
        <v>34.99</v>
      </c>
      <c r="D687">
        <v>34.99</v>
      </c>
      <c r="E687" s="1" t="s">
        <v>1471</v>
      </c>
      <c r="F687" s="1" t="s">
        <v>40</v>
      </c>
      <c r="G687">
        <v>8</v>
      </c>
      <c r="H687" s="1" t="s">
        <v>96</v>
      </c>
      <c r="I687" s="1" t="s">
        <v>85</v>
      </c>
      <c r="J687">
        <v>12.5</v>
      </c>
      <c r="K687">
        <v>34.99</v>
      </c>
      <c r="L687" s="1" t="s">
        <v>60</v>
      </c>
      <c r="M687" s="1" t="s">
        <v>29</v>
      </c>
      <c r="N687" s="1" t="s">
        <v>30</v>
      </c>
      <c r="O687" s="1" t="s">
        <v>31</v>
      </c>
      <c r="P687" s="2">
        <v>45778</v>
      </c>
      <c r="Q687" s="1" t="s">
        <v>1603</v>
      </c>
      <c r="R687" s="1" t="s">
        <v>1604</v>
      </c>
      <c r="S687" s="1" t="s">
        <v>105</v>
      </c>
      <c r="T687" s="1" t="s">
        <v>35</v>
      </c>
      <c r="U687" s="1" t="s">
        <v>55</v>
      </c>
      <c r="V687" s="1" t="s">
        <v>89</v>
      </c>
      <c r="W687">
        <v>2.4</v>
      </c>
      <c r="X687" s="1">
        <f t="shared" si="20"/>
        <v>7844.9099999999507</v>
      </c>
      <c r="Y687" s="1">
        <f t="shared" si="21"/>
        <v>5710.7699999999695</v>
      </c>
    </row>
    <row r="688" spans="1:25" x14ac:dyDescent="0.3">
      <c r="A688" s="1" t="s">
        <v>1670</v>
      </c>
      <c r="B688">
        <v>1</v>
      </c>
      <c r="C688">
        <v>16.989999999999998</v>
      </c>
      <c r="D688">
        <v>16.989999999999998</v>
      </c>
      <c r="E688" s="1" t="s">
        <v>57</v>
      </c>
      <c r="F688" s="1" t="s">
        <v>40</v>
      </c>
      <c r="G688">
        <v>20</v>
      </c>
      <c r="H688" s="1" t="s">
        <v>96</v>
      </c>
      <c r="I688" s="1" t="s">
        <v>59</v>
      </c>
      <c r="J688">
        <v>5</v>
      </c>
      <c r="K688">
        <v>16.989999999999998</v>
      </c>
      <c r="L688" s="1" t="s">
        <v>60</v>
      </c>
      <c r="M688" s="1" t="s">
        <v>61</v>
      </c>
      <c r="N688" s="1" t="s">
        <v>62</v>
      </c>
      <c r="O688" s="1" t="s">
        <v>31</v>
      </c>
      <c r="P688" s="2">
        <v>45726</v>
      </c>
      <c r="Q688" s="1" t="s">
        <v>1234</v>
      </c>
      <c r="R688" s="1" t="s">
        <v>1671</v>
      </c>
      <c r="S688" s="1" t="s">
        <v>47</v>
      </c>
      <c r="T688" s="1" t="s">
        <v>35</v>
      </c>
      <c r="U688" s="1" t="s">
        <v>82</v>
      </c>
      <c r="V688" s="1" t="s">
        <v>67</v>
      </c>
      <c r="W688">
        <v>3</v>
      </c>
      <c r="X688" s="1">
        <f t="shared" si="20"/>
        <v>7844.9099999999507</v>
      </c>
      <c r="Y688" s="1">
        <f t="shared" si="21"/>
        <v>7204.2099999999582</v>
      </c>
    </row>
    <row r="689" spans="1:25" x14ac:dyDescent="0.3">
      <c r="A689" s="1" t="s">
        <v>1672</v>
      </c>
      <c r="B689">
        <v>1</v>
      </c>
      <c r="C689">
        <v>21.99</v>
      </c>
      <c r="D689">
        <v>21.99</v>
      </c>
      <c r="E689" s="1" t="s">
        <v>1214</v>
      </c>
      <c r="F689" s="1" t="s">
        <v>40</v>
      </c>
      <c r="G689">
        <v>3</v>
      </c>
      <c r="H689" s="1" t="s">
        <v>58</v>
      </c>
      <c r="I689" s="1" t="s">
        <v>27</v>
      </c>
      <c r="J689">
        <v>7</v>
      </c>
      <c r="K689">
        <v>21.99</v>
      </c>
      <c r="L689" s="1" t="s">
        <v>28</v>
      </c>
      <c r="M689" s="1" t="s">
        <v>29</v>
      </c>
      <c r="N689" s="1" t="s">
        <v>30</v>
      </c>
      <c r="O689" s="1" t="s">
        <v>31</v>
      </c>
      <c r="P689" s="2">
        <v>45778</v>
      </c>
      <c r="Q689" s="1" t="s">
        <v>266</v>
      </c>
      <c r="R689" s="1" t="s">
        <v>764</v>
      </c>
      <c r="S689" s="1" t="s">
        <v>105</v>
      </c>
      <c r="T689" s="1" t="s">
        <v>35</v>
      </c>
      <c r="U689" s="1" t="s">
        <v>36</v>
      </c>
      <c r="V689" s="1" t="s">
        <v>37</v>
      </c>
      <c r="W689">
        <v>2</v>
      </c>
      <c r="X689" s="1">
        <f t="shared" si="20"/>
        <v>8640.6199999999462</v>
      </c>
      <c r="Y689" s="1">
        <f t="shared" si="21"/>
        <v>6355.4899999999634</v>
      </c>
    </row>
    <row r="690" spans="1:25" x14ac:dyDescent="0.3">
      <c r="A690" s="1" t="s">
        <v>1673</v>
      </c>
      <c r="B690">
        <v>1</v>
      </c>
      <c r="C690">
        <v>21.99</v>
      </c>
      <c r="D690">
        <v>21.99</v>
      </c>
      <c r="E690" s="1" t="s">
        <v>297</v>
      </c>
      <c r="F690" s="1" t="s">
        <v>40</v>
      </c>
      <c r="G690">
        <v>2</v>
      </c>
      <c r="H690" s="1" t="s">
        <v>96</v>
      </c>
      <c r="I690" s="1" t="s">
        <v>27</v>
      </c>
      <c r="J690">
        <v>7</v>
      </c>
      <c r="K690">
        <v>21.99</v>
      </c>
      <c r="L690" s="1" t="s">
        <v>28</v>
      </c>
      <c r="M690" s="1" t="s">
        <v>29</v>
      </c>
      <c r="N690" s="1" t="s">
        <v>30</v>
      </c>
      <c r="O690" s="1" t="s">
        <v>31</v>
      </c>
      <c r="P690" s="2">
        <v>45778</v>
      </c>
      <c r="Q690" s="1" t="s">
        <v>839</v>
      </c>
      <c r="R690" s="1" t="s">
        <v>840</v>
      </c>
      <c r="S690" s="1" t="s">
        <v>65</v>
      </c>
      <c r="T690" s="1" t="s">
        <v>35</v>
      </c>
      <c r="U690" s="1" t="s">
        <v>55</v>
      </c>
      <c r="V690" s="1" t="s">
        <v>37</v>
      </c>
      <c r="W690">
        <v>2</v>
      </c>
      <c r="X690" s="1">
        <f t="shared" si="20"/>
        <v>7844.9099999999507</v>
      </c>
      <c r="Y690" s="1">
        <f t="shared" si="21"/>
        <v>5710.7699999999695</v>
      </c>
    </row>
    <row r="691" spans="1:25" x14ac:dyDescent="0.3">
      <c r="A691" s="1" t="s">
        <v>1674</v>
      </c>
      <c r="B691">
        <v>3</v>
      </c>
      <c r="C691">
        <v>30.99</v>
      </c>
      <c r="D691">
        <v>74.790000000000006</v>
      </c>
      <c r="E691" s="1" t="s">
        <v>457</v>
      </c>
      <c r="F691" s="1" t="s">
        <v>25</v>
      </c>
      <c r="G691">
        <v>2</v>
      </c>
      <c r="H691" s="1" t="s">
        <v>58</v>
      </c>
      <c r="I691" s="1" t="s">
        <v>42</v>
      </c>
      <c r="J691">
        <v>10.5</v>
      </c>
      <c r="K691">
        <v>30.99</v>
      </c>
      <c r="L691" s="1" t="s">
        <v>28</v>
      </c>
      <c r="M691" s="1" t="s">
        <v>43</v>
      </c>
      <c r="N691" s="1" t="s">
        <v>44</v>
      </c>
      <c r="O691" s="1" t="s">
        <v>31</v>
      </c>
      <c r="P691" s="2">
        <v>45823</v>
      </c>
      <c r="Q691" s="1" t="s">
        <v>1483</v>
      </c>
      <c r="R691" s="1" t="s">
        <v>1484</v>
      </c>
      <c r="S691" s="1" t="s">
        <v>54</v>
      </c>
      <c r="T691" s="1" t="s">
        <v>35</v>
      </c>
      <c r="U691" s="1" t="s">
        <v>66</v>
      </c>
      <c r="V691" s="1" t="s">
        <v>37</v>
      </c>
      <c r="W691">
        <v>2</v>
      </c>
      <c r="X691" s="1">
        <f t="shared" si="20"/>
        <v>8640.6199999999462</v>
      </c>
      <c r="Y691" s="1">
        <f t="shared" si="21"/>
        <v>6397.4799999999632</v>
      </c>
    </row>
    <row r="692" spans="1:25" x14ac:dyDescent="0.3">
      <c r="A692" s="1" t="s">
        <v>1675</v>
      </c>
      <c r="B692">
        <v>2</v>
      </c>
      <c r="C692">
        <v>18.989999999999998</v>
      </c>
      <c r="D692">
        <v>33.11</v>
      </c>
      <c r="E692" s="1" t="s">
        <v>759</v>
      </c>
      <c r="F692" s="1" t="s">
        <v>51</v>
      </c>
      <c r="G692">
        <v>0</v>
      </c>
      <c r="H692" s="1" t="s">
        <v>58</v>
      </c>
      <c r="I692" s="1" t="s">
        <v>97</v>
      </c>
      <c r="J692">
        <v>6</v>
      </c>
      <c r="K692">
        <v>18.989999999999998</v>
      </c>
      <c r="L692" s="1" t="s">
        <v>60</v>
      </c>
      <c r="M692" s="1" t="s">
        <v>43</v>
      </c>
      <c r="N692" s="1" t="s">
        <v>44</v>
      </c>
      <c r="O692" s="1" t="s">
        <v>31</v>
      </c>
      <c r="P692" s="2">
        <v>45823</v>
      </c>
      <c r="Q692" s="1" t="s">
        <v>1676</v>
      </c>
      <c r="R692" s="1" t="s">
        <v>1677</v>
      </c>
      <c r="S692" s="1" t="s">
        <v>105</v>
      </c>
      <c r="T692" s="1" t="s">
        <v>35</v>
      </c>
      <c r="U692" s="1" t="s">
        <v>66</v>
      </c>
      <c r="V692" s="1" t="s">
        <v>100</v>
      </c>
      <c r="W692">
        <v>3.2</v>
      </c>
      <c r="X692" s="1">
        <f t="shared" si="20"/>
        <v>8640.6199999999462</v>
      </c>
      <c r="Y692" s="1">
        <f t="shared" si="21"/>
        <v>6397.4799999999632</v>
      </c>
    </row>
    <row r="693" spans="1:25" x14ac:dyDescent="0.3">
      <c r="A693" s="1" t="s">
        <v>1678</v>
      </c>
      <c r="B693">
        <v>3</v>
      </c>
      <c r="C693">
        <v>30.99</v>
      </c>
      <c r="D693">
        <v>73.569999999999993</v>
      </c>
      <c r="E693" s="1" t="s">
        <v>1679</v>
      </c>
      <c r="F693" s="1" t="s">
        <v>51</v>
      </c>
      <c r="G693">
        <v>0</v>
      </c>
      <c r="H693" s="1" t="s">
        <v>96</v>
      </c>
      <c r="I693" s="1" t="s">
        <v>42</v>
      </c>
      <c r="J693">
        <v>10.5</v>
      </c>
      <c r="K693">
        <v>30.99</v>
      </c>
      <c r="L693" s="1" t="s">
        <v>28</v>
      </c>
      <c r="M693" s="1" t="s">
        <v>43</v>
      </c>
      <c r="N693" s="1" t="s">
        <v>44</v>
      </c>
      <c r="O693" s="1" t="s">
        <v>31</v>
      </c>
      <c r="P693" s="2">
        <v>45823</v>
      </c>
      <c r="Q693" s="1" t="s">
        <v>741</v>
      </c>
      <c r="R693" s="1" t="s">
        <v>1680</v>
      </c>
      <c r="S693" s="1" t="s">
        <v>65</v>
      </c>
      <c r="T693" s="1" t="s">
        <v>35</v>
      </c>
      <c r="U693" s="1" t="s">
        <v>66</v>
      </c>
      <c r="V693" s="1" t="s">
        <v>37</v>
      </c>
      <c r="W693">
        <v>2</v>
      </c>
      <c r="X693" s="1">
        <f t="shared" si="20"/>
        <v>7844.9099999999507</v>
      </c>
      <c r="Y693" s="1">
        <f t="shared" si="21"/>
        <v>6397.4799999999632</v>
      </c>
    </row>
    <row r="694" spans="1:25" x14ac:dyDescent="0.3">
      <c r="A694" s="1" t="s">
        <v>1681</v>
      </c>
      <c r="B694">
        <v>3</v>
      </c>
      <c r="C694">
        <v>30.99</v>
      </c>
      <c r="D694">
        <v>74.11</v>
      </c>
      <c r="E694" s="1" t="s">
        <v>964</v>
      </c>
      <c r="F694" s="1" t="s">
        <v>40</v>
      </c>
      <c r="G694">
        <v>3</v>
      </c>
      <c r="H694" s="1" t="s">
        <v>26</v>
      </c>
      <c r="I694" s="1" t="s">
        <v>42</v>
      </c>
      <c r="J694">
        <v>10.5</v>
      </c>
      <c r="K694">
        <v>30.99</v>
      </c>
      <c r="L694" s="1" t="s">
        <v>28</v>
      </c>
      <c r="M694" s="1" t="s">
        <v>43</v>
      </c>
      <c r="N694" s="1" t="s">
        <v>44</v>
      </c>
      <c r="O694" s="1" t="s">
        <v>31</v>
      </c>
      <c r="P694" s="2">
        <v>45823</v>
      </c>
      <c r="Q694" s="1" t="s">
        <v>760</v>
      </c>
      <c r="R694" s="1" t="s">
        <v>1682</v>
      </c>
      <c r="S694" s="1" t="s">
        <v>105</v>
      </c>
      <c r="T694" s="1" t="s">
        <v>35</v>
      </c>
      <c r="U694" s="1" t="s">
        <v>48</v>
      </c>
      <c r="V694" s="1" t="s">
        <v>37</v>
      </c>
      <c r="W694">
        <v>2</v>
      </c>
      <c r="X694" s="1">
        <f t="shared" si="20"/>
        <v>8313.6899999999459</v>
      </c>
      <c r="Y694" s="1">
        <f t="shared" si="21"/>
        <v>7682.919999999951</v>
      </c>
    </row>
    <row r="695" spans="1:25" x14ac:dyDescent="0.3">
      <c r="A695" s="1" t="s">
        <v>1683</v>
      </c>
      <c r="B695">
        <v>3</v>
      </c>
      <c r="C695">
        <v>34.99</v>
      </c>
      <c r="D695">
        <v>82.97</v>
      </c>
      <c r="E695" s="1" t="s">
        <v>946</v>
      </c>
      <c r="F695" s="1" t="s">
        <v>40</v>
      </c>
      <c r="G695">
        <v>5</v>
      </c>
      <c r="H695" s="1" t="s">
        <v>41</v>
      </c>
      <c r="I695" s="1" t="s">
        <v>85</v>
      </c>
      <c r="J695">
        <v>12.5</v>
      </c>
      <c r="K695">
        <v>34.99</v>
      </c>
      <c r="L695" s="1" t="s">
        <v>60</v>
      </c>
      <c r="M695" s="1" t="s">
        <v>29</v>
      </c>
      <c r="N695" s="1" t="s">
        <v>30</v>
      </c>
      <c r="O695" s="1" t="s">
        <v>31</v>
      </c>
      <c r="P695" s="2">
        <v>45778</v>
      </c>
      <c r="Q695" s="1" t="s">
        <v>1253</v>
      </c>
      <c r="R695" s="1" t="s">
        <v>1254</v>
      </c>
      <c r="S695" s="1" t="s">
        <v>105</v>
      </c>
      <c r="T695" s="1" t="s">
        <v>35</v>
      </c>
      <c r="U695" s="1" t="s">
        <v>66</v>
      </c>
      <c r="V695" s="1" t="s">
        <v>89</v>
      </c>
      <c r="W695">
        <v>2.4</v>
      </c>
      <c r="X695" s="1">
        <f t="shared" si="20"/>
        <v>8551.6499999999451</v>
      </c>
      <c r="Y695" s="1">
        <f t="shared" si="21"/>
        <v>6397.4799999999632</v>
      </c>
    </row>
    <row r="696" spans="1:25" x14ac:dyDescent="0.3">
      <c r="A696" s="1" t="s">
        <v>1684</v>
      </c>
      <c r="B696">
        <v>3</v>
      </c>
      <c r="C696">
        <v>34.99</v>
      </c>
      <c r="D696">
        <v>82.43</v>
      </c>
      <c r="E696" s="1" t="s">
        <v>1685</v>
      </c>
      <c r="F696" s="1" t="s">
        <v>188</v>
      </c>
      <c r="G696">
        <v>0</v>
      </c>
      <c r="H696" s="1" t="s">
        <v>96</v>
      </c>
      <c r="I696" s="1" t="s">
        <v>85</v>
      </c>
      <c r="J696">
        <v>12.5</v>
      </c>
      <c r="K696">
        <v>34.99</v>
      </c>
      <c r="L696" s="1" t="s">
        <v>60</v>
      </c>
      <c r="M696" s="1" t="s">
        <v>29</v>
      </c>
      <c r="N696" s="1" t="s">
        <v>30</v>
      </c>
      <c r="O696" s="1" t="s">
        <v>31</v>
      </c>
      <c r="P696" s="2">
        <v>45778</v>
      </c>
      <c r="Q696" s="1" t="s">
        <v>63</v>
      </c>
      <c r="R696" s="1" t="s">
        <v>1686</v>
      </c>
      <c r="S696" s="1" t="s">
        <v>88</v>
      </c>
      <c r="T696" s="1" t="s">
        <v>35</v>
      </c>
      <c r="U696" s="1" t="s">
        <v>48</v>
      </c>
      <c r="V696" s="1" t="s">
        <v>89</v>
      </c>
      <c r="W696">
        <v>2.4</v>
      </c>
      <c r="X696" s="1">
        <f t="shared" si="20"/>
        <v>7844.9099999999507</v>
      </c>
      <c r="Y696" s="1">
        <f t="shared" si="21"/>
        <v>7682.919999999951</v>
      </c>
    </row>
    <row r="697" spans="1:25" x14ac:dyDescent="0.3">
      <c r="A697" s="1" t="s">
        <v>1687</v>
      </c>
      <c r="B697">
        <v>2</v>
      </c>
      <c r="C697">
        <v>30.99</v>
      </c>
      <c r="D697">
        <v>53.58</v>
      </c>
      <c r="E697" s="1" t="s">
        <v>224</v>
      </c>
      <c r="F697" s="1" t="s">
        <v>40</v>
      </c>
      <c r="G697">
        <v>3</v>
      </c>
      <c r="H697" s="1" t="s">
        <v>58</v>
      </c>
      <c r="I697" s="1" t="s">
        <v>42</v>
      </c>
      <c r="J697">
        <v>10.5</v>
      </c>
      <c r="K697">
        <v>30.99</v>
      </c>
      <c r="L697" s="1" t="s">
        <v>28</v>
      </c>
      <c r="M697" s="1" t="s">
        <v>43</v>
      </c>
      <c r="N697" s="1" t="s">
        <v>44</v>
      </c>
      <c r="O697" s="1" t="s">
        <v>31</v>
      </c>
      <c r="P697" s="2">
        <v>45823</v>
      </c>
      <c r="Q697" s="1" t="s">
        <v>1211</v>
      </c>
      <c r="R697" s="1" t="s">
        <v>1212</v>
      </c>
      <c r="S697" s="1" t="s">
        <v>34</v>
      </c>
      <c r="T697" s="1" t="s">
        <v>35</v>
      </c>
      <c r="U697" s="1" t="s">
        <v>66</v>
      </c>
      <c r="V697" s="1" t="s">
        <v>37</v>
      </c>
      <c r="W697">
        <v>2</v>
      </c>
      <c r="X697" s="1">
        <f t="shared" si="20"/>
        <v>8640.6199999999462</v>
      </c>
      <c r="Y697" s="1">
        <f t="shared" si="21"/>
        <v>6397.4799999999632</v>
      </c>
    </row>
    <row r="698" spans="1:25" x14ac:dyDescent="0.3">
      <c r="A698" s="1" t="s">
        <v>1688</v>
      </c>
      <c r="B698">
        <v>1</v>
      </c>
      <c r="C698">
        <v>18.989999999999998</v>
      </c>
      <c r="D698">
        <v>18.989999999999998</v>
      </c>
      <c r="E698" s="1" t="s">
        <v>1548</v>
      </c>
      <c r="F698" s="1" t="s">
        <v>188</v>
      </c>
      <c r="G698">
        <v>0</v>
      </c>
      <c r="H698" s="1" t="s">
        <v>58</v>
      </c>
      <c r="I698" s="1" t="s">
        <v>97</v>
      </c>
      <c r="J698">
        <v>6</v>
      </c>
      <c r="K698">
        <v>18.989999999999998</v>
      </c>
      <c r="L698" s="1" t="s">
        <v>60</v>
      </c>
      <c r="M698" s="1" t="s">
        <v>43</v>
      </c>
      <c r="N698" s="1" t="s">
        <v>44</v>
      </c>
      <c r="O698" s="1" t="s">
        <v>31</v>
      </c>
      <c r="P698" s="2">
        <v>45823</v>
      </c>
      <c r="Q698" s="1" t="s">
        <v>793</v>
      </c>
      <c r="R698" s="1" t="s">
        <v>1182</v>
      </c>
      <c r="S698" s="1" t="s">
        <v>88</v>
      </c>
      <c r="T698" s="1" t="s">
        <v>35</v>
      </c>
      <c r="U698" s="1" t="s">
        <v>82</v>
      </c>
      <c r="V698" s="1" t="s">
        <v>100</v>
      </c>
      <c r="W698">
        <v>3.2</v>
      </c>
      <c r="X698" s="1">
        <f t="shared" si="20"/>
        <v>8640.6199999999462</v>
      </c>
      <c r="Y698" s="1">
        <f t="shared" si="21"/>
        <v>7204.2099999999582</v>
      </c>
    </row>
    <row r="699" spans="1:25" x14ac:dyDescent="0.3">
      <c r="A699" s="1" t="s">
        <v>1689</v>
      </c>
      <c r="B699">
        <v>1</v>
      </c>
      <c r="C699">
        <v>30.99</v>
      </c>
      <c r="D699">
        <v>30.99</v>
      </c>
      <c r="E699" s="1" t="s">
        <v>1108</v>
      </c>
      <c r="F699" s="1" t="s">
        <v>25</v>
      </c>
      <c r="G699">
        <v>3</v>
      </c>
      <c r="H699" s="1" t="s">
        <v>96</v>
      </c>
      <c r="I699" s="1" t="s">
        <v>42</v>
      </c>
      <c r="J699">
        <v>10.5</v>
      </c>
      <c r="K699">
        <v>30.99</v>
      </c>
      <c r="L699" s="1" t="s">
        <v>28</v>
      </c>
      <c r="M699" s="1" t="s">
        <v>43</v>
      </c>
      <c r="N699" s="1" t="s">
        <v>44</v>
      </c>
      <c r="O699" s="1" t="s">
        <v>31</v>
      </c>
      <c r="P699" s="2">
        <v>45823</v>
      </c>
      <c r="Q699" s="1" t="s">
        <v>748</v>
      </c>
      <c r="R699" s="1" t="s">
        <v>749</v>
      </c>
      <c r="S699" s="1" t="s">
        <v>88</v>
      </c>
      <c r="T699" s="1" t="s">
        <v>35</v>
      </c>
      <c r="U699" s="1" t="s">
        <v>48</v>
      </c>
      <c r="V699" s="1" t="s">
        <v>37</v>
      </c>
      <c r="W699">
        <v>2</v>
      </c>
      <c r="X699" s="1">
        <f t="shared" si="20"/>
        <v>7844.9099999999507</v>
      </c>
      <c r="Y699" s="1">
        <f t="shared" si="21"/>
        <v>7682.919999999951</v>
      </c>
    </row>
    <row r="700" spans="1:25" x14ac:dyDescent="0.3">
      <c r="A700" s="1" t="s">
        <v>1690</v>
      </c>
      <c r="B700">
        <v>1</v>
      </c>
      <c r="C700">
        <v>16.989999999999998</v>
      </c>
      <c r="D700">
        <v>16.989999999999998</v>
      </c>
      <c r="E700" s="1" t="s">
        <v>1355</v>
      </c>
      <c r="F700" s="1" t="s">
        <v>70</v>
      </c>
      <c r="G700">
        <v>0</v>
      </c>
      <c r="H700" s="1" t="s">
        <v>41</v>
      </c>
      <c r="I700" s="1" t="s">
        <v>59</v>
      </c>
      <c r="J700">
        <v>5</v>
      </c>
      <c r="K700">
        <v>16.989999999999998</v>
      </c>
      <c r="L700" s="1" t="s">
        <v>60</v>
      </c>
      <c r="M700" s="1" t="s">
        <v>61</v>
      </c>
      <c r="N700" s="1" t="s">
        <v>62</v>
      </c>
      <c r="O700" s="1" t="s">
        <v>31</v>
      </c>
      <c r="P700" s="2">
        <v>45726</v>
      </c>
      <c r="Q700" s="1" t="s">
        <v>884</v>
      </c>
      <c r="R700" s="1" t="s">
        <v>885</v>
      </c>
      <c r="S700" s="1" t="s">
        <v>34</v>
      </c>
      <c r="T700" s="1" t="s">
        <v>35</v>
      </c>
      <c r="U700" s="1" t="s">
        <v>36</v>
      </c>
      <c r="V700" s="1" t="s">
        <v>67</v>
      </c>
      <c r="W700">
        <v>3</v>
      </c>
      <c r="X700" s="1">
        <f t="shared" si="20"/>
        <v>8551.6499999999451</v>
      </c>
      <c r="Y700" s="1">
        <f t="shared" si="21"/>
        <v>6355.4899999999634</v>
      </c>
    </row>
    <row r="701" spans="1:25" x14ac:dyDescent="0.3">
      <c r="A701" s="1" t="s">
        <v>1691</v>
      </c>
      <c r="B701">
        <v>1</v>
      </c>
      <c r="C701">
        <v>30.99</v>
      </c>
      <c r="D701">
        <v>30.99</v>
      </c>
      <c r="E701" s="1" t="s">
        <v>1381</v>
      </c>
      <c r="F701" s="1" t="s">
        <v>51</v>
      </c>
      <c r="G701">
        <v>0</v>
      </c>
      <c r="H701" s="1" t="s">
        <v>58</v>
      </c>
      <c r="I701" s="1" t="s">
        <v>42</v>
      </c>
      <c r="J701">
        <v>10.5</v>
      </c>
      <c r="K701">
        <v>30.99</v>
      </c>
      <c r="L701" s="1" t="s">
        <v>28</v>
      </c>
      <c r="M701" s="1" t="s">
        <v>43</v>
      </c>
      <c r="N701" s="1" t="s">
        <v>44</v>
      </c>
      <c r="O701" s="1" t="s">
        <v>31</v>
      </c>
      <c r="P701" s="2">
        <v>45823</v>
      </c>
      <c r="Q701" s="1" t="s">
        <v>972</v>
      </c>
      <c r="R701" s="1" t="s">
        <v>1692</v>
      </c>
      <c r="S701" s="1" t="s">
        <v>105</v>
      </c>
      <c r="T701" s="1" t="s">
        <v>35</v>
      </c>
      <c r="U701" s="1" t="s">
        <v>48</v>
      </c>
      <c r="V701" s="1" t="s">
        <v>37</v>
      </c>
      <c r="W701">
        <v>2</v>
      </c>
      <c r="X701" s="1">
        <f t="shared" si="20"/>
        <v>8640.6199999999462</v>
      </c>
      <c r="Y701" s="1">
        <f t="shared" si="21"/>
        <v>7682.919999999951</v>
      </c>
    </row>
    <row r="702" spans="1:25" x14ac:dyDescent="0.3">
      <c r="A702" s="1" t="s">
        <v>1693</v>
      </c>
      <c r="B702">
        <v>3</v>
      </c>
      <c r="C702">
        <v>27.99</v>
      </c>
      <c r="D702">
        <v>66.290000000000006</v>
      </c>
      <c r="E702" s="1" t="s">
        <v>102</v>
      </c>
      <c r="F702" s="1" t="s">
        <v>51</v>
      </c>
      <c r="G702">
        <v>0</v>
      </c>
      <c r="H702" s="1" t="s">
        <v>58</v>
      </c>
      <c r="I702" s="1" t="s">
        <v>75</v>
      </c>
      <c r="J702">
        <v>9</v>
      </c>
      <c r="K702">
        <v>27.99</v>
      </c>
      <c r="L702" s="1" t="s">
        <v>28</v>
      </c>
      <c r="M702" s="1" t="s">
        <v>61</v>
      </c>
      <c r="N702" s="1" t="s">
        <v>62</v>
      </c>
      <c r="O702" s="1" t="s">
        <v>31</v>
      </c>
      <c r="P702" s="2">
        <v>45726</v>
      </c>
      <c r="Q702" s="1" t="s">
        <v>593</v>
      </c>
      <c r="R702" s="1" t="s">
        <v>1353</v>
      </c>
      <c r="S702" s="1" t="s">
        <v>65</v>
      </c>
      <c r="T702" s="1" t="s">
        <v>35</v>
      </c>
      <c r="U702" s="1" t="s">
        <v>66</v>
      </c>
      <c r="V702" s="1" t="s">
        <v>37</v>
      </c>
      <c r="W702">
        <v>2</v>
      </c>
      <c r="X702" s="1">
        <f t="shared" si="20"/>
        <v>8640.6199999999462</v>
      </c>
      <c r="Y702" s="1">
        <f t="shared" si="21"/>
        <v>6397.4799999999632</v>
      </c>
    </row>
    <row r="703" spans="1:25" x14ac:dyDescent="0.3">
      <c r="A703" s="1" t="s">
        <v>1694</v>
      </c>
      <c r="B703">
        <v>2</v>
      </c>
      <c r="C703">
        <v>34.99</v>
      </c>
      <c r="D703">
        <v>60.43</v>
      </c>
      <c r="E703" s="1" t="s">
        <v>1268</v>
      </c>
      <c r="F703" s="1" t="s">
        <v>40</v>
      </c>
      <c r="G703">
        <v>5</v>
      </c>
      <c r="H703" s="1" t="s">
        <v>58</v>
      </c>
      <c r="I703" s="1" t="s">
        <v>85</v>
      </c>
      <c r="J703">
        <v>12.5</v>
      </c>
      <c r="K703">
        <v>34.99</v>
      </c>
      <c r="L703" s="1" t="s">
        <v>60</v>
      </c>
      <c r="M703" s="1" t="s">
        <v>29</v>
      </c>
      <c r="N703" s="1" t="s">
        <v>30</v>
      </c>
      <c r="O703" s="1" t="s">
        <v>31</v>
      </c>
      <c r="P703" s="2">
        <v>45778</v>
      </c>
      <c r="Q703" s="1" t="s">
        <v>732</v>
      </c>
      <c r="R703" s="1" t="s">
        <v>825</v>
      </c>
      <c r="S703" s="1" t="s">
        <v>47</v>
      </c>
      <c r="T703" s="1" t="s">
        <v>35</v>
      </c>
      <c r="U703" s="1" t="s">
        <v>66</v>
      </c>
      <c r="V703" s="1" t="s">
        <v>89</v>
      </c>
      <c r="W703">
        <v>2.4</v>
      </c>
      <c r="X703" s="1">
        <f t="shared" si="20"/>
        <v>8640.6199999999462</v>
      </c>
      <c r="Y703" s="1">
        <f t="shared" si="21"/>
        <v>6397.4799999999632</v>
      </c>
    </row>
    <row r="704" spans="1:25" x14ac:dyDescent="0.3">
      <c r="A704" s="1" t="s">
        <v>1695</v>
      </c>
      <c r="B704">
        <v>3</v>
      </c>
      <c r="C704">
        <v>27.99</v>
      </c>
      <c r="D704">
        <v>66.930000000000007</v>
      </c>
      <c r="E704" s="1" t="s">
        <v>246</v>
      </c>
      <c r="F704" s="1" t="s">
        <v>70</v>
      </c>
      <c r="G704">
        <v>0</v>
      </c>
      <c r="H704" s="1" t="s">
        <v>26</v>
      </c>
      <c r="I704" s="1" t="s">
        <v>75</v>
      </c>
      <c r="J704">
        <v>9</v>
      </c>
      <c r="K704">
        <v>27.99</v>
      </c>
      <c r="L704" s="1" t="s">
        <v>28</v>
      </c>
      <c r="M704" s="1" t="s">
        <v>61</v>
      </c>
      <c r="N704" s="1" t="s">
        <v>62</v>
      </c>
      <c r="O704" s="1" t="s">
        <v>31</v>
      </c>
      <c r="P704" s="2">
        <v>45726</v>
      </c>
      <c r="Q704" s="1" t="s">
        <v>990</v>
      </c>
      <c r="R704" s="1" t="s">
        <v>1228</v>
      </c>
      <c r="S704" s="1" t="s">
        <v>47</v>
      </c>
      <c r="T704" s="1" t="s">
        <v>35</v>
      </c>
      <c r="U704" s="1" t="s">
        <v>55</v>
      </c>
      <c r="V704" s="1" t="s">
        <v>37</v>
      </c>
      <c r="W704">
        <v>2</v>
      </c>
      <c r="X704" s="1">
        <f t="shared" si="20"/>
        <v>8313.6899999999459</v>
      </c>
      <c r="Y704" s="1">
        <f t="shared" si="21"/>
        <v>5710.7699999999695</v>
      </c>
    </row>
    <row r="705" spans="1:25" x14ac:dyDescent="0.3">
      <c r="A705" s="1" t="s">
        <v>1696</v>
      </c>
      <c r="B705">
        <v>1</v>
      </c>
      <c r="C705">
        <v>21.99</v>
      </c>
      <c r="D705">
        <v>21.99</v>
      </c>
      <c r="E705" s="1" t="s">
        <v>1407</v>
      </c>
      <c r="F705" s="1" t="s">
        <v>40</v>
      </c>
      <c r="G705">
        <v>3</v>
      </c>
      <c r="H705" s="1" t="s">
        <v>41</v>
      </c>
      <c r="I705" s="1" t="s">
        <v>27</v>
      </c>
      <c r="J705">
        <v>7</v>
      </c>
      <c r="K705">
        <v>21.99</v>
      </c>
      <c r="L705" s="1" t="s">
        <v>28</v>
      </c>
      <c r="M705" s="1" t="s">
        <v>29</v>
      </c>
      <c r="N705" s="1" t="s">
        <v>30</v>
      </c>
      <c r="O705" s="1" t="s">
        <v>31</v>
      </c>
      <c r="P705" s="2">
        <v>45778</v>
      </c>
      <c r="Q705" s="1" t="s">
        <v>738</v>
      </c>
      <c r="R705" s="1" t="s">
        <v>739</v>
      </c>
      <c r="S705" s="1" t="s">
        <v>34</v>
      </c>
      <c r="T705" s="1" t="s">
        <v>35</v>
      </c>
      <c r="U705" s="1" t="s">
        <v>82</v>
      </c>
      <c r="V705" s="1" t="s">
        <v>37</v>
      </c>
      <c r="W705">
        <v>2</v>
      </c>
      <c r="X705" s="1">
        <f t="shared" si="20"/>
        <v>8551.6499999999451</v>
      </c>
      <c r="Y705" s="1">
        <f t="shared" si="21"/>
        <v>7204.2099999999582</v>
      </c>
    </row>
    <row r="706" spans="1:25" x14ac:dyDescent="0.3">
      <c r="A706" s="1" t="s">
        <v>1697</v>
      </c>
      <c r="B706">
        <v>1</v>
      </c>
      <c r="C706">
        <v>27.99</v>
      </c>
      <c r="D706">
        <v>27.99</v>
      </c>
      <c r="E706" s="1" t="s">
        <v>1698</v>
      </c>
      <c r="F706" s="1" t="s">
        <v>51</v>
      </c>
      <c r="G706">
        <v>0</v>
      </c>
      <c r="H706" s="1" t="s">
        <v>96</v>
      </c>
      <c r="I706" s="1" t="s">
        <v>75</v>
      </c>
      <c r="J706">
        <v>9</v>
      </c>
      <c r="K706">
        <v>27.99</v>
      </c>
      <c r="L706" s="1" t="s">
        <v>28</v>
      </c>
      <c r="M706" s="1" t="s">
        <v>61</v>
      </c>
      <c r="N706" s="1" t="s">
        <v>62</v>
      </c>
      <c r="O706" s="1" t="s">
        <v>31</v>
      </c>
      <c r="P706" s="2">
        <v>45726</v>
      </c>
      <c r="Q706" s="1" t="s">
        <v>1480</v>
      </c>
      <c r="R706" s="1" t="s">
        <v>1699</v>
      </c>
      <c r="S706" s="1" t="s">
        <v>88</v>
      </c>
      <c r="T706" s="1" t="s">
        <v>35</v>
      </c>
      <c r="U706" s="1" t="s">
        <v>48</v>
      </c>
      <c r="V706" s="1" t="s">
        <v>37</v>
      </c>
      <c r="W706">
        <v>2</v>
      </c>
      <c r="X706" s="1">
        <f t="shared" ref="X706:X769" si="22">SUMIF(H:H,H706,K:K)</f>
        <v>7844.9099999999507</v>
      </c>
      <c r="Y706" s="1">
        <f t="shared" ref="Y706:Y769" si="23">SUMIF(U:U,U706,K:K)</f>
        <v>7682.919999999951</v>
      </c>
    </row>
    <row r="707" spans="1:25" x14ac:dyDescent="0.3">
      <c r="A707" s="1" t="s">
        <v>1700</v>
      </c>
      <c r="B707">
        <v>3</v>
      </c>
      <c r="C707">
        <v>18.989999999999998</v>
      </c>
      <c r="D707">
        <v>45.88</v>
      </c>
      <c r="E707" s="1" t="s">
        <v>1455</v>
      </c>
      <c r="F707" s="1" t="s">
        <v>40</v>
      </c>
      <c r="G707">
        <v>10</v>
      </c>
      <c r="H707" s="1" t="s">
        <v>96</v>
      </c>
      <c r="I707" s="1" t="s">
        <v>97</v>
      </c>
      <c r="J707">
        <v>6</v>
      </c>
      <c r="K707">
        <v>18.989999999999998</v>
      </c>
      <c r="L707" s="1" t="s">
        <v>60</v>
      </c>
      <c r="M707" s="1" t="s">
        <v>43</v>
      </c>
      <c r="N707" s="1" t="s">
        <v>44</v>
      </c>
      <c r="O707" s="1" t="s">
        <v>31</v>
      </c>
      <c r="P707" s="2">
        <v>45823</v>
      </c>
      <c r="Q707" s="1" t="s">
        <v>1048</v>
      </c>
      <c r="R707" s="1" t="s">
        <v>1701</v>
      </c>
      <c r="S707" s="1" t="s">
        <v>105</v>
      </c>
      <c r="T707" s="1" t="s">
        <v>35</v>
      </c>
      <c r="U707" s="1" t="s">
        <v>82</v>
      </c>
      <c r="V707" s="1" t="s">
        <v>100</v>
      </c>
      <c r="W707">
        <v>3.2</v>
      </c>
      <c r="X707" s="1">
        <f t="shared" si="22"/>
        <v>7844.9099999999507</v>
      </c>
      <c r="Y707" s="1">
        <f t="shared" si="23"/>
        <v>7204.2099999999582</v>
      </c>
    </row>
    <row r="708" spans="1:25" x14ac:dyDescent="0.3">
      <c r="A708" s="1" t="s">
        <v>1702</v>
      </c>
      <c r="B708">
        <v>1</v>
      </c>
      <c r="C708">
        <v>18.989999999999998</v>
      </c>
      <c r="D708">
        <v>18.989999999999998</v>
      </c>
      <c r="E708" s="1" t="s">
        <v>1064</v>
      </c>
      <c r="F708" s="1" t="s">
        <v>40</v>
      </c>
      <c r="G708">
        <v>11</v>
      </c>
      <c r="H708" s="1" t="s">
        <v>96</v>
      </c>
      <c r="I708" s="1" t="s">
        <v>97</v>
      </c>
      <c r="J708">
        <v>6</v>
      </c>
      <c r="K708">
        <v>18.989999999999998</v>
      </c>
      <c r="L708" s="1" t="s">
        <v>60</v>
      </c>
      <c r="M708" s="1" t="s">
        <v>43</v>
      </c>
      <c r="N708" s="1" t="s">
        <v>44</v>
      </c>
      <c r="O708" s="1" t="s">
        <v>31</v>
      </c>
      <c r="P708" s="2">
        <v>45823</v>
      </c>
      <c r="Q708" s="1" t="s">
        <v>1703</v>
      </c>
      <c r="R708" s="1" t="s">
        <v>1704</v>
      </c>
      <c r="S708" s="1" t="s">
        <v>105</v>
      </c>
      <c r="T708" s="1" t="s">
        <v>35</v>
      </c>
      <c r="U708" s="1" t="s">
        <v>82</v>
      </c>
      <c r="V708" s="1" t="s">
        <v>100</v>
      </c>
      <c r="W708">
        <v>3.2</v>
      </c>
      <c r="X708" s="1">
        <f t="shared" si="22"/>
        <v>7844.9099999999507</v>
      </c>
      <c r="Y708" s="1">
        <f t="shared" si="23"/>
        <v>7204.2099999999582</v>
      </c>
    </row>
    <row r="709" spans="1:25" x14ac:dyDescent="0.3">
      <c r="A709" s="1" t="s">
        <v>1705</v>
      </c>
      <c r="B709">
        <v>1</v>
      </c>
      <c r="C709">
        <v>30.99</v>
      </c>
      <c r="D709">
        <v>30.99</v>
      </c>
      <c r="E709" s="1" t="s">
        <v>1051</v>
      </c>
      <c r="F709" s="1" t="s">
        <v>51</v>
      </c>
      <c r="G709">
        <v>0</v>
      </c>
      <c r="H709" s="1" t="s">
        <v>58</v>
      </c>
      <c r="I709" s="1" t="s">
        <v>42</v>
      </c>
      <c r="J709">
        <v>10.5</v>
      </c>
      <c r="K709">
        <v>30.99</v>
      </c>
      <c r="L709" s="1" t="s">
        <v>28</v>
      </c>
      <c r="M709" s="1" t="s">
        <v>43</v>
      </c>
      <c r="N709" s="1" t="s">
        <v>44</v>
      </c>
      <c r="O709" s="1" t="s">
        <v>31</v>
      </c>
      <c r="P709" s="2">
        <v>45823</v>
      </c>
      <c r="Q709" s="1" t="s">
        <v>1706</v>
      </c>
      <c r="R709" s="1" t="s">
        <v>1707</v>
      </c>
      <c r="S709" s="1" t="s">
        <v>54</v>
      </c>
      <c r="T709" s="1" t="s">
        <v>35</v>
      </c>
      <c r="U709" s="1" t="s">
        <v>82</v>
      </c>
      <c r="V709" s="1" t="s">
        <v>37</v>
      </c>
      <c r="W709">
        <v>2</v>
      </c>
      <c r="X709" s="1">
        <f t="shared" si="22"/>
        <v>8640.6199999999462</v>
      </c>
      <c r="Y709" s="1">
        <f t="shared" si="23"/>
        <v>7204.2099999999582</v>
      </c>
    </row>
    <row r="710" spans="1:25" x14ac:dyDescent="0.3">
      <c r="A710" s="1" t="s">
        <v>1708</v>
      </c>
      <c r="B710">
        <v>1</v>
      </c>
      <c r="C710">
        <v>27.99</v>
      </c>
      <c r="D710">
        <v>27.99</v>
      </c>
      <c r="E710" s="1" t="s">
        <v>325</v>
      </c>
      <c r="F710" s="1" t="s">
        <v>40</v>
      </c>
      <c r="G710">
        <v>3</v>
      </c>
      <c r="H710" s="1" t="s">
        <v>26</v>
      </c>
      <c r="I710" s="1" t="s">
        <v>75</v>
      </c>
      <c r="J710">
        <v>9</v>
      </c>
      <c r="K710">
        <v>27.99</v>
      </c>
      <c r="L710" s="1" t="s">
        <v>28</v>
      </c>
      <c r="M710" s="1" t="s">
        <v>61</v>
      </c>
      <c r="N710" s="1" t="s">
        <v>62</v>
      </c>
      <c r="O710" s="1" t="s">
        <v>31</v>
      </c>
      <c r="P710" s="2">
        <v>45726</v>
      </c>
      <c r="Q710" s="1" t="s">
        <v>905</v>
      </c>
      <c r="R710" s="1" t="s">
        <v>906</v>
      </c>
      <c r="S710" s="1" t="s">
        <v>105</v>
      </c>
      <c r="T710" s="1" t="s">
        <v>35</v>
      </c>
      <c r="U710" s="1" t="s">
        <v>55</v>
      </c>
      <c r="V710" s="1" t="s">
        <v>37</v>
      </c>
      <c r="W710">
        <v>2</v>
      </c>
      <c r="X710" s="1">
        <f t="shared" si="22"/>
        <v>8313.6899999999459</v>
      </c>
      <c r="Y710" s="1">
        <f t="shared" si="23"/>
        <v>5710.7699999999695</v>
      </c>
    </row>
    <row r="711" spans="1:25" x14ac:dyDescent="0.3">
      <c r="A711" s="1" t="s">
        <v>1709</v>
      </c>
      <c r="B711">
        <v>1</v>
      </c>
      <c r="C711">
        <v>21.99</v>
      </c>
      <c r="D711">
        <v>21.99</v>
      </c>
      <c r="E711" s="1" t="s">
        <v>1299</v>
      </c>
      <c r="F711" s="1" t="s">
        <v>40</v>
      </c>
      <c r="G711">
        <v>2</v>
      </c>
      <c r="H711" s="1" t="s">
        <v>26</v>
      </c>
      <c r="I711" s="1" t="s">
        <v>27</v>
      </c>
      <c r="J711">
        <v>7</v>
      </c>
      <c r="K711">
        <v>21.99</v>
      </c>
      <c r="L711" s="1" t="s">
        <v>28</v>
      </c>
      <c r="M711" s="1" t="s">
        <v>29</v>
      </c>
      <c r="N711" s="1" t="s">
        <v>30</v>
      </c>
      <c r="O711" s="1" t="s">
        <v>31</v>
      </c>
      <c r="P711" s="2">
        <v>45778</v>
      </c>
      <c r="Q711" s="1" t="s">
        <v>917</v>
      </c>
      <c r="R711" s="1" t="s">
        <v>1710</v>
      </c>
      <c r="S711" s="1" t="s">
        <v>34</v>
      </c>
      <c r="T711" s="1" t="s">
        <v>35</v>
      </c>
      <c r="U711" s="1" t="s">
        <v>82</v>
      </c>
      <c r="V711" s="1" t="s">
        <v>37</v>
      </c>
      <c r="W711">
        <v>2</v>
      </c>
      <c r="X711" s="1">
        <f t="shared" si="22"/>
        <v>8313.6899999999459</v>
      </c>
      <c r="Y711" s="1">
        <f t="shared" si="23"/>
        <v>7204.2099999999582</v>
      </c>
    </row>
    <row r="712" spans="1:25" x14ac:dyDescent="0.3">
      <c r="A712" s="1" t="s">
        <v>1711</v>
      </c>
      <c r="B712">
        <v>1</v>
      </c>
      <c r="C712">
        <v>21.99</v>
      </c>
      <c r="D712">
        <v>21.99</v>
      </c>
      <c r="E712" s="1" t="s">
        <v>1452</v>
      </c>
      <c r="F712" s="1" t="s">
        <v>188</v>
      </c>
      <c r="G712">
        <v>0</v>
      </c>
      <c r="H712" s="1" t="s">
        <v>41</v>
      </c>
      <c r="I712" s="1" t="s">
        <v>27</v>
      </c>
      <c r="J712">
        <v>7</v>
      </c>
      <c r="K712">
        <v>21.99</v>
      </c>
      <c r="L712" s="1" t="s">
        <v>28</v>
      </c>
      <c r="M712" s="1" t="s">
        <v>29</v>
      </c>
      <c r="N712" s="1" t="s">
        <v>30</v>
      </c>
      <c r="O712" s="1" t="s">
        <v>31</v>
      </c>
      <c r="P712" s="2">
        <v>45778</v>
      </c>
      <c r="Q712" s="1" t="s">
        <v>1712</v>
      </c>
      <c r="R712" s="1" t="s">
        <v>1713</v>
      </c>
      <c r="S712" s="1" t="s">
        <v>34</v>
      </c>
      <c r="T712" s="1" t="s">
        <v>35</v>
      </c>
      <c r="U712" s="1" t="s">
        <v>48</v>
      </c>
      <c r="V712" s="1" t="s">
        <v>37</v>
      </c>
      <c r="W712">
        <v>2</v>
      </c>
      <c r="X712" s="1">
        <f t="shared" si="22"/>
        <v>8551.6499999999451</v>
      </c>
      <c r="Y712" s="1">
        <f t="shared" si="23"/>
        <v>7682.919999999951</v>
      </c>
    </row>
    <row r="713" spans="1:25" x14ac:dyDescent="0.3">
      <c r="A713" s="1" t="s">
        <v>1714</v>
      </c>
      <c r="B713">
        <v>1</v>
      </c>
      <c r="C713">
        <v>27.99</v>
      </c>
      <c r="D713">
        <v>27.99</v>
      </c>
      <c r="E713" s="1" t="s">
        <v>1015</v>
      </c>
      <c r="F713" s="1" t="s">
        <v>188</v>
      </c>
      <c r="G713">
        <v>0</v>
      </c>
      <c r="H713" s="1" t="s">
        <v>96</v>
      </c>
      <c r="I713" s="1" t="s">
        <v>75</v>
      </c>
      <c r="J713">
        <v>9</v>
      </c>
      <c r="K713">
        <v>27.99</v>
      </c>
      <c r="L713" s="1" t="s">
        <v>28</v>
      </c>
      <c r="M713" s="1" t="s">
        <v>61</v>
      </c>
      <c r="N713" s="1" t="s">
        <v>62</v>
      </c>
      <c r="O713" s="1" t="s">
        <v>31</v>
      </c>
      <c r="P713" s="2">
        <v>45726</v>
      </c>
      <c r="Q713" s="1" t="s">
        <v>1187</v>
      </c>
      <c r="R713" s="1" t="s">
        <v>1188</v>
      </c>
      <c r="S713" s="1" t="s">
        <v>47</v>
      </c>
      <c r="T713" s="1" t="s">
        <v>35</v>
      </c>
      <c r="U713" s="1" t="s">
        <v>48</v>
      </c>
      <c r="V713" s="1" t="s">
        <v>37</v>
      </c>
      <c r="W713">
        <v>2</v>
      </c>
      <c r="X713" s="1">
        <f t="shared" si="22"/>
        <v>7844.9099999999507</v>
      </c>
      <c r="Y713" s="1">
        <f t="shared" si="23"/>
        <v>7682.919999999951</v>
      </c>
    </row>
    <row r="714" spans="1:25" x14ac:dyDescent="0.3">
      <c r="A714" s="1" t="s">
        <v>1715</v>
      </c>
      <c r="B714">
        <v>1</v>
      </c>
      <c r="C714">
        <v>16.989999999999998</v>
      </c>
      <c r="D714">
        <v>16.989999999999998</v>
      </c>
      <c r="E714" s="1" t="s">
        <v>813</v>
      </c>
      <c r="F714" s="1" t="s">
        <v>40</v>
      </c>
      <c r="G714">
        <v>18</v>
      </c>
      <c r="H714" s="1" t="s">
        <v>96</v>
      </c>
      <c r="I714" s="1" t="s">
        <v>59</v>
      </c>
      <c r="J714">
        <v>5</v>
      </c>
      <c r="K714">
        <v>16.989999999999998</v>
      </c>
      <c r="L714" s="1" t="s">
        <v>60</v>
      </c>
      <c r="M714" s="1" t="s">
        <v>61</v>
      </c>
      <c r="N714" s="1" t="s">
        <v>62</v>
      </c>
      <c r="O714" s="1" t="s">
        <v>31</v>
      </c>
      <c r="P714" s="2">
        <v>45726</v>
      </c>
      <c r="Q714" s="1" t="s">
        <v>110</v>
      </c>
      <c r="R714" s="1" t="s">
        <v>1716</v>
      </c>
      <c r="S714" s="1" t="s">
        <v>65</v>
      </c>
      <c r="T714" s="1" t="s">
        <v>35</v>
      </c>
      <c r="U714" s="1" t="s">
        <v>55</v>
      </c>
      <c r="V714" s="1" t="s">
        <v>67</v>
      </c>
      <c r="W714">
        <v>3</v>
      </c>
      <c r="X714" s="1">
        <f t="shared" si="22"/>
        <v>7844.9099999999507</v>
      </c>
      <c r="Y714" s="1">
        <f t="shared" si="23"/>
        <v>5710.7699999999695</v>
      </c>
    </row>
    <row r="715" spans="1:25" x14ac:dyDescent="0.3">
      <c r="A715" s="1" t="s">
        <v>1717</v>
      </c>
      <c r="B715">
        <v>1</v>
      </c>
      <c r="C715">
        <v>34.99</v>
      </c>
      <c r="D715">
        <v>34.99</v>
      </c>
      <c r="E715" s="1" t="s">
        <v>1718</v>
      </c>
      <c r="F715" s="1" t="s">
        <v>40</v>
      </c>
      <c r="G715">
        <v>6</v>
      </c>
      <c r="H715" s="1" t="s">
        <v>96</v>
      </c>
      <c r="I715" s="1" t="s">
        <v>85</v>
      </c>
      <c r="J715">
        <v>12.5</v>
      </c>
      <c r="K715">
        <v>34.99</v>
      </c>
      <c r="L715" s="1" t="s">
        <v>60</v>
      </c>
      <c r="M715" s="1" t="s">
        <v>29</v>
      </c>
      <c r="N715" s="1" t="s">
        <v>30</v>
      </c>
      <c r="O715" s="1" t="s">
        <v>31</v>
      </c>
      <c r="P715" s="2">
        <v>45778</v>
      </c>
      <c r="Q715" s="1" t="s">
        <v>1719</v>
      </c>
      <c r="R715" s="1" t="s">
        <v>1720</v>
      </c>
      <c r="S715" s="1" t="s">
        <v>54</v>
      </c>
      <c r="T715" s="1" t="s">
        <v>35</v>
      </c>
      <c r="U715" s="1" t="s">
        <v>66</v>
      </c>
      <c r="V715" s="1" t="s">
        <v>89</v>
      </c>
      <c r="W715">
        <v>2.4</v>
      </c>
      <c r="X715" s="1">
        <f t="shared" si="22"/>
        <v>7844.9099999999507</v>
      </c>
      <c r="Y715" s="1">
        <f t="shared" si="23"/>
        <v>6397.4799999999632</v>
      </c>
    </row>
    <row r="716" spans="1:25" x14ac:dyDescent="0.3">
      <c r="A716" s="1" t="s">
        <v>1721</v>
      </c>
      <c r="B716">
        <v>3</v>
      </c>
      <c r="C716">
        <v>30.99</v>
      </c>
      <c r="D716">
        <v>73.489999999999995</v>
      </c>
      <c r="E716" s="1" t="s">
        <v>1324</v>
      </c>
      <c r="F716" s="1" t="s">
        <v>40</v>
      </c>
      <c r="G716">
        <v>6</v>
      </c>
      <c r="H716" s="1" t="s">
        <v>96</v>
      </c>
      <c r="I716" s="1" t="s">
        <v>42</v>
      </c>
      <c r="J716">
        <v>10.5</v>
      </c>
      <c r="K716">
        <v>30.99</v>
      </c>
      <c r="L716" s="1" t="s">
        <v>28</v>
      </c>
      <c r="M716" s="1" t="s">
        <v>43</v>
      </c>
      <c r="N716" s="1" t="s">
        <v>44</v>
      </c>
      <c r="O716" s="1" t="s">
        <v>31</v>
      </c>
      <c r="P716" s="2">
        <v>45823</v>
      </c>
      <c r="Q716" s="1" t="s">
        <v>1241</v>
      </c>
      <c r="R716" s="1" t="s">
        <v>1722</v>
      </c>
      <c r="S716" s="1" t="s">
        <v>65</v>
      </c>
      <c r="T716" s="1" t="s">
        <v>35</v>
      </c>
      <c r="U716" s="1" t="s">
        <v>82</v>
      </c>
      <c r="V716" s="1" t="s">
        <v>37</v>
      </c>
      <c r="W716">
        <v>2</v>
      </c>
      <c r="X716" s="1">
        <f t="shared" si="22"/>
        <v>7844.9099999999507</v>
      </c>
      <c r="Y716" s="1">
        <f t="shared" si="23"/>
        <v>7204.2099999999582</v>
      </c>
    </row>
    <row r="717" spans="1:25" x14ac:dyDescent="0.3">
      <c r="A717" s="1" t="s">
        <v>1723</v>
      </c>
      <c r="B717">
        <v>3</v>
      </c>
      <c r="C717">
        <v>21.99</v>
      </c>
      <c r="D717">
        <v>52.04</v>
      </c>
      <c r="E717" s="1" t="s">
        <v>1724</v>
      </c>
      <c r="F717" s="1" t="s">
        <v>70</v>
      </c>
      <c r="G717">
        <v>0</v>
      </c>
      <c r="H717" s="1" t="s">
        <v>58</v>
      </c>
      <c r="I717" s="1" t="s">
        <v>27</v>
      </c>
      <c r="J717">
        <v>7</v>
      </c>
      <c r="K717">
        <v>21.99</v>
      </c>
      <c r="L717" s="1" t="s">
        <v>28</v>
      </c>
      <c r="M717" s="1" t="s">
        <v>29</v>
      </c>
      <c r="N717" s="1" t="s">
        <v>30</v>
      </c>
      <c r="O717" s="1" t="s">
        <v>31</v>
      </c>
      <c r="P717" s="2">
        <v>45778</v>
      </c>
      <c r="Q717" s="1" t="s">
        <v>1018</v>
      </c>
      <c r="R717" s="1" t="s">
        <v>1725</v>
      </c>
      <c r="S717" s="1" t="s">
        <v>47</v>
      </c>
      <c r="T717" s="1" t="s">
        <v>35</v>
      </c>
      <c r="U717" s="1" t="s">
        <v>55</v>
      </c>
      <c r="V717" s="1" t="s">
        <v>37</v>
      </c>
      <c r="W717">
        <v>2</v>
      </c>
      <c r="X717" s="1">
        <f t="shared" si="22"/>
        <v>8640.6199999999462</v>
      </c>
      <c r="Y717" s="1">
        <f t="shared" si="23"/>
        <v>5710.7699999999695</v>
      </c>
    </row>
    <row r="718" spans="1:25" x14ac:dyDescent="0.3">
      <c r="A718" s="1" t="s">
        <v>1726</v>
      </c>
      <c r="B718">
        <v>1</v>
      </c>
      <c r="C718">
        <v>27.99</v>
      </c>
      <c r="D718">
        <v>27.99</v>
      </c>
      <c r="E718" s="1" t="s">
        <v>1727</v>
      </c>
      <c r="F718" s="1" t="s">
        <v>70</v>
      </c>
      <c r="G718">
        <v>0</v>
      </c>
      <c r="H718" s="1" t="s">
        <v>26</v>
      </c>
      <c r="I718" s="1" t="s">
        <v>75</v>
      </c>
      <c r="J718">
        <v>9</v>
      </c>
      <c r="K718">
        <v>27.99</v>
      </c>
      <c r="L718" s="1" t="s">
        <v>28</v>
      </c>
      <c r="M718" s="1" t="s">
        <v>61</v>
      </c>
      <c r="N718" s="1" t="s">
        <v>62</v>
      </c>
      <c r="O718" s="1" t="s">
        <v>31</v>
      </c>
      <c r="P718" s="2">
        <v>45726</v>
      </c>
      <c r="Q718" s="1" t="s">
        <v>1728</v>
      </c>
      <c r="R718" s="1" t="s">
        <v>1729</v>
      </c>
      <c r="S718" s="1" t="s">
        <v>65</v>
      </c>
      <c r="T718" s="1" t="s">
        <v>35</v>
      </c>
      <c r="U718" s="1" t="s">
        <v>55</v>
      </c>
      <c r="V718" s="1" t="s">
        <v>37</v>
      </c>
      <c r="W718">
        <v>2</v>
      </c>
      <c r="X718" s="1">
        <f t="shared" si="22"/>
        <v>8313.6899999999459</v>
      </c>
      <c r="Y718" s="1">
        <f t="shared" si="23"/>
        <v>5710.7699999999695</v>
      </c>
    </row>
    <row r="719" spans="1:25" x14ac:dyDescent="0.3">
      <c r="A719" s="1" t="s">
        <v>1730</v>
      </c>
      <c r="B719">
        <v>2</v>
      </c>
      <c r="C719">
        <v>21.99</v>
      </c>
      <c r="D719">
        <v>38.479999999999997</v>
      </c>
      <c r="E719" s="1" t="s">
        <v>628</v>
      </c>
      <c r="F719" s="1" t="s">
        <v>40</v>
      </c>
      <c r="G719">
        <v>2</v>
      </c>
      <c r="H719" s="1" t="s">
        <v>58</v>
      </c>
      <c r="I719" s="1" t="s">
        <v>27</v>
      </c>
      <c r="J719">
        <v>7</v>
      </c>
      <c r="K719">
        <v>21.99</v>
      </c>
      <c r="L719" s="1" t="s">
        <v>28</v>
      </c>
      <c r="M719" s="1" t="s">
        <v>29</v>
      </c>
      <c r="N719" s="1" t="s">
        <v>30</v>
      </c>
      <c r="O719" s="1" t="s">
        <v>31</v>
      </c>
      <c r="P719" s="2">
        <v>45778</v>
      </c>
      <c r="Q719" s="1" t="s">
        <v>1342</v>
      </c>
      <c r="R719" s="1" t="s">
        <v>1731</v>
      </c>
      <c r="S719" s="1" t="s">
        <v>34</v>
      </c>
      <c r="T719" s="1" t="s">
        <v>35</v>
      </c>
      <c r="U719" s="1" t="s">
        <v>48</v>
      </c>
      <c r="V719" s="1" t="s">
        <v>37</v>
      </c>
      <c r="W719">
        <v>2</v>
      </c>
      <c r="X719" s="1">
        <f t="shared" si="22"/>
        <v>8640.6199999999462</v>
      </c>
      <c r="Y719" s="1">
        <f t="shared" si="23"/>
        <v>7682.919999999951</v>
      </c>
    </row>
    <row r="720" spans="1:25" x14ac:dyDescent="0.3">
      <c r="A720" s="1" t="s">
        <v>1732</v>
      </c>
      <c r="B720">
        <v>1</v>
      </c>
      <c r="C720">
        <v>21.99</v>
      </c>
      <c r="D720">
        <v>21.99</v>
      </c>
      <c r="E720" s="1" t="s">
        <v>1733</v>
      </c>
      <c r="F720" s="1" t="s">
        <v>188</v>
      </c>
      <c r="G720">
        <v>0</v>
      </c>
      <c r="H720" s="1" t="s">
        <v>41</v>
      </c>
      <c r="I720" s="1" t="s">
        <v>27</v>
      </c>
      <c r="J720">
        <v>7</v>
      </c>
      <c r="K720">
        <v>21.99</v>
      </c>
      <c r="L720" s="1" t="s">
        <v>28</v>
      </c>
      <c r="M720" s="1" t="s">
        <v>29</v>
      </c>
      <c r="N720" s="1" t="s">
        <v>30</v>
      </c>
      <c r="O720" s="1" t="s">
        <v>31</v>
      </c>
      <c r="P720" s="2">
        <v>45778</v>
      </c>
      <c r="Q720" s="1" t="s">
        <v>1237</v>
      </c>
      <c r="R720" s="1" t="s">
        <v>1238</v>
      </c>
      <c r="S720" s="1" t="s">
        <v>65</v>
      </c>
      <c r="T720" s="1" t="s">
        <v>35</v>
      </c>
      <c r="U720" s="1" t="s">
        <v>66</v>
      </c>
      <c r="V720" s="1" t="s">
        <v>37</v>
      </c>
      <c r="W720">
        <v>2</v>
      </c>
      <c r="X720" s="1">
        <f t="shared" si="22"/>
        <v>8551.6499999999451</v>
      </c>
      <c r="Y720" s="1">
        <f t="shared" si="23"/>
        <v>6397.4799999999632</v>
      </c>
    </row>
    <row r="721" spans="1:25" x14ac:dyDescent="0.3">
      <c r="A721" s="1" t="s">
        <v>1734</v>
      </c>
      <c r="B721">
        <v>1</v>
      </c>
      <c r="C721">
        <v>18.989999999999998</v>
      </c>
      <c r="D721">
        <v>18.989999999999998</v>
      </c>
      <c r="E721" s="1" t="s">
        <v>113</v>
      </c>
      <c r="F721" s="1" t="s">
        <v>70</v>
      </c>
      <c r="G721">
        <v>0</v>
      </c>
      <c r="H721" s="1" t="s">
        <v>58</v>
      </c>
      <c r="I721" s="1" t="s">
        <v>97</v>
      </c>
      <c r="J721">
        <v>6</v>
      </c>
      <c r="K721">
        <v>18.989999999999998</v>
      </c>
      <c r="L721" s="1" t="s">
        <v>60</v>
      </c>
      <c r="M721" s="1" t="s">
        <v>43</v>
      </c>
      <c r="N721" s="1" t="s">
        <v>44</v>
      </c>
      <c r="O721" s="1" t="s">
        <v>31</v>
      </c>
      <c r="P721" s="2">
        <v>45823</v>
      </c>
      <c r="Q721" s="1" t="s">
        <v>1421</v>
      </c>
      <c r="R721" s="1" t="s">
        <v>1422</v>
      </c>
      <c r="S721" s="1" t="s">
        <v>105</v>
      </c>
      <c r="T721" s="1" t="s">
        <v>35</v>
      </c>
      <c r="U721" s="1" t="s">
        <v>82</v>
      </c>
      <c r="V721" s="1" t="s">
        <v>100</v>
      </c>
      <c r="W721">
        <v>3.2</v>
      </c>
      <c r="X721" s="1">
        <f t="shared" si="22"/>
        <v>8640.6199999999462</v>
      </c>
      <c r="Y721" s="1">
        <f t="shared" si="23"/>
        <v>7204.2099999999582</v>
      </c>
    </row>
    <row r="722" spans="1:25" x14ac:dyDescent="0.3">
      <c r="A722" s="1" t="s">
        <v>1735</v>
      </c>
      <c r="B722">
        <v>3</v>
      </c>
      <c r="C722">
        <v>27.99</v>
      </c>
      <c r="D722">
        <v>65.930000000000007</v>
      </c>
      <c r="E722" s="1" t="s">
        <v>325</v>
      </c>
      <c r="F722" s="1" t="s">
        <v>25</v>
      </c>
      <c r="G722">
        <v>3</v>
      </c>
      <c r="H722" s="1" t="s">
        <v>58</v>
      </c>
      <c r="I722" s="1" t="s">
        <v>75</v>
      </c>
      <c r="J722">
        <v>9</v>
      </c>
      <c r="K722">
        <v>27.99</v>
      </c>
      <c r="L722" s="1" t="s">
        <v>28</v>
      </c>
      <c r="M722" s="1" t="s">
        <v>61</v>
      </c>
      <c r="N722" s="1" t="s">
        <v>62</v>
      </c>
      <c r="O722" s="1" t="s">
        <v>31</v>
      </c>
      <c r="P722" s="2">
        <v>45726</v>
      </c>
      <c r="Q722" s="1" t="s">
        <v>1642</v>
      </c>
      <c r="R722" s="1" t="s">
        <v>1736</v>
      </c>
      <c r="S722" s="1" t="s">
        <v>47</v>
      </c>
      <c r="T722" s="1" t="s">
        <v>35</v>
      </c>
      <c r="U722" s="1" t="s">
        <v>48</v>
      </c>
      <c r="V722" s="1" t="s">
        <v>37</v>
      </c>
      <c r="W722">
        <v>2</v>
      </c>
      <c r="X722" s="1">
        <f t="shared" si="22"/>
        <v>8640.6199999999462</v>
      </c>
      <c r="Y722" s="1">
        <f t="shared" si="23"/>
        <v>7682.919999999951</v>
      </c>
    </row>
    <row r="723" spans="1:25" x14ac:dyDescent="0.3">
      <c r="A723" s="1" t="s">
        <v>1737</v>
      </c>
      <c r="B723">
        <v>1</v>
      </c>
      <c r="C723">
        <v>18.989999999999998</v>
      </c>
      <c r="D723">
        <v>18.989999999999998</v>
      </c>
      <c r="E723" s="1" t="s">
        <v>1738</v>
      </c>
      <c r="F723" s="1" t="s">
        <v>40</v>
      </c>
      <c r="G723">
        <v>10</v>
      </c>
      <c r="H723" s="1" t="s">
        <v>41</v>
      </c>
      <c r="I723" s="1" t="s">
        <v>97</v>
      </c>
      <c r="J723">
        <v>6</v>
      </c>
      <c r="K723">
        <v>18.989999999999998</v>
      </c>
      <c r="L723" s="1" t="s">
        <v>60</v>
      </c>
      <c r="M723" s="1" t="s">
        <v>43</v>
      </c>
      <c r="N723" s="1" t="s">
        <v>44</v>
      </c>
      <c r="O723" s="1" t="s">
        <v>31</v>
      </c>
      <c r="P723" s="2">
        <v>45823</v>
      </c>
      <c r="Q723" s="1" t="s">
        <v>1739</v>
      </c>
      <c r="R723" s="1" t="s">
        <v>1740</v>
      </c>
      <c r="S723" s="1" t="s">
        <v>65</v>
      </c>
      <c r="T723" s="1" t="s">
        <v>35</v>
      </c>
      <c r="U723" s="1" t="s">
        <v>36</v>
      </c>
      <c r="V723" s="1" t="s">
        <v>100</v>
      </c>
      <c r="W723">
        <v>3.2</v>
      </c>
      <c r="X723" s="1">
        <f t="shared" si="22"/>
        <v>8551.6499999999451</v>
      </c>
      <c r="Y723" s="1">
        <f t="shared" si="23"/>
        <v>6355.4899999999634</v>
      </c>
    </row>
    <row r="724" spans="1:25" x14ac:dyDescent="0.3">
      <c r="A724" s="1" t="s">
        <v>1741</v>
      </c>
      <c r="B724">
        <v>1</v>
      </c>
      <c r="C724">
        <v>30.99</v>
      </c>
      <c r="D724">
        <v>30.99</v>
      </c>
      <c r="E724" s="1" t="s">
        <v>1000</v>
      </c>
      <c r="F724" s="1" t="s">
        <v>51</v>
      </c>
      <c r="G724">
        <v>0</v>
      </c>
      <c r="H724" s="1" t="s">
        <v>96</v>
      </c>
      <c r="I724" s="1" t="s">
        <v>42</v>
      </c>
      <c r="J724">
        <v>10.5</v>
      </c>
      <c r="K724">
        <v>30.99</v>
      </c>
      <c r="L724" s="1" t="s">
        <v>28</v>
      </c>
      <c r="M724" s="1" t="s">
        <v>43</v>
      </c>
      <c r="N724" s="1" t="s">
        <v>44</v>
      </c>
      <c r="O724" s="1" t="s">
        <v>31</v>
      </c>
      <c r="P724" s="2">
        <v>45823</v>
      </c>
      <c r="Q724" s="1" t="s">
        <v>720</v>
      </c>
      <c r="R724" s="1" t="s">
        <v>721</v>
      </c>
      <c r="S724" s="1" t="s">
        <v>54</v>
      </c>
      <c r="T724" s="1" t="s">
        <v>35</v>
      </c>
      <c r="U724" s="1" t="s">
        <v>82</v>
      </c>
      <c r="V724" s="1" t="s">
        <v>37</v>
      </c>
      <c r="W724">
        <v>2</v>
      </c>
      <c r="X724" s="1">
        <f t="shared" si="22"/>
        <v>7844.9099999999507</v>
      </c>
      <c r="Y724" s="1">
        <f t="shared" si="23"/>
        <v>7204.2099999999582</v>
      </c>
    </row>
    <row r="725" spans="1:25" x14ac:dyDescent="0.3">
      <c r="A725" s="1" t="s">
        <v>1742</v>
      </c>
      <c r="B725">
        <v>1</v>
      </c>
      <c r="C725">
        <v>34.99</v>
      </c>
      <c r="D725">
        <v>34.99</v>
      </c>
      <c r="E725" s="1" t="s">
        <v>1743</v>
      </c>
      <c r="F725" s="1" t="s">
        <v>25</v>
      </c>
      <c r="G725">
        <v>8</v>
      </c>
      <c r="H725" s="1" t="s">
        <v>96</v>
      </c>
      <c r="I725" s="1" t="s">
        <v>85</v>
      </c>
      <c r="J725">
        <v>12.5</v>
      </c>
      <c r="K725">
        <v>34.99</v>
      </c>
      <c r="L725" s="1" t="s">
        <v>60</v>
      </c>
      <c r="M725" s="1" t="s">
        <v>29</v>
      </c>
      <c r="N725" s="1" t="s">
        <v>30</v>
      </c>
      <c r="O725" s="1" t="s">
        <v>31</v>
      </c>
      <c r="P725" s="2">
        <v>45778</v>
      </c>
      <c r="Q725" s="1" t="s">
        <v>859</v>
      </c>
      <c r="R725" s="1" t="s">
        <v>860</v>
      </c>
      <c r="S725" s="1" t="s">
        <v>34</v>
      </c>
      <c r="T725" s="1" t="s">
        <v>35</v>
      </c>
      <c r="U725" s="1" t="s">
        <v>48</v>
      </c>
      <c r="V725" s="1" t="s">
        <v>89</v>
      </c>
      <c r="W725">
        <v>2.4</v>
      </c>
      <c r="X725" s="1">
        <f t="shared" si="22"/>
        <v>7844.9099999999507</v>
      </c>
      <c r="Y725" s="1">
        <f t="shared" si="23"/>
        <v>7682.919999999951</v>
      </c>
    </row>
    <row r="726" spans="1:25" x14ac:dyDescent="0.3">
      <c r="A726" s="1" t="s">
        <v>1744</v>
      </c>
      <c r="B726">
        <v>3</v>
      </c>
      <c r="C726">
        <v>34.99</v>
      </c>
      <c r="D726">
        <v>83.71</v>
      </c>
      <c r="E726" s="1" t="s">
        <v>95</v>
      </c>
      <c r="F726" s="1" t="s">
        <v>40</v>
      </c>
      <c r="G726">
        <v>6</v>
      </c>
      <c r="H726" s="1" t="s">
        <v>26</v>
      </c>
      <c r="I726" s="1" t="s">
        <v>85</v>
      </c>
      <c r="J726">
        <v>12.5</v>
      </c>
      <c r="K726">
        <v>34.99</v>
      </c>
      <c r="L726" s="1" t="s">
        <v>60</v>
      </c>
      <c r="M726" s="1" t="s">
        <v>29</v>
      </c>
      <c r="N726" s="1" t="s">
        <v>30</v>
      </c>
      <c r="O726" s="1" t="s">
        <v>31</v>
      </c>
      <c r="P726" s="2">
        <v>45778</v>
      </c>
      <c r="Q726" s="1" t="s">
        <v>1376</v>
      </c>
      <c r="R726" s="1" t="s">
        <v>1745</v>
      </c>
      <c r="S726" s="1" t="s">
        <v>105</v>
      </c>
      <c r="T726" s="1" t="s">
        <v>35</v>
      </c>
      <c r="U726" s="1" t="s">
        <v>36</v>
      </c>
      <c r="V726" s="1" t="s">
        <v>89</v>
      </c>
      <c r="W726">
        <v>2.4</v>
      </c>
      <c r="X726" s="1">
        <f t="shared" si="22"/>
        <v>8313.6899999999459</v>
      </c>
      <c r="Y726" s="1">
        <f t="shared" si="23"/>
        <v>6355.4899999999634</v>
      </c>
    </row>
    <row r="727" spans="1:25" x14ac:dyDescent="0.3">
      <c r="A727" s="1" t="s">
        <v>1746</v>
      </c>
      <c r="B727">
        <v>1</v>
      </c>
      <c r="C727">
        <v>30.99</v>
      </c>
      <c r="D727">
        <v>30.99</v>
      </c>
      <c r="E727" s="1" t="s">
        <v>1648</v>
      </c>
      <c r="F727" s="1" t="s">
        <v>40</v>
      </c>
      <c r="G727">
        <v>3</v>
      </c>
      <c r="H727" s="1" t="s">
        <v>96</v>
      </c>
      <c r="I727" s="1" t="s">
        <v>42</v>
      </c>
      <c r="J727">
        <v>10.5</v>
      </c>
      <c r="K727">
        <v>30.99</v>
      </c>
      <c r="L727" s="1" t="s">
        <v>28</v>
      </c>
      <c r="M727" s="1" t="s">
        <v>43</v>
      </c>
      <c r="N727" s="1" t="s">
        <v>44</v>
      </c>
      <c r="O727" s="1" t="s">
        <v>31</v>
      </c>
      <c r="P727" s="2">
        <v>45823</v>
      </c>
      <c r="Q727" s="1" t="s">
        <v>1009</v>
      </c>
      <c r="R727" s="1" t="s">
        <v>1010</v>
      </c>
      <c r="S727" s="1" t="s">
        <v>47</v>
      </c>
      <c r="T727" s="1" t="s">
        <v>35</v>
      </c>
      <c r="U727" s="1" t="s">
        <v>82</v>
      </c>
      <c r="V727" s="1" t="s">
        <v>37</v>
      </c>
      <c r="W727">
        <v>2</v>
      </c>
      <c r="X727" s="1">
        <f t="shared" si="22"/>
        <v>7844.9099999999507</v>
      </c>
      <c r="Y727" s="1">
        <f t="shared" si="23"/>
        <v>7204.2099999999582</v>
      </c>
    </row>
    <row r="728" spans="1:25" x14ac:dyDescent="0.3">
      <c r="A728" s="1" t="s">
        <v>1747</v>
      </c>
      <c r="B728">
        <v>1</v>
      </c>
      <c r="C728">
        <v>34.99</v>
      </c>
      <c r="D728">
        <v>34.99</v>
      </c>
      <c r="E728" s="1" t="s">
        <v>1375</v>
      </c>
      <c r="F728" s="1" t="s">
        <v>40</v>
      </c>
      <c r="G728">
        <v>11</v>
      </c>
      <c r="H728" s="1" t="s">
        <v>96</v>
      </c>
      <c r="I728" s="1" t="s">
        <v>85</v>
      </c>
      <c r="J728">
        <v>12.5</v>
      </c>
      <c r="K728">
        <v>34.99</v>
      </c>
      <c r="L728" s="1" t="s">
        <v>60</v>
      </c>
      <c r="M728" s="1" t="s">
        <v>29</v>
      </c>
      <c r="N728" s="1" t="s">
        <v>30</v>
      </c>
      <c r="O728" s="1" t="s">
        <v>31</v>
      </c>
      <c r="P728" s="2">
        <v>45778</v>
      </c>
      <c r="Q728" s="1" t="s">
        <v>947</v>
      </c>
      <c r="R728" s="1" t="s">
        <v>1425</v>
      </c>
      <c r="S728" s="1" t="s">
        <v>88</v>
      </c>
      <c r="T728" s="1" t="s">
        <v>35</v>
      </c>
      <c r="U728" s="1" t="s">
        <v>55</v>
      </c>
      <c r="V728" s="1" t="s">
        <v>89</v>
      </c>
      <c r="W728">
        <v>2.4</v>
      </c>
      <c r="X728" s="1">
        <f t="shared" si="22"/>
        <v>7844.9099999999507</v>
      </c>
      <c r="Y728" s="1">
        <f t="shared" si="23"/>
        <v>5710.7699999999695</v>
      </c>
    </row>
    <row r="729" spans="1:25" x14ac:dyDescent="0.3">
      <c r="A729" s="1" t="s">
        <v>1748</v>
      </c>
      <c r="B729">
        <v>2</v>
      </c>
      <c r="C729">
        <v>30.99</v>
      </c>
      <c r="D729">
        <v>53.68</v>
      </c>
      <c r="E729" s="1" t="s">
        <v>1749</v>
      </c>
      <c r="F729" s="1" t="s">
        <v>40</v>
      </c>
      <c r="G729">
        <v>3</v>
      </c>
      <c r="H729" s="1" t="s">
        <v>58</v>
      </c>
      <c r="I729" s="1" t="s">
        <v>42</v>
      </c>
      <c r="J729">
        <v>10.5</v>
      </c>
      <c r="K729">
        <v>30.99</v>
      </c>
      <c r="L729" s="1" t="s">
        <v>28</v>
      </c>
      <c r="M729" s="1" t="s">
        <v>43</v>
      </c>
      <c r="N729" s="1" t="s">
        <v>44</v>
      </c>
      <c r="O729" s="1" t="s">
        <v>31</v>
      </c>
      <c r="P729" s="2">
        <v>45823</v>
      </c>
      <c r="Q729" s="1" t="s">
        <v>732</v>
      </c>
      <c r="R729" s="1" t="s">
        <v>733</v>
      </c>
      <c r="S729" s="1" t="s">
        <v>65</v>
      </c>
      <c r="T729" s="1" t="s">
        <v>35</v>
      </c>
      <c r="U729" s="1" t="s">
        <v>48</v>
      </c>
      <c r="V729" s="1" t="s">
        <v>37</v>
      </c>
      <c r="W729">
        <v>2</v>
      </c>
      <c r="X729" s="1">
        <f t="shared" si="22"/>
        <v>8640.6199999999462</v>
      </c>
      <c r="Y729" s="1">
        <f t="shared" si="23"/>
        <v>7682.919999999951</v>
      </c>
    </row>
    <row r="730" spans="1:25" x14ac:dyDescent="0.3">
      <c r="A730" s="1" t="s">
        <v>1750</v>
      </c>
      <c r="B730">
        <v>1</v>
      </c>
      <c r="C730">
        <v>27.99</v>
      </c>
      <c r="D730">
        <v>27.99</v>
      </c>
      <c r="E730" s="1" t="s">
        <v>1178</v>
      </c>
      <c r="F730" s="1" t="s">
        <v>40</v>
      </c>
      <c r="G730">
        <v>3</v>
      </c>
      <c r="H730" s="1" t="s">
        <v>96</v>
      </c>
      <c r="I730" s="1" t="s">
        <v>75</v>
      </c>
      <c r="J730">
        <v>9</v>
      </c>
      <c r="K730">
        <v>27.99</v>
      </c>
      <c r="L730" s="1" t="s">
        <v>28</v>
      </c>
      <c r="M730" s="1" t="s">
        <v>61</v>
      </c>
      <c r="N730" s="1" t="s">
        <v>62</v>
      </c>
      <c r="O730" s="1" t="s">
        <v>31</v>
      </c>
      <c r="P730" s="2">
        <v>45726</v>
      </c>
      <c r="Q730" s="1" t="s">
        <v>957</v>
      </c>
      <c r="R730" s="1" t="s">
        <v>958</v>
      </c>
      <c r="S730" s="1" t="s">
        <v>105</v>
      </c>
      <c r="T730" s="1" t="s">
        <v>35</v>
      </c>
      <c r="U730" s="1" t="s">
        <v>66</v>
      </c>
      <c r="V730" s="1" t="s">
        <v>37</v>
      </c>
      <c r="W730">
        <v>2</v>
      </c>
      <c r="X730" s="1">
        <f t="shared" si="22"/>
        <v>7844.9099999999507</v>
      </c>
      <c r="Y730" s="1">
        <f t="shared" si="23"/>
        <v>6397.4799999999632</v>
      </c>
    </row>
    <row r="731" spans="1:25" x14ac:dyDescent="0.3">
      <c r="A731" s="1" t="s">
        <v>1751</v>
      </c>
      <c r="B731">
        <v>1</v>
      </c>
      <c r="C731">
        <v>18.989999999999998</v>
      </c>
      <c r="D731">
        <v>18.989999999999998</v>
      </c>
      <c r="E731" s="1" t="s">
        <v>1752</v>
      </c>
      <c r="F731" s="1" t="s">
        <v>70</v>
      </c>
      <c r="G731">
        <v>0</v>
      </c>
      <c r="H731" s="1" t="s">
        <v>96</v>
      </c>
      <c r="I731" s="1" t="s">
        <v>97</v>
      </c>
      <c r="J731">
        <v>6</v>
      </c>
      <c r="K731">
        <v>18.989999999999998</v>
      </c>
      <c r="L731" s="1" t="s">
        <v>60</v>
      </c>
      <c r="M731" s="1" t="s">
        <v>43</v>
      </c>
      <c r="N731" s="1" t="s">
        <v>44</v>
      </c>
      <c r="O731" s="1" t="s">
        <v>31</v>
      </c>
      <c r="P731" s="2">
        <v>45823</v>
      </c>
      <c r="Q731" s="1" t="s">
        <v>1753</v>
      </c>
      <c r="R731" s="1" t="s">
        <v>1754</v>
      </c>
      <c r="S731" s="1" t="s">
        <v>54</v>
      </c>
      <c r="T731" s="1" t="s">
        <v>35</v>
      </c>
      <c r="U731" s="1" t="s">
        <v>66</v>
      </c>
      <c r="V731" s="1" t="s">
        <v>100</v>
      </c>
      <c r="W731">
        <v>3.2</v>
      </c>
      <c r="X731" s="1">
        <f t="shared" si="22"/>
        <v>7844.9099999999507</v>
      </c>
      <c r="Y731" s="1">
        <f t="shared" si="23"/>
        <v>6397.4799999999632</v>
      </c>
    </row>
    <row r="732" spans="1:25" x14ac:dyDescent="0.3">
      <c r="A732" s="1" t="s">
        <v>1755</v>
      </c>
      <c r="B732">
        <v>1</v>
      </c>
      <c r="C732">
        <v>34.99</v>
      </c>
      <c r="D732">
        <v>34.99</v>
      </c>
      <c r="E732" s="1" t="s">
        <v>248</v>
      </c>
      <c r="F732" s="1" t="s">
        <v>40</v>
      </c>
      <c r="G732">
        <v>7</v>
      </c>
      <c r="H732" s="1" t="s">
        <v>26</v>
      </c>
      <c r="I732" s="1" t="s">
        <v>85</v>
      </c>
      <c r="J732">
        <v>12.5</v>
      </c>
      <c r="K732">
        <v>34.99</v>
      </c>
      <c r="L732" s="1" t="s">
        <v>60</v>
      </c>
      <c r="M732" s="1" t="s">
        <v>29</v>
      </c>
      <c r="N732" s="1" t="s">
        <v>30</v>
      </c>
      <c r="O732" s="1" t="s">
        <v>31</v>
      </c>
      <c r="P732" s="2">
        <v>45778</v>
      </c>
      <c r="Q732" s="1" t="s">
        <v>544</v>
      </c>
      <c r="R732" s="1" t="s">
        <v>1756</v>
      </c>
      <c r="S732" s="1" t="s">
        <v>54</v>
      </c>
      <c r="T732" s="1" t="s">
        <v>35</v>
      </c>
      <c r="U732" s="1" t="s">
        <v>55</v>
      </c>
      <c r="V732" s="1" t="s">
        <v>89</v>
      </c>
      <c r="W732">
        <v>2.4</v>
      </c>
      <c r="X732" s="1">
        <f t="shared" si="22"/>
        <v>8313.6899999999459</v>
      </c>
      <c r="Y732" s="1">
        <f t="shared" si="23"/>
        <v>5710.7699999999695</v>
      </c>
    </row>
    <row r="733" spans="1:25" x14ac:dyDescent="0.3">
      <c r="A733" s="1" t="s">
        <v>1757</v>
      </c>
      <c r="B733">
        <v>2</v>
      </c>
      <c r="C733">
        <v>30.99</v>
      </c>
      <c r="D733">
        <v>53.56</v>
      </c>
      <c r="E733" s="1" t="s">
        <v>577</v>
      </c>
      <c r="F733" s="1" t="s">
        <v>40</v>
      </c>
      <c r="G733">
        <v>2</v>
      </c>
      <c r="H733" s="1" t="s">
        <v>96</v>
      </c>
      <c r="I733" s="1" t="s">
        <v>42</v>
      </c>
      <c r="J733">
        <v>10.5</v>
      </c>
      <c r="K733">
        <v>30.99</v>
      </c>
      <c r="L733" s="1" t="s">
        <v>28</v>
      </c>
      <c r="M733" s="1" t="s">
        <v>43</v>
      </c>
      <c r="N733" s="1" t="s">
        <v>44</v>
      </c>
      <c r="O733" s="1" t="s">
        <v>31</v>
      </c>
      <c r="P733" s="2">
        <v>45823</v>
      </c>
      <c r="Q733" s="1" t="s">
        <v>869</v>
      </c>
      <c r="R733" s="1" t="s">
        <v>870</v>
      </c>
      <c r="S733" s="1" t="s">
        <v>88</v>
      </c>
      <c r="T733" s="1" t="s">
        <v>35</v>
      </c>
      <c r="U733" s="1" t="s">
        <v>55</v>
      </c>
      <c r="V733" s="1" t="s">
        <v>37</v>
      </c>
      <c r="W733">
        <v>2</v>
      </c>
      <c r="X733" s="1">
        <f t="shared" si="22"/>
        <v>7844.9099999999507</v>
      </c>
      <c r="Y733" s="1">
        <f t="shared" si="23"/>
        <v>5710.7699999999695</v>
      </c>
    </row>
    <row r="734" spans="1:25" x14ac:dyDescent="0.3">
      <c r="A734" s="1" t="s">
        <v>1758</v>
      </c>
      <c r="B734">
        <v>1</v>
      </c>
      <c r="C734">
        <v>34.99</v>
      </c>
      <c r="D734">
        <v>34.99</v>
      </c>
      <c r="E734" s="1" t="s">
        <v>1310</v>
      </c>
      <c r="F734" s="1" t="s">
        <v>40</v>
      </c>
      <c r="G734">
        <v>6</v>
      </c>
      <c r="H734" s="1" t="s">
        <v>41</v>
      </c>
      <c r="I734" s="1" t="s">
        <v>85</v>
      </c>
      <c r="J734">
        <v>12.5</v>
      </c>
      <c r="K734">
        <v>34.99</v>
      </c>
      <c r="L734" s="1" t="s">
        <v>60</v>
      </c>
      <c r="M734" s="1" t="s">
        <v>29</v>
      </c>
      <c r="N734" s="1" t="s">
        <v>30</v>
      </c>
      <c r="O734" s="1" t="s">
        <v>31</v>
      </c>
      <c r="P734" s="2">
        <v>45778</v>
      </c>
      <c r="Q734" s="1" t="s">
        <v>1356</v>
      </c>
      <c r="R734" s="1" t="s">
        <v>1357</v>
      </c>
      <c r="S734" s="1" t="s">
        <v>34</v>
      </c>
      <c r="T734" s="1" t="s">
        <v>35</v>
      </c>
      <c r="U734" s="1" t="s">
        <v>55</v>
      </c>
      <c r="V734" s="1" t="s">
        <v>89</v>
      </c>
      <c r="W734">
        <v>2.4</v>
      </c>
      <c r="X734" s="1">
        <f t="shared" si="22"/>
        <v>8551.6499999999451</v>
      </c>
      <c r="Y734" s="1">
        <f t="shared" si="23"/>
        <v>5710.7699999999695</v>
      </c>
    </row>
    <row r="735" spans="1:25" x14ac:dyDescent="0.3">
      <c r="A735" s="1" t="s">
        <v>1759</v>
      </c>
      <c r="B735">
        <v>1</v>
      </c>
      <c r="C735">
        <v>30.99</v>
      </c>
      <c r="D735">
        <v>30.99</v>
      </c>
      <c r="E735" s="1" t="s">
        <v>1760</v>
      </c>
      <c r="F735" s="1" t="s">
        <v>40</v>
      </c>
      <c r="G735">
        <v>2</v>
      </c>
      <c r="H735" s="1" t="s">
        <v>58</v>
      </c>
      <c r="I735" s="1" t="s">
        <v>42</v>
      </c>
      <c r="J735">
        <v>10.5</v>
      </c>
      <c r="K735">
        <v>30.99</v>
      </c>
      <c r="L735" s="1" t="s">
        <v>28</v>
      </c>
      <c r="M735" s="1" t="s">
        <v>43</v>
      </c>
      <c r="N735" s="1" t="s">
        <v>44</v>
      </c>
      <c r="O735" s="1" t="s">
        <v>31</v>
      </c>
      <c r="P735" s="2">
        <v>45823</v>
      </c>
      <c r="Q735" s="1" t="s">
        <v>1761</v>
      </c>
      <c r="R735" s="1" t="s">
        <v>1762</v>
      </c>
      <c r="S735" s="1" t="s">
        <v>88</v>
      </c>
      <c r="T735" s="1" t="s">
        <v>35</v>
      </c>
      <c r="U735" s="1" t="s">
        <v>82</v>
      </c>
      <c r="V735" s="1" t="s">
        <v>37</v>
      </c>
      <c r="W735">
        <v>2</v>
      </c>
      <c r="X735" s="1">
        <f t="shared" si="22"/>
        <v>8640.6199999999462</v>
      </c>
      <c r="Y735" s="1">
        <f t="shared" si="23"/>
        <v>7204.2099999999582</v>
      </c>
    </row>
    <row r="736" spans="1:25" x14ac:dyDescent="0.3">
      <c r="A736" s="1" t="s">
        <v>1763</v>
      </c>
      <c r="B736">
        <v>2</v>
      </c>
      <c r="C736">
        <v>18.989999999999998</v>
      </c>
      <c r="D736">
        <v>32.880000000000003</v>
      </c>
      <c r="E736" s="1" t="s">
        <v>1764</v>
      </c>
      <c r="F736" s="1" t="s">
        <v>40</v>
      </c>
      <c r="G736">
        <v>12</v>
      </c>
      <c r="H736" s="1" t="s">
        <v>26</v>
      </c>
      <c r="I736" s="1" t="s">
        <v>97</v>
      </c>
      <c r="J736">
        <v>6</v>
      </c>
      <c r="K736">
        <v>18.989999999999998</v>
      </c>
      <c r="L736" s="1" t="s">
        <v>60</v>
      </c>
      <c r="M736" s="1" t="s">
        <v>43</v>
      </c>
      <c r="N736" s="1" t="s">
        <v>44</v>
      </c>
      <c r="O736" s="1" t="s">
        <v>31</v>
      </c>
      <c r="P736" s="2">
        <v>45823</v>
      </c>
      <c r="Q736" s="1" t="s">
        <v>768</v>
      </c>
      <c r="R736" s="1" t="s">
        <v>769</v>
      </c>
      <c r="S736" s="1" t="s">
        <v>54</v>
      </c>
      <c r="T736" s="1" t="s">
        <v>35</v>
      </c>
      <c r="U736" s="1" t="s">
        <v>36</v>
      </c>
      <c r="V736" s="1" t="s">
        <v>100</v>
      </c>
      <c r="W736">
        <v>3.2</v>
      </c>
      <c r="X736" s="1">
        <f t="shared" si="22"/>
        <v>8313.6899999999459</v>
      </c>
      <c r="Y736" s="1">
        <f t="shared" si="23"/>
        <v>6355.4899999999634</v>
      </c>
    </row>
    <row r="737" spans="1:25" x14ac:dyDescent="0.3">
      <c r="A737" s="1" t="s">
        <v>1765</v>
      </c>
      <c r="B737">
        <v>1</v>
      </c>
      <c r="C737">
        <v>30.99</v>
      </c>
      <c r="D737">
        <v>30.99</v>
      </c>
      <c r="E737" s="1" t="s">
        <v>1115</v>
      </c>
      <c r="F737" s="1" t="s">
        <v>40</v>
      </c>
      <c r="G737">
        <v>2</v>
      </c>
      <c r="H737" s="1" t="s">
        <v>41</v>
      </c>
      <c r="I737" s="1" t="s">
        <v>42</v>
      </c>
      <c r="J737">
        <v>10.5</v>
      </c>
      <c r="K737">
        <v>30.99</v>
      </c>
      <c r="L737" s="1" t="s">
        <v>28</v>
      </c>
      <c r="M737" s="1" t="s">
        <v>43</v>
      </c>
      <c r="N737" s="1" t="s">
        <v>44</v>
      </c>
      <c r="O737" s="1" t="s">
        <v>31</v>
      </c>
      <c r="P737" s="2">
        <v>45823</v>
      </c>
      <c r="Q737" s="1" t="s">
        <v>1319</v>
      </c>
      <c r="R737" s="1" t="s">
        <v>1320</v>
      </c>
      <c r="S737" s="1" t="s">
        <v>54</v>
      </c>
      <c r="T737" s="1" t="s">
        <v>35</v>
      </c>
      <c r="U737" s="1" t="s">
        <v>82</v>
      </c>
      <c r="V737" s="1" t="s">
        <v>37</v>
      </c>
      <c r="W737">
        <v>2</v>
      </c>
      <c r="X737" s="1">
        <f t="shared" si="22"/>
        <v>8551.6499999999451</v>
      </c>
      <c r="Y737" s="1">
        <f t="shared" si="23"/>
        <v>7204.2099999999582</v>
      </c>
    </row>
    <row r="738" spans="1:25" x14ac:dyDescent="0.3">
      <c r="A738" s="1" t="s">
        <v>1766</v>
      </c>
      <c r="B738">
        <v>1</v>
      </c>
      <c r="C738">
        <v>34.99</v>
      </c>
      <c r="D738">
        <v>34.99</v>
      </c>
      <c r="E738" s="1" t="s">
        <v>827</v>
      </c>
      <c r="F738" s="1" t="s">
        <v>40</v>
      </c>
      <c r="G738">
        <v>8</v>
      </c>
      <c r="H738" s="1" t="s">
        <v>26</v>
      </c>
      <c r="I738" s="1" t="s">
        <v>85</v>
      </c>
      <c r="J738">
        <v>12.5</v>
      </c>
      <c r="K738">
        <v>34.99</v>
      </c>
      <c r="L738" s="1" t="s">
        <v>60</v>
      </c>
      <c r="M738" s="1" t="s">
        <v>29</v>
      </c>
      <c r="N738" s="1" t="s">
        <v>30</v>
      </c>
      <c r="O738" s="1" t="s">
        <v>31</v>
      </c>
      <c r="P738" s="2">
        <v>45778</v>
      </c>
      <c r="Q738" s="1" t="s">
        <v>732</v>
      </c>
      <c r="R738" s="1" t="s">
        <v>1263</v>
      </c>
      <c r="S738" s="1" t="s">
        <v>88</v>
      </c>
      <c r="T738" s="1" t="s">
        <v>35</v>
      </c>
      <c r="U738" s="1" t="s">
        <v>82</v>
      </c>
      <c r="V738" s="1" t="s">
        <v>89</v>
      </c>
      <c r="W738">
        <v>2.4</v>
      </c>
      <c r="X738" s="1">
        <f t="shared" si="22"/>
        <v>8313.6899999999459</v>
      </c>
      <c r="Y738" s="1">
        <f t="shared" si="23"/>
        <v>7204.2099999999582</v>
      </c>
    </row>
    <row r="739" spans="1:25" x14ac:dyDescent="0.3">
      <c r="A739" s="1" t="s">
        <v>1767</v>
      </c>
      <c r="B739">
        <v>2</v>
      </c>
      <c r="C739">
        <v>27.99</v>
      </c>
      <c r="D739">
        <v>48.82</v>
      </c>
      <c r="E739" s="1" t="s">
        <v>719</v>
      </c>
      <c r="F739" s="1" t="s">
        <v>40</v>
      </c>
      <c r="G739">
        <v>3</v>
      </c>
      <c r="H739" s="1" t="s">
        <v>26</v>
      </c>
      <c r="I739" s="1" t="s">
        <v>75</v>
      </c>
      <c r="J739">
        <v>9</v>
      </c>
      <c r="K739">
        <v>27.99</v>
      </c>
      <c r="L739" s="1" t="s">
        <v>28</v>
      </c>
      <c r="M739" s="1" t="s">
        <v>61</v>
      </c>
      <c r="N739" s="1" t="s">
        <v>62</v>
      </c>
      <c r="O739" s="1" t="s">
        <v>31</v>
      </c>
      <c r="P739" s="2">
        <v>45726</v>
      </c>
      <c r="Q739" s="1" t="s">
        <v>745</v>
      </c>
      <c r="R739" s="1" t="s">
        <v>746</v>
      </c>
      <c r="S739" s="1" t="s">
        <v>105</v>
      </c>
      <c r="T739" s="1" t="s">
        <v>35</v>
      </c>
      <c r="U739" s="1" t="s">
        <v>48</v>
      </c>
      <c r="V739" s="1" t="s">
        <v>37</v>
      </c>
      <c r="W739">
        <v>2</v>
      </c>
      <c r="X739" s="1">
        <f t="shared" si="22"/>
        <v>8313.6899999999459</v>
      </c>
      <c r="Y739" s="1">
        <f t="shared" si="23"/>
        <v>7682.919999999951</v>
      </c>
    </row>
    <row r="740" spans="1:25" x14ac:dyDescent="0.3">
      <c r="A740" s="1" t="s">
        <v>1768</v>
      </c>
      <c r="B740">
        <v>3</v>
      </c>
      <c r="C740">
        <v>27.99</v>
      </c>
      <c r="D740">
        <v>67.36</v>
      </c>
      <c r="E740" s="1" t="s">
        <v>1233</v>
      </c>
      <c r="F740" s="1" t="s">
        <v>40</v>
      </c>
      <c r="G740">
        <v>3</v>
      </c>
      <c r="H740" s="1" t="s">
        <v>58</v>
      </c>
      <c r="I740" s="1" t="s">
        <v>75</v>
      </c>
      <c r="J740">
        <v>9</v>
      </c>
      <c r="K740">
        <v>27.99</v>
      </c>
      <c r="L740" s="1" t="s">
        <v>28</v>
      </c>
      <c r="M740" s="1" t="s">
        <v>61</v>
      </c>
      <c r="N740" s="1" t="s">
        <v>62</v>
      </c>
      <c r="O740" s="1" t="s">
        <v>31</v>
      </c>
      <c r="P740" s="2">
        <v>45726</v>
      </c>
      <c r="Q740" s="1" t="s">
        <v>1533</v>
      </c>
      <c r="R740" s="1" t="s">
        <v>1635</v>
      </c>
      <c r="S740" s="1" t="s">
        <v>105</v>
      </c>
      <c r="T740" s="1" t="s">
        <v>35</v>
      </c>
      <c r="U740" s="1" t="s">
        <v>36</v>
      </c>
      <c r="V740" s="1" t="s">
        <v>37</v>
      </c>
      <c r="W740">
        <v>2</v>
      </c>
      <c r="X740" s="1">
        <f t="shared" si="22"/>
        <v>8640.6199999999462</v>
      </c>
      <c r="Y740" s="1">
        <f t="shared" si="23"/>
        <v>6355.4899999999634</v>
      </c>
    </row>
    <row r="741" spans="1:25" x14ac:dyDescent="0.3">
      <c r="A741" s="1" t="s">
        <v>1769</v>
      </c>
      <c r="B741">
        <v>3</v>
      </c>
      <c r="C741">
        <v>30.99</v>
      </c>
      <c r="D741">
        <v>73.75</v>
      </c>
      <c r="E741" s="1" t="s">
        <v>1002</v>
      </c>
      <c r="F741" s="1" t="s">
        <v>40</v>
      </c>
      <c r="G741">
        <v>3</v>
      </c>
      <c r="H741" s="1" t="s">
        <v>58</v>
      </c>
      <c r="I741" s="1" t="s">
        <v>42</v>
      </c>
      <c r="J741">
        <v>10.5</v>
      </c>
      <c r="K741">
        <v>30.99</v>
      </c>
      <c r="L741" s="1" t="s">
        <v>28</v>
      </c>
      <c r="M741" s="1" t="s">
        <v>43</v>
      </c>
      <c r="N741" s="1" t="s">
        <v>44</v>
      </c>
      <c r="O741" s="1" t="s">
        <v>31</v>
      </c>
      <c r="P741" s="2">
        <v>45823</v>
      </c>
      <c r="Q741" s="1" t="s">
        <v>1770</v>
      </c>
      <c r="R741" s="1" t="s">
        <v>1771</v>
      </c>
      <c r="S741" s="1" t="s">
        <v>34</v>
      </c>
      <c r="T741" s="1" t="s">
        <v>35</v>
      </c>
      <c r="U741" s="1" t="s">
        <v>55</v>
      </c>
      <c r="V741" s="1" t="s">
        <v>37</v>
      </c>
      <c r="W741">
        <v>2</v>
      </c>
      <c r="X741" s="1">
        <f t="shared" si="22"/>
        <v>8640.6199999999462</v>
      </c>
      <c r="Y741" s="1">
        <f t="shared" si="23"/>
        <v>5710.7699999999695</v>
      </c>
    </row>
    <row r="742" spans="1:25" x14ac:dyDescent="0.3">
      <c r="A742" s="1" t="s">
        <v>1772</v>
      </c>
      <c r="B742">
        <v>1</v>
      </c>
      <c r="C742">
        <v>16.989999999999998</v>
      </c>
      <c r="D742">
        <v>16.989999999999998</v>
      </c>
      <c r="E742" s="1" t="s">
        <v>782</v>
      </c>
      <c r="F742" s="1" t="s">
        <v>40</v>
      </c>
      <c r="G742">
        <v>16</v>
      </c>
      <c r="H742" s="1" t="s">
        <v>58</v>
      </c>
      <c r="I742" s="1" t="s">
        <v>59</v>
      </c>
      <c r="J742">
        <v>5</v>
      </c>
      <c r="K742">
        <v>16.989999999999998</v>
      </c>
      <c r="L742" s="1" t="s">
        <v>60</v>
      </c>
      <c r="M742" s="1" t="s">
        <v>61</v>
      </c>
      <c r="N742" s="1" t="s">
        <v>62</v>
      </c>
      <c r="O742" s="1" t="s">
        <v>31</v>
      </c>
      <c r="P742" s="2">
        <v>45726</v>
      </c>
      <c r="Q742" s="1" t="s">
        <v>437</v>
      </c>
      <c r="R742" s="1" t="s">
        <v>1045</v>
      </c>
      <c r="S742" s="1" t="s">
        <v>34</v>
      </c>
      <c r="T742" s="1" t="s">
        <v>35</v>
      </c>
      <c r="U742" s="1" t="s">
        <v>66</v>
      </c>
      <c r="V742" s="1" t="s">
        <v>67</v>
      </c>
      <c r="W742">
        <v>3</v>
      </c>
      <c r="X742" s="1">
        <f t="shared" si="22"/>
        <v>8640.6199999999462</v>
      </c>
      <c r="Y742" s="1">
        <f t="shared" si="23"/>
        <v>6397.4799999999632</v>
      </c>
    </row>
    <row r="743" spans="1:25" x14ac:dyDescent="0.3">
      <c r="A743" s="1" t="s">
        <v>1773</v>
      </c>
      <c r="B743">
        <v>1</v>
      </c>
      <c r="C743">
        <v>30.99</v>
      </c>
      <c r="D743">
        <v>30.99</v>
      </c>
      <c r="E743" s="1" t="s">
        <v>136</v>
      </c>
      <c r="F743" s="1" t="s">
        <v>70</v>
      </c>
      <c r="G743">
        <v>0</v>
      </c>
      <c r="H743" s="1" t="s">
        <v>26</v>
      </c>
      <c r="I743" s="1" t="s">
        <v>42</v>
      </c>
      <c r="J743">
        <v>10.5</v>
      </c>
      <c r="K743">
        <v>30.99</v>
      </c>
      <c r="L743" s="1" t="s">
        <v>28</v>
      </c>
      <c r="M743" s="1" t="s">
        <v>43</v>
      </c>
      <c r="N743" s="1" t="s">
        <v>44</v>
      </c>
      <c r="O743" s="1" t="s">
        <v>31</v>
      </c>
      <c r="P743" s="2">
        <v>45823</v>
      </c>
      <c r="Q743" s="1" t="s">
        <v>1676</v>
      </c>
      <c r="R743" s="1" t="s">
        <v>1774</v>
      </c>
      <c r="S743" s="1" t="s">
        <v>54</v>
      </c>
      <c r="T743" s="1" t="s">
        <v>35</v>
      </c>
      <c r="U743" s="1" t="s">
        <v>36</v>
      </c>
      <c r="V743" s="1" t="s">
        <v>37</v>
      </c>
      <c r="W743">
        <v>2</v>
      </c>
      <c r="X743" s="1">
        <f t="shared" si="22"/>
        <v>8313.6899999999459</v>
      </c>
      <c r="Y743" s="1">
        <f t="shared" si="23"/>
        <v>6355.4899999999634</v>
      </c>
    </row>
    <row r="744" spans="1:25" x14ac:dyDescent="0.3">
      <c r="A744" s="1" t="s">
        <v>1775</v>
      </c>
      <c r="B744">
        <v>1</v>
      </c>
      <c r="C744">
        <v>27.99</v>
      </c>
      <c r="D744">
        <v>27.99</v>
      </c>
      <c r="E744" s="1" t="s">
        <v>561</v>
      </c>
      <c r="F744" s="1" t="s">
        <v>40</v>
      </c>
      <c r="G744">
        <v>2</v>
      </c>
      <c r="H744" s="1" t="s">
        <v>26</v>
      </c>
      <c r="I744" s="1" t="s">
        <v>75</v>
      </c>
      <c r="J744">
        <v>9</v>
      </c>
      <c r="K744">
        <v>27.99</v>
      </c>
      <c r="L744" s="1" t="s">
        <v>28</v>
      </c>
      <c r="M744" s="1" t="s">
        <v>61</v>
      </c>
      <c r="N744" s="1" t="s">
        <v>62</v>
      </c>
      <c r="O744" s="1" t="s">
        <v>31</v>
      </c>
      <c r="P744" s="2">
        <v>45726</v>
      </c>
      <c r="Q744" s="1" t="s">
        <v>1144</v>
      </c>
      <c r="R744" s="1" t="s">
        <v>1145</v>
      </c>
      <c r="S744" s="1" t="s">
        <v>105</v>
      </c>
      <c r="T744" s="1" t="s">
        <v>35</v>
      </c>
      <c r="U744" s="1" t="s">
        <v>36</v>
      </c>
      <c r="V744" s="1" t="s">
        <v>37</v>
      </c>
      <c r="W744">
        <v>2</v>
      </c>
      <c r="X744" s="1">
        <f t="shared" si="22"/>
        <v>8313.6899999999459</v>
      </c>
      <c r="Y744" s="1">
        <f t="shared" si="23"/>
        <v>6355.4899999999634</v>
      </c>
    </row>
    <row r="745" spans="1:25" x14ac:dyDescent="0.3">
      <c r="A745" s="1" t="s">
        <v>1776</v>
      </c>
      <c r="B745">
        <v>1</v>
      </c>
      <c r="C745">
        <v>27.99</v>
      </c>
      <c r="D745">
        <v>27.99</v>
      </c>
      <c r="E745" s="1" t="s">
        <v>317</v>
      </c>
      <c r="F745" s="1" t="s">
        <v>40</v>
      </c>
      <c r="G745">
        <v>3</v>
      </c>
      <c r="H745" s="1" t="s">
        <v>26</v>
      </c>
      <c r="I745" s="1" t="s">
        <v>75</v>
      </c>
      <c r="J745">
        <v>9</v>
      </c>
      <c r="K745">
        <v>27.99</v>
      </c>
      <c r="L745" s="1" t="s">
        <v>28</v>
      </c>
      <c r="M745" s="1" t="s">
        <v>61</v>
      </c>
      <c r="N745" s="1" t="s">
        <v>62</v>
      </c>
      <c r="O745" s="1" t="s">
        <v>31</v>
      </c>
      <c r="P745" s="2">
        <v>45726</v>
      </c>
      <c r="Q745" s="1" t="s">
        <v>748</v>
      </c>
      <c r="R745" s="1" t="s">
        <v>749</v>
      </c>
      <c r="S745" s="1" t="s">
        <v>88</v>
      </c>
      <c r="T745" s="1" t="s">
        <v>35</v>
      </c>
      <c r="U745" s="1" t="s">
        <v>48</v>
      </c>
      <c r="V745" s="1" t="s">
        <v>37</v>
      </c>
      <c r="W745">
        <v>2</v>
      </c>
      <c r="X745" s="1">
        <f t="shared" si="22"/>
        <v>8313.6899999999459</v>
      </c>
      <c r="Y745" s="1">
        <f t="shared" si="23"/>
        <v>7682.919999999951</v>
      </c>
    </row>
    <row r="746" spans="1:25" x14ac:dyDescent="0.3">
      <c r="A746" s="1" t="s">
        <v>1777</v>
      </c>
      <c r="B746">
        <v>3</v>
      </c>
      <c r="C746">
        <v>18.989999999999998</v>
      </c>
      <c r="D746">
        <v>45.99</v>
      </c>
      <c r="E746" s="1" t="s">
        <v>24</v>
      </c>
      <c r="F746" s="1" t="s">
        <v>40</v>
      </c>
      <c r="G746">
        <v>15</v>
      </c>
      <c r="H746" s="1" t="s">
        <v>26</v>
      </c>
      <c r="I746" s="1" t="s">
        <v>97</v>
      </c>
      <c r="J746">
        <v>6</v>
      </c>
      <c r="K746">
        <v>18.989999999999998</v>
      </c>
      <c r="L746" s="1" t="s">
        <v>60</v>
      </c>
      <c r="M746" s="1" t="s">
        <v>43</v>
      </c>
      <c r="N746" s="1" t="s">
        <v>44</v>
      </c>
      <c r="O746" s="1" t="s">
        <v>31</v>
      </c>
      <c r="P746" s="2">
        <v>45823</v>
      </c>
      <c r="Q746" s="1" t="s">
        <v>842</v>
      </c>
      <c r="R746" s="1" t="s">
        <v>1504</v>
      </c>
      <c r="S746" s="1" t="s">
        <v>47</v>
      </c>
      <c r="T746" s="1" t="s">
        <v>35</v>
      </c>
      <c r="U746" s="1" t="s">
        <v>66</v>
      </c>
      <c r="V746" s="1" t="s">
        <v>100</v>
      </c>
      <c r="W746">
        <v>3.2</v>
      </c>
      <c r="X746" s="1">
        <f t="shared" si="22"/>
        <v>8313.6899999999459</v>
      </c>
      <c r="Y746" s="1">
        <f t="shared" si="23"/>
        <v>6397.4799999999632</v>
      </c>
    </row>
    <row r="747" spans="1:25" x14ac:dyDescent="0.3">
      <c r="A747" s="1" t="s">
        <v>1778</v>
      </c>
      <c r="B747">
        <v>2</v>
      </c>
      <c r="C747">
        <v>34.99</v>
      </c>
      <c r="D747">
        <v>60.99</v>
      </c>
      <c r="E747" s="1" t="s">
        <v>1598</v>
      </c>
      <c r="F747" s="1" t="s">
        <v>51</v>
      </c>
      <c r="G747">
        <v>0</v>
      </c>
      <c r="H747" s="1" t="s">
        <v>58</v>
      </c>
      <c r="I747" s="1" t="s">
        <v>85</v>
      </c>
      <c r="J747">
        <v>12.5</v>
      </c>
      <c r="K747">
        <v>34.99</v>
      </c>
      <c r="L747" s="1" t="s">
        <v>60</v>
      </c>
      <c r="M747" s="1" t="s">
        <v>29</v>
      </c>
      <c r="N747" s="1" t="s">
        <v>30</v>
      </c>
      <c r="O747" s="1" t="s">
        <v>31</v>
      </c>
      <c r="P747" s="2">
        <v>45778</v>
      </c>
      <c r="Q747" s="1" t="s">
        <v>1035</v>
      </c>
      <c r="R747" s="1" t="s">
        <v>1036</v>
      </c>
      <c r="S747" s="1" t="s">
        <v>54</v>
      </c>
      <c r="T747" s="1" t="s">
        <v>35</v>
      </c>
      <c r="U747" s="1" t="s">
        <v>66</v>
      </c>
      <c r="V747" s="1" t="s">
        <v>89</v>
      </c>
      <c r="W747">
        <v>2.4</v>
      </c>
      <c r="X747" s="1">
        <f t="shared" si="22"/>
        <v>8640.6199999999462</v>
      </c>
      <c r="Y747" s="1">
        <f t="shared" si="23"/>
        <v>6397.4799999999632</v>
      </c>
    </row>
    <row r="748" spans="1:25" x14ac:dyDescent="0.3">
      <c r="A748" s="1" t="s">
        <v>1779</v>
      </c>
      <c r="B748">
        <v>1</v>
      </c>
      <c r="C748">
        <v>18.989999999999998</v>
      </c>
      <c r="D748">
        <v>18.989999999999998</v>
      </c>
      <c r="E748" s="1" t="s">
        <v>723</v>
      </c>
      <c r="F748" s="1" t="s">
        <v>40</v>
      </c>
      <c r="G748">
        <v>14</v>
      </c>
      <c r="H748" s="1" t="s">
        <v>41</v>
      </c>
      <c r="I748" s="1" t="s">
        <v>97</v>
      </c>
      <c r="J748">
        <v>6</v>
      </c>
      <c r="K748">
        <v>18.989999999999998</v>
      </c>
      <c r="L748" s="1" t="s">
        <v>60</v>
      </c>
      <c r="M748" s="1" t="s">
        <v>43</v>
      </c>
      <c r="N748" s="1" t="s">
        <v>44</v>
      </c>
      <c r="O748" s="1" t="s">
        <v>31</v>
      </c>
      <c r="P748" s="2">
        <v>45823</v>
      </c>
      <c r="Q748" s="1" t="s">
        <v>1780</v>
      </c>
      <c r="R748" s="1" t="s">
        <v>1781</v>
      </c>
      <c r="S748" s="1" t="s">
        <v>65</v>
      </c>
      <c r="T748" s="1" t="s">
        <v>35</v>
      </c>
      <c r="U748" s="1" t="s">
        <v>36</v>
      </c>
      <c r="V748" s="1" t="s">
        <v>100</v>
      </c>
      <c r="W748">
        <v>3.2</v>
      </c>
      <c r="X748" s="1">
        <f t="shared" si="22"/>
        <v>8551.6499999999451</v>
      </c>
      <c r="Y748" s="1">
        <f t="shared" si="23"/>
        <v>6355.4899999999634</v>
      </c>
    </row>
    <row r="749" spans="1:25" x14ac:dyDescent="0.3">
      <c r="A749" s="1" t="s">
        <v>1782</v>
      </c>
      <c r="B749">
        <v>2</v>
      </c>
      <c r="C749">
        <v>18.989999999999998</v>
      </c>
      <c r="D749">
        <v>32.479999999999997</v>
      </c>
      <c r="E749" s="1" t="s">
        <v>921</v>
      </c>
      <c r="F749" s="1" t="s">
        <v>40</v>
      </c>
      <c r="G749">
        <v>10</v>
      </c>
      <c r="H749" s="1" t="s">
        <v>58</v>
      </c>
      <c r="I749" s="1" t="s">
        <v>97</v>
      </c>
      <c r="J749">
        <v>6</v>
      </c>
      <c r="K749">
        <v>18.989999999999998</v>
      </c>
      <c r="L749" s="1" t="s">
        <v>60</v>
      </c>
      <c r="M749" s="1" t="s">
        <v>43</v>
      </c>
      <c r="N749" s="1" t="s">
        <v>44</v>
      </c>
      <c r="O749" s="1" t="s">
        <v>31</v>
      </c>
      <c r="P749" s="2">
        <v>45823</v>
      </c>
      <c r="Q749" s="1" t="s">
        <v>909</v>
      </c>
      <c r="R749" s="1" t="s">
        <v>996</v>
      </c>
      <c r="S749" s="1" t="s">
        <v>88</v>
      </c>
      <c r="T749" s="1" t="s">
        <v>35</v>
      </c>
      <c r="U749" s="1" t="s">
        <v>66</v>
      </c>
      <c r="V749" s="1" t="s">
        <v>100</v>
      </c>
      <c r="W749">
        <v>3.2</v>
      </c>
      <c r="X749" s="1">
        <f t="shared" si="22"/>
        <v>8640.6199999999462</v>
      </c>
      <c r="Y749" s="1">
        <f t="shared" si="23"/>
        <v>6397.4799999999632</v>
      </c>
    </row>
    <row r="750" spans="1:25" x14ac:dyDescent="0.3">
      <c r="A750" s="1" t="s">
        <v>1783</v>
      </c>
      <c r="B750">
        <v>2</v>
      </c>
      <c r="C750">
        <v>30.99</v>
      </c>
      <c r="D750">
        <v>53.82</v>
      </c>
      <c r="E750" s="1" t="s">
        <v>1596</v>
      </c>
      <c r="F750" s="1" t="s">
        <v>51</v>
      </c>
      <c r="G750">
        <v>0</v>
      </c>
      <c r="H750" s="1" t="s">
        <v>41</v>
      </c>
      <c r="I750" s="1" t="s">
        <v>42</v>
      </c>
      <c r="J750">
        <v>10.5</v>
      </c>
      <c r="K750">
        <v>30.99</v>
      </c>
      <c r="L750" s="1" t="s">
        <v>28</v>
      </c>
      <c r="M750" s="1" t="s">
        <v>43</v>
      </c>
      <c r="N750" s="1" t="s">
        <v>44</v>
      </c>
      <c r="O750" s="1" t="s">
        <v>31</v>
      </c>
      <c r="P750" s="2">
        <v>45823</v>
      </c>
      <c r="Q750" s="1" t="s">
        <v>873</v>
      </c>
      <c r="R750" s="1" t="s">
        <v>1208</v>
      </c>
      <c r="S750" s="1" t="s">
        <v>54</v>
      </c>
      <c r="T750" s="1" t="s">
        <v>35</v>
      </c>
      <c r="U750" s="1" t="s">
        <v>82</v>
      </c>
      <c r="V750" s="1" t="s">
        <v>37</v>
      </c>
      <c r="W750">
        <v>2</v>
      </c>
      <c r="X750" s="1">
        <f t="shared" si="22"/>
        <v>8551.6499999999451</v>
      </c>
      <c r="Y750" s="1">
        <f t="shared" si="23"/>
        <v>7204.2099999999582</v>
      </c>
    </row>
    <row r="751" spans="1:25" x14ac:dyDescent="0.3">
      <c r="A751" s="1" t="s">
        <v>1784</v>
      </c>
      <c r="B751">
        <v>1</v>
      </c>
      <c r="C751">
        <v>21.99</v>
      </c>
      <c r="D751">
        <v>21.99</v>
      </c>
      <c r="E751" s="1" t="s">
        <v>1785</v>
      </c>
      <c r="F751" s="1" t="s">
        <v>40</v>
      </c>
      <c r="G751">
        <v>3</v>
      </c>
      <c r="H751" s="1" t="s">
        <v>41</v>
      </c>
      <c r="I751" s="1" t="s">
        <v>27</v>
      </c>
      <c r="J751">
        <v>7</v>
      </c>
      <c r="K751">
        <v>21.99</v>
      </c>
      <c r="L751" s="1" t="s">
        <v>28</v>
      </c>
      <c r="M751" s="1" t="s">
        <v>29</v>
      </c>
      <c r="N751" s="1" t="s">
        <v>30</v>
      </c>
      <c r="O751" s="1" t="s">
        <v>31</v>
      </c>
      <c r="P751" s="2">
        <v>45778</v>
      </c>
      <c r="Q751" s="1" t="s">
        <v>1133</v>
      </c>
      <c r="R751" s="1" t="s">
        <v>1134</v>
      </c>
      <c r="S751" s="1" t="s">
        <v>65</v>
      </c>
      <c r="T751" s="1" t="s">
        <v>35</v>
      </c>
      <c r="U751" s="1" t="s">
        <v>36</v>
      </c>
      <c r="V751" s="1" t="s">
        <v>37</v>
      </c>
      <c r="W751">
        <v>2</v>
      </c>
      <c r="X751" s="1">
        <f t="shared" si="22"/>
        <v>8551.6499999999451</v>
      </c>
      <c r="Y751" s="1">
        <f t="shared" si="23"/>
        <v>6355.4899999999634</v>
      </c>
    </row>
    <row r="752" spans="1:25" x14ac:dyDescent="0.3">
      <c r="A752" s="1" t="s">
        <v>1786</v>
      </c>
      <c r="B752">
        <v>2</v>
      </c>
      <c r="C752">
        <v>16.989999999999998</v>
      </c>
      <c r="D752">
        <v>29.1</v>
      </c>
      <c r="E752" s="1" t="s">
        <v>1787</v>
      </c>
      <c r="F752" s="1" t="s">
        <v>40</v>
      </c>
      <c r="G752">
        <v>20</v>
      </c>
      <c r="H752" s="1" t="s">
        <v>96</v>
      </c>
      <c r="I752" s="1" t="s">
        <v>59</v>
      </c>
      <c r="J752">
        <v>5</v>
      </c>
      <c r="K752">
        <v>16.989999999999998</v>
      </c>
      <c r="L752" s="1" t="s">
        <v>60</v>
      </c>
      <c r="M752" s="1" t="s">
        <v>61</v>
      </c>
      <c r="N752" s="1" t="s">
        <v>62</v>
      </c>
      <c r="O752" s="1" t="s">
        <v>31</v>
      </c>
      <c r="P752" s="2">
        <v>45726</v>
      </c>
      <c r="Q752" s="1" t="s">
        <v>760</v>
      </c>
      <c r="R752" s="1" t="s">
        <v>1682</v>
      </c>
      <c r="S752" s="1" t="s">
        <v>105</v>
      </c>
      <c r="T752" s="1" t="s">
        <v>35</v>
      </c>
      <c r="U752" s="1" t="s">
        <v>48</v>
      </c>
      <c r="V752" s="1" t="s">
        <v>67</v>
      </c>
      <c r="W752">
        <v>3</v>
      </c>
      <c r="X752" s="1">
        <f t="shared" si="22"/>
        <v>7844.9099999999507</v>
      </c>
      <c r="Y752" s="1">
        <f t="shared" si="23"/>
        <v>7682.919999999951</v>
      </c>
    </row>
    <row r="753" spans="1:25" x14ac:dyDescent="0.3">
      <c r="A753" s="1" t="s">
        <v>1788</v>
      </c>
      <c r="B753">
        <v>1</v>
      </c>
      <c r="C753">
        <v>18.989999999999998</v>
      </c>
      <c r="D753">
        <v>18.989999999999998</v>
      </c>
      <c r="E753" s="1" t="s">
        <v>281</v>
      </c>
      <c r="F753" s="1" t="s">
        <v>40</v>
      </c>
      <c r="G753">
        <v>11</v>
      </c>
      <c r="H753" s="1" t="s">
        <v>96</v>
      </c>
      <c r="I753" s="1" t="s">
        <v>97</v>
      </c>
      <c r="J753">
        <v>6</v>
      </c>
      <c r="K753">
        <v>18.989999999999998</v>
      </c>
      <c r="L753" s="1" t="s">
        <v>60</v>
      </c>
      <c r="M753" s="1" t="s">
        <v>43</v>
      </c>
      <c r="N753" s="1" t="s">
        <v>44</v>
      </c>
      <c r="O753" s="1" t="s">
        <v>31</v>
      </c>
      <c r="P753" s="2">
        <v>45823</v>
      </c>
      <c r="Q753" s="1" t="s">
        <v>176</v>
      </c>
      <c r="R753" s="1" t="s">
        <v>1789</v>
      </c>
      <c r="S753" s="1" t="s">
        <v>54</v>
      </c>
      <c r="T753" s="1" t="s">
        <v>35</v>
      </c>
      <c r="U753" s="1" t="s">
        <v>66</v>
      </c>
      <c r="V753" s="1" t="s">
        <v>100</v>
      </c>
      <c r="W753">
        <v>3.2</v>
      </c>
      <c r="X753" s="1">
        <f t="shared" si="22"/>
        <v>7844.9099999999507</v>
      </c>
      <c r="Y753" s="1">
        <f t="shared" si="23"/>
        <v>6397.4799999999632</v>
      </c>
    </row>
    <row r="754" spans="1:25" x14ac:dyDescent="0.3">
      <c r="A754" s="1" t="s">
        <v>1790</v>
      </c>
      <c r="B754">
        <v>2</v>
      </c>
      <c r="C754">
        <v>18.989999999999998</v>
      </c>
      <c r="D754">
        <v>32.840000000000003</v>
      </c>
      <c r="E754" s="1" t="s">
        <v>868</v>
      </c>
      <c r="F754" s="1" t="s">
        <v>40</v>
      </c>
      <c r="G754">
        <v>14</v>
      </c>
      <c r="H754" s="1" t="s">
        <v>26</v>
      </c>
      <c r="I754" s="1" t="s">
        <v>97</v>
      </c>
      <c r="J754">
        <v>6</v>
      </c>
      <c r="K754">
        <v>18.989999999999998</v>
      </c>
      <c r="L754" s="1" t="s">
        <v>60</v>
      </c>
      <c r="M754" s="1" t="s">
        <v>43</v>
      </c>
      <c r="N754" s="1" t="s">
        <v>44</v>
      </c>
      <c r="O754" s="1" t="s">
        <v>31</v>
      </c>
      <c r="P754" s="2">
        <v>45823</v>
      </c>
      <c r="Q754" s="1" t="s">
        <v>783</v>
      </c>
      <c r="R754" s="1" t="s">
        <v>784</v>
      </c>
      <c r="S754" s="1" t="s">
        <v>34</v>
      </c>
      <c r="T754" s="1" t="s">
        <v>35</v>
      </c>
      <c r="U754" s="1" t="s">
        <v>55</v>
      </c>
      <c r="V754" s="1" t="s">
        <v>100</v>
      </c>
      <c r="W754">
        <v>3.2</v>
      </c>
      <c r="X754" s="1">
        <f t="shared" si="22"/>
        <v>8313.6899999999459</v>
      </c>
      <c r="Y754" s="1">
        <f t="shared" si="23"/>
        <v>5710.7699999999695</v>
      </c>
    </row>
    <row r="755" spans="1:25" x14ac:dyDescent="0.3">
      <c r="A755" s="1" t="s">
        <v>1791</v>
      </c>
      <c r="B755">
        <v>1</v>
      </c>
      <c r="C755">
        <v>27.99</v>
      </c>
      <c r="D755">
        <v>27.99</v>
      </c>
      <c r="E755" s="1" t="s">
        <v>393</v>
      </c>
      <c r="F755" s="1" t="s">
        <v>188</v>
      </c>
      <c r="G755">
        <v>0</v>
      </c>
      <c r="H755" s="1" t="s">
        <v>41</v>
      </c>
      <c r="I755" s="1" t="s">
        <v>75</v>
      </c>
      <c r="J755">
        <v>9</v>
      </c>
      <c r="K755">
        <v>27.99</v>
      </c>
      <c r="L755" s="1" t="s">
        <v>28</v>
      </c>
      <c r="M755" s="1" t="s">
        <v>61</v>
      </c>
      <c r="N755" s="1" t="s">
        <v>62</v>
      </c>
      <c r="O755" s="1" t="s">
        <v>31</v>
      </c>
      <c r="P755" s="2">
        <v>45726</v>
      </c>
      <c r="Q755" s="1" t="s">
        <v>425</v>
      </c>
      <c r="R755" s="1" t="s">
        <v>1469</v>
      </c>
      <c r="S755" s="1" t="s">
        <v>88</v>
      </c>
      <c r="T755" s="1" t="s">
        <v>35</v>
      </c>
      <c r="U755" s="1" t="s">
        <v>82</v>
      </c>
      <c r="V755" s="1" t="s">
        <v>37</v>
      </c>
      <c r="W755">
        <v>2</v>
      </c>
      <c r="X755" s="1">
        <f t="shared" si="22"/>
        <v>8551.6499999999451</v>
      </c>
      <c r="Y755" s="1">
        <f t="shared" si="23"/>
        <v>7204.2099999999582</v>
      </c>
    </row>
    <row r="756" spans="1:25" x14ac:dyDescent="0.3">
      <c r="A756" s="1" t="s">
        <v>1792</v>
      </c>
      <c r="B756">
        <v>1</v>
      </c>
      <c r="C756">
        <v>34.99</v>
      </c>
      <c r="D756">
        <v>34.99</v>
      </c>
      <c r="E756" s="1" t="s">
        <v>1345</v>
      </c>
      <c r="F756" s="1" t="s">
        <v>40</v>
      </c>
      <c r="G756">
        <v>8</v>
      </c>
      <c r="H756" s="1" t="s">
        <v>96</v>
      </c>
      <c r="I756" s="1" t="s">
        <v>85</v>
      </c>
      <c r="J756">
        <v>12.5</v>
      </c>
      <c r="K756">
        <v>34.99</v>
      </c>
      <c r="L756" s="1" t="s">
        <v>60</v>
      </c>
      <c r="M756" s="1" t="s">
        <v>29</v>
      </c>
      <c r="N756" s="1" t="s">
        <v>30</v>
      </c>
      <c r="O756" s="1" t="s">
        <v>31</v>
      </c>
      <c r="P756" s="2">
        <v>45778</v>
      </c>
      <c r="Q756" s="1" t="s">
        <v>1793</v>
      </c>
      <c r="R756" s="1" t="s">
        <v>1794</v>
      </c>
      <c r="S756" s="1" t="s">
        <v>88</v>
      </c>
      <c r="T756" s="1" t="s">
        <v>35</v>
      </c>
      <c r="U756" s="1" t="s">
        <v>82</v>
      </c>
      <c r="V756" s="1" t="s">
        <v>89</v>
      </c>
      <c r="W756">
        <v>2.4</v>
      </c>
      <c r="X756" s="1">
        <f t="shared" si="22"/>
        <v>7844.9099999999507</v>
      </c>
      <c r="Y756" s="1">
        <f t="shared" si="23"/>
        <v>7204.2099999999582</v>
      </c>
    </row>
    <row r="757" spans="1:25" x14ac:dyDescent="0.3">
      <c r="A757" s="1" t="s">
        <v>1795</v>
      </c>
      <c r="B757">
        <v>3</v>
      </c>
      <c r="C757">
        <v>27.99</v>
      </c>
      <c r="D757">
        <v>67.209999999999994</v>
      </c>
      <c r="E757" s="1" t="s">
        <v>1796</v>
      </c>
      <c r="F757" s="1" t="s">
        <v>40</v>
      </c>
      <c r="G757">
        <v>2</v>
      </c>
      <c r="H757" s="1" t="s">
        <v>58</v>
      </c>
      <c r="I757" s="1" t="s">
        <v>75</v>
      </c>
      <c r="J757">
        <v>9</v>
      </c>
      <c r="K757">
        <v>27.99</v>
      </c>
      <c r="L757" s="1" t="s">
        <v>28</v>
      </c>
      <c r="M757" s="1" t="s">
        <v>61</v>
      </c>
      <c r="N757" s="1" t="s">
        <v>62</v>
      </c>
      <c r="O757" s="1" t="s">
        <v>31</v>
      </c>
      <c r="P757" s="2">
        <v>45726</v>
      </c>
      <c r="Q757" s="1" t="s">
        <v>182</v>
      </c>
      <c r="R757" s="1" t="s">
        <v>754</v>
      </c>
      <c r="S757" s="1" t="s">
        <v>65</v>
      </c>
      <c r="T757" s="1" t="s">
        <v>35</v>
      </c>
      <c r="U757" s="1" t="s">
        <v>36</v>
      </c>
      <c r="V757" s="1" t="s">
        <v>37</v>
      </c>
      <c r="W757">
        <v>2</v>
      </c>
      <c r="X757" s="1">
        <f t="shared" si="22"/>
        <v>8640.6199999999462</v>
      </c>
      <c r="Y757" s="1">
        <f t="shared" si="23"/>
        <v>6355.4899999999634</v>
      </c>
    </row>
    <row r="758" spans="1:25" x14ac:dyDescent="0.3">
      <c r="A758" s="1" t="s">
        <v>1797</v>
      </c>
      <c r="B758">
        <v>2</v>
      </c>
      <c r="C758">
        <v>21.99</v>
      </c>
      <c r="D758">
        <v>37.85</v>
      </c>
      <c r="E758" s="1" t="s">
        <v>1798</v>
      </c>
      <c r="F758" s="1" t="s">
        <v>40</v>
      </c>
      <c r="G758">
        <v>2</v>
      </c>
      <c r="H758" s="1" t="s">
        <v>58</v>
      </c>
      <c r="I758" s="1" t="s">
        <v>27</v>
      </c>
      <c r="J758">
        <v>7</v>
      </c>
      <c r="K758">
        <v>21.99</v>
      </c>
      <c r="L758" s="1" t="s">
        <v>28</v>
      </c>
      <c r="M758" s="1" t="s">
        <v>29</v>
      </c>
      <c r="N758" s="1" t="s">
        <v>30</v>
      </c>
      <c r="O758" s="1" t="s">
        <v>31</v>
      </c>
      <c r="P758" s="2">
        <v>45778</v>
      </c>
      <c r="Q758" s="1" t="s">
        <v>1140</v>
      </c>
      <c r="R758" s="1" t="s">
        <v>1799</v>
      </c>
      <c r="S758" s="1" t="s">
        <v>65</v>
      </c>
      <c r="T758" s="1" t="s">
        <v>35</v>
      </c>
      <c r="U758" s="1" t="s">
        <v>48</v>
      </c>
      <c r="V758" s="1" t="s">
        <v>37</v>
      </c>
      <c r="W758">
        <v>2</v>
      </c>
      <c r="X758" s="1">
        <f t="shared" si="22"/>
        <v>8640.6199999999462</v>
      </c>
      <c r="Y758" s="1">
        <f t="shared" si="23"/>
        <v>7682.919999999951</v>
      </c>
    </row>
    <row r="759" spans="1:25" x14ac:dyDescent="0.3">
      <c r="A759" s="1" t="s">
        <v>1800</v>
      </c>
      <c r="B759">
        <v>3</v>
      </c>
      <c r="C759">
        <v>16.989999999999998</v>
      </c>
      <c r="D759">
        <v>40.08</v>
      </c>
      <c r="E759" s="1" t="s">
        <v>1801</v>
      </c>
      <c r="F759" s="1" t="s">
        <v>188</v>
      </c>
      <c r="G759">
        <v>0</v>
      </c>
      <c r="H759" s="1" t="s">
        <v>26</v>
      </c>
      <c r="I759" s="1" t="s">
        <v>59</v>
      </c>
      <c r="J759">
        <v>5</v>
      </c>
      <c r="K759">
        <v>16.989999999999998</v>
      </c>
      <c r="L759" s="1" t="s">
        <v>60</v>
      </c>
      <c r="M759" s="1" t="s">
        <v>61</v>
      </c>
      <c r="N759" s="1" t="s">
        <v>62</v>
      </c>
      <c r="O759" s="1" t="s">
        <v>31</v>
      </c>
      <c r="P759" s="2">
        <v>45726</v>
      </c>
      <c r="Q759" s="1" t="s">
        <v>832</v>
      </c>
      <c r="R759" s="1" t="s">
        <v>879</v>
      </c>
      <c r="S759" s="1" t="s">
        <v>105</v>
      </c>
      <c r="T759" s="1" t="s">
        <v>35</v>
      </c>
      <c r="U759" s="1" t="s">
        <v>66</v>
      </c>
      <c r="V759" s="1" t="s">
        <v>67</v>
      </c>
      <c r="W759">
        <v>3</v>
      </c>
      <c r="X759" s="1">
        <f t="shared" si="22"/>
        <v>8313.6899999999459</v>
      </c>
      <c r="Y759" s="1">
        <f t="shared" si="23"/>
        <v>6397.4799999999632</v>
      </c>
    </row>
    <row r="760" spans="1:25" x14ac:dyDescent="0.3">
      <c r="A760" s="1" t="s">
        <v>1802</v>
      </c>
      <c r="B760">
        <v>1</v>
      </c>
      <c r="C760">
        <v>16.989999999999998</v>
      </c>
      <c r="D760">
        <v>16.989999999999998</v>
      </c>
      <c r="E760" s="1" t="s">
        <v>1170</v>
      </c>
      <c r="F760" s="1" t="s">
        <v>51</v>
      </c>
      <c r="G760">
        <v>0</v>
      </c>
      <c r="H760" s="1" t="s">
        <v>41</v>
      </c>
      <c r="I760" s="1" t="s">
        <v>59</v>
      </c>
      <c r="J760">
        <v>5</v>
      </c>
      <c r="K760">
        <v>16.989999999999998</v>
      </c>
      <c r="L760" s="1" t="s">
        <v>60</v>
      </c>
      <c r="M760" s="1" t="s">
        <v>61</v>
      </c>
      <c r="N760" s="1" t="s">
        <v>62</v>
      </c>
      <c r="O760" s="1" t="s">
        <v>31</v>
      </c>
      <c r="P760" s="2">
        <v>45726</v>
      </c>
      <c r="Q760" s="1" t="s">
        <v>63</v>
      </c>
      <c r="R760" s="1" t="s">
        <v>1803</v>
      </c>
      <c r="S760" s="1" t="s">
        <v>105</v>
      </c>
      <c r="T760" s="1" t="s">
        <v>35</v>
      </c>
      <c r="U760" s="1" t="s">
        <v>48</v>
      </c>
      <c r="V760" s="1" t="s">
        <v>67</v>
      </c>
      <c r="W760">
        <v>3</v>
      </c>
      <c r="X760" s="1">
        <f t="shared" si="22"/>
        <v>8551.6499999999451</v>
      </c>
      <c r="Y760" s="1">
        <f t="shared" si="23"/>
        <v>7682.919999999951</v>
      </c>
    </row>
    <row r="761" spans="1:25" x14ac:dyDescent="0.3">
      <c r="A761" s="1" t="s">
        <v>1804</v>
      </c>
      <c r="B761">
        <v>1</v>
      </c>
      <c r="C761">
        <v>21.99</v>
      </c>
      <c r="D761">
        <v>21.99</v>
      </c>
      <c r="E761" s="1" t="s">
        <v>1047</v>
      </c>
      <c r="F761" s="1" t="s">
        <v>40</v>
      </c>
      <c r="G761">
        <v>2</v>
      </c>
      <c r="H761" s="1" t="s">
        <v>41</v>
      </c>
      <c r="I761" s="1" t="s">
        <v>27</v>
      </c>
      <c r="J761">
        <v>7</v>
      </c>
      <c r="K761">
        <v>21.99</v>
      </c>
      <c r="L761" s="1" t="s">
        <v>28</v>
      </c>
      <c r="M761" s="1" t="s">
        <v>29</v>
      </c>
      <c r="N761" s="1" t="s">
        <v>30</v>
      </c>
      <c r="O761" s="1" t="s">
        <v>31</v>
      </c>
      <c r="P761" s="2">
        <v>45778</v>
      </c>
      <c r="Q761" s="1" t="s">
        <v>305</v>
      </c>
      <c r="R761" s="1" t="s">
        <v>1560</v>
      </c>
      <c r="S761" s="1" t="s">
        <v>65</v>
      </c>
      <c r="T761" s="1" t="s">
        <v>35</v>
      </c>
      <c r="U761" s="1" t="s">
        <v>55</v>
      </c>
      <c r="V761" s="1" t="s">
        <v>37</v>
      </c>
      <c r="W761">
        <v>2</v>
      </c>
      <c r="X761" s="1">
        <f t="shared" si="22"/>
        <v>8551.6499999999451</v>
      </c>
      <c r="Y761" s="1">
        <f t="shared" si="23"/>
        <v>5710.7699999999695</v>
      </c>
    </row>
    <row r="762" spans="1:25" x14ac:dyDescent="0.3">
      <c r="A762" s="1" t="s">
        <v>1805</v>
      </c>
      <c r="B762">
        <v>2</v>
      </c>
      <c r="C762">
        <v>18.989999999999998</v>
      </c>
      <c r="D762">
        <v>32.950000000000003</v>
      </c>
      <c r="E762" s="1" t="s">
        <v>117</v>
      </c>
      <c r="F762" s="1" t="s">
        <v>51</v>
      </c>
      <c r="G762">
        <v>0</v>
      </c>
      <c r="H762" s="1" t="s">
        <v>41</v>
      </c>
      <c r="I762" s="1" t="s">
        <v>97</v>
      </c>
      <c r="J762">
        <v>6</v>
      </c>
      <c r="K762">
        <v>18.989999999999998</v>
      </c>
      <c r="L762" s="1" t="s">
        <v>60</v>
      </c>
      <c r="M762" s="1" t="s">
        <v>43</v>
      </c>
      <c r="N762" s="1" t="s">
        <v>44</v>
      </c>
      <c r="O762" s="1" t="s">
        <v>31</v>
      </c>
      <c r="P762" s="2">
        <v>45823</v>
      </c>
      <c r="Q762" s="1" t="s">
        <v>934</v>
      </c>
      <c r="R762" s="1" t="s">
        <v>1165</v>
      </c>
      <c r="S762" s="1" t="s">
        <v>65</v>
      </c>
      <c r="T762" s="1" t="s">
        <v>35</v>
      </c>
      <c r="U762" s="1" t="s">
        <v>82</v>
      </c>
      <c r="V762" s="1" t="s">
        <v>100</v>
      </c>
      <c r="W762">
        <v>3.2</v>
      </c>
      <c r="X762" s="1">
        <f t="shared" si="22"/>
        <v>8551.6499999999451</v>
      </c>
      <c r="Y762" s="1">
        <f t="shared" si="23"/>
        <v>7204.2099999999582</v>
      </c>
    </row>
    <row r="763" spans="1:25" x14ac:dyDescent="0.3">
      <c r="A763" s="1" t="s">
        <v>1806</v>
      </c>
      <c r="B763">
        <v>1</v>
      </c>
      <c r="C763">
        <v>30.99</v>
      </c>
      <c r="D763">
        <v>30.99</v>
      </c>
      <c r="E763" s="1" t="s">
        <v>1807</v>
      </c>
      <c r="F763" s="1" t="s">
        <v>40</v>
      </c>
      <c r="G763">
        <v>3</v>
      </c>
      <c r="H763" s="1" t="s">
        <v>26</v>
      </c>
      <c r="I763" s="1" t="s">
        <v>42</v>
      </c>
      <c r="J763">
        <v>10.5</v>
      </c>
      <c r="K763">
        <v>30.99</v>
      </c>
      <c r="L763" s="1" t="s">
        <v>28</v>
      </c>
      <c r="M763" s="1" t="s">
        <v>43</v>
      </c>
      <c r="N763" s="1" t="s">
        <v>44</v>
      </c>
      <c r="O763" s="1" t="s">
        <v>31</v>
      </c>
      <c r="P763" s="2">
        <v>45823</v>
      </c>
      <c r="Q763" s="1" t="s">
        <v>1593</v>
      </c>
      <c r="R763" s="1" t="s">
        <v>1594</v>
      </c>
      <c r="S763" s="1" t="s">
        <v>47</v>
      </c>
      <c r="T763" s="1" t="s">
        <v>35</v>
      </c>
      <c r="U763" s="1" t="s">
        <v>48</v>
      </c>
      <c r="V763" s="1" t="s">
        <v>37</v>
      </c>
      <c r="W763">
        <v>2</v>
      </c>
      <c r="X763" s="1">
        <f t="shared" si="22"/>
        <v>8313.6899999999459</v>
      </c>
      <c r="Y763" s="1">
        <f t="shared" si="23"/>
        <v>7682.919999999951</v>
      </c>
    </row>
    <row r="764" spans="1:25" x14ac:dyDescent="0.3">
      <c r="A764" s="1" t="s">
        <v>1808</v>
      </c>
      <c r="B764">
        <v>1</v>
      </c>
      <c r="C764">
        <v>21.99</v>
      </c>
      <c r="D764">
        <v>21.99</v>
      </c>
      <c r="E764" s="1" t="s">
        <v>1486</v>
      </c>
      <c r="F764" s="1" t="s">
        <v>40</v>
      </c>
      <c r="G764">
        <v>3</v>
      </c>
      <c r="H764" s="1" t="s">
        <v>41</v>
      </c>
      <c r="I764" s="1" t="s">
        <v>27</v>
      </c>
      <c r="J764">
        <v>7</v>
      </c>
      <c r="K764">
        <v>21.99</v>
      </c>
      <c r="L764" s="1" t="s">
        <v>28</v>
      </c>
      <c r="M764" s="1" t="s">
        <v>29</v>
      </c>
      <c r="N764" s="1" t="s">
        <v>30</v>
      </c>
      <c r="O764" s="1" t="s">
        <v>31</v>
      </c>
      <c r="P764" s="2">
        <v>45778</v>
      </c>
      <c r="Q764" s="1" t="s">
        <v>1349</v>
      </c>
      <c r="R764" s="1" t="s">
        <v>1439</v>
      </c>
      <c r="S764" s="1" t="s">
        <v>65</v>
      </c>
      <c r="T764" s="1" t="s">
        <v>35</v>
      </c>
      <c r="U764" s="1" t="s">
        <v>36</v>
      </c>
      <c r="V764" s="1" t="s">
        <v>37</v>
      </c>
      <c r="W764">
        <v>2</v>
      </c>
      <c r="X764" s="1">
        <f t="shared" si="22"/>
        <v>8551.6499999999451</v>
      </c>
      <c r="Y764" s="1">
        <f t="shared" si="23"/>
        <v>6355.4899999999634</v>
      </c>
    </row>
    <row r="765" spans="1:25" x14ac:dyDescent="0.3">
      <c r="A765" s="1" t="s">
        <v>1809</v>
      </c>
      <c r="B765">
        <v>1</v>
      </c>
      <c r="C765">
        <v>34.99</v>
      </c>
      <c r="D765">
        <v>34.99</v>
      </c>
      <c r="E765" s="1" t="s">
        <v>1291</v>
      </c>
      <c r="F765" s="1" t="s">
        <v>40</v>
      </c>
      <c r="G765">
        <v>10</v>
      </c>
      <c r="H765" s="1" t="s">
        <v>96</v>
      </c>
      <c r="I765" s="1" t="s">
        <v>85</v>
      </c>
      <c r="J765">
        <v>12.5</v>
      </c>
      <c r="K765">
        <v>34.99</v>
      </c>
      <c r="L765" s="1" t="s">
        <v>60</v>
      </c>
      <c r="M765" s="1" t="s">
        <v>29</v>
      </c>
      <c r="N765" s="1" t="s">
        <v>30</v>
      </c>
      <c r="O765" s="1" t="s">
        <v>31</v>
      </c>
      <c r="P765" s="2">
        <v>45778</v>
      </c>
      <c r="Q765" s="1" t="s">
        <v>797</v>
      </c>
      <c r="R765" s="1" t="s">
        <v>1810</v>
      </c>
      <c r="S765" s="1" t="s">
        <v>88</v>
      </c>
      <c r="T765" s="1" t="s">
        <v>35</v>
      </c>
      <c r="U765" s="1" t="s">
        <v>66</v>
      </c>
      <c r="V765" s="1" t="s">
        <v>89</v>
      </c>
      <c r="W765">
        <v>2.4</v>
      </c>
      <c r="X765" s="1">
        <f t="shared" si="22"/>
        <v>7844.9099999999507</v>
      </c>
      <c r="Y765" s="1">
        <f t="shared" si="23"/>
        <v>6397.4799999999632</v>
      </c>
    </row>
    <row r="766" spans="1:25" x14ac:dyDescent="0.3">
      <c r="A766" s="1" t="s">
        <v>1811</v>
      </c>
      <c r="B766">
        <v>3</v>
      </c>
      <c r="C766">
        <v>16.989999999999998</v>
      </c>
      <c r="D766">
        <v>40.33</v>
      </c>
      <c r="E766" s="1" t="s">
        <v>1727</v>
      </c>
      <c r="F766" s="1" t="s">
        <v>70</v>
      </c>
      <c r="G766">
        <v>0</v>
      </c>
      <c r="H766" s="1" t="s">
        <v>58</v>
      </c>
      <c r="I766" s="1" t="s">
        <v>59</v>
      </c>
      <c r="J766">
        <v>5</v>
      </c>
      <c r="K766">
        <v>16.989999999999998</v>
      </c>
      <c r="L766" s="1" t="s">
        <v>60</v>
      </c>
      <c r="M766" s="1" t="s">
        <v>61</v>
      </c>
      <c r="N766" s="1" t="s">
        <v>62</v>
      </c>
      <c r="O766" s="1" t="s">
        <v>31</v>
      </c>
      <c r="P766" s="2">
        <v>45726</v>
      </c>
      <c r="Q766" s="1" t="s">
        <v>1414</v>
      </c>
      <c r="R766" s="1" t="s">
        <v>1415</v>
      </c>
      <c r="S766" s="1" t="s">
        <v>88</v>
      </c>
      <c r="T766" s="1" t="s">
        <v>35</v>
      </c>
      <c r="U766" s="1" t="s">
        <v>48</v>
      </c>
      <c r="V766" s="1" t="s">
        <v>67</v>
      </c>
      <c r="W766">
        <v>3</v>
      </c>
      <c r="X766" s="1">
        <f t="shared" si="22"/>
        <v>8640.6199999999462</v>
      </c>
      <c r="Y766" s="1">
        <f t="shared" si="23"/>
        <v>7682.919999999951</v>
      </c>
    </row>
    <row r="767" spans="1:25" x14ac:dyDescent="0.3">
      <c r="A767" s="1" t="s">
        <v>1812</v>
      </c>
      <c r="B767">
        <v>1</v>
      </c>
      <c r="C767">
        <v>30.99</v>
      </c>
      <c r="D767">
        <v>30.99</v>
      </c>
      <c r="E767" s="1" t="s">
        <v>1271</v>
      </c>
      <c r="F767" s="1" t="s">
        <v>40</v>
      </c>
      <c r="G767">
        <v>7</v>
      </c>
      <c r="H767" s="1" t="s">
        <v>58</v>
      </c>
      <c r="I767" s="1" t="s">
        <v>42</v>
      </c>
      <c r="J767">
        <v>10.5</v>
      </c>
      <c r="K767">
        <v>30.99</v>
      </c>
      <c r="L767" s="1" t="s">
        <v>28</v>
      </c>
      <c r="M767" s="1" t="s">
        <v>43</v>
      </c>
      <c r="N767" s="1" t="s">
        <v>44</v>
      </c>
      <c r="O767" s="1" t="s">
        <v>31</v>
      </c>
      <c r="P767" s="2">
        <v>45823</v>
      </c>
      <c r="Q767" s="1" t="s">
        <v>231</v>
      </c>
      <c r="R767" s="1" t="s">
        <v>1813</v>
      </c>
      <c r="S767" s="1" t="s">
        <v>47</v>
      </c>
      <c r="T767" s="1" t="s">
        <v>35</v>
      </c>
      <c r="U767" s="1" t="s">
        <v>48</v>
      </c>
      <c r="V767" s="1" t="s">
        <v>37</v>
      </c>
      <c r="W767">
        <v>2</v>
      </c>
      <c r="X767" s="1">
        <f t="shared" si="22"/>
        <v>8640.6199999999462</v>
      </c>
      <c r="Y767" s="1">
        <f t="shared" si="23"/>
        <v>7682.919999999951</v>
      </c>
    </row>
    <row r="768" spans="1:25" x14ac:dyDescent="0.3">
      <c r="A768" s="1" t="s">
        <v>1814</v>
      </c>
      <c r="B768">
        <v>1</v>
      </c>
      <c r="C768">
        <v>21.99</v>
      </c>
      <c r="D768">
        <v>21.99</v>
      </c>
      <c r="E768" s="1" t="s">
        <v>1340</v>
      </c>
      <c r="F768" s="1" t="s">
        <v>40</v>
      </c>
      <c r="G768">
        <v>8</v>
      </c>
      <c r="H768" s="1" t="s">
        <v>58</v>
      </c>
      <c r="I768" s="1" t="s">
        <v>27</v>
      </c>
      <c r="J768">
        <v>7</v>
      </c>
      <c r="K768">
        <v>21.99</v>
      </c>
      <c r="L768" s="1" t="s">
        <v>28</v>
      </c>
      <c r="M768" s="1" t="s">
        <v>29</v>
      </c>
      <c r="N768" s="1" t="s">
        <v>30</v>
      </c>
      <c r="O768" s="1" t="s">
        <v>31</v>
      </c>
      <c r="P768" s="2">
        <v>45778</v>
      </c>
      <c r="Q768" s="1" t="s">
        <v>909</v>
      </c>
      <c r="R768" s="1" t="s">
        <v>996</v>
      </c>
      <c r="S768" s="1" t="s">
        <v>88</v>
      </c>
      <c r="T768" s="1" t="s">
        <v>35</v>
      </c>
      <c r="U768" s="1" t="s">
        <v>66</v>
      </c>
      <c r="V768" s="1" t="s">
        <v>37</v>
      </c>
      <c r="W768">
        <v>2</v>
      </c>
      <c r="X768" s="1">
        <f t="shared" si="22"/>
        <v>8640.6199999999462</v>
      </c>
      <c r="Y768" s="1">
        <f t="shared" si="23"/>
        <v>6397.4799999999632</v>
      </c>
    </row>
    <row r="769" spans="1:25" x14ac:dyDescent="0.3">
      <c r="A769" s="1" t="s">
        <v>1815</v>
      </c>
      <c r="B769">
        <v>1</v>
      </c>
      <c r="C769">
        <v>34.99</v>
      </c>
      <c r="D769">
        <v>34.99</v>
      </c>
      <c r="E769" s="1" t="s">
        <v>1816</v>
      </c>
      <c r="F769" s="1" t="s">
        <v>40</v>
      </c>
      <c r="G769">
        <v>5</v>
      </c>
      <c r="H769" s="1" t="s">
        <v>41</v>
      </c>
      <c r="I769" s="1" t="s">
        <v>85</v>
      </c>
      <c r="J769">
        <v>12.5</v>
      </c>
      <c r="K769">
        <v>34.99</v>
      </c>
      <c r="L769" s="1" t="s">
        <v>60</v>
      </c>
      <c r="M769" s="1" t="s">
        <v>29</v>
      </c>
      <c r="N769" s="1" t="s">
        <v>30</v>
      </c>
      <c r="O769" s="1" t="s">
        <v>31</v>
      </c>
      <c r="P769" s="2">
        <v>45778</v>
      </c>
      <c r="Q769" s="1" t="s">
        <v>917</v>
      </c>
      <c r="R769" s="1" t="s">
        <v>1710</v>
      </c>
      <c r="S769" s="1" t="s">
        <v>34</v>
      </c>
      <c r="T769" s="1" t="s">
        <v>35</v>
      </c>
      <c r="U769" s="1" t="s">
        <v>82</v>
      </c>
      <c r="V769" s="1" t="s">
        <v>89</v>
      </c>
      <c r="W769">
        <v>2.4</v>
      </c>
      <c r="X769" s="1">
        <f t="shared" si="22"/>
        <v>8551.6499999999451</v>
      </c>
      <c r="Y769" s="1">
        <f t="shared" si="23"/>
        <v>7204.2099999999582</v>
      </c>
    </row>
    <row r="770" spans="1:25" x14ac:dyDescent="0.3">
      <c r="A770" s="1" t="s">
        <v>1817</v>
      </c>
      <c r="B770">
        <v>2</v>
      </c>
      <c r="C770">
        <v>21.99</v>
      </c>
      <c r="D770">
        <v>38.11</v>
      </c>
      <c r="E770" s="1" t="s">
        <v>1064</v>
      </c>
      <c r="F770" s="1" t="s">
        <v>40</v>
      </c>
      <c r="G770">
        <v>2</v>
      </c>
      <c r="H770" s="1" t="s">
        <v>26</v>
      </c>
      <c r="I770" s="1" t="s">
        <v>27</v>
      </c>
      <c r="J770">
        <v>7</v>
      </c>
      <c r="K770">
        <v>21.99</v>
      </c>
      <c r="L770" s="1" t="s">
        <v>28</v>
      </c>
      <c r="M770" s="1" t="s">
        <v>29</v>
      </c>
      <c r="N770" s="1" t="s">
        <v>30</v>
      </c>
      <c r="O770" s="1" t="s">
        <v>31</v>
      </c>
      <c r="P770" s="2">
        <v>45778</v>
      </c>
      <c r="Q770" s="1" t="s">
        <v>1506</v>
      </c>
      <c r="R770" s="1" t="s">
        <v>1507</v>
      </c>
      <c r="S770" s="1" t="s">
        <v>105</v>
      </c>
      <c r="T770" s="1" t="s">
        <v>35</v>
      </c>
      <c r="U770" s="1" t="s">
        <v>82</v>
      </c>
      <c r="V770" s="1" t="s">
        <v>37</v>
      </c>
      <c r="W770">
        <v>2</v>
      </c>
      <c r="X770" s="1">
        <f t="shared" ref="X770:X833" si="24">SUMIF(H:H,H770,K:K)</f>
        <v>8313.6899999999459</v>
      </c>
      <c r="Y770" s="1">
        <f t="shared" ref="Y770:Y833" si="25">SUMIF(U:U,U770,K:K)</f>
        <v>7204.2099999999582</v>
      </c>
    </row>
    <row r="771" spans="1:25" x14ac:dyDescent="0.3">
      <c r="A771" s="1" t="s">
        <v>1818</v>
      </c>
      <c r="B771">
        <v>1</v>
      </c>
      <c r="C771">
        <v>27.99</v>
      </c>
      <c r="D771">
        <v>27.99</v>
      </c>
      <c r="E771" s="1" t="s">
        <v>929</v>
      </c>
      <c r="F771" s="1" t="s">
        <v>188</v>
      </c>
      <c r="G771">
        <v>0</v>
      </c>
      <c r="H771" s="1" t="s">
        <v>26</v>
      </c>
      <c r="I771" s="1" t="s">
        <v>75</v>
      </c>
      <c r="J771">
        <v>9</v>
      </c>
      <c r="K771">
        <v>27.99</v>
      </c>
      <c r="L771" s="1" t="s">
        <v>28</v>
      </c>
      <c r="M771" s="1" t="s">
        <v>61</v>
      </c>
      <c r="N771" s="1" t="s">
        <v>62</v>
      </c>
      <c r="O771" s="1" t="s">
        <v>31</v>
      </c>
      <c r="P771" s="2">
        <v>45726</v>
      </c>
      <c r="Q771" s="1" t="s">
        <v>1414</v>
      </c>
      <c r="R771" s="1" t="s">
        <v>1415</v>
      </c>
      <c r="S771" s="1" t="s">
        <v>88</v>
      </c>
      <c r="T771" s="1" t="s">
        <v>35</v>
      </c>
      <c r="U771" s="1" t="s">
        <v>48</v>
      </c>
      <c r="V771" s="1" t="s">
        <v>37</v>
      </c>
      <c r="W771">
        <v>2</v>
      </c>
      <c r="X771" s="1">
        <f t="shared" si="24"/>
        <v>8313.6899999999459</v>
      </c>
      <c r="Y771" s="1">
        <f t="shared" si="25"/>
        <v>7682.919999999951</v>
      </c>
    </row>
    <row r="772" spans="1:25" x14ac:dyDescent="0.3">
      <c r="A772" s="1" t="s">
        <v>1819</v>
      </c>
      <c r="B772">
        <v>1</v>
      </c>
      <c r="C772">
        <v>21.99</v>
      </c>
      <c r="D772">
        <v>21.99</v>
      </c>
      <c r="E772" s="1" t="s">
        <v>1820</v>
      </c>
      <c r="F772" s="1" t="s">
        <v>40</v>
      </c>
      <c r="G772">
        <v>2</v>
      </c>
      <c r="H772" s="1" t="s">
        <v>41</v>
      </c>
      <c r="I772" s="1" t="s">
        <v>27</v>
      </c>
      <c r="J772">
        <v>7</v>
      </c>
      <c r="K772">
        <v>21.99</v>
      </c>
      <c r="L772" s="1" t="s">
        <v>28</v>
      </c>
      <c r="M772" s="1" t="s">
        <v>29</v>
      </c>
      <c r="N772" s="1" t="s">
        <v>30</v>
      </c>
      <c r="O772" s="1" t="s">
        <v>31</v>
      </c>
      <c r="P772" s="2">
        <v>45778</v>
      </c>
      <c r="Q772" s="1" t="s">
        <v>1191</v>
      </c>
      <c r="R772" s="1" t="s">
        <v>1192</v>
      </c>
      <c r="S772" s="1" t="s">
        <v>88</v>
      </c>
      <c r="T772" s="1" t="s">
        <v>35</v>
      </c>
      <c r="U772" s="1" t="s">
        <v>55</v>
      </c>
      <c r="V772" s="1" t="s">
        <v>37</v>
      </c>
      <c r="W772">
        <v>2</v>
      </c>
      <c r="X772" s="1">
        <f t="shared" si="24"/>
        <v>8551.6499999999451</v>
      </c>
      <c r="Y772" s="1">
        <f t="shared" si="25"/>
        <v>5710.7699999999695</v>
      </c>
    </row>
    <row r="773" spans="1:25" x14ac:dyDescent="0.3">
      <c r="A773" s="1" t="s">
        <v>1821</v>
      </c>
      <c r="B773">
        <v>2</v>
      </c>
      <c r="C773">
        <v>27.99</v>
      </c>
      <c r="D773">
        <v>48.96</v>
      </c>
      <c r="E773" s="1" t="s">
        <v>246</v>
      </c>
      <c r="F773" s="1" t="s">
        <v>40</v>
      </c>
      <c r="G773">
        <v>3</v>
      </c>
      <c r="H773" s="1" t="s">
        <v>96</v>
      </c>
      <c r="I773" s="1" t="s">
        <v>75</v>
      </c>
      <c r="J773">
        <v>9</v>
      </c>
      <c r="K773">
        <v>27.99</v>
      </c>
      <c r="L773" s="1" t="s">
        <v>28</v>
      </c>
      <c r="M773" s="1" t="s">
        <v>61</v>
      </c>
      <c r="N773" s="1" t="s">
        <v>62</v>
      </c>
      <c r="O773" s="1" t="s">
        <v>31</v>
      </c>
      <c r="P773" s="2">
        <v>45726</v>
      </c>
      <c r="Q773" s="1" t="s">
        <v>1822</v>
      </c>
      <c r="R773" s="1" t="s">
        <v>1823</v>
      </c>
      <c r="S773" s="1" t="s">
        <v>105</v>
      </c>
      <c r="T773" s="1" t="s">
        <v>35</v>
      </c>
      <c r="U773" s="1" t="s">
        <v>82</v>
      </c>
      <c r="V773" s="1" t="s">
        <v>37</v>
      </c>
      <c r="W773">
        <v>2</v>
      </c>
      <c r="X773" s="1">
        <f t="shared" si="24"/>
        <v>7844.9099999999507</v>
      </c>
      <c r="Y773" s="1">
        <f t="shared" si="25"/>
        <v>7204.2099999999582</v>
      </c>
    </row>
    <row r="774" spans="1:25" x14ac:dyDescent="0.3">
      <c r="A774" s="1" t="s">
        <v>1824</v>
      </c>
      <c r="B774">
        <v>3</v>
      </c>
      <c r="C774">
        <v>30.99</v>
      </c>
      <c r="D774">
        <v>74.67</v>
      </c>
      <c r="E774" s="1" t="s">
        <v>1156</v>
      </c>
      <c r="F774" s="1" t="s">
        <v>40</v>
      </c>
      <c r="G774">
        <v>2</v>
      </c>
      <c r="H774" s="1" t="s">
        <v>26</v>
      </c>
      <c r="I774" s="1" t="s">
        <v>42</v>
      </c>
      <c r="J774">
        <v>10.5</v>
      </c>
      <c r="K774">
        <v>30.99</v>
      </c>
      <c r="L774" s="1" t="s">
        <v>28</v>
      </c>
      <c r="M774" s="1" t="s">
        <v>43</v>
      </c>
      <c r="N774" s="1" t="s">
        <v>44</v>
      </c>
      <c r="O774" s="1" t="s">
        <v>31</v>
      </c>
      <c r="P774" s="2">
        <v>45823</v>
      </c>
      <c r="Q774" s="1" t="s">
        <v>972</v>
      </c>
      <c r="R774" s="1" t="s">
        <v>973</v>
      </c>
      <c r="S774" s="1" t="s">
        <v>65</v>
      </c>
      <c r="T774" s="1" t="s">
        <v>35</v>
      </c>
      <c r="U774" s="1" t="s">
        <v>82</v>
      </c>
      <c r="V774" s="1" t="s">
        <v>37</v>
      </c>
      <c r="W774">
        <v>2</v>
      </c>
      <c r="X774" s="1">
        <f t="shared" si="24"/>
        <v>8313.6899999999459</v>
      </c>
      <c r="Y774" s="1">
        <f t="shared" si="25"/>
        <v>7204.2099999999582</v>
      </c>
    </row>
    <row r="775" spans="1:25" x14ac:dyDescent="0.3">
      <c r="A775" s="1" t="s">
        <v>1825</v>
      </c>
      <c r="B775">
        <v>1</v>
      </c>
      <c r="C775">
        <v>21.99</v>
      </c>
      <c r="D775">
        <v>21.99</v>
      </c>
      <c r="E775" s="1" t="s">
        <v>1379</v>
      </c>
      <c r="F775" s="1" t="s">
        <v>70</v>
      </c>
      <c r="G775">
        <v>0</v>
      </c>
      <c r="H775" s="1" t="s">
        <v>58</v>
      </c>
      <c r="I775" s="1" t="s">
        <v>27</v>
      </c>
      <c r="J775">
        <v>7</v>
      </c>
      <c r="K775">
        <v>21.99</v>
      </c>
      <c r="L775" s="1" t="s">
        <v>28</v>
      </c>
      <c r="M775" s="1" t="s">
        <v>29</v>
      </c>
      <c r="N775" s="1" t="s">
        <v>30</v>
      </c>
      <c r="O775" s="1" t="s">
        <v>31</v>
      </c>
      <c r="P775" s="2">
        <v>45778</v>
      </c>
      <c r="Q775" s="1" t="s">
        <v>990</v>
      </c>
      <c r="R775" s="1" t="s">
        <v>1490</v>
      </c>
      <c r="S775" s="1" t="s">
        <v>88</v>
      </c>
      <c r="T775" s="1" t="s">
        <v>35</v>
      </c>
      <c r="U775" s="1" t="s">
        <v>82</v>
      </c>
      <c r="V775" s="1" t="s">
        <v>37</v>
      </c>
      <c r="W775">
        <v>2</v>
      </c>
      <c r="X775" s="1">
        <f t="shared" si="24"/>
        <v>8640.6199999999462</v>
      </c>
      <c r="Y775" s="1">
        <f t="shared" si="25"/>
        <v>7204.2099999999582</v>
      </c>
    </row>
    <row r="776" spans="1:25" x14ac:dyDescent="0.3">
      <c r="A776" s="1" t="s">
        <v>1826</v>
      </c>
      <c r="B776">
        <v>1</v>
      </c>
      <c r="C776">
        <v>18.989999999999998</v>
      </c>
      <c r="D776">
        <v>18.989999999999998</v>
      </c>
      <c r="E776" s="1" t="s">
        <v>536</v>
      </c>
      <c r="F776" s="1" t="s">
        <v>40</v>
      </c>
      <c r="G776">
        <v>12</v>
      </c>
      <c r="H776" s="1" t="s">
        <v>58</v>
      </c>
      <c r="I776" s="1" t="s">
        <v>97</v>
      </c>
      <c r="J776">
        <v>6</v>
      </c>
      <c r="K776">
        <v>18.989999999999998</v>
      </c>
      <c r="L776" s="1" t="s">
        <v>60</v>
      </c>
      <c r="M776" s="1" t="s">
        <v>43</v>
      </c>
      <c r="N776" s="1" t="s">
        <v>44</v>
      </c>
      <c r="O776" s="1" t="s">
        <v>31</v>
      </c>
      <c r="P776" s="2">
        <v>45823</v>
      </c>
      <c r="Q776" s="1" t="s">
        <v>720</v>
      </c>
      <c r="R776" s="1" t="s">
        <v>1827</v>
      </c>
      <c r="S776" s="1" t="s">
        <v>47</v>
      </c>
      <c r="T776" s="1" t="s">
        <v>35</v>
      </c>
      <c r="U776" s="1" t="s">
        <v>36</v>
      </c>
      <c r="V776" s="1" t="s">
        <v>100</v>
      </c>
      <c r="W776">
        <v>3.2</v>
      </c>
      <c r="X776" s="1">
        <f t="shared" si="24"/>
        <v>8640.6199999999462</v>
      </c>
      <c r="Y776" s="1">
        <f t="shared" si="25"/>
        <v>6355.4899999999634</v>
      </c>
    </row>
    <row r="777" spans="1:25" x14ac:dyDescent="0.3">
      <c r="A777" s="1" t="s">
        <v>1828</v>
      </c>
      <c r="B777">
        <v>1</v>
      </c>
      <c r="C777">
        <v>18.989999999999998</v>
      </c>
      <c r="D777">
        <v>18.989999999999998</v>
      </c>
      <c r="E777" s="1" t="s">
        <v>1634</v>
      </c>
      <c r="F777" s="1" t="s">
        <v>40</v>
      </c>
      <c r="G777">
        <v>13</v>
      </c>
      <c r="H777" s="1" t="s">
        <v>58</v>
      </c>
      <c r="I777" s="1" t="s">
        <v>97</v>
      </c>
      <c r="J777">
        <v>6</v>
      </c>
      <c r="K777">
        <v>18.989999999999998</v>
      </c>
      <c r="L777" s="1" t="s">
        <v>60</v>
      </c>
      <c r="M777" s="1" t="s">
        <v>43</v>
      </c>
      <c r="N777" s="1" t="s">
        <v>44</v>
      </c>
      <c r="O777" s="1" t="s">
        <v>31</v>
      </c>
      <c r="P777" s="2">
        <v>45823</v>
      </c>
      <c r="Q777" s="1" t="s">
        <v>1184</v>
      </c>
      <c r="R777" s="1" t="s">
        <v>1185</v>
      </c>
      <c r="S777" s="1" t="s">
        <v>105</v>
      </c>
      <c r="T777" s="1" t="s">
        <v>35</v>
      </c>
      <c r="U777" s="1" t="s">
        <v>55</v>
      </c>
      <c r="V777" s="1" t="s">
        <v>100</v>
      </c>
      <c r="W777">
        <v>3.2</v>
      </c>
      <c r="X777" s="1">
        <f t="shared" si="24"/>
        <v>8640.6199999999462</v>
      </c>
      <c r="Y777" s="1">
        <f t="shared" si="25"/>
        <v>5710.7699999999695</v>
      </c>
    </row>
    <row r="778" spans="1:25" x14ac:dyDescent="0.3">
      <c r="A778" s="1" t="s">
        <v>1829</v>
      </c>
      <c r="B778">
        <v>1</v>
      </c>
      <c r="C778">
        <v>18.989999999999998</v>
      </c>
      <c r="D778">
        <v>18.989999999999998</v>
      </c>
      <c r="E778" s="1" t="s">
        <v>1271</v>
      </c>
      <c r="F778" s="1" t="s">
        <v>25</v>
      </c>
      <c r="G778">
        <v>18</v>
      </c>
      <c r="H778" s="1" t="s">
        <v>58</v>
      </c>
      <c r="I778" s="1" t="s">
        <v>97</v>
      </c>
      <c r="J778">
        <v>6</v>
      </c>
      <c r="K778">
        <v>18.989999999999998</v>
      </c>
      <c r="L778" s="1" t="s">
        <v>60</v>
      </c>
      <c r="M778" s="1" t="s">
        <v>43</v>
      </c>
      <c r="N778" s="1" t="s">
        <v>44</v>
      </c>
      <c r="O778" s="1" t="s">
        <v>31</v>
      </c>
      <c r="P778" s="2">
        <v>45823</v>
      </c>
      <c r="Q778" s="1" t="s">
        <v>147</v>
      </c>
      <c r="R778" s="1" t="s">
        <v>757</v>
      </c>
      <c r="S778" s="1" t="s">
        <v>47</v>
      </c>
      <c r="T778" s="1" t="s">
        <v>35</v>
      </c>
      <c r="U778" s="1" t="s">
        <v>48</v>
      </c>
      <c r="V778" s="1" t="s">
        <v>100</v>
      </c>
      <c r="W778">
        <v>3.2</v>
      </c>
      <c r="X778" s="1">
        <f t="shared" si="24"/>
        <v>8640.6199999999462</v>
      </c>
      <c r="Y778" s="1">
        <f t="shared" si="25"/>
        <v>7682.919999999951</v>
      </c>
    </row>
    <row r="779" spans="1:25" x14ac:dyDescent="0.3">
      <c r="A779" s="1" t="s">
        <v>1830</v>
      </c>
      <c r="B779">
        <v>3</v>
      </c>
      <c r="C779">
        <v>21.99</v>
      </c>
      <c r="D779">
        <v>52.8</v>
      </c>
      <c r="E779" s="1" t="s">
        <v>1174</v>
      </c>
      <c r="F779" s="1" t="s">
        <v>40</v>
      </c>
      <c r="G779">
        <v>3</v>
      </c>
      <c r="H779" s="1" t="s">
        <v>41</v>
      </c>
      <c r="I779" s="1" t="s">
        <v>27</v>
      </c>
      <c r="J779">
        <v>7</v>
      </c>
      <c r="K779">
        <v>21.99</v>
      </c>
      <c r="L779" s="1" t="s">
        <v>28</v>
      </c>
      <c r="M779" s="1" t="s">
        <v>29</v>
      </c>
      <c r="N779" s="1" t="s">
        <v>30</v>
      </c>
      <c r="O779" s="1" t="s">
        <v>31</v>
      </c>
      <c r="P779" s="2">
        <v>45778</v>
      </c>
      <c r="Q779" s="1" t="s">
        <v>869</v>
      </c>
      <c r="R779" s="1" t="s">
        <v>870</v>
      </c>
      <c r="S779" s="1" t="s">
        <v>88</v>
      </c>
      <c r="T779" s="1" t="s">
        <v>35</v>
      </c>
      <c r="U779" s="1" t="s">
        <v>55</v>
      </c>
      <c r="V779" s="1" t="s">
        <v>37</v>
      </c>
      <c r="W779">
        <v>2</v>
      </c>
      <c r="X779" s="1">
        <f t="shared" si="24"/>
        <v>8551.6499999999451</v>
      </c>
      <c r="Y779" s="1">
        <f t="shared" si="25"/>
        <v>5710.7699999999695</v>
      </c>
    </row>
    <row r="780" spans="1:25" x14ac:dyDescent="0.3">
      <c r="A780" s="1" t="s">
        <v>1831</v>
      </c>
      <c r="B780">
        <v>1</v>
      </c>
      <c r="C780">
        <v>34.99</v>
      </c>
      <c r="D780">
        <v>34.99</v>
      </c>
      <c r="E780" s="1" t="s">
        <v>1832</v>
      </c>
      <c r="F780" s="1" t="s">
        <v>25</v>
      </c>
      <c r="G780">
        <v>5</v>
      </c>
      <c r="H780" s="1" t="s">
        <v>58</v>
      </c>
      <c r="I780" s="1" t="s">
        <v>85</v>
      </c>
      <c r="J780">
        <v>12.5</v>
      </c>
      <c r="K780">
        <v>34.99</v>
      </c>
      <c r="L780" s="1" t="s">
        <v>60</v>
      </c>
      <c r="M780" s="1" t="s">
        <v>29</v>
      </c>
      <c r="N780" s="1" t="s">
        <v>30</v>
      </c>
      <c r="O780" s="1" t="s">
        <v>31</v>
      </c>
      <c r="P780" s="2">
        <v>45778</v>
      </c>
      <c r="Q780" s="1" t="s">
        <v>1654</v>
      </c>
      <c r="R780" s="1" t="s">
        <v>1833</v>
      </c>
      <c r="S780" s="1" t="s">
        <v>65</v>
      </c>
      <c r="T780" s="1" t="s">
        <v>35</v>
      </c>
      <c r="U780" s="1" t="s">
        <v>82</v>
      </c>
      <c r="V780" s="1" t="s">
        <v>89</v>
      </c>
      <c r="W780">
        <v>2.4</v>
      </c>
      <c r="X780" s="1">
        <f t="shared" si="24"/>
        <v>8640.6199999999462</v>
      </c>
      <c r="Y780" s="1">
        <f t="shared" si="25"/>
        <v>7204.2099999999582</v>
      </c>
    </row>
    <row r="781" spans="1:25" x14ac:dyDescent="0.3">
      <c r="A781" s="1" t="s">
        <v>1834</v>
      </c>
      <c r="B781">
        <v>3</v>
      </c>
      <c r="C781">
        <v>30.99</v>
      </c>
      <c r="D781">
        <v>73.64</v>
      </c>
      <c r="E781" s="1" t="s">
        <v>598</v>
      </c>
      <c r="F781" s="1" t="s">
        <v>40</v>
      </c>
      <c r="G781">
        <v>2</v>
      </c>
      <c r="H781" s="1" t="s">
        <v>58</v>
      </c>
      <c r="I781" s="1" t="s">
        <v>42</v>
      </c>
      <c r="J781">
        <v>10.5</v>
      </c>
      <c r="K781">
        <v>30.99</v>
      </c>
      <c r="L781" s="1" t="s">
        <v>28</v>
      </c>
      <c r="M781" s="1" t="s">
        <v>43</v>
      </c>
      <c r="N781" s="1" t="s">
        <v>44</v>
      </c>
      <c r="O781" s="1" t="s">
        <v>31</v>
      </c>
      <c r="P781" s="2">
        <v>45823</v>
      </c>
      <c r="Q781" s="1" t="s">
        <v>947</v>
      </c>
      <c r="R781" s="1" t="s">
        <v>948</v>
      </c>
      <c r="S781" s="1" t="s">
        <v>65</v>
      </c>
      <c r="T781" s="1" t="s">
        <v>35</v>
      </c>
      <c r="U781" s="1" t="s">
        <v>82</v>
      </c>
      <c r="V781" s="1" t="s">
        <v>37</v>
      </c>
      <c r="W781">
        <v>2</v>
      </c>
      <c r="X781" s="1">
        <f t="shared" si="24"/>
        <v>8640.6199999999462</v>
      </c>
      <c r="Y781" s="1">
        <f t="shared" si="25"/>
        <v>7204.2099999999582</v>
      </c>
    </row>
    <row r="782" spans="1:25" x14ac:dyDescent="0.3">
      <c r="A782" s="1" t="s">
        <v>1835</v>
      </c>
      <c r="B782">
        <v>3</v>
      </c>
      <c r="C782">
        <v>30.99</v>
      </c>
      <c r="D782">
        <v>73.69</v>
      </c>
      <c r="E782" s="1" t="s">
        <v>57</v>
      </c>
      <c r="F782" s="1" t="s">
        <v>188</v>
      </c>
      <c r="G782">
        <v>0</v>
      </c>
      <c r="H782" s="1" t="s">
        <v>41</v>
      </c>
      <c r="I782" s="1" t="s">
        <v>42</v>
      </c>
      <c r="J782">
        <v>10.5</v>
      </c>
      <c r="K782">
        <v>30.99</v>
      </c>
      <c r="L782" s="1" t="s">
        <v>28</v>
      </c>
      <c r="M782" s="1" t="s">
        <v>43</v>
      </c>
      <c r="N782" s="1" t="s">
        <v>44</v>
      </c>
      <c r="O782" s="1" t="s">
        <v>31</v>
      </c>
      <c r="P782" s="2">
        <v>45823</v>
      </c>
      <c r="Q782" s="1" t="s">
        <v>787</v>
      </c>
      <c r="R782" s="1" t="s">
        <v>1836</v>
      </c>
      <c r="S782" s="1" t="s">
        <v>47</v>
      </c>
      <c r="T782" s="1" t="s">
        <v>35</v>
      </c>
      <c r="U782" s="1" t="s">
        <v>36</v>
      </c>
      <c r="V782" s="1" t="s">
        <v>37</v>
      </c>
      <c r="W782">
        <v>2</v>
      </c>
      <c r="X782" s="1">
        <f t="shared" si="24"/>
        <v>8551.6499999999451</v>
      </c>
      <c r="Y782" s="1">
        <f t="shared" si="25"/>
        <v>6355.4899999999634</v>
      </c>
    </row>
    <row r="783" spans="1:25" x14ac:dyDescent="0.3">
      <c r="A783" s="1" t="s">
        <v>1837</v>
      </c>
      <c r="B783">
        <v>1</v>
      </c>
      <c r="C783">
        <v>30.99</v>
      </c>
      <c r="D783">
        <v>30.99</v>
      </c>
      <c r="E783" s="1" t="s">
        <v>872</v>
      </c>
      <c r="F783" s="1" t="s">
        <v>188</v>
      </c>
      <c r="G783">
        <v>0</v>
      </c>
      <c r="H783" s="1" t="s">
        <v>58</v>
      </c>
      <c r="I783" s="1" t="s">
        <v>42</v>
      </c>
      <c r="J783">
        <v>10.5</v>
      </c>
      <c r="K783">
        <v>30.99</v>
      </c>
      <c r="L783" s="1" t="s">
        <v>28</v>
      </c>
      <c r="M783" s="1" t="s">
        <v>43</v>
      </c>
      <c r="N783" s="1" t="s">
        <v>44</v>
      </c>
      <c r="O783" s="1" t="s">
        <v>31</v>
      </c>
      <c r="P783" s="2">
        <v>45823</v>
      </c>
      <c r="Q783" s="1" t="s">
        <v>1838</v>
      </c>
      <c r="R783" s="1" t="s">
        <v>1839</v>
      </c>
      <c r="S783" s="1" t="s">
        <v>54</v>
      </c>
      <c r="T783" s="1" t="s">
        <v>35</v>
      </c>
      <c r="U783" s="1" t="s">
        <v>82</v>
      </c>
      <c r="V783" s="1" t="s">
        <v>37</v>
      </c>
      <c r="W783">
        <v>2</v>
      </c>
      <c r="X783" s="1">
        <f t="shared" si="24"/>
        <v>8640.6199999999462</v>
      </c>
      <c r="Y783" s="1">
        <f t="shared" si="25"/>
        <v>7204.2099999999582</v>
      </c>
    </row>
    <row r="784" spans="1:25" x14ac:dyDescent="0.3">
      <c r="A784" s="1" t="s">
        <v>1840</v>
      </c>
      <c r="B784">
        <v>1</v>
      </c>
      <c r="C784">
        <v>21.99</v>
      </c>
      <c r="D784">
        <v>21.99</v>
      </c>
      <c r="E784" s="1" t="s">
        <v>272</v>
      </c>
      <c r="F784" s="1" t="s">
        <v>25</v>
      </c>
      <c r="G784">
        <v>2</v>
      </c>
      <c r="H784" s="1" t="s">
        <v>41</v>
      </c>
      <c r="I784" s="1" t="s">
        <v>27</v>
      </c>
      <c r="J784">
        <v>7</v>
      </c>
      <c r="K784">
        <v>21.99</v>
      </c>
      <c r="L784" s="1" t="s">
        <v>28</v>
      </c>
      <c r="M784" s="1" t="s">
        <v>29</v>
      </c>
      <c r="N784" s="1" t="s">
        <v>30</v>
      </c>
      <c r="O784" s="1" t="s">
        <v>31</v>
      </c>
      <c r="P784" s="2">
        <v>45778</v>
      </c>
      <c r="Q784" s="1" t="s">
        <v>1009</v>
      </c>
      <c r="R784" s="1" t="s">
        <v>1010</v>
      </c>
      <c r="S784" s="1" t="s">
        <v>47</v>
      </c>
      <c r="T784" s="1" t="s">
        <v>35</v>
      </c>
      <c r="U784" s="1" t="s">
        <v>82</v>
      </c>
      <c r="V784" s="1" t="s">
        <v>37</v>
      </c>
      <c r="W784">
        <v>2</v>
      </c>
      <c r="X784" s="1">
        <f t="shared" si="24"/>
        <v>8551.6499999999451</v>
      </c>
      <c r="Y784" s="1">
        <f t="shared" si="25"/>
        <v>7204.2099999999582</v>
      </c>
    </row>
    <row r="785" spans="1:25" x14ac:dyDescent="0.3">
      <c r="A785" s="1" t="s">
        <v>1841</v>
      </c>
      <c r="B785">
        <v>3</v>
      </c>
      <c r="C785">
        <v>30.99</v>
      </c>
      <c r="D785">
        <v>74.790000000000006</v>
      </c>
      <c r="E785" s="1" t="s">
        <v>1093</v>
      </c>
      <c r="F785" s="1" t="s">
        <v>51</v>
      </c>
      <c r="G785">
        <v>0</v>
      </c>
      <c r="H785" s="1" t="s">
        <v>58</v>
      </c>
      <c r="I785" s="1" t="s">
        <v>42</v>
      </c>
      <c r="J785">
        <v>10.5</v>
      </c>
      <c r="K785">
        <v>30.99</v>
      </c>
      <c r="L785" s="1" t="s">
        <v>28</v>
      </c>
      <c r="M785" s="1" t="s">
        <v>43</v>
      </c>
      <c r="N785" s="1" t="s">
        <v>44</v>
      </c>
      <c r="O785" s="1" t="s">
        <v>31</v>
      </c>
      <c r="P785" s="2">
        <v>45823</v>
      </c>
      <c r="Q785" s="1" t="s">
        <v>1822</v>
      </c>
      <c r="R785" s="1" t="s">
        <v>1823</v>
      </c>
      <c r="S785" s="1" t="s">
        <v>105</v>
      </c>
      <c r="T785" s="1" t="s">
        <v>35</v>
      </c>
      <c r="U785" s="1" t="s">
        <v>82</v>
      </c>
      <c r="V785" s="1" t="s">
        <v>37</v>
      </c>
      <c r="W785">
        <v>2</v>
      </c>
      <c r="X785" s="1">
        <f t="shared" si="24"/>
        <v>8640.6199999999462</v>
      </c>
      <c r="Y785" s="1">
        <f t="shared" si="25"/>
        <v>7204.2099999999582</v>
      </c>
    </row>
    <row r="786" spans="1:25" x14ac:dyDescent="0.3">
      <c r="A786" s="1" t="s">
        <v>1842</v>
      </c>
      <c r="B786">
        <v>1</v>
      </c>
      <c r="C786">
        <v>27.99</v>
      </c>
      <c r="D786">
        <v>27.99</v>
      </c>
      <c r="E786" s="1" t="s">
        <v>1648</v>
      </c>
      <c r="F786" s="1" t="s">
        <v>40</v>
      </c>
      <c r="G786">
        <v>3</v>
      </c>
      <c r="H786" s="1" t="s">
        <v>41</v>
      </c>
      <c r="I786" s="1" t="s">
        <v>75</v>
      </c>
      <c r="J786">
        <v>9</v>
      </c>
      <c r="K786">
        <v>27.99</v>
      </c>
      <c r="L786" s="1" t="s">
        <v>28</v>
      </c>
      <c r="M786" s="1" t="s">
        <v>61</v>
      </c>
      <c r="N786" s="1" t="s">
        <v>62</v>
      </c>
      <c r="O786" s="1" t="s">
        <v>31</v>
      </c>
      <c r="P786" s="2">
        <v>45726</v>
      </c>
      <c r="Q786" s="1" t="s">
        <v>425</v>
      </c>
      <c r="R786" s="1" t="s">
        <v>1435</v>
      </c>
      <c r="S786" s="1" t="s">
        <v>54</v>
      </c>
      <c r="T786" s="1" t="s">
        <v>35</v>
      </c>
      <c r="U786" s="1" t="s">
        <v>48</v>
      </c>
      <c r="V786" s="1" t="s">
        <v>37</v>
      </c>
      <c r="W786">
        <v>2</v>
      </c>
      <c r="X786" s="1">
        <f t="shared" si="24"/>
        <v>8551.6499999999451</v>
      </c>
      <c r="Y786" s="1">
        <f t="shared" si="25"/>
        <v>7682.919999999951</v>
      </c>
    </row>
    <row r="787" spans="1:25" x14ac:dyDescent="0.3">
      <c r="A787" s="1" t="s">
        <v>1843</v>
      </c>
      <c r="B787">
        <v>1</v>
      </c>
      <c r="C787">
        <v>34.99</v>
      </c>
      <c r="D787">
        <v>34.99</v>
      </c>
      <c r="E787" s="1" t="s">
        <v>1844</v>
      </c>
      <c r="F787" s="1" t="s">
        <v>40</v>
      </c>
      <c r="G787">
        <v>5</v>
      </c>
      <c r="H787" s="1" t="s">
        <v>58</v>
      </c>
      <c r="I787" s="1" t="s">
        <v>85</v>
      </c>
      <c r="J787">
        <v>12.5</v>
      </c>
      <c r="K787">
        <v>34.99</v>
      </c>
      <c r="L787" s="1" t="s">
        <v>60</v>
      </c>
      <c r="M787" s="1" t="s">
        <v>29</v>
      </c>
      <c r="N787" s="1" t="s">
        <v>30</v>
      </c>
      <c r="O787" s="1" t="s">
        <v>31</v>
      </c>
      <c r="P787" s="2">
        <v>45778</v>
      </c>
      <c r="Q787" s="1" t="s">
        <v>1119</v>
      </c>
      <c r="R787" s="1" t="s">
        <v>1120</v>
      </c>
      <c r="S787" s="1" t="s">
        <v>34</v>
      </c>
      <c r="T787" s="1" t="s">
        <v>35</v>
      </c>
      <c r="U787" s="1" t="s">
        <v>66</v>
      </c>
      <c r="V787" s="1" t="s">
        <v>89</v>
      </c>
      <c r="W787">
        <v>2.4</v>
      </c>
      <c r="X787" s="1">
        <f t="shared" si="24"/>
        <v>8640.6199999999462</v>
      </c>
      <c r="Y787" s="1">
        <f t="shared" si="25"/>
        <v>6397.4799999999632</v>
      </c>
    </row>
    <row r="788" spans="1:25" x14ac:dyDescent="0.3">
      <c r="A788" s="1" t="s">
        <v>1845</v>
      </c>
      <c r="B788">
        <v>1</v>
      </c>
      <c r="C788">
        <v>18.989999999999998</v>
      </c>
      <c r="D788">
        <v>18.989999999999998</v>
      </c>
      <c r="E788" s="1" t="s">
        <v>937</v>
      </c>
      <c r="F788" s="1" t="s">
        <v>40</v>
      </c>
      <c r="G788">
        <v>11</v>
      </c>
      <c r="H788" s="1" t="s">
        <v>96</v>
      </c>
      <c r="I788" s="1" t="s">
        <v>97</v>
      </c>
      <c r="J788">
        <v>6</v>
      </c>
      <c r="K788">
        <v>18.989999999999998</v>
      </c>
      <c r="L788" s="1" t="s">
        <v>60</v>
      </c>
      <c r="M788" s="1" t="s">
        <v>43</v>
      </c>
      <c r="N788" s="1" t="s">
        <v>44</v>
      </c>
      <c r="O788" s="1" t="s">
        <v>31</v>
      </c>
      <c r="P788" s="2">
        <v>45823</v>
      </c>
      <c r="Q788" s="1" t="s">
        <v>544</v>
      </c>
      <c r="R788" s="1" t="s">
        <v>1225</v>
      </c>
      <c r="S788" s="1" t="s">
        <v>88</v>
      </c>
      <c r="T788" s="1" t="s">
        <v>35</v>
      </c>
      <c r="U788" s="1" t="s">
        <v>36</v>
      </c>
      <c r="V788" s="1" t="s">
        <v>100</v>
      </c>
      <c r="W788">
        <v>3.2</v>
      </c>
      <c r="X788" s="1">
        <f t="shared" si="24"/>
        <v>7844.9099999999507</v>
      </c>
      <c r="Y788" s="1">
        <f t="shared" si="25"/>
        <v>6355.4899999999634</v>
      </c>
    </row>
    <row r="789" spans="1:25" x14ac:dyDescent="0.3">
      <c r="A789" s="1" t="s">
        <v>1846</v>
      </c>
      <c r="B789">
        <v>1</v>
      </c>
      <c r="C789">
        <v>16.989999999999998</v>
      </c>
      <c r="D789">
        <v>16.989999999999998</v>
      </c>
      <c r="E789" s="1" t="s">
        <v>1156</v>
      </c>
      <c r="F789" s="1" t="s">
        <v>25</v>
      </c>
      <c r="G789">
        <v>15</v>
      </c>
      <c r="H789" s="1" t="s">
        <v>96</v>
      </c>
      <c r="I789" s="1" t="s">
        <v>59</v>
      </c>
      <c r="J789">
        <v>5</v>
      </c>
      <c r="K789">
        <v>16.989999999999998</v>
      </c>
      <c r="L789" s="1" t="s">
        <v>60</v>
      </c>
      <c r="M789" s="1" t="s">
        <v>61</v>
      </c>
      <c r="N789" s="1" t="s">
        <v>62</v>
      </c>
      <c r="O789" s="1" t="s">
        <v>31</v>
      </c>
      <c r="P789" s="2">
        <v>45726</v>
      </c>
      <c r="Q789" s="1" t="s">
        <v>836</v>
      </c>
      <c r="R789" s="1" t="s">
        <v>1847</v>
      </c>
      <c r="S789" s="1" t="s">
        <v>105</v>
      </c>
      <c r="T789" s="1" t="s">
        <v>35</v>
      </c>
      <c r="U789" s="1" t="s">
        <v>66</v>
      </c>
      <c r="V789" s="1" t="s">
        <v>67</v>
      </c>
      <c r="W789">
        <v>3</v>
      </c>
      <c r="X789" s="1">
        <f t="shared" si="24"/>
        <v>7844.9099999999507</v>
      </c>
      <c r="Y789" s="1">
        <f t="shared" si="25"/>
        <v>6397.4799999999632</v>
      </c>
    </row>
    <row r="790" spans="1:25" x14ac:dyDescent="0.3">
      <c r="A790" s="1" t="s">
        <v>1848</v>
      </c>
      <c r="B790">
        <v>1</v>
      </c>
      <c r="C790">
        <v>34.99</v>
      </c>
      <c r="D790">
        <v>34.99</v>
      </c>
      <c r="E790" s="1" t="s">
        <v>786</v>
      </c>
      <c r="F790" s="1" t="s">
        <v>40</v>
      </c>
      <c r="G790">
        <v>9</v>
      </c>
      <c r="H790" s="1" t="s">
        <v>58</v>
      </c>
      <c r="I790" s="1" t="s">
        <v>85</v>
      </c>
      <c r="J790">
        <v>12.5</v>
      </c>
      <c r="K790">
        <v>34.99</v>
      </c>
      <c r="L790" s="1" t="s">
        <v>60</v>
      </c>
      <c r="M790" s="1" t="s">
        <v>29</v>
      </c>
      <c r="N790" s="1" t="s">
        <v>30</v>
      </c>
      <c r="O790" s="1" t="s">
        <v>31</v>
      </c>
      <c r="P790" s="2">
        <v>45778</v>
      </c>
      <c r="Q790" s="1" t="s">
        <v>1028</v>
      </c>
      <c r="R790" s="1" t="s">
        <v>1029</v>
      </c>
      <c r="S790" s="1" t="s">
        <v>105</v>
      </c>
      <c r="T790" s="1" t="s">
        <v>35</v>
      </c>
      <c r="U790" s="1" t="s">
        <v>36</v>
      </c>
      <c r="V790" s="1" t="s">
        <v>89</v>
      </c>
      <c r="W790">
        <v>2.4</v>
      </c>
      <c r="X790" s="1">
        <f t="shared" si="24"/>
        <v>8640.6199999999462</v>
      </c>
      <c r="Y790" s="1">
        <f t="shared" si="25"/>
        <v>6355.4899999999634</v>
      </c>
    </row>
    <row r="791" spans="1:25" x14ac:dyDescent="0.3">
      <c r="A791" s="1" t="s">
        <v>1849</v>
      </c>
      <c r="B791">
        <v>1</v>
      </c>
      <c r="C791">
        <v>18.989999999999998</v>
      </c>
      <c r="D791">
        <v>18.989999999999998</v>
      </c>
      <c r="E791" s="1" t="s">
        <v>457</v>
      </c>
      <c r="F791" s="1" t="s">
        <v>40</v>
      </c>
      <c r="G791">
        <v>15</v>
      </c>
      <c r="H791" s="1" t="s">
        <v>96</v>
      </c>
      <c r="I791" s="1" t="s">
        <v>97</v>
      </c>
      <c r="J791">
        <v>6</v>
      </c>
      <c r="K791">
        <v>18.989999999999998</v>
      </c>
      <c r="L791" s="1" t="s">
        <v>60</v>
      </c>
      <c r="M791" s="1" t="s">
        <v>43</v>
      </c>
      <c r="N791" s="1" t="s">
        <v>44</v>
      </c>
      <c r="O791" s="1" t="s">
        <v>31</v>
      </c>
      <c r="P791" s="2">
        <v>45823</v>
      </c>
      <c r="Q791" s="1" t="s">
        <v>1850</v>
      </c>
      <c r="R791" s="1" t="s">
        <v>1851</v>
      </c>
      <c r="S791" s="1" t="s">
        <v>47</v>
      </c>
      <c r="T791" s="1" t="s">
        <v>35</v>
      </c>
      <c r="U791" s="1" t="s">
        <v>66</v>
      </c>
      <c r="V791" s="1" t="s">
        <v>100</v>
      </c>
      <c r="W791">
        <v>3.2</v>
      </c>
      <c r="X791" s="1">
        <f t="shared" si="24"/>
        <v>7844.9099999999507</v>
      </c>
      <c r="Y791" s="1">
        <f t="shared" si="25"/>
        <v>6397.4799999999632</v>
      </c>
    </row>
    <row r="792" spans="1:25" x14ac:dyDescent="0.3">
      <c r="A792" s="1" t="s">
        <v>1852</v>
      </c>
      <c r="B792">
        <v>1</v>
      </c>
      <c r="C792">
        <v>34.99</v>
      </c>
      <c r="D792">
        <v>34.99</v>
      </c>
      <c r="E792" s="1" t="s">
        <v>1796</v>
      </c>
      <c r="F792" s="1" t="s">
        <v>51</v>
      </c>
      <c r="G792">
        <v>0</v>
      </c>
      <c r="H792" s="1" t="s">
        <v>41</v>
      </c>
      <c r="I792" s="1" t="s">
        <v>85</v>
      </c>
      <c r="J792">
        <v>12.5</v>
      </c>
      <c r="K792">
        <v>34.99</v>
      </c>
      <c r="L792" s="1" t="s">
        <v>60</v>
      </c>
      <c r="M792" s="1" t="s">
        <v>29</v>
      </c>
      <c r="N792" s="1" t="s">
        <v>30</v>
      </c>
      <c r="O792" s="1" t="s">
        <v>31</v>
      </c>
      <c r="P792" s="2">
        <v>45778</v>
      </c>
      <c r="Q792" s="1" t="s">
        <v>926</v>
      </c>
      <c r="R792" s="1" t="s">
        <v>927</v>
      </c>
      <c r="S792" s="1" t="s">
        <v>47</v>
      </c>
      <c r="T792" s="1" t="s">
        <v>35</v>
      </c>
      <c r="U792" s="1" t="s">
        <v>36</v>
      </c>
      <c r="V792" s="1" t="s">
        <v>89</v>
      </c>
      <c r="W792">
        <v>2.4</v>
      </c>
      <c r="X792" s="1">
        <f t="shared" si="24"/>
        <v>8551.6499999999451</v>
      </c>
      <c r="Y792" s="1">
        <f t="shared" si="25"/>
        <v>6355.4899999999634</v>
      </c>
    </row>
    <row r="793" spans="1:25" x14ac:dyDescent="0.3">
      <c r="A793" s="1" t="s">
        <v>1853</v>
      </c>
      <c r="B793">
        <v>1</v>
      </c>
      <c r="C793">
        <v>18.989999999999998</v>
      </c>
      <c r="D793">
        <v>18.989999999999998</v>
      </c>
      <c r="E793" s="1" t="s">
        <v>102</v>
      </c>
      <c r="F793" s="1" t="s">
        <v>51</v>
      </c>
      <c r="G793">
        <v>0</v>
      </c>
      <c r="H793" s="1" t="s">
        <v>26</v>
      </c>
      <c r="I793" s="1" t="s">
        <v>97</v>
      </c>
      <c r="J793">
        <v>6</v>
      </c>
      <c r="K793">
        <v>18.989999999999998</v>
      </c>
      <c r="L793" s="1" t="s">
        <v>60</v>
      </c>
      <c r="M793" s="1" t="s">
        <v>43</v>
      </c>
      <c r="N793" s="1" t="s">
        <v>44</v>
      </c>
      <c r="O793" s="1" t="s">
        <v>31</v>
      </c>
      <c r="P793" s="2">
        <v>45823</v>
      </c>
      <c r="Q793" s="1" t="s">
        <v>1024</v>
      </c>
      <c r="R793" s="1" t="s">
        <v>1854</v>
      </c>
      <c r="S793" s="1" t="s">
        <v>65</v>
      </c>
      <c r="T793" s="1" t="s">
        <v>35</v>
      </c>
      <c r="U793" s="1" t="s">
        <v>82</v>
      </c>
      <c r="V793" s="1" t="s">
        <v>100</v>
      </c>
      <c r="W793">
        <v>3.2</v>
      </c>
      <c r="X793" s="1">
        <f t="shared" si="24"/>
        <v>8313.6899999999459</v>
      </c>
      <c r="Y793" s="1">
        <f t="shared" si="25"/>
        <v>7204.2099999999582</v>
      </c>
    </row>
    <row r="794" spans="1:25" x14ac:dyDescent="0.3">
      <c r="A794" s="1" t="s">
        <v>1855</v>
      </c>
      <c r="B794">
        <v>2</v>
      </c>
      <c r="C794">
        <v>30.99</v>
      </c>
      <c r="D794">
        <v>53.16</v>
      </c>
      <c r="E794" s="1" t="s">
        <v>24</v>
      </c>
      <c r="F794" s="1" t="s">
        <v>40</v>
      </c>
      <c r="G794">
        <v>2</v>
      </c>
      <c r="H794" s="1" t="s">
        <v>26</v>
      </c>
      <c r="I794" s="1" t="s">
        <v>42</v>
      </c>
      <c r="J794">
        <v>10.5</v>
      </c>
      <c r="K794">
        <v>30.99</v>
      </c>
      <c r="L794" s="1" t="s">
        <v>28</v>
      </c>
      <c r="M794" s="1" t="s">
        <v>43</v>
      </c>
      <c r="N794" s="1" t="s">
        <v>44</v>
      </c>
      <c r="O794" s="1" t="s">
        <v>31</v>
      </c>
      <c r="P794" s="2">
        <v>45823</v>
      </c>
      <c r="Q794" s="1" t="s">
        <v>1856</v>
      </c>
      <c r="R794" s="1" t="s">
        <v>1857</v>
      </c>
      <c r="S794" s="1" t="s">
        <v>34</v>
      </c>
      <c r="T794" s="1" t="s">
        <v>35</v>
      </c>
      <c r="U794" s="1" t="s">
        <v>36</v>
      </c>
      <c r="V794" s="1" t="s">
        <v>37</v>
      </c>
      <c r="W794">
        <v>2</v>
      </c>
      <c r="X794" s="1">
        <f t="shared" si="24"/>
        <v>8313.6899999999459</v>
      </c>
      <c r="Y794" s="1">
        <f t="shared" si="25"/>
        <v>6355.4899999999634</v>
      </c>
    </row>
    <row r="795" spans="1:25" x14ac:dyDescent="0.3">
      <c r="A795" s="1" t="s">
        <v>1858</v>
      </c>
      <c r="B795">
        <v>1</v>
      </c>
      <c r="C795">
        <v>18.989999999999998</v>
      </c>
      <c r="D795">
        <v>18.989999999999998</v>
      </c>
      <c r="E795" s="1" t="s">
        <v>79</v>
      </c>
      <c r="F795" s="1" t="s">
        <v>40</v>
      </c>
      <c r="G795">
        <v>12</v>
      </c>
      <c r="H795" s="1" t="s">
        <v>41</v>
      </c>
      <c r="I795" s="1" t="s">
        <v>97</v>
      </c>
      <c r="J795">
        <v>6</v>
      </c>
      <c r="K795">
        <v>18.989999999999998</v>
      </c>
      <c r="L795" s="1" t="s">
        <v>60</v>
      </c>
      <c r="M795" s="1" t="s">
        <v>43</v>
      </c>
      <c r="N795" s="1" t="s">
        <v>44</v>
      </c>
      <c r="O795" s="1" t="s">
        <v>31</v>
      </c>
      <c r="P795" s="2">
        <v>45823</v>
      </c>
      <c r="Q795" s="1" t="s">
        <v>1241</v>
      </c>
      <c r="R795" s="1" t="s">
        <v>1722</v>
      </c>
      <c r="S795" s="1" t="s">
        <v>65</v>
      </c>
      <c r="T795" s="1" t="s">
        <v>35</v>
      </c>
      <c r="U795" s="1" t="s">
        <v>82</v>
      </c>
      <c r="V795" s="1" t="s">
        <v>100</v>
      </c>
      <c r="W795">
        <v>3.2</v>
      </c>
      <c r="X795" s="1">
        <f t="shared" si="24"/>
        <v>8551.6499999999451</v>
      </c>
      <c r="Y795" s="1">
        <f t="shared" si="25"/>
        <v>7204.2099999999582</v>
      </c>
    </row>
    <row r="796" spans="1:25" x14ac:dyDescent="0.3">
      <c r="A796" s="1" t="s">
        <v>1859</v>
      </c>
      <c r="B796">
        <v>3</v>
      </c>
      <c r="C796">
        <v>21.99</v>
      </c>
      <c r="D796">
        <v>52.37</v>
      </c>
      <c r="E796" s="1" t="s">
        <v>1860</v>
      </c>
      <c r="F796" s="1" t="s">
        <v>188</v>
      </c>
      <c r="G796">
        <v>0</v>
      </c>
      <c r="H796" s="1" t="s">
        <v>58</v>
      </c>
      <c r="I796" s="1" t="s">
        <v>27</v>
      </c>
      <c r="J796">
        <v>7</v>
      </c>
      <c r="K796">
        <v>21.99</v>
      </c>
      <c r="L796" s="1" t="s">
        <v>28</v>
      </c>
      <c r="M796" s="1" t="s">
        <v>29</v>
      </c>
      <c r="N796" s="1" t="s">
        <v>30</v>
      </c>
      <c r="O796" s="1" t="s">
        <v>31</v>
      </c>
      <c r="P796" s="2">
        <v>45778</v>
      </c>
      <c r="Q796" s="1" t="s">
        <v>1286</v>
      </c>
      <c r="R796" s="1" t="s">
        <v>1861</v>
      </c>
      <c r="S796" s="1" t="s">
        <v>88</v>
      </c>
      <c r="T796" s="1" t="s">
        <v>35</v>
      </c>
      <c r="U796" s="1" t="s">
        <v>48</v>
      </c>
      <c r="V796" s="1" t="s">
        <v>37</v>
      </c>
      <c r="W796">
        <v>2</v>
      </c>
      <c r="X796" s="1">
        <f t="shared" si="24"/>
        <v>8640.6199999999462</v>
      </c>
      <c r="Y796" s="1">
        <f t="shared" si="25"/>
        <v>7682.919999999951</v>
      </c>
    </row>
    <row r="797" spans="1:25" x14ac:dyDescent="0.3">
      <c r="A797" s="1" t="s">
        <v>1862</v>
      </c>
      <c r="B797">
        <v>1</v>
      </c>
      <c r="C797">
        <v>27.99</v>
      </c>
      <c r="D797">
        <v>27.99</v>
      </c>
      <c r="E797" s="1" t="s">
        <v>117</v>
      </c>
      <c r="F797" s="1" t="s">
        <v>51</v>
      </c>
      <c r="G797">
        <v>0</v>
      </c>
      <c r="H797" s="1" t="s">
        <v>26</v>
      </c>
      <c r="I797" s="1" t="s">
        <v>75</v>
      </c>
      <c r="J797">
        <v>9</v>
      </c>
      <c r="K797">
        <v>27.99</v>
      </c>
      <c r="L797" s="1" t="s">
        <v>28</v>
      </c>
      <c r="M797" s="1" t="s">
        <v>61</v>
      </c>
      <c r="N797" s="1" t="s">
        <v>62</v>
      </c>
      <c r="O797" s="1" t="s">
        <v>31</v>
      </c>
      <c r="P797" s="2">
        <v>45726</v>
      </c>
      <c r="Q797" s="1" t="s">
        <v>1850</v>
      </c>
      <c r="R797" s="1" t="s">
        <v>1851</v>
      </c>
      <c r="S797" s="1" t="s">
        <v>47</v>
      </c>
      <c r="T797" s="1" t="s">
        <v>35</v>
      </c>
      <c r="U797" s="1" t="s">
        <v>66</v>
      </c>
      <c r="V797" s="1" t="s">
        <v>37</v>
      </c>
      <c r="W797">
        <v>2</v>
      </c>
      <c r="X797" s="1">
        <f t="shared" si="24"/>
        <v>8313.6899999999459</v>
      </c>
      <c r="Y797" s="1">
        <f t="shared" si="25"/>
        <v>6397.4799999999632</v>
      </c>
    </row>
    <row r="798" spans="1:25" x14ac:dyDescent="0.3">
      <c r="A798" s="1" t="s">
        <v>1863</v>
      </c>
      <c r="B798">
        <v>1</v>
      </c>
      <c r="C798">
        <v>18.989999999999998</v>
      </c>
      <c r="D798">
        <v>18.989999999999998</v>
      </c>
      <c r="E798" s="1" t="s">
        <v>1590</v>
      </c>
      <c r="F798" s="1" t="s">
        <v>40</v>
      </c>
      <c r="G798">
        <v>12</v>
      </c>
      <c r="H798" s="1" t="s">
        <v>41</v>
      </c>
      <c r="I798" s="1" t="s">
        <v>97</v>
      </c>
      <c r="J798">
        <v>6</v>
      </c>
      <c r="K798">
        <v>18.989999999999998</v>
      </c>
      <c r="L798" s="1" t="s">
        <v>60</v>
      </c>
      <c r="M798" s="1" t="s">
        <v>43</v>
      </c>
      <c r="N798" s="1" t="s">
        <v>44</v>
      </c>
      <c r="O798" s="1" t="s">
        <v>31</v>
      </c>
      <c r="P798" s="2">
        <v>45823</v>
      </c>
      <c r="Q798" s="1" t="s">
        <v>278</v>
      </c>
      <c r="R798" s="1" t="s">
        <v>811</v>
      </c>
      <c r="S798" s="1" t="s">
        <v>65</v>
      </c>
      <c r="T798" s="1" t="s">
        <v>35</v>
      </c>
      <c r="U798" s="1" t="s">
        <v>66</v>
      </c>
      <c r="V798" s="1" t="s">
        <v>100</v>
      </c>
      <c r="W798">
        <v>3.2</v>
      </c>
      <c r="X798" s="1">
        <f t="shared" si="24"/>
        <v>8551.6499999999451</v>
      </c>
      <c r="Y798" s="1">
        <f t="shared" si="25"/>
        <v>6397.4799999999632</v>
      </c>
    </row>
    <row r="799" spans="1:25" x14ac:dyDescent="0.3">
      <c r="A799" s="1" t="s">
        <v>1864</v>
      </c>
      <c r="B799">
        <v>1</v>
      </c>
      <c r="C799">
        <v>34.99</v>
      </c>
      <c r="D799">
        <v>34.99</v>
      </c>
      <c r="E799" s="1" t="s">
        <v>1865</v>
      </c>
      <c r="F799" s="1" t="s">
        <v>188</v>
      </c>
      <c r="G799">
        <v>0</v>
      </c>
      <c r="H799" s="1" t="s">
        <v>96</v>
      </c>
      <c r="I799" s="1" t="s">
        <v>85</v>
      </c>
      <c r="J799">
        <v>12.5</v>
      </c>
      <c r="K799">
        <v>34.99</v>
      </c>
      <c r="L799" s="1" t="s">
        <v>60</v>
      </c>
      <c r="M799" s="1" t="s">
        <v>29</v>
      </c>
      <c r="N799" s="1" t="s">
        <v>30</v>
      </c>
      <c r="O799" s="1" t="s">
        <v>31</v>
      </c>
      <c r="P799" s="2">
        <v>45778</v>
      </c>
      <c r="Q799" s="1" t="s">
        <v>1487</v>
      </c>
      <c r="R799" s="1" t="s">
        <v>1557</v>
      </c>
      <c r="S799" s="1" t="s">
        <v>47</v>
      </c>
      <c r="T799" s="1" t="s">
        <v>35</v>
      </c>
      <c r="U799" s="1" t="s">
        <v>82</v>
      </c>
      <c r="V799" s="1" t="s">
        <v>89</v>
      </c>
      <c r="W799">
        <v>2.4</v>
      </c>
      <c r="X799" s="1">
        <f t="shared" si="24"/>
        <v>7844.9099999999507</v>
      </c>
      <c r="Y799" s="1">
        <f t="shared" si="25"/>
        <v>7204.2099999999582</v>
      </c>
    </row>
    <row r="800" spans="1:25" x14ac:dyDescent="0.3">
      <c r="A800" s="1" t="s">
        <v>1866</v>
      </c>
      <c r="B800">
        <v>2</v>
      </c>
      <c r="C800">
        <v>34.99</v>
      </c>
      <c r="D800">
        <v>61.13</v>
      </c>
      <c r="E800" s="1" t="s">
        <v>1122</v>
      </c>
      <c r="F800" s="1" t="s">
        <v>40</v>
      </c>
      <c r="G800">
        <v>6</v>
      </c>
      <c r="H800" s="1" t="s">
        <v>58</v>
      </c>
      <c r="I800" s="1" t="s">
        <v>85</v>
      </c>
      <c r="J800">
        <v>12.5</v>
      </c>
      <c r="K800">
        <v>34.99</v>
      </c>
      <c r="L800" s="1" t="s">
        <v>60</v>
      </c>
      <c r="M800" s="1" t="s">
        <v>29</v>
      </c>
      <c r="N800" s="1" t="s">
        <v>30</v>
      </c>
      <c r="O800" s="1" t="s">
        <v>31</v>
      </c>
      <c r="P800" s="2">
        <v>45778</v>
      </c>
      <c r="Q800" s="1" t="s">
        <v>189</v>
      </c>
      <c r="R800" s="1" t="s">
        <v>1016</v>
      </c>
      <c r="S800" s="1" t="s">
        <v>105</v>
      </c>
      <c r="T800" s="1" t="s">
        <v>35</v>
      </c>
      <c r="U800" s="1" t="s">
        <v>48</v>
      </c>
      <c r="V800" s="1" t="s">
        <v>89</v>
      </c>
      <c r="W800">
        <v>2.4</v>
      </c>
      <c r="X800" s="1">
        <f t="shared" si="24"/>
        <v>8640.6199999999462</v>
      </c>
      <c r="Y800" s="1">
        <f t="shared" si="25"/>
        <v>7682.919999999951</v>
      </c>
    </row>
    <row r="801" spans="1:25" x14ac:dyDescent="0.3">
      <c r="A801" s="1" t="s">
        <v>1867</v>
      </c>
      <c r="B801">
        <v>1</v>
      </c>
      <c r="C801">
        <v>34.99</v>
      </c>
      <c r="D801">
        <v>34.99</v>
      </c>
      <c r="E801" s="1" t="s">
        <v>1590</v>
      </c>
      <c r="F801" s="1" t="s">
        <v>40</v>
      </c>
      <c r="G801">
        <v>6</v>
      </c>
      <c r="H801" s="1" t="s">
        <v>96</v>
      </c>
      <c r="I801" s="1" t="s">
        <v>85</v>
      </c>
      <c r="J801">
        <v>12.5</v>
      </c>
      <c r="K801">
        <v>34.99</v>
      </c>
      <c r="L801" s="1" t="s">
        <v>60</v>
      </c>
      <c r="M801" s="1" t="s">
        <v>29</v>
      </c>
      <c r="N801" s="1" t="s">
        <v>30</v>
      </c>
      <c r="O801" s="1" t="s">
        <v>31</v>
      </c>
      <c r="P801" s="2">
        <v>45778</v>
      </c>
      <c r="Q801" s="1" t="s">
        <v>779</v>
      </c>
      <c r="R801" s="1" t="s">
        <v>780</v>
      </c>
      <c r="S801" s="1" t="s">
        <v>88</v>
      </c>
      <c r="T801" s="1" t="s">
        <v>35</v>
      </c>
      <c r="U801" s="1" t="s">
        <v>48</v>
      </c>
      <c r="V801" s="1" t="s">
        <v>89</v>
      </c>
      <c r="W801">
        <v>2.4</v>
      </c>
      <c r="X801" s="1">
        <f t="shared" si="24"/>
        <v>7844.9099999999507</v>
      </c>
      <c r="Y801" s="1">
        <f t="shared" si="25"/>
        <v>7682.919999999951</v>
      </c>
    </row>
    <row r="802" spans="1:25" x14ac:dyDescent="0.3">
      <c r="A802" s="1" t="s">
        <v>1868</v>
      </c>
      <c r="B802">
        <v>3</v>
      </c>
      <c r="C802">
        <v>34.99</v>
      </c>
      <c r="D802">
        <v>83.78</v>
      </c>
      <c r="E802" s="1" t="s">
        <v>923</v>
      </c>
      <c r="F802" s="1" t="s">
        <v>40</v>
      </c>
      <c r="G802">
        <v>6</v>
      </c>
      <c r="H802" s="1" t="s">
        <v>96</v>
      </c>
      <c r="I802" s="1" t="s">
        <v>85</v>
      </c>
      <c r="J802">
        <v>12.5</v>
      </c>
      <c r="K802">
        <v>34.99</v>
      </c>
      <c r="L802" s="1" t="s">
        <v>60</v>
      </c>
      <c r="M802" s="1" t="s">
        <v>29</v>
      </c>
      <c r="N802" s="1" t="s">
        <v>30</v>
      </c>
      <c r="O802" s="1" t="s">
        <v>31</v>
      </c>
      <c r="P802" s="2">
        <v>45778</v>
      </c>
      <c r="Q802" s="1" t="s">
        <v>1116</v>
      </c>
      <c r="R802" s="1" t="s">
        <v>1869</v>
      </c>
      <c r="S802" s="1" t="s">
        <v>105</v>
      </c>
      <c r="T802" s="1" t="s">
        <v>35</v>
      </c>
      <c r="U802" s="1" t="s">
        <v>66</v>
      </c>
      <c r="V802" s="1" t="s">
        <v>89</v>
      </c>
      <c r="W802">
        <v>2.4</v>
      </c>
      <c r="X802" s="1">
        <f t="shared" si="24"/>
        <v>7844.9099999999507</v>
      </c>
      <c r="Y802" s="1">
        <f t="shared" si="25"/>
        <v>6397.4799999999632</v>
      </c>
    </row>
    <row r="803" spans="1:25" x14ac:dyDescent="0.3">
      <c r="A803" s="1" t="s">
        <v>1870</v>
      </c>
      <c r="B803">
        <v>1</v>
      </c>
      <c r="C803">
        <v>16.989999999999998</v>
      </c>
      <c r="D803">
        <v>16.989999999999998</v>
      </c>
      <c r="E803" s="1" t="s">
        <v>202</v>
      </c>
      <c r="F803" s="1" t="s">
        <v>40</v>
      </c>
      <c r="G803">
        <v>16</v>
      </c>
      <c r="H803" s="1" t="s">
        <v>58</v>
      </c>
      <c r="I803" s="1" t="s">
        <v>59</v>
      </c>
      <c r="J803">
        <v>5</v>
      </c>
      <c r="K803">
        <v>16.989999999999998</v>
      </c>
      <c r="L803" s="1" t="s">
        <v>60</v>
      </c>
      <c r="M803" s="1" t="s">
        <v>61</v>
      </c>
      <c r="N803" s="1" t="s">
        <v>62</v>
      </c>
      <c r="O803" s="1" t="s">
        <v>31</v>
      </c>
      <c r="P803" s="2">
        <v>45726</v>
      </c>
      <c r="Q803" s="1" t="s">
        <v>1024</v>
      </c>
      <c r="R803" s="1" t="s">
        <v>1025</v>
      </c>
      <c r="S803" s="1" t="s">
        <v>34</v>
      </c>
      <c r="T803" s="1" t="s">
        <v>35</v>
      </c>
      <c r="U803" s="1" t="s">
        <v>66</v>
      </c>
      <c r="V803" s="1" t="s">
        <v>67</v>
      </c>
      <c r="W803">
        <v>3</v>
      </c>
      <c r="X803" s="1">
        <f t="shared" si="24"/>
        <v>8640.6199999999462</v>
      </c>
      <c r="Y803" s="1">
        <f t="shared" si="25"/>
        <v>6397.4799999999632</v>
      </c>
    </row>
    <row r="804" spans="1:25" x14ac:dyDescent="0.3">
      <c r="A804" s="1" t="s">
        <v>1871</v>
      </c>
      <c r="B804">
        <v>1</v>
      </c>
      <c r="C804">
        <v>16.989999999999998</v>
      </c>
      <c r="D804">
        <v>16.989999999999998</v>
      </c>
      <c r="E804" s="1" t="s">
        <v>771</v>
      </c>
      <c r="F804" s="1" t="s">
        <v>40</v>
      </c>
      <c r="G804">
        <v>16</v>
      </c>
      <c r="H804" s="1" t="s">
        <v>58</v>
      </c>
      <c r="I804" s="1" t="s">
        <v>59</v>
      </c>
      <c r="J804">
        <v>5</v>
      </c>
      <c r="K804">
        <v>16.989999999999998</v>
      </c>
      <c r="L804" s="1" t="s">
        <v>60</v>
      </c>
      <c r="M804" s="1" t="s">
        <v>61</v>
      </c>
      <c r="N804" s="1" t="s">
        <v>62</v>
      </c>
      <c r="O804" s="1" t="s">
        <v>31</v>
      </c>
      <c r="P804" s="2">
        <v>45726</v>
      </c>
      <c r="Q804" s="1" t="s">
        <v>194</v>
      </c>
      <c r="R804" s="1" t="s">
        <v>1872</v>
      </c>
      <c r="S804" s="1" t="s">
        <v>34</v>
      </c>
      <c r="T804" s="1" t="s">
        <v>35</v>
      </c>
      <c r="U804" s="1" t="s">
        <v>66</v>
      </c>
      <c r="V804" s="1" t="s">
        <v>67</v>
      </c>
      <c r="W804">
        <v>3</v>
      </c>
      <c r="X804" s="1">
        <f t="shared" si="24"/>
        <v>8640.6199999999462</v>
      </c>
      <c r="Y804" s="1">
        <f t="shared" si="25"/>
        <v>6397.4799999999632</v>
      </c>
    </row>
    <row r="805" spans="1:25" x14ac:dyDescent="0.3">
      <c r="A805" s="1" t="s">
        <v>1873</v>
      </c>
      <c r="B805">
        <v>2</v>
      </c>
      <c r="C805">
        <v>18.989999999999998</v>
      </c>
      <c r="D805">
        <v>32.979999999999997</v>
      </c>
      <c r="E805" s="1" t="s">
        <v>1874</v>
      </c>
      <c r="F805" s="1" t="s">
        <v>40</v>
      </c>
      <c r="G805">
        <v>10</v>
      </c>
      <c r="H805" s="1" t="s">
        <v>58</v>
      </c>
      <c r="I805" s="1" t="s">
        <v>97</v>
      </c>
      <c r="J805">
        <v>6</v>
      </c>
      <c r="K805">
        <v>18.989999999999998</v>
      </c>
      <c r="L805" s="1" t="s">
        <v>60</v>
      </c>
      <c r="M805" s="1" t="s">
        <v>43</v>
      </c>
      <c r="N805" s="1" t="s">
        <v>44</v>
      </c>
      <c r="O805" s="1" t="s">
        <v>31</v>
      </c>
      <c r="P805" s="2">
        <v>45823</v>
      </c>
      <c r="Q805" s="1" t="s">
        <v>1253</v>
      </c>
      <c r="R805" s="1" t="s">
        <v>1875</v>
      </c>
      <c r="S805" s="1" t="s">
        <v>105</v>
      </c>
      <c r="T805" s="1" t="s">
        <v>35</v>
      </c>
      <c r="U805" s="1" t="s">
        <v>66</v>
      </c>
      <c r="V805" s="1" t="s">
        <v>100</v>
      </c>
      <c r="W805">
        <v>3.2</v>
      </c>
      <c r="X805" s="1">
        <f t="shared" si="24"/>
        <v>8640.6199999999462</v>
      </c>
      <c r="Y805" s="1">
        <f t="shared" si="25"/>
        <v>6397.4799999999632</v>
      </c>
    </row>
    <row r="806" spans="1:25" x14ac:dyDescent="0.3">
      <c r="A806" s="1" t="s">
        <v>1876</v>
      </c>
      <c r="B806">
        <v>1</v>
      </c>
      <c r="C806">
        <v>27.99</v>
      </c>
      <c r="D806">
        <v>27.99</v>
      </c>
      <c r="E806" s="1" t="s">
        <v>1877</v>
      </c>
      <c r="F806" s="1" t="s">
        <v>40</v>
      </c>
      <c r="G806">
        <v>2</v>
      </c>
      <c r="H806" s="1" t="s">
        <v>96</v>
      </c>
      <c r="I806" s="1" t="s">
        <v>75</v>
      </c>
      <c r="J806">
        <v>9</v>
      </c>
      <c r="K806">
        <v>27.99</v>
      </c>
      <c r="L806" s="1" t="s">
        <v>28</v>
      </c>
      <c r="M806" s="1" t="s">
        <v>61</v>
      </c>
      <c r="N806" s="1" t="s">
        <v>62</v>
      </c>
      <c r="O806" s="1" t="s">
        <v>31</v>
      </c>
      <c r="P806" s="2">
        <v>45726</v>
      </c>
      <c r="Q806" s="1" t="s">
        <v>1878</v>
      </c>
      <c r="R806" s="1" t="s">
        <v>1879</v>
      </c>
      <c r="S806" s="1" t="s">
        <v>54</v>
      </c>
      <c r="T806" s="1" t="s">
        <v>35</v>
      </c>
      <c r="U806" s="1" t="s">
        <v>66</v>
      </c>
      <c r="V806" s="1" t="s">
        <v>37</v>
      </c>
      <c r="W806">
        <v>2</v>
      </c>
      <c r="X806" s="1">
        <f t="shared" si="24"/>
        <v>7844.9099999999507</v>
      </c>
      <c r="Y806" s="1">
        <f t="shared" si="25"/>
        <v>6397.4799999999632</v>
      </c>
    </row>
    <row r="807" spans="1:25" x14ac:dyDescent="0.3">
      <c r="A807" s="1" t="s">
        <v>1880</v>
      </c>
      <c r="B807">
        <v>1</v>
      </c>
      <c r="C807">
        <v>21.99</v>
      </c>
      <c r="D807">
        <v>21.99</v>
      </c>
      <c r="E807" s="1" t="s">
        <v>1881</v>
      </c>
      <c r="F807" s="1" t="s">
        <v>51</v>
      </c>
      <c r="G807">
        <v>0</v>
      </c>
      <c r="H807" s="1" t="s">
        <v>96</v>
      </c>
      <c r="I807" s="1" t="s">
        <v>27</v>
      </c>
      <c r="J807">
        <v>7</v>
      </c>
      <c r="K807">
        <v>21.99</v>
      </c>
      <c r="L807" s="1" t="s">
        <v>28</v>
      </c>
      <c r="M807" s="1" t="s">
        <v>29</v>
      </c>
      <c r="N807" s="1" t="s">
        <v>30</v>
      </c>
      <c r="O807" s="1" t="s">
        <v>31</v>
      </c>
      <c r="P807" s="2">
        <v>45778</v>
      </c>
      <c r="Q807" s="1" t="s">
        <v>850</v>
      </c>
      <c r="R807" s="1" t="s">
        <v>851</v>
      </c>
      <c r="S807" s="1" t="s">
        <v>65</v>
      </c>
      <c r="T807" s="1" t="s">
        <v>35</v>
      </c>
      <c r="U807" s="1" t="s">
        <v>36</v>
      </c>
      <c r="V807" s="1" t="s">
        <v>37</v>
      </c>
      <c r="W807">
        <v>2</v>
      </c>
      <c r="X807" s="1">
        <f t="shared" si="24"/>
        <v>7844.9099999999507</v>
      </c>
      <c r="Y807" s="1">
        <f t="shared" si="25"/>
        <v>6355.4899999999634</v>
      </c>
    </row>
    <row r="808" spans="1:25" x14ac:dyDescent="0.3">
      <c r="A808" s="1" t="s">
        <v>1882</v>
      </c>
      <c r="B808">
        <v>3</v>
      </c>
      <c r="C808">
        <v>30.99</v>
      </c>
      <c r="D808">
        <v>74.48</v>
      </c>
      <c r="E808" s="1" t="s">
        <v>1883</v>
      </c>
      <c r="F808" s="1" t="s">
        <v>40</v>
      </c>
      <c r="G808">
        <v>2</v>
      </c>
      <c r="H808" s="1" t="s">
        <v>41</v>
      </c>
      <c r="I808" s="1" t="s">
        <v>42</v>
      </c>
      <c r="J808">
        <v>10.5</v>
      </c>
      <c r="K808">
        <v>30.99</v>
      </c>
      <c r="L808" s="1" t="s">
        <v>28</v>
      </c>
      <c r="M808" s="1" t="s">
        <v>43</v>
      </c>
      <c r="N808" s="1" t="s">
        <v>44</v>
      </c>
      <c r="O808" s="1" t="s">
        <v>31</v>
      </c>
      <c r="P808" s="2">
        <v>45823</v>
      </c>
      <c r="Q808" s="1" t="s">
        <v>1234</v>
      </c>
      <c r="R808" s="1" t="s">
        <v>1671</v>
      </c>
      <c r="S808" s="1" t="s">
        <v>47</v>
      </c>
      <c r="T808" s="1" t="s">
        <v>35</v>
      </c>
      <c r="U808" s="1" t="s">
        <v>82</v>
      </c>
      <c r="V808" s="1" t="s">
        <v>37</v>
      </c>
      <c r="W808">
        <v>2</v>
      </c>
      <c r="X808" s="1">
        <f t="shared" si="24"/>
        <v>8551.6499999999451</v>
      </c>
      <c r="Y808" s="1">
        <f t="shared" si="25"/>
        <v>7204.2099999999582</v>
      </c>
    </row>
    <row r="809" spans="1:25" x14ac:dyDescent="0.3">
      <c r="A809" s="1" t="s">
        <v>1884</v>
      </c>
      <c r="B809">
        <v>1</v>
      </c>
      <c r="C809">
        <v>34.99</v>
      </c>
      <c r="D809">
        <v>34.99</v>
      </c>
      <c r="E809" s="1" t="s">
        <v>1002</v>
      </c>
      <c r="F809" s="1" t="s">
        <v>40</v>
      </c>
      <c r="G809">
        <v>6</v>
      </c>
      <c r="H809" s="1" t="s">
        <v>41</v>
      </c>
      <c r="I809" s="1" t="s">
        <v>85</v>
      </c>
      <c r="J809">
        <v>12.5</v>
      </c>
      <c r="K809">
        <v>34.99</v>
      </c>
      <c r="L809" s="1" t="s">
        <v>60</v>
      </c>
      <c r="M809" s="1" t="s">
        <v>29</v>
      </c>
      <c r="N809" s="1" t="s">
        <v>30</v>
      </c>
      <c r="O809" s="1" t="s">
        <v>31</v>
      </c>
      <c r="P809" s="2">
        <v>45778</v>
      </c>
      <c r="Q809" s="1" t="s">
        <v>790</v>
      </c>
      <c r="R809" s="1" t="s">
        <v>791</v>
      </c>
      <c r="S809" s="1" t="s">
        <v>47</v>
      </c>
      <c r="T809" s="1" t="s">
        <v>35</v>
      </c>
      <c r="U809" s="1" t="s">
        <v>55</v>
      </c>
      <c r="V809" s="1" t="s">
        <v>89</v>
      </c>
      <c r="W809">
        <v>2.4</v>
      </c>
      <c r="X809" s="1">
        <f t="shared" si="24"/>
        <v>8551.6499999999451</v>
      </c>
      <c r="Y809" s="1">
        <f t="shared" si="25"/>
        <v>5710.7699999999695</v>
      </c>
    </row>
    <row r="810" spans="1:25" x14ac:dyDescent="0.3">
      <c r="A810" s="1" t="s">
        <v>1885</v>
      </c>
      <c r="B810">
        <v>1</v>
      </c>
      <c r="C810">
        <v>30.99</v>
      </c>
      <c r="D810">
        <v>30.99</v>
      </c>
      <c r="E810" s="1" t="s">
        <v>1886</v>
      </c>
      <c r="F810" s="1" t="s">
        <v>51</v>
      </c>
      <c r="G810">
        <v>0</v>
      </c>
      <c r="H810" s="1" t="s">
        <v>96</v>
      </c>
      <c r="I810" s="1" t="s">
        <v>42</v>
      </c>
      <c r="J810">
        <v>10.5</v>
      </c>
      <c r="K810">
        <v>30.99</v>
      </c>
      <c r="L810" s="1" t="s">
        <v>28</v>
      </c>
      <c r="M810" s="1" t="s">
        <v>43</v>
      </c>
      <c r="N810" s="1" t="s">
        <v>44</v>
      </c>
      <c r="O810" s="1" t="s">
        <v>31</v>
      </c>
      <c r="P810" s="2">
        <v>45823</v>
      </c>
      <c r="Q810" s="1" t="s">
        <v>1887</v>
      </c>
      <c r="R810" s="1" t="s">
        <v>1888</v>
      </c>
      <c r="S810" s="1" t="s">
        <v>88</v>
      </c>
      <c r="T810" s="1" t="s">
        <v>35</v>
      </c>
      <c r="U810" s="1" t="s">
        <v>82</v>
      </c>
      <c r="V810" s="1" t="s">
        <v>37</v>
      </c>
      <c r="W810">
        <v>2</v>
      </c>
      <c r="X810" s="1">
        <f t="shared" si="24"/>
        <v>7844.9099999999507</v>
      </c>
      <c r="Y810" s="1">
        <f t="shared" si="25"/>
        <v>7204.2099999999582</v>
      </c>
    </row>
    <row r="811" spans="1:25" x14ac:dyDescent="0.3">
      <c r="A811" s="1" t="s">
        <v>1889</v>
      </c>
      <c r="B811">
        <v>1</v>
      </c>
      <c r="C811">
        <v>34.99</v>
      </c>
      <c r="D811">
        <v>34.99</v>
      </c>
      <c r="E811" s="1" t="s">
        <v>824</v>
      </c>
      <c r="F811" s="1" t="s">
        <v>40</v>
      </c>
      <c r="G811">
        <v>8</v>
      </c>
      <c r="H811" s="1" t="s">
        <v>26</v>
      </c>
      <c r="I811" s="1" t="s">
        <v>85</v>
      </c>
      <c r="J811">
        <v>12.5</v>
      </c>
      <c r="K811">
        <v>34.99</v>
      </c>
      <c r="L811" s="1" t="s">
        <v>60</v>
      </c>
      <c r="M811" s="1" t="s">
        <v>29</v>
      </c>
      <c r="N811" s="1" t="s">
        <v>30</v>
      </c>
      <c r="O811" s="1" t="s">
        <v>31</v>
      </c>
      <c r="P811" s="2">
        <v>45778</v>
      </c>
      <c r="Q811" s="1" t="s">
        <v>1385</v>
      </c>
      <c r="R811" s="1" t="s">
        <v>1630</v>
      </c>
      <c r="S811" s="1" t="s">
        <v>65</v>
      </c>
      <c r="T811" s="1" t="s">
        <v>35</v>
      </c>
      <c r="U811" s="1" t="s">
        <v>55</v>
      </c>
      <c r="V811" s="1" t="s">
        <v>89</v>
      </c>
      <c r="W811">
        <v>2.4</v>
      </c>
      <c r="X811" s="1">
        <f t="shared" si="24"/>
        <v>8313.6899999999459</v>
      </c>
      <c r="Y811" s="1">
        <f t="shared" si="25"/>
        <v>5710.7699999999695</v>
      </c>
    </row>
    <row r="812" spans="1:25" x14ac:dyDescent="0.3">
      <c r="A812" s="1" t="s">
        <v>1890</v>
      </c>
      <c r="B812">
        <v>1</v>
      </c>
      <c r="C812">
        <v>30.99</v>
      </c>
      <c r="D812">
        <v>30.99</v>
      </c>
      <c r="E812" s="1" t="s">
        <v>923</v>
      </c>
      <c r="F812" s="1" t="s">
        <v>40</v>
      </c>
      <c r="G812">
        <v>2</v>
      </c>
      <c r="H812" s="1" t="s">
        <v>41</v>
      </c>
      <c r="I812" s="1" t="s">
        <v>42</v>
      </c>
      <c r="J812">
        <v>10.5</v>
      </c>
      <c r="K812">
        <v>30.99</v>
      </c>
      <c r="L812" s="1" t="s">
        <v>28</v>
      </c>
      <c r="M812" s="1" t="s">
        <v>43</v>
      </c>
      <c r="N812" s="1" t="s">
        <v>44</v>
      </c>
      <c r="O812" s="1" t="s">
        <v>31</v>
      </c>
      <c r="P812" s="2">
        <v>45823</v>
      </c>
      <c r="Q812" s="1" t="s">
        <v>1112</v>
      </c>
      <c r="R812" s="1" t="s">
        <v>1891</v>
      </c>
      <c r="S812" s="1" t="s">
        <v>47</v>
      </c>
      <c r="T812" s="1" t="s">
        <v>35</v>
      </c>
      <c r="U812" s="1" t="s">
        <v>82</v>
      </c>
      <c r="V812" s="1" t="s">
        <v>37</v>
      </c>
      <c r="W812">
        <v>2</v>
      </c>
      <c r="X812" s="1">
        <f t="shared" si="24"/>
        <v>8551.6499999999451</v>
      </c>
      <c r="Y812" s="1">
        <f t="shared" si="25"/>
        <v>7204.2099999999582</v>
      </c>
    </row>
    <row r="813" spans="1:25" x14ac:dyDescent="0.3">
      <c r="A813" s="1" t="s">
        <v>1892</v>
      </c>
      <c r="B813">
        <v>2</v>
      </c>
      <c r="C813">
        <v>18.989999999999998</v>
      </c>
      <c r="D813">
        <v>33</v>
      </c>
      <c r="E813" s="1" t="s">
        <v>1893</v>
      </c>
      <c r="F813" s="1" t="s">
        <v>40</v>
      </c>
      <c r="G813">
        <v>10</v>
      </c>
      <c r="H813" s="1" t="s">
        <v>41</v>
      </c>
      <c r="I813" s="1" t="s">
        <v>97</v>
      </c>
      <c r="J813">
        <v>6</v>
      </c>
      <c r="K813">
        <v>18.989999999999998</v>
      </c>
      <c r="L813" s="1" t="s">
        <v>60</v>
      </c>
      <c r="M813" s="1" t="s">
        <v>43</v>
      </c>
      <c r="N813" s="1" t="s">
        <v>44</v>
      </c>
      <c r="O813" s="1" t="s">
        <v>31</v>
      </c>
      <c r="P813" s="2">
        <v>45823</v>
      </c>
      <c r="Q813" s="1" t="s">
        <v>804</v>
      </c>
      <c r="R813" s="1" t="s">
        <v>1038</v>
      </c>
      <c r="S813" s="1" t="s">
        <v>88</v>
      </c>
      <c r="T813" s="1" t="s">
        <v>35</v>
      </c>
      <c r="U813" s="1" t="s">
        <v>55</v>
      </c>
      <c r="V813" s="1" t="s">
        <v>100</v>
      </c>
      <c r="W813">
        <v>3.2</v>
      </c>
      <c r="X813" s="1">
        <f t="shared" si="24"/>
        <v>8551.6499999999451</v>
      </c>
      <c r="Y813" s="1">
        <f t="shared" si="25"/>
        <v>5710.7699999999695</v>
      </c>
    </row>
    <row r="814" spans="1:25" x14ac:dyDescent="0.3">
      <c r="A814" s="1" t="s">
        <v>1894</v>
      </c>
      <c r="B814">
        <v>2</v>
      </c>
      <c r="C814">
        <v>18.989999999999998</v>
      </c>
      <c r="D814">
        <v>33.229999999999997</v>
      </c>
      <c r="E814" s="1" t="s">
        <v>1895</v>
      </c>
      <c r="F814" s="1" t="s">
        <v>188</v>
      </c>
      <c r="G814">
        <v>0</v>
      </c>
      <c r="H814" s="1" t="s">
        <v>58</v>
      </c>
      <c r="I814" s="1" t="s">
        <v>97</v>
      </c>
      <c r="J814">
        <v>6</v>
      </c>
      <c r="K814">
        <v>18.989999999999998</v>
      </c>
      <c r="L814" s="1" t="s">
        <v>60</v>
      </c>
      <c r="M814" s="1" t="s">
        <v>43</v>
      </c>
      <c r="N814" s="1" t="s">
        <v>44</v>
      </c>
      <c r="O814" s="1" t="s">
        <v>31</v>
      </c>
      <c r="P814" s="2">
        <v>45823</v>
      </c>
      <c r="Q814" s="1" t="s">
        <v>1253</v>
      </c>
      <c r="R814" s="1" t="s">
        <v>1875</v>
      </c>
      <c r="S814" s="1" t="s">
        <v>105</v>
      </c>
      <c r="T814" s="1" t="s">
        <v>35</v>
      </c>
      <c r="U814" s="1" t="s">
        <v>66</v>
      </c>
      <c r="V814" s="1" t="s">
        <v>100</v>
      </c>
      <c r="W814">
        <v>3.2</v>
      </c>
      <c r="X814" s="1">
        <f t="shared" si="24"/>
        <v>8640.6199999999462</v>
      </c>
      <c r="Y814" s="1">
        <f t="shared" si="25"/>
        <v>6397.4799999999632</v>
      </c>
    </row>
    <row r="815" spans="1:25" x14ac:dyDescent="0.3">
      <c r="A815" s="1" t="s">
        <v>1896</v>
      </c>
      <c r="B815">
        <v>1</v>
      </c>
      <c r="C815">
        <v>18.989999999999998</v>
      </c>
      <c r="D815">
        <v>18.989999999999998</v>
      </c>
      <c r="E815" s="1" t="s">
        <v>1727</v>
      </c>
      <c r="F815" s="1" t="s">
        <v>51</v>
      </c>
      <c r="G815">
        <v>0</v>
      </c>
      <c r="H815" s="1" t="s">
        <v>26</v>
      </c>
      <c r="I815" s="1" t="s">
        <v>97</v>
      </c>
      <c r="J815">
        <v>6</v>
      </c>
      <c r="K815">
        <v>18.989999999999998</v>
      </c>
      <c r="L815" s="1" t="s">
        <v>60</v>
      </c>
      <c r="M815" s="1" t="s">
        <v>43</v>
      </c>
      <c r="N815" s="1" t="s">
        <v>44</v>
      </c>
      <c r="O815" s="1" t="s">
        <v>31</v>
      </c>
      <c r="P815" s="2">
        <v>45823</v>
      </c>
      <c r="Q815" s="1" t="s">
        <v>1654</v>
      </c>
      <c r="R815" s="1" t="s">
        <v>1655</v>
      </c>
      <c r="S815" s="1" t="s">
        <v>88</v>
      </c>
      <c r="T815" s="1" t="s">
        <v>35</v>
      </c>
      <c r="U815" s="1" t="s">
        <v>82</v>
      </c>
      <c r="V815" s="1" t="s">
        <v>100</v>
      </c>
      <c r="W815">
        <v>3.2</v>
      </c>
      <c r="X815" s="1">
        <f t="shared" si="24"/>
        <v>8313.6899999999459</v>
      </c>
      <c r="Y815" s="1">
        <f t="shared" si="25"/>
        <v>7204.2099999999582</v>
      </c>
    </row>
    <row r="816" spans="1:25" x14ac:dyDescent="0.3">
      <c r="A816" s="1" t="s">
        <v>1897</v>
      </c>
      <c r="B816">
        <v>2</v>
      </c>
      <c r="C816">
        <v>27.99</v>
      </c>
      <c r="D816">
        <v>48.81</v>
      </c>
      <c r="E816" s="1" t="s">
        <v>577</v>
      </c>
      <c r="F816" s="1" t="s">
        <v>40</v>
      </c>
      <c r="G816">
        <v>2</v>
      </c>
      <c r="H816" s="1" t="s">
        <v>26</v>
      </c>
      <c r="I816" s="1" t="s">
        <v>75</v>
      </c>
      <c r="J816">
        <v>9</v>
      </c>
      <c r="K816">
        <v>27.99</v>
      </c>
      <c r="L816" s="1" t="s">
        <v>28</v>
      </c>
      <c r="M816" s="1" t="s">
        <v>61</v>
      </c>
      <c r="N816" s="1" t="s">
        <v>62</v>
      </c>
      <c r="O816" s="1" t="s">
        <v>31</v>
      </c>
      <c r="P816" s="2">
        <v>45726</v>
      </c>
      <c r="Q816" s="1" t="s">
        <v>1878</v>
      </c>
      <c r="R816" s="1" t="s">
        <v>1879</v>
      </c>
      <c r="S816" s="1" t="s">
        <v>54</v>
      </c>
      <c r="T816" s="1" t="s">
        <v>35</v>
      </c>
      <c r="U816" s="1" t="s">
        <v>66</v>
      </c>
      <c r="V816" s="1" t="s">
        <v>37</v>
      </c>
      <c r="W816">
        <v>2</v>
      </c>
      <c r="X816" s="1">
        <f t="shared" si="24"/>
        <v>8313.6899999999459</v>
      </c>
      <c r="Y816" s="1">
        <f t="shared" si="25"/>
        <v>6397.4799999999632</v>
      </c>
    </row>
    <row r="817" spans="1:25" x14ac:dyDescent="0.3">
      <c r="A817" s="1" t="s">
        <v>1898</v>
      </c>
      <c r="B817">
        <v>1</v>
      </c>
      <c r="C817">
        <v>30.99</v>
      </c>
      <c r="D817">
        <v>30.99</v>
      </c>
      <c r="E817" s="1" t="s">
        <v>1379</v>
      </c>
      <c r="F817" s="1" t="s">
        <v>40</v>
      </c>
      <c r="G817">
        <v>3</v>
      </c>
      <c r="H817" s="1" t="s">
        <v>26</v>
      </c>
      <c r="I817" s="1" t="s">
        <v>42</v>
      </c>
      <c r="J817">
        <v>10.5</v>
      </c>
      <c r="K817">
        <v>30.99</v>
      </c>
      <c r="L817" s="1" t="s">
        <v>28</v>
      </c>
      <c r="M817" s="1" t="s">
        <v>43</v>
      </c>
      <c r="N817" s="1" t="s">
        <v>44</v>
      </c>
      <c r="O817" s="1" t="s">
        <v>31</v>
      </c>
      <c r="P817" s="2">
        <v>45823</v>
      </c>
      <c r="Q817" s="1" t="s">
        <v>1899</v>
      </c>
      <c r="R817" s="1" t="s">
        <v>1900</v>
      </c>
      <c r="S817" s="1" t="s">
        <v>65</v>
      </c>
      <c r="T817" s="1" t="s">
        <v>35</v>
      </c>
      <c r="U817" s="1" t="s">
        <v>48</v>
      </c>
      <c r="V817" s="1" t="s">
        <v>37</v>
      </c>
      <c r="W817">
        <v>2</v>
      </c>
      <c r="X817" s="1">
        <f t="shared" si="24"/>
        <v>8313.6899999999459</v>
      </c>
      <c r="Y817" s="1">
        <f t="shared" si="25"/>
        <v>7682.919999999951</v>
      </c>
    </row>
    <row r="818" spans="1:25" x14ac:dyDescent="0.3">
      <c r="A818" s="1" t="s">
        <v>1901</v>
      </c>
      <c r="B818">
        <v>3</v>
      </c>
      <c r="C818">
        <v>18.989999999999998</v>
      </c>
      <c r="D818">
        <v>44.89</v>
      </c>
      <c r="E818" s="1" t="s">
        <v>1031</v>
      </c>
      <c r="F818" s="1" t="s">
        <v>40</v>
      </c>
      <c r="G818">
        <v>20</v>
      </c>
      <c r="H818" s="1" t="s">
        <v>58</v>
      </c>
      <c r="I818" s="1" t="s">
        <v>97</v>
      </c>
      <c r="J818">
        <v>6</v>
      </c>
      <c r="K818">
        <v>18.989999999999998</v>
      </c>
      <c r="L818" s="1" t="s">
        <v>60</v>
      </c>
      <c r="M818" s="1" t="s">
        <v>43</v>
      </c>
      <c r="N818" s="1" t="s">
        <v>44</v>
      </c>
      <c r="O818" s="1" t="s">
        <v>31</v>
      </c>
      <c r="P818" s="2">
        <v>45823</v>
      </c>
      <c r="Q818" s="1" t="s">
        <v>947</v>
      </c>
      <c r="R818" s="1" t="s">
        <v>948</v>
      </c>
      <c r="S818" s="1" t="s">
        <v>65</v>
      </c>
      <c r="T818" s="1" t="s">
        <v>35</v>
      </c>
      <c r="U818" s="1" t="s">
        <v>82</v>
      </c>
      <c r="V818" s="1" t="s">
        <v>100</v>
      </c>
      <c r="W818">
        <v>3.2</v>
      </c>
      <c r="X818" s="1">
        <f t="shared" si="24"/>
        <v>8640.6199999999462</v>
      </c>
      <c r="Y818" s="1">
        <f t="shared" si="25"/>
        <v>7204.2099999999582</v>
      </c>
    </row>
    <row r="819" spans="1:25" x14ac:dyDescent="0.3">
      <c r="A819" s="1" t="s">
        <v>1902</v>
      </c>
      <c r="B819">
        <v>2</v>
      </c>
      <c r="C819">
        <v>18.989999999999998</v>
      </c>
      <c r="D819">
        <v>32.92</v>
      </c>
      <c r="E819" s="1" t="s">
        <v>117</v>
      </c>
      <c r="F819" s="1" t="s">
        <v>51</v>
      </c>
      <c r="G819">
        <v>0</v>
      </c>
      <c r="H819" s="1" t="s">
        <v>96</v>
      </c>
      <c r="I819" s="1" t="s">
        <v>97</v>
      </c>
      <c r="J819">
        <v>6</v>
      </c>
      <c r="K819">
        <v>18.989999999999998</v>
      </c>
      <c r="L819" s="1" t="s">
        <v>60</v>
      </c>
      <c r="M819" s="1" t="s">
        <v>43</v>
      </c>
      <c r="N819" s="1" t="s">
        <v>44</v>
      </c>
      <c r="O819" s="1" t="s">
        <v>31</v>
      </c>
      <c r="P819" s="2">
        <v>45823</v>
      </c>
      <c r="Q819" s="1" t="s">
        <v>496</v>
      </c>
      <c r="R819" s="1" t="s">
        <v>1650</v>
      </c>
      <c r="S819" s="1" t="s">
        <v>47</v>
      </c>
      <c r="T819" s="1" t="s">
        <v>35</v>
      </c>
      <c r="U819" s="1" t="s">
        <v>48</v>
      </c>
      <c r="V819" s="1" t="s">
        <v>100</v>
      </c>
      <c r="W819">
        <v>3.2</v>
      </c>
      <c r="X819" s="1">
        <f t="shared" si="24"/>
        <v>7844.9099999999507</v>
      </c>
      <c r="Y819" s="1">
        <f t="shared" si="25"/>
        <v>7682.919999999951</v>
      </c>
    </row>
    <row r="820" spans="1:25" x14ac:dyDescent="0.3">
      <c r="A820" s="1" t="s">
        <v>1903</v>
      </c>
      <c r="B820">
        <v>1</v>
      </c>
      <c r="C820">
        <v>21.99</v>
      </c>
      <c r="D820">
        <v>21.99</v>
      </c>
      <c r="E820" s="1" t="s">
        <v>1727</v>
      </c>
      <c r="F820" s="1" t="s">
        <v>51</v>
      </c>
      <c r="G820">
        <v>0</v>
      </c>
      <c r="H820" s="1" t="s">
        <v>96</v>
      </c>
      <c r="I820" s="1" t="s">
        <v>27</v>
      </c>
      <c r="J820">
        <v>7</v>
      </c>
      <c r="K820">
        <v>21.99</v>
      </c>
      <c r="L820" s="1" t="s">
        <v>28</v>
      </c>
      <c r="M820" s="1" t="s">
        <v>29</v>
      </c>
      <c r="N820" s="1" t="s">
        <v>30</v>
      </c>
      <c r="O820" s="1" t="s">
        <v>31</v>
      </c>
      <c r="P820" s="2">
        <v>45778</v>
      </c>
      <c r="Q820" s="1" t="s">
        <v>1728</v>
      </c>
      <c r="R820" s="1" t="s">
        <v>1729</v>
      </c>
      <c r="S820" s="1" t="s">
        <v>65</v>
      </c>
      <c r="T820" s="1" t="s">
        <v>35</v>
      </c>
      <c r="U820" s="1" t="s">
        <v>55</v>
      </c>
      <c r="V820" s="1" t="s">
        <v>37</v>
      </c>
      <c r="W820">
        <v>2</v>
      </c>
      <c r="X820" s="1">
        <f t="shared" si="24"/>
        <v>7844.9099999999507</v>
      </c>
      <c r="Y820" s="1">
        <f t="shared" si="25"/>
        <v>5710.7699999999695</v>
      </c>
    </row>
    <row r="821" spans="1:25" x14ac:dyDescent="0.3">
      <c r="A821" s="1" t="s">
        <v>1904</v>
      </c>
      <c r="B821">
        <v>1</v>
      </c>
      <c r="C821">
        <v>18.989999999999998</v>
      </c>
      <c r="D821">
        <v>18.989999999999998</v>
      </c>
      <c r="E821" s="1" t="s">
        <v>1108</v>
      </c>
      <c r="F821" s="1" t="s">
        <v>25</v>
      </c>
      <c r="G821">
        <v>15</v>
      </c>
      <c r="H821" s="1" t="s">
        <v>26</v>
      </c>
      <c r="I821" s="1" t="s">
        <v>97</v>
      </c>
      <c r="J821">
        <v>6</v>
      </c>
      <c r="K821">
        <v>18.989999999999998</v>
      </c>
      <c r="L821" s="1" t="s">
        <v>60</v>
      </c>
      <c r="M821" s="1" t="s">
        <v>43</v>
      </c>
      <c r="N821" s="1" t="s">
        <v>44</v>
      </c>
      <c r="O821" s="1" t="s">
        <v>31</v>
      </c>
      <c r="P821" s="2">
        <v>45823</v>
      </c>
      <c r="Q821" s="1" t="s">
        <v>1712</v>
      </c>
      <c r="R821" s="1" t="s">
        <v>1713</v>
      </c>
      <c r="S821" s="1" t="s">
        <v>34</v>
      </c>
      <c r="T821" s="1" t="s">
        <v>35</v>
      </c>
      <c r="U821" s="1" t="s">
        <v>48</v>
      </c>
      <c r="V821" s="1" t="s">
        <v>100</v>
      </c>
      <c r="W821">
        <v>3.2</v>
      </c>
      <c r="X821" s="1">
        <f t="shared" si="24"/>
        <v>8313.6899999999459</v>
      </c>
      <c r="Y821" s="1">
        <f t="shared" si="25"/>
        <v>7682.919999999951</v>
      </c>
    </row>
    <row r="822" spans="1:25" x14ac:dyDescent="0.3">
      <c r="A822" s="1" t="s">
        <v>1905</v>
      </c>
      <c r="B822">
        <v>1</v>
      </c>
      <c r="C822">
        <v>16.989999999999998</v>
      </c>
      <c r="D822">
        <v>16.989999999999998</v>
      </c>
      <c r="E822" s="1" t="s">
        <v>1093</v>
      </c>
      <c r="F822" s="1" t="s">
        <v>25</v>
      </c>
      <c r="G822">
        <v>15</v>
      </c>
      <c r="H822" s="1" t="s">
        <v>41</v>
      </c>
      <c r="I822" s="1" t="s">
        <v>59</v>
      </c>
      <c r="J822">
        <v>5</v>
      </c>
      <c r="K822">
        <v>16.989999999999998</v>
      </c>
      <c r="L822" s="1" t="s">
        <v>60</v>
      </c>
      <c r="M822" s="1" t="s">
        <v>61</v>
      </c>
      <c r="N822" s="1" t="s">
        <v>62</v>
      </c>
      <c r="O822" s="1" t="s">
        <v>31</v>
      </c>
      <c r="P822" s="2">
        <v>45726</v>
      </c>
      <c r="Q822" s="1" t="s">
        <v>1362</v>
      </c>
      <c r="R822" s="1" t="s">
        <v>1906</v>
      </c>
      <c r="S822" s="1" t="s">
        <v>47</v>
      </c>
      <c r="T822" s="1" t="s">
        <v>35</v>
      </c>
      <c r="U822" s="1" t="s">
        <v>48</v>
      </c>
      <c r="V822" s="1" t="s">
        <v>67</v>
      </c>
      <c r="W822">
        <v>3</v>
      </c>
      <c r="X822" s="1">
        <f t="shared" si="24"/>
        <v>8551.6499999999451</v>
      </c>
      <c r="Y822" s="1">
        <f t="shared" si="25"/>
        <v>7682.919999999951</v>
      </c>
    </row>
    <row r="823" spans="1:25" x14ac:dyDescent="0.3">
      <c r="A823" s="1" t="s">
        <v>1907</v>
      </c>
      <c r="B823">
        <v>3</v>
      </c>
      <c r="C823">
        <v>16.989999999999998</v>
      </c>
      <c r="D823">
        <v>40.86</v>
      </c>
      <c r="E823" s="1" t="s">
        <v>1515</v>
      </c>
      <c r="F823" s="1" t="s">
        <v>40</v>
      </c>
      <c r="G823">
        <v>20</v>
      </c>
      <c r="H823" s="1" t="s">
        <v>58</v>
      </c>
      <c r="I823" s="1" t="s">
        <v>59</v>
      </c>
      <c r="J823">
        <v>5</v>
      </c>
      <c r="K823">
        <v>16.989999999999998</v>
      </c>
      <c r="L823" s="1" t="s">
        <v>60</v>
      </c>
      <c r="M823" s="1" t="s">
        <v>61</v>
      </c>
      <c r="N823" s="1" t="s">
        <v>62</v>
      </c>
      <c r="O823" s="1" t="s">
        <v>31</v>
      </c>
      <c r="P823" s="2">
        <v>45726</v>
      </c>
      <c r="Q823" s="1" t="s">
        <v>814</v>
      </c>
      <c r="R823" s="1" t="s">
        <v>1041</v>
      </c>
      <c r="S823" s="1" t="s">
        <v>54</v>
      </c>
      <c r="T823" s="1" t="s">
        <v>35</v>
      </c>
      <c r="U823" s="1" t="s">
        <v>36</v>
      </c>
      <c r="V823" s="1" t="s">
        <v>67</v>
      </c>
      <c r="W823">
        <v>3</v>
      </c>
      <c r="X823" s="1">
        <f t="shared" si="24"/>
        <v>8640.6199999999462</v>
      </c>
      <c r="Y823" s="1">
        <f t="shared" si="25"/>
        <v>6355.4899999999634</v>
      </c>
    </row>
    <row r="824" spans="1:25" x14ac:dyDescent="0.3">
      <c r="A824" s="1" t="s">
        <v>1908</v>
      </c>
      <c r="B824">
        <v>1</v>
      </c>
      <c r="C824">
        <v>21.99</v>
      </c>
      <c r="D824">
        <v>21.99</v>
      </c>
      <c r="E824" s="1" t="s">
        <v>1760</v>
      </c>
      <c r="F824" s="1" t="s">
        <v>188</v>
      </c>
      <c r="G824">
        <v>0</v>
      </c>
      <c r="H824" s="1" t="s">
        <v>26</v>
      </c>
      <c r="I824" s="1" t="s">
        <v>27</v>
      </c>
      <c r="J824">
        <v>7</v>
      </c>
      <c r="K824">
        <v>21.99</v>
      </c>
      <c r="L824" s="1" t="s">
        <v>28</v>
      </c>
      <c r="M824" s="1" t="s">
        <v>29</v>
      </c>
      <c r="N824" s="1" t="s">
        <v>30</v>
      </c>
      <c r="O824" s="1" t="s">
        <v>31</v>
      </c>
      <c r="P824" s="2">
        <v>45778</v>
      </c>
      <c r="Q824" s="1" t="s">
        <v>1336</v>
      </c>
      <c r="R824" s="1" t="s">
        <v>1337</v>
      </c>
      <c r="S824" s="1" t="s">
        <v>105</v>
      </c>
      <c r="T824" s="1" t="s">
        <v>35</v>
      </c>
      <c r="U824" s="1" t="s">
        <v>55</v>
      </c>
      <c r="V824" s="1" t="s">
        <v>37</v>
      </c>
      <c r="W824">
        <v>2</v>
      </c>
      <c r="X824" s="1">
        <f t="shared" si="24"/>
        <v>8313.6899999999459</v>
      </c>
      <c r="Y824" s="1">
        <f t="shared" si="25"/>
        <v>5710.7699999999695</v>
      </c>
    </row>
    <row r="825" spans="1:25" x14ac:dyDescent="0.3">
      <c r="A825" s="1" t="s">
        <v>1909</v>
      </c>
      <c r="B825">
        <v>2</v>
      </c>
      <c r="C825">
        <v>34.99</v>
      </c>
      <c r="D825">
        <v>61.04</v>
      </c>
      <c r="E825" s="1" t="s">
        <v>598</v>
      </c>
      <c r="F825" s="1" t="s">
        <v>40</v>
      </c>
      <c r="G825">
        <v>8</v>
      </c>
      <c r="H825" s="1" t="s">
        <v>41</v>
      </c>
      <c r="I825" s="1" t="s">
        <v>85</v>
      </c>
      <c r="J825">
        <v>12.5</v>
      </c>
      <c r="K825">
        <v>34.99</v>
      </c>
      <c r="L825" s="1" t="s">
        <v>60</v>
      </c>
      <c r="M825" s="1" t="s">
        <v>29</v>
      </c>
      <c r="N825" s="1" t="s">
        <v>30</v>
      </c>
      <c r="O825" s="1" t="s">
        <v>31</v>
      </c>
      <c r="P825" s="2">
        <v>45778</v>
      </c>
      <c r="Q825" s="1" t="s">
        <v>1187</v>
      </c>
      <c r="R825" s="1" t="s">
        <v>1188</v>
      </c>
      <c r="S825" s="1" t="s">
        <v>47</v>
      </c>
      <c r="T825" s="1" t="s">
        <v>35</v>
      </c>
      <c r="U825" s="1" t="s">
        <v>48</v>
      </c>
      <c r="V825" s="1" t="s">
        <v>89</v>
      </c>
      <c r="W825">
        <v>2.4</v>
      </c>
      <c r="X825" s="1">
        <f t="shared" si="24"/>
        <v>8551.6499999999451</v>
      </c>
      <c r="Y825" s="1">
        <f t="shared" si="25"/>
        <v>7682.919999999951</v>
      </c>
    </row>
    <row r="826" spans="1:25" x14ac:dyDescent="0.3">
      <c r="A826" s="1" t="s">
        <v>1910</v>
      </c>
      <c r="B826">
        <v>1</v>
      </c>
      <c r="C826">
        <v>21.99</v>
      </c>
      <c r="D826">
        <v>21.99</v>
      </c>
      <c r="E826" s="1" t="s">
        <v>1685</v>
      </c>
      <c r="F826" s="1" t="s">
        <v>40</v>
      </c>
      <c r="G826">
        <v>2</v>
      </c>
      <c r="H826" s="1" t="s">
        <v>96</v>
      </c>
      <c r="I826" s="1" t="s">
        <v>27</v>
      </c>
      <c r="J826">
        <v>7</v>
      </c>
      <c r="K826">
        <v>21.99</v>
      </c>
      <c r="L826" s="1" t="s">
        <v>28</v>
      </c>
      <c r="M826" s="1" t="s">
        <v>29</v>
      </c>
      <c r="N826" s="1" t="s">
        <v>30</v>
      </c>
      <c r="O826" s="1" t="s">
        <v>31</v>
      </c>
      <c r="P826" s="2">
        <v>45778</v>
      </c>
      <c r="Q826" s="1" t="s">
        <v>1642</v>
      </c>
      <c r="R826" s="1" t="s">
        <v>1736</v>
      </c>
      <c r="S826" s="1" t="s">
        <v>47</v>
      </c>
      <c r="T826" s="1" t="s">
        <v>35</v>
      </c>
      <c r="U826" s="1" t="s">
        <v>48</v>
      </c>
      <c r="V826" s="1" t="s">
        <v>37</v>
      </c>
      <c r="W826">
        <v>2</v>
      </c>
      <c r="X826" s="1">
        <f t="shared" si="24"/>
        <v>7844.9099999999507</v>
      </c>
      <c r="Y826" s="1">
        <f t="shared" si="25"/>
        <v>7682.919999999951</v>
      </c>
    </row>
    <row r="827" spans="1:25" x14ac:dyDescent="0.3">
      <c r="A827" s="1" t="s">
        <v>1911</v>
      </c>
      <c r="B827">
        <v>2</v>
      </c>
      <c r="C827">
        <v>18.989999999999998</v>
      </c>
      <c r="D827">
        <v>32.83</v>
      </c>
      <c r="E827" s="1" t="s">
        <v>1240</v>
      </c>
      <c r="F827" s="1" t="s">
        <v>51</v>
      </c>
      <c r="G827">
        <v>0</v>
      </c>
      <c r="H827" s="1" t="s">
        <v>96</v>
      </c>
      <c r="I827" s="1" t="s">
        <v>97</v>
      </c>
      <c r="J827">
        <v>6</v>
      </c>
      <c r="K827">
        <v>18.989999999999998</v>
      </c>
      <c r="L827" s="1" t="s">
        <v>60</v>
      </c>
      <c r="M827" s="1" t="s">
        <v>43</v>
      </c>
      <c r="N827" s="1" t="s">
        <v>44</v>
      </c>
      <c r="O827" s="1" t="s">
        <v>31</v>
      </c>
      <c r="P827" s="2">
        <v>45823</v>
      </c>
      <c r="Q827" s="1" t="s">
        <v>979</v>
      </c>
      <c r="R827" s="1" t="s">
        <v>1912</v>
      </c>
      <c r="S827" s="1" t="s">
        <v>105</v>
      </c>
      <c r="T827" s="1" t="s">
        <v>35</v>
      </c>
      <c r="U827" s="1" t="s">
        <v>82</v>
      </c>
      <c r="V827" s="1" t="s">
        <v>100</v>
      </c>
      <c r="W827">
        <v>3.2</v>
      </c>
      <c r="X827" s="1">
        <f t="shared" si="24"/>
        <v>7844.9099999999507</v>
      </c>
      <c r="Y827" s="1">
        <f t="shared" si="25"/>
        <v>7204.2099999999582</v>
      </c>
    </row>
    <row r="828" spans="1:25" x14ac:dyDescent="0.3">
      <c r="A828" s="1" t="s">
        <v>1913</v>
      </c>
      <c r="B828">
        <v>1</v>
      </c>
      <c r="C828">
        <v>27.99</v>
      </c>
      <c r="D828">
        <v>27.99</v>
      </c>
      <c r="E828" s="1" t="s">
        <v>775</v>
      </c>
      <c r="F828" s="1" t="s">
        <v>188</v>
      </c>
      <c r="G828">
        <v>0</v>
      </c>
      <c r="H828" s="1" t="s">
        <v>26</v>
      </c>
      <c r="I828" s="1" t="s">
        <v>75</v>
      </c>
      <c r="J828">
        <v>9</v>
      </c>
      <c r="K828">
        <v>27.99</v>
      </c>
      <c r="L828" s="1" t="s">
        <v>28</v>
      </c>
      <c r="M828" s="1" t="s">
        <v>61</v>
      </c>
      <c r="N828" s="1" t="s">
        <v>62</v>
      </c>
      <c r="O828" s="1" t="s">
        <v>31</v>
      </c>
      <c r="P828" s="2">
        <v>45726</v>
      </c>
      <c r="Q828" s="1" t="s">
        <v>1204</v>
      </c>
      <c r="R828" s="1" t="s">
        <v>1205</v>
      </c>
      <c r="S828" s="1" t="s">
        <v>34</v>
      </c>
      <c r="T828" s="1" t="s">
        <v>35</v>
      </c>
      <c r="U828" s="1" t="s">
        <v>48</v>
      </c>
      <c r="V828" s="1" t="s">
        <v>37</v>
      </c>
      <c r="W828">
        <v>2</v>
      </c>
      <c r="X828" s="1">
        <f t="shared" si="24"/>
        <v>8313.6899999999459</v>
      </c>
      <c r="Y828" s="1">
        <f t="shared" si="25"/>
        <v>7682.919999999951</v>
      </c>
    </row>
    <row r="829" spans="1:25" x14ac:dyDescent="0.3">
      <c r="A829" s="1" t="s">
        <v>1914</v>
      </c>
      <c r="B829">
        <v>3</v>
      </c>
      <c r="C829">
        <v>18.989999999999998</v>
      </c>
      <c r="D829">
        <v>45.36</v>
      </c>
      <c r="E829" s="1" t="s">
        <v>1915</v>
      </c>
      <c r="F829" s="1" t="s">
        <v>25</v>
      </c>
      <c r="G829">
        <v>15</v>
      </c>
      <c r="H829" s="1" t="s">
        <v>26</v>
      </c>
      <c r="I829" s="1" t="s">
        <v>97</v>
      </c>
      <c r="J829">
        <v>6</v>
      </c>
      <c r="K829">
        <v>18.989999999999998</v>
      </c>
      <c r="L829" s="1" t="s">
        <v>60</v>
      </c>
      <c r="M829" s="1" t="s">
        <v>43</v>
      </c>
      <c r="N829" s="1" t="s">
        <v>44</v>
      </c>
      <c r="O829" s="1" t="s">
        <v>31</v>
      </c>
      <c r="P829" s="2">
        <v>45823</v>
      </c>
      <c r="Q829" s="1" t="s">
        <v>1793</v>
      </c>
      <c r="R829" s="1" t="s">
        <v>1916</v>
      </c>
      <c r="S829" s="1" t="s">
        <v>88</v>
      </c>
      <c r="T829" s="1" t="s">
        <v>35</v>
      </c>
      <c r="U829" s="1" t="s">
        <v>36</v>
      </c>
      <c r="V829" s="1" t="s">
        <v>100</v>
      </c>
      <c r="W829">
        <v>3.2</v>
      </c>
      <c r="X829" s="1">
        <f t="shared" si="24"/>
        <v>8313.6899999999459</v>
      </c>
      <c r="Y829" s="1">
        <f t="shared" si="25"/>
        <v>6355.4899999999634</v>
      </c>
    </row>
    <row r="830" spans="1:25" x14ac:dyDescent="0.3">
      <c r="A830" s="1" t="s">
        <v>1917</v>
      </c>
      <c r="B830">
        <v>1</v>
      </c>
      <c r="C830">
        <v>16.989999999999998</v>
      </c>
      <c r="D830">
        <v>16.989999999999998</v>
      </c>
      <c r="E830" s="1" t="s">
        <v>1556</v>
      </c>
      <c r="F830" s="1" t="s">
        <v>25</v>
      </c>
      <c r="G830">
        <v>19</v>
      </c>
      <c r="H830" s="1" t="s">
        <v>26</v>
      </c>
      <c r="I830" s="1" t="s">
        <v>59</v>
      </c>
      <c r="J830">
        <v>5</v>
      </c>
      <c r="K830">
        <v>16.989999999999998</v>
      </c>
      <c r="L830" s="1" t="s">
        <v>60</v>
      </c>
      <c r="M830" s="1" t="s">
        <v>61</v>
      </c>
      <c r="N830" s="1" t="s">
        <v>62</v>
      </c>
      <c r="O830" s="1" t="s">
        <v>31</v>
      </c>
      <c r="P830" s="2">
        <v>45726</v>
      </c>
      <c r="Q830" s="1" t="s">
        <v>817</v>
      </c>
      <c r="R830" s="1" t="s">
        <v>1478</v>
      </c>
      <c r="S830" s="1" t="s">
        <v>65</v>
      </c>
      <c r="T830" s="1" t="s">
        <v>35</v>
      </c>
      <c r="U830" s="1" t="s">
        <v>82</v>
      </c>
      <c r="V830" s="1" t="s">
        <v>67</v>
      </c>
      <c r="W830">
        <v>3</v>
      </c>
      <c r="X830" s="1">
        <f t="shared" si="24"/>
        <v>8313.6899999999459</v>
      </c>
      <c r="Y830" s="1">
        <f t="shared" si="25"/>
        <v>7204.2099999999582</v>
      </c>
    </row>
    <row r="831" spans="1:25" x14ac:dyDescent="0.3">
      <c r="A831" s="1" t="s">
        <v>1918</v>
      </c>
      <c r="B831">
        <v>2</v>
      </c>
      <c r="C831">
        <v>27.99</v>
      </c>
      <c r="D831">
        <v>48.13</v>
      </c>
      <c r="E831" s="1" t="s">
        <v>1626</v>
      </c>
      <c r="F831" s="1" t="s">
        <v>188</v>
      </c>
      <c r="G831">
        <v>0</v>
      </c>
      <c r="H831" s="1" t="s">
        <v>26</v>
      </c>
      <c r="I831" s="1" t="s">
        <v>75</v>
      </c>
      <c r="J831">
        <v>9</v>
      </c>
      <c r="K831">
        <v>27.99</v>
      </c>
      <c r="L831" s="1" t="s">
        <v>28</v>
      </c>
      <c r="M831" s="1" t="s">
        <v>61</v>
      </c>
      <c r="N831" s="1" t="s">
        <v>62</v>
      </c>
      <c r="O831" s="1" t="s">
        <v>31</v>
      </c>
      <c r="P831" s="2">
        <v>45726</v>
      </c>
      <c r="Q831" s="1" t="s">
        <v>1385</v>
      </c>
      <c r="R831" s="1" t="s">
        <v>1386</v>
      </c>
      <c r="S831" s="1" t="s">
        <v>47</v>
      </c>
      <c r="T831" s="1" t="s">
        <v>35</v>
      </c>
      <c r="U831" s="1" t="s">
        <v>66</v>
      </c>
      <c r="V831" s="1" t="s">
        <v>37</v>
      </c>
      <c r="W831">
        <v>2</v>
      </c>
      <c r="X831" s="1">
        <f t="shared" si="24"/>
        <v>8313.6899999999459</v>
      </c>
      <c r="Y831" s="1">
        <f t="shared" si="25"/>
        <v>6397.4799999999632</v>
      </c>
    </row>
    <row r="832" spans="1:25" x14ac:dyDescent="0.3">
      <c r="A832" s="1" t="s">
        <v>1919</v>
      </c>
      <c r="B832">
        <v>1</v>
      </c>
      <c r="C832">
        <v>30.99</v>
      </c>
      <c r="D832">
        <v>30.99</v>
      </c>
      <c r="E832" s="1" t="s">
        <v>175</v>
      </c>
      <c r="F832" s="1" t="s">
        <v>40</v>
      </c>
      <c r="G832">
        <v>3</v>
      </c>
      <c r="H832" s="1" t="s">
        <v>96</v>
      </c>
      <c r="I832" s="1" t="s">
        <v>42</v>
      </c>
      <c r="J832">
        <v>10.5</v>
      </c>
      <c r="K832">
        <v>30.99</v>
      </c>
      <c r="L832" s="1" t="s">
        <v>28</v>
      </c>
      <c r="M832" s="1" t="s">
        <v>43</v>
      </c>
      <c r="N832" s="1" t="s">
        <v>44</v>
      </c>
      <c r="O832" s="1" t="s">
        <v>31</v>
      </c>
      <c r="P832" s="2">
        <v>45823</v>
      </c>
      <c r="Q832" s="1" t="s">
        <v>1342</v>
      </c>
      <c r="R832" s="1" t="s">
        <v>1343</v>
      </c>
      <c r="S832" s="1" t="s">
        <v>88</v>
      </c>
      <c r="T832" s="1" t="s">
        <v>35</v>
      </c>
      <c r="U832" s="1" t="s">
        <v>48</v>
      </c>
      <c r="V832" s="1" t="s">
        <v>37</v>
      </c>
      <c r="W832">
        <v>2</v>
      </c>
      <c r="X832" s="1">
        <f t="shared" si="24"/>
        <v>7844.9099999999507</v>
      </c>
      <c r="Y832" s="1">
        <f t="shared" si="25"/>
        <v>7682.919999999951</v>
      </c>
    </row>
    <row r="833" spans="1:25" x14ac:dyDescent="0.3">
      <c r="A833" s="1" t="s">
        <v>1920</v>
      </c>
      <c r="B833">
        <v>1</v>
      </c>
      <c r="C833">
        <v>16.989999999999998</v>
      </c>
      <c r="D833">
        <v>16.989999999999998</v>
      </c>
      <c r="E833" s="1" t="s">
        <v>1031</v>
      </c>
      <c r="F833" s="1" t="s">
        <v>40</v>
      </c>
      <c r="G833">
        <v>20</v>
      </c>
      <c r="H833" s="1" t="s">
        <v>96</v>
      </c>
      <c r="I833" s="1" t="s">
        <v>59</v>
      </c>
      <c r="J833">
        <v>5</v>
      </c>
      <c r="K833">
        <v>16.989999999999998</v>
      </c>
      <c r="L833" s="1" t="s">
        <v>60</v>
      </c>
      <c r="M833" s="1" t="s">
        <v>61</v>
      </c>
      <c r="N833" s="1" t="s">
        <v>62</v>
      </c>
      <c r="O833" s="1" t="s">
        <v>31</v>
      </c>
      <c r="P833" s="2">
        <v>45726</v>
      </c>
      <c r="Q833" s="1" t="s">
        <v>797</v>
      </c>
      <c r="R833" s="1" t="s">
        <v>1921</v>
      </c>
      <c r="S833" s="1" t="s">
        <v>88</v>
      </c>
      <c r="T833" s="1" t="s">
        <v>35</v>
      </c>
      <c r="U833" s="1" t="s">
        <v>36</v>
      </c>
      <c r="V833" s="1" t="s">
        <v>67</v>
      </c>
      <c r="W833">
        <v>3</v>
      </c>
      <c r="X833" s="1">
        <f t="shared" si="24"/>
        <v>7844.9099999999507</v>
      </c>
      <c r="Y833" s="1">
        <f t="shared" si="25"/>
        <v>6355.4899999999634</v>
      </c>
    </row>
    <row r="834" spans="1:25" x14ac:dyDescent="0.3">
      <c r="A834" s="1" t="s">
        <v>1922</v>
      </c>
      <c r="B834">
        <v>1</v>
      </c>
      <c r="C834">
        <v>18.989999999999998</v>
      </c>
      <c r="D834">
        <v>18.989999999999998</v>
      </c>
      <c r="E834" s="1" t="s">
        <v>1590</v>
      </c>
      <c r="F834" s="1" t="s">
        <v>70</v>
      </c>
      <c r="G834">
        <v>0</v>
      </c>
      <c r="H834" s="1" t="s">
        <v>41</v>
      </c>
      <c r="I834" s="1" t="s">
        <v>97</v>
      </c>
      <c r="J834">
        <v>6</v>
      </c>
      <c r="K834">
        <v>18.989999999999998</v>
      </c>
      <c r="L834" s="1" t="s">
        <v>60</v>
      </c>
      <c r="M834" s="1" t="s">
        <v>43</v>
      </c>
      <c r="N834" s="1" t="s">
        <v>44</v>
      </c>
      <c r="O834" s="1" t="s">
        <v>31</v>
      </c>
      <c r="P834" s="2">
        <v>45823</v>
      </c>
      <c r="Q834" s="1" t="s">
        <v>544</v>
      </c>
      <c r="R834" s="1" t="s">
        <v>1923</v>
      </c>
      <c r="S834" s="1" t="s">
        <v>105</v>
      </c>
      <c r="T834" s="1" t="s">
        <v>35</v>
      </c>
      <c r="U834" s="1" t="s">
        <v>36</v>
      </c>
      <c r="V834" s="1" t="s">
        <v>100</v>
      </c>
      <c r="W834">
        <v>3.2</v>
      </c>
      <c r="X834" s="1">
        <f t="shared" ref="X834:X897" si="26">SUMIF(H:H,H834,K:K)</f>
        <v>8551.6499999999451</v>
      </c>
      <c r="Y834" s="1">
        <f t="shared" ref="Y834:Y897" si="27">SUMIF(U:U,U834,K:K)</f>
        <v>6355.4899999999634</v>
      </c>
    </row>
    <row r="835" spans="1:25" x14ac:dyDescent="0.3">
      <c r="A835" s="1" t="s">
        <v>1924</v>
      </c>
      <c r="B835">
        <v>1</v>
      </c>
      <c r="C835">
        <v>34.99</v>
      </c>
      <c r="D835">
        <v>34.99</v>
      </c>
      <c r="E835" s="1" t="s">
        <v>800</v>
      </c>
      <c r="F835" s="1" t="s">
        <v>51</v>
      </c>
      <c r="G835">
        <v>0</v>
      </c>
      <c r="H835" s="1" t="s">
        <v>26</v>
      </c>
      <c r="I835" s="1" t="s">
        <v>85</v>
      </c>
      <c r="J835">
        <v>12.5</v>
      </c>
      <c r="K835">
        <v>34.99</v>
      </c>
      <c r="L835" s="1" t="s">
        <v>60</v>
      </c>
      <c r="M835" s="1" t="s">
        <v>29</v>
      </c>
      <c r="N835" s="1" t="s">
        <v>30</v>
      </c>
      <c r="O835" s="1" t="s">
        <v>31</v>
      </c>
      <c r="P835" s="2">
        <v>45778</v>
      </c>
      <c r="Q835" s="1" t="s">
        <v>1494</v>
      </c>
      <c r="R835" s="1" t="s">
        <v>1925</v>
      </c>
      <c r="S835" s="1" t="s">
        <v>34</v>
      </c>
      <c r="T835" s="1" t="s">
        <v>35</v>
      </c>
      <c r="U835" s="1" t="s">
        <v>66</v>
      </c>
      <c r="V835" s="1" t="s">
        <v>89</v>
      </c>
      <c r="W835">
        <v>2.4</v>
      </c>
      <c r="X835" s="1">
        <f t="shared" si="26"/>
        <v>8313.6899999999459</v>
      </c>
      <c r="Y835" s="1">
        <f t="shared" si="27"/>
        <v>6397.4799999999632</v>
      </c>
    </row>
    <row r="836" spans="1:25" x14ac:dyDescent="0.3">
      <c r="A836" s="1" t="s">
        <v>1926</v>
      </c>
      <c r="B836">
        <v>3</v>
      </c>
      <c r="C836">
        <v>21.99</v>
      </c>
      <c r="D836">
        <v>52.26</v>
      </c>
      <c r="E836" s="1" t="s">
        <v>1832</v>
      </c>
      <c r="F836" s="1" t="s">
        <v>40</v>
      </c>
      <c r="G836">
        <v>2</v>
      </c>
      <c r="H836" s="1" t="s">
        <v>26</v>
      </c>
      <c r="I836" s="1" t="s">
        <v>27</v>
      </c>
      <c r="J836">
        <v>7</v>
      </c>
      <c r="K836">
        <v>21.99</v>
      </c>
      <c r="L836" s="1" t="s">
        <v>28</v>
      </c>
      <c r="M836" s="1" t="s">
        <v>29</v>
      </c>
      <c r="N836" s="1" t="s">
        <v>30</v>
      </c>
      <c r="O836" s="1" t="s">
        <v>31</v>
      </c>
      <c r="P836" s="2">
        <v>45778</v>
      </c>
      <c r="Q836" s="1" t="s">
        <v>960</v>
      </c>
      <c r="R836" s="1" t="s">
        <v>961</v>
      </c>
      <c r="S836" s="1" t="s">
        <v>47</v>
      </c>
      <c r="T836" s="1" t="s">
        <v>35</v>
      </c>
      <c r="U836" s="1" t="s">
        <v>48</v>
      </c>
      <c r="V836" s="1" t="s">
        <v>37</v>
      </c>
      <c r="W836">
        <v>2</v>
      </c>
      <c r="X836" s="1">
        <f t="shared" si="26"/>
        <v>8313.6899999999459</v>
      </c>
      <c r="Y836" s="1">
        <f t="shared" si="27"/>
        <v>7682.919999999951</v>
      </c>
    </row>
    <row r="837" spans="1:25" x14ac:dyDescent="0.3">
      <c r="A837" s="1" t="s">
        <v>1927</v>
      </c>
      <c r="B837">
        <v>1</v>
      </c>
      <c r="C837">
        <v>21.99</v>
      </c>
      <c r="D837">
        <v>21.99</v>
      </c>
      <c r="E837" s="1" t="s">
        <v>246</v>
      </c>
      <c r="F837" s="1" t="s">
        <v>40</v>
      </c>
      <c r="G837">
        <v>3</v>
      </c>
      <c r="H837" s="1" t="s">
        <v>26</v>
      </c>
      <c r="I837" s="1" t="s">
        <v>27</v>
      </c>
      <c r="J837">
        <v>7</v>
      </c>
      <c r="K837">
        <v>21.99</v>
      </c>
      <c r="L837" s="1" t="s">
        <v>28</v>
      </c>
      <c r="M837" s="1" t="s">
        <v>29</v>
      </c>
      <c r="N837" s="1" t="s">
        <v>30</v>
      </c>
      <c r="O837" s="1" t="s">
        <v>31</v>
      </c>
      <c r="P837" s="2">
        <v>45778</v>
      </c>
      <c r="Q837" s="1" t="s">
        <v>869</v>
      </c>
      <c r="R837" s="1" t="s">
        <v>870</v>
      </c>
      <c r="S837" s="1" t="s">
        <v>88</v>
      </c>
      <c r="T837" s="1" t="s">
        <v>35</v>
      </c>
      <c r="U837" s="1" t="s">
        <v>55</v>
      </c>
      <c r="V837" s="1" t="s">
        <v>37</v>
      </c>
      <c r="W837">
        <v>2</v>
      </c>
      <c r="X837" s="1">
        <f t="shared" si="26"/>
        <v>8313.6899999999459</v>
      </c>
      <c r="Y837" s="1">
        <f t="shared" si="27"/>
        <v>5710.7699999999695</v>
      </c>
    </row>
    <row r="838" spans="1:25" x14ac:dyDescent="0.3">
      <c r="A838" s="1" t="s">
        <v>1928</v>
      </c>
      <c r="B838">
        <v>3</v>
      </c>
      <c r="C838">
        <v>27.99</v>
      </c>
      <c r="D838">
        <v>67.010000000000005</v>
      </c>
      <c r="E838" s="1" t="s">
        <v>1111</v>
      </c>
      <c r="F838" s="1" t="s">
        <v>25</v>
      </c>
      <c r="G838">
        <v>3</v>
      </c>
      <c r="H838" s="1" t="s">
        <v>96</v>
      </c>
      <c r="I838" s="1" t="s">
        <v>75</v>
      </c>
      <c r="J838">
        <v>9</v>
      </c>
      <c r="K838">
        <v>27.99</v>
      </c>
      <c r="L838" s="1" t="s">
        <v>28</v>
      </c>
      <c r="M838" s="1" t="s">
        <v>61</v>
      </c>
      <c r="N838" s="1" t="s">
        <v>62</v>
      </c>
      <c r="O838" s="1" t="s">
        <v>31</v>
      </c>
      <c r="P838" s="2">
        <v>45726</v>
      </c>
      <c r="Q838" s="1" t="s">
        <v>893</v>
      </c>
      <c r="R838" s="1" t="s">
        <v>1405</v>
      </c>
      <c r="S838" s="1" t="s">
        <v>65</v>
      </c>
      <c r="T838" s="1" t="s">
        <v>35</v>
      </c>
      <c r="U838" s="1" t="s">
        <v>82</v>
      </c>
      <c r="V838" s="1" t="s">
        <v>37</v>
      </c>
      <c r="W838">
        <v>2</v>
      </c>
      <c r="X838" s="1">
        <f t="shared" si="26"/>
        <v>7844.9099999999507</v>
      </c>
      <c r="Y838" s="1">
        <f t="shared" si="27"/>
        <v>7204.2099999999582</v>
      </c>
    </row>
    <row r="839" spans="1:25" x14ac:dyDescent="0.3">
      <c r="A839" s="1" t="s">
        <v>1929</v>
      </c>
      <c r="B839">
        <v>2</v>
      </c>
      <c r="C839">
        <v>34.99</v>
      </c>
      <c r="D839">
        <v>60.34</v>
      </c>
      <c r="E839" s="1" t="s">
        <v>1930</v>
      </c>
      <c r="F839" s="1" t="s">
        <v>40</v>
      </c>
      <c r="G839">
        <v>6</v>
      </c>
      <c r="H839" s="1" t="s">
        <v>58</v>
      </c>
      <c r="I839" s="1" t="s">
        <v>85</v>
      </c>
      <c r="J839">
        <v>12.5</v>
      </c>
      <c r="K839">
        <v>34.99</v>
      </c>
      <c r="L839" s="1" t="s">
        <v>60</v>
      </c>
      <c r="M839" s="1" t="s">
        <v>29</v>
      </c>
      <c r="N839" s="1" t="s">
        <v>30</v>
      </c>
      <c r="O839" s="1" t="s">
        <v>31</v>
      </c>
      <c r="P839" s="2">
        <v>45778</v>
      </c>
      <c r="Q839" s="1" t="s">
        <v>1931</v>
      </c>
      <c r="R839" s="1" t="s">
        <v>1932</v>
      </c>
      <c r="S839" s="1" t="s">
        <v>105</v>
      </c>
      <c r="T839" s="1" t="s">
        <v>35</v>
      </c>
      <c r="U839" s="1" t="s">
        <v>82</v>
      </c>
      <c r="V839" s="1" t="s">
        <v>89</v>
      </c>
      <c r="W839">
        <v>2.4</v>
      </c>
      <c r="X839" s="1">
        <f t="shared" si="26"/>
        <v>8640.6199999999462</v>
      </c>
      <c r="Y839" s="1">
        <f t="shared" si="27"/>
        <v>7204.2099999999582</v>
      </c>
    </row>
    <row r="840" spans="1:25" x14ac:dyDescent="0.3">
      <c r="A840" s="1" t="s">
        <v>1933</v>
      </c>
      <c r="B840">
        <v>1</v>
      </c>
      <c r="C840">
        <v>16.989999999999998</v>
      </c>
      <c r="D840">
        <v>16.989999999999998</v>
      </c>
      <c r="E840" s="1" t="s">
        <v>1934</v>
      </c>
      <c r="F840" s="1" t="s">
        <v>51</v>
      </c>
      <c r="G840">
        <v>0</v>
      </c>
      <c r="H840" s="1" t="s">
        <v>41</v>
      </c>
      <c r="I840" s="1" t="s">
        <v>59</v>
      </c>
      <c r="J840">
        <v>5</v>
      </c>
      <c r="K840">
        <v>16.989999999999998</v>
      </c>
      <c r="L840" s="1" t="s">
        <v>60</v>
      </c>
      <c r="M840" s="1" t="s">
        <v>61</v>
      </c>
      <c r="N840" s="1" t="s">
        <v>62</v>
      </c>
      <c r="O840" s="1" t="s">
        <v>31</v>
      </c>
      <c r="P840" s="2">
        <v>45726</v>
      </c>
      <c r="Q840" s="1" t="s">
        <v>63</v>
      </c>
      <c r="R840" s="1" t="s">
        <v>1803</v>
      </c>
      <c r="S840" s="1" t="s">
        <v>105</v>
      </c>
      <c r="T840" s="1" t="s">
        <v>35</v>
      </c>
      <c r="U840" s="1" t="s">
        <v>48</v>
      </c>
      <c r="V840" s="1" t="s">
        <v>67</v>
      </c>
      <c r="W840">
        <v>3</v>
      </c>
      <c r="X840" s="1">
        <f t="shared" si="26"/>
        <v>8551.6499999999451</v>
      </c>
      <c r="Y840" s="1">
        <f t="shared" si="27"/>
        <v>7682.919999999951</v>
      </c>
    </row>
    <row r="841" spans="1:25" x14ac:dyDescent="0.3">
      <c r="A841" s="1" t="s">
        <v>1935</v>
      </c>
      <c r="B841">
        <v>3</v>
      </c>
      <c r="C841">
        <v>18.989999999999998</v>
      </c>
      <c r="D841">
        <v>44.92</v>
      </c>
      <c r="E841" s="1" t="s">
        <v>1936</v>
      </c>
      <c r="F841" s="1" t="s">
        <v>40</v>
      </c>
      <c r="G841">
        <v>15</v>
      </c>
      <c r="H841" s="1" t="s">
        <v>58</v>
      </c>
      <c r="I841" s="1" t="s">
        <v>97</v>
      </c>
      <c r="J841">
        <v>6</v>
      </c>
      <c r="K841">
        <v>18.989999999999998</v>
      </c>
      <c r="L841" s="1" t="s">
        <v>60</v>
      </c>
      <c r="M841" s="1" t="s">
        <v>43</v>
      </c>
      <c r="N841" s="1" t="s">
        <v>44</v>
      </c>
      <c r="O841" s="1" t="s">
        <v>31</v>
      </c>
      <c r="P841" s="2">
        <v>45823</v>
      </c>
      <c r="Q841" s="1" t="s">
        <v>934</v>
      </c>
      <c r="R841" s="1" t="s">
        <v>935</v>
      </c>
      <c r="S841" s="1" t="s">
        <v>105</v>
      </c>
      <c r="T841" s="1" t="s">
        <v>35</v>
      </c>
      <c r="U841" s="1" t="s">
        <v>82</v>
      </c>
      <c r="V841" s="1" t="s">
        <v>100</v>
      </c>
      <c r="W841">
        <v>3.2</v>
      </c>
      <c r="X841" s="1">
        <f t="shared" si="26"/>
        <v>8640.6199999999462</v>
      </c>
      <c r="Y841" s="1">
        <f t="shared" si="27"/>
        <v>7204.2099999999582</v>
      </c>
    </row>
    <row r="842" spans="1:25" x14ac:dyDescent="0.3">
      <c r="A842" s="1" t="s">
        <v>1937</v>
      </c>
      <c r="B842">
        <v>2</v>
      </c>
      <c r="C842">
        <v>34.99</v>
      </c>
      <c r="D842">
        <v>61.11</v>
      </c>
      <c r="E842" s="1" t="s">
        <v>334</v>
      </c>
      <c r="F842" s="1" t="s">
        <v>40</v>
      </c>
      <c r="G842">
        <v>12</v>
      </c>
      <c r="H842" s="1" t="s">
        <v>96</v>
      </c>
      <c r="I842" s="1" t="s">
        <v>85</v>
      </c>
      <c r="J842">
        <v>12.5</v>
      </c>
      <c r="K842">
        <v>34.99</v>
      </c>
      <c r="L842" s="1" t="s">
        <v>60</v>
      </c>
      <c r="M842" s="1" t="s">
        <v>29</v>
      </c>
      <c r="N842" s="1" t="s">
        <v>30</v>
      </c>
      <c r="O842" s="1" t="s">
        <v>31</v>
      </c>
      <c r="P842" s="2">
        <v>45778</v>
      </c>
      <c r="Q842" s="1" t="s">
        <v>801</v>
      </c>
      <c r="R842" s="1" t="s">
        <v>802</v>
      </c>
      <c r="S842" s="1" t="s">
        <v>88</v>
      </c>
      <c r="T842" s="1" t="s">
        <v>35</v>
      </c>
      <c r="U842" s="1" t="s">
        <v>82</v>
      </c>
      <c r="V842" s="1" t="s">
        <v>89</v>
      </c>
      <c r="W842">
        <v>2.4</v>
      </c>
      <c r="X842" s="1">
        <f t="shared" si="26"/>
        <v>7844.9099999999507</v>
      </c>
      <c r="Y842" s="1">
        <f t="shared" si="27"/>
        <v>7204.2099999999582</v>
      </c>
    </row>
    <row r="843" spans="1:25" x14ac:dyDescent="0.3">
      <c r="A843" s="1" t="s">
        <v>1938</v>
      </c>
      <c r="B843">
        <v>1</v>
      </c>
      <c r="C843">
        <v>34.99</v>
      </c>
      <c r="D843">
        <v>34.99</v>
      </c>
      <c r="E843" s="1" t="s">
        <v>1749</v>
      </c>
      <c r="F843" s="1" t="s">
        <v>40</v>
      </c>
      <c r="G843">
        <v>6</v>
      </c>
      <c r="H843" s="1" t="s">
        <v>96</v>
      </c>
      <c r="I843" s="1" t="s">
        <v>85</v>
      </c>
      <c r="J843">
        <v>12.5</v>
      </c>
      <c r="K843">
        <v>34.99</v>
      </c>
      <c r="L843" s="1" t="s">
        <v>60</v>
      </c>
      <c r="M843" s="1" t="s">
        <v>29</v>
      </c>
      <c r="N843" s="1" t="s">
        <v>30</v>
      </c>
      <c r="O843" s="1" t="s">
        <v>31</v>
      </c>
      <c r="P843" s="2">
        <v>45778</v>
      </c>
      <c r="Q843" s="1" t="s">
        <v>1191</v>
      </c>
      <c r="R843" s="1" t="s">
        <v>1365</v>
      </c>
      <c r="S843" s="1" t="s">
        <v>54</v>
      </c>
      <c r="T843" s="1" t="s">
        <v>35</v>
      </c>
      <c r="U843" s="1" t="s">
        <v>82</v>
      </c>
      <c r="V843" s="1" t="s">
        <v>89</v>
      </c>
      <c r="W843">
        <v>2.4</v>
      </c>
      <c r="X843" s="1">
        <f t="shared" si="26"/>
        <v>7844.9099999999507</v>
      </c>
      <c r="Y843" s="1">
        <f t="shared" si="27"/>
        <v>7204.2099999999582</v>
      </c>
    </row>
    <row r="844" spans="1:25" x14ac:dyDescent="0.3">
      <c r="A844" s="1" t="s">
        <v>1939</v>
      </c>
      <c r="B844">
        <v>1</v>
      </c>
      <c r="C844">
        <v>21.99</v>
      </c>
      <c r="D844">
        <v>21.99</v>
      </c>
      <c r="E844" s="1" t="s">
        <v>327</v>
      </c>
      <c r="F844" s="1" t="s">
        <v>40</v>
      </c>
      <c r="G844">
        <v>3</v>
      </c>
      <c r="H844" s="1" t="s">
        <v>26</v>
      </c>
      <c r="I844" s="1" t="s">
        <v>27</v>
      </c>
      <c r="J844">
        <v>7</v>
      </c>
      <c r="K844">
        <v>21.99</v>
      </c>
      <c r="L844" s="1" t="s">
        <v>28</v>
      </c>
      <c r="M844" s="1" t="s">
        <v>29</v>
      </c>
      <c r="N844" s="1" t="s">
        <v>30</v>
      </c>
      <c r="O844" s="1" t="s">
        <v>31</v>
      </c>
      <c r="P844" s="2">
        <v>45778</v>
      </c>
      <c r="Q844" s="1" t="s">
        <v>1940</v>
      </c>
      <c r="R844" s="1" t="s">
        <v>1941</v>
      </c>
      <c r="S844" s="1" t="s">
        <v>34</v>
      </c>
      <c r="T844" s="1" t="s">
        <v>35</v>
      </c>
      <c r="U844" s="1" t="s">
        <v>48</v>
      </c>
      <c r="V844" s="1" t="s">
        <v>37</v>
      </c>
      <c r="W844">
        <v>2</v>
      </c>
      <c r="X844" s="1">
        <f t="shared" si="26"/>
        <v>8313.6899999999459</v>
      </c>
      <c r="Y844" s="1">
        <f t="shared" si="27"/>
        <v>7682.919999999951</v>
      </c>
    </row>
    <row r="845" spans="1:25" x14ac:dyDescent="0.3">
      <c r="A845" s="1" t="s">
        <v>1942</v>
      </c>
      <c r="B845">
        <v>1</v>
      </c>
      <c r="C845">
        <v>34.99</v>
      </c>
      <c r="D845">
        <v>34.99</v>
      </c>
      <c r="E845" s="1" t="s">
        <v>214</v>
      </c>
      <c r="F845" s="1" t="s">
        <v>70</v>
      </c>
      <c r="G845">
        <v>0</v>
      </c>
      <c r="H845" s="1" t="s">
        <v>41</v>
      </c>
      <c r="I845" s="1" t="s">
        <v>85</v>
      </c>
      <c r="J845">
        <v>12.5</v>
      </c>
      <c r="K845">
        <v>34.99</v>
      </c>
      <c r="L845" s="1" t="s">
        <v>60</v>
      </c>
      <c r="M845" s="1" t="s">
        <v>29</v>
      </c>
      <c r="N845" s="1" t="s">
        <v>30</v>
      </c>
      <c r="O845" s="1" t="s">
        <v>31</v>
      </c>
      <c r="P845" s="2">
        <v>45778</v>
      </c>
      <c r="Q845" s="1" t="s">
        <v>1943</v>
      </c>
      <c r="R845" s="1" t="s">
        <v>1944</v>
      </c>
      <c r="S845" s="1" t="s">
        <v>105</v>
      </c>
      <c r="T845" s="1" t="s">
        <v>35</v>
      </c>
      <c r="U845" s="1" t="s">
        <v>48</v>
      </c>
      <c r="V845" s="1" t="s">
        <v>89</v>
      </c>
      <c r="W845">
        <v>2.4</v>
      </c>
      <c r="X845" s="1">
        <f t="shared" si="26"/>
        <v>8551.6499999999451</v>
      </c>
      <c r="Y845" s="1">
        <f t="shared" si="27"/>
        <v>7682.919999999951</v>
      </c>
    </row>
    <row r="846" spans="1:25" x14ac:dyDescent="0.3">
      <c r="A846" s="1" t="s">
        <v>1945</v>
      </c>
      <c r="B846">
        <v>3</v>
      </c>
      <c r="C846">
        <v>21.99</v>
      </c>
      <c r="D846">
        <v>52.63</v>
      </c>
      <c r="E846" s="1" t="s">
        <v>1592</v>
      </c>
      <c r="F846" s="1" t="s">
        <v>40</v>
      </c>
      <c r="G846">
        <v>8</v>
      </c>
      <c r="H846" s="1" t="s">
        <v>41</v>
      </c>
      <c r="I846" s="1" t="s">
        <v>27</v>
      </c>
      <c r="J846">
        <v>7</v>
      </c>
      <c r="K846">
        <v>21.99</v>
      </c>
      <c r="L846" s="1" t="s">
        <v>28</v>
      </c>
      <c r="M846" s="1" t="s">
        <v>29</v>
      </c>
      <c r="N846" s="1" t="s">
        <v>30</v>
      </c>
      <c r="O846" s="1" t="s">
        <v>31</v>
      </c>
      <c r="P846" s="2">
        <v>45778</v>
      </c>
      <c r="Q846" s="1" t="s">
        <v>1009</v>
      </c>
      <c r="R846" s="1" t="s">
        <v>1010</v>
      </c>
      <c r="S846" s="1" t="s">
        <v>47</v>
      </c>
      <c r="T846" s="1" t="s">
        <v>35</v>
      </c>
      <c r="U846" s="1" t="s">
        <v>82</v>
      </c>
      <c r="V846" s="1" t="s">
        <v>37</v>
      </c>
      <c r="W846">
        <v>2</v>
      </c>
      <c r="X846" s="1">
        <f t="shared" si="26"/>
        <v>8551.6499999999451</v>
      </c>
      <c r="Y846" s="1">
        <f t="shared" si="27"/>
        <v>7204.2099999999582</v>
      </c>
    </row>
    <row r="847" spans="1:25" x14ac:dyDescent="0.3">
      <c r="A847" s="1" t="s">
        <v>1946</v>
      </c>
      <c r="B847">
        <v>1</v>
      </c>
      <c r="C847">
        <v>21.99</v>
      </c>
      <c r="D847">
        <v>21.99</v>
      </c>
      <c r="E847" s="1" t="s">
        <v>868</v>
      </c>
      <c r="F847" s="1" t="s">
        <v>40</v>
      </c>
      <c r="G847">
        <v>3</v>
      </c>
      <c r="H847" s="1" t="s">
        <v>96</v>
      </c>
      <c r="I847" s="1" t="s">
        <v>27</v>
      </c>
      <c r="J847">
        <v>7</v>
      </c>
      <c r="K847">
        <v>21.99</v>
      </c>
      <c r="L847" s="1" t="s">
        <v>28</v>
      </c>
      <c r="M847" s="1" t="s">
        <v>29</v>
      </c>
      <c r="N847" s="1" t="s">
        <v>30</v>
      </c>
      <c r="O847" s="1" t="s">
        <v>31</v>
      </c>
      <c r="P847" s="2">
        <v>45778</v>
      </c>
      <c r="Q847" s="1" t="s">
        <v>1947</v>
      </c>
      <c r="R847" s="1" t="s">
        <v>1948</v>
      </c>
      <c r="S847" s="1" t="s">
        <v>34</v>
      </c>
      <c r="T847" s="1" t="s">
        <v>35</v>
      </c>
      <c r="U847" s="1" t="s">
        <v>55</v>
      </c>
      <c r="V847" s="1" t="s">
        <v>37</v>
      </c>
      <c r="W847">
        <v>2</v>
      </c>
      <c r="X847" s="1">
        <f t="shared" si="26"/>
        <v>7844.9099999999507</v>
      </c>
      <c r="Y847" s="1">
        <f t="shared" si="27"/>
        <v>5710.7699999999695</v>
      </c>
    </row>
    <row r="848" spans="1:25" x14ac:dyDescent="0.3">
      <c r="A848" s="1" t="s">
        <v>1949</v>
      </c>
      <c r="B848">
        <v>1</v>
      </c>
      <c r="C848">
        <v>34.99</v>
      </c>
      <c r="D848">
        <v>34.99</v>
      </c>
      <c r="E848" s="1" t="s">
        <v>753</v>
      </c>
      <c r="F848" s="1" t="s">
        <v>40</v>
      </c>
      <c r="G848">
        <v>12</v>
      </c>
      <c r="H848" s="1" t="s">
        <v>96</v>
      </c>
      <c r="I848" s="1" t="s">
        <v>85</v>
      </c>
      <c r="J848">
        <v>12.5</v>
      </c>
      <c r="K848">
        <v>34.99</v>
      </c>
      <c r="L848" s="1" t="s">
        <v>60</v>
      </c>
      <c r="M848" s="1" t="s">
        <v>29</v>
      </c>
      <c r="N848" s="1" t="s">
        <v>30</v>
      </c>
      <c r="O848" s="1" t="s">
        <v>31</v>
      </c>
      <c r="P848" s="2">
        <v>45778</v>
      </c>
      <c r="Q848" s="1" t="s">
        <v>1316</v>
      </c>
      <c r="R848" s="1" t="s">
        <v>1317</v>
      </c>
      <c r="S848" s="1" t="s">
        <v>105</v>
      </c>
      <c r="T848" s="1" t="s">
        <v>35</v>
      </c>
      <c r="U848" s="1" t="s">
        <v>66</v>
      </c>
      <c r="V848" s="1" t="s">
        <v>89</v>
      </c>
      <c r="W848">
        <v>2.4</v>
      </c>
      <c r="X848" s="1">
        <f t="shared" si="26"/>
        <v>7844.9099999999507</v>
      </c>
      <c r="Y848" s="1">
        <f t="shared" si="27"/>
        <v>6397.4799999999632</v>
      </c>
    </row>
    <row r="849" spans="1:25" x14ac:dyDescent="0.3">
      <c r="A849" s="1" t="s">
        <v>1950</v>
      </c>
      <c r="B849">
        <v>1</v>
      </c>
      <c r="C849">
        <v>18.989999999999998</v>
      </c>
      <c r="D849">
        <v>18.989999999999998</v>
      </c>
      <c r="E849" s="1" t="s">
        <v>1331</v>
      </c>
      <c r="F849" s="1" t="s">
        <v>40</v>
      </c>
      <c r="G849">
        <v>19</v>
      </c>
      <c r="H849" s="1" t="s">
        <v>26</v>
      </c>
      <c r="I849" s="1" t="s">
        <v>97</v>
      </c>
      <c r="J849">
        <v>6</v>
      </c>
      <c r="K849">
        <v>18.989999999999998</v>
      </c>
      <c r="L849" s="1" t="s">
        <v>60</v>
      </c>
      <c r="M849" s="1" t="s">
        <v>43</v>
      </c>
      <c r="N849" s="1" t="s">
        <v>44</v>
      </c>
      <c r="O849" s="1" t="s">
        <v>31</v>
      </c>
      <c r="P849" s="2">
        <v>45823</v>
      </c>
      <c r="Q849" s="1" t="s">
        <v>1234</v>
      </c>
      <c r="R849" s="1" t="s">
        <v>1671</v>
      </c>
      <c r="S849" s="1" t="s">
        <v>47</v>
      </c>
      <c r="T849" s="1" t="s">
        <v>35</v>
      </c>
      <c r="U849" s="1" t="s">
        <v>82</v>
      </c>
      <c r="V849" s="1" t="s">
        <v>100</v>
      </c>
      <c r="W849">
        <v>3.2</v>
      </c>
      <c r="X849" s="1">
        <f t="shared" si="26"/>
        <v>8313.6899999999459</v>
      </c>
      <c r="Y849" s="1">
        <f t="shared" si="27"/>
        <v>7204.2099999999582</v>
      </c>
    </row>
    <row r="850" spans="1:25" x14ac:dyDescent="0.3">
      <c r="A850" s="1" t="s">
        <v>1951</v>
      </c>
      <c r="B850">
        <v>1</v>
      </c>
      <c r="C850">
        <v>30.99</v>
      </c>
      <c r="D850">
        <v>30.99</v>
      </c>
      <c r="E850" s="1" t="s">
        <v>950</v>
      </c>
      <c r="F850" s="1" t="s">
        <v>51</v>
      </c>
      <c r="G850">
        <v>0</v>
      </c>
      <c r="H850" s="1" t="s">
        <v>26</v>
      </c>
      <c r="I850" s="1" t="s">
        <v>42</v>
      </c>
      <c r="J850">
        <v>10.5</v>
      </c>
      <c r="K850">
        <v>30.99</v>
      </c>
      <c r="L850" s="1" t="s">
        <v>28</v>
      </c>
      <c r="M850" s="1" t="s">
        <v>43</v>
      </c>
      <c r="N850" s="1" t="s">
        <v>44</v>
      </c>
      <c r="O850" s="1" t="s">
        <v>31</v>
      </c>
      <c r="P850" s="2">
        <v>45823</v>
      </c>
      <c r="Q850" s="1" t="s">
        <v>1241</v>
      </c>
      <c r="R850" s="1" t="s">
        <v>1242</v>
      </c>
      <c r="S850" s="1" t="s">
        <v>54</v>
      </c>
      <c r="T850" s="1" t="s">
        <v>35</v>
      </c>
      <c r="U850" s="1" t="s">
        <v>48</v>
      </c>
      <c r="V850" s="1" t="s">
        <v>37</v>
      </c>
      <c r="W850">
        <v>2</v>
      </c>
      <c r="X850" s="1">
        <f t="shared" si="26"/>
        <v>8313.6899999999459</v>
      </c>
      <c r="Y850" s="1">
        <f t="shared" si="27"/>
        <v>7682.919999999951</v>
      </c>
    </row>
    <row r="851" spans="1:25" x14ac:dyDescent="0.3">
      <c r="A851" s="1" t="s">
        <v>1952</v>
      </c>
      <c r="B851">
        <v>3</v>
      </c>
      <c r="C851">
        <v>27.99</v>
      </c>
      <c r="D851">
        <v>65.92</v>
      </c>
      <c r="E851" s="1" t="s">
        <v>1953</v>
      </c>
      <c r="F851" s="1" t="s">
        <v>40</v>
      </c>
      <c r="G851">
        <v>2</v>
      </c>
      <c r="H851" s="1" t="s">
        <v>41</v>
      </c>
      <c r="I851" s="1" t="s">
        <v>75</v>
      </c>
      <c r="J851">
        <v>9</v>
      </c>
      <c r="K851">
        <v>27.99</v>
      </c>
      <c r="L851" s="1" t="s">
        <v>28</v>
      </c>
      <c r="M851" s="1" t="s">
        <v>61</v>
      </c>
      <c r="N851" s="1" t="s">
        <v>62</v>
      </c>
      <c r="O851" s="1" t="s">
        <v>31</v>
      </c>
      <c r="P851" s="2">
        <v>45726</v>
      </c>
      <c r="Q851" s="1" t="s">
        <v>428</v>
      </c>
      <c r="R851" s="1" t="s">
        <v>1094</v>
      </c>
      <c r="S851" s="1" t="s">
        <v>105</v>
      </c>
      <c r="T851" s="1" t="s">
        <v>35</v>
      </c>
      <c r="U851" s="1" t="s">
        <v>36</v>
      </c>
      <c r="V851" s="1" t="s">
        <v>37</v>
      </c>
      <c r="W851">
        <v>2</v>
      </c>
      <c r="X851" s="1">
        <f t="shared" si="26"/>
        <v>8551.6499999999451</v>
      </c>
      <c r="Y851" s="1">
        <f t="shared" si="27"/>
        <v>6355.4899999999634</v>
      </c>
    </row>
    <row r="852" spans="1:25" x14ac:dyDescent="0.3">
      <c r="A852" s="1" t="s">
        <v>1954</v>
      </c>
      <c r="B852">
        <v>1</v>
      </c>
      <c r="C852">
        <v>18.989999999999998</v>
      </c>
      <c r="D852">
        <v>18.989999999999998</v>
      </c>
      <c r="E852" s="1" t="s">
        <v>1953</v>
      </c>
      <c r="F852" s="1" t="s">
        <v>40</v>
      </c>
      <c r="G852">
        <v>12</v>
      </c>
      <c r="H852" s="1" t="s">
        <v>41</v>
      </c>
      <c r="I852" s="1" t="s">
        <v>97</v>
      </c>
      <c r="J852">
        <v>6</v>
      </c>
      <c r="K852">
        <v>18.989999999999998</v>
      </c>
      <c r="L852" s="1" t="s">
        <v>60</v>
      </c>
      <c r="M852" s="1" t="s">
        <v>43</v>
      </c>
      <c r="N852" s="1" t="s">
        <v>44</v>
      </c>
      <c r="O852" s="1" t="s">
        <v>31</v>
      </c>
      <c r="P852" s="2">
        <v>45823</v>
      </c>
      <c r="Q852" s="1" t="s">
        <v>1955</v>
      </c>
      <c r="R852" s="1" t="s">
        <v>1956</v>
      </c>
      <c r="S852" s="1" t="s">
        <v>34</v>
      </c>
      <c r="T852" s="1" t="s">
        <v>35</v>
      </c>
      <c r="U852" s="1" t="s">
        <v>66</v>
      </c>
      <c r="V852" s="1" t="s">
        <v>100</v>
      </c>
      <c r="W852">
        <v>3.2</v>
      </c>
      <c r="X852" s="1">
        <f t="shared" si="26"/>
        <v>8551.6499999999451</v>
      </c>
      <c r="Y852" s="1">
        <f t="shared" si="27"/>
        <v>6397.4799999999632</v>
      </c>
    </row>
    <row r="853" spans="1:25" x14ac:dyDescent="0.3">
      <c r="A853" s="1" t="s">
        <v>1957</v>
      </c>
      <c r="B853">
        <v>1</v>
      </c>
      <c r="C853">
        <v>34.99</v>
      </c>
      <c r="D853">
        <v>34.99</v>
      </c>
      <c r="E853" s="1" t="s">
        <v>419</v>
      </c>
      <c r="F853" s="1" t="s">
        <v>51</v>
      </c>
      <c r="G853">
        <v>0</v>
      </c>
      <c r="H853" s="1" t="s">
        <v>41</v>
      </c>
      <c r="I853" s="1" t="s">
        <v>85</v>
      </c>
      <c r="J853">
        <v>12.5</v>
      </c>
      <c r="K853">
        <v>34.99</v>
      </c>
      <c r="L853" s="1" t="s">
        <v>60</v>
      </c>
      <c r="M853" s="1" t="s">
        <v>29</v>
      </c>
      <c r="N853" s="1" t="s">
        <v>30</v>
      </c>
      <c r="O853" s="1" t="s">
        <v>31</v>
      </c>
      <c r="P853" s="2">
        <v>45778</v>
      </c>
      <c r="Q853" s="1" t="s">
        <v>1009</v>
      </c>
      <c r="R853" s="1" t="s">
        <v>1010</v>
      </c>
      <c r="S853" s="1" t="s">
        <v>47</v>
      </c>
      <c r="T853" s="1" t="s">
        <v>35</v>
      </c>
      <c r="U853" s="1" t="s">
        <v>82</v>
      </c>
      <c r="V853" s="1" t="s">
        <v>89</v>
      </c>
      <c r="W853">
        <v>2.4</v>
      </c>
      <c r="X853" s="1">
        <f t="shared" si="26"/>
        <v>8551.6499999999451</v>
      </c>
      <c r="Y853" s="1">
        <f t="shared" si="27"/>
        <v>7204.2099999999582</v>
      </c>
    </row>
    <row r="854" spans="1:25" x14ac:dyDescent="0.3">
      <c r="A854" s="1" t="s">
        <v>1958</v>
      </c>
      <c r="B854">
        <v>1</v>
      </c>
      <c r="C854">
        <v>27.99</v>
      </c>
      <c r="D854">
        <v>27.99</v>
      </c>
      <c r="E854" s="1" t="s">
        <v>168</v>
      </c>
      <c r="F854" s="1" t="s">
        <v>70</v>
      </c>
      <c r="G854">
        <v>0</v>
      </c>
      <c r="H854" s="1" t="s">
        <v>58</v>
      </c>
      <c r="I854" s="1" t="s">
        <v>75</v>
      </c>
      <c r="J854">
        <v>9</v>
      </c>
      <c r="K854">
        <v>27.99</v>
      </c>
      <c r="L854" s="1" t="s">
        <v>28</v>
      </c>
      <c r="M854" s="1" t="s">
        <v>61</v>
      </c>
      <c r="N854" s="1" t="s">
        <v>62</v>
      </c>
      <c r="O854" s="1" t="s">
        <v>31</v>
      </c>
      <c r="P854" s="2">
        <v>45726</v>
      </c>
      <c r="Q854" s="1" t="s">
        <v>118</v>
      </c>
      <c r="R854" s="1" t="s">
        <v>1959</v>
      </c>
      <c r="S854" s="1" t="s">
        <v>65</v>
      </c>
      <c r="T854" s="1" t="s">
        <v>35</v>
      </c>
      <c r="U854" s="1" t="s">
        <v>36</v>
      </c>
      <c r="V854" s="1" t="s">
        <v>37</v>
      </c>
      <c r="W854">
        <v>2</v>
      </c>
      <c r="X854" s="1">
        <f t="shared" si="26"/>
        <v>8640.6199999999462</v>
      </c>
      <c r="Y854" s="1">
        <f t="shared" si="27"/>
        <v>6355.4899999999634</v>
      </c>
    </row>
    <row r="855" spans="1:25" x14ac:dyDescent="0.3">
      <c r="A855" s="1" t="s">
        <v>1960</v>
      </c>
      <c r="B855">
        <v>3</v>
      </c>
      <c r="C855">
        <v>30.99</v>
      </c>
      <c r="D855">
        <v>73.27</v>
      </c>
      <c r="E855" s="1" t="s">
        <v>1961</v>
      </c>
      <c r="F855" s="1" t="s">
        <v>70</v>
      </c>
      <c r="G855">
        <v>0</v>
      </c>
      <c r="H855" s="1" t="s">
        <v>41</v>
      </c>
      <c r="I855" s="1" t="s">
        <v>42</v>
      </c>
      <c r="J855">
        <v>10.5</v>
      </c>
      <c r="K855">
        <v>30.99</v>
      </c>
      <c r="L855" s="1" t="s">
        <v>28</v>
      </c>
      <c r="M855" s="1" t="s">
        <v>43</v>
      </c>
      <c r="N855" s="1" t="s">
        <v>44</v>
      </c>
      <c r="O855" s="1" t="s">
        <v>31</v>
      </c>
      <c r="P855" s="2">
        <v>45823</v>
      </c>
      <c r="Q855" s="1" t="s">
        <v>140</v>
      </c>
      <c r="R855" s="1" t="s">
        <v>1199</v>
      </c>
      <c r="S855" s="1" t="s">
        <v>65</v>
      </c>
      <c r="T855" s="1" t="s">
        <v>35</v>
      </c>
      <c r="U855" s="1" t="s">
        <v>36</v>
      </c>
      <c r="V855" s="1" t="s">
        <v>37</v>
      </c>
      <c r="W855">
        <v>2</v>
      </c>
      <c r="X855" s="1">
        <f t="shared" si="26"/>
        <v>8551.6499999999451</v>
      </c>
      <c r="Y855" s="1">
        <f t="shared" si="27"/>
        <v>6355.4899999999634</v>
      </c>
    </row>
    <row r="856" spans="1:25" x14ac:dyDescent="0.3">
      <c r="A856" s="1" t="s">
        <v>1962</v>
      </c>
      <c r="B856">
        <v>3</v>
      </c>
      <c r="C856">
        <v>16.989999999999998</v>
      </c>
      <c r="D856">
        <v>41.23</v>
      </c>
      <c r="E856" s="1" t="s">
        <v>1749</v>
      </c>
      <c r="F856" s="1" t="s">
        <v>40</v>
      </c>
      <c r="G856">
        <v>19</v>
      </c>
      <c r="H856" s="1" t="s">
        <v>96</v>
      </c>
      <c r="I856" s="1" t="s">
        <v>59</v>
      </c>
      <c r="J856">
        <v>5</v>
      </c>
      <c r="K856">
        <v>16.989999999999998</v>
      </c>
      <c r="L856" s="1" t="s">
        <v>60</v>
      </c>
      <c r="M856" s="1" t="s">
        <v>61</v>
      </c>
      <c r="N856" s="1" t="s">
        <v>62</v>
      </c>
      <c r="O856" s="1" t="s">
        <v>31</v>
      </c>
      <c r="P856" s="2">
        <v>45726</v>
      </c>
      <c r="Q856" s="1" t="s">
        <v>118</v>
      </c>
      <c r="R856" s="1" t="s">
        <v>751</v>
      </c>
      <c r="S856" s="1" t="s">
        <v>65</v>
      </c>
      <c r="T856" s="1" t="s">
        <v>35</v>
      </c>
      <c r="U856" s="1" t="s">
        <v>82</v>
      </c>
      <c r="V856" s="1" t="s">
        <v>67</v>
      </c>
      <c r="W856">
        <v>3</v>
      </c>
      <c r="X856" s="1">
        <f t="shared" si="26"/>
        <v>7844.9099999999507</v>
      </c>
      <c r="Y856" s="1">
        <f t="shared" si="27"/>
        <v>7204.2099999999582</v>
      </c>
    </row>
    <row r="857" spans="1:25" x14ac:dyDescent="0.3">
      <c r="A857" s="1" t="s">
        <v>1963</v>
      </c>
      <c r="B857">
        <v>3</v>
      </c>
      <c r="C857">
        <v>34.99</v>
      </c>
      <c r="D857">
        <v>83.89</v>
      </c>
      <c r="E857" s="1" t="s">
        <v>252</v>
      </c>
      <c r="F857" s="1" t="s">
        <v>40</v>
      </c>
      <c r="G857">
        <v>5</v>
      </c>
      <c r="H857" s="1" t="s">
        <v>96</v>
      </c>
      <c r="I857" s="1" t="s">
        <v>85</v>
      </c>
      <c r="J857">
        <v>12.5</v>
      </c>
      <c r="K857">
        <v>34.99</v>
      </c>
      <c r="L857" s="1" t="s">
        <v>60</v>
      </c>
      <c r="M857" s="1" t="s">
        <v>29</v>
      </c>
      <c r="N857" s="1" t="s">
        <v>30</v>
      </c>
      <c r="O857" s="1" t="s">
        <v>31</v>
      </c>
      <c r="P857" s="2">
        <v>45778</v>
      </c>
      <c r="Q857" s="1" t="s">
        <v>884</v>
      </c>
      <c r="R857" s="1" t="s">
        <v>885</v>
      </c>
      <c r="S857" s="1" t="s">
        <v>34</v>
      </c>
      <c r="T857" s="1" t="s">
        <v>35</v>
      </c>
      <c r="U857" s="1" t="s">
        <v>36</v>
      </c>
      <c r="V857" s="1" t="s">
        <v>89</v>
      </c>
      <c r="W857">
        <v>2.4</v>
      </c>
      <c r="X857" s="1">
        <f t="shared" si="26"/>
        <v>7844.9099999999507</v>
      </c>
      <c r="Y857" s="1">
        <f t="shared" si="27"/>
        <v>6355.4899999999634</v>
      </c>
    </row>
    <row r="858" spans="1:25" x14ac:dyDescent="0.3">
      <c r="A858" s="1" t="s">
        <v>1964</v>
      </c>
      <c r="B858">
        <v>1</v>
      </c>
      <c r="C858">
        <v>18.989999999999998</v>
      </c>
      <c r="D858">
        <v>18.989999999999998</v>
      </c>
      <c r="E858" s="1" t="s">
        <v>1965</v>
      </c>
      <c r="F858" s="1" t="s">
        <v>40</v>
      </c>
      <c r="G858">
        <v>11</v>
      </c>
      <c r="H858" s="1" t="s">
        <v>96</v>
      </c>
      <c r="I858" s="1" t="s">
        <v>97</v>
      </c>
      <c r="J858">
        <v>6</v>
      </c>
      <c r="K858">
        <v>18.989999999999998</v>
      </c>
      <c r="L858" s="1" t="s">
        <v>60</v>
      </c>
      <c r="M858" s="1" t="s">
        <v>43</v>
      </c>
      <c r="N858" s="1" t="s">
        <v>44</v>
      </c>
      <c r="O858" s="1" t="s">
        <v>31</v>
      </c>
      <c r="P858" s="2">
        <v>45823</v>
      </c>
      <c r="Q858" s="1" t="s">
        <v>1112</v>
      </c>
      <c r="R858" s="1" t="s">
        <v>1113</v>
      </c>
      <c r="S858" s="1" t="s">
        <v>105</v>
      </c>
      <c r="T858" s="1" t="s">
        <v>35</v>
      </c>
      <c r="U858" s="1" t="s">
        <v>66</v>
      </c>
      <c r="V858" s="1" t="s">
        <v>100</v>
      </c>
      <c r="W858">
        <v>3.2</v>
      </c>
      <c r="X858" s="1">
        <f t="shared" si="26"/>
        <v>7844.9099999999507</v>
      </c>
      <c r="Y858" s="1">
        <f t="shared" si="27"/>
        <v>6397.4799999999632</v>
      </c>
    </row>
    <row r="859" spans="1:25" x14ac:dyDescent="0.3">
      <c r="A859" s="1" t="s">
        <v>1966</v>
      </c>
      <c r="B859">
        <v>1</v>
      </c>
      <c r="C859">
        <v>18.989999999999998</v>
      </c>
      <c r="D859">
        <v>18.989999999999998</v>
      </c>
      <c r="E859" s="1" t="s">
        <v>1832</v>
      </c>
      <c r="F859" s="1" t="s">
        <v>40</v>
      </c>
      <c r="G859">
        <v>14</v>
      </c>
      <c r="H859" s="1" t="s">
        <v>41</v>
      </c>
      <c r="I859" s="1" t="s">
        <v>97</v>
      </c>
      <c r="J859">
        <v>6</v>
      </c>
      <c r="K859">
        <v>18.989999999999998</v>
      </c>
      <c r="L859" s="1" t="s">
        <v>60</v>
      </c>
      <c r="M859" s="1" t="s">
        <v>43</v>
      </c>
      <c r="N859" s="1" t="s">
        <v>44</v>
      </c>
      <c r="O859" s="1" t="s">
        <v>31</v>
      </c>
      <c r="P859" s="2">
        <v>45823</v>
      </c>
      <c r="Q859" s="1" t="s">
        <v>358</v>
      </c>
      <c r="R859" s="1" t="s">
        <v>1391</v>
      </c>
      <c r="S859" s="1" t="s">
        <v>34</v>
      </c>
      <c r="T859" s="1" t="s">
        <v>35</v>
      </c>
      <c r="U859" s="1" t="s">
        <v>82</v>
      </c>
      <c r="V859" s="1" t="s">
        <v>100</v>
      </c>
      <c r="W859">
        <v>3.2</v>
      </c>
      <c r="X859" s="1">
        <f t="shared" si="26"/>
        <v>8551.6499999999451</v>
      </c>
      <c r="Y859" s="1">
        <f t="shared" si="27"/>
        <v>7204.2099999999582</v>
      </c>
    </row>
    <row r="860" spans="1:25" x14ac:dyDescent="0.3">
      <c r="A860" s="1" t="s">
        <v>1967</v>
      </c>
      <c r="B860">
        <v>1</v>
      </c>
      <c r="C860">
        <v>18.989999999999998</v>
      </c>
      <c r="D860">
        <v>18.989999999999998</v>
      </c>
      <c r="E860" s="1" t="s">
        <v>1968</v>
      </c>
      <c r="F860" s="1" t="s">
        <v>25</v>
      </c>
      <c r="G860">
        <v>11</v>
      </c>
      <c r="H860" s="1" t="s">
        <v>26</v>
      </c>
      <c r="I860" s="1" t="s">
        <v>97</v>
      </c>
      <c r="J860">
        <v>6</v>
      </c>
      <c r="K860">
        <v>18.989999999999998</v>
      </c>
      <c r="L860" s="1" t="s">
        <v>60</v>
      </c>
      <c r="M860" s="1" t="s">
        <v>43</v>
      </c>
      <c r="N860" s="1" t="s">
        <v>44</v>
      </c>
      <c r="O860" s="1" t="s">
        <v>31</v>
      </c>
      <c r="P860" s="2">
        <v>45823</v>
      </c>
      <c r="Q860" s="1" t="s">
        <v>1969</v>
      </c>
      <c r="R860" s="1" t="s">
        <v>1970</v>
      </c>
      <c r="S860" s="1" t="s">
        <v>34</v>
      </c>
      <c r="T860" s="1" t="s">
        <v>35</v>
      </c>
      <c r="U860" s="1" t="s">
        <v>55</v>
      </c>
      <c r="V860" s="1" t="s">
        <v>100</v>
      </c>
      <c r="W860">
        <v>3.2</v>
      </c>
      <c r="X860" s="1">
        <f t="shared" si="26"/>
        <v>8313.6899999999459</v>
      </c>
      <c r="Y860" s="1">
        <f t="shared" si="27"/>
        <v>5710.7699999999695</v>
      </c>
    </row>
    <row r="861" spans="1:25" x14ac:dyDescent="0.3">
      <c r="A861" s="1" t="s">
        <v>1971</v>
      </c>
      <c r="B861">
        <v>1</v>
      </c>
      <c r="C861">
        <v>34.99</v>
      </c>
      <c r="D861">
        <v>34.99</v>
      </c>
      <c r="E861" s="1" t="s">
        <v>252</v>
      </c>
      <c r="F861" s="1" t="s">
        <v>51</v>
      </c>
      <c r="G861">
        <v>0</v>
      </c>
      <c r="H861" s="1" t="s">
        <v>41</v>
      </c>
      <c r="I861" s="1" t="s">
        <v>85</v>
      </c>
      <c r="J861">
        <v>12.5</v>
      </c>
      <c r="K861">
        <v>34.99</v>
      </c>
      <c r="L861" s="1" t="s">
        <v>60</v>
      </c>
      <c r="M861" s="1" t="s">
        <v>29</v>
      </c>
      <c r="N861" s="1" t="s">
        <v>30</v>
      </c>
      <c r="O861" s="1" t="s">
        <v>31</v>
      </c>
      <c r="P861" s="2">
        <v>45778</v>
      </c>
      <c r="Q861" s="1" t="s">
        <v>842</v>
      </c>
      <c r="R861" s="1" t="s">
        <v>1972</v>
      </c>
      <c r="S861" s="1" t="s">
        <v>88</v>
      </c>
      <c r="T861" s="1" t="s">
        <v>35</v>
      </c>
      <c r="U861" s="1" t="s">
        <v>36</v>
      </c>
      <c r="V861" s="1" t="s">
        <v>89</v>
      </c>
      <c r="W861">
        <v>2.4</v>
      </c>
      <c r="X861" s="1">
        <f t="shared" si="26"/>
        <v>8551.6499999999451</v>
      </c>
      <c r="Y861" s="1">
        <f t="shared" si="27"/>
        <v>6355.4899999999634</v>
      </c>
    </row>
    <row r="862" spans="1:25" x14ac:dyDescent="0.3">
      <c r="A862" s="1" t="s">
        <v>1973</v>
      </c>
      <c r="B862">
        <v>2</v>
      </c>
      <c r="C862">
        <v>30.99</v>
      </c>
      <c r="D862">
        <v>54.18</v>
      </c>
      <c r="E862" s="1" t="s">
        <v>1285</v>
      </c>
      <c r="F862" s="1" t="s">
        <v>40</v>
      </c>
      <c r="G862">
        <v>2</v>
      </c>
      <c r="H862" s="1" t="s">
        <v>41</v>
      </c>
      <c r="I862" s="1" t="s">
        <v>42</v>
      </c>
      <c r="J862">
        <v>10.5</v>
      </c>
      <c r="K862">
        <v>30.99</v>
      </c>
      <c r="L862" s="1" t="s">
        <v>28</v>
      </c>
      <c r="M862" s="1" t="s">
        <v>43</v>
      </c>
      <c r="N862" s="1" t="s">
        <v>44</v>
      </c>
      <c r="O862" s="1" t="s">
        <v>31</v>
      </c>
      <c r="P862" s="2">
        <v>45823</v>
      </c>
      <c r="Q862" s="1" t="s">
        <v>909</v>
      </c>
      <c r="R862" s="1" t="s">
        <v>996</v>
      </c>
      <c r="S862" s="1" t="s">
        <v>88</v>
      </c>
      <c r="T862" s="1" t="s">
        <v>35</v>
      </c>
      <c r="U862" s="1" t="s">
        <v>66</v>
      </c>
      <c r="V862" s="1" t="s">
        <v>37</v>
      </c>
      <c r="W862">
        <v>2</v>
      </c>
      <c r="X862" s="1">
        <f t="shared" si="26"/>
        <v>8551.6499999999451</v>
      </c>
      <c r="Y862" s="1">
        <f t="shared" si="27"/>
        <v>6397.4799999999632</v>
      </c>
    </row>
    <row r="863" spans="1:25" x14ac:dyDescent="0.3">
      <c r="A863" s="1" t="s">
        <v>1974</v>
      </c>
      <c r="B863">
        <v>1</v>
      </c>
      <c r="C863">
        <v>30.99</v>
      </c>
      <c r="D863">
        <v>30.99</v>
      </c>
      <c r="E863" s="1" t="s">
        <v>1230</v>
      </c>
      <c r="F863" s="1" t="s">
        <v>25</v>
      </c>
      <c r="G863">
        <v>3</v>
      </c>
      <c r="H863" s="1" t="s">
        <v>26</v>
      </c>
      <c r="I863" s="1" t="s">
        <v>42</v>
      </c>
      <c r="J863">
        <v>10.5</v>
      </c>
      <c r="K863">
        <v>30.99</v>
      </c>
      <c r="L863" s="1" t="s">
        <v>28</v>
      </c>
      <c r="M863" s="1" t="s">
        <v>43</v>
      </c>
      <c r="N863" s="1" t="s">
        <v>44</v>
      </c>
      <c r="O863" s="1" t="s">
        <v>31</v>
      </c>
      <c r="P863" s="2">
        <v>45823</v>
      </c>
      <c r="Q863" s="1" t="s">
        <v>1058</v>
      </c>
      <c r="R863" s="1" t="s">
        <v>1059</v>
      </c>
      <c r="S863" s="1" t="s">
        <v>65</v>
      </c>
      <c r="T863" s="1" t="s">
        <v>35</v>
      </c>
      <c r="U863" s="1" t="s">
        <v>82</v>
      </c>
      <c r="V863" s="1" t="s">
        <v>37</v>
      </c>
      <c r="W863">
        <v>2</v>
      </c>
      <c r="X863" s="1">
        <f t="shared" si="26"/>
        <v>8313.6899999999459</v>
      </c>
      <c r="Y863" s="1">
        <f t="shared" si="27"/>
        <v>7204.2099999999582</v>
      </c>
    </row>
    <row r="864" spans="1:25" x14ac:dyDescent="0.3">
      <c r="A864" s="1" t="s">
        <v>1975</v>
      </c>
      <c r="B864">
        <v>1</v>
      </c>
      <c r="C864">
        <v>34.99</v>
      </c>
      <c r="D864">
        <v>34.99</v>
      </c>
      <c r="E864" s="1" t="s">
        <v>1509</v>
      </c>
      <c r="F864" s="1" t="s">
        <v>40</v>
      </c>
      <c r="G864">
        <v>8</v>
      </c>
      <c r="H864" s="1" t="s">
        <v>58</v>
      </c>
      <c r="I864" s="1" t="s">
        <v>85</v>
      </c>
      <c r="J864">
        <v>12.5</v>
      </c>
      <c r="K864">
        <v>34.99</v>
      </c>
      <c r="L864" s="1" t="s">
        <v>60</v>
      </c>
      <c r="M864" s="1" t="s">
        <v>29</v>
      </c>
      <c r="N864" s="1" t="s">
        <v>30</v>
      </c>
      <c r="O864" s="1" t="s">
        <v>31</v>
      </c>
      <c r="P864" s="2">
        <v>45778</v>
      </c>
      <c r="Q864" s="1" t="s">
        <v>793</v>
      </c>
      <c r="R864" s="1" t="s">
        <v>794</v>
      </c>
      <c r="S864" s="1" t="s">
        <v>34</v>
      </c>
      <c r="T864" s="1" t="s">
        <v>35</v>
      </c>
      <c r="U864" s="1" t="s">
        <v>82</v>
      </c>
      <c r="V864" s="1" t="s">
        <v>89</v>
      </c>
      <c r="W864">
        <v>2.4</v>
      </c>
      <c r="X864" s="1">
        <f t="shared" si="26"/>
        <v>8640.6199999999462</v>
      </c>
      <c r="Y864" s="1">
        <f t="shared" si="27"/>
        <v>7204.2099999999582</v>
      </c>
    </row>
    <row r="865" spans="1:25" x14ac:dyDescent="0.3">
      <c r="A865" s="1" t="s">
        <v>1976</v>
      </c>
      <c r="B865">
        <v>1</v>
      </c>
      <c r="C865">
        <v>34.99</v>
      </c>
      <c r="D865">
        <v>34.99</v>
      </c>
      <c r="E865" s="1" t="s">
        <v>1977</v>
      </c>
      <c r="F865" s="1" t="s">
        <v>40</v>
      </c>
      <c r="G865">
        <v>8</v>
      </c>
      <c r="H865" s="1" t="s">
        <v>96</v>
      </c>
      <c r="I865" s="1" t="s">
        <v>85</v>
      </c>
      <c r="J865">
        <v>12.5</v>
      </c>
      <c r="K865">
        <v>34.99</v>
      </c>
      <c r="L865" s="1" t="s">
        <v>60</v>
      </c>
      <c r="M865" s="1" t="s">
        <v>29</v>
      </c>
      <c r="N865" s="1" t="s">
        <v>30</v>
      </c>
      <c r="O865" s="1" t="s">
        <v>31</v>
      </c>
      <c r="P865" s="2">
        <v>45778</v>
      </c>
      <c r="Q865" s="1" t="s">
        <v>231</v>
      </c>
      <c r="R865" s="1" t="s">
        <v>1978</v>
      </c>
      <c r="S865" s="1" t="s">
        <v>65</v>
      </c>
      <c r="T865" s="1" t="s">
        <v>35</v>
      </c>
      <c r="U865" s="1" t="s">
        <v>66</v>
      </c>
      <c r="V865" s="1" t="s">
        <v>89</v>
      </c>
      <c r="W865">
        <v>2.4</v>
      </c>
      <c r="X865" s="1">
        <f t="shared" si="26"/>
        <v>7844.9099999999507</v>
      </c>
      <c r="Y865" s="1">
        <f t="shared" si="27"/>
        <v>6397.4799999999632</v>
      </c>
    </row>
    <row r="866" spans="1:25" x14ac:dyDescent="0.3">
      <c r="A866" s="1" t="s">
        <v>1979</v>
      </c>
      <c r="B866">
        <v>1</v>
      </c>
      <c r="C866">
        <v>16.989999999999998</v>
      </c>
      <c r="D866">
        <v>16.989999999999998</v>
      </c>
      <c r="E866" s="1" t="s">
        <v>881</v>
      </c>
      <c r="F866" s="1" t="s">
        <v>188</v>
      </c>
      <c r="G866">
        <v>0</v>
      </c>
      <c r="H866" s="1" t="s">
        <v>41</v>
      </c>
      <c r="I866" s="1" t="s">
        <v>59</v>
      </c>
      <c r="J866">
        <v>5</v>
      </c>
      <c r="K866">
        <v>16.989999999999998</v>
      </c>
      <c r="L866" s="1" t="s">
        <v>60</v>
      </c>
      <c r="M866" s="1" t="s">
        <v>61</v>
      </c>
      <c r="N866" s="1" t="s">
        <v>62</v>
      </c>
      <c r="O866" s="1" t="s">
        <v>31</v>
      </c>
      <c r="P866" s="2">
        <v>45726</v>
      </c>
      <c r="Q866" s="1" t="s">
        <v>1980</v>
      </c>
      <c r="R866" s="1" t="s">
        <v>1981</v>
      </c>
      <c r="S866" s="1" t="s">
        <v>34</v>
      </c>
      <c r="T866" s="1" t="s">
        <v>35</v>
      </c>
      <c r="U866" s="1" t="s">
        <v>66</v>
      </c>
      <c r="V866" s="1" t="s">
        <v>67</v>
      </c>
      <c r="W866">
        <v>3</v>
      </c>
      <c r="X866" s="1">
        <f t="shared" si="26"/>
        <v>8551.6499999999451</v>
      </c>
      <c r="Y866" s="1">
        <f t="shared" si="27"/>
        <v>6397.4799999999632</v>
      </c>
    </row>
    <row r="867" spans="1:25" x14ac:dyDescent="0.3">
      <c r="A867" s="1" t="s">
        <v>1982</v>
      </c>
      <c r="B867">
        <v>1</v>
      </c>
      <c r="C867">
        <v>18.989999999999998</v>
      </c>
      <c r="D867">
        <v>18.989999999999998</v>
      </c>
      <c r="E867" s="1" t="s">
        <v>1592</v>
      </c>
      <c r="F867" s="1" t="s">
        <v>70</v>
      </c>
      <c r="G867">
        <v>0</v>
      </c>
      <c r="H867" s="1" t="s">
        <v>41</v>
      </c>
      <c r="I867" s="1" t="s">
        <v>97</v>
      </c>
      <c r="J867">
        <v>6</v>
      </c>
      <c r="K867">
        <v>18.989999999999998</v>
      </c>
      <c r="L867" s="1" t="s">
        <v>60</v>
      </c>
      <c r="M867" s="1" t="s">
        <v>43</v>
      </c>
      <c r="N867" s="1" t="s">
        <v>44</v>
      </c>
      <c r="O867" s="1" t="s">
        <v>31</v>
      </c>
      <c r="P867" s="2">
        <v>45823</v>
      </c>
      <c r="Q867" s="1" t="s">
        <v>990</v>
      </c>
      <c r="R867" s="1" t="s">
        <v>1490</v>
      </c>
      <c r="S867" s="1" t="s">
        <v>88</v>
      </c>
      <c r="T867" s="1" t="s">
        <v>35</v>
      </c>
      <c r="U867" s="1" t="s">
        <v>82</v>
      </c>
      <c r="V867" s="1" t="s">
        <v>100</v>
      </c>
      <c r="W867">
        <v>3.2</v>
      </c>
      <c r="X867" s="1">
        <f t="shared" si="26"/>
        <v>8551.6499999999451</v>
      </c>
      <c r="Y867" s="1">
        <f t="shared" si="27"/>
        <v>7204.2099999999582</v>
      </c>
    </row>
    <row r="868" spans="1:25" x14ac:dyDescent="0.3">
      <c r="A868" s="1" t="s">
        <v>1983</v>
      </c>
      <c r="B868">
        <v>1</v>
      </c>
      <c r="C868">
        <v>18.989999999999998</v>
      </c>
      <c r="D868">
        <v>18.989999999999998</v>
      </c>
      <c r="E868" s="1" t="s">
        <v>1424</v>
      </c>
      <c r="F868" s="1" t="s">
        <v>40</v>
      </c>
      <c r="G868">
        <v>15</v>
      </c>
      <c r="H868" s="1" t="s">
        <v>41</v>
      </c>
      <c r="I868" s="1" t="s">
        <v>97</v>
      </c>
      <c r="J868">
        <v>6</v>
      </c>
      <c r="K868">
        <v>18.989999999999998</v>
      </c>
      <c r="L868" s="1" t="s">
        <v>60</v>
      </c>
      <c r="M868" s="1" t="s">
        <v>43</v>
      </c>
      <c r="N868" s="1" t="s">
        <v>44</v>
      </c>
      <c r="O868" s="1" t="s">
        <v>31</v>
      </c>
      <c r="P868" s="2">
        <v>45823</v>
      </c>
      <c r="Q868" s="1" t="s">
        <v>1984</v>
      </c>
      <c r="R868" s="1" t="s">
        <v>1985</v>
      </c>
      <c r="S868" s="1" t="s">
        <v>65</v>
      </c>
      <c r="T868" s="1" t="s">
        <v>35</v>
      </c>
      <c r="U868" s="1" t="s">
        <v>82</v>
      </c>
      <c r="V868" s="1" t="s">
        <v>100</v>
      </c>
      <c r="W868">
        <v>3.2</v>
      </c>
      <c r="X868" s="1">
        <f t="shared" si="26"/>
        <v>8551.6499999999451</v>
      </c>
      <c r="Y868" s="1">
        <f t="shared" si="27"/>
        <v>7204.2099999999582</v>
      </c>
    </row>
    <row r="869" spans="1:25" x14ac:dyDescent="0.3">
      <c r="A869" s="1" t="s">
        <v>1986</v>
      </c>
      <c r="B869">
        <v>3</v>
      </c>
      <c r="C869">
        <v>21.99</v>
      </c>
      <c r="D869">
        <v>53.16</v>
      </c>
      <c r="E869" s="1" t="s">
        <v>1115</v>
      </c>
      <c r="F869" s="1" t="s">
        <v>40</v>
      </c>
      <c r="G869">
        <v>6</v>
      </c>
      <c r="H869" s="1" t="s">
        <v>58</v>
      </c>
      <c r="I869" s="1" t="s">
        <v>27</v>
      </c>
      <c r="J869">
        <v>7</v>
      </c>
      <c r="K869">
        <v>21.99</v>
      </c>
      <c r="L869" s="1" t="s">
        <v>28</v>
      </c>
      <c r="M869" s="1" t="s">
        <v>29</v>
      </c>
      <c r="N869" s="1" t="s">
        <v>30</v>
      </c>
      <c r="O869" s="1" t="s">
        <v>31</v>
      </c>
      <c r="P869" s="2">
        <v>45778</v>
      </c>
      <c r="Q869" s="1" t="s">
        <v>1533</v>
      </c>
      <c r="R869" s="1" t="s">
        <v>1635</v>
      </c>
      <c r="S869" s="1" t="s">
        <v>105</v>
      </c>
      <c r="T869" s="1" t="s">
        <v>35</v>
      </c>
      <c r="U869" s="1" t="s">
        <v>36</v>
      </c>
      <c r="V869" s="1" t="s">
        <v>37</v>
      </c>
      <c r="W869">
        <v>2</v>
      </c>
      <c r="X869" s="1">
        <f t="shared" si="26"/>
        <v>8640.6199999999462</v>
      </c>
      <c r="Y869" s="1">
        <f t="shared" si="27"/>
        <v>6355.4899999999634</v>
      </c>
    </row>
    <row r="870" spans="1:25" x14ac:dyDescent="0.3">
      <c r="A870" s="1" t="s">
        <v>1987</v>
      </c>
      <c r="B870">
        <v>3</v>
      </c>
      <c r="C870">
        <v>18.989999999999998</v>
      </c>
      <c r="D870">
        <v>45.8</v>
      </c>
      <c r="E870" s="1" t="s">
        <v>185</v>
      </c>
      <c r="F870" s="1" t="s">
        <v>40</v>
      </c>
      <c r="G870">
        <v>20</v>
      </c>
      <c r="H870" s="1" t="s">
        <v>26</v>
      </c>
      <c r="I870" s="1" t="s">
        <v>97</v>
      </c>
      <c r="J870">
        <v>6</v>
      </c>
      <c r="K870">
        <v>18.989999999999998</v>
      </c>
      <c r="L870" s="1" t="s">
        <v>60</v>
      </c>
      <c r="M870" s="1" t="s">
        <v>43</v>
      </c>
      <c r="N870" s="1" t="s">
        <v>44</v>
      </c>
      <c r="O870" s="1" t="s">
        <v>31</v>
      </c>
      <c r="P870" s="2">
        <v>45823</v>
      </c>
      <c r="Q870" s="1" t="s">
        <v>1988</v>
      </c>
      <c r="R870" s="1" t="s">
        <v>1989</v>
      </c>
      <c r="S870" s="1" t="s">
        <v>105</v>
      </c>
      <c r="T870" s="1" t="s">
        <v>35</v>
      </c>
      <c r="U870" s="1" t="s">
        <v>55</v>
      </c>
      <c r="V870" s="1" t="s">
        <v>100</v>
      </c>
      <c r="W870">
        <v>3.2</v>
      </c>
      <c r="X870" s="1">
        <f t="shared" si="26"/>
        <v>8313.6899999999459</v>
      </c>
      <c r="Y870" s="1">
        <f t="shared" si="27"/>
        <v>5710.7699999999695</v>
      </c>
    </row>
    <row r="871" spans="1:25" x14ac:dyDescent="0.3">
      <c r="A871" s="1" t="s">
        <v>1990</v>
      </c>
      <c r="B871">
        <v>1</v>
      </c>
      <c r="C871">
        <v>18.989999999999998</v>
      </c>
      <c r="D871">
        <v>18.989999999999998</v>
      </c>
      <c r="E871" s="1" t="s">
        <v>325</v>
      </c>
      <c r="F871" s="1" t="s">
        <v>40</v>
      </c>
      <c r="G871">
        <v>15</v>
      </c>
      <c r="H871" s="1" t="s">
        <v>41</v>
      </c>
      <c r="I871" s="1" t="s">
        <v>97</v>
      </c>
      <c r="J871">
        <v>6</v>
      </c>
      <c r="K871">
        <v>18.989999999999998</v>
      </c>
      <c r="L871" s="1" t="s">
        <v>60</v>
      </c>
      <c r="M871" s="1" t="s">
        <v>43</v>
      </c>
      <c r="N871" s="1" t="s">
        <v>44</v>
      </c>
      <c r="O871" s="1" t="s">
        <v>31</v>
      </c>
      <c r="P871" s="2">
        <v>45823</v>
      </c>
      <c r="Q871" s="1" t="s">
        <v>1101</v>
      </c>
      <c r="R871" s="1" t="s">
        <v>1991</v>
      </c>
      <c r="S871" s="1" t="s">
        <v>411</v>
      </c>
      <c r="T871" s="1" t="s">
        <v>35</v>
      </c>
      <c r="U871" s="1" t="s">
        <v>82</v>
      </c>
      <c r="V871" s="1" t="s">
        <v>100</v>
      </c>
      <c r="W871">
        <v>3.2</v>
      </c>
      <c r="X871" s="1">
        <f t="shared" si="26"/>
        <v>8551.6499999999451</v>
      </c>
      <c r="Y871" s="1">
        <f t="shared" si="27"/>
        <v>7204.2099999999582</v>
      </c>
    </row>
    <row r="872" spans="1:25" x14ac:dyDescent="0.3">
      <c r="A872" s="1" t="s">
        <v>1992</v>
      </c>
      <c r="B872">
        <v>1</v>
      </c>
      <c r="C872">
        <v>16.989999999999998</v>
      </c>
      <c r="D872">
        <v>16.989999999999998</v>
      </c>
      <c r="E872" s="1" t="s">
        <v>1993</v>
      </c>
      <c r="F872" s="1" t="s">
        <v>25</v>
      </c>
      <c r="G872">
        <v>16</v>
      </c>
      <c r="H872" s="1" t="s">
        <v>58</v>
      </c>
      <c r="I872" s="1" t="s">
        <v>59</v>
      </c>
      <c r="J872">
        <v>5</v>
      </c>
      <c r="K872">
        <v>16.989999999999998</v>
      </c>
      <c r="L872" s="1" t="s">
        <v>60</v>
      </c>
      <c r="M872" s="1" t="s">
        <v>61</v>
      </c>
      <c r="N872" s="1" t="s">
        <v>62</v>
      </c>
      <c r="O872" s="1" t="s">
        <v>31</v>
      </c>
      <c r="P872" s="2">
        <v>45726</v>
      </c>
      <c r="Q872" s="1" t="s">
        <v>1994</v>
      </c>
      <c r="R872" s="1" t="s">
        <v>1995</v>
      </c>
      <c r="S872" s="1" t="s">
        <v>88</v>
      </c>
      <c r="T872" s="1" t="s">
        <v>35</v>
      </c>
      <c r="U872" s="1" t="s">
        <v>48</v>
      </c>
      <c r="V872" s="1" t="s">
        <v>67</v>
      </c>
      <c r="W872">
        <v>3</v>
      </c>
      <c r="X872" s="1">
        <f t="shared" si="26"/>
        <v>8640.6199999999462</v>
      </c>
      <c r="Y872" s="1">
        <f t="shared" si="27"/>
        <v>7682.919999999951</v>
      </c>
    </row>
    <row r="873" spans="1:25" x14ac:dyDescent="0.3">
      <c r="A873" s="1" t="s">
        <v>1996</v>
      </c>
      <c r="B873">
        <v>1</v>
      </c>
      <c r="C873">
        <v>18.989999999999998</v>
      </c>
      <c r="D873">
        <v>18.989999999999998</v>
      </c>
      <c r="E873" s="1" t="s">
        <v>224</v>
      </c>
      <c r="F873" s="1" t="s">
        <v>70</v>
      </c>
      <c r="G873">
        <v>0</v>
      </c>
      <c r="H873" s="1" t="s">
        <v>58</v>
      </c>
      <c r="I873" s="1" t="s">
        <v>97</v>
      </c>
      <c r="J873">
        <v>6</v>
      </c>
      <c r="K873">
        <v>18.989999999999998</v>
      </c>
      <c r="L873" s="1" t="s">
        <v>60</v>
      </c>
      <c r="M873" s="1" t="s">
        <v>43</v>
      </c>
      <c r="N873" s="1" t="s">
        <v>44</v>
      </c>
      <c r="O873" s="1" t="s">
        <v>31</v>
      </c>
      <c r="P873" s="2">
        <v>45823</v>
      </c>
      <c r="Q873" s="1" t="s">
        <v>951</v>
      </c>
      <c r="R873" s="1" t="s">
        <v>952</v>
      </c>
      <c r="S873" s="1" t="s">
        <v>65</v>
      </c>
      <c r="T873" s="1" t="s">
        <v>35</v>
      </c>
      <c r="U873" s="1" t="s">
        <v>48</v>
      </c>
      <c r="V873" s="1" t="s">
        <v>100</v>
      </c>
      <c r="W873">
        <v>3.2</v>
      </c>
      <c r="X873" s="1">
        <f t="shared" si="26"/>
        <v>8640.6199999999462</v>
      </c>
      <c r="Y873" s="1">
        <f t="shared" si="27"/>
        <v>7682.919999999951</v>
      </c>
    </row>
    <row r="874" spans="1:25" x14ac:dyDescent="0.3">
      <c r="A874" s="1" t="s">
        <v>1997</v>
      </c>
      <c r="B874">
        <v>1</v>
      </c>
      <c r="C874">
        <v>34.99</v>
      </c>
      <c r="D874">
        <v>34.99</v>
      </c>
      <c r="E874" s="1" t="s">
        <v>1998</v>
      </c>
      <c r="F874" s="1" t="s">
        <v>40</v>
      </c>
      <c r="G874">
        <v>8</v>
      </c>
      <c r="H874" s="1" t="s">
        <v>41</v>
      </c>
      <c r="I874" s="1" t="s">
        <v>85</v>
      </c>
      <c r="J874">
        <v>12.5</v>
      </c>
      <c r="K874">
        <v>34.99</v>
      </c>
      <c r="L874" s="1" t="s">
        <v>60</v>
      </c>
      <c r="M874" s="1" t="s">
        <v>29</v>
      </c>
      <c r="N874" s="1" t="s">
        <v>30</v>
      </c>
      <c r="O874" s="1" t="s">
        <v>31</v>
      </c>
      <c r="P874" s="2">
        <v>45778</v>
      </c>
      <c r="Q874" s="1" t="s">
        <v>1112</v>
      </c>
      <c r="R874" s="1" t="s">
        <v>1113</v>
      </c>
      <c r="S874" s="1" t="s">
        <v>105</v>
      </c>
      <c r="T874" s="1" t="s">
        <v>35</v>
      </c>
      <c r="U874" s="1" t="s">
        <v>66</v>
      </c>
      <c r="V874" s="1" t="s">
        <v>89</v>
      </c>
      <c r="W874">
        <v>2.4</v>
      </c>
      <c r="X874" s="1">
        <f t="shared" si="26"/>
        <v>8551.6499999999451</v>
      </c>
      <c r="Y874" s="1">
        <f t="shared" si="27"/>
        <v>6397.4799999999632</v>
      </c>
    </row>
    <row r="875" spans="1:25" x14ac:dyDescent="0.3">
      <c r="A875" s="1" t="s">
        <v>1999</v>
      </c>
      <c r="B875">
        <v>1</v>
      </c>
      <c r="C875">
        <v>30.99</v>
      </c>
      <c r="D875">
        <v>30.99</v>
      </c>
      <c r="E875" s="1" t="s">
        <v>228</v>
      </c>
      <c r="F875" s="1" t="s">
        <v>51</v>
      </c>
      <c r="G875">
        <v>0</v>
      </c>
      <c r="H875" s="1" t="s">
        <v>26</v>
      </c>
      <c r="I875" s="1" t="s">
        <v>42</v>
      </c>
      <c r="J875">
        <v>10.5</v>
      </c>
      <c r="K875">
        <v>30.99</v>
      </c>
      <c r="L875" s="1" t="s">
        <v>28</v>
      </c>
      <c r="M875" s="1" t="s">
        <v>43</v>
      </c>
      <c r="N875" s="1" t="s">
        <v>44</v>
      </c>
      <c r="O875" s="1" t="s">
        <v>31</v>
      </c>
      <c r="P875" s="2">
        <v>45823</v>
      </c>
      <c r="Q875" s="1" t="s">
        <v>2000</v>
      </c>
      <c r="R875" s="1" t="s">
        <v>2001</v>
      </c>
      <c r="S875" s="1" t="s">
        <v>54</v>
      </c>
      <c r="T875" s="1" t="s">
        <v>35</v>
      </c>
      <c r="U875" s="1" t="s">
        <v>55</v>
      </c>
      <c r="V875" s="1" t="s">
        <v>37</v>
      </c>
      <c r="W875">
        <v>2</v>
      </c>
      <c r="X875" s="1">
        <f t="shared" si="26"/>
        <v>8313.6899999999459</v>
      </c>
      <c r="Y875" s="1">
        <f t="shared" si="27"/>
        <v>5710.7699999999695</v>
      </c>
    </row>
    <row r="876" spans="1:25" x14ac:dyDescent="0.3">
      <c r="A876" s="1" t="s">
        <v>2002</v>
      </c>
      <c r="B876">
        <v>1</v>
      </c>
      <c r="C876">
        <v>16.989999999999998</v>
      </c>
      <c r="D876">
        <v>16.989999999999998</v>
      </c>
      <c r="E876" s="1" t="s">
        <v>908</v>
      </c>
      <c r="F876" s="1" t="s">
        <v>40</v>
      </c>
      <c r="G876">
        <v>17</v>
      </c>
      <c r="H876" s="1" t="s">
        <v>26</v>
      </c>
      <c r="I876" s="1" t="s">
        <v>59</v>
      </c>
      <c r="J876">
        <v>5</v>
      </c>
      <c r="K876">
        <v>16.989999999999998</v>
      </c>
      <c r="L876" s="1" t="s">
        <v>60</v>
      </c>
      <c r="M876" s="1" t="s">
        <v>61</v>
      </c>
      <c r="N876" s="1" t="s">
        <v>62</v>
      </c>
      <c r="O876" s="1" t="s">
        <v>31</v>
      </c>
      <c r="P876" s="2">
        <v>45726</v>
      </c>
      <c r="Q876" s="1" t="s">
        <v>290</v>
      </c>
      <c r="R876" s="1" t="s">
        <v>1123</v>
      </c>
      <c r="S876" s="1" t="s">
        <v>34</v>
      </c>
      <c r="T876" s="1" t="s">
        <v>35</v>
      </c>
      <c r="U876" s="1" t="s">
        <v>55</v>
      </c>
      <c r="V876" s="1" t="s">
        <v>67</v>
      </c>
      <c r="W876">
        <v>3</v>
      </c>
      <c r="X876" s="1">
        <f t="shared" si="26"/>
        <v>8313.6899999999459</v>
      </c>
      <c r="Y876" s="1">
        <f t="shared" si="27"/>
        <v>5710.7699999999695</v>
      </c>
    </row>
    <row r="877" spans="1:25" x14ac:dyDescent="0.3">
      <c r="A877" s="1" t="s">
        <v>2003</v>
      </c>
      <c r="B877">
        <v>2</v>
      </c>
      <c r="C877">
        <v>16.989999999999998</v>
      </c>
      <c r="D877">
        <v>29.71</v>
      </c>
      <c r="E877" s="1" t="s">
        <v>933</v>
      </c>
      <c r="F877" s="1" t="s">
        <v>40</v>
      </c>
      <c r="G877">
        <v>17</v>
      </c>
      <c r="H877" s="1" t="s">
        <v>41</v>
      </c>
      <c r="I877" s="1" t="s">
        <v>59</v>
      </c>
      <c r="J877">
        <v>5</v>
      </c>
      <c r="K877">
        <v>16.989999999999998</v>
      </c>
      <c r="L877" s="1" t="s">
        <v>60</v>
      </c>
      <c r="M877" s="1" t="s">
        <v>61</v>
      </c>
      <c r="N877" s="1" t="s">
        <v>62</v>
      </c>
      <c r="O877" s="1" t="s">
        <v>31</v>
      </c>
      <c r="P877" s="2">
        <v>45726</v>
      </c>
      <c r="Q877" s="1" t="s">
        <v>947</v>
      </c>
      <c r="R877" s="1" t="s">
        <v>948</v>
      </c>
      <c r="S877" s="1" t="s">
        <v>65</v>
      </c>
      <c r="T877" s="1" t="s">
        <v>35</v>
      </c>
      <c r="U877" s="1" t="s">
        <v>82</v>
      </c>
      <c r="V877" s="1" t="s">
        <v>67</v>
      </c>
      <c r="W877">
        <v>3</v>
      </c>
      <c r="X877" s="1">
        <f t="shared" si="26"/>
        <v>8551.6499999999451</v>
      </c>
      <c r="Y877" s="1">
        <f t="shared" si="27"/>
        <v>7204.2099999999582</v>
      </c>
    </row>
    <row r="878" spans="1:25" x14ac:dyDescent="0.3">
      <c r="A878" s="1" t="s">
        <v>2004</v>
      </c>
      <c r="B878">
        <v>1</v>
      </c>
      <c r="C878">
        <v>30.99</v>
      </c>
      <c r="D878">
        <v>30.99</v>
      </c>
      <c r="E878" s="1" t="s">
        <v>224</v>
      </c>
      <c r="F878" s="1" t="s">
        <v>51</v>
      </c>
      <c r="G878">
        <v>0</v>
      </c>
      <c r="H878" s="1" t="s">
        <v>96</v>
      </c>
      <c r="I878" s="1" t="s">
        <v>42</v>
      </c>
      <c r="J878">
        <v>10.5</v>
      </c>
      <c r="K878">
        <v>30.99</v>
      </c>
      <c r="L878" s="1" t="s">
        <v>28</v>
      </c>
      <c r="M878" s="1" t="s">
        <v>43</v>
      </c>
      <c r="N878" s="1" t="s">
        <v>44</v>
      </c>
      <c r="O878" s="1" t="s">
        <v>31</v>
      </c>
      <c r="P878" s="2">
        <v>45823</v>
      </c>
      <c r="Q878" s="1" t="s">
        <v>2005</v>
      </c>
      <c r="R878" s="1" t="s">
        <v>2006</v>
      </c>
      <c r="S878" s="1" t="s">
        <v>88</v>
      </c>
      <c r="T878" s="1" t="s">
        <v>35</v>
      </c>
      <c r="U878" s="1" t="s">
        <v>82</v>
      </c>
      <c r="V878" s="1" t="s">
        <v>37</v>
      </c>
      <c r="W878">
        <v>2</v>
      </c>
      <c r="X878" s="1">
        <f t="shared" si="26"/>
        <v>7844.9099999999507</v>
      </c>
      <c r="Y878" s="1">
        <f t="shared" si="27"/>
        <v>7204.2099999999582</v>
      </c>
    </row>
    <row r="879" spans="1:25" x14ac:dyDescent="0.3">
      <c r="A879" s="1" t="s">
        <v>2007</v>
      </c>
      <c r="B879">
        <v>1</v>
      </c>
      <c r="C879">
        <v>30.99</v>
      </c>
      <c r="D879">
        <v>30.99</v>
      </c>
      <c r="E879" s="1" t="s">
        <v>807</v>
      </c>
      <c r="F879" s="1" t="s">
        <v>40</v>
      </c>
      <c r="G879">
        <v>2</v>
      </c>
      <c r="H879" s="1" t="s">
        <v>96</v>
      </c>
      <c r="I879" s="1" t="s">
        <v>42</v>
      </c>
      <c r="J879">
        <v>10.5</v>
      </c>
      <c r="K879">
        <v>30.99</v>
      </c>
      <c r="L879" s="1" t="s">
        <v>28</v>
      </c>
      <c r="M879" s="1" t="s">
        <v>43</v>
      </c>
      <c r="N879" s="1" t="s">
        <v>44</v>
      </c>
      <c r="O879" s="1" t="s">
        <v>31</v>
      </c>
      <c r="P879" s="2">
        <v>45823</v>
      </c>
      <c r="Q879" s="1" t="s">
        <v>975</v>
      </c>
      <c r="R879" s="1" t="s">
        <v>1518</v>
      </c>
      <c r="S879" s="1" t="s">
        <v>105</v>
      </c>
      <c r="T879" s="1" t="s">
        <v>35</v>
      </c>
      <c r="U879" s="1" t="s">
        <v>48</v>
      </c>
      <c r="V879" s="1" t="s">
        <v>37</v>
      </c>
      <c r="W879">
        <v>2</v>
      </c>
      <c r="X879" s="1">
        <f t="shared" si="26"/>
        <v>7844.9099999999507</v>
      </c>
      <c r="Y879" s="1">
        <f t="shared" si="27"/>
        <v>7682.919999999951</v>
      </c>
    </row>
    <row r="880" spans="1:25" x14ac:dyDescent="0.3">
      <c r="A880" s="1" t="s">
        <v>2008</v>
      </c>
      <c r="B880">
        <v>1</v>
      </c>
      <c r="C880">
        <v>21.99</v>
      </c>
      <c r="D880">
        <v>21.99</v>
      </c>
      <c r="E880" s="1" t="s">
        <v>1570</v>
      </c>
      <c r="F880" s="1" t="s">
        <v>40</v>
      </c>
      <c r="G880">
        <v>3</v>
      </c>
      <c r="H880" s="1" t="s">
        <v>26</v>
      </c>
      <c r="I880" s="1" t="s">
        <v>27</v>
      </c>
      <c r="J880">
        <v>7</v>
      </c>
      <c r="K880">
        <v>21.99</v>
      </c>
      <c r="L880" s="1" t="s">
        <v>28</v>
      </c>
      <c r="M880" s="1" t="s">
        <v>29</v>
      </c>
      <c r="N880" s="1" t="s">
        <v>30</v>
      </c>
      <c r="O880" s="1" t="s">
        <v>31</v>
      </c>
      <c r="P880" s="2">
        <v>45778</v>
      </c>
      <c r="Q880" s="1" t="s">
        <v>1878</v>
      </c>
      <c r="R880" s="1" t="s">
        <v>1879</v>
      </c>
      <c r="S880" s="1" t="s">
        <v>54</v>
      </c>
      <c r="T880" s="1" t="s">
        <v>35</v>
      </c>
      <c r="U880" s="1" t="s">
        <v>66</v>
      </c>
      <c r="V880" s="1" t="s">
        <v>37</v>
      </c>
      <c r="W880">
        <v>2</v>
      </c>
      <c r="X880" s="1">
        <f t="shared" si="26"/>
        <v>8313.6899999999459</v>
      </c>
      <c r="Y880" s="1">
        <f t="shared" si="27"/>
        <v>6397.4799999999632</v>
      </c>
    </row>
    <row r="881" spans="1:25" x14ac:dyDescent="0.3">
      <c r="A881" s="1" t="s">
        <v>2009</v>
      </c>
      <c r="B881">
        <v>1</v>
      </c>
      <c r="C881">
        <v>30.99</v>
      </c>
      <c r="D881">
        <v>30.99</v>
      </c>
      <c r="E881" s="1" t="s">
        <v>1291</v>
      </c>
      <c r="F881" s="1" t="s">
        <v>40</v>
      </c>
      <c r="G881">
        <v>2</v>
      </c>
      <c r="H881" s="1" t="s">
        <v>41</v>
      </c>
      <c r="I881" s="1" t="s">
        <v>42</v>
      </c>
      <c r="J881">
        <v>10.5</v>
      </c>
      <c r="K881">
        <v>30.99</v>
      </c>
      <c r="L881" s="1" t="s">
        <v>28</v>
      </c>
      <c r="M881" s="1" t="s">
        <v>43</v>
      </c>
      <c r="N881" s="1" t="s">
        <v>44</v>
      </c>
      <c r="O881" s="1" t="s">
        <v>31</v>
      </c>
      <c r="P881" s="2">
        <v>45823</v>
      </c>
      <c r="Q881" s="1" t="s">
        <v>814</v>
      </c>
      <c r="R881" s="1" t="s">
        <v>1041</v>
      </c>
      <c r="S881" s="1" t="s">
        <v>54</v>
      </c>
      <c r="T881" s="1" t="s">
        <v>35</v>
      </c>
      <c r="U881" s="1" t="s">
        <v>36</v>
      </c>
      <c r="V881" s="1" t="s">
        <v>37</v>
      </c>
      <c r="W881">
        <v>2</v>
      </c>
      <c r="X881" s="1">
        <f t="shared" si="26"/>
        <v>8551.6499999999451</v>
      </c>
      <c r="Y881" s="1">
        <f t="shared" si="27"/>
        <v>6355.4899999999634</v>
      </c>
    </row>
    <row r="882" spans="1:25" x14ac:dyDescent="0.3">
      <c r="A882" s="1" t="s">
        <v>2010</v>
      </c>
      <c r="B882">
        <v>1</v>
      </c>
      <c r="C882">
        <v>21.99</v>
      </c>
      <c r="D882">
        <v>21.99</v>
      </c>
      <c r="E882" s="1" t="s">
        <v>719</v>
      </c>
      <c r="F882" s="1" t="s">
        <v>40</v>
      </c>
      <c r="G882">
        <v>3</v>
      </c>
      <c r="H882" s="1" t="s">
        <v>58</v>
      </c>
      <c r="I882" s="1" t="s">
        <v>27</v>
      </c>
      <c r="J882">
        <v>7</v>
      </c>
      <c r="K882">
        <v>21.99</v>
      </c>
      <c r="L882" s="1" t="s">
        <v>28</v>
      </c>
      <c r="M882" s="1" t="s">
        <v>29</v>
      </c>
      <c r="N882" s="1" t="s">
        <v>30</v>
      </c>
      <c r="O882" s="1" t="s">
        <v>31</v>
      </c>
      <c r="P882" s="2">
        <v>45778</v>
      </c>
      <c r="Q882" s="1" t="s">
        <v>544</v>
      </c>
      <c r="R882" s="1" t="s">
        <v>1923</v>
      </c>
      <c r="S882" s="1" t="s">
        <v>105</v>
      </c>
      <c r="T882" s="1" t="s">
        <v>35</v>
      </c>
      <c r="U882" s="1" t="s">
        <v>36</v>
      </c>
      <c r="V882" s="1" t="s">
        <v>37</v>
      </c>
      <c r="W882">
        <v>2</v>
      </c>
      <c r="X882" s="1">
        <f t="shared" si="26"/>
        <v>8640.6199999999462</v>
      </c>
      <c r="Y882" s="1">
        <f t="shared" si="27"/>
        <v>6355.4899999999634</v>
      </c>
    </row>
    <row r="883" spans="1:25" x14ac:dyDescent="0.3">
      <c r="A883" s="1" t="s">
        <v>2011</v>
      </c>
      <c r="B883">
        <v>1</v>
      </c>
      <c r="C883">
        <v>34.99</v>
      </c>
      <c r="D883">
        <v>34.99</v>
      </c>
      <c r="E883" s="1" t="s">
        <v>796</v>
      </c>
      <c r="F883" s="1" t="s">
        <v>25</v>
      </c>
      <c r="G883">
        <v>5</v>
      </c>
      <c r="H883" s="1" t="s">
        <v>41</v>
      </c>
      <c r="I883" s="1" t="s">
        <v>85</v>
      </c>
      <c r="J883">
        <v>12.5</v>
      </c>
      <c r="K883">
        <v>34.99</v>
      </c>
      <c r="L883" s="1" t="s">
        <v>60</v>
      </c>
      <c r="M883" s="1" t="s">
        <v>29</v>
      </c>
      <c r="N883" s="1" t="s">
        <v>30</v>
      </c>
      <c r="O883" s="1" t="s">
        <v>31</v>
      </c>
      <c r="P883" s="2">
        <v>45778</v>
      </c>
      <c r="Q883" s="1" t="s">
        <v>1494</v>
      </c>
      <c r="R883" s="1" t="s">
        <v>2012</v>
      </c>
      <c r="S883" s="1" t="s">
        <v>88</v>
      </c>
      <c r="T883" s="1" t="s">
        <v>35</v>
      </c>
      <c r="U883" s="1" t="s">
        <v>66</v>
      </c>
      <c r="V883" s="1" t="s">
        <v>89</v>
      </c>
      <c r="W883">
        <v>2.4</v>
      </c>
      <c r="X883" s="1">
        <f t="shared" si="26"/>
        <v>8551.6499999999451</v>
      </c>
      <c r="Y883" s="1">
        <f t="shared" si="27"/>
        <v>6397.4799999999632</v>
      </c>
    </row>
    <row r="884" spans="1:25" x14ac:dyDescent="0.3">
      <c r="A884" s="1" t="s">
        <v>2013</v>
      </c>
      <c r="B884">
        <v>1</v>
      </c>
      <c r="C884">
        <v>21.99</v>
      </c>
      <c r="D884">
        <v>21.99</v>
      </c>
      <c r="E884" s="1" t="s">
        <v>908</v>
      </c>
      <c r="F884" s="1" t="s">
        <v>51</v>
      </c>
      <c r="G884">
        <v>0</v>
      </c>
      <c r="H884" s="1" t="s">
        <v>26</v>
      </c>
      <c r="I884" s="1" t="s">
        <v>27</v>
      </c>
      <c r="J884">
        <v>7</v>
      </c>
      <c r="K884">
        <v>21.99</v>
      </c>
      <c r="L884" s="1" t="s">
        <v>28</v>
      </c>
      <c r="M884" s="1" t="s">
        <v>29</v>
      </c>
      <c r="N884" s="1" t="s">
        <v>30</v>
      </c>
      <c r="O884" s="1" t="s">
        <v>31</v>
      </c>
      <c r="P884" s="2">
        <v>45778</v>
      </c>
      <c r="Q884" s="1" t="s">
        <v>1286</v>
      </c>
      <c r="R884" s="1" t="s">
        <v>1861</v>
      </c>
      <c r="S884" s="1" t="s">
        <v>88</v>
      </c>
      <c r="T884" s="1" t="s">
        <v>35</v>
      </c>
      <c r="U884" s="1" t="s">
        <v>48</v>
      </c>
      <c r="V884" s="1" t="s">
        <v>37</v>
      </c>
      <c r="W884">
        <v>2</v>
      </c>
      <c r="X884" s="1">
        <f t="shared" si="26"/>
        <v>8313.6899999999459</v>
      </c>
      <c r="Y884" s="1">
        <f t="shared" si="27"/>
        <v>7682.919999999951</v>
      </c>
    </row>
    <row r="885" spans="1:25" x14ac:dyDescent="0.3">
      <c r="A885" s="1" t="s">
        <v>2014</v>
      </c>
      <c r="B885">
        <v>1</v>
      </c>
      <c r="C885">
        <v>34.99</v>
      </c>
      <c r="D885">
        <v>34.99</v>
      </c>
      <c r="E885" s="1" t="s">
        <v>881</v>
      </c>
      <c r="F885" s="1" t="s">
        <v>40</v>
      </c>
      <c r="G885">
        <v>8</v>
      </c>
      <c r="H885" s="1" t="s">
        <v>26</v>
      </c>
      <c r="I885" s="1" t="s">
        <v>85</v>
      </c>
      <c r="J885">
        <v>12.5</v>
      </c>
      <c r="K885">
        <v>34.99</v>
      </c>
      <c r="L885" s="1" t="s">
        <v>60</v>
      </c>
      <c r="M885" s="1" t="s">
        <v>29</v>
      </c>
      <c r="N885" s="1" t="s">
        <v>30</v>
      </c>
      <c r="O885" s="1" t="s">
        <v>31</v>
      </c>
      <c r="P885" s="2">
        <v>45778</v>
      </c>
      <c r="Q885" s="1" t="s">
        <v>2015</v>
      </c>
      <c r="R885" s="1" t="s">
        <v>2016</v>
      </c>
      <c r="S885" s="1" t="s">
        <v>65</v>
      </c>
      <c r="T885" s="1" t="s">
        <v>35</v>
      </c>
      <c r="U885" s="1" t="s">
        <v>48</v>
      </c>
      <c r="V885" s="1" t="s">
        <v>89</v>
      </c>
      <c r="W885">
        <v>2.4</v>
      </c>
      <c r="X885" s="1">
        <f t="shared" si="26"/>
        <v>8313.6899999999459</v>
      </c>
      <c r="Y885" s="1">
        <f t="shared" si="27"/>
        <v>7682.919999999951</v>
      </c>
    </row>
    <row r="886" spans="1:25" x14ac:dyDescent="0.3">
      <c r="A886" s="1" t="s">
        <v>2017</v>
      </c>
      <c r="B886">
        <v>2</v>
      </c>
      <c r="C886">
        <v>34.99</v>
      </c>
      <c r="D886">
        <v>61.09</v>
      </c>
      <c r="E886" s="1" t="s">
        <v>2018</v>
      </c>
      <c r="F886" s="1" t="s">
        <v>40</v>
      </c>
      <c r="G886">
        <v>8</v>
      </c>
      <c r="H886" s="1" t="s">
        <v>58</v>
      </c>
      <c r="I886" s="1" t="s">
        <v>85</v>
      </c>
      <c r="J886">
        <v>12.5</v>
      </c>
      <c r="K886">
        <v>34.99</v>
      </c>
      <c r="L886" s="1" t="s">
        <v>60</v>
      </c>
      <c r="M886" s="1" t="s">
        <v>29</v>
      </c>
      <c r="N886" s="1" t="s">
        <v>30</v>
      </c>
      <c r="O886" s="1" t="s">
        <v>31</v>
      </c>
      <c r="P886" s="2">
        <v>45778</v>
      </c>
      <c r="Q886" s="1" t="s">
        <v>654</v>
      </c>
      <c r="R886" s="1" t="s">
        <v>983</v>
      </c>
      <c r="S886" s="1" t="s">
        <v>88</v>
      </c>
      <c r="T886" s="1" t="s">
        <v>35</v>
      </c>
      <c r="U886" s="1" t="s">
        <v>48</v>
      </c>
      <c r="V886" s="1" t="s">
        <v>89</v>
      </c>
      <c r="W886">
        <v>2.4</v>
      </c>
      <c r="X886" s="1">
        <f t="shared" si="26"/>
        <v>8640.6199999999462</v>
      </c>
      <c r="Y886" s="1">
        <f t="shared" si="27"/>
        <v>7682.919999999951</v>
      </c>
    </row>
    <row r="887" spans="1:25" x14ac:dyDescent="0.3">
      <c r="A887" s="1" t="s">
        <v>2019</v>
      </c>
      <c r="B887">
        <v>1</v>
      </c>
      <c r="C887">
        <v>21.99</v>
      </c>
      <c r="D887">
        <v>21.99</v>
      </c>
      <c r="E887" s="1" t="s">
        <v>187</v>
      </c>
      <c r="F887" s="1" t="s">
        <v>40</v>
      </c>
      <c r="G887">
        <v>3</v>
      </c>
      <c r="H887" s="1" t="s">
        <v>96</v>
      </c>
      <c r="I887" s="1" t="s">
        <v>27</v>
      </c>
      <c r="J887">
        <v>7</v>
      </c>
      <c r="K887">
        <v>21.99</v>
      </c>
      <c r="L887" s="1" t="s">
        <v>28</v>
      </c>
      <c r="M887" s="1" t="s">
        <v>29</v>
      </c>
      <c r="N887" s="1" t="s">
        <v>30</v>
      </c>
      <c r="O887" s="1" t="s">
        <v>31</v>
      </c>
      <c r="P887" s="2">
        <v>45778</v>
      </c>
      <c r="Q887" s="1" t="s">
        <v>793</v>
      </c>
      <c r="R887" s="1" t="s">
        <v>794</v>
      </c>
      <c r="S887" s="1" t="s">
        <v>34</v>
      </c>
      <c r="T887" s="1" t="s">
        <v>35</v>
      </c>
      <c r="U887" s="1" t="s">
        <v>82</v>
      </c>
      <c r="V887" s="1" t="s">
        <v>37</v>
      </c>
      <c r="W887">
        <v>2</v>
      </c>
      <c r="X887" s="1">
        <f t="shared" si="26"/>
        <v>7844.9099999999507</v>
      </c>
      <c r="Y887" s="1">
        <f t="shared" si="27"/>
        <v>7204.2099999999582</v>
      </c>
    </row>
    <row r="888" spans="1:25" x14ac:dyDescent="0.3">
      <c r="A888" s="1" t="s">
        <v>2020</v>
      </c>
      <c r="B888">
        <v>2</v>
      </c>
      <c r="C888">
        <v>16.989999999999998</v>
      </c>
      <c r="D888">
        <v>29.26</v>
      </c>
      <c r="E888" s="1" t="s">
        <v>1832</v>
      </c>
      <c r="F888" s="1" t="s">
        <v>40</v>
      </c>
      <c r="G888">
        <v>19</v>
      </c>
      <c r="H888" s="1" t="s">
        <v>96</v>
      </c>
      <c r="I888" s="1" t="s">
        <v>59</v>
      </c>
      <c r="J888">
        <v>5</v>
      </c>
      <c r="K888">
        <v>16.989999999999998</v>
      </c>
      <c r="L888" s="1" t="s">
        <v>60</v>
      </c>
      <c r="M888" s="1" t="s">
        <v>61</v>
      </c>
      <c r="N888" s="1" t="s">
        <v>62</v>
      </c>
      <c r="O888" s="1" t="s">
        <v>31</v>
      </c>
      <c r="P888" s="2">
        <v>45726</v>
      </c>
      <c r="Q888" s="1" t="s">
        <v>1012</v>
      </c>
      <c r="R888" s="1" t="s">
        <v>1013</v>
      </c>
      <c r="S888" s="1" t="s">
        <v>65</v>
      </c>
      <c r="T888" s="1" t="s">
        <v>35</v>
      </c>
      <c r="U888" s="1" t="s">
        <v>36</v>
      </c>
      <c r="V888" s="1" t="s">
        <v>67</v>
      </c>
      <c r="W888">
        <v>3</v>
      </c>
      <c r="X888" s="1">
        <f t="shared" si="26"/>
        <v>7844.9099999999507</v>
      </c>
      <c r="Y888" s="1">
        <f t="shared" si="27"/>
        <v>6355.4899999999634</v>
      </c>
    </row>
    <row r="889" spans="1:25" x14ac:dyDescent="0.3">
      <c r="A889" s="1" t="s">
        <v>2021</v>
      </c>
      <c r="B889">
        <v>1</v>
      </c>
      <c r="C889">
        <v>27.99</v>
      </c>
      <c r="D889">
        <v>27.99</v>
      </c>
      <c r="E889" s="1" t="s">
        <v>856</v>
      </c>
      <c r="F889" s="1" t="s">
        <v>40</v>
      </c>
      <c r="G889">
        <v>2</v>
      </c>
      <c r="H889" s="1" t="s">
        <v>58</v>
      </c>
      <c r="I889" s="1" t="s">
        <v>75</v>
      </c>
      <c r="J889">
        <v>9</v>
      </c>
      <c r="K889">
        <v>27.99</v>
      </c>
      <c r="L889" s="1" t="s">
        <v>28</v>
      </c>
      <c r="M889" s="1" t="s">
        <v>61</v>
      </c>
      <c r="N889" s="1" t="s">
        <v>62</v>
      </c>
      <c r="O889" s="1" t="s">
        <v>31</v>
      </c>
      <c r="P889" s="2">
        <v>45726</v>
      </c>
      <c r="Q889" s="1" t="s">
        <v>1157</v>
      </c>
      <c r="R889" s="1" t="s">
        <v>2022</v>
      </c>
      <c r="S889" s="1" t="s">
        <v>34</v>
      </c>
      <c r="T889" s="1" t="s">
        <v>35</v>
      </c>
      <c r="U889" s="1" t="s">
        <v>82</v>
      </c>
      <c r="V889" s="1" t="s">
        <v>37</v>
      </c>
      <c r="W889">
        <v>2</v>
      </c>
      <c r="X889" s="1">
        <f t="shared" si="26"/>
        <v>8640.6199999999462</v>
      </c>
      <c r="Y889" s="1">
        <f t="shared" si="27"/>
        <v>7204.2099999999582</v>
      </c>
    </row>
    <row r="890" spans="1:25" x14ac:dyDescent="0.3">
      <c r="A890" s="1" t="s">
        <v>2023</v>
      </c>
      <c r="B890">
        <v>1</v>
      </c>
      <c r="C890">
        <v>30.99</v>
      </c>
      <c r="D890">
        <v>30.99</v>
      </c>
      <c r="E890" s="1" t="s">
        <v>228</v>
      </c>
      <c r="F890" s="1" t="s">
        <v>40</v>
      </c>
      <c r="G890">
        <v>2</v>
      </c>
      <c r="H890" s="1" t="s">
        <v>41</v>
      </c>
      <c r="I890" s="1" t="s">
        <v>42</v>
      </c>
      <c r="J890">
        <v>10.5</v>
      </c>
      <c r="K890">
        <v>30.99</v>
      </c>
      <c r="L890" s="1" t="s">
        <v>28</v>
      </c>
      <c r="M890" s="1" t="s">
        <v>43</v>
      </c>
      <c r="N890" s="1" t="s">
        <v>44</v>
      </c>
      <c r="O890" s="1" t="s">
        <v>31</v>
      </c>
      <c r="P890" s="2">
        <v>45823</v>
      </c>
      <c r="Q890" s="1" t="s">
        <v>2000</v>
      </c>
      <c r="R890" s="1" t="s">
        <v>2001</v>
      </c>
      <c r="S890" s="1" t="s">
        <v>54</v>
      </c>
      <c r="T890" s="1" t="s">
        <v>35</v>
      </c>
      <c r="U890" s="1" t="s">
        <v>55</v>
      </c>
      <c r="V890" s="1" t="s">
        <v>37</v>
      </c>
      <c r="W890">
        <v>2</v>
      </c>
      <c r="X890" s="1">
        <f t="shared" si="26"/>
        <v>8551.6499999999451</v>
      </c>
      <c r="Y890" s="1">
        <f t="shared" si="27"/>
        <v>5710.7699999999695</v>
      </c>
    </row>
    <row r="891" spans="1:25" x14ac:dyDescent="0.3">
      <c r="A891" s="1" t="s">
        <v>2024</v>
      </c>
      <c r="B891">
        <v>3</v>
      </c>
      <c r="C891">
        <v>27.99</v>
      </c>
      <c r="D891">
        <v>67.02</v>
      </c>
      <c r="E891" s="1" t="s">
        <v>69</v>
      </c>
      <c r="F891" s="1" t="s">
        <v>40</v>
      </c>
      <c r="G891">
        <v>3</v>
      </c>
      <c r="H891" s="1" t="s">
        <v>41</v>
      </c>
      <c r="I891" s="1" t="s">
        <v>75</v>
      </c>
      <c r="J891">
        <v>9</v>
      </c>
      <c r="K891">
        <v>27.99</v>
      </c>
      <c r="L891" s="1" t="s">
        <v>28</v>
      </c>
      <c r="M891" s="1" t="s">
        <v>61</v>
      </c>
      <c r="N891" s="1" t="s">
        <v>62</v>
      </c>
      <c r="O891" s="1" t="s">
        <v>31</v>
      </c>
      <c r="P891" s="2">
        <v>45726</v>
      </c>
      <c r="Q891" s="1" t="s">
        <v>1466</v>
      </c>
      <c r="R891" s="1" t="s">
        <v>1467</v>
      </c>
      <c r="S891" s="1" t="s">
        <v>65</v>
      </c>
      <c r="T891" s="1" t="s">
        <v>35</v>
      </c>
      <c r="U891" s="1" t="s">
        <v>48</v>
      </c>
      <c r="V891" s="1" t="s">
        <v>37</v>
      </c>
      <c r="W891">
        <v>2</v>
      </c>
      <c r="X891" s="1">
        <f t="shared" si="26"/>
        <v>8551.6499999999451</v>
      </c>
      <c r="Y891" s="1">
        <f t="shared" si="27"/>
        <v>7682.919999999951</v>
      </c>
    </row>
    <row r="892" spans="1:25" x14ac:dyDescent="0.3">
      <c r="A892" s="1" t="s">
        <v>2025</v>
      </c>
      <c r="B892">
        <v>3</v>
      </c>
      <c r="C892">
        <v>30.99</v>
      </c>
      <c r="D892">
        <v>73.319999999999993</v>
      </c>
      <c r="E892" s="1" t="s">
        <v>1227</v>
      </c>
      <c r="F892" s="1" t="s">
        <v>188</v>
      </c>
      <c r="G892">
        <v>0</v>
      </c>
      <c r="H892" s="1" t="s">
        <v>41</v>
      </c>
      <c r="I892" s="1" t="s">
        <v>42</v>
      </c>
      <c r="J892">
        <v>10.5</v>
      </c>
      <c r="K892">
        <v>30.99</v>
      </c>
      <c r="L892" s="1" t="s">
        <v>28</v>
      </c>
      <c r="M892" s="1" t="s">
        <v>43</v>
      </c>
      <c r="N892" s="1" t="s">
        <v>44</v>
      </c>
      <c r="O892" s="1" t="s">
        <v>31</v>
      </c>
      <c r="P892" s="2">
        <v>45823</v>
      </c>
      <c r="Q892" s="1" t="s">
        <v>1887</v>
      </c>
      <c r="R892" s="1" t="s">
        <v>1888</v>
      </c>
      <c r="S892" s="1" t="s">
        <v>88</v>
      </c>
      <c r="T892" s="1" t="s">
        <v>35</v>
      </c>
      <c r="U892" s="1" t="s">
        <v>82</v>
      </c>
      <c r="V892" s="1" t="s">
        <v>37</v>
      </c>
      <c r="W892">
        <v>2</v>
      </c>
      <c r="X892" s="1">
        <f t="shared" si="26"/>
        <v>8551.6499999999451</v>
      </c>
      <c r="Y892" s="1">
        <f t="shared" si="27"/>
        <v>7204.2099999999582</v>
      </c>
    </row>
    <row r="893" spans="1:25" x14ac:dyDescent="0.3">
      <c r="A893" s="1" t="s">
        <v>2026</v>
      </c>
      <c r="B893">
        <v>1</v>
      </c>
      <c r="C893">
        <v>16.989999999999998</v>
      </c>
      <c r="D893">
        <v>16.989999999999998</v>
      </c>
      <c r="E893" s="1" t="s">
        <v>2027</v>
      </c>
      <c r="F893" s="1" t="s">
        <v>40</v>
      </c>
      <c r="G893">
        <v>16</v>
      </c>
      <c r="H893" s="1" t="s">
        <v>41</v>
      </c>
      <c r="I893" s="1" t="s">
        <v>59</v>
      </c>
      <c r="J893">
        <v>5</v>
      </c>
      <c r="K893">
        <v>16.989999999999998</v>
      </c>
      <c r="L893" s="1" t="s">
        <v>60</v>
      </c>
      <c r="M893" s="1" t="s">
        <v>61</v>
      </c>
      <c r="N893" s="1" t="s">
        <v>62</v>
      </c>
      <c r="O893" s="1" t="s">
        <v>31</v>
      </c>
      <c r="P893" s="2">
        <v>45726</v>
      </c>
      <c r="Q893" s="1" t="s">
        <v>1184</v>
      </c>
      <c r="R893" s="1" t="s">
        <v>2028</v>
      </c>
      <c r="S893" s="1" t="s">
        <v>105</v>
      </c>
      <c r="T893" s="1" t="s">
        <v>35</v>
      </c>
      <c r="U893" s="1" t="s">
        <v>36</v>
      </c>
      <c r="V893" s="1" t="s">
        <v>67</v>
      </c>
      <c r="W893">
        <v>3</v>
      </c>
      <c r="X893" s="1">
        <f t="shared" si="26"/>
        <v>8551.6499999999451</v>
      </c>
      <c r="Y893" s="1">
        <f t="shared" si="27"/>
        <v>6355.4899999999634</v>
      </c>
    </row>
    <row r="894" spans="1:25" x14ac:dyDescent="0.3">
      <c r="A894" s="1" t="s">
        <v>2029</v>
      </c>
      <c r="B894">
        <v>3</v>
      </c>
      <c r="C894">
        <v>27.99</v>
      </c>
      <c r="D894">
        <v>67.39</v>
      </c>
      <c r="E894" s="1" t="s">
        <v>181</v>
      </c>
      <c r="F894" s="1" t="s">
        <v>40</v>
      </c>
      <c r="G894">
        <v>2</v>
      </c>
      <c r="H894" s="1" t="s">
        <v>96</v>
      </c>
      <c r="I894" s="1" t="s">
        <v>75</v>
      </c>
      <c r="J894">
        <v>9</v>
      </c>
      <c r="K894">
        <v>27.99</v>
      </c>
      <c r="L894" s="1" t="s">
        <v>28</v>
      </c>
      <c r="M894" s="1" t="s">
        <v>61</v>
      </c>
      <c r="N894" s="1" t="s">
        <v>62</v>
      </c>
      <c r="O894" s="1" t="s">
        <v>31</v>
      </c>
      <c r="P894" s="2">
        <v>45726</v>
      </c>
      <c r="Q894" s="1" t="s">
        <v>1739</v>
      </c>
      <c r="R894" s="1" t="s">
        <v>1740</v>
      </c>
      <c r="S894" s="1" t="s">
        <v>65</v>
      </c>
      <c r="T894" s="1" t="s">
        <v>35</v>
      </c>
      <c r="U894" s="1" t="s">
        <v>36</v>
      </c>
      <c r="V894" s="1" t="s">
        <v>37</v>
      </c>
      <c r="W894">
        <v>2</v>
      </c>
      <c r="X894" s="1">
        <f t="shared" si="26"/>
        <v>7844.9099999999507</v>
      </c>
      <c r="Y894" s="1">
        <f t="shared" si="27"/>
        <v>6355.4899999999634</v>
      </c>
    </row>
    <row r="895" spans="1:25" x14ac:dyDescent="0.3">
      <c r="A895" s="1" t="s">
        <v>2030</v>
      </c>
      <c r="B895">
        <v>3</v>
      </c>
      <c r="C895">
        <v>18.989999999999998</v>
      </c>
      <c r="D895">
        <v>45.14</v>
      </c>
      <c r="E895" s="1" t="s">
        <v>348</v>
      </c>
      <c r="F895" s="1" t="s">
        <v>40</v>
      </c>
      <c r="G895">
        <v>19</v>
      </c>
      <c r="H895" s="1" t="s">
        <v>96</v>
      </c>
      <c r="I895" s="1" t="s">
        <v>97</v>
      </c>
      <c r="J895">
        <v>6</v>
      </c>
      <c r="K895">
        <v>18.989999999999998</v>
      </c>
      <c r="L895" s="1" t="s">
        <v>60</v>
      </c>
      <c r="M895" s="1" t="s">
        <v>43</v>
      </c>
      <c r="N895" s="1" t="s">
        <v>44</v>
      </c>
      <c r="O895" s="1" t="s">
        <v>31</v>
      </c>
      <c r="P895" s="2">
        <v>45823</v>
      </c>
      <c r="Q895" s="1" t="s">
        <v>1349</v>
      </c>
      <c r="R895" s="1" t="s">
        <v>1439</v>
      </c>
      <c r="S895" s="1" t="s">
        <v>65</v>
      </c>
      <c r="T895" s="1" t="s">
        <v>35</v>
      </c>
      <c r="U895" s="1" t="s">
        <v>36</v>
      </c>
      <c r="V895" s="1" t="s">
        <v>100</v>
      </c>
      <c r="W895">
        <v>3.2</v>
      </c>
      <c r="X895" s="1">
        <f t="shared" si="26"/>
        <v>7844.9099999999507</v>
      </c>
      <c r="Y895" s="1">
        <f t="shared" si="27"/>
        <v>6355.4899999999634</v>
      </c>
    </row>
    <row r="896" spans="1:25" x14ac:dyDescent="0.3">
      <c r="A896" s="1" t="s">
        <v>2031</v>
      </c>
      <c r="B896">
        <v>1</v>
      </c>
      <c r="C896">
        <v>30.99</v>
      </c>
      <c r="D896">
        <v>30.99</v>
      </c>
      <c r="E896" s="1" t="s">
        <v>1194</v>
      </c>
      <c r="F896" s="1" t="s">
        <v>40</v>
      </c>
      <c r="G896">
        <v>3</v>
      </c>
      <c r="H896" s="1" t="s">
        <v>41</v>
      </c>
      <c r="I896" s="1" t="s">
        <v>42</v>
      </c>
      <c r="J896">
        <v>10.5</v>
      </c>
      <c r="K896">
        <v>30.99</v>
      </c>
      <c r="L896" s="1" t="s">
        <v>28</v>
      </c>
      <c r="M896" s="1" t="s">
        <v>43</v>
      </c>
      <c r="N896" s="1" t="s">
        <v>44</v>
      </c>
      <c r="O896" s="1" t="s">
        <v>31</v>
      </c>
      <c r="P896" s="2">
        <v>45823</v>
      </c>
      <c r="Q896" s="1" t="s">
        <v>305</v>
      </c>
      <c r="R896" s="1" t="s">
        <v>1560</v>
      </c>
      <c r="S896" s="1" t="s">
        <v>65</v>
      </c>
      <c r="T896" s="1" t="s">
        <v>35</v>
      </c>
      <c r="U896" s="1" t="s">
        <v>55</v>
      </c>
      <c r="V896" s="1" t="s">
        <v>37</v>
      </c>
      <c r="W896">
        <v>2</v>
      </c>
      <c r="X896" s="1">
        <f t="shared" si="26"/>
        <v>8551.6499999999451</v>
      </c>
      <c r="Y896" s="1">
        <f t="shared" si="27"/>
        <v>5710.7699999999695</v>
      </c>
    </row>
    <row r="897" spans="1:25" x14ac:dyDescent="0.3">
      <c r="A897" s="1" t="s">
        <v>2032</v>
      </c>
      <c r="B897">
        <v>1</v>
      </c>
      <c r="C897">
        <v>34.99</v>
      </c>
      <c r="D897">
        <v>34.99</v>
      </c>
      <c r="E897" s="1" t="s">
        <v>933</v>
      </c>
      <c r="F897" s="1" t="s">
        <v>51</v>
      </c>
      <c r="G897">
        <v>0</v>
      </c>
      <c r="H897" s="1" t="s">
        <v>96</v>
      </c>
      <c r="I897" s="1" t="s">
        <v>85</v>
      </c>
      <c r="J897">
        <v>12.5</v>
      </c>
      <c r="K897">
        <v>34.99</v>
      </c>
      <c r="L897" s="1" t="s">
        <v>60</v>
      </c>
      <c r="M897" s="1" t="s">
        <v>29</v>
      </c>
      <c r="N897" s="1" t="s">
        <v>30</v>
      </c>
      <c r="O897" s="1" t="s">
        <v>31</v>
      </c>
      <c r="P897" s="2">
        <v>45778</v>
      </c>
      <c r="Q897" s="1" t="s">
        <v>909</v>
      </c>
      <c r="R897" s="1" t="s">
        <v>1247</v>
      </c>
      <c r="S897" s="1" t="s">
        <v>88</v>
      </c>
      <c r="T897" s="1" t="s">
        <v>35</v>
      </c>
      <c r="U897" s="1" t="s">
        <v>55</v>
      </c>
      <c r="V897" s="1" t="s">
        <v>89</v>
      </c>
      <c r="W897">
        <v>2.4</v>
      </c>
      <c r="X897" s="1">
        <f t="shared" si="26"/>
        <v>7844.9099999999507</v>
      </c>
      <c r="Y897" s="1">
        <f t="shared" si="27"/>
        <v>5710.7699999999695</v>
      </c>
    </row>
    <row r="898" spans="1:25" x14ac:dyDescent="0.3">
      <c r="A898" s="1" t="s">
        <v>2033</v>
      </c>
      <c r="B898">
        <v>3</v>
      </c>
      <c r="C898">
        <v>34.99</v>
      </c>
      <c r="D898">
        <v>83.76</v>
      </c>
      <c r="E898" s="1" t="s">
        <v>946</v>
      </c>
      <c r="F898" s="1" t="s">
        <v>40</v>
      </c>
      <c r="G898">
        <v>8</v>
      </c>
      <c r="H898" s="1" t="s">
        <v>26</v>
      </c>
      <c r="I898" s="1" t="s">
        <v>85</v>
      </c>
      <c r="J898">
        <v>12.5</v>
      </c>
      <c r="K898">
        <v>34.99</v>
      </c>
      <c r="L898" s="1" t="s">
        <v>60</v>
      </c>
      <c r="M898" s="1" t="s">
        <v>29</v>
      </c>
      <c r="N898" s="1" t="s">
        <v>30</v>
      </c>
      <c r="O898" s="1" t="s">
        <v>31</v>
      </c>
      <c r="P898" s="2">
        <v>45778</v>
      </c>
      <c r="Q898" s="1" t="s">
        <v>1204</v>
      </c>
      <c r="R898" s="1" t="s">
        <v>1205</v>
      </c>
      <c r="S898" s="1" t="s">
        <v>34</v>
      </c>
      <c r="T898" s="1" t="s">
        <v>35</v>
      </c>
      <c r="U898" s="1" t="s">
        <v>48</v>
      </c>
      <c r="V898" s="1" t="s">
        <v>89</v>
      </c>
      <c r="W898">
        <v>2.4</v>
      </c>
      <c r="X898" s="1">
        <f t="shared" ref="X898:X961" si="28">SUMIF(H:H,H898,K:K)</f>
        <v>8313.6899999999459</v>
      </c>
      <c r="Y898" s="1">
        <f t="shared" ref="Y898:Y961" si="29">SUMIF(U:U,U898,K:K)</f>
        <v>7682.919999999951</v>
      </c>
    </row>
    <row r="899" spans="1:25" x14ac:dyDescent="0.3">
      <c r="A899" s="1" t="s">
        <v>2034</v>
      </c>
      <c r="B899">
        <v>2</v>
      </c>
      <c r="C899">
        <v>27.99</v>
      </c>
      <c r="D899">
        <v>48.78</v>
      </c>
      <c r="E899" s="1" t="s">
        <v>168</v>
      </c>
      <c r="F899" s="1" t="s">
        <v>40</v>
      </c>
      <c r="G899">
        <v>2</v>
      </c>
      <c r="H899" s="1" t="s">
        <v>96</v>
      </c>
      <c r="I899" s="1" t="s">
        <v>75</v>
      </c>
      <c r="J899">
        <v>9</v>
      </c>
      <c r="K899">
        <v>27.99</v>
      </c>
      <c r="L899" s="1" t="s">
        <v>28</v>
      </c>
      <c r="M899" s="1" t="s">
        <v>61</v>
      </c>
      <c r="N899" s="1" t="s">
        <v>62</v>
      </c>
      <c r="O899" s="1" t="s">
        <v>31</v>
      </c>
      <c r="P899" s="2">
        <v>45726</v>
      </c>
      <c r="Q899" s="1" t="s">
        <v>873</v>
      </c>
      <c r="R899" s="1" t="s">
        <v>874</v>
      </c>
      <c r="S899" s="1" t="s">
        <v>105</v>
      </c>
      <c r="T899" s="1" t="s">
        <v>35</v>
      </c>
      <c r="U899" s="1" t="s">
        <v>48</v>
      </c>
      <c r="V899" s="1" t="s">
        <v>37</v>
      </c>
      <c r="W899">
        <v>2</v>
      </c>
      <c r="X899" s="1">
        <f t="shared" si="28"/>
        <v>7844.9099999999507</v>
      </c>
      <c r="Y899" s="1">
        <f t="shared" si="29"/>
        <v>7682.919999999951</v>
      </c>
    </row>
    <row r="900" spans="1:25" x14ac:dyDescent="0.3">
      <c r="A900" s="1" t="s">
        <v>2035</v>
      </c>
      <c r="B900">
        <v>1</v>
      </c>
      <c r="C900">
        <v>30.99</v>
      </c>
      <c r="D900">
        <v>30.99</v>
      </c>
      <c r="E900" s="1" t="s">
        <v>1100</v>
      </c>
      <c r="F900" s="1" t="s">
        <v>40</v>
      </c>
      <c r="G900">
        <v>6</v>
      </c>
      <c r="H900" s="1" t="s">
        <v>96</v>
      </c>
      <c r="I900" s="1" t="s">
        <v>42</v>
      </c>
      <c r="J900">
        <v>10.5</v>
      </c>
      <c r="K900">
        <v>30.99</v>
      </c>
      <c r="L900" s="1" t="s">
        <v>28</v>
      </c>
      <c r="M900" s="1" t="s">
        <v>43</v>
      </c>
      <c r="N900" s="1" t="s">
        <v>44</v>
      </c>
      <c r="O900" s="1" t="s">
        <v>31</v>
      </c>
      <c r="P900" s="2">
        <v>45823</v>
      </c>
      <c r="Q900" s="1" t="s">
        <v>1147</v>
      </c>
      <c r="R900" s="1" t="s">
        <v>1148</v>
      </c>
      <c r="S900" s="1" t="s">
        <v>34</v>
      </c>
      <c r="T900" s="1" t="s">
        <v>35</v>
      </c>
      <c r="U900" s="1" t="s">
        <v>55</v>
      </c>
      <c r="V900" s="1" t="s">
        <v>37</v>
      </c>
      <c r="W900">
        <v>2</v>
      </c>
      <c r="X900" s="1">
        <f t="shared" si="28"/>
        <v>7844.9099999999507</v>
      </c>
      <c r="Y900" s="1">
        <f t="shared" si="29"/>
        <v>5710.7699999999695</v>
      </c>
    </row>
    <row r="901" spans="1:25" x14ac:dyDescent="0.3">
      <c r="A901" s="1" t="s">
        <v>2036</v>
      </c>
      <c r="B901">
        <v>1</v>
      </c>
      <c r="C901">
        <v>27.99</v>
      </c>
      <c r="D901">
        <v>27.99</v>
      </c>
      <c r="E901" s="1" t="s">
        <v>274</v>
      </c>
      <c r="F901" s="1" t="s">
        <v>40</v>
      </c>
      <c r="G901">
        <v>6</v>
      </c>
      <c r="H901" s="1" t="s">
        <v>58</v>
      </c>
      <c r="I901" s="1" t="s">
        <v>75</v>
      </c>
      <c r="J901">
        <v>9</v>
      </c>
      <c r="K901">
        <v>27.99</v>
      </c>
      <c r="L901" s="1" t="s">
        <v>28</v>
      </c>
      <c r="M901" s="1" t="s">
        <v>61</v>
      </c>
      <c r="N901" s="1" t="s">
        <v>62</v>
      </c>
      <c r="O901" s="1" t="s">
        <v>31</v>
      </c>
      <c r="P901" s="2">
        <v>45726</v>
      </c>
      <c r="Q901" s="1" t="s">
        <v>518</v>
      </c>
      <c r="R901" s="1" t="s">
        <v>1463</v>
      </c>
      <c r="S901" s="1" t="s">
        <v>34</v>
      </c>
      <c r="T901" s="1" t="s">
        <v>35</v>
      </c>
      <c r="U901" s="1" t="s">
        <v>66</v>
      </c>
      <c r="V901" s="1" t="s">
        <v>37</v>
      </c>
      <c r="W901">
        <v>2</v>
      </c>
      <c r="X901" s="1">
        <f t="shared" si="28"/>
        <v>8640.6199999999462</v>
      </c>
      <c r="Y901" s="1">
        <f t="shared" si="29"/>
        <v>6397.4799999999632</v>
      </c>
    </row>
    <row r="902" spans="1:25" x14ac:dyDescent="0.3">
      <c r="A902" s="1" t="s">
        <v>2037</v>
      </c>
      <c r="B902">
        <v>3</v>
      </c>
      <c r="C902">
        <v>27.99</v>
      </c>
      <c r="D902">
        <v>65.98</v>
      </c>
      <c r="E902" s="1" t="s">
        <v>2038</v>
      </c>
      <c r="F902" s="1" t="s">
        <v>51</v>
      </c>
      <c r="G902">
        <v>0</v>
      </c>
      <c r="H902" s="1" t="s">
        <v>41</v>
      </c>
      <c r="I902" s="1" t="s">
        <v>75</v>
      </c>
      <c r="J902">
        <v>9</v>
      </c>
      <c r="K902">
        <v>27.99</v>
      </c>
      <c r="L902" s="1" t="s">
        <v>28</v>
      </c>
      <c r="M902" s="1" t="s">
        <v>61</v>
      </c>
      <c r="N902" s="1" t="s">
        <v>62</v>
      </c>
      <c r="O902" s="1" t="s">
        <v>31</v>
      </c>
      <c r="P902" s="2">
        <v>45726</v>
      </c>
      <c r="Q902" s="1" t="s">
        <v>1272</v>
      </c>
      <c r="R902" s="1" t="s">
        <v>1273</v>
      </c>
      <c r="S902" s="1" t="s">
        <v>88</v>
      </c>
      <c r="T902" s="1" t="s">
        <v>35</v>
      </c>
      <c r="U902" s="1" t="s">
        <v>48</v>
      </c>
      <c r="V902" s="1" t="s">
        <v>37</v>
      </c>
      <c r="W902">
        <v>2</v>
      </c>
      <c r="X902" s="1">
        <f t="shared" si="28"/>
        <v>8551.6499999999451</v>
      </c>
      <c r="Y902" s="1">
        <f t="shared" si="29"/>
        <v>7682.919999999951</v>
      </c>
    </row>
    <row r="903" spans="1:25" x14ac:dyDescent="0.3">
      <c r="A903" s="1" t="s">
        <v>2039</v>
      </c>
      <c r="B903">
        <v>1</v>
      </c>
      <c r="C903">
        <v>27.99</v>
      </c>
      <c r="D903">
        <v>27.99</v>
      </c>
      <c r="E903" s="1" t="s">
        <v>2040</v>
      </c>
      <c r="F903" s="1" t="s">
        <v>70</v>
      </c>
      <c r="G903">
        <v>0</v>
      </c>
      <c r="H903" s="1" t="s">
        <v>41</v>
      </c>
      <c r="I903" s="1" t="s">
        <v>75</v>
      </c>
      <c r="J903">
        <v>9</v>
      </c>
      <c r="K903">
        <v>27.99</v>
      </c>
      <c r="L903" s="1" t="s">
        <v>28</v>
      </c>
      <c r="M903" s="1" t="s">
        <v>61</v>
      </c>
      <c r="N903" s="1" t="s">
        <v>62</v>
      </c>
      <c r="O903" s="1" t="s">
        <v>31</v>
      </c>
      <c r="P903" s="2">
        <v>45726</v>
      </c>
      <c r="Q903" s="1" t="s">
        <v>738</v>
      </c>
      <c r="R903" s="1" t="s">
        <v>739</v>
      </c>
      <c r="S903" s="1" t="s">
        <v>34</v>
      </c>
      <c r="T903" s="1" t="s">
        <v>35</v>
      </c>
      <c r="U903" s="1" t="s">
        <v>82</v>
      </c>
      <c r="V903" s="1" t="s">
        <v>37</v>
      </c>
      <c r="W903">
        <v>2</v>
      </c>
      <c r="X903" s="1">
        <f t="shared" si="28"/>
        <v>8551.6499999999451</v>
      </c>
      <c r="Y903" s="1">
        <f t="shared" si="29"/>
        <v>7204.2099999999582</v>
      </c>
    </row>
    <row r="904" spans="1:25" x14ac:dyDescent="0.3">
      <c r="A904" s="1" t="s">
        <v>2041</v>
      </c>
      <c r="B904">
        <v>1</v>
      </c>
      <c r="C904">
        <v>21.99</v>
      </c>
      <c r="D904">
        <v>21.99</v>
      </c>
      <c r="E904" s="1" t="s">
        <v>1895</v>
      </c>
      <c r="F904" s="1" t="s">
        <v>40</v>
      </c>
      <c r="G904">
        <v>3</v>
      </c>
      <c r="H904" s="1" t="s">
        <v>41</v>
      </c>
      <c r="I904" s="1" t="s">
        <v>27</v>
      </c>
      <c r="J904">
        <v>7</v>
      </c>
      <c r="K904">
        <v>21.99</v>
      </c>
      <c r="L904" s="1" t="s">
        <v>28</v>
      </c>
      <c r="M904" s="1" t="s">
        <v>29</v>
      </c>
      <c r="N904" s="1" t="s">
        <v>30</v>
      </c>
      <c r="O904" s="1" t="s">
        <v>31</v>
      </c>
      <c r="P904" s="2">
        <v>45778</v>
      </c>
      <c r="Q904" s="1" t="s">
        <v>2042</v>
      </c>
      <c r="R904" s="1" t="s">
        <v>2043</v>
      </c>
      <c r="S904" s="1" t="s">
        <v>65</v>
      </c>
      <c r="T904" s="1" t="s">
        <v>35</v>
      </c>
      <c r="U904" s="1" t="s">
        <v>36</v>
      </c>
      <c r="V904" s="1" t="s">
        <v>37</v>
      </c>
      <c r="W904">
        <v>2</v>
      </c>
      <c r="X904" s="1">
        <f t="shared" si="28"/>
        <v>8551.6499999999451</v>
      </c>
      <c r="Y904" s="1">
        <f t="shared" si="29"/>
        <v>6355.4899999999634</v>
      </c>
    </row>
    <row r="905" spans="1:25" x14ac:dyDescent="0.3">
      <c r="A905" s="1" t="s">
        <v>2044</v>
      </c>
      <c r="B905">
        <v>1</v>
      </c>
      <c r="C905">
        <v>34.99</v>
      </c>
      <c r="D905">
        <v>34.99</v>
      </c>
      <c r="E905" s="1" t="s">
        <v>2045</v>
      </c>
      <c r="F905" s="1" t="s">
        <v>40</v>
      </c>
      <c r="G905">
        <v>6</v>
      </c>
      <c r="H905" s="1" t="s">
        <v>41</v>
      </c>
      <c r="I905" s="1" t="s">
        <v>85</v>
      </c>
      <c r="J905">
        <v>12.5</v>
      </c>
      <c r="K905">
        <v>34.99</v>
      </c>
      <c r="L905" s="1" t="s">
        <v>60</v>
      </c>
      <c r="M905" s="1" t="s">
        <v>29</v>
      </c>
      <c r="N905" s="1" t="s">
        <v>30</v>
      </c>
      <c r="O905" s="1" t="s">
        <v>31</v>
      </c>
      <c r="P905" s="2">
        <v>45778</v>
      </c>
      <c r="Q905" s="1" t="s">
        <v>926</v>
      </c>
      <c r="R905" s="1" t="s">
        <v>2046</v>
      </c>
      <c r="S905" s="1" t="s">
        <v>34</v>
      </c>
      <c r="T905" s="1" t="s">
        <v>35</v>
      </c>
      <c r="U905" s="1" t="s">
        <v>55</v>
      </c>
      <c r="V905" s="1" t="s">
        <v>89</v>
      </c>
      <c r="W905">
        <v>2.4</v>
      </c>
      <c r="X905" s="1">
        <f t="shared" si="28"/>
        <v>8551.6499999999451</v>
      </c>
      <c r="Y905" s="1">
        <f t="shared" si="29"/>
        <v>5710.7699999999695</v>
      </c>
    </row>
    <row r="906" spans="1:25" x14ac:dyDescent="0.3">
      <c r="A906" s="1" t="s">
        <v>2047</v>
      </c>
      <c r="B906">
        <v>2</v>
      </c>
      <c r="C906">
        <v>18.989999999999998</v>
      </c>
      <c r="D906">
        <v>32.76</v>
      </c>
      <c r="E906" s="1" t="s">
        <v>2048</v>
      </c>
      <c r="F906" s="1" t="s">
        <v>25</v>
      </c>
      <c r="G906">
        <v>15</v>
      </c>
      <c r="H906" s="1" t="s">
        <v>96</v>
      </c>
      <c r="I906" s="1" t="s">
        <v>97</v>
      </c>
      <c r="J906">
        <v>6</v>
      </c>
      <c r="K906">
        <v>18.989999999999998</v>
      </c>
      <c r="L906" s="1" t="s">
        <v>60</v>
      </c>
      <c r="M906" s="1" t="s">
        <v>43</v>
      </c>
      <c r="N906" s="1" t="s">
        <v>44</v>
      </c>
      <c r="O906" s="1" t="s">
        <v>31</v>
      </c>
      <c r="P906" s="2">
        <v>45823</v>
      </c>
      <c r="Q906" s="1" t="s">
        <v>385</v>
      </c>
      <c r="R906" s="1" t="s">
        <v>998</v>
      </c>
      <c r="S906" s="1" t="s">
        <v>54</v>
      </c>
      <c r="T906" s="1" t="s">
        <v>35</v>
      </c>
      <c r="U906" s="1" t="s">
        <v>48</v>
      </c>
      <c r="V906" s="1" t="s">
        <v>100</v>
      </c>
      <c r="W906">
        <v>3.2</v>
      </c>
      <c r="X906" s="1">
        <f t="shared" si="28"/>
        <v>7844.9099999999507</v>
      </c>
      <c r="Y906" s="1">
        <f t="shared" si="29"/>
        <v>7682.919999999951</v>
      </c>
    </row>
    <row r="907" spans="1:25" x14ac:dyDescent="0.3">
      <c r="A907" s="1" t="s">
        <v>2049</v>
      </c>
      <c r="B907">
        <v>3</v>
      </c>
      <c r="C907">
        <v>34.99</v>
      </c>
      <c r="D907">
        <v>83.85</v>
      </c>
      <c r="E907" s="1" t="s">
        <v>457</v>
      </c>
      <c r="F907" s="1" t="s">
        <v>40</v>
      </c>
      <c r="G907">
        <v>5</v>
      </c>
      <c r="H907" s="1" t="s">
        <v>96</v>
      </c>
      <c r="I907" s="1" t="s">
        <v>85</v>
      </c>
      <c r="J907">
        <v>12.5</v>
      </c>
      <c r="K907">
        <v>34.99</v>
      </c>
      <c r="L907" s="1" t="s">
        <v>60</v>
      </c>
      <c r="M907" s="1" t="s">
        <v>29</v>
      </c>
      <c r="N907" s="1" t="s">
        <v>30</v>
      </c>
      <c r="O907" s="1" t="s">
        <v>31</v>
      </c>
      <c r="P907" s="2">
        <v>45778</v>
      </c>
      <c r="Q907" s="1" t="s">
        <v>1032</v>
      </c>
      <c r="R907" s="1" t="s">
        <v>1033</v>
      </c>
      <c r="S907" s="1" t="s">
        <v>105</v>
      </c>
      <c r="T907" s="1" t="s">
        <v>35</v>
      </c>
      <c r="U907" s="1" t="s">
        <v>55</v>
      </c>
      <c r="V907" s="1" t="s">
        <v>89</v>
      </c>
      <c r="W907">
        <v>2.4</v>
      </c>
      <c r="X907" s="1">
        <f t="shared" si="28"/>
        <v>7844.9099999999507</v>
      </c>
      <c r="Y907" s="1">
        <f t="shared" si="29"/>
        <v>5710.7699999999695</v>
      </c>
    </row>
    <row r="908" spans="1:25" x14ac:dyDescent="0.3">
      <c r="A908" s="1" t="s">
        <v>2050</v>
      </c>
      <c r="B908">
        <v>2</v>
      </c>
      <c r="C908">
        <v>30.99</v>
      </c>
      <c r="D908">
        <v>53.47</v>
      </c>
      <c r="E908" s="1" t="s">
        <v>1570</v>
      </c>
      <c r="F908" s="1" t="s">
        <v>40</v>
      </c>
      <c r="G908">
        <v>2</v>
      </c>
      <c r="H908" s="1" t="s">
        <v>58</v>
      </c>
      <c r="I908" s="1" t="s">
        <v>42</v>
      </c>
      <c r="J908">
        <v>10.5</v>
      </c>
      <c r="K908">
        <v>30.99</v>
      </c>
      <c r="L908" s="1" t="s">
        <v>28</v>
      </c>
      <c r="M908" s="1" t="s">
        <v>43</v>
      </c>
      <c r="N908" s="1" t="s">
        <v>44</v>
      </c>
      <c r="O908" s="1" t="s">
        <v>31</v>
      </c>
      <c r="P908" s="2">
        <v>45823</v>
      </c>
      <c r="Q908" s="1" t="s">
        <v>975</v>
      </c>
      <c r="R908" s="1" t="s">
        <v>1518</v>
      </c>
      <c r="S908" s="1" t="s">
        <v>105</v>
      </c>
      <c r="T908" s="1" t="s">
        <v>35</v>
      </c>
      <c r="U908" s="1" t="s">
        <v>48</v>
      </c>
      <c r="V908" s="1" t="s">
        <v>37</v>
      </c>
      <c r="W908">
        <v>2</v>
      </c>
      <c r="X908" s="1">
        <f t="shared" si="28"/>
        <v>8640.6199999999462</v>
      </c>
      <c r="Y908" s="1">
        <f t="shared" si="29"/>
        <v>7682.919999999951</v>
      </c>
    </row>
    <row r="909" spans="1:25" x14ac:dyDescent="0.3">
      <c r="A909" s="1" t="s">
        <v>2051</v>
      </c>
      <c r="B909">
        <v>1</v>
      </c>
      <c r="C909">
        <v>27.99</v>
      </c>
      <c r="D909">
        <v>27.99</v>
      </c>
      <c r="E909" s="1" t="s">
        <v>57</v>
      </c>
      <c r="F909" s="1" t="s">
        <v>51</v>
      </c>
      <c r="G909">
        <v>0</v>
      </c>
      <c r="H909" s="1" t="s">
        <v>58</v>
      </c>
      <c r="I909" s="1" t="s">
        <v>75</v>
      </c>
      <c r="J909">
        <v>9</v>
      </c>
      <c r="K909">
        <v>27.99</v>
      </c>
      <c r="L909" s="1" t="s">
        <v>28</v>
      </c>
      <c r="M909" s="1" t="s">
        <v>61</v>
      </c>
      <c r="N909" s="1" t="s">
        <v>62</v>
      </c>
      <c r="O909" s="1" t="s">
        <v>31</v>
      </c>
      <c r="P909" s="2">
        <v>45726</v>
      </c>
      <c r="Q909" s="1" t="s">
        <v>1676</v>
      </c>
      <c r="R909" s="1" t="s">
        <v>1677</v>
      </c>
      <c r="S909" s="1" t="s">
        <v>105</v>
      </c>
      <c r="T909" s="1" t="s">
        <v>35</v>
      </c>
      <c r="U909" s="1" t="s">
        <v>66</v>
      </c>
      <c r="V909" s="1" t="s">
        <v>37</v>
      </c>
      <c r="W909">
        <v>2</v>
      </c>
      <c r="X909" s="1">
        <f t="shared" si="28"/>
        <v>8640.6199999999462</v>
      </c>
      <c r="Y909" s="1">
        <f t="shared" si="29"/>
        <v>6397.4799999999632</v>
      </c>
    </row>
    <row r="910" spans="1:25" x14ac:dyDescent="0.3">
      <c r="A910" s="1" t="s">
        <v>2052</v>
      </c>
      <c r="B910">
        <v>1</v>
      </c>
      <c r="C910">
        <v>27.99</v>
      </c>
      <c r="D910">
        <v>27.99</v>
      </c>
      <c r="E910" s="1" t="s">
        <v>1002</v>
      </c>
      <c r="F910" s="1" t="s">
        <v>51</v>
      </c>
      <c r="G910">
        <v>0</v>
      </c>
      <c r="H910" s="1" t="s">
        <v>41</v>
      </c>
      <c r="I910" s="1" t="s">
        <v>75</v>
      </c>
      <c r="J910">
        <v>9</v>
      </c>
      <c r="K910">
        <v>27.99</v>
      </c>
      <c r="L910" s="1" t="s">
        <v>28</v>
      </c>
      <c r="M910" s="1" t="s">
        <v>61</v>
      </c>
      <c r="N910" s="1" t="s">
        <v>62</v>
      </c>
      <c r="O910" s="1" t="s">
        <v>31</v>
      </c>
      <c r="P910" s="2">
        <v>45726</v>
      </c>
      <c r="Q910" s="1" t="s">
        <v>147</v>
      </c>
      <c r="R910" s="1" t="s">
        <v>1601</v>
      </c>
      <c r="S910" s="1" t="s">
        <v>105</v>
      </c>
      <c r="T910" s="1" t="s">
        <v>35</v>
      </c>
      <c r="U910" s="1" t="s">
        <v>55</v>
      </c>
      <c r="V910" s="1" t="s">
        <v>37</v>
      </c>
      <c r="W910">
        <v>2</v>
      </c>
      <c r="X910" s="1">
        <f t="shared" si="28"/>
        <v>8551.6499999999451</v>
      </c>
      <c r="Y910" s="1">
        <f t="shared" si="29"/>
        <v>5710.7699999999695</v>
      </c>
    </row>
    <row r="911" spans="1:25" x14ac:dyDescent="0.3">
      <c r="A911" s="1" t="s">
        <v>2053</v>
      </c>
      <c r="B911">
        <v>3</v>
      </c>
      <c r="C911">
        <v>27.99</v>
      </c>
      <c r="D911">
        <v>66.14</v>
      </c>
      <c r="E911" s="1" t="s">
        <v>2054</v>
      </c>
      <c r="F911" s="1" t="s">
        <v>40</v>
      </c>
      <c r="G911">
        <v>2</v>
      </c>
      <c r="H911" s="1" t="s">
        <v>96</v>
      </c>
      <c r="I911" s="1" t="s">
        <v>75</v>
      </c>
      <c r="J911">
        <v>9</v>
      </c>
      <c r="K911">
        <v>27.99</v>
      </c>
      <c r="L911" s="1" t="s">
        <v>28</v>
      </c>
      <c r="M911" s="1" t="s">
        <v>61</v>
      </c>
      <c r="N911" s="1" t="s">
        <v>62</v>
      </c>
      <c r="O911" s="1" t="s">
        <v>31</v>
      </c>
      <c r="P911" s="2">
        <v>45726</v>
      </c>
      <c r="Q911" s="1" t="s">
        <v>1408</v>
      </c>
      <c r="R911" s="1" t="s">
        <v>2055</v>
      </c>
      <c r="S911" s="1" t="s">
        <v>54</v>
      </c>
      <c r="T911" s="1" t="s">
        <v>35</v>
      </c>
      <c r="U911" s="1" t="s">
        <v>82</v>
      </c>
      <c r="V911" s="1" t="s">
        <v>37</v>
      </c>
      <c r="W911">
        <v>2</v>
      </c>
      <c r="X911" s="1">
        <f t="shared" si="28"/>
        <v>7844.9099999999507</v>
      </c>
      <c r="Y911" s="1">
        <f t="shared" si="29"/>
        <v>7204.2099999999582</v>
      </c>
    </row>
    <row r="912" spans="1:25" x14ac:dyDescent="0.3">
      <c r="A912" s="1" t="s">
        <v>2056</v>
      </c>
      <c r="B912">
        <v>1</v>
      </c>
      <c r="C912">
        <v>27.99</v>
      </c>
      <c r="D912">
        <v>27.99</v>
      </c>
      <c r="E912" s="1" t="s">
        <v>1002</v>
      </c>
      <c r="F912" s="1" t="s">
        <v>40</v>
      </c>
      <c r="G912">
        <v>2</v>
      </c>
      <c r="H912" s="1" t="s">
        <v>58</v>
      </c>
      <c r="I912" s="1" t="s">
        <v>75</v>
      </c>
      <c r="J912">
        <v>9</v>
      </c>
      <c r="K912">
        <v>27.99</v>
      </c>
      <c r="L912" s="1" t="s">
        <v>28</v>
      </c>
      <c r="M912" s="1" t="s">
        <v>61</v>
      </c>
      <c r="N912" s="1" t="s">
        <v>62</v>
      </c>
      <c r="O912" s="1" t="s">
        <v>31</v>
      </c>
      <c r="P912" s="2">
        <v>45726</v>
      </c>
      <c r="Q912" s="1" t="s">
        <v>797</v>
      </c>
      <c r="R912" s="1" t="s">
        <v>1810</v>
      </c>
      <c r="S912" s="1" t="s">
        <v>88</v>
      </c>
      <c r="T912" s="1" t="s">
        <v>35</v>
      </c>
      <c r="U912" s="1" t="s">
        <v>66</v>
      </c>
      <c r="V912" s="1" t="s">
        <v>37</v>
      </c>
      <c r="W912">
        <v>2</v>
      </c>
      <c r="X912" s="1">
        <f t="shared" si="28"/>
        <v>8640.6199999999462</v>
      </c>
      <c r="Y912" s="1">
        <f t="shared" si="29"/>
        <v>6397.4799999999632</v>
      </c>
    </row>
    <row r="913" spans="1:25" x14ac:dyDescent="0.3">
      <c r="A913" s="1" t="s">
        <v>2057</v>
      </c>
      <c r="B913">
        <v>1</v>
      </c>
      <c r="C913">
        <v>21.99</v>
      </c>
      <c r="D913">
        <v>21.99</v>
      </c>
      <c r="E913" s="1" t="s">
        <v>143</v>
      </c>
      <c r="F913" s="1" t="s">
        <v>40</v>
      </c>
      <c r="G913">
        <v>2</v>
      </c>
      <c r="H913" s="1" t="s">
        <v>26</v>
      </c>
      <c r="I913" s="1" t="s">
        <v>27</v>
      </c>
      <c r="J913">
        <v>7</v>
      </c>
      <c r="K913">
        <v>21.99</v>
      </c>
      <c r="L913" s="1" t="s">
        <v>28</v>
      </c>
      <c r="M913" s="1" t="s">
        <v>29</v>
      </c>
      <c r="N913" s="1" t="s">
        <v>30</v>
      </c>
      <c r="O913" s="1" t="s">
        <v>31</v>
      </c>
      <c r="P913" s="2">
        <v>45778</v>
      </c>
      <c r="Q913" s="1" t="s">
        <v>335</v>
      </c>
      <c r="R913" s="1" t="s">
        <v>2058</v>
      </c>
      <c r="S913" s="1" t="s">
        <v>65</v>
      </c>
      <c r="T913" s="1" t="s">
        <v>35</v>
      </c>
      <c r="U913" s="1" t="s">
        <v>48</v>
      </c>
      <c r="V913" s="1" t="s">
        <v>37</v>
      </c>
      <c r="W913">
        <v>2</v>
      </c>
      <c r="X913" s="1">
        <f t="shared" si="28"/>
        <v>8313.6899999999459</v>
      </c>
      <c r="Y913" s="1">
        <f t="shared" si="29"/>
        <v>7682.919999999951</v>
      </c>
    </row>
    <row r="914" spans="1:25" x14ac:dyDescent="0.3">
      <c r="A914" s="1" t="s">
        <v>2059</v>
      </c>
      <c r="B914">
        <v>1</v>
      </c>
      <c r="C914">
        <v>30.99</v>
      </c>
      <c r="D914">
        <v>30.99</v>
      </c>
      <c r="E914" s="1" t="s">
        <v>1881</v>
      </c>
      <c r="F914" s="1" t="s">
        <v>40</v>
      </c>
      <c r="G914">
        <v>3</v>
      </c>
      <c r="H914" s="1" t="s">
        <v>96</v>
      </c>
      <c r="I914" s="1" t="s">
        <v>42</v>
      </c>
      <c r="J914">
        <v>10.5</v>
      </c>
      <c r="K914">
        <v>30.99</v>
      </c>
      <c r="L914" s="1" t="s">
        <v>28</v>
      </c>
      <c r="M914" s="1" t="s">
        <v>43</v>
      </c>
      <c r="N914" s="1" t="s">
        <v>44</v>
      </c>
      <c r="O914" s="1" t="s">
        <v>31</v>
      </c>
      <c r="P914" s="2">
        <v>45823</v>
      </c>
      <c r="Q914" s="1" t="s">
        <v>1191</v>
      </c>
      <c r="R914" s="1" t="s">
        <v>1192</v>
      </c>
      <c r="S914" s="1" t="s">
        <v>88</v>
      </c>
      <c r="T914" s="1" t="s">
        <v>35</v>
      </c>
      <c r="U914" s="1" t="s">
        <v>55</v>
      </c>
      <c r="V914" s="1" t="s">
        <v>37</v>
      </c>
      <c r="W914">
        <v>2</v>
      </c>
      <c r="X914" s="1">
        <f t="shared" si="28"/>
        <v>7844.9099999999507</v>
      </c>
      <c r="Y914" s="1">
        <f t="shared" si="29"/>
        <v>5710.7699999999695</v>
      </c>
    </row>
    <row r="915" spans="1:25" x14ac:dyDescent="0.3">
      <c r="A915" s="1" t="s">
        <v>2060</v>
      </c>
      <c r="B915">
        <v>1</v>
      </c>
      <c r="C915">
        <v>16.989999999999998</v>
      </c>
      <c r="D915">
        <v>16.989999999999998</v>
      </c>
      <c r="E915" s="1" t="s">
        <v>91</v>
      </c>
      <c r="F915" s="1" t="s">
        <v>40</v>
      </c>
      <c r="G915">
        <v>20</v>
      </c>
      <c r="H915" s="1" t="s">
        <v>26</v>
      </c>
      <c r="I915" s="1" t="s">
        <v>59</v>
      </c>
      <c r="J915">
        <v>5</v>
      </c>
      <c r="K915">
        <v>16.989999999999998</v>
      </c>
      <c r="L915" s="1" t="s">
        <v>60</v>
      </c>
      <c r="M915" s="1" t="s">
        <v>61</v>
      </c>
      <c r="N915" s="1" t="s">
        <v>62</v>
      </c>
      <c r="O915" s="1" t="s">
        <v>31</v>
      </c>
      <c r="P915" s="2">
        <v>45726</v>
      </c>
      <c r="Q915" s="1" t="s">
        <v>1028</v>
      </c>
      <c r="R915" s="1" t="s">
        <v>1029</v>
      </c>
      <c r="S915" s="1" t="s">
        <v>105</v>
      </c>
      <c r="T915" s="1" t="s">
        <v>35</v>
      </c>
      <c r="U915" s="1" t="s">
        <v>36</v>
      </c>
      <c r="V915" s="1" t="s">
        <v>67</v>
      </c>
      <c r="W915">
        <v>3</v>
      </c>
      <c r="X915" s="1">
        <f t="shared" si="28"/>
        <v>8313.6899999999459</v>
      </c>
      <c r="Y915" s="1">
        <f t="shared" si="29"/>
        <v>6355.4899999999634</v>
      </c>
    </row>
    <row r="916" spans="1:25" x14ac:dyDescent="0.3">
      <c r="A916" s="1" t="s">
        <v>2061</v>
      </c>
      <c r="B916">
        <v>1</v>
      </c>
      <c r="C916">
        <v>30.99</v>
      </c>
      <c r="D916">
        <v>30.99</v>
      </c>
      <c r="E916" s="1" t="s">
        <v>2062</v>
      </c>
      <c r="F916" s="1" t="s">
        <v>40</v>
      </c>
      <c r="G916">
        <v>3</v>
      </c>
      <c r="H916" s="1" t="s">
        <v>26</v>
      </c>
      <c r="I916" s="1" t="s">
        <v>42</v>
      </c>
      <c r="J916">
        <v>10.5</v>
      </c>
      <c r="K916">
        <v>30.99</v>
      </c>
      <c r="L916" s="1" t="s">
        <v>28</v>
      </c>
      <c r="M916" s="1" t="s">
        <v>43</v>
      </c>
      <c r="N916" s="1" t="s">
        <v>44</v>
      </c>
      <c r="O916" s="1" t="s">
        <v>31</v>
      </c>
      <c r="P916" s="2">
        <v>45823</v>
      </c>
      <c r="Q916" s="1" t="s">
        <v>1018</v>
      </c>
      <c r="R916" s="1" t="s">
        <v>1725</v>
      </c>
      <c r="S916" s="1" t="s">
        <v>47</v>
      </c>
      <c r="T916" s="1" t="s">
        <v>35</v>
      </c>
      <c r="U916" s="1" t="s">
        <v>55</v>
      </c>
      <c r="V916" s="1" t="s">
        <v>37</v>
      </c>
      <c r="W916">
        <v>2</v>
      </c>
      <c r="X916" s="1">
        <f t="shared" si="28"/>
        <v>8313.6899999999459</v>
      </c>
      <c r="Y916" s="1">
        <f t="shared" si="29"/>
        <v>5710.7699999999695</v>
      </c>
    </row>
    <row r="917" spans="1:25" x14ac:dyDescent="0.3">
      <c r="A917" s="1" t="s">
        <v>2063</v>
      </c>
      <c r="B917">
        <v>1</v>
      </c>
      <c r="C917">
        <v>18.989999999999998</v>
      </c>
      <c r="D917">
        <v>18.989999999999998</v>
      </c>
      <c r="E917" s="1" t="s">
        <v>2064</v>
      </c>
      <c r="F917" s="1" t="s">
        <v>40</v>
      </c>
      <c r="G917">
        <v>14</v>
      </c>
      <c r="H917" s="1" t="s">
        <v>96</v>
      </c>
      <c r="I917" s="1" t="s">
        <v>97</v>
      </c>
      <c r="J917">
        <v>6</v>
      </c>
      <c r="K917">
        <v>18.989999999999998</v>
      </c>
      <c r="L917" s="1" t="s">
        <v>60</v>
      </c>
      <c r="M917" s="1" t="s">
        <v>43</v>
      </c>
      <c r="N917" s="1" t="s">
        <v>44</v>
      </c>
      <c r="O917" s="1" t="s">
        <v>31</v>
      </c>
      <c r="P917" s="2">
        <v>45823</v>
      </c>
      <c r="Q917" s="1" t="s">
        <v>2065</v>
      </c>
      <c r="R917" s="1" t="s">
        <v>2066</v>
      </c>
      <c r="S917" s="1" t="s">
        <v>47</v>
      </c>
      <c r="T917" s="1" t="s">
        <v>35</v>
      </c>
      <c r="U917" s="1" t="s">
        <v>66</v>
      </c>
      <c r="V917" s="1" t="s">
        <v>100</v>
      </c>
      <c r="W917">
        <v>3.2</v>
      </c>
      <c r="X917" s="1">
        <f t="shared" si="28"/>
        <v>7844.9099999999507</v>
      </c>
      <c r="Y917" s="1">
        <f t="shared" si="29"/>
        <v>6397.4799999999632</v>
      </c>
    </row>
    <row r="918" spans="1:25" x14ac:dyDescent="0.3">
      <c r="A918" s="1" t="s">
        <v>2067</v>
      </c>
      <c r="B918">
        <v>1</v>
      </c>
      <c r="C918">
        <v>34.99</v>
      </c>
      <c r="D918">
        <v>34.99</v>
      </c>
      <c r="E918" s="1" t="s">
        <v>187</v>
      </c>
      <c r="F918" s="1" t="s">
        <v>40</v>
      </c>
      <c r="G918">
        <v>8</v>
      </c>
      <c r="H918" s="1" t="s">
        <v>58</v>
      </c>
      <c r="I918" s="1" t="s">
        <v>85</v>
      </c>
      <c r="J918">
        <v>12.5</v>
      </c>
      <c r="K918">
        <v>34.99</v>
      </c>
      <c r="L918" s="1" t="s">
        <v>60</v>
      </c>
      <c r="M918" s="1" t="s">
        <v>29</v>
      </c>
      <c r="N918" s="1" t="s">
        <v>30</v>
      </c>
      <c r="O918" s="1" t="s">
        <v>31</v>
      </c>
      <c r="P918" s="2">
        <v>45778</v>
      </c>
      <c r="Q918" s="1" t="s">
        <v>1116</v>
      </c>
      <c r="R918" s="1" t="s">
        <v>1117</v>
      </c>
      <c r="S918" s="1" t="s">
        <v>88</v>
      </c>
      <c r="T918" s="1" t="s">
        <v>35</v>
      </c>
      <c r="U918" s="1" t="s">
        <v>55</v>
      </c>
      <c r="V918" s="1" t="s">
        <v>89</v>
      </c>
      <c r="W918">
        <v>2.4</v>
      </c>
      <c r="X918" s="1">
        <f t="shared" si="28"/>
        <v>8640.6199999999462</v>
      </c>
      <c r="Y918" s="1">
        <f t="shared" si="29"/>
        <v>5710.7699999999695</v>
      </c>
    </row>
    <row r="919" spans="1:25" x14ac:dyDescent="0.3">
      <c r="A919" s="1" t="s">
        <v>2068</v>
      </c>
      <c r="B919">
        <v>1</v>
      </c>
      <c r="C919">
        <v>34.99</v>
      </c>
      <c r="D919">
        <v>34.99</v>
      </c>
      <c r="E919" s="1" t="s">
        <v>1153</v>
      </c>
      <c r="F919" s="1" t="s">
        <v>188</v>
      </c>
      <c r="G919">
        <v>0</v>
      </c>
      <c r="H919" s="1" t="s">
        <v>41</v>
      </c>
      <c r="I919" s="1" t="s">
        <v>85</v>
      </c>
      <c r="J919">
        <v>12.5</v>
      </c>
      <c r="K919">
        <v>34.99</v>
      </c>
      <c r="L919" s="1" t="s">
        <v>60</v>
      </c>
      <c r="M919" s="1" t="s">
        <v>29</v>
      </c>
      <c r="N919" s="1" t="s">
        <v>30</v>
      </c>
      <c r="O919" s="1" t="s">
        <v>31</v>
      </c>
      <c r="P919" s="2">
        <v>45778</v>
      </c>
      <c r="Q919" s="1" t="s">
        <v>1052</v>
      </c>
      <c r="R919" s="1" t="s">
        <v>1053</v>
      </c>
      <c r="S919" s="1" t="s">
        <v>105</v>
      </c>
      <c r="T919" s="1" t="s">
        <v>35</v>
      </c>
      <c r="U919" s="1" t="s">
        <v>55</v>
      </c>
      <c r="V919" s="1" t="s">
        <v>89</v>
      </c>
      <c r="W919">
        <v>2.4</v>
      </c>
      <c r="X919" s="1">
        <f t="shared" si="28"/>
        <v>8551.6499999999451</v>
      </c>
      <c r="Y919" s="1">
        <f t="shared" si="29"/>
        <v>5710.7699999999695</v>
      </c>
    </row>
    <row r="920" spans="1:25" x14ac:dyDescent="0.3">
      <c r="A920" s="1" t="s">
        <v>2069</v>
      </c>
      <c r="B920">
        <v>2</v>
      </c>
      <c r="C920">
        <v>16.989999999999998</v>
      </c>
      <c r="D920">
        <v>29.3</v>
      </c>
      <c r="E920" s="1" t="s">
        <v>2070</v>
      </c>
      <c r="F920" s="1" t="s">
        <v>40</v>
      </c>
      <c r="G920">
        <v>16</v>
      </c>
      <c r="H920" s="1" t="s">
        <v>96</v>
      </c>
      <c r="I920" s="1" t="s">
        <v>59</v>
      </c>
      <c r="J920">
        <v>5</v>
      </c>
      <c r="K920">
        <v>16.989999999999998</v>
      </c>
      <c r="L920" s="1" t="s">
        <v>60</v>
      </c>
      <c r="M920" s="1" t="s">
        <v>61</v>
      </c>
      <c r="N920" s="1" t="s">
        <v>62</v>
      </c>
      <c r="O920" s="1" t="s">
        <v>31</v>
      </c>
      <c r="P920" s="2">
        <v>45726</v>
      </c>
      <c r="Q920" s="1" t="s">
        <v>1275</v>
      </c>
      <c r="R920" s="1" t="s">
        <v>1276</v>
      </c>
      <c r="S920" s="1" t="s">
        <v>47</v>
      </c>
      <c r="T920" s="1" t="s">
        <v>35</v>
      </c>
      <c r="U920" s="1" t="s">
        <v>66</v>
      </c>
      <c r="V920" s="1" t="s">
        <v>67</v>
      </c>
      <c r="W920">
        <v>3</v>
      </c>
      <c r="X920" s="1">
        <f t="shared" si="28"/>
        <v>7844.9099999999507</v>
      </c>
      <c r="Y920" s="1">
        <f t="shared" si="29"/>
        <v>6397.4799999999632</v>
      </c>
    </row>
    <row r="921" spans="1:25" x14ac:dyDescent="0.3">
      <c r="A921" s="1" t="s">
        <v>2071</v>
      </c>
      <c r="B921">
        <v>3</v>
      </c>
      <c r="C921">
        <v>16.989999999999998</v>
      </c>
      <c r="D921">
        <v>40.96</v>
      </c>
      <c r="E921" s="1" t="s">
        <v>763</v>
      </c>
      <c r="F921" s="1" t="s">
        <v>40</v>
      </c>
      <c r="G921">
        <v>17</v>
      </c>
      <c r="H921" s="1" t="s">
        <v>41</v>
      </c>
      <c r="I921" s="1" t="s">
        <v>59</v>
      </c>
      <c r="J921">
        <v>5</v>
      </c>
      <c r="K921">
        <v>16.989999999999998</v>
      </c>
      <c r="L921" s="1" t="s">
        <v>60</v>
      </c>
      <c r="M921" s="1" t="s">
        <v>61</v>
      </c>
      <c r="N921" s="1" t="s">
        <v>62</v>
      </c>
      <c r="O921" s="1" t="s">
        <v>31</v>
      </c>
      <c r="P921" s="2">
        <v>45726</v>
      </c>
      <c r="Q921" s="1" t="s">
        <v>118</v>
      </c>
      <c r="R921" s="1" t="s">
        <v>751</v>
      </c>
      <c r="S921" s="1" t="s">
        <v>65</v>
      </c>
      <c r="T921" s="1" t="s">
        <v>35</v>
      </c>
      <c r="U921" s="1" t="s">
        <v>82</v>
      </c>
      <c r="V921" s="1" t="s">
        <v>67</v>
      </c>
      <c r="W921">
        <v>3</v>
      </c>
      <c r="X921" s="1">
        <f t="shared" si="28"/>
        <v>8551.6499999999451</v>
      </c>
      <c r="Y921" s="1">
        <f t="shared" si="29"/>
        <v>7204.2099999999582</v>
      </c>
    </row>
    <row r="922" spans="1:25" x14ac:dyDescent="0.3">
      <c r="A922" s="1" t="s">
        <v>2072</v>
      </c>
      <c r="B922">
        <v>3</v>
      </c>
      <c r="C922">
        <v>27.99</v>
      </c>
      <c r="D922">
        <v>66.09</v>
      </c>
      <c r="E922" s="1" t="s">
        <v>900</v>
      </c>
      <c r="F922" s="1" t="s">
        <v>40</v>
      </c>
      <c r="G922">
        <v>3</v>
      </c>
      <c r="H922" s="1" t="s">
        <v>26</v>
      </c>
      <c r="I922" s="1" t="s">
        <v>75</v>
      </c>
      <c r="J922">
        <v>9</v>
      </c>
      <c r="K922">
        <v>27.99</v>
      </c>
      <c r="L922" s="1" t="s">
        <v>28</v>
      </c>
      <c r="M922" s="1" t="s">
        <v>61</v>
      </c>
      <c r="N922" s="1" t="s">
        <v>62</v>
      </c>
      <c r="O922" s="1" t="s">
        <v>31</v>
      </c>
      <c r="P922" s="2">
        <v>45726</v>
      </c>
      <c r="Q922" s="1" t="s">
        <v>947</v>
      </c>
      <c r="R922" s="1" t="s">
        <v>1425</v>
      </c>
      <c r="S922" s="1" t="s">
        <v>88</v>
      </c>
      <c r="T922" s="1" t="s">
        <v>35</v>
      </c>
      <c r="U922" s="1" t="s">
        <v>55</v>
      </c>
      <c r="V922" s="1" t="s">
        <v>37</v>
      </c>
      <c r="W922">
        <v>2</v>
      </c>
      <c r="X922" s="1">
        <f t="shared" si="28"/>
        <v>8313.6899999999459</v>
      </c>
      <c r="Y922" s="1">
        <f t="shared" si="29"/>
        <v>5710.7699999999695</v>
      </c>
    </row>
    <row r="923" spans="1:25" x14ac:dyDescent="0.3">
      <c r="A923" s="1" t="s">
        <v>2073</v>
      </c>
      <c r="B923">
        <v>1</v>
      </c>
      <c r="C923">
        <v>27.99</v>
      </c>
      <c r="D923">
        <v>27.99</v>
      </c>
      <c r="E923" s="1" t="s">
        <v>577</v>
      </c>
      <c r="F923" s="1" t="s">
        <v>40</v>
      </c>
      <c r="G923">
        <v>3</v>
      </c>
      <c r="H923" s="1" t="s">
        <v>41</v>
      </c>
      <c r="I923" s="1" t="s">
        <v>75</v>
      </c>
      <c r="J923">
        <v>9</v>
      </c>
      <c r="K923">
        <v>27.99</v>
      </c>
      <c r="L923" s="1" t="s">
        <v>28</v>
      </c>
      <c r="M923" s="1" t="s">
        <v>61</v>
      </c>
      <c r="N923" s="1" t="s">
        <v>62</v>
      </c>
      <c r="O923" s="1" t="s">
        <v>31</v>
      </c>
      <c r="P923" s="2">
        <v>45726</v>
      </c>
      <c r="Q923" s="1" t="s">
        <v>140</v>
      </c>
      <c r="R923" s="1" t="s">
        <v>1199</v>
      </c>
      <c r="S923" s="1" t="s">
        <v>65</v>
      </c>
      <c r="T923" s="1" t="s">
        <v>35</v>
      </c>
      <c r="U923" s="1" t="s">
        <v>36</v>
      </c>
      <c r="V923" s="1" t="s">
        <v>37</v>
      </c>
      <c r="W923">
        <v>2</v>
      </c>
      <c r="X923" s="1">
        <f t="shared" si="28"/>
        <v>8551.6499999999451</v>
      </c>
      <c r="Y923" s="1">
        <f t="shared" si="29"/>
        <v>6355.4899999999634</v>
      </c>
    </row>
    <row r="924" spans="1:25" x14ac:dyDescent="0.3">
      <c r="A924" s="1" t="s">
        <v>2074</v>
      </c>
      <c r="B924">
        <v>1</v>
      </c>
      <c r="C924">
        <v>21.99</v>
      </c>
      <c r="D924">
        <v>21.99</v>
      </c>
      <c r="E924" s="1" t="s">
        <v>1006</v>
      </c>
      <c r="F924" s="1" t="s">
        <v>40</v>
      </c>
      <c r="G924">
        <v>3</v>
      </c>
      <c r="H924" s="1" t="s">
        <v>41</v>
      </c>
      <c r="I924" s="1" t="s">
        <v>27</v>
      </c>
      <c r="J924">
        <v>7</v>
      </c>
      <c r="K924">
        <v>21.99</v>
      </c>
      <c r="L924" s="1" t="s">
        <v>28</v>
      </c>
      <c r="M924" s="1" t="s">
        <v>29</v>
      </c>
      <c r="N924" s="1" t="s">
        <v>30</v>
      </c>
      <c r="O924" s="1" t="s">
        <v>31</v>
      </c>
      <c r="P924" s="2">
        <v>45778</v>
      </c>
      <c r="Q924" s="1" t="s">
        <v>2015</v>
      </c>
      <c r="R924" s="1" t="s">
        <v>2016</v>
      </c>
      <c r="S924" s="1" t="s">
        <v>65</v>
      </c>
      <c r="T924" s="1" t="s">
        <v>35</v>
      </c>
      <c r="U924" s="1" t="s">
        <v>48</v>
      </c>
      <c r="V924" s="1" t="s">
        <v>37</v>
      </c>
      <c r="W924">
        <v>2</v>
      </c>
      <c r="X924" s="1">
        <f t="shared" si="28"/>
        <v>8551.6499999999451</v>
      </c>
      <c r="Y924" s="1">
        <f t="shared" si="29"/>
        <v>7682.919999999951</v>
      </c>
    </row>
    <row r="925" spans="1:25" x14ac:dyDescent="0.3">
      <c r="A925" s="1" t="s">
        <v>2075</v>
      </c>
      <c r="B925">
        <v>3</v>
      </c>
      <c r="C925">
        <v>16.989999999999998</v>
      </c>
      <c r="D925">
        <v>40.92</v>
      </c>
      <c r="E925" s="1" t="s">
        <v>929</v>
      </c>
      <c r="F925" s="1" t="s">
        <v>25</v>
      </c>
      <c r="G925">
        <v>18</v>
      </c>
      <c r="H925" s="1" t="s">
        <v>58</v>
      </c>
      <c r="I925" s="1" t="s">
        <v>59</v>
      </c>
      <c r="J925">
        <v>5</v>
      </c>
      <c r="K925">
        <v>16.989999999999998</v>
      </c>
      <c r="L925" s="1" t="s">
        <v>60</v>
      </c>
      <c r="M925" s="1" t="s">
        <v>61</v>
      </c>
      <c r="N925" s="1" t="s">
        <v>62</v>
      </c>
      <c r="O925" s="1" t="s">
        <v>31</v>
      </c>
      <c r="P925" s="2">
        <v>45726</v>
      </c>
      <c r="Q925" s="1" t="s">
        <v>1018</v>
      </c>
      <c r="R925" s="1" t="s">
        <v>1019</v>
      </c>
      <c r="S925" s="1" t="s">
        <v>34</v>
      </c>
      <c r="T925" s="1" t="s">
        <v>35</v>
      </c>
      <c r="U925" s="1" t="s">
        <v>82</v>
      </c>
      <c r="V925" s="1" t="s">
        <v>67</v>
      </c>
      <c r="W925">
        <v>3</v>
      </c>
      <c r="X925" s="1">
        <f t="shared" si="28"/>
        <v>8640.6199999999462</v>
      </c>
      <c r="Y925" s="1">
        <f t="shared" si="29"/>
        <v>7204.2099999999582</v>
      </c>
    </row>
    <row r="926" spans="1:25" x14ac:dyDescent="0.3">
      <c r="A926" s="1" t="s">
        <v>2076</v>
      </c>
      <c r="B926">
        <v>1</v>
      </c>
      <c r="C926">
        <v>30.99</v>
      </c>
      <c r="D926">
        <v>30.99</v>
      </c>
      <c r="E926" s="1" t="s">
        <v>1572</v>
      </c>
      <c r="F926" s="1" t="s">
        <v>40</v>
      </c>
      <c r="G926">
        <v>2</v>
      </c>
      <c r="H926" s="1" t="s">
        <v>58</v>
      </c>
      <c r="I926" s="1" t="s">
        <v>42</v>
      </c>
      <c r="J926">
        <v>10.5</v>
      </c>
      <c r="K926">
        <v>30.99</v>
      </c>
      <c r="L926" s="1" t="s">
        <v>28</v>
      </c>
      <c r="M926" s="1" t="s">
        <v>43</v>
      </c>
      <c r="N926" s="1" t="s">
        <v>44</v>
      </c>
      <c r="O926" s="1" t="s">
        <v>31</v>
      </c>
      <c r="P926" s="2">
        <v>45823</v>
      </c>
      <c r="Q926" s="1" t="s">
        <v>814</v>
      </c>
      <c r="R926" s="1" t="s">
        <v>2077</v>
      </c>
      <c r="S926" s="1" t="s">
        <v>34</v>
      </c>
      <c r="T926" s="1" t="s">
        <v>35</v>
      </c>
      <c r="U926" s="1" t="s">
        <v>55</v>
      </c>
      <c r="V926" s="1" t="s">
        <v>37</v>
      </c>
      <c r="W926">
        <v>2</v>
      </c>
      <c r="X926" s="1">
        <f t="shared" si="28"/>
        <v>8640.6199999999462</v>
      </c>
      <c r="Y926" s="1">
        <f t="shared" si="29"/>
        <v>5710.7699999999695</v>
      </c>
    </row>
    <row r="927" spans="1:25" x14ac:dyDescent="0.3">
      <c r="A927" s="1" t="s">
        <v>2078</v>
      </c>
      <c r="B927">
        <v>3</v>
      </c>
      <c r="C927">
        <v>18.989999999999998</v>
      </c>
      <c r="D927">
        <v>45.8</v>
      </c>
      <c r="E927" s="1" t="s">
        <v>493</v>
      </c>
      <c r="F927" s="1" t="s">
        <v>40</v>
      </c>
      <c r="G927">
        <v>14</v>
      </c>
      <c r="H927" s="1" t="s">
        <v>96</v>
      </c>
      <c r="I927" s="1" t="s">
        <v>97</v>
      </c>
      <c r="J927">
        <v>6</v>
      </c>
      <c r="K927">
        <v>18.989999999999998</v>
      </c>
      <c r="L927" s="1" t="s">
        <v>60</v>
      </c>
      <c r="M927" s="1" t="s">
        <v>43</v>
      </c>
      <c r="N927" s="1" t="s">
        <v>44</v>
      </c>
      <c r="O927" s="1" t="s">
        <v>31</v>
      </c>
      <c r="P927" s="2">
        <v>45823</v>
      </c>
      <c r="Q927" s="1" t="s">
        <v>842</v>
      </c>
      <c r="R927" s="1" t="s">
        <v>843</v>
      </c>
      <c r="S927" s="1" t="s">
        <v>54</v>
      </c>
      <c r="T927" s="1" t="s">
        <v>35</v>
      </c>
      <c r="U927" s="1" t="s">
        <v>36</v>
      </c>
      <c r="V927" s="1" t="s">
        <v>100</v>
      </c>
      <c r="W927">
        <v>3.2</v>
      </c>
      <c r="X927" s="1">
        <f t="shared" si="28"/>
        <v>7844.9099999999507</v>
      </c>
      <c r="Y927" s="1">
        <f t="shared" si="29"/>
        <v>6355.4899999999634</v>
      </c>
    </row>
    <row r="928" spans="1:25" x14ac:dyDescent="0.3">
      <c r="A928" s="1" t="s">
        <v>2079</v>
      </c>
      <c r="B928">
        <v>1</v>
      </c>
      <c r="C928">
        <v>16.989999999999998</v>
      </c>
      <c r="D928">
        <v>16.989999999999998</v>
      </c>
      <c r="E928" s="1" t="s">
        <v>1877</v>
      </c>
      <c r="F928" s="1" t="s">
        <v>40</v>
      </c>
      <c r="G928">
        <v>20</v>
      </c>
      <c r="H928" s="1" t="s">
        <v>26</v>
      </c>
      <c r="I928" s="1" t="s">
        <v>59</v>
      </c>
      <c r="J928">
        <v>5</v>
      </c>
      <c r="K928">
        <v>16.989999999999998</v>
      </c>
      <c r="L928" s="1" t="s">
        <v>60</v>
      </c>
      <c r="M928" s="1" t="s">
        <v>61</v>
      </c>
      <c r="N928" s="1" t="s">
        <v>62</v>
      </c>
      <c r="O928" s="1" t="s">
        <v>31</v>
      </c>
      <c r="P928" s="2">
        <v>45726</v>
      </c>
      <c r="Q928" s="1" t="s">
        <v>2042</v>
      </c>
      <c r="R928" s="1" t="s">
        <v>2043</v>
      </c>
      <c r="S928" s="1" t="s">
        <v>65</v>
      </c>
      <c r="T928" s="1" t="s">
        <v>35</v>
      </c>
      <c r="U928" s="1" t="s">
        <v>36</v>
      </c>
      <c r="V928" s="1" t="s">
        <v>67</v>
      </c>
      <c r="W928">
        <v>3</v>
      </c>
      <c r="X928" s="1">
        <f t="shared" si="28"/>
        <v>8313.6899999999459</v>
      </c>
      <c r="Y928" s="1">
        <f t="shared" si="29"/>
        <v>6355.4899999999634</v>
      </c>
    </row>
    <row r="929" spans="1:25" x14ac:dyDescent="0.3">
      <c r="A929" s="1" t="s">
        <v>2080</v>
      </c>
      <c r="B929">
        <v>1</v>
      </c>
      <c r="C929">
        <v>27.99</v>
      </c>
      <c r="D929">
        <v>27.99</v>
      </c>
      <c r="E929" s="1" t="s">
        <v>1285</v>
      </c>
      <c r="F929" s="1" t="s">
        <v>40</v>
      </c>
      <c r="G929">
        <v>3</v>
      </c>
      <c r="H929" s="1" t="s">
        <v>26</v>
      </c>
      <c r="I929" s="1" t="s">
        <v>75</v>
      </c>
      <c r="J929">
        <v>9</v>
      </c>
      <c r="K929">
        <v>27.99</v>
      </c>
      <c r="L929" s="1" t="s">
        <v>28</v>
      </c>
      <c r="M929" s="1" t="s">
        <v>61</v>
      </c>
      <c r="N929" s="1" t="s">
        <v>62</v>
      </c>
      <c r="O929" s="1" t="s">
        <v>31</v>
      </c>
      <c r="P929" s="2">
        <v>45726</v>
      </c>
      <c r="Q929" s="1" t="s">
        <v>1003</v>
      </c>
      <c r="R929" s="1" t="s">
        <v>1542</v>
      </c>
      <c r="S929" s="1" t="s">
        <v>54</v>
      </c>
      <c r="T929" s="1" t="s">
        <v>35</v>
      </c>
      <c r="U929" s="1" t="s">
        <v>48</v>
      </c>
      <c r="V929" s="1" t="s">
        <v>37</v>
      </c>
      <c r="W929">
        <v>2</v>
      </c>
      <c r="X929" s="1">
        <f t="shared" si="28"/>
        <v>8313.6899999999459</v>
      </c>
      <c r="Y929" s="1">
        <f t="shared" si="29"/>
        <v>7682.919999999951</v>
      </c>
    </row>
    <row r="930" spans="1:25" x14ac:dyDescent="0.3">
      <c r="A930" s="1" t="s">
        <v>2081</v>
      </c>
      <c r="B930">
        <v>1</v>
      </c>
      <c r="C930">
        <v>34.99</v>
      </c>
      <c r="D930">
        <v>34.99</v>
      </c>
      <c r="E930" s="1" t="s">
        <v>2082</v>
      </c>
      <c r="F930" s="1" t="s">
        <v>51</v>
      </c>
      <c r="G930">
        <v>0</v>
      </c>
      <c r="H930" s="1" t="s">
        <v>58</v>
      </c>
      <c r="I930" s="1" t="s">
        <v>85</v>
      </c>
      <c r="J930">
        <v>12.5</v>
      </c>
      <c r="K930">
        <v>34.99</v>
      </c>
      <c r="L930" s="1" t="s">
        <v>60</v>
      </c>
      <c r="M930" s="1" t="s">
        <v>29</v>
      </c>
      <c r="N930" s="1" t="s">
        <v>30</v>
      </c>
      <c r="O930" s="1" t="s">
        <v>31</v>
      </c>
      <c r="P930" s="2">
        <v>45778</v>
      </c>
      <c r="Q930" s="1" t="s">
        <v>1018</v>
      </c>
      <c r="R930" s="1" t="s">
        <v>1019</v>
      </c>
      <c r="S930" s="1" t="s">
        <v>34</v>
      </c>
      <c r="T930" s="1" t="s">
        <v>35</v>
      </c>
      <c r="U930" s="1" t="s">
        <v>82</v>
      </c>
      <c r="V930" s="1" t="s">
        <v>89</v>
      </c>
      <c r="W930">
        <v>2.4</v>
      </c>
      <c r="X930" s="1">
        <f t="shared" si="28"/>
        <v>8640.6199999999462</v>
      </c>
      <c r="Y930" s="1">
        <f t="shared" si="29"/>
        <v>7204.2099999999582</v>
      </c>
    </row>
    <row r="931" spans="1:25" x14ac:dyDescent="0.3">
      <c r="A931" s="1" t="s">
        <v>2083</v>
      </c>
      <c r="B931">
        <v>1</v>
      </c>
      <c r="C931">
        <v>21.99</v>
      </c>
      <c r="D931">
        <v>21.99</v>
      </c>
      <c r="E931" s="1" t="s">
        <v>2084</v>
      </c>
      <c r="F931" s="1" t="s">
        <v>40</v>
      </c>
      <c r="G931">
        <v>2</v>
      </c>
      <c r="H931" s="1" t="s">
        <v>26</v>
      </c>
      <c r="I931" s="1" t="s">
        <v>27</v>
      </c>
      <c r="J931">
        <v>7</v>
      </c>
      <c r="K931">
        <v>21.99</v>
      </c>
      <c r="L931" s="1" t="s">
        <v>28</v>
      </c>
      <c r="M931" s="1" t="s">
        <v>29</v>
      </c>
      <c r="N931" s="1" t="s">
        <v>30</v>
      </c>
      <c r="O931" s="1" t="s">
        <v>31</v>
      </c>
      <c r="P931" s="2">
        <v>45778</v>
      </c>
      <c r="Q931" s="1" t="s">
        <v>1822</v>
      </c>
      <c r="R931" s="1" t="s">
        <v>1823</v>
      </c>
      <c r="S931" s="1" t="s">
        <v>105</v>
      </c>
      <c r="T931" s="1" t="s">
        <v>35</v>
      </c>
      <c r="U931" s="1" t="s">
        <v>82</v>
      </c>
      <c r="V931" s="1" t="s">
        <v>37</v>
      </c>
      <c r="W931">
        <v>2</v>
      </c>
      <c r="X931" s="1">
        <f t="shared" si="28"/>
        <v>8313.6899999999459</v>
      </c>
      <c r="Y931" s="1">
        <f t="shared" si="29"/>
        <v>7204.2099999999582</v>
      </c>
    </row>
    <row r="932" spans="1:25" x14ac:dyDescent="0.3">
      <c r="A932" s="1" t="s">
        <v>2085</v>
      </c>
      <c r="B932">
        <v>3</v>
      </c>
      <c r="C932">
        <v>16.989999999999998</v>
      </c>
      <c r="D932">
        <v>40.619999999999997</v>
      </c>
      <c r="E932" s="1" t="s">
        <v>1168</v>
      </c>
      <c r="F932" s="1" t="s">
        <v>40</v>
      </c>
      <c r="G932">
        <v>19</v>
      </c>
      <c r="H932" s="1" t="s">
        <v>26</v>
      </c>
      <c r="I932" s="1" t="s">
        <v>59</v>
      </c>
      <c r="J932">
        <v>5</v>
      </c>
      <c r="K932">
        <v>16.989999999999998</v>
      </c>
      <c r="L932" s="1" t="s">
        <v>60</v>
      </c>
      <c r="M932" s="1" t="s">
        <v>61</v>
      </c>
      <c r="N932" s="1" t="s">
        <v>62</v>
      </c>
      <c r="O932" s="1" t="s">
        <v>31</v>
      </c>
      <c r="P932" s="2">
        <v>45726</v>
      </c>
      <c r="Q932" s="1" t="s">
        <v>724</v>
      </c>
      <c r="R932" s="1" t="s">
        <v>725</v>
      </c>
      <c r="S932" s="1" t="s">
        <v>65</v>
      </c>
      <c r="T932" s="1" t="s">
        <v>35</v>
      </c>
      <c r="U932" s="1" t="s">
        <v>66</v>
      </c>
      <c r="V932" s="1" t="s">
        <v>67</v>
      </c>
      <c r="W932">
        <v>3</v>
      </c>
      <c r="X932" s="1">
        <f t="shared" si="28"/>
        <v>8313.6899999999459</v>
      </c>
      <c r="Y932" s="1">
        <f t="shared" si="29"/>
        <v>6397.4799999999632</v>
      </c>
    </row>
    <row r="933" spans="1:25" x14ac:dyDescent="0.3">
      <c r="A933" s="1" t="s">
        <v>2086</v>
      </c>
      <c r="B933">
        <v>1</v>
      </c>
      <c r="C933">
        <v>16.989999999999998</v>
      </c>
      <c r="D933">
        <v>16.989999999999998</v>
      </c>
      <c r="E933" s="1" t="s">
        <v>246</v>
      </c>
      <c r="F933" s="1" t="s">
        <v>40</v>
      </c>
      <c r="G933">
        <v>18</v>
      </c>
      <c r="H933" s="1" t="s">
        <v>41</v>
      </c>
      <c r="I933" s="1" t="s">
        <v>59</v>
      </c>
      <c r="J933">
        <v>5</v>
      </c>
      <c r="K933">
        <v>16.989999999999998</v>
      </c>
      <c r="L933" s="1" t="s">
        <v>60</v>
      </c>
      <c r="M933" s="1" t="s">
        <v>61</v>
      </c>
      <c r="N933" s="1" t="s">
        <v>62</v>
      </c>
      <c r="O933" s="1" t="s">
        <v>31</v>
      </c>
      <c r="P933" s="2">
        <v>45726</v>
      </c>
      <c r="Q933" s="1" t="s">
        <v>133</v>
      </c>
      <c r="R933" s="1" t="s">
        <v>776</v>
      </c>
      <c r="S933" s="1" t="s">
        <v>88</v>
      </c>
      <c r="T933" s="1" t="s">
        <v>35</v>
      </c>
      <c r="U933" s="1" t="s">
        <v>48</v>
      </c>
      <c r="V933" s="1" t="s">
        <v>67</v>
      </c>
      <c r="W933">
        <v>3</v>
      </c>
      <c r="X933" s="1">
        <f t="shared" si="28"/>
        <v>8551.6499999999451</v>
      </c>
      <c r="Y933" s="1">
        <f t="shared" si="29"/>
        <v>7682.919999999951</v>
      </c>
    </row>
    <row r="934" spans="1:25" x14ac:dyDescent="0.3">
      <c r="A934" s="1" t="s">
        <v>2087</v>
      </c>
      <c r="B934">
        <v>1</v>
      </c>
      <c r="C934">
        <v>18.989999999999998</v>
      </c>
      <c r="D934">
        <v>18.989999999999998</v>
      </c>
      <c r="E934" s="1" t="s">
        <v>107</v>
      </c>
      <c r="F934" s="1" t="s">
        <v>40</v>
      </c>
      <c r="G934">
        <v>14</v>
      </c>
      <c r="H934" s="1" t="s">
        <v>41</v>
      </c>
      <c r="I934" s="1" t="s">
        <v>97</v>
      </c>
      <c r="J934">
        <v>6</v>
      </c>
      <c r="K934">
        <v>18.989999999999998</v>
      </c>
      <c r="L934" s="1" t="s">
        <v>60</v>
      </c>
      <c r="M934" s="1" t="s">
        <v>43</v>
      </c>
      <c r="N934" s="1" t="s">
        <v>44</v>
      </c>
      <c r="O934" s="1" t="s">
        <v>31</v>
      </c>
      <c r="P934" s="2">
        <v>45823</v>
      </c>
      <c r="Q934" s="1" t="s">
        <v>1116</v>
      </c>
      <c r="R934" s="1" t="s">
        <v>1117</v>
      </c>
      <c r="S934" s="1" t="s">
        <v>88</v>
      </c>
      <c r="T934" s="1" t="s">
        <v>35</v>
      </c>
      <c r="U934" s="1" t="s">
        <v>55</v>
      </c>
      <c r="V934" s="1" t="s">
        <v>100</v>
      </c>
      <c r="W934">
        <v>3.2</v>
      </c>
      <c r="X934" s="1">
        <f t="shared" si="28"/>
        <v>8551.6499999999451</v>
      </c>
      <c r="Y934" s="1">
        <f t="shared" si="29"/>
        <v>5710.7699999999695</v>
      </c>
    </row>
    <row r="935" spans="1:25" x14ac:dyDescent="0.3">
      <c r="A935" s="1" t="s">
        <v>2088</v>
      </c>
      <c r="B935">
        <v>1</v>
      </c>
      <c r="C935">
        <v>16.989999999999998</v>
      </c>
      <c r="D935">
        <v>16.989999999999998</v>
      </c>
      <c r="E935" s="1" t="s">
        <v>2048</v>
      </c>
      <c r="F935" s="1" t="s">
        <v>40</v>
      </c>
      <c r="G935">
        <v>19</v>
      </c>
      <c r="H935" s="1" t="s">
        <v>26</v>
      </c>
      <c r="I935" s="1" t="s">
        <v>59</v>
      </c>
      <c r="J935">
        <v>5</v>
      </c>
      <c r="K935">
        <v>16.989999999999998</v>
      </c>
      <c r="L935" s="1" t="s">
        <v>60</v>
      </c>
      <c r="M935" s="1" t="s">
        <v>61</v>
      </c>
      <c r="N935" s="1" t="s">
        <v>62</v>
      </c>
      <c r="O935" s="1" t="s">
        <v>31</v>
      </c>
      <c r="P935" s="2">
        <v>45726</v>
      </c>
      <c r="Q935" s="1" t="s">
        <v>2089</v>
      </c>
      <c r="R935" s="1" t="s">
        <v>2090</v>
      </c>
      <c r="S935" s="1" t="s">
        <v>105</v>
      </c>
      <c r="T935" s="1" t="s">
        <v>35</v>
      </c>
      <c r="U935" s="1" t="s">
        <v>36</v>
      </c>
      <c r="V935" s="1" t="s">
        <v>67</v>
      </c>
      <c r="W935">
        <v>3</v>
      </c>
      <c r="X935" s="1">
        <f t="shared" si="28"/>
        <v>8313.6899999999459</v>
      </c>
      <c r="Y935" s="1">
        <f t="shared" si="29"/>
        <v>6355.4899999999634</v>
      </c>
    </row>
    <row r="936" spans="1:25" x14ac:dyDescent="0.3">
      <c r="A936" s="1" t="s">
        <v>2091</v>
      </c>
      <c r="B936">
        <v>1</v>
      </c>
      <c r="C936">
        <v>16.989999999999998</v>
      </c>
      <c r="D936">
        <v>16.989999999999998</v>
      </c>
      <c r="E936" s="1" t="s">
        <v>272</v>
      </c>
      <c r="F936" s="1" t="s">
        <v>40</v>
      </c>
      <c r="G936">
        <v>15</v>
      </c>
      <c r="H936" s="1" t="s">
        <v>26</v>
      </c>
      <c r="I936" s="1" t="s">
        <v>59</v>
      </c>
      <c r="J936">
        <v>5</v>
      </c>
      <c r="K936">
        <v>16.989999999999998</v>
      </c>
      <c r="L936" s="1" t="s">
        <v>60</v>
      </c>
      <c r="M936" s="1" t="s">
        <v>61</v>
      </c>
      <c r="N936" s="1" t="s">
        <v>62</v>
      </c>
      <c r="O936" s="1" t="s">
        <v>31</v>
      </c>
      <c r="P936" s="2">
        <v>45726</v>
      </c>
      <c r="Q936" s="1" t="s">
        <v>1856</v>
      </c>
      <c r="R936" s="1" t="s">
        <v>1857</v>
      </c>
      <c r="S936" s="1" t="s">
        <v>34</v>
      </c>
      <c r="T936" s="1" t="s">
        <v>35</v>
      </c>
      <c r="U936" s="1" t="s">
        <v>36</v>
      </c>
      <c r="V936" s="1" t="s">
        <v>67</v>
      </c>
      <c r="W936">
        <v>3</v>
      </c>
      <c r="X936" s="1">
        <f t="shared" si="28"/>
        <v>8313.6899999999459</v>
      </c>
      <c r="Y936" s="1">
        <f t="shared" si="29"/>
        <v>6355.4899999999634</v>
      </c>
    </row>
    <row r="937" spans="1:25" x14ac:dyDescent="0.3">
      <c r="A937" s="1" t="s">
        <v>2092</v>
      </c>
      <c r="B937">
        <v>1</v>
      </c>
      <c r="C937">
        <v>18.989999999999998</v>
      </c>
      <c r="D937">
        <v>18.989999999999998</v>
      </c>
      <c r="E937" s="1" t="s">
        <v>2093</v>
      </c>
      <c r="F937" s="1" t="s">
        <v>40</v>
      </c>
      <c r="G937">
        <v>13</v>
      </c>
      <c r="H937" s="1" t="s">
        <v>96</v>
      </c>
      <c r="I937" s="1" t="s">
        <v>97</v>
      </c>
      <c r="J937">
        <v>6</v>
      </c>
      <c r="K937">
        <v>18.989999999999998</v>
      </c>
      <c r="L937" s="1" t="s">
        <v>60</v>
      </c>
      <c r="M937" s="1" t="s">
        <v>43</v>
      </c>
      <c r="N937" s="1" t="s">
        <v>44</v>
      </c>
      <c r="O937" s="1" t="s">
        <v>31</v>
      </c>
      <c r="P937" s="2">
        <v>45823</v>
      </c>
      <c r="Q937" s="1" t="s">
        <v>1112</v>
      </c>
      <c r="R937" s="1" t="s">
        <v>1215</v>
      </c>
      <c r="S937" s="1" t="s">
        <v>54</v>
      </c>
      <c r="T937" s="1" t="s">
        <v>35</v>
      </c>
      <c r="U937" s="1" t="s">
        <v>48</v>
      </c>
      <c r="V937" s="1" t="s">
        <v>100</v>
      </c>
      <c r="W937">
        <v>3.2</v>
      </c>
      <c r="X937" s="1">
        <f t="shared" si="28"/>
        <v>7844.9099999999507</v>
      </c>
      <c r="Y937" s="1">
        <f t="shared" si="29"/>
        <v>7682.919999999951</v>
      </c>
    </row>
    <row r="938" spans="1:25" x14ac:dyDescent="0.3">
      <c r="A938" s="1" t="s">
        <v>2094</v>
      </c>
      <c r="B938">
        <v>2</v>
      </c>
      <c r="C938">
        <v>27.99</v>
      </c>
      <c r="D938">
        <v>48.98</v>
      </c>
      <c r="E938" s="1" t="s">
        <v>1883</v>
      </c>
      <c r="F938" s="1" t="s">
        <v>40</v>
      </c>
      <c r="G938">
        <v>5</v>
      </c>
      <c r="H938" s="1" t="s">
        <v>41</v>
      </c>
      <c r="I938" s="1" t="s">
        <v>75</v>
      </c>
      <c r="J938">
        <v>9</v>
      </c>
      <c r="K938">
        <v>27.99</v>
      </c>
      <c r="L938" s="1" t="s">
        <v>28</v>
      </c>
      <c r="M938" s="1" t="s">
        <v>61</v>
      </c>
      <c r="N938" s="1" t="s">
        <v>62</v>
      </c>
      <c r="O938" s="1" t="s">
        <v>31</v>
      </c>
      <c r="P938" s="2">
        <v>45726</v>
      </c>
      <c r="Q938" s="1" t="s">
        <v>1112</v>
      </c>
      <c r="R938" s="1" t="s">
        <v>1113</v>
      </c>
      <c r="S938" s="1" t="s">
        <v>105</v>
      </c>
      <c r="T938" s="1" t="s">
        <v>35</v>
      </c>
      <c r="U938" s="1" t="s">
        <v>66</v>
      </c>
      <c r="V938" s="1" t="s">
        <v>37</v>
      </c>
      <c r="W938">
        <v>2</v>
      </c>
      <c r="X938" s="1">
        <f t="shared" si="28"/>
        <v>8551.6499999999451</v>
      </c>
      <c r="Y938" s="1">
        <f t="shared" si="29"/>
        <v>6397.4799999999632</v>
      </c>
    </row>
    <row r="939" spans="1:25" x14ac:dyDescent="0.3">
      <c r="A939" s="1" t="s">
        <v>2095</v>
      </c>
      <c r="B939">
        <v>1</v>
      </c>
      <c r="C939">
        <v>18.989999999999998</v>
      </c>
      <c r="D939">
        <v>18.989999999999998</v>
      </c>
      <c r="E939" s="1" t="s">
        <v>202</v>
      </c>
      <c r="F939" s="1" t="s">
        <v>188</v>
      </c>
      <c r="G939">
        <v>0</v>
      </c>
      <c r="H939" s="1" t="s">
        <v>96</v>
      </c>
      <c r="I939" s="1" t="s">
        <v>97</v>
      </c>
      <c r="J939">
        <v>6</v>
      </c>
      <c r="K939">
        <v>18.989999999999998</v>
      </c>
      <c r="L939" s="1" t="s">
        <v>60</v>
      </c>
      <c r="M939" s="1" t="s">
        <v>43</v>
      </c>
      <c r="N939" s="1" t="s">
        <v>44</v>
      </c>
      <c r="O939" s="1" t="s">
        <v>31</v>
      </c>
      <c r="P939" s="2">
        <v>45823</v>
      </c>
      <c r="Q939" s="1" t="s">
        <v>161</v>
      </c>
      <c r="R939" s="1" t="s">
        <v>2096</v>
      </c>
      <c r="S939" s="1" t="s">
        <v>34</v>
      </c>
      <c r="T939" s="1" t="s">
        <v>35</v>
      </c>
      <c r="U939" s="1" t="s">
        <v>48</v>
      </c>
      <c r="V939" s="1" t="s">
        <v>100</v>
      </c>
      <c r="W939">
        <v>3.2</v>
      </c>
      <c r="X939" s="1">
        <f t="shared" si="28"/>
        <v>7844.9099999999507</v>
      </c>
      <c r="Y939" s="1">
        <f t="shared" si="29"/>
        <v>7682.919999999951</v>
      </c>
    </row>
    <row r="940" spans="1:25" x14ac:dyDescent="0.3">
      <c r="A940" s="1" t="s">
        <v>2097</v>
      </c>
      <c r="B940">
        <v>1</v>
      </c>
      <c r="C940">
        <v>16.989999999999998</v>
      </c>
      <c r="D940">
        <v>16.989999999999998</v>
      </c>
      <c r="E940" s="1" t="s">
        <v>2098</v>
      </c>
      <c r="F940" s="1" t="s">
        <v>51</v>
      </c>
      <c r="G940">
        <v>0</v>
      </c>
      <c r="H940" s="1" t="s">
        <v>41</v>
      </c>
      <c r="I940" s="1" t="s">
        <v>59</v>
      </c>
      <c r="J940">
        <v>5</v>
      </c>
      <c r="K940">
        <v>16.989999999999998</v>
      </c>
      <c r="L940" s="1" t="s">
        <v>60</v>
      </c>
      <c r="M940" s="1" t="s">
        <v>61</v>
      </c>
      <c r="N940" s="1" t="s">
        <v>62</v>
      </c>
      <c r="O940" s="1" t="s">
        <v>31</v>
      </c>
      <c r="P940" s="2">
        <v>45726</v>
      </c>
      <c r="Q940" s="1" t="s">
        <v>1712</v>
      </c>
      <c r="R940" s="1" t="s">
        <v>1713</v>
      </c>
      <c r="S940" s="1" t="s">
        <v>34</v>
      </c>
      <c r="T940" s="1" t="s">
        <v>35</v>
      </c>
      <c r="U940" s="1" t="s">
        <v>48</v>
      </c>
      <c r="V940" s="1" t="s">
        <v>67</v>
      </c>
      <c r="W940">
        <v>3</v>
      </c>
      <c r="X940" s="1">
        <f t="shared" si="28"/>
        <v>8551.6499999999451</v>
      </c>
      <c r="Y940" s="1">
        <f t="shared" si="29"/>
        <v>7682.919999999951</v>
      </c>
    </row>
    <row r="941" spans="1:25" x14ac:dyDescent="0.3">
      <c r="A941" s="1" t="s">
        <v>2099</v>
      </c>
      <c r="B941">
        <v>1</v>
      </c>
      <c r="C941">
        <v>16.989999999999998</v>
      </c>
      <c r="D941">
        <v>16.989999999999998</v>
      </c>
      <c r="E941" s="1" t="s">
        <v>723</v>
      </c>
      <c r="F941" s="1" t="s">
        <v>25</v>
      </c>
      <c r="G941">
        <v>23</v>
      </c>
      <c r="H941" s="1" t="s">
        <v>58</v>
      </c>
      <c r="I941" s="1" t="s">
        <v>59</v>
      </c>
      <c r="J941">
        <v>5</v>
      </c>
      <c r="K941">
        <v>16.989999999999998</v>
      </c>
      <c r="L941" s="1" t="s">
        <v>60</v>
      </c>
      <c r="M941" s="1" t="s">
        <v>61</v>
      </c>
      <c r="N941" s="1" t="s">
        <v>62</v>
      </c>
      <c r="O941" s="1" t="s">
        <v>31</v>
      </c>
      <c r="P941" s="2">
        <v>45726</v>
      </c>
      <c r="Q941" s="1" t="s">
        <v>1256</v>
      </c>
      <c r="R941" s="1" t="s">
        <v>2100</v>
      </c>
      <c r="S941" s="1" t="s">
        <v>88</v>
      </c>
      <c r="T941" s="1" t="s">
        <v>35</v>
      </c>
      <c r="U941" s="1" t="s">
        <v>55</v>
      </c>
      <c r="V941" s="1" t="s">
        <v>67</v>
      </c>
      <c r="W941">
        <v>3</v>
      </c>
      <c r="X941" s="1">
        <f t="shared" si="28"/>
        <v>8640.6199999999462</v>
      </c>
      <c r="Y941" s="1">
        <f t="shared" si="29"/>
        <v>5710.7699999999695</v>
      </c>
    </row>
    <row r="942" spans="1:25" x14ac:dyDescent="0.3">
      <c r="A942" s="1" t="s">
        <v>2101</v>
      </c>
      <c r="B942">
        <v>1</v>
      </c>
      <c r="C942">
        <v>30.99</v>
      </c>
      <c r="D942">
        <v>30.99</v>
      </c>
      <c r="E942" s="1" t="s">
        <v>862</v>
      </c>
      <c r="F942" s="1" t="s">
        <v>70</v>
      </c>
      <c r="G942">
        <v>0</v>
      </c>
      <c r="H942" s="1" t="s">
        <v>41</v>
      </c>
      <c r="I942" s="1" t="s">
        <v>42</v>
      </c>
      <c r="J942">
        <v>10.5</v>
      </c>
      <c r="K942">
        <v>30.99</v>
      </c>
      <c r="L942" s="1" t="s">
        <v>28</v>
      </c>
      <c r="M942" s="1" t="s">
        <v>43</v>
      </c>
      <c r="N942" s="1" t="s">
        <v>44</v>
      </c>
      <c r="O942" s="1" t="s">
        <v>31</v>
      </c>
      <c r="P942" s="2">
        <v>45823</v>
      </c>
      <c r="Q942" s="1" t="s">
        <v>917</v>
      </c>
      <c r="R942" s="1" t="s">
        <v>918</v>
      </c>
      <c r="S942" s="1" t="s">
        <v>54</v>
      </c>
      <c r="T942" s="1" t="s">
        <v>35</v>
      </c>
      <c r="U942" s="1" t="s">
        <v>36</v>
      </c>
      <c r="V942" s="1" t="s">
        <v>37</v>
      </c>
      <c r="W942">
        <v>2</v>
      </c>
      <c r="X942" s="1">
        <f t="shared" si="28"/>
        <v>8551.6499999999451</v>
      </c>
      <c r="Y942" s="1">
        <f t="shared" si="29"/>
        <v>6355.4899999999634</v>
      </c>
    </row>
    <row r="943" spans="1:25" x14ac:dyDescent="0.3">
      <c r="A943" s="1" t="s">
        <v>2102</v>
      </c>
      <c r="B943">
        <v>1</v>
      </c>
      <c r="C943">
        <v>18.989999999999998</v>
      </c>
      <c r="D943">
        <v>18.989999999999998</v>
      </c>
      <c r="E943" s="1" t="s">
        <v>156</v>
      </c>
      <c r="F943" s="1" t="s">
        <v>51</v>
      </c>
      <c r="G943">
        <v>0</v>
      </c>
      <c r="H943" s="1" t="s">
        <v>58</v>
      </c>
      <c r="I943" s="1" t="s">
        <v>97</v>
      </c>
      <c r="J943">
        <v>6</v>
      </c>
      <c r="K943">
        <v>18.989999999999998</v>
      </c>
      <c r="L943" s="1" t="s">
        <v>60</v>
      </c>
      <c r="M943" s="1" t="s">
        <v>43</v>
      </c>
      <c r="N943" s="1" t="s">
        <v>44</v>
      </c>
      <c r="O943" s="1" t="s">
        <v>31</v>
      </c>
      <c r="P943" s="2">
        <v>45823</v>
      </c>
      <c r="Q943" s="1" t="s">
        <v>947</v>
      </c>
      <c r="R943" s="1" t="s">
        <v>1425</v>
      </c>
      <c r="S943" s="1" t="s">
        <v>88</v>
      </c>
      <c r="T943" s="1" t="s">
        <v>35</v>
      </c>
      <c r="U943" s="1" t="s">
        <v>55</v>
      </c>
      <c r="V943" s="1" t="s">
        <v>100</v>
      </c>
      <c r="W943">
        <v>3.2</v>
      </c>
      <c r="X943" s="1">
        <f t="shared" si="28"/>
        <v>8640.6199999999462</v>
      </c>
      <c r="Y943" s="1">
        <f t="shared" si="29"/>
        <v>5710.7699999999695</v>
      </c>
    </row>
    <row r="944" spans="1:25" x14ac:dyDescent="0.3">
      <c r="A944" s="1" t="s">
        <v>2103</v>
      </c>
      <c r="B944">
        <v>1</v>
      </c>
      <c r="C944">
        <v>34.99</v>
      </c>
      <c r="D944">
        <v>34.99</v>
      </c>
      <c r="E944" s="1" t="s">
        <v>2104</v>
      </c>
      <c r="F944" s="1" t="s">
        <v>25</v>
      </c>
      <c r="G944">
        <v>7</v>
      </c>
      <c r="H944" s="1" t="s">
        <v>58</v>
      </c>
      <c r="I944" s="1" t="s">
        <v>85</v>
      </c>
      <c r="J944">
        <v>12.5</v>
      </c>
      <c r="K944">
        <v>34.99</v>
      </c>
      <c r="L944" s="1" t="s">
        <v>60</v>
      </c>
      <c r="M944" s="1" t="s">
        <v>29</v>
      </c>
      <c r="N944" s="1" t="s">
        <v>30</v>
      </c>
      <c r="O944" s="1" t="s">
        <v>31</v>
      </c>
      <c r="P944" s="2">
        <v>45778</v>
      </c>
      <c r="Q944" s="1" t="s">
        <v>1654</v>
      </c>
      <c r="R944" s="1" t="s">
        <v>2105</v>
      </c>
      <c r="S944" s="1" t="s">
        <v>34</v>
      </c>
      <c r="T944" s="1" t="s">
        <v>35</v>
      </c>
      <c r="U944" s="1" t="s">
        <v>48</v>
      </c>
      <c r="V944" s="1" t="s">
        <v>89</v>
      </c>
      <c r="W944">
        <v>2.4</v>
      </c>
      <c r="X944" s="1">
        <f t="shared" si="28"/>
        <v>8640.6199999999462</v>
      </c>
      <c r="Y944" s="1">
        <f t="shared" si="29"/>
        <v>7682.919999999951</v>
      </c>
    </row>
    <row r="945" spans="1:25" x14ac:dyDescent="0.3">
      <c r="A945" s="1" t="s">
        <v>2106</v>
      </c>
      <c r="B945">
        <v>1</v>
      </c>
      <c r="C945">
        <v>21.99</v>
      </c>
      <c r="D945">
        <v>21.99</v>
      </c>
      <c r="E945" s="1" t="s">
        <v>1111</v>
      </c>
      <c r="F945" s="1" t="s">
        <v>25</v>
      </c>
      <c r="G945">
        <v>8</v>
      </c>
      <c r="H945" s="1" t="s">
        <v>41</v>
      </c>
      <c r="I945" s="1" t="s">
        <v>27</v>
      </c>
      <c r="J945">
        <v>7</v>
      </c>
      <c r="K945">
        <v>21.99</v>
      </c>
      <c r="L945" s="1" t="s">
        <v>28</v>
      </c>
      <c r="M945" s="1" t="s">
        <v>29</v>
      </c>
      <c r="N945" s="1" t="s">
        <v>30</v>
      </c>
      <c r="O945" s="1" t="s">
        <v>31</v>
      </c>
      <c r="P945" s="2">
        <v>45778</v>
      </c>
      <c r="Q945" s="1" t="s">
        <v>2107</v>
      </c>
      <c r="R945" s="1" t="s">
        <v>2108</v>
      </c>
      <c r="S945" s="1" t="s">
        <v>88</v>
      </c>
      <c r="T945" s="1" t="s">
        <v>35</v>
      </c>
      <c r="U945" s="1" t="s">
        <v>82</v>
      </c>
      <c r="V945" s="1" t="s">
        <v>37</v>
      </c>
      <c r="W945">
        <v>2</v>
      </c>
      <c r="X945" s="1">
        <f t="shared" si="28"/>
        <v>8551.6499999999451</v>
      </c>
      <c r="Y945" s="1">
        <f t="shared" si="29"/>
        <v>7204.2099999999582</v>
      </c>
    </row>
    <row r="946" spans="1:25" x14ac:dyDescent="0.3">
      <c r="A946" s="1" t="s">
        <v>2109</v>
      </c>
      <c r="B946">
        <v>1</v>
      </c>
      <c r="C946">
        <v>18.989999999999998</v>
      </c>
      <c r="D946">
        <v>18.989999999999998</v>
      </c>
      <c r="E946" s="1" t="s">
        <v>113</v>
      </c>
      <c r="F946" s="1" t="s">
        <v>25</v>
      </c>
      <c r="G946">
        <v>11</v>
      </c>
      <c r="H946" s="1" t="s">
        <v>41</v>
      </c>
      <c r="I946" s="1" t="s">
        <v>97</v>
      </c>
      <c r="J946">
        <v>6</v>
      </c>
      <c r="K946">
        <v>18.989999999999998</v>
      </c>
      <c r="L946" s="1" t="s">
        <v>60</v>
      </c>
      <c r="M946" s="1" t="s">
        <v>43</v>
      </c>
      <c r="N946" s="1" t="s">
        <v>44</v>
      </c>
      <c r="O946" s="1" t="s">
        <v>31</v>
      </c>
      <c r="P946" s="2">
        <v>45823</v>
      </c>
      <c r="Q946" s="1" t="s">
        <v>797</v>
      </c>
      <c r="R946" s="1" t="s">
        <v>798</v>
      </c>
      <c r="S946" s="1" t="s">
        <v>65</v>
      </c>
      <c r="T946" s="1" t="s">
        <v>35</v>
      </c>
      <c r="U946" s="1" t="s">
        <v>66</v>
      </c>
      <c r="V946" s="1" t="s">
        <v>100</v>
      </c>
      <c r="W946">
        <v>3.2</v>
      </c>
      <c r="X946" s="1">
        <f t="shared" si="28"/>
        <v>8551.6499999999451</v>
      </c>
      <c r="Y946" s="1">
        <f t="shared" si="29"/>
        <v>6397.4799999999632</v>
      </c>
    </row>
    <row r="947" spans="1:25" x14ac:dyDescent="0.3">
      <c r="A947" s="1" t="s">
        <v>2110</v>
      </c>
      <c r="B947">
        <v>1</v>
      </c>
      <c r="C947">
        <v>18.989999999999998</v>
      </c>
      <c r="D947">
        <v>18.989999999999998</v>
      </c>
      <c r="E947" s="1" t="s">
        <v>1379</v>
      </c>
      <c r="F947" s="1" t="s">
        <v>40</v>
      </c>
      <c r="G947">
        <v>16</v>
      </c>
      <c r="H947" s="1" t="s">
        <v>96</v>
      </c>
      <c r="I947" s="1" t="s">
        <v>97</v>
      </c>
      <c r="J947">
        <v>6</v>
      </c>
      <c r="K947">
        <v>18.989999999999998</v>
      </c>
      <c r="L947" s="1" t="s">
        <v>60</v>
      </c>
      <c r="M947" s="1" t="s">
        <v>43</v>
      </c>
      <c r="N947" s="1" t="s">
        <v>44</v>
      </c>
      <c r="O947" s="1" t="s">
        <v>31</v>
      </c>
      <c r="P947" s="2">
        <v>45823</v>
      </c>
      <c r="Q947" s="1" t="s">
        <v>147</v>
      </c>
      <c r="R947" s="1" t="s">
        <v>1601</v>
      </c>
      <c r="S947" s="1" t="s">
        <v>105</v>
      </c>
      <c r="T947" s="1" t="s">
        <v>35</v>
      </c>
      <c r="U947" s="1" t="s">
        <v>55</v>
      </c>
      <c r="V947" s="1" t="s">
        <v>100</v>
      </c>
      <c r="W947">
        <v>3.2</v>
      </c>
      <c r="X947" s="1">
        <f t="shared" si="28"/>
        <v>7844.9099999999507</v>
      </c>
      <c r="Y947" s="1">
        <f t="shared" si="29"/>
        <v>5710.7699999999695</v>
      </c>
    </row>
    <row r="948" spans="1:25" x14ac:dyDescent="0.3">
      <c r="A948" s="1" t="s">
        <v>2111</v>
      </c>
      <c r="B948">
        <v>1</v>
      </c>
      <c r="C948">
        <v>27.99</v>
      </c>
      <c r="D948">
        <v>27.99</v>
      </c>
      <c r="E948" s="1" t="s">
        <v>1393</v>
      </c>
      <c r="F948" s="1" t="s">
        <v>40</v>
      </c>
      <c r="G948">
        <v>5</v>
      </c>
      <c r="H948" s="1" t="s">
        <v>26</v>
      </c>
      <c r="I948" s="1" t="s">
        <v>75</v>
      </c>
      <c r="J948">
        <v>9</v>
      </c>
      <c r="K948">
        <v>27.99</v>
      </c>
      <c r="L948" s="1" t="s">
        <v>28</v>
      </c>
      <c r="M948" s="1" t="s">
        <v>61</v>
      </c>
      <c r="N948" s="1" t="s">
        <v>62</v>
      </c>
      <c r="O948" s="1" t="s">
        <v>31</v>
      </c>
      <c r="P948" s="2">
        <v>45726</v>
      </c>
      <c r="Q948" s="1" t="s">
        <v>1032</v>
      </c>
      <c r="R948" s="1" t="s">
        <v>2112</v>
      </c>
      <c r="S948" s="1" t="s">
        <v>105</v>
      </c>
      <c r="T948" s="1" t="s">
        <v>35</v>
      </c>
      <c r="U948" s="1" t="s">
        <v>82</v>
      </c>
      <c r="V948" s="1" t="s">
        <v>37</v>
      </c>
      <c r="W948">
        <v>2</v>
      </c>
      <c r="X948" s="1">
        <f t="shared" si="28"/>
        <v>8313.6899999999459</v>
      </c>
      <c r="Y948" s="1">
        <f t="shared" si="29"/>
        <v>7204.2099999999582</v>
      </c>
    </row>
    <row r="949" spans="1:25" x14ac:dyDescent="0.3">
      <c r="A949" s="1" t="s">
        <v>2113</v>
      </c>
      <c r="B949">
        <v>1</v>
      </c>
      <c r="C949">
        <v>30.99</v>
      </c>
      <c r="D949">
        <v>30.99</v>
      </c>
      <c r="E949" s="1" t="s">
        <v>1375</v>
      </c>
      <c r="F949" s="1" t="s">
        <v>40</v>
      </c>
      <c r="G949">
        <v>4</v>
      </c>
      <c r="H949" s="1" t="s">
        <v>58</v>
      </c>
      <c r="I949" s="1" t="s">
        <v>42</v>
      </c>
      <c r="J949">
        <v>10.5</v>
      </c>
      <c r="K949">
        <v>30.99</v>
      </c>
      <c r="L949" s="1" t="s">
        <v>28</v>
      </c>
      <c r="M949" s="1" t="s">
        <v>43</v>
      </c>
      <c r="N949" s="1" t="s">
        <v>44</v>
      </c>
      <c r="O949" s="1" t="s">
        <v>31</v>
      </c>
      <c r="P949" s="2">
        <v>45823</v>
      </c>
      <c r="Q949" s="1" t="s">
        <v>1328</v>
      </c>
      <c r="R949" s="1" t="s">
        <v>1329</v>
      </c>
      <c r="S949" s="1" t="s">
        <v>105</v>
      </c>
      <c r="T949" s="1" t="s">
        <v>35</v>
      </c>
      <c r="U949" s="1" t="s">
        <v>36</v>
      </c>
      <c r="V949" s="1" t="s">
        <v>37</v>
      </c>
      <c r="W949">
        <v>2</v>
      </c>
      <c r="X949" s="1">
        <f t="shared" si="28"/>
        <v>8640.6199999999462</v>
      </c>
      <c r="Y949" s="1">
        <f t="shared" si="29"/>
        <v>6355.4899999999634</v>
      </c>
    </row>
    <row r="950" spans="1:25" x14ac:dyDescent="0.3">
      <c r="A950" s="1" t="s">
        <v>2114</v>
      </c>
      <c r="B950">
        <v>1</v>
      </c>
      <c r="C950">
        <v>18.989999999999998</v>
      </c>
      <c r="D950">
        <v>18.989999999999998</v>
      </c>
      <c r="E950" s="1" t="s">
        <v>1411</v>
      </c>
      <c r="F950" s="1" t="s">
        <v>40</v>
      </c>
      <c r="G950">
        <v>10</v>
      </c>
      <c r="H950" s="1" t="s">
        <v>26</v>
      </c>
      <c r="I950" s="1" t="s">
        <v>97</v>
      </c>
      <c r="J950">
        <v>6</v>
      </c>
      <c r="K950">
        <v>18.989999999999998</v>
      </c>
      <c r="L950" s="1" t="s">
        <v>60</v>
      </c>
      <c r="M950" s="1" t="s">
        <v>43</v>
      </c>
      <c r="N950" s="1" t="s">
        <v>44</v>
      </c>
      <c r="O950" s="1" t="s">
        <v>31</v>
      </c>
      <c r="P950" s="2">
        <v>45823</v>
      </c>
      <c r="Q950" s="1" t="s">
        <v>975</v>
      </c>
      <c r="R950" s="1" t="s">
        <v>976</v>
      </c>
      <c r="S950" s="1" t="s">
        <v>54</v>
      </c>
      <c r="T950" s="1" t="s">
        <v>35</v>
      </c>
      <c r="U950" s="1" t="s">
        <v>66</v>
      </c>
      <c r="V950" s="1" t="s">
        <v>100</v>
      </c>
      <c r="W950">
        <v>3.2</v>
      </c>
      <c r="X950" s="1">
        <f t="shared" si="28"/>
        <v>8313.6899999999459</v>
      </c>
      <c r="Y950" s="1">
        <f t="shared" si="29"/>
        <v>6397.4799999999632</v>
      </c>
    </row>
    <row r="951" spans="1:25" x14ac:dyDescent="0.3">
      <c r="A951" s="1" t="s">
        <v>2115</v>
      </c>
      <c r="B951">
        <v>2</v>
      </c>
      <c r="C951">
        <v>18.989999999999998</v>
      </c>
      <c r="D951">
        <v>32.880000000000003</v>
      </c>
      <c r="E951" s="1" t="s">
        <v>2116</v>
      </c>
      <c r="F951" s="1" t="s">
        <v>51</v>
      </c>
      <c r="G951">
        <v>0</v>
      </c>
      <c r="H951" s="1" t="s">
        <v>41</v>
      </c>
      <c r="I951" s="1" t="s">
        <v>97</v>
      </c>
      <c r="J951">
        <v>6</v>
      </c>
      <c r="K951">
        <v>18.989999999999998</v>
      </c>
      <c r="L951" s="1" t="s">
        <v>60</v>
      </c>
      <c r="M951" s="1" t="s">
        <v>43</v>
      </c>
      <c r="N951" s="1" t="s">
        <v>44</v>
      </c>
      <c r="O951" s="1" t="s">
        <v>31</v>
      </c>
      <c r="P951" s="2">
        <v>45823</v>
      </c>
      <c r="Q951" s="1" t="s">
        <v>934</v>
      </c>
      <c r="R951" s="1" t="s">
        <v>2117</v>
      </c>
      <c r="S951" s="1" t="s">
        <v>105</v>
      </c>
      <c r="T951" s="1" t="s">
        <v>35</v>
      </c>
      <c r="U951" s="1" t="s">
        <v>55</v>
      </c>
      <c r="V951" s="1" t="s">
        <v>100</v>
      </c>
      <c r="W951">
        <v>3.2</v>
      </c>
      <c r="X951" s="1">
        <f t="shared" si="28"/>
        <v>8551.6499999999451</v>
      </c>
      <c r="Y951" s="1">
        <f t="shared" si="29"/>
        <v>5710.7699999999695</v>
      </c>
    </row>
    <row r="952" spans="1:25" x14ac:dyDescent="0.3">
      <c r="A952" s="1" t="s">
        <v>2118</v>
      </c>
      <c r="B952">
        <v>1</v>
      </c>
      <c r="C952">
        <v>18.989999999999998</v>
      </c>
      <c r="D952">
        <v>18.989999999999998</v>
      </c>
      <c r="E952" s="1" t="s">
        <v>248</v>
      </c>
      <c r="F952" s="1" t="s">
        <v>188</v>
      </c>
      <c r="G952">
        <v>0</v>
      </c>
      <c r="H952" s="1" t="s">
        <v>41</v>
      </c>
      <c r="I952" s="1" t="s">
        <v>97</v>
      </c>
      <c r="J952">
        <v>6</v>
      </c>
      <c r="K952">
        <v>18.989999999999998</v>
      </c>
      <c r="L952" s="1" t="s">
        <v>60</v>
      </c>
      <c r="M952" s="1" t="s">
        <v>43</v>
      </c>
      <c r="N952" s="1" t="s">
        <v>44</v>
      </c>
      <c r="O952" s="1" t="s">
        <v>31</v>
      </c>
      <c r="P952" s="2">
        <v>45823</v>
      </c>
      <c r="Q952" s="1" t="s">
        <v>884</v>
      </c>
      <c r="R952" s="1" t="s">
        <v>885</v>
      </c>
      <c r="S952" s="1" t="s">
        <v>34</v>
      </c>
      <c r="T952" s="1" t="s">
        <v>35</v>
      </c>
      <c r="U952" s="1" t="s">
        <v>36</v>
      </c>
      <c r="V952" s="1" t="s">
        <v>100</v>
      </c>
      <c r="W952">
        <v>3.2</v>
      </c>
      <c r="X952" s="1">
        <f t="shared" si="28"/>
        <v>8551.6499999999451</v>
      </c>
      <c r="Y952" s="1">
        <f t="shared" si="29"/>
        <v>6355.4899999999634</v>
      </c>
    </row>
    <row r="953" spans="1:25" x14ac:dyDescent="0.3">
      <c r="A953" s="1" t="s">
        <v>2119</v>
      </c>
      <c r="B953">
        <v>2</v>
      </c>
      <c r="C953">
        <v>27.99</v>
      </c>
      <c r="D953">
        <v>48</v>
      </c>
      <c r="E953" s="1" t="s">
        <v>181</v>
      </c>
      <c r="F953" s="1" t="s">
        <v>40</v>
      </c>
      <c r="G953">
        <v>2</v>
      </c>
      <c r="H953" s="1" t="s">
        <v>41</v>
      </c>
      <c r="I953" s="1" t="s">
        <v>75</v>
      </c>
      <c r="J953">
        <v>9</v>
      </c>
      <c r="K953">
        <v>27.99</v>
      </c>
      <c r="L953" s="1" t="s">
        <v>28</v>
      </c>
      <c r="M953" s="1" t="s">
        <v>61</v>
      </c>
      <c r="N953" s="1" t="s">
        <v>62</v>
      </c>
      <c r="O953" s="1" t="s">
        <v>31</v>
      </c>
      <c r="P953" s="2">
        <v>45726</v>
      </c>
      <c r="Q953" s="1" t="s">
        <v>1048</v>
      </c>
      <c r="R953" s="1" t="s">
        <v>1701</v>
      </c>
      <c r="S953" s="1" t="s">
        <v>105</v>
      </c>
      <c r="T953" s="1" t="s">
        <v>35</v>
      </c>
      <c r="U953" s="1" t="s">
        <v>82</v>
      </c>
      <c r="V953" s="1" t="s">
        <v>37</v>
      </c>
      <c r="W953">
        <v>2</v>
      </c>
      <c r="X953" s="1">
        <f t="shared" si="28"/>
        <v>8551.6499999999451</v>
      </c>
      <c r="Y953" s="1">
        <f t="shared" si="29"/>
        <v>7204.2099999999582</v>
      </c>
    </row>
    <row r="954" spans="1:25" x14ac:dyDescent="0.3">
      <c r="A954" s="1" t="s">
        <v>2120</v>
      </c>
      <c r="B954">
        <v>1</v>
      </c>
      <c r="C954">
        <v>16.989999999999998</v>
      </c>
      <c r="D954">
        <v>16.989999999999998</v>
      </c>
      <c r="E954" s="1" t="s">
        <v>84</v>
      </c>
      <c r="F954" s="1" t="s">
        <v>70</v>
      </c>
      <c r="G954">
        <v>0</v>
      </c>
      <c r="H954" s="1" t="s">
        <v>26</v>
      </c>
      <c r="I954" s="1" t="s">
        <v>59</v>
      </c>
      <c r="J954">
        <v>5</v>
      </c>
      <c r="K954">
        <v>16.989999999999998</v>
      </c>
      <c r="L954" s="1" t="s">
        <v>60</v>
      </c>
      <c r="M954" s="1" t="s">
        <v>61</v>
      </c>
      <c r="N954" s="1" t="s">
        <v>62</v>
      </c>
      <c r="O954" s="1" t="s">
        <v>31</v>
      </c>
      <c r="P954" s="2">
        <v>45726</v>
      </c>
      <c r="Q954" s="1" t="s">
        <v>990</v>
      </c>
      <c r="R954" s="1" t="s">
        <v>991</v>
      </c>
      <c r="S954" s="1" t="s">
        <v>54</v>
      </c>
      <c r="T954" s="1" t="s">
        <v>35</v>
      </c>
      <c r="U954" s="1" t="s">
        <v>48</v>
      </c>
      <c r="V954" s="1" t="s">
        <v>67</v>
      </c>
      <c r="W954">
        <v>3</v>
      </c>
      <c r="X954" s="1">
        <f t="shared" si="28"/>
        <v>8313.6899999999459</v>
      </c>
      <c r="Y954" s="1">
        <f t="shared" si="29"/>
        <v>7682.919999999951</v>
      </c>
    </row>
    <row r="955" spans="1:25" x14ac:dyDescent="0.3">
      <c r="A955" s="1" t="s">
        <v>2121</v>
      </c>
      <c r="B955">
        <v>3</v>
      </c>
      <c r="C955">
        <v>21.99</v>
      </c>
      <c r="D955">
        <v>52.91</v>
      </c>
      <c r="E955" s="1" t="s">
        <v>1345</v>
      </c>
      <c r="F955" s="1" t="s">
        <v>40</v>
      </c>
      <c r="G955">
        <v>3</v>
      </c>
      <c r="H955" s="1" t="s">
        <v>58</v>
      </c>
      <c r="I955" s="1" t="s">
        <v>27</v>
      </c>
      <c r="J955">
        <v>7</v>
      </c>
      <c r="K955">
        <v>21.99</v>
      </c>
      <c r="L955" s="1" t="s">
        <v>28</v>
      </c>
      <c r="M955" s="1" t="s">
        <v>29</v>
      </c>
      <c r="N955" s="1" t="s">
        <v>30</v>
      </c>
      <c r="O955" s="1" t="s">
        <v>31</v>
      </c>
      <c r="P955" s="2">
        <v>45778</v>
      </c>
      <c r="Q955" s="1" t="s">
        <v>1157</v>
      </c>
      <c r="R955" s="1" t="s">
        <v>1158</v>
      </c>
      <c r="S955" s="1" t="s">
        <v>105</v>
      </c>
      <c r="T955" s="1" t="s">
        <v>35</v>
      </c>
      <c r="U955" s="1" t="s">
        <v>55</v>
      </c>
      <c r="V955" s="1" t="s">
        <v>37</v>
      </c>
      <c r="W955">
        <v>2</v>
      </c>
      <c r="X955" s="1">
        <f t="shared" si="28"/>
        <v>8640.6199999999462</v>
      </c>
      <c r="Y955" s="1">
        <f t="shared" si="29"/>
        <v>5710.7699999999695</v>
      </c>
    </row>
    <row r="956" spans="1:25" x14ac:dyDescent="0.3">
      <c r="A956" s="1" t="s">
        <v>2122</v>
      </c>
      <c r="B956">
        <v>1</v>
      </c>
      <c r="C956">
        <v>27.99</v>
      </c>
      <c r="D956">
        <v>27.99</v>
      </c>
      <c r="E956" s="1" t="s">
        <v>771</v>
      </c>
      <c r="F956" s="1" t="s">
        <v>40</v>
      </c>
      <c r="G956">
        <v>7</v>
      </c>
      <c r="H956" s="1" t="s">
        <v>58</v>
      </c>
      <c r="I956" s="1" t="s">
        <v>75</v>
      </c>
      <c r="J956">
        <v>9</v>
      </c>
      <c r="K956">
        <v>27.99</v>
      </c>
      <c r="L956" s="1" t="s">
        <v>28</v>
      </c>
      <c r="M956" s="1" t="s">
        <v>61</v>
      </c>
      <c r="N956" s="1" t="s">
        <v>62</v>
      </c>
      <c r="O956" s="1" t="s">
        <v>31</v>
      </c>
      <c r="P956" s="2">
        <v>45726</v>
      </c>
      <c r="Q956" s="1" t="s">
        <v>801</v>
      </c>
      <c r="R956" s="1" t="s">
        <v>802</v>
      </c>
      <c r="S956" s="1" t="s">
        <v>88</v>
      </c>
      <c r="T956" s="1" t="s">
        <v>35</v>
      </c>
      <c r="U956" s="1" t="s">
        <v>82</v>
      </c>
      <c r="V956" s="1" t="s">
        <v>37</v>
      </c>
      <c r="W956">
        <v>2</v>
      </c>
      <c r="X956" s="1">
        <f t="shared" si="28"/>
        <v>8640.6199999999462</v>
      </c>
      <c r="Y956" s="1">
        <f t="shared" si="29"/>
        <v>7204.2099999999582</v>
      </c>
    </row>
    <row r="957" spans="1:25" x14ac:dyDescent="0.3">
      <c r="A957" s="1" t="s">
        <v>2123</v>
      </c>
      <c r="B957">
        <v>1</v>
      </c>
      <c r="C957">
        <v>27.99</v>
      </c>
      <c r="D957">
        <v>27.99</v>
      </c>
      <c r="E957" s="1" t="s">
        <v>2124</v>
      </c>
      <c r="F957" s="1" t="s">
        <v>40</v>
      </c>
      <c r="G957">
        <v>2</v>
      </c>
      <c r="H957" s="1" t="s">
        <v>41</v>
      </c>
      <c r="I957" s="1" t="s">
        <v>75</v>
      </c>
      <c r="J957">
        <v>9</v>
      </c>
      <c r="K957">
        <v>27.99</v>
      </c>
      <c r="L957" s="1" t="s">
        <v>28</v>
      </c>
      <c r="M957" s="1" t="s">
        <v>61</v>
      </c>
      <c r="N957" s="1" t="s">
        <v>62</v>
      </c>
      <c r="O957" s="1" t="s">
        <v>31</v>
      </c>
      <c r="P957" s="2">
        <v>45726</v>
      </c>
      <c r="Q957" s="1" t="s">
        <v>2065</v>
      </c>
      <c r="R957" s="1" t="s">
        <v>2066</v>
      </c>
      <c r="S957" s="1" t="s">
        <v>47</v>
      </c>
      <c r="T957" s="1" t="s">
        <v>35</v>
      </c>
      <c r="U957" s="1" t="s">
        <v>66</v>
      </c>
      <c r="V957" s="1" t="s">
        <v>37</v>
      </c>
      <c r="W957">
        <v>2</v>
      </c>
      <c r="X957" s="1">
        <f t="shared" si="28"/>
        <v>8551.6499999999451</v>
      </c>
      <c r="Y957" s="1">
        <f t="shared" si="29"/>
        <v>6397.4799999999632</v>
      </c>
    </row>
    <row r="958" spans="1:25" x14ac:dyDescent="0.3">
      <c r="A958" s="1" t="s">
        <v>2125</v>
      </c>
      <c r="B958">
        <v>3</v>
      </c>
      <c r="C958">
        <v>21.99</v>
      </c>
      <c r="D958">
        <v>52.38</v>
      </c>
      <c r="E958" s="1" t="s">
        <v>325</v>
      </c>
      <c r="F958" s="1" t="s">
        <v>40</v>
      </c>
      <c r="G958">
        <v>3</v>
      </c>
      <c r="H958" s="1" t="s">
        <v>26</v>
      </c>
      <c r="I958" s="1" t="s">
        <v>27</v>
      </c>
      <c r="J958">
        <v>7</v>
      </c>
      <c r="K958">
        <v>21.99</v>
      </c>
      <c r="L958" s="1" t="s">
        <v>28</v>
      </c>
      <c r="M958" s="1" t="s">
        <v>29</v>
      </c>
      <c r="N958" s="1" t="s">
        <v>30</v>
      </c>
      <c r="O958" s="1" t="s">
        <v>31</v>
      </c>
      <c r="P958" s="2">
        <v>45778</v>
      </c>
      <c r="Q958" s="1" t="s">
        <v>1408</v>
      </c>
      <c r="R958" s="1" t="s">
        <v>2055</v>
      </c>
      <c r="S958" s="1" t="s">
        <v>54</v>
      </c>
      <c r="T958" s="1" t="s">
        <v>35</v>
      </c>
      <c r="U958" s="1" t="s">
        <v>82</v>
      </c>
      <c r="V958" s="1" t="s">
        <v>37</v>
      </c>
      <c r="W958">
        <v>2</v>
      </c>
      <c r="X958" s="1">
        <f t="shared" si="28"/>
        <v>8313.6899999999459</v>
      </c>
      <c r="Y958" s="1">
        <f t="shared" si="29"/>
        <v>7204.2099999999582</v>
      </c>
    </row>
    <row r="959" spans="1:25" x14ac:dyDescent="0.3">
      <c r="A959" s="1" t="s">
        <v>2126</v>
      </c>
      <c r="B959">
        <v>1</v>
      </c>
      <c r="C959">
        <v>18.989999999999998</v>
      </c>
      <c r="D959">
        <v>18.989999999999998</v>
      </c>
      <c r="E959" s="1" t="s">
        <v>1136</v>
      </c>
      <c r="F959" s="1" t="s">
        <v>40</v>
      </c>
      <c r="G959">
        <v>10</v>
      </c>
      <c r="H959" s="1" t="s">
        <v>58</v>
      </c>
      <c r="I959" s="1" t="s">
        <v>97</v>
      </c>
      <c r="J959">
        <v>6</v>
      </c>
      <c r="K959">
        <v>18.989999999999998</v>
      </c>
      <c r="L959" s="1" t="s">
        <v>60</v>
      </c>
      <c r="M959" s="1" t="s">
        <v>43</v>
      </c>
      <c r="N959" s="1" t="s">
        <v>44</v>
      </c>
      <c r="O959" s="1" t="s">
        <v>31</v>
      </c>
      <c r="P959" s="2">
        <v>45823</v>
      </c>
      <c r="Q959" s="1" t="s">
        <v>2127</v>
      </c>
      <c r="R959" s="1" t="s">
        <v>2128</v>
      </c>
      <c r="S959" s="1" t="s">
        <v>88</v>
      </c>
      <c r="T959" s="1" t="s">
        <v>35</v>
      </c>
      <c r="U959" s="1" t="s">
        <v>66</v>
      </c>
      <c r="V959" s="1" t="s">
        <v>100</v>
      </c>
      <c r="W959">
        <v>3.2</v>
      </c>
      <c r="X959" s="1">
        <f t="shared" si="28"/>
        <v>8640.6199999999462</v>
      </c>
      <c r="Y959" s="1">
        <f t="shared" si="29"/>
        <v>6397.4799999999632</v>
      </c>
    </row>
    <row r="960" spans="1:25" x14ac:dyDescent="0.3">
      <c r="A960" s="1" t="s">
        <v>2129</v>
      </c>
      <c r="B960">
        <v>1</v>
      </c>
      <c r="C960">
        <v>30.99</v>
      </c>
      <c r="D960">
        <v>30.99</v>
      </c>
      <c r="E960" s="1" t="s">
        <v>989</v>
      </c>
      <c r="F960" s="1" t="s">
        <v>40</v>
      </c>
      <c r="G960">
        <v>2</v>
      </c>
      <c r="H960" s="1" t="s">
        <v>96</v>
      </c>
      <c r="I960" s="1" t="s">
        <v>42</v>
      </c>
      <c r="J960">
        <v>10.5</v>
      </c>
      <c r="K960">
        <v>30.99</v>
      </c>
      <c r="L960" s="1" t="s">
        <v>28</v>
      </c>
      <c r="M960" s="1" t="s">
        <v>43</v>
      </c>
      <c r="N960" s="1" t="s">
        <v>44</v>
      </c>
      <c r="O960" s="1" t="s">
        <v>31</v>
      </c>
      <c r="P960" s="2">
        <v>45823</v>
      </c>
      <c r="Q960" s="1" t="s">
        <v>1024</v>
      </c>
      <c r="R960" s="1" t="s">
        <v>1854</v>
      </c>
      <c r="S960" s="1" t="s">
        <v>65</v>
      </c>
      <c r="T960" s="1" t="s">
        <v>35</v>
      </c>
      <c r="U960" s="1" t="s">
        <v>82</v>
      </c>
      <c r="V960" s="1" t="s">
        <v>37</v>
      </c>
      <c r="W960">
        <v>2</v>
      </c>
      <c r="X960" s="1">
        <f t="shared" si="28"/>
        <v>7844.9099999999507</v>
      </c>
      <c r="Y960" s="1">
        <f t="shared" si="29"/>
        <v>7204.2099999999582</v>
      </c>
    </row>
    <row r="961" spans="1:25" x14ac:dyDescent="0.3">
      <c r="A961" s="1" t="s">
        <v>2130</v>
      </c>
      <c r="B961">
        <v>3</v>
      </c>
      <c r="C961">
        <v>16.989999999999998</v>
      </c>
      <c r="D961">
        <v>40.51</v>
      </c>
      <c r="E961" s="1" t="s">
        <v>1082</v>
      </c>
      <c r="F961" s="1" t="s">
        <v>51</v>
      </c>
      <c r="G961">
        <v>0</v>
      </c>
      <c r="H961" s="1" t="s">
        <v>96</v>
      </c>
      <c r="I961" s="1" t="s">
        <v>59</v>
      </c>
      <c r="J961">
        <v>5</v>
      </c>
      <c r="K961">
        <v>16.989999999999998</v>
      </c>
      <c r="L961" s="1" t="s">
        <v>60</v>
      </c>
      <c r="M961" s="1" t="s">
        <v>61</v>
      </c>
      <c r="N961" s="1" t="s">
        <v>62</v>
      </c>
      <c r="O961" s="1" t="s">
        <v>31</v>
      </c>
      <c r="P961" s="2">
        <v>45726</v>
      </c>
      <c r="Q961" s="1" t="s">
        <v>266</v>
      </c>
      <c r="R961" s="1" t="s">
        <v>764</v>
      </c>
      <c r="S961" s="1" t="s">
        <v>105</v>
      </c>
      <c r="T961" s="1" t="s">
        <v>35</v>
      </c>
      <c r="U961" s="1" t="s">
        <v>36</v>
      </c>
      <c r="V961" s="1" t="s">
        <v>67</v>
      </c>
      <c r="W961">
        <v>3</v>
      </c>
      <c r="X961" s="1">
        <f t="shared" si="28"/>
        <v>7844.9099999999507</v>
      </c>
      <c r="Y961" s="1">
        <f t="shared" si="29"/>
        <v>6355.4899999999634</v>
      </c>
    </row>
    <row r="962" spans="1:25" x14ac:dyDescent="0.3">
      <c r="A962" s="1" t="s">
        <v>2131</v>
      </c>
      <c r="B962">
        <v>1</v>
      </c>
      <c r="C962">
        <v>16.989999999999998</v>
      </c>
      <c r="D962">
        <v>16.989999999999998</v>
      </c>
      <c r="E962" s="1" t="s">
        <v>1051</v>
      </c>
      <c r="F962" s="1" t="s">
        <v>40</v>
      </c>
      <c r="G962">
        <v>19</v>
      </c>
      <c r="H962" s="1" t="s">
        <v>26</v>
      </c>
      <c r="I962" s="1" t="s">
        <v>59</v>
      </c>
      <c r="J962">
        <v>5</v>
      </c>
      <c r="K962">
        <v>16.989999999999998</v>
      </c>
      <c r="L962" s="1" t="s">
        <v>60</v>
      </c>
      <c r="M962" s="1" t="s">
        <v>61</v>
      </c>
      <c r="N962" s="1" t="s">
        <v>62</v>
      </c>
      <c r="O962" s="1" t="s">
        <v>31</v>
      </c>
      <c r="P962" s="2">
        <v>45726</v>
      </c>
      <c r="Q962" s="1" t="s">
        <v>1414</v>
      </c>
      <c r="R962" s="1" t="s">
        <v>1415</v>
      </c>
      <c r="S962" s="1" t="s">
        <v>88</v>
      </c>
      <c r="T962" s="1" t="s">
        <v>35</v>
      </c>
      <c r="U962" s="1" t="s">
        <v>48</v>
      </c>
      <c r="V962" s="1" t="s">
        <v>67</v>
      </c>
      <c r="W962">
        <v>3</v>
      </c>
      <c r="X962" s="1">
        <f t="shared" ref="X962:X1025" si="30">SUMIF(H:H,H962,K:K)</f>
        <v>8313.6899999999459</v>
      </c>
      <c r="Y962" s="1">
        <f t="shared" ref="Y962:Y1025" si="31">SUMIF(U:U,U962,K:K)</f>
        <v>7682.919999999951</v>
      </c>
    </row>
    <row r="963" spans="1:25" x14ac:dyDescent="0.3">
      <c r="A963" s="1" t="s">
        <v>2132</v>
      </c>
      <c r="B963">
        <v>2</v>
      </c>
      <c r="C963">
        <v>30.99</v>
      </c>
      <c r="D963">
        <v>53.02</v>
      </c>
      <c r="E963" s="1" t="s">
        <v>2133</v>
      </c>
      <c r="F963" s="1" t="s">
        <v>70</v>
      </c>
      <c r="G963">
        <v>0</v>
      </c>
      <c r="H963" s="1" t="s">
        <v>58</v>
      </c>
      <c r="I963" s="1" t="s">
        <v>42</v>
      </c>
      <c r="J963">
        <v>10.5</v>
      </c>
      <c r="K963">
        <v>30.99</v>
      </c>
      <c r="L963" s="1" t="s">
        <v>28</v>
      </c>
      <c r="M963" s="1" t="s">
        <v>43</v>
      </c>
      <c r="N963" s="1" t="s">
        <v>44</v>
      </c>
      <c r="O963" s="1" t="s">
        <v>31</v>
      </c>
      <c r="P963" s="2">
        <v>45823</v>
      </c>
      <c r="Q963" s="1" t="s">
        <v>865</v>
      </c>
      <c r="R963" s="1" t="s">
        <v>866</v>
      </c>
      <c r="S963" s="1" t="s">
        <v>105</v>
      </c>
      <c r="T963" s="1" t="s">
        <v>35</v>
      </c>
      <c r="U963" s="1" t="s">
        <v>36</v>
      </c>
      <c r="V963" s="1" t="s">
        <v>37</v>
      </c>
      <c r="W963">
        <v>2</v>
      </c>
      <c r="X963" s="1">
        <f t="shared" si="30"/>
        <v>8640.6199999999462</v>
      </c>
      <c r="Y963" s="1">
        <f t="shared" si="31"/>
        <v>6355.4899999999634</v>
      </c>
    </row>
    <row r="964" spans="1:25" x14ac:dyDescent="0.3">
      <c r="A964" s="1" t="s">
        <v>2134</v>
      </c>
      <c r="B964">
        <v>3</v>
      </c>
      <c r="C964">
        <v>30.99</v>
      </c>
      <c r="D964">
        <v>74.400000000000006</v>
      </c>
      <c r="E964" s="1" t="s">
        <v>1865</v>
      </c>
      <c r="F964" s="1" t="s">
        <v>40</v>
      </c>
      <c r="G964">
        <v>3</v>
      </c>
      <c r="H964" s="1" t="s">
        <v>41</v>
      </c>
      <c r="I964" s="1" t="s">
        <v>42</v>
      </c>
      <c r="J964">
        <v>10.5</v>
      </c>
      <c r="K964">
        <v>30.99</v>
      </c>
      <c r="L964" s="1" t="s">
        <v>28</v>
      </c>
      <c r="M964" s="1" t="s">
        <v>43</v>
      </c>
      <c r="N964" s="1" t="s">
        <v>44</v>
      </c>
      <c r="O964" s="1" t="s">
        <v>31</v>
      </c>
      <c r="P964" s="2">
        <v>45823</v>
      </c>
      <c r="Q964" s="1" t="s">
        <v>1234</v>
      </c>
      <c r="R964" s="1" t="s">
        <v>1235</v>
      </c>
      <c r="S964" s="1" t="s">
        <v>88</v>
      </c>
      <c r="T964" s="1" t="s">
        <v>35</v>
      </c>
      <c r="U964" s="1" t="s">
        <v>48</v>
      </c>
      <c r="V964" s="1" t="s">
        <v>37</v>
      </c>
      <c r="W964">
        <v>2</v>
      </c>
      <c r="X964" s="1">
        <f t="shared" si="30"/>
        <v>8551.6499999999451</v>
      </c>
      <c r="Y964" s="1">
        <f t="shared" si="31"/>
        <v>7682.919999999951</v>
      </c>
    </row>
    <row r="965" spans="1:25" x14ac:dyDescent="0.3">
      <c r="A965" s="1" t="s">
        <v>2135</v>
      </c>
      <c r="B965">
        <v>1</v>
      </c>
      <c r="C965">
        <v>21.99</v>
      </c>
      <c r="D965">
        <v>21.99</v>
      </c>
      <c r="E965" s="1" t="s">
        <v>701</v>
      </c>
      <c r="F965" s="1" t="s">
        <v>40</v>
      </c>
      <c r="G965">
        <v>3</v>
      </c>
      <c r="H965" s="1" t="s">
        <v>41</v>
      </c>
      <c r="I965" s="1" t="s">
        <v>27</v>
      </c>
      <c r="J965">
        <v>7</v>
      </c>
      <c r="K965">
        <v>21.99</v>
      </c>
      <c r="L965" s="1" t="s">
        <v>28</v>
      </c>
      <c r="M965" s="1" t="s">
        <v>29</v>
      </c>
      <c r="N965" s="1" t="s">
        <v>30</v>
      </c>
      <c r="O965" s="1" t="s">
        <v>31</v>
      </c>
      <c r="P965" s="2">
        <v>45778</v>
      </c>
      <c r="Q965" s="1" t="s">
        <v>1349</v>
      </c>
      <c r="R965" s="1" t="s">
        <v>1439</v>
      </c>
      <c r="S965" s="1" t="s">
        <v>65</v>
      </c>
      <c r="T965" s="1" t="s">
        <v>35</v>
      </c>
      <c r="U965" s="1" t="s">
        <v>36</v>
      </c>
      <c r="V965" s="1" t="s">
        <v>37</v>
      </c>
      <c r="W965">
        <v>2</v>
      </c>
      <c r="X965" s="1">
        <f t="shared" si="30"/>
        <v>8551.6499999999451</v>
      </c>
      <c r="Y965" s="1">
        <f t="shared" si="31"/>
        <v>6355.4899999999634</v>
      </c>
    </row>
    <row r="966" spans="1:25" x14ac:dyDescent="0.3">
      <c r="A966" s="1" t="s">
        <v>2136</v>
      </c>
      <c r="B966">
        <v>1</v>
      </c>
      <c r="C966">
        <v>18.989999999999998</v>
      </c>
      <c r="D966">
        <v>18.989999999999998</v>
      </c>
      <c r="E966" s="1" t="s">
        <v>1574</v>
      </c>
      <c r="F966" s="1" t="s">
        <v>40</v>
      </c>
      <c r="G966">
        <v>12</v>
      </c>
      <c r="H966" s="1" t="s">
        <v>96</v>
      </c>
      <c r="I966" s="1" t="s">
        <v>97</v>
      </c>
      <c r="J966">
        <v>6</v>
      </c>
      <c r="K966">
        <v>18.989999999999998</v>
      </c>
      <c r="L966" s="1" t="s">
        <v>60</v>
      </c>
      <c r="M966" s="1" t="s">
        <v>43</v>
      </c>
      <c r="N966" s="1" t="s">
        <v>44</v>
      </c>
      <c r="O966" s="1" t="s">
        <v>31</v>
      </c>
      <c r="P966" s="2">
        <v>45823</v>
      </c>
      <c r="Q966" s="1" t="s">
        <v>1024</v>
      </c>
      <c r="R966" s="1" t="s">
        <v>1854</v>
      </c>
      <c r="S966" s="1" t="s">
        <v>65</v>
      </c>
      <c r="T966" s="1" t="s">
        <v>35</v>
      </c>
      <c r="U966" s="1" t="s">
        <v>82</v>
      </c>
      <c r="V966" s="1" t="s">
        <v>100</v>
      </c>
      <c r="W966">
        <v>3.2</v>
      </c>
      <c r="X966" s="1">
        <f t="shared" si="30"/>
        <v>7844.9099999999507</v>
      </c>
      <c r="Y966" s="1">
        <f t="shared" si="31"/>
        <v>7204.2099999999582</v>
      </c>
    </row>
    <row r="967" spans="1:25" x14ac:dyDescent="0.3">
      <c r="A967" s="1" t="s">
        <v>2137</v>
      </c>
      <c r="B967">
        <v>1</v>
      </c>
      <c r="C967">
        <v>16.989999999999998</v>
      </c>
      <c r="D967">
        <v>16.989999999999998</v>
      </c>
      <c r="E967" s="1" t="s">
        <v>1082</v>
      </c>
      <c r="F967" s="1" t="s">
        <v>40</v>
      </c>
      <c r="G967">
        <v>20</v>
      </c>
      <c r="H967" s="1" t="s">
        <v>26</v>
      </c>
      <c r="I967" s="1" t="s">
        <v>59</v>
      </c>
      <c r="J967">
        <v>5</v>
      </c>
      <c r="K967">
        <v>16.989999999999998</v>
      </c>
      <c r="L967" s="1" t="s">
        <v>60</v>
      </c>
      <c r="M967" s="1" t="s">
        <v>61</v>
      </c>
      <c r="N967" s="1" t="s">
        <v>62</v>
      </c>
      <c r="O967" s="1" t="s">
        <v>31</v>
      </c>
      <c r="P967" s="2">
        <v>45726</v>
      </c>
      <c r="Q967" s="1" t="s">
        <v>1140</v>
      </c>
      <c r="R967" s="1" t="s">
        <v>1141</v>
      </c>
      <c r="S967" s="1" t="s">
        <v>34</v>
      </c>
      <c r="T967" s="1" t="s">
        <v>35</v>
      </c>
      <c r="U967" s="1" t="s">
        <v>36</v>
      </c>
      <c r="V967" s="1" t="s">
        <v>67</v>
      </c>
      <c r="W967">
        <v>3</v>
      </c>
      <c r="X967" s="1">
        <f t="shared" si="30"/>
        <v>8313.6899999999459</v>
      </c>
      <c r="Y967" s="1">
        <f t="shared" si="31"/>
        <v>6355.4899999999634</v>
      </c>
    </row>
    <row r="968" spans="1:25" x14ac:dyDescent="0.3">
      <c r="A968" s="1" t="s">
        <v>2138</v>
      </c>
      <c r="B968">
        <v>1</v>
      </c>
      <c r="C968">
        <v>27.99</v>
      </c>
      <c r="D968">
        <v>27.99</v>
      </c>
      <c r="E968" s="1" t="s">
        <v>1000</v>
      </c>
      <c r="F968" s="1" t="s">
        <v>40</v>
      </c>
      <c r="G968">
        <v>3</v>
      </c>
      <c r="H968" s="1" t="s">
        <v>26</v>
      </c>
      <c r="I968" s="1" t="s">
        <v>75</v>
      </c>
      <c r="J968">
        <v>9</v>
      </c>
      <c r="K968">
        <v>27.99</v>
      </c>
      <c r="L968" s="1" t="s">
        <v>28</v>
      </c>
      <c r="M968" s="1" t="s">
        <v>61</v>
      </c>
      <c r="N968" s="1" t="s">
        <v>62</v>
      </c>
      <c r="O968" s="1" t="s">
        <v>31</v>
      </c>
      <c r="P968" s="2">
        <v>45726</v>
      </c>
      <c r="Q968" s="1" t="s">
        <v>1012</v>
      </c>
      <c r="R968" s="1" t="s">
        <v>2139</v>
      </c>
      <c r="S968" s="1" t="s">
        <v>65</v>
      </c>
      <c r="T968" s="1" t="s">
        <v>35</v>
      </c>
      <c r="U968" s="1" t="s">
        <v>55</v>
      </c>
      <c r="V968" s="1" t="s">
        <v>37</v>
      </c>
      <c r="W968">
        <v>2</v>
      </c>
      <c r="X968" s="1">
        <f t="shared" si="30"/>
        <v>8313.6899999999459</v>
      </c>
      <c r="Y968" s="1">
        <f t="shared" si="31"/>
        <v>5710.7699999999695</v>
      </c>
    </row>
    <row r="969" spans="1:25" x14ac:dyDescent="0.3">
      <c r="A969" s="1" t="s">
        <v>2140</v>
      </c>
      <c r="B969">
        <v>3</v>
      </c>
      <c r="C969">
        <v>30.99</v>
      </c>
      <c r="D969">
        <v>75.11</v>
      </c>
      <c r="E969" s="1" t="s">
        <v>1359</v>
      </c>
      <c r="F969" s="1" t="s">
        <v>188</v>
      </c>
      <c r="G969">
        <v>0</v>
      </c>
      <c r="H969" s="1" t="s">
        <v>96</v>
      </c>
      <c r="I969" s="1" t="s">
        <v>42</v>
      </c>
      <c r="J969">
        <v>10.5</v>
      </c>
      <c r="K969">
        <v>30.99</v>
      </c>
      <c r="L969" s="1" t="s">
        <v>28</v>
      </c>
      <c r="M969" s="1" t="s">
        <v>43</v>
      </c>
      <c r="N969" s="1" t="s">
        <v>44</v>
      </c>
      <c r="O969" s="1" t="s">
        <v>31</v>
      </c>
      <c r="P969" s="2">
        <v>45823</v>
      </c>
      <c r="Q969" s="1" t="s">
        <v>738</v>
      </c>
      <c r="R969" s="1" t="s">
        <v>739</v>
      </c>
      <c r="S969" s="1" t="s">
        <v>34</v>
      </c>
      <c r="T969" s="1" t="s">
        <v>35</v>
      </c>
      <c r="U969" s="1" t="s">
        <v>82</v>
      </c>
      <c r="V969" s="1" t="s">
        <v>37</v>
      </c>
      <c r="W969">
        <v>2</v>
      </c>
      <c r="X969" s="1">
        <f t="shared" si="30"/>
        <v>7844.9099999999507</v>
      </c>
      <c r="Y969" s="1">
        <f t="shared" si="31"/>
        <v>7204.2099999999582</v>
      </c>
    </row>
    <row r="970" spans="1:25" x14ac:dyDescent="0.3">
      <c r="A970" s="1" t="s">
        <v>2141</v>
      </c>
      <c r="B970">
        <v>3</v>
      </c>
      <c r="C970">
        <v>21.99</v>
      </c>
      <c r="D970">
        <v>52.23</v>
      </c>
      <c r="E970" s="1" t="s">
        <v>2142</v>
      </c>
      <c r="F970" s="1" t="s">
        <v>40</v>
      </c>
      <c r="G970">
        <v>2</v>
      </c>
      <c r="H970" s="1" t="s">
        <v>26</v>
      </c>
      <c r="I970" s="1" t="s">
        <v>27</v>
      </c>
      <c r="J970">
        <v>7</v>
      </c>
      <c r="K970">
        <v>21.99</v>
      </c>
      <c r="L970" s="1" t="s">
        <v>28</v>
      </c>
      <c r="M970" s="1" t="s">
        <v>29</v>
      </c>
      <c r="N970" s="1" t="s">
        <v>30</v>
      </c>
      <c r="O970" s="1" t="s">
        <v>31</v>
      </c>
      <c r="P970" s="2">
        <v>45778</v>
      </c>
      <c r="Q970" s="1" t="s">
        <v>790</v>
      </c>
      <c r="R970" s="1" t="s">
        <v>791</v>
      </c>
      <c r="S970" s="1" t="s">
        <v>47</v>
      </c>
      <c r="T970" s="1" t="s">
        <v>35</v>
      </c>
      <c r="U970" s="1" t="s">
        <v>55</v>
      </c>
      <c r="V970" s="1" t="s">
        <v>37</v>
      </c>
      <c r="W970">
        <v>2</v>
      </c>
      <c r="X970" s="1">
        <f t="shared" si="30"/>
        <v>8313.6899999999459</v>
      </c>
      <c r="Y970" s="1">
        <f t="shared" si="31"/>
        <v>5710.7699999999695</v>
      </c>
    </row>
    <row r="971" spans="1:25" x14ac:dyDescent="0.3">
      <c r="A971" s="1" t="s">
        <v>2143</v>
      </c>
      <c r="B971">
        <v>1</v>
      </c>
      <c r="C971">
        <v>21.99</v>
      </c>
      <c r="D971">
        <v>21.99</v>
      </c>
      <c r="E971" s="1" t="s">
        <v>1180</v>
      </c>
      <c r="F971" s="1" t="s">
        <v>40</v>
      </c>
      <c r="G971">
        <v>3</v>
      </c>
      <c r="H971" s="1" t="s">
        <v>96</v>
      </c>
      <c r="I971" s="1" t="s">
        <v>27</v>
      </c>
      <c r="J971">
        <v>7</v>
      </c>
      <c r="K971">
        <v>21.99</v>
      </c>
      <c r="L971" s="1" t="s">
        <v>28</v>
      </c>
      <c r="M971" s="1" t="s">
        <v>29</v>
      </c>
      <c r="N971" s="1" t="s">
        <v>30</v>
      </c>
      <c r="O971" s="1" t="s">
        <v>31</v>
      </c>
      <c r="P971" s="2">
        <v>45778</v>
      </c>
      <c r="Q971" s="1" t="s">
        <v>814</v>
      </c>
      <c r="R971" s="1" t="s">
        <v>891</v>
      </c>
      <c r="S971" s="1" t="s">
        <v>88</v>
      </c>
      <c r="T971" s="1" t="s">
        <v>35</v>
      </c>
      <c r="U971" s="1" t="s">
        <v>82</v>
      </c>
      <c r="V971" s="1" t="s">
        <v>37</v>
      </c>
      <c r="W971">
        <v>2</v>
      </c>
      <c r="X971" s="1">
        <f t="shared" si="30"/>
        <v>7844.9099999999507</v>
      </c>
      <c r="Y971" s="1">
        <f t="shared" si="31"/>
        <v>7204.2099999999582</v>
      </c>
    </row>
    <row r="972" spans="1:25" x14ac:dyDescent="0.3">
      <c r="A972" s="1" t="s">
        <v>2144</v>
      </c>
      <c r="B972">
        <v>2</v>
      </c>
      <c r="C972">
        <v>34.99</v>
      </c>
      <c r="D972">
        <v>60.42</v>
      </c>
      <c r="E972" s="1" t="s">
        <v>704</v>
      </c>
      <c r="F972" s="1" t="s">
        <v>25</v>
      </c>
      <c r="G972">
        <v>8</v>
      </c>
      <c r="H972" s="1" t="s">
        <v>58</v>
      </c>
      <c r="I972" s="1" t="s">
        <v>85</v>
      </c>
      <c r="J972">
        <v>12.5</v>
      </c>
      <c r="K972">
        <v>34.99</v>
      </c>
      <c r="L972" s="1" t="s">
        <v>60</v>
      </c>
      <c r="M972" s="1" t="s">
        <v>29</v>
      </c>
      <c r="N972" s="1" t="s">
        <v>30</v>
      </c>
      <c r="O972" s="1" t="s">
        <v>31</v>
      </c>
      <c r="P972" s="2">
        <v>45778</v>
      </c>
      <c r="Q972" s="1" t="s">
        <v>1654</v>
      </c>
      <c r="R972" s="1" t="s">
        <v>2145</v>
      </c>
      <c r="S972" s="1" t="s">
        <v>34</v>
      </c>
      <c r="T972" s="1" t="s">
        <v>35</v>
      </c>
      <c r="U972" s="1" t="s">
        <v>48</v>
      </c>
      <c r="V972" s="1" t="s">
        <v>89</v>
      </c>
      <c r="W972">
        <v>2.4</v>
      </c>
      <c r="X972" s="1">
        <f t="shared" si="30"/>
        <v>8640.6199999999462</v>
      </c>
      <c r="Y972" s="1">
        <f t="shared" si="31"/>
        <v>7682.919999999951</v>
      </c>
    </row>
    <row r="973" spans="1:25" x14ac:dyDescent="0.3">
      <c r="A973" s="1" t="s">
        <v>2146</v>
      </c>
      <c r="B973">
        <v>1</v>
      </c>
      <c r="C973">
        <v>34.99</v>
      </c>
      <c r="D973">
        <v>34.99</v>
      </c>
      <c r="E973" s="1" t="s">
        <v>577</v>
      </c>
      <c r="F973" s="1" t="s">
        <v>51</v>
      </c>
      <c r="G973">
        <v>0</v>
      </c>
      <c r="H973" s="1" t="s">
        <v>58</v>
      </c>
      <c r="I973" s="1" t="s">
        <v>85</v>
      </c>
      <c r="J973">
        <v>12.5</v>
      </c>
      <c r="K973">
        <v>34.99</v>
      </c>
      <c r="L973" s="1" t="s">
        <v>60</v>
      </c>
      <c r="M973" s="1" t="s">
        <v>29</v>
      </c>
      <c r="N973" s="1" t="s">
        <v>30</v>
      </c>
      <c r="O973" s="1" t="s">
        <v>31</v>
      </c>
      <c r="P973" s="2">
        <v>45778</v>
      </c>
      <c r="Q973" s="1" t="s">
        <v>1286</v>
      </c>
      <c r="R973" s="1" t="s">
        <v>1287</v>
      </c>
      <c r="S973" s="1" t="s">
        <v>47</v>
      </c>
      <c r="T973" s="1" t="s">
        <v>35</v>
      </c>
      <c r="U973" s="1" t="s">
        <v>66</v>
      </c>
      <c r="V973" s="1" t="s">
        <v>89</v>
      </c>
      <c r="W973">
        <v>2.4</v>
      </c>
      <c r="X973" s="1">
        <f t="shared" si="30"/>
        <v>8640.6199999999462</v>
      </c>
      <c r="Y973" s="1">
        <f t="shared" si="31"/>
        <v>6397.4799999999632</v>
      </c>
    </row>
    <row r="974" spans="1:25" x14ac:dyDescent="0.3">
      <c r="A974" s="1" t="s">
        <v>2147</v>
      </c>
      <c r="B974">
        <v>1</v>
      </c>
      <c r="C974">
        <v>18.989999999999998</v>
      </c>
      <c r="D974">
        <v>18.989999999999998</v>
      </c>
      <c r="E974" s="1" t="s">
        <v>929</v>
      </c>
      <c r="F974" s="1" t="s">
        <v>40</v>
      </c>
      <c r="G974">
        <v>10</v>
      </c>
      <c r="H974" s="1" t="s">
        <v>41</v>
      </c>
      <c r="I974" s="1" t="s">
        <v>97</v>
      </c>
      <c r="J974">
        <v>6</v>
      </c>
      <c r="K974">
        <v>18.989999999999998</v>
      </c>
      <c r="L974" s="1" t="s">
        <v>60</v>
      </c>
      <c r="M974" s="1" t="s">
        <v>43</v>
      </c>
      <c r="N974" s="1" t="s">
        <v>44</v>
      </c>
      <c r="O974" s="1" t="s">
        <v>31</v>
      </c>
      <c r="P974" s="2">
        <v>45823</v>
      </c>
      <c r="Q974" s="1" t="s">
        <v>1097</v>
      </c>
      <c r="R974" s="1" t="s">
        <v>1098</v>
      </c>
      <c r="S974" s="1" t="s">
        <v>65</v>
      </c>
      <c r="T974" s="1" t="s">
        <v>35</v>
      </c>
      <c r="U974" s="1" t="s">
        <v>48</v>
      </c>
      <c r="V974" s="1" t="s">
        <v>100</v>
      </c>
      <c r="W974">
        <v>3.2</v>
      </c>
      <c r="X974" s="1">
        <f t="shared" si="30"/>
        <v>8551.6499999999451</v>
      </c>
      <c r="Y974" s="1">
        <f t="shared" si="31"/>
        <v>7682.919999999951</v>
      </c>
    </row>
    <row r="975" spans="1:25" x14ac:dyDescent="0.3">
      <c r="A975" s="1" t="s">
        <v>2148</v>
      </c>
      <c r="B975">
        <v>3</v>
      </c>
      <c r="C975">
        <v>34.99</v>
      </c>
      <c r="D975">
        <v>84.02</v>
      </c>
      <c r="E975" s="1" t="s">
        <v>2149</v>
      </c>
      <c r="F975" s="1" t="s">
        <v>40</v>
      </c>
      <c r="G975">
        <v>5</v>
      </c>
      <c r="H975" s="1" t="s">
        <v>41</v>
      </c>
      <c r="I975" s="1" t="s">
        <v>85</v>
      </c>
      <c r="J975">
        <v>12.5</v>
      </c>
      <c r="K975">
        <v>34.99</v>
      </c>
      <c r="L975" s="1" t="s">
        <v>60</v>
      </c>
      <c r="M975" s="1" t="s">
        <v>29</v>
      </c>
      <c r="N975" s="1" t="s">
        <v>30</v>
      </c>
      <c r="O975" s="1" t="s">
        <v>31</v>
      </c>
      <c r="P975" s="2">
        <v>45778</v>
      </c>
      <c r="Q975" s="1" t="s">
        <v>266</v>
      </c>
      <c r="R975" s="1" t="s">
        <v>764</v>
      </c>
      <c r="S975" s="1" t="s">
        <v>105</v>
      </c>
      <c r="T975" s="1" t="s">
        <v>35</v>
      </c>
      <c r="U975" s="1" t="s">
        <v>36</v>
      </c>
      <c r="V975" s="1" t="s">
        <v>89</v>
      </c>
      <c r="W975">
        <v>2.4</v>
      </c>
      <c r="X975" s="1">
        <f t="shared" si="30"/>
        <v>8551.6499999999451</v>
      </c>
      <c r="Y975" s="1">
        <f t="shared" si="31"/>
        <v>6355.4899999999634</v>
      </c>
    </row>
    <row r="976" spans="1:25" x14ac:dyDescent="0.3">
      <c r="A976" s="1" t="s">
        <v>2150</v>
      </c>
      <c r="B976">
        <v>2</v>
      </c>
      <c r="C976">
        <v>30.99</v>
      </c>
      <c r="D976">
        <v>54.22</v>
      </c>
      <c r="E976" s="1" t="s">
        <v>2151</v>
      </c>
      <c r="F976" s="1" t="s">
        <v>40</v>
      </c>
      <c r="G976">
        <v>3</v>
      </c>
      <c r="H976" s="1" t="s">
        <v>26</v>
      </c>
      <c r="I976" s="1" t="s">
        <v>42</v>
      </c>
      <c r="J976">
        <v>10.5</v>
      </c>
      <c r="K976">
        <v>30.99</v>
      </c>
      <c r="L976" s="1" t="s">
        <v>28</v>
      </c>
      <c r="M976" s="1" t="s">
        <v>43</v>
      </c>
      <c r="N976" s="1" t="s">
        <v>44</v>
      </c>
      <c r="O976" s="1" t="s">
        <v>31</v>
      </c>
      <c r="P976" s="2">
        <v>45823</v>
      </c>
      <c r="Q976" s="1" t="s">
        <v>1119</v>
      </c>
      <c r="R976" s="1" t="s">
        <v>1120</v>
      </c>
      <c r="S976" s="1" t="s">
        <v>34</v>
      </c>
      <c r="T976" s="1" t="s">
        <v>35</v>
      </c>
      <c r="U976" s="1" t="s">
        <v>66</v>
      </c>
      <c r="V976" s="1" t="s">
        <v>37</v>
      </c>
      <c r="W976">
        <v>2</v>
      </c>
      <c r="X976" s="1">
        <f t="shared" si="30"/>
        <v>8313.6899999999459</v>
      </c>
      <c r="Y976" s="1">
        <f t="shared" si="31"/>
        <v>6397.4799999999632</v>
      </c>
    </row>
    <row r="977" spans="1:25" x14ac:dyDescent="0.3">
      <c r="A977" s="1" t="s">
        <v>2152</v>
      </c>
      <c r="B977">
        <v>3</v>
      </c>
      <c r="C977">
        <v>34.99</v>
      </c>
      <c r="D977">
        <v>84.97</v>
      </c>
      <c r="E977" s="1" t="s">
        <v>1156</v>
      </c>
      <c r="F977" s="1" t="s">
        <v>188</v>
      </c>
      <c r="G977">
        <v>0</v>
      </c>
      <c r="H977" s="1" t="s">
        <v>41</v>
      </c>
      <c r="I977" s="1" t="s">
        <v>85</v>
      </c>
      <c r="J977">
        <v>12.5</v>
      </c>
      <c r="K977">
        <v>34.99</v>
      </c>
      <c r="L977" s="1" t="s">
        <v>60</v>
      </c>
      <c r="M977" s="1" t="s">
        <v>29</v>
      </c>
      <c r="N977" s="1" t="s">
        <v>30</v>
      </c>
      <c r="O977" s="1" t="s">
        <v>31</v>
      </c>
      <c r="P977" s="2">
        <v>45778</v>
      </c>
      <c r="Q977" s="1" t="s">
        <v>1028</v>
      </c>
      <c r="R977" s="1" t="s">
        <v>1029</v>
      </c>
      <c r="S977" s="1" t="s">
        <v>105</v>
      </c>
      <c r="T977" s="1" t="s">
        <v>35</v>
      </c>
      <c r="U977" s="1" t="s">
        <v>36</v>
      </c>
      <c r="V977" s="1" t="s">
        <v>89</v>
      </c>
      <c r="W977">
        <v>2.4</v>
      </c>
      <c r="X977" s="1">
        <f t="shared" si="30"/>
        <v>8551.6499999999451</v>
      </c>
      <c r="Y977" s="1">
        <f t="shared" si="31"/>
        <v>6355.4899999999634</v>
      </c>
    </row>
    <row r="978" spans="1:25" x14ac:dyDescent="0.3">
      <c r="A978" s="1" t="s">
        <v>2153</v>
      </c>
      <c r="B978">
        <v>1</v>
      </c>
      <c r="C978">
        <v>30.99</v>
      </c>
      <c r="D978">
        <v>30.99</v>
      </c>
      <c r="E978" s="1" t="s">
        <v>84</v>
      </c>
      <c r="F978" s="1" t="s">
        <v>40</v>
      </c>
      <c r="G978">
        <v>2</v>
      </c>
      <c r="H978" s="1" t="s">
        <v>26</v>
      </c>
      <c r="I978" s="1" t="s">
        <v>42</v>
      </c>
      <c r="J978">
        <v>10.5</v>
      </c>
      <c r="K978">
        <v>30.99</v>
      </c>
      <c r="L978" s="1" t="s">
        <v>28</v>
      </c>
      <c r="M978" s="1" t="s">
        <v>43</v>
      </c>
      <c r="N978" s="1" t="s">
        <v>44</v>
      </c>
      <c r="O978" s="1" t="s">
        <v>31</v>
      </c>
      <c r="P978" s="2">
        <v>45823</v>
      </c>
      <c r="Q978" s="1" t="s">
        <v>1899</v>
      </c>
      <c r="R978" s="1" t="s">
        <v>1900</v>
      </c>
      <c r="S978" s="1" t="s">
        <v>65</v>
      </c>
      <c r="T978" s="1" t="s">
        <v>35</v>
      </c>
      <c r="U978" s="1" t="s">
        <v>48</v>
      </c>
      <c r="V978" s="1" t="s">
        <v>37</v>
      </c>
      <c r="W978">
        <v>2</v>
      </c>
      <c r="X978" s="1">
        <f t="shared" si="30"/>
        <v>8313.6899999999459</v>
      </c>
      <c r="Y978" s="1">
        <f t="shared" si="31"/>
        <v>7682.919999999951</v>
      </c>
    </row>
    <row r="979" spans="1:25" x14ac:dyDescent="0.3">
      <c r="A979" s="1" t="s">
        <v>2154</v>
      </c>
      <c r="B979">
        <v>3</v>
      </c>
      <c r="C979">
        <v>18.989999999999998</v>
      </c>
      <c r="D979">
        <v>44.98</v>
      </c>
      <c r="E979" s="1" t="s">
        <v>1411</v>
      </c>
      <c r="F979" s="1" t="s">
        <v>70</v>
      </c>
      <c r="G979">
        <v>0</v>
      </c>
      <c r="H979" s="1" t="s">
        <v>41</v>
      </c>
      <c r="I979" s="1" t="s">
        <v>97</v>
      </c>
      <c r="J979">
        <v>6</v>
      </c>
      <c r="K979">
        <v>18.989999999999998</v>
      </c>
      <c r="L979" s="1" t="s">
        <v>60</v>
      </c>
      <c r="M979" s="1" t="s">
        <v>43</v>
      </c>
      <c r="N979" s="1" t="s">
        <v>44</v>
      </c>
      <c r="O979" s="1" t="s">
        <v>31</v>
      </c>
      <c r="P979" s="2">
        <v>45823</v>
      </c>
      <c r="Q979" s="1" t="s">
        <v>1421</v>
      </c>
      <c r="R979" s="1" t="s">
        <v>1422</v>
      </c>
      <c r="S979" s="1" t="s">
        <v>105</v>
      </c>
      <c r="T979" s="1" t="s">
        <v>35</v>
      </c>
      <c r="U979" s="1" t="s">
        <v>82</v>
      </c>
      <c r="V979" s="1" t="s">
        <v>100</v>
      </c>
      <c r="W979">
        <v>3.2</v>
      </c>
      <c r="X979" s="1">
        <f t="shared" si="30"/>
        <v>8551.6499999999451</v>
      </c>
      <c r="Y979" s="1">
        <f t="shared" si="31"/>
        <v>7204.2099999999582</v>
      </c>
    </row>
    <row r="980" spans="1:25" x14ac:dyDescent="0.3">
      <c r="A980" s="1" t="s">
        <v>2155</v>
      </c>
      <c r="B980">
        <v>1</v>
      </c>
      <c r="C980">
        <v>27.99</v>
      </c>
      <c r="D980">
        <v>27.99</v>
      </c>
      <c r="E980" s="1" t="s">
        <v>2156</v>
      </c>
      <c r="F980" s="1" t="s">
        <v>51</v>
      </c>
      <c r="G980">
        <v>0</v>
      </c>
      <c r="H980" s="1" t="s">
        <v>26</v>
      </c>
      <c r="I980" s="1" t="s">
        <v>75</v>
      </c>
      <c r="J980">
        <v>9</v>
      </c>
      <c r="K980">
        <v>27.99</v>
      </c>
      <c r="L980" s="1" t="s">
        <v>28</v>
      </c>
      <c r="M980" s="1" t="s">
        <v>61</v>
      </c>
      <c r="N980" s="1" t="s">
        <v>62</v>
      </c>
      <c r="O980" s="1" t="s">
        <v>31</v>
      </c>
      <c r="P980" s="2">
        <v>45726</v>
      </c>
      <c r="Q980" s="1" t="s">
        <v>1401</v>
      </c>
      <c r="R980" s="1" t="s">
        <v>1632</v>
      </c>
      <c r="S980" s="1" t="s">
        <v>88</v>
      </c>
      <c r="T980" s="1" t="s">
        <v>35</v>
      </c>
      <c r="U980" s="1" t="s">
        <v>36</v>
      </c>
      <c r="V980" s="1" t="s">
        <v>37</v>
      </c>
      <c r="W980">
        <v>2</v>
      </c>
      <c r="X980" s="1">
        <f t="shared" si="30"/>
        <v>8313.6899999999459</v>
      </c>
      <c r="Y980" s="1">
        <f t="shared" si="31"/>
        <v>6355.4899999999634</v>
      </c>
    </row>
    <row r="981" spans="1:25" x14ac:dyDescent="0.3">
      <c r="A981" s="1" t="s">
        <v>2157</v>
      </c>
      <c r="B981">
        <v>1</v>
      </c>
      <c r="C981">
        <v>27.99</v>
      </c>
      <c r="D981">
        <v>27.99</v>
      </c>
      <c r="E981" s="1" t="s">
        <v>1207</v>
      </c>
      <c r="F981" s="1" t="s">
        <v>51</v>
      </c>
      <c r="G981">
        <v>0</v>
      </c>
      <c r="H981" s="1" t="s">
        <v>58</v>
      </c>
      <c r="I981" s="1" t="s">
        <v>75</v>
      </c>
      <c r="J981">
        <v>9</v>
      </c>
      <c r="K981">
        <v>27.99</v>
      </c>
      <c r="L981" s="1" t="s">
        <v>28</v>
      </c>
      <c r="M981" s="1" t="s">
        <v>61</v>
      </c>
      <c r="N981" s="1" t="s">
        <v>62</v>
      </c>
      <c r="O981" s="1" t="s">
        <v>31</v>
      </c>
      <c r="P981" s="2">
        <v>45726</v>
      </c>
      <c r="Q981" s="1" t="s">
        <v>589</v>
      </c>
      <c r="R981" s="1" t="s">
        <v>2158</v>
      </c>
      <c r="S981" s="1" t="s">
        <v>34</v>
      </c>
      <c r="T981" s="1" t="s">
        <v>35</v>
      </c>
      <c r="U981" s="1" t="s">
        <v>82</v>
      </c>
      <c r="V981" s="1" t="s">
        <v>37</v>
      </c>
      <c r="W981">
        <v>2</v>
      </c>
      <c r="X981" s="1">
        <f t="shared" si="30"/>
        <v>8640.6199999999462</v>
      </c>
      <c r="Y981" s="1">
        <f t="shared" si="31"/>
        <v>7204.2099999999582</v>
      </c>
    </row>
    <row r="982" spans="1:25" x14ac:dyDescent="0.3">
      <c r="A982" s="1" t="s">
        <v>2159</v>
      </c>
      <c r="B982">
        <v>3</v>
      </c>
      <c r="C982">
        <v>21.99</v>
      </c>
      <c r="D982">
        <v>52.52</v>
      </c>
      <c r="E982" s="1" t="s">
        <v>1807</v>
      </c>
      <c r="F982" s="1" t="s">
        <v>70</v>
      </c>
      <c r="G982">
        <v>0</v>
      </c>
      <c r="H982" s="1" t="s">
        <v>58</v>
      </c>
      <c r="I982" s="1" t="s">
        <v>27</v>
      </c>
      <c r="J982">
        <v>7</v>
      </c>
      <c r="K982">
        <v>21.99</v>
      </c>
      <c r="L982" s="1" t="s">
        <v>28</v>
      </c>
      <c r="M982" s="1" t="s">
        <v>29</v>
      </c>
      <c r="N982" s="1" t="s">
        <v>30</v>
      </c>
      <c r="O982" s="1" t="s">
        <v>31</v>
      </c>
      <c r="P982" s="2">
        <v>45778</v>
      </c>
      <c r="Q982" s="1" t="s">
        <v>1175</v>
      </c>
      <c r="R982" s="1" t="s">
        <v>1176</v>
      </c>
      <c r="S982" s="1" t="s">
        <v>34</v>
      </c>
      <c r="T982" s="1" t="s">
        <v>35</v>
      </c>
      <c r="U982" s="1" t="s">
        <v>48</v>
      </c>
      <c r="V982" s="1" t="s">
        <v>37</v>
      </c>
      <c r="W982">
        <v>2</v>
      </c>
      <c r="X982" s="1">
        <f t="shared" si="30"/>
        <v>8640.6199999999462</v>
      </c>
      <c r="Y982" s="1">
        <f t="shared" si="31"/>
        <v>7682.919999999951</v>
      </c>
    </row>
    <row r="983" spans="1:25" x14ac:dyDescent="0.3">
      <c r="A983" s="1" t="s">
        <v>2160</v>
      </c>
      <c r="B983">
        <v>1</v>
      </c>
      <c r="C983">
        <v>30.99</v>
      </c>
      <c r="D983">
        <v>30.99</v>
      </c>
      <c r="E983" s="1" t="s">
        <v>1626</v>
      </c>
      <c r="F983" s="1" t="s">
        <v>25</v>
      </c>
      <c r="G983">
        <v>3</v>
      </c>
      <c r="H983" s="1" t="s">
        <v>58</v>
      </c>
      <c r="I983" s="1" t="s">
        <v>42</v>
      </c>
      <c r="J983">
        <v>10.5</v>
      </c>
      <c r="K983">
        <v>30.99</v>
      </c>
      <c r="L983" s="1" t="s">
        <v>28</v>
      </c>
      <c r="M983" s="1" t="s">
        <v>43</v>
      </c>
      <c r="N983" s="1" t="s">
        <v>44</v>
      </c>
      <c r="O983" s="1" t="s">
        <v>31</v>
      </c>
      <c r="P983" s="2">
        <v>45823</v>
      </c>
      <c r="Q983" s="1" t="s">
        <v>1512</v>
      </c>
      <c r="R983" s="1" t="s">
        <v>1513</v>
      </c>
      <c r="S983" s="1" t="s">
        <v>88</v>
      </c>
      <c r="T983" s="1" t="s">
        <v>35</v>
      </c>
      <c r="U983" s="1" t="s">
        <v>36</v>
      </c>
      <c r="V983" s="1" t="s">
        <v>37</v>
      </c>
      <c r="W983">
        <v>2</v>
      </c>
      <c r="X983" s="1">
        <f t="shared" si="30"/>
        <v>8640.6199999999462</v>
      </c>
      <c r="Y983" s="1">
        <f t="shared" si="31"/>
        <v>6355.4899999999634</v>
      </c>
    </row>
    <row r="984" spans="1:25" x14ac:dyDescent="0.3">
      <c r="A984" s="1" t="s">
        <v>2161</v>
      </c>
      <c r="B984">
        <v>1</v>
      </c>
      <c r="C984">
        <v>30.99</v>
      </c>
      <c r="D984">
        <v>30.99</v>
      </c>
      <c r="E984" s="1" t="s">
        <v>2162</v>
      </c>
      <c r="F984" s="1" t="s">
        <v>25</v>
      </c>
      <c r="G984">
        <v>2</v>
      </c>
      <c r="H984" s="1" t="s">
        <v>26</v>
      </c>
      <c r="I984" s="1" t="s">
        <v>42</v>
      </c>
      <c r="J984">
        <v>10.5</v>
      </c>
      <c r="K984">
        <v>30.99</v>
      </c>
      <c r="L984" s="1" t="s">
        <v>28</v>
      </c>
      <c r="M984" s="1" t="s">
        <v>43</v>
      </c>
      <c r="N984" s="1" t="s">
        <v>44</v>
      </c>
      <c r="O984" s="1" t="s">
        <v>31</v>
      </c>
      <c r="P984" s="2">
        <v>45823</v>
      </c>
      <c r="Q984" s="1" t="s">
        <v>1593</v>
      </c>
      <c r="R984" s="1" t="s">
        <v>1594</v>
      </c>
      <c r="S984" s="1" t="s">
        <v>47</v>
      </c>
      <c r="T984" s="1" t="s">
        <v>35</v>
      </c>
      <c r="U984" s="1" t="s">
        <v>48</v>
      </c>
      <c r="V984" s="1" t="s">
        <v>37</v>
      </c>
      <c r="W984">
        <v>2</v>
      </c>
      <c r="X984" s="1">
        <f t="shared" si="30"/>
        <v>8313.6899999999459</v>
      </c>
      <c r="Y984" s="1">
        <f t="shared" si="31"/>
        <v>7682.919999999951</v>
      </c>
    </row>
    <row r="985" spans="1:25" x14ac:dyDescent="0.3">
      <c r="A985" s="1" t="s">
        <v>2163</v>
      </c>
      <c r="B985">
        <v>1</v>
      </c>
      <c r="C985">
        <v>27.99</v>
      </c>
      <c r="D985">
        <v>27.99</v>
      </c>
      <c r="E985" s="1" t="s">
        <v>2164</v>
      </c>
      <c r="F985" s="1" t="s">
        <v>51</v>
      </c>
      <c r="G985">
        <v>0</v>
      </c>
      <c r="H985" s="1" t="s">
        <v>58</v>
      </c>
      <c r="I985" s="1" t="s">
        <v>75</v>
      </c>
      <c r="J985">
        <v>9</v>
      </c>
      <c r="K985">
        <v>27.99</v>
      </c>
      <c r="L985" s="1" t="s">
        <v>28</v>
      </c>
      <c r="M985" s="1" t="s">
        <v>61</v>
      </c>
      <c r="N985" s="1" t="s">
        <v>62</v>
      </c>
      <c r="O985" s="1" t="s">
        <v>31</v>
      </c>
      <c r="P985" s="2">
        <v>45726</v>
      </c>
      <c r="Q985" s="1" t="s">
        <v>1940</v>
      </c>
      <c r="R985" s="1" t="s">
        <v>2165</v>
      </c>
      <c r="S985" s="1" t="s">
        <v>65</v>
      </c>
      <c r="T985" s="1" t="s">
        <v>35</v>
      </c>
      <c r="U985" s="1" t="s">
        <v>36</v>
      </c>
      <c r="V985" s="1" t="s">
        <v>37</v>
      </c>
      <c r="W985">
        <v>2</v>
      </c>
      <c r="X985" s="1">
        <f t="shared" si="30"/>
        <v>8640.6199999999462</v>
      </c>
      <c r="Y985" s="1">
        <f t="shared" si="31"/>
        <v>6355.4899999999634</v>
      </c>
    </row>
    <row r="986" spans="1:25" x14ac:dyDescent="0.3">
      <c r="A986" s="1" t="s">
        <v>2166</v>
      </c>
      <c r="B986">
        <v>1</v>
      </c>
      <c r="C986">
        <v>27.99</v>
      </c>
      <c r="D986">
        <v>27.99</v>
      </c>
      <c r="E986" s="1" t="s">
        <v>2167</v>
      </c>
      <c r="F986" s="1" t="s">
        <v>40</v>
      </c>
      <c r="G986">
        <v>2</v>
      </c>
      <c r="H986" s="1" t="s">
        <v>41</v>
      </c>
      <c r="I986" s="1" t="s">
        <v>75</v>
      </c>
      <c r="J986">
        <v>9</v>
      </c>
      <c r="K986">
        <v>27.99</v>
      </c>
      <c r="L986" s="1" t="s">
        <v>28</v>
      </c>
      <c r="M986" s="1" t="s">
        <v>61</v>
      </c>
      <c r="N986" s="1" t="s">
        <v>62</v>
      </c>
      <c r="O986" s="1" t="s">
        <v>31</v>
      </c>
      <c r="P986" s="2">
        <v>45726</v>
      </c>
      <c r="Q986" s="1" t="s">
        <v>960</v>
      </c>
      <c r="R986" s="1" t="s">
        <v>961</v>
      </c>
      <c r="S986" s="1" t="s">
        <v>47</v>
      </c>
      <c r="T986" s="1" t="s">
        <v>35</v>
      </c>
      <c r="U986" s="1" t="s">
        <v>48</v>
      </c>
      <c r="V986" s="1" t="s">
        <v>37</v>
      </c>
      <c r="W986">
        <v>2</v>
      </c>
      <c r="X986" s="1">
        <f t="shared" si="30"/>
        <v>8551.6499999999451</v>
      </c>
      <c r="Y986" s="1">
        <f t="shared" si="31"/>
        <v>7682.919999999951</v>
      </c>
    </row>
    <row r="987" spans="1:25" x14ac:dyDescent="0.3">
      <c r="A987" s="1" t="s">
        <v>2168</v>
      </c>
      <c r="B987">
        <v>1</v>
      </c>
      <c r="C987">
        <v>34.99</v>
      </c>
      <c r="D987">
        <v>34.99</v>
      </c>
      <c r="E987" s="1" t="s">
        <v>2169</v>
      </c>
      <c r="F987" s="1" t="s">
        <v>40</v>
      </c>
      <c r="G987">
        <v>8</v>
      </c>
      <c r="H987" s="1" t="s">
        <v>96</v>
      </c>
      <c r="I987" s="1" t="s">
        <v>85</v>
      </c>
      <c r="J987">
        <v>12.5</v>
      </c>
      <c r="K987">
        <v>34.99</v>
      </c>
      <c r="L987" s="1" t="s">
        <v>60</v>
      </c>
      <c r="M987" s="1" t="s">
        <v>29</v>
      </c>
      <c r="N987" s="1" t="s">
        <v>30</v>
      </c>
      <c r="O987" s="1" t="s">
        <v>31</v>
      </c>
      <c r="P987" s="2">
        <v>45778</v>
      </c>
      <c r="Q987" s="1" t="s">
        <v>2170</v>
      </c>
      <c r="R987" s="1" t="s">
        <v>2171</v>
      </c>
      <c r="S987" s="1" t="s">
        <v>54</v>
      </c>
      <c r="T987" s="1" t="s">
        <v>35</v>
      </c>
      <c r="U987" s="1" t="s">
        <v>55</v>
      </c>
      <c r="V987" s="1" t="s">
        <v>89</v>
      </c>
      <c r="W987">
        <v>2.4</v>
      </c>
      <c r="X987" s="1">
        <f t="shared" si="30"/>
        <v>7844.9099999999507</v>
      </c>
      <c r="Y987" s="1">
        <f t="shared" si="31"/>
        <v>5710.7699999999695</v>
      </c>
    </row>
    <row r="988" spans="1:25" x14ac:dyDescent="0.3">
      <c r="A988" s="1" t="s">
        <v>2172</v>
      </c>
      <c r="B988">
        <v>3</v>
      </c>
      <c r="C988">
        <v>18.989999999999998</v>
      </c>
      <c r="D988">
        <v>45.19</v>
      </c>
      <c r="E988" s="1" t="s">
        <v>1562</v>
      </c>
      <c r="F988" s="1" t="s">
        <v>51</v>
      </c>
      <c r="G988">
        <v>0</v>
      </c>
      <c r="H988" s="1" t="s">
        <v>26</v>
      </c>
      <c r="I988" s="1" t="s">
        <v>97</v>
      </c>
      <c r="J988">
        <v>6</v>
      </c>
      <c r="K988">
        <v>18.989999999999998</v>
      </c>
      <c r="L988" s="1" t="s">
        <v>60</v>
      </c>
      <c r="M988" s="1" t="s">
        <v>43</v>
      </c>
      <c r="N988" s="1" t="s">
        <v>44</v>
      </c>
      <c r="O988" s="1" t="s">
        <v>31</v>
      </c>
      <c r="P988" s="2">
        <v>45823</v>
      </c>
      <c r="Q988" s="1" t="s">
        <v>203</v>
      </c>
      <c r="R988" s="1" t="s">
        <v>876</v>
      </c>
      <c r="S988" s="1" t="s">
        <v>54</v>
      </c>
      <c r="T988" s="1" t="s">
        <v>35</v>
      </c>
      <c r="U988" s="1" t="s">
        <v>82</v>
      </c>
      <c r="V988" s="1" t="s">
        <v>100</v>
      </c>
      <c r="W988">
        <v>3.2</v>
      </c>
      <c r="X988" s="1">
        <f t="shared" si="30"/>
        <v>8313.6899999999459</v>
      </c>
      <c r="Y988" s="1">
        <f t="shared" si="31"/>
        <v>7204.2099999999582</v>
      </c>
    </row>
    <row r="989" spans="1:25" x14ac:dyDescent="0.3">
      <c r="A989" s="1" t="s">
        <v>2173</v>
      </c>
      <c r="B989">
        <v>2</v>
      </c>
      <c r="C989">
        <v>21.99</v>
      </c>
      <c r="D989">
        <v>38.130000000000003</v>
      </c>
      <c r="E989" s="1" t="s">
        <v>214</v>
      </c>
      <c r="F989" s="1" t="s">
        <v>40</v>
      </c>
      <c r="G989">
        <v>3</v>
      </c>
      <c r="H989" s="1" t="s">
        <v>96</v>
      </c>
      <c r="I989" s="1" t="s">
        <v>27</v>
      </c>
      <c r="J989">
        <v>7</v>
      </c>
      <c r="K989">
        <v>21.99</v>
      </c>
      <c r="L989" s="1" t="s">
        <v>28</v>
      </c>
      <c r="M989" s="1" t="s">
        <v>29</v>
      </c>
      <c r="N989" s="1" t="s">
        <v>30</v>
      </c>
      <c r="O989" s="1" t="s">
        <v>31</v>
      </c>
      <c r="P989" s="2">
        <v>45778</v>
      </c>
      <c r="Q989" s="1" t="s">
        <v>741</v>
      </c>
      <c r="R989" s="1" t="s">
        <v>742</v>
      </c>
      <c r="S989" s="1" t="s">
        <v>47</v>
      </c>
      <c r="T989" s="1" t="s">
        <v>35</v>
      </c>
      <c r="U989" s="1" t="s">
        <v>48</v>
      </c>
      <c r="V989" s="1" t="s">
        <v>37</v>
      </c>
      <c r="W989">
        <v>2</v>
      </c>
      <c r="X989" s="1">
        <f t="shared" si="30"/>
        <v>7844.9099999999507</v>
      </c>
      <c r="Y989" s="1">
        <f t="shared" si="31"/>
        <v>7682.919999999951</v>
      </c>
    </row>
    <row r="990" spans="1:25" x14ac:dyDescent="0.3">
      <c r="A990" s="1" t="s">
        <v>2174</v>
      </c>
      <c r="B990">
        <v>2</v>
      </c>
      <c r="C990">
        <v>16.989999999999998</v>
      </c>
      <c r="D990">
        <v>29.31</v>
      </c>
      <c r="E990" s="1" t="s">
        <v>1796</v>
      </c>
      <c r="F990" s="1" t="s">
        <v>40</v>
      </c>
      <c r="G990">
        <v>19</v>
      </c>
      <c r="H990" s="1" t="s">
        <v>58</v>
      </c>
      <c r="I990" s="1" t="s">
        <v>59</v>
      </c>
      <c r="J990">
        <v>5</v>
      </c>
      <c r="K990">
        <v>16.989999999999998</v>
      </c>
      <c r="L990" s="1" t="s">
        <v>60</v>
      </c>
      <c r="M990" s="1" t="s">
        <v>61</v>
      </c>
      <c r="N990" s="1" t="s">
        <v>62</v>
      </c>
      <c r="O990" s="1" t="s">
        <v>31</v>
      </c>
      <c r="P990" s="2">
        <v>45726</v>
      </c>
      <c r="Q990" s="1" t="s">
        <v>425</v>
      </c>
      <c r="R990" s="1" t="s">
        <v>1469</v>
      </c>
      <c r="S990" s="1" t="s">
        <v>88</v>
      </c>
      <c r="T990" s="1" t="s">
        <v>35</v>
      </c>
      <c r="U990" s="1" t="s">
        <v>82</v>
      </c>
      <c r="V990" s="1" t="s">
        <v>67</v>
      </c>
      <c r="W990">
        <v>3</v>
      </c>
      <c r="X990" s="1">
        <f t="shared" si="30"/>
        <v>8640.6199999999462</v>
      </c>
      <c r="Y990" s="1">
        <f t="shared" si="31"/>
        <v>7204.2099999999582</v>
      </c>
    </row>
    <row r="991" spans="1:25" x14ac:dyDescent="0.3">
      <c r="A991" s="1" t="s">
        <v>2175</v>
      </c>
      <c r="B991">
        <v>1</v>
      </c>
      <c r="C991">
        <v>16.989999999999998</v>
      </c>
      <c r="D991">
        <v>16.989999999999998</v>
      </c>
      <c r="E991" s="1" t="s">
        <v>2018</v>
      </c>
      <c r="F991" s="1" t="s">
        <v>40</v>
      </c>
      <c r="G991">
        <v>16</v>
      </c>
      <c r="H991" s="1" t="s">
        <v>26</v>
      </c>
      <c r="I991" s="1" t="s">
        <v>59</v>
      </c>
      <c r="J991">
        <v>5</v>
      </c>
      <c r="K991">
        <v>16.989999999999998</v>
      </c>
      <c r="L991" s="1" t="s">
        <v>60</v>
      </c>
      <c r="M991" s="1" t="s">
        <v>61</v>
      </c>
      <c r="N991" s="1" t="s">
        <v>62</v>
      </c>
      <c r="O991" s="1" t="s">
        <v>31</v>
      </c>
      <c r="P991" s="2">
        <v>45726</v>
      </c>
      <c r="Q991" s="1" t="s">
        <v>2176</v>
      </c>
      <c r="R991" s="1" t="s">
        <v>2177</v>
      </c>
      <c r="S991" s="1" t="s">
        <v>105</v>
      </c>
      <c r="T991" s="1" t="s">
        <v>35</v>
      </c>
      <c r="U991" s="1" t="s">
        <v>82</v>
      </c>
      <c r="V991" s="1" t="s">
        <v>67</v>
      </c>
      <c r="W991">
        <v>3</v>
      </c>
      <c r="X991" s="1">
        <f t="shared" si="30"/>
        <v>8313.6899999999459</v>
      </c>
      <c r="Y991" s="1">
        <f t="shared" si="31"/>
        <v>7204.2099999999582</v>
      </c>
    </row>
    <row r="992" spans="1:25" x14ac:dyDescent="0.3">
      <c r="A992" s="1" t="s">
        <v>2178</v>
      </c>
      <c r="B992">
        <v>1</v>
      </c>
      <c r="C992">
        <v>30.99</v>
      </c>
      <c r="D992">
        <v>30.99</v>
      </c>
      <c r="E992" s="1" t="s">
        <v>727</v>
      </c>
      <c r="F992" s="1" t="s">
        <v>51</v>
      </c>
      <c r="G992">
        <v>0</v>
      </c>
      <c r="H992" s="1" t="s">
        <v>41</v>
      </c>
      <c r="I992" s="1" t="s">
        <v>42</v>
      </c>
      <c r="J992">
        <v>10.5</v>
      </c>
      <c r="K992">
        <v>30.99</v>
      </c>
      <c r="L992" s="1" t="s">
        <v>28</v>
      </c>
      <c r="M992" s="1" t="s">
        <v>43</v>
      </c>
      <c r="N992" s="1" t="s">
        <v>44</v>
      </c>
      <c r="O992" s="1" t="s">
        <v>31</v>
      </c>
      <c r="P992" s="2">
        <v>45823</v>
      </c>
      <c r="Q992" s="1" t="s">
        <v>133</v>
      </c>
      <c r="R992" s="1" t="s">
        <v>2179</v>
      </c>
      <c r="S992" s="1" t="s">
        <v>65</v>
      </c>
      <c r="T992" s="1" t="s">
        <v>35</v>
      </c>
      <c r="U992" s="1" t="s">
        <v>66</v>
      </c>
      <c r="V992" s="1" t="s">
        <v>37</v>
      </c>
      <c r="W992">
        <v>2</v>
      </c>
      <c r="X992" s="1">
        <f t="shared" si="30"/>
        <v>8551.6499999999451</v>
      </c>
      <c r="Y992" s="1">
        <f t="shared" si="31"/>
        <v>6397.4799999999632</v>
      </c>
    </row>
    <row r="993" spans="1:25" x14ac:dyDescent="0.3">
      <c r="A993" s="1" t="s">
        <v>2180</v>
      </c>
      <c r="B993">
        <v>3</v>
      </c>
      <c r="C993">
        <v>34.99</v>
      </c>
      <c r="D993">
        <v>82.82</v>
      </c>
      <c r="E993" s="1" t="s">
        <v>2181</v>
      </c>
      <c r="F993" s="1" t="s">
        <v>51</v>
      </c>
      <c r="G993">
        <v>0</v>
      </c>
      <c r="H993" s="1" t="s">
        <v>41</v>
      </c>
      <c r="I993" s="1" t="s">
        <v>85</v>
      </c>
      <c r="J993">
        <v>12.5</v>
      </c>
      <c r="K993">
        <v>34.99</v>
      </c>
      <c r="L993" s="1" t="s">
        <v>60</v>
      </c>
      <c r="M993" s="1" t="s">
        <v>29</v>
      </c>
      <c r="N993" s="1" t="s">
        <v>30</v>
      </c>
      <c r="O993" s="1" t="s">
        <v>31</v>
      </c>
      <c r="P993" s="2">
        <v>45778</v>
      </c>
      <c r="Q993" s="1" t="s">
        <v>990</v>
      </c>
      <c r="R993" s="1" t="s">
        <v>1623</v>
      </c>
      <c r="S993" s="1" t="s">
        <v>54</v>
      </c>
      <c r="T993" s="1" t="s">
        <v>35</v>
      </c>
      <c r="U993" s="1" t="s">
        <v>48</v>
      </c>
      <c r="V993" s="1" t="s">
        <v>89</v>
      </c>
      <c r="W993">
        <v>2.4</v>
      </c>
      <c r="X993" s="1">
        <f t="shared" si="30"/>
        <v>8551.6499999999451</v>
      </c>
      <c r="Y993" s="1">
        <f t="shared" si="31"/>
        <v>7682.919999999951</v>
      </c>
    </row>
    <row r="994" spans="1:25" x14ac:dyDescent="0.3">
      <c r="A994" s="1" t="s">
        <v>2182</v>
      </c>
      <c r="B994">
        <v>1</v>
      </c>
      <c r="C994">
        <v>27.99</v>
      </c>
      <c r="D994">
        <v>27.99</v>
      </c>
      <c r="E994" s="1" t="s">
        <v>1724</v>
      </c>
      <c r="F994" s="1" t="s">
        <v>40</v>
      </c>
      <c r="G994">
        <v>2</v>
      </c>
      <c r="H994" s="1" t="s">
        <v>41</v>
      </c>
      <c r="I994" s="1" t="s">
        <v>75</v>
      </c>
      <c r="J994">
        <v>9</v>
      </c>
      <c r="K994">
        <v>27.99</v>
      </c>
      <c r="L994" s="1" t="s">
        <v>28</v>
      </c>
      <c r="M994" s="1" t="s">
        <v>61</v>
      </c>
      <c r="N994" s="1" t="s">
        <v>62</v>
      </c>
      <c r="O994" s="1" t="s">
        <v>31</v>
      </c>
      <c r="P994" s="2">
        <v>45726</v>
      </c>
      <c r="Q994" s="1" t="s">
        <v>2183</v>
      </c>
      <c r="R994" s="1" t="s">
        <v>2184</v>
      </c>
      <c r="S994" s="1" t="s">
        <v>34</v>
      </c>
      <c r="T994" s="1" t="s">
        <v>35</v>
      </c>
      <c r="U994" s="1" t="s">
        <v>48</v>
      </c>
      <c r="V994" s="1" t="s">
        <v>37</v>
      </c>
      <c r="W994">
        <v>2</v>
      </c>
      <c r="X994" s="1">
        <f t="shared" si="30"/>
        <v>8551.6499999999451</v>
      </c>
      <c r="Y994" s="1">
        <f t="shared" si="31"/>
        <v>7682.919999999951</v>
      </c>
    </row>
    <row r="995" spans="1:25" x14ac:dyDescent="0.3">
      <c r="A995" s="1" t="s">
        <v>2185</v>
      </c>
      <c r="B995">
        <v>1</v>
      </c>
      <c r="C995">
        <v>18.989999999999998</v>
      </c>
      <c r="D995">
        <v>18.989999999999998</v>
      </c>
      <c r="E995" s="1" t="s">
        <v>1724</v>
      </c>
      <c r="F995" s="1" t="s">
        <v>40</v>
      </c>
      <c r="G995">
        <v>19</v>
      </c>
      <c r="H995" s="1" t="s">
        <v>26</v>
      </c>
      <c r="I995" s="1" t="s">
        <v>97</v>
      </c>
      <c r="J995">
        <v>6</v>
      </c>
      <c r="K995">
        <v>18.989999999999998</v>
      </c>
      <c r="L995" s="1" t="s">
        <v>60</v>
      </c>
      <c r="M995" s="1" t="s">
        <v>43</v>
      </c>
      <c r="N995" s="1" t="s">
        <v>44</v>
      </c>
      <c r="O995" s="1" t="s">
        <v>31</v>
      </c>
      <c r="P995" s="2">
        <v>45823</v>
      </c>
      <c r="Q995" s="1" t="s">
        <v>1012</v>
      </c>
      <c r="R995" s="1" t="s">
        <v>1013</v>
      </c>
      <c r="S995" s="1" t="s">
        <v>65</v>
      </c>
      <c r="T995" s="1" t="s">
        <v>35</v>
      </c>
      <c r="U995" s="1" t="s">
        <v>36</v>
      </c>
      <c r="V995" s="1" t="s">
        <v>100</v>
      </c>
      <c r="W995">
        <v>3.2</v>
      </c>
      <c r="X995" s="1">
        <f t="shared" si="30"/>
        <v>8313.6899999999459</v>
      </c>
      <c r="Y995" s="1">
        <f t="shared" si="31"/>
        <v>6355.4899999999634</v>
      </c>
    </row>
    <row r="996" spans="1:25" x14ac:dyDescent="0.3">
      <c r="A996" s="1" t="s">
        <v>2186</v>
      </c>
      <c r="B996">
        <v>1</v>
      </c>
      <c r="C996">
        <v>16.989999999999998</v>
      </c>
      <c r="D996">
        <v>16.989999999999998</v>
      </c>
      <c r="E996" s="1" t="s">
        <v>2187</v>
      </c>
      <c r="F996" s="1" t="s">
        <v>40</v>
      </c>
      <c r="G996">
        <v>18</v>
      </c>
      <c r="H996" s="1" t="s">
        <v>26</v>
      </c>
      <c r="I996" s="1" t="s">
        <v>59</v>
      </c>
      <c r="J996">
        <v>5</v>
      </c>
      <c r="K996">
        <v>16.989999999999998</v>
      </c>
      <c r="L996" s="1" t="s">
        <v>60</v>
      </c>
      <c r="M996" s="1" t="s">
        <v>61</v>
      </c>
      <c r="N996" s="1" t="s">
        <v>62</v>
      </c>
      <c r="O996" s="1" t="s">
        <v>31</v>
      </c>
      <c r="P996" s="2">
        <v>45726</v>
      </c>
      <c r="Q996" s="1" t="s">
        <v>1642</v>
      </c>
      <c r="R996" s="1" t="s">
        <v>1736</v>
      </c>
      <c r="S996" s="1" t="s">
        <v>47</v>
      </c>
      <c r="T996" s="1" t="s">
        <v>35</v>
      </c>
      <c r="U996" s="1" t="s">
        <v>48</v>
      </c>
      <c r="V996" s="1" t="s">
        <v>67</v>
      </c>
      <c r="W996">
        <v>3</v>
      </c>
      <c r="X996" s="1">
        <f t="shared" si="30"/>
        <v>8313.6899999999459</v>
      </c>
      <c r="Y996" s="1">
        <f t="shared" si="31"/>
        <v>7682.919999999951</v>
      </c>
    </row>
    <row r="997" spans="1:25" x14ac:dyDescent="0.3">
      <c r="A997" s="1" t="s">
        <v>2188</v>
      </c>
      <c r="B997">
        <v>1</v>
      </c>
      <c r="C997">
        <v>27.99</v>
      </c>
      <c r="D997">
        <v>27.99</v>
      </c>
      <c r="E997" s="1" t="s">
        <v>348</v>
      </c>
      <c r="F997" s="1" t="s">
        <v>40</v>
      </c>
      <c r="G997">
        <v>2</v>
      </c>
      <c r="H997" s="1" t="s">
        <v>41</v>
      </c>
      <c r="I997" s="1" t="s">
        <v>75</v>
      </c>
      <c r="J997">
        <v>9</v>
      </c>
      <c r="K997">
        <v>27.99</v>
      </c>
      <c r="L997" s="1" t="s">
        <v>28</v>
      </c>
      <c r="M997" s="1" t="s">
        <v>61</v>
      </c>
      <c r="N997" s="1" t="s">
        <v>62</v>
      </c>
      <c r="O997" s="1" t="s">
        <v>31</v>
      </c>
      <c r="P997" s="2">
        <v>45726</v>
      </c>
      <c r="Q997" s="1" t="s">
        <v>80</v>
      </c>
      <c r="R997" s="1" t="s">
        <v>1244</v>
      </c>
      <c r="S997" s="1" t="s">
        <v>54</v>
      </c>
      <c r="T997" s="1" t="s">
        <v>35</v>
      </c>
      <c r="U997" s="1" t="s">
        <v>82</v>
      </c>
      <c r="V997" s="1" t="s">
        <v>37</v>
      </c>
      <c r="W997">
        <v>2</v>
      </c>
      <c r="X997" s="1">
        <f t="shared" si="30"/>
        <v>8551.6499999999451</v>
      </c>
      <c r="Y997" s="1">
        <f t="shared" si="31"/>
        <v>7204.2099999999582</v>
      </c>
    </row>
    <row r="998" spans="1:25" x14ac:dyDescent="0.3">
      <c r="A998" s="1" t="s">
        <v>2189</v>
      </c>
      <c r="B998">
        <v>1</v>
      </c>
      <c r="C998">
        <v>21.99</v>
      </c>
      <c r="D998">
        <v>21.99</v>
      </c>
      <c r="E998" s="1" t="s">
        <v>1652</v>
      </c>
      <c r="F998" s="1" t="s">
        <v>40</v>
      </c>
      <c r="G998">
        <v>2</v>
      </c>
      <c r="H998" s="1" t="s">
        <v>96</v>
      </c>
      <c r="I998" s="1" t="s">
        <v>27</v>
      </c>
      <c r="J998">
        <v>7</v>
      </c>
      <c r="K998">
        <v>21.99</v>
      </c>
      <c r="L998" s="1" t="s">
        <v>28</v>
      </c>
      <c r="M998" s="1" t="s">
        <v>29</v>
      </c>
      <c r="N998" s="1" t="s">
        <v>30</v>
      </c>
      <c r="O998" s="1" t="s">
        <v>31</v>
      </c>
      <c r="P998" s="2">
        <v>45778</v>
      </c>
      <c r="Q998" s="1" t="s">
        <v>783</v>
      </c>
      <c r="R998" s="1" t="s">
        <v>784</v>
      </c>
      <c r="S998" s="1" t="s">
        <v>34</v>
      </c>
      <c r="T998" s="1" t="s">
        <v>35</v>
      </c>
      <c r="U998" s="1" t="s">
        <v>55</v>
      </c>
      <c r="V998" s="1" t="s">
        <v>37</v>
      </c>
      <c r="W998">
        <v>2</v>
      </c>
      <c r="X998" s="1">
        <f t="shared" si="30"/>
        <v>7844.9099999999507</v>
      </c>
      <c r="Y998" s="1">
        <f t="shared" si="31"/>
        <v>5710.7699999999695</v>
      </c>
    </row>
    <row r="999" spans="1:25" x14ac:dyDescent="0.3">
      <c r="A999" s="1" t="s">
        <v>2190</v>
      </c>
      <c r="B999">
        <v>2</v>
      </c>
      <c r="C999">
        <v>34.99</v>
      </c>
      <c r="D999">
        <v>61.02</v>
      </c>
      <c r="E999" s="1" t="s">
        <v>723</v>
      </c>
      <c r="F999" s="1" t="s">
        <v>40</v>
      </c>
      <c r="G999">
        <v>7</v>
      </c>
      <c r="H999" s="1" t="s">
        <v>41</v>
      </c>
      <c r="I999" s="1" t="s">
        <v>85</v>
      </c>
      <c r="J999">
        <v>12.5</v>
      </c>
      <c r="K999">
        <v>34.99</v>
      </c>
      <c r="L999" s="1" t="s">
        <v>60</v>
      </c>
      <c r="M999" s="1" t="s">
        <v>29</v>
      </c>
      <c r="N999" s="1" t="s">
        <v>30</v>
      </c>
      <c r="O999" s="1" t="s">
        <v>31</v>
      </c>
      <c r="P999" s="2">
        <v>45778</v>
      </c>
      <c r="Q999" s="1" t="s">
        <v>934</v>
      </c>
      <c r="R999" s="1" t="s">
        <v>1165</v>
      </c>
      <c r="S999" s="1" t="s">
        <v>65</v>
      </c>
      <c r="T999" s="1" t="s">
        <v>35</v>
      </c>
      <c r="U999" s="1" t="s">
        <v>82</v>
      </c>
      <c r="V999" s="1" t="s">
        <v>89</v>
      </c>
      <c r="W999">
        <v>2.4</v>
      </c>
      <c r="X999" s="1">
        <f t="shared" si="30"/>
        <v>8551.6499999999451</v>
      </c>
      <c r="Y999" s="1">
        <f t="shared" si="31"/>
        <v>7204.2099999999582</v>
      </c>
    </row>
    <row r="1000" spans="1:25" x14ac:dyDescent="0.3">
      <c r="A1000" s="1" t="s">
        <v>2191</v>
      </c>
      <c r="B1000">
        <v>1</v>
      </c>
      <c r="C1000">
        <v>34.99</v>
      </c>
      <c r="D1000">
        <v>34.99</v>
      </c>
      <c r="E1000" s="1" t="s">
        <v>2192</v>
      </c>
      <c r="F1000" s="1" t="s">
        <v>40</v>
      </c>
      <c r="G1000">
        <v>6</v>
      </c>
      <c r="H1000" s="1" t="s">
        <v>41</v>
      </c>
      <c r="I1000" s="1" t="s">
        <v>85</v>
      </c>
      <c r="J1000">
        <v>12.5</v>
      </c>
      <c r="K1000">
        <v>34.99</v>
      </c>
      <c r="L1000" s="1" t="s">
        <v>60</v>
      </c>
      <c r="M1000" s="1" t="s">
        <v>29</v>
      </c>
      <c r="N1000" s="1" t="s">
        <v>30</v>
      </c>
      <c r="O1000" s="1" t="s">
        <v>31</v>
      </c>
      <c r="P1000" s="2">
        <v>45778</v>
      </c>
      <c r="Q1000" s="1" t="s">
        <v>425</v>
      </c>
      <c r="R1000" s="1" t="s">
        <v>1435</v>
      </c>
      <c r="S1000" s="1" t="s">
        <v>54</v>
      </c>
      <c r="T1000" s="1" t="s">
        <v>35</v>
      </c>
      <c r="U1000" s="1" t="s">
        <v>48</v>
      </c>
      <c r="V1000" s="1" t="s">
        <v>89</v>
      </c>
      <c r="W1000">
        <v>2.4</v>
      </c>
      <c r="X1000" s="1">
        <f t="shared" si="30"/>
        <v>8551.6499999999451</v>
      </c>
      <c r="Y1000" s="1">
        <f t="shared" si="31"/>
        <v>7682.919999999951</v>
      </c>
    </row>
    <row r="1001" spans="1:25" x14ac:dyDescent="0.3">
      <c r="A1001" s="1" t="s">
        <v>2193</v>
      </c>
      <c r="B1001">
        <v>1</v>
      </c>
      <c r="C1001">
        <v>34.99</v>
      </c>
      <c r="D1001">
        <v>34.99</v>
      </c>
      <c r="E1001" s="1" t="s">
        <v>1015</v>
      </c>
      <c r="F1001" s="1" t="s">
        <v>51</v>
      </c>
      <c r="G1001">
        <v>0</v>
      </c>
      <c r="H1001" s="1" t="s">
        <v>58</v>
      </c>
      <c r="I1001" s="1" t="s">
        <v>85</v>
      </c>
      <c r="J1001">
        <v>12.5</v>
      </c>
      <c r="K1001">
        <v>34.99</v>
      </c>
      <c r="L1001" s="1" t="s">
        <v>60</v>
      </c>
      <c r="M1001" s="1" t="s">
        <v>29</v>
      </c>
      <c r="N1001" s="1" t="s">
        <v>30</v>
      </c>
      <c r="O1001" s="1" t="s">
        <v>31</v>
      </c>
      <c r="P1001" s="2">
        <v>45778</v>
      </c>
      <c r="Q1001" s="1" t="s">
        <v>1385</v>
      </c>
      <c r="R1001" s="1" t="s">
        <v>1386</v>
      </c>
      <c r="S1001" s="1" t="s">
        <v>47</v>
      </c>
      <c r="T1001" s="1" t="s">
        <v>35</v>
      </c>
      <c r="U1001" s="1" t="s">
        <v>66</v>
      </c>
      <c r="V1001" s="1" t="s">
        <v>89</v>
      </c>
      <c r="W1001">
        <v>2.4</v>
      </c>
      <c r="X1001" s="1">
        <f t="shared" si="30"/>
        <v>8640.6199999999462</v>
      </c>
      <c r="Y1001" s="1">
        <f t="shared" si="31"/>
        <v>6397.4799999999632</v>
      </c>
    </row>
    <row r="1002" spans="1:25" x14ac:dyDescent="0.3">
      <c r="A1002" s="1" t="s">
        <v>2194</v>
      </c>
      <c r="B1002">
        <v>1</v>
      </c>
      <c r="C1002">
        <v>30.99</v>
      </c>
      <c r="D1002">
        <v>30.99</v>
      </c>
      <c r="E1002" s="1" t="s">
        <v>1008</v>
      </c>
      <c r="F1002" s="1" t="s">
        <v>40</v>
      </c>
      <c r="G1002">
        <v>2</v>
      </c>
      <c r="H1002" s="1" t="s">
        <v>58</v>
      </c>
      <c r="I1002" s="1" t="s">
        <v>42</v>
      </c>
      <c r="J1002">
        <v>10.5</v>
      </c>
      <c r="K1002">
        <v>30.99</v>
      </c>
      <c r="L1002" s="1" t="s">
        <v>28</v>
      </c>
      <c r="M1002" s="1" t="s">
        <v>43</v>
      </c>
      <c r="N1002" s="1" t="s">
        <v>44</v>
      </c>
      <c r="O1002" s="1" t="s">
        <v>31</v>
      </c>
      <c r="P1002" s="2">
        <v>45823</v>
      </c>
      <c r="Q1002" s="1" t="s">
        <v>2195</v>
      </c>
      <c r="R1002" s="1" t="s">
        <v>2196</v>
      </c>
      <c r="S1002" s="1" t="s">
        <v>34</v>
      </c>
      <c r="T1002" s="1" t="s">
        <v>35</v>
      </c>
      <c r="U1002" s="1" t="s">
        <v>66</v>
      </c>
      <c r="V1002" s="1" t="s">
        <v>37</v>
      </c>
      <c r="W1002">
        <v>2</v>
      </c>
      <c r="X1002" s="1">
        <f t="shared" si="30"/>
        <v>8640.6199999999462</v>
      </c>
      <c r="Y1002" s="1">
        <f t="shared" si="31"/>
        <v>6397.4799999999632</v>
      </c>
    </row>
    <row r="1003" spans="1:25" x14ac:dyDescent="0.3">
      <c r="A1003" s="1" t="s">
        <v>2197</v>
      </c>
      <c r="B1003">
        <v>2</v>
      </c>
      <c r="C1003">
        <v>27.99</v>
      </c>
      <c r="D1003">
        <v>48.61</v>
      </c>
      <c r="E1003" s="1" t="s">
        <v>1388</v>
      </c>
      <c r="F1003" s="1" t="s">
        <v>188</v>
      </c>
      <c r="G1003">
        <v>0</v>
      </c>
      <c r="H1003" s="1" t="s">
        <v>96</v>
      </c>
      <c r="I1003" s="1" t="s">
        <v>75</v>
      </c>
      <c r="J1003">
        <v>9</v>
      </c>
      <c r="K1003">
        <v>27.99</v>
      </c>
      <c r="L1003" s="1" t="s">
        <v>28</v>
      </c>
      <c r="M1003" s="1" t="s">
        <v>61</v>
      </c>
      <c r="N1003" s="1" t="s">
        <v>62</v>
      </c>
      <c r="O1003" s="1" t="s">
        <v>31</v>
      </c>
      <c r="P1003" s="2">
        <v>45726</v>
      </c>
      <c r="Q1003" s="1" t="s">
        <v>1719</v>
      </c>
      <c r="R1003" s="1" t="s">
        <v>2198</v>
      </c>
      <c r="S1003" s="1" t="s">
        <v>34</v>
      </c>
      <c r="T1003" s="1" t="s">
        <v>35</v>
      </c>
      <c r="U1003" s="1" t="s">
        <v>36</v>
      </c>
      <c r="V1003" s="1" t="s">
        <v>37</v>
      </c>
      <c r="W1003">
        <v>2</v>
      </c>
      <c r="X1003" s="1">
        <f t="shared" si="30"/>
        <v>7844.9099999999507</v>
      </c>
      <c r="Y1003" s="1">
        <f t="shared" si="31"/>
        <v>6355.4899999999634</v>
      </c>
    </row>
    <row r="1004" spans="1:25" x14ac:dyDescent="0.3">
      <c r="A1004" s="1" t="s">
        <v>2199</v>
      </c>
      <c r="B1004">
        <v>1</v>
      </c>
      <c r="C1004">
        <v>34.99</v>
      </c>
      <c r="D1004">
        <v>34.99</v>
      </c>
      <c r="E1004" s="1" t="s">
        <v>1359</v>
      </c>
      <c r="F1004" s="1" t="s">
        <v>70</v>
      </c>
      <c r="G1004">
        <v>0</v>
      </c>
      <c r="H1004" s="1" t="s">
        <v>58</v>
      </c>
      <c r="I1004" s="1" t="s">
        <v>85</v>
      </c>
      <c r="J1004">
        <v>12.5</v>
      </c>
      <c r="K1004">
        <v>34.99</v>
      </c>
      <c r="L1004" s="1" t="s">
        <v>60</v>
      </c>
      <c r="M1004" s="1" t="s">
        <v>29</v>
      </c>
      <c r="N1004" s="1" t="s">
        <v>30</v>
      </c>
      <c r="O1004" s="1" t="s">
        <v>31</v>
      </c>
      <c r="P1004" s="2">
        <v>45778</v>
      </c>
      <c r="Q1004" s="1" t="s">
        <v>1850</v>
      </c>
      <c r="R1004" s="1" t="s">
        <v>1851</v>
      </c>
      <c r="S1004" s="1" t="s">
        <v>47</v>
      </c>
      <c r="T1004" s="1" t="s">
        <v>35</v>
      </c>
      <c r="U1004" s="1" t="s">
        <v>66</v>
      </c>
      <c r="V1004" s="1" t="s">
        <v>89</v>
      </c>
      <c r="W1004">
        <v>2.4</v>
      </c>
      <c r="X1004" s="1">
        <f t="shared" si="30"/>
        <v>8640.6199999999462</v>
      </c>
      <c r="Y1004" s="1">
        <f t="shared" si="31"/>
        <v>6397.4799999999632</v>
      </c>
    </row>
    <row r="1005" spans="1:25" x14ac:dyDescent="0.3">
      <c r="A1005" s="1" t="s">
        <v>2200</v>
      </c>
      <c r="B1005">
        <v>1</v>
      </c>
      <c r="C1005">
        <v>27.99</v>
      </c>
      <c r="D1005">
        <v>27.99</v>
      </c>
      <c r="E1005" s="1" t="s">
        <v>1936</v>
      </c>
      <c r="F1005" s="1" t="s">
        <v>40</v>
      </c>
      <c r="G1005">
        <v>3</v>
      </c>
      <c r="H1005" s="1" t="s">
        <v>58</v>
      </c>
      <c r="I1005" s="1" t="s">
        <v>75</v>
      </c>
      <c r="J1005">
        <v>9</v>
      </c>
      <c r="K1005">
        <v>27.99</v>
      </c>
      <c r="L1005" s="1" t="s">
        <v>28</v>
      </c>
      <c r="M1005" s="1" t="s">
        <v>61</v>
      </c>
      <c r="N1005" s="1" t="s">
        <v>62</v>
      </c>
      <c r="O1005" s="1" t="s">
        <v>31</v>
      </c>
      <c r="P1005" s="2">
        <v>45726</v>
      </c>
      <c r="Q1005" s="1" t="s">
        <v>1275</v>
      </c>
      <c r="R1005" s="1" t="s">
        <v>1276</v>
      </c>
      <c r="S1005" s="1" t="s">
        <v>47</v>
      </c>
      <c r="T1005" s="1" t="s">
        <v>35</v>
      </c>
      <c r="U1005" s="1" t="s">
        <v>66</v>
      </c>
      <c r="V1005" s="1" t="s">
        <v>37</v>
      </c>
      <c r="W1005">
        <v>2</v>
      </c>
      <c r="X1005" s="1">
        <f t="shared" si="30"/>
        <v>8640.6199999999462</v>
      </c>
      <c r="Y1005" s="1">
        <f t="shared" si="31"/>
        <v>6397.4799999999632</v>
      </c>
    </row>
    <row r="1006" spans="1:25" x14ac:dyDescent="0.3">
      <c r="A1006" s="1" t="s">
        <v>2201</v>
      </c>
      <c r="B1006">
        <v>1</v>
      </c>
      <c r="C1006">
        <v>16.989999999999998</v>
      </c>
      <c r="D1006">
        <v>16.989999999999998</v>
      </c>
      <c r="E1006" s="1" t="s">
        <v>2202</v>
      </c>
      <c r="F1006" s="1" t="s">
        <v>40</v>
      </c>
      <c r="G1006">
        <v>16</v>
      </c>
      <c r="H1006" s="1" t="s">
        <v>26</v>
      </c>
      <c r="I1006" s="1" t="s">
        <v>59</v>
      </c>
      <c r="J1006">
        <v>5</v>
      </c>
      <c r="K1006">
        <v>16.989999999999998</v>
      </c>
      <c r="L1006" s="1" t="s">
        <v>60</v>
      </c>
      <c r="M1006" s="1" t="s">
        <v>61</v>
      </c>
      <c r="N1006" s="1" t="s">
        <v>62</v>
      </c>
      <c r="O1006" s="1" t="s">
        <v>31</v>
      </c>
      <c r="P1006" s="2">
        <v>45726</v>
      </c>
      <c r="Q1006" s="1" t="s">
        <v>1642</v>
      </c>
      <c r="R1006" s="1" t="s">
        <v>1643</v>
      </c>
      <c r="S1006" s="1" t="s">
        <v>88</v>
      </c>
      <c r="T1006" s="1" t="s">
        <v>35</v>
      </c>
      <c r="U1006" s="1" t="s">
        <v>36</v>
      </c>
      <c r="V1006" s="1" t="s">
        <v>67</v>
      </c>
      <c r="W1006">
        <v>3</v>
      </c>
      <c r="X1006" s="1">
        <f t="shared" si="30"/>
        <v>8313.6899999999459</v>
      </c>
      <c r="Y1006" s="1">
        <f t="shared" si="31"/>
        <v>6355.4899999999634</v>
      </c>
    </row>
    <row r="1007" spans="1:25" x14ac:dyDescent="0.3">
      <c r="A1007" s="1" t="s">
        <v>2203</v>
      </c>
      <c r="B1007">
        <v>3</v>
      </c>
      <c r="C1007">
        <v>21.99</v>
      </c>
      <c r="D1007">
        <v>52.66</v>
      </c>
      <c r="E1007" s="1" t="s">
        <v>1156</v>
      </c>
      <c r="F1007" s="1" t="s">
        <v>40</v>
      </c>
      <c r="G1007">
        <v>3</v>
      </c>
      <c r="H1007" s="1" t="s">
        <v>41</v>
      </c>
      <c r="I1007" s="1" t="s">
        <v>27</v>
      </c>
      <c r="J1007">
        <v>7</v>
      </c>
      <c r="K1007">
        <v>21.99</v>
      </c>
      <c r="L1007" s="1" t="s">
        <v>28</v>
      </c>
      <c r="M1007" s="1" t="s">
        <v>29</v>
      </c>
      <c r="N1007" s="1" t="s">
        <v>30</v>
      </c>
      <c r="O1007" s="1" t="s">
        <v>31</v>
      </c>
      <c r="P1007" s="2">
        <v>45778</v>
      </c>
      <c r="Q1007" s="1" t="s">
        <v>1187</v>
      </c>
      <c r="R1007" s="1" t="s">
        <v>2204</v>
      </c>
      <c r="S1007" s="1" t="s">
        <v>88</v>
      </c>
      <c r="T1007" s="1" t="s">
        <v>35</v>
      </c>
      <c r="U1007" s="1" t="s">
        <v>55</v>
      </c>
      <c r="V1007" s="1" t="s">
        <v>37</v>
      </c>
      <c r="W1007">
        <v>2</v>
      </c>
      <c r="X1007" s="1">
        <f t="shared" si="30"/>
        <v>8551.6499999999451</v>
      </c>
      <c r="Y1007" s="1">
        <f t="shared" si="31"/>
        <v>5710.7699999999695</v>
      </c>
    </row>
    <row r="1008" spans="1:25" x14ac:dyDescent="0.3">
      <c r="A1008" s="1" t="s">
        <v>2205</v>
      </c>
      <c r="B1008">
        <v>1</v>
      </c>
      <c r="C1008">
        <v>30.99</v>
      </c>
      <c r="D1008">
        <v>30.99</v>
      </c>
      <c r="E1008" s="1" t="s">
        <v>185</v>
      </c>
      <c r="F1008" s="1" t="s">
        <v>40</v>
      </c>
      <c r="G1008">
        <v>2</v>
      </c>
      <c r="H1008" s="1" t="s">
        <v>41</v>
      </c>
      <c r="I1008" s="1" t="s">
        <v>42</v>
      </c>
      <c r="J1008">
        <v>10.5</v>
      </c>
      <c r="K1008">
        <v>30.99</v>
      </c>
      <c r="L1008" s="1" t="s">
        <v>28</v>
      </c>
      <c r="M1008" s="1" t="s">
        <v>43</v>
      </c>
      <c r="N1008" s="1" t="s">
        <v>44</v>
      </c>
      <c r="O1008" s="1" t="s">
        <v>31</v>
      </c>
      <c r="P1008" s="2">
        <v>45823</v>
      </c>
      <c r="Q1008" s="1" t="s">
        <v>1639</v>
      </c>
      <c r="R1008" s="1" t="s">
        <v>1640</v>
      </c>
      <c r="S1008" s="1" t="s">
        <v>105</v>
      </c>
      <c r="T1008" s="1" t="s">
        <v>35</v>
      </c>
      <c r="U1008" s="1" t="s">
        <v>36</v>
      </c>
      <c r="V1008" s="1" t="s">
        <v>37</v>
      </c>
      <c r="W1008">
        <v>2</v>
      </c>
      <c r="X1008" s="1">
        <f t="shared" si="30"/>
        <v>8551.6499999999451</v>
      </c>
      <c r="Y1008" s="1">
        <f t="shared" si="31"/>
        <v>6355.4899999999634</v>
      </c>
    </row>
    <row r="1009" spans="1:25" x14ac:dyDescent="0.3">
      <c r="A1009" s="1" t="s">
        <v>2206</v>
      </c>
      <c r="B1009">
        <v>3</v>
      </c>
      <c r="C1009">
        <v>21.99</v>
      </c>
      <c r="D1009">
        <v>51.96</v>
      </c>
      <c r="E1009" s="1" t="s">
        <v>2142</v>
      </c>
      <c r="F1009" s="1" t="s">
        <v>188</v>
      </c>
      <c r="G1009">
        <v>0</v>
      </c>
      <c r="H1009" s="1" t="s">
        <v>58</v>
      </c>
      <c r="I1009" s="1" t="s">
        <v>27</v>
      </c>
      <c r="J1009">
        <v>7</v>
      </c>
      <c r="K1009">
        <v>21.99</v>
      </c>
      <c r="L1009" s="1" t="s">
        <v>28</v>
      </c>
      <c r="M1009" s="1" t="s">
        <v>29</v>
      </c>
      <c r="N1009" s="1" t="s">
        <v>30</v>
      </c>
      <c r="O1009" s="1" t="s">
        <v>31</v>
      </c>
      <c r="P1009" s="2">
        <v>45778</v>
      </c>
      <c r="Q1009" s="1" t="s">
        <v>865</v>
      </c>
      <c r="R1009" s="1" t="s">
        <v>866</v>
      </c>
      <c r="S1009" s="1" t="s">
        <v>105</v>
      </c>
      <c r="T1009" s="1" t="s">
        <v>35</v>
      </c>
      <c r="U1009" s="1" t="s">
        <v>36</v>
      </c>
      <c r="V1009" s="1" t="s">
        <v>37</v>
      </c>
      <c r="W1009">
        <v>2</v>
      </c>
      <c r="X1009" s="1">
        <f t="shared" si="30"/>
        <v>8640.6199999999462</v>
      </c>
      <c r="Y1009" s="1">
        <f t="shared" si="31"/>
        <v>6355.4899999999634</v>
      </c>
    </row>
    <row r="1010" spans="1:25" x14ac:dyDescent="0.3">
      <c r="A1010" s="1" t="s">
        <v>2207</v>
      </c>
      <c r="B1010">
        <v>2</v>
      </c>
      <c r="C1010">
        <v>27.99</v>
      </c>
      <c r="D1010">
        <v>48.1</v>
      </c>
      <c r="E1010" s="1" t="s">
        <v>727</v>
      </c>
      <c r="F1010" s="1" t="s">
        <v>40</v>
      </c>
      <c r="G1010">
        <v>2</v>
      </c>
      <c r="H1010" s="1" t="s">
        <v>58</v>
      </c>
      <c r="I1010" s="1" t="s">
        <v>75</v>
      </c>
      <c r="J1010">
        <v>9</v>
      </c>
      <c r="K1010">
        <v>27.99</v>
      </c>
      <c r="L1010" s="1" t="s">
        <v>28</v>
      </c>
      <c r="M1010" s="1" t="s">
        <v>61</v>
      </c>
      <c r="N1010" s="1" t="s">
        <v>62</v>
      </c>
      <c r="O1010" s="1" t="s">
        <v>31</v>
      </c>
      <c r="P1010" s="2">
        <v>45726</v>
      </c>
      <c r="Q1010" s="1" t="s">
        <v>234</v>
      </c>
      <c r="R1010" s="1" t="s">
        <v>1646</v>
      </c>
      <c r="S1010" s="1" t="s">
        <v>54</v>
      </c>
      <c r="T1010" s="1" t="s">
        <v>35</v>
      </c>
      <c r="U1010" s="1" t="s">
        <v>36</v>
      </c>
      <c r="V1010" s="1" t="s">
        <v>37</v>
      </c>
      <c r="W1010">
        <v>2</v>
      </c>
      <c r="X1010" s="1">
        <f t="shared" si="30"/>
        <v>8640.6199999999462</v>
      </c>
      <c r="Y1010" s="1">
        <f t="shared" si="31"/>
        <v>6355.4899999999634</v>
      </c>
    </row>
    <row r="1011" spans="1:25" x14ac:dyDescent="0.3">
      <c r="A1011" s="1" t="s">
        <v>2208</v>
      </c>
      <c r="B1011">
        <v>1</v>
      </c>
      <c r="C1011">
        <v>30.99</v>
      </c>
      <c r="D1011">
        <v>30.99</v>
      </c>
      <c r="E1011" s="1" t="s">
        <v>348</v>
      </c>
      <c r="F1011" s="1" t="s">
        <v>40</v>
      </c>
      <c r="G1011">
        <v>3</v>
      </c>
      <c r="H1011" s="1" t="s">
        <v>96</v>
      </c>
      <c r="I1011" s="1" t="s">
        <v>42</v>
      </c>
      <c r="J1011">
        <v>10.5</v>
      </c>
      <c r="K1011">
        <v>30.99</v>
      </c>
      <c r="L1011" s="1" t="s">
        <v>28</v>
      </c>
      <c r="M1011" s="1" t="s">
        <v>43</v>
      </c>
      <c r="N1011" s="1" t="s">
        <v>44</v>
      </c>
      <c r="O1011" s="1" t="s">
        <v>31</v>
      </c>
      <c r="P1011" s="2">
        <v>45823</v>
      </c>
      <c r="Q1011" s="1" t="s">
        <v>1620</v>
      </c>
      <c r="R1011" s="1" t="s">
        <v>1621</v>
      </c>
      <c r="S1011" s="1" t="s">
        <v>88</v>
      </c>
      <c r="T1011" s="1" t="s">
        <v>35</v>
      </c>
      <c r="U1011" s="1" t="s">
        <v>82</v>
      </c>
      <c r="V1011" s="1" t="s">
        <v>37</v>
      </c>
      <c r="W1011">
        <v>2</v>
      </c>
      <c r="X1011" s="1">
        <f t="shared" si="30"/>
        <v>7844.9099999999507</v>
      </c>
      <c r="Y1011" s="1">
        <f t="shared" si="31"/>
        <v>7204.2099999999582</v>
      </c>
    </row>
    <row r="1012" spans="1:25" x14ac:dyDescent="0.3">
      <c r="A1012" s="1" t="s">
        <v>2209</v>
      </c>
      <c r="B1012">
        <v>3</v>
      </c>
      <c r="C1012">
        <v>18.989999999999998</v>
      </c>
      <c r="D1012">
        <v>45.28</v>
      </c>
      <c r="E1012" s="1" t="s">
        <v>1749</v>
      </c>
      <c r="F1012" s="1" t="s">
        <v>40</v>
      </c>
      <c r="G1012">
        <v>14</v>
      </c>
      <c r="H1012" s="1" t="s">
        <v>26</v>
      </c>
      <c r="I1012" s="1" t="s">
        <v>97</v>
      </c>
      <c r="J1012">
        <v>6</v>
      </c>
      <c r="K1012">
        <v>18.989999999999998</v>
      </c>
      <c r="L1012" s="1" t="s">
        <v>60</v>
      </c>
      <c r="M1012" s="1" t="s">
        <v>43</v>
      </c>
      <c r="N1012" s="1" t="s">
        <v>44</v>
      </c>
      <c r="O1012" s="1" t="s">
        <v>31</v>
      </c>
      <c r="P1012" s="2">
        <v>45823</v>
      </c>
      <c r="Q1012" s="1" t="s">
        <v>1097</v>
      </c>
      <c r="R1012" s="1" t="s">
        <v>1098</v>
      </c>
      <c r="S1012" s="1" t="s">
        <v>65</v>
      </c>
      <c r="T1012" s="1" t="s">
        <v>35</v>
      </c>
      <c r="U1012" s="1" t="s">
        <v>48</v>
      </c>
      <c r="V1012" s="1" t="s">
        <v>100</v>
      </c>
      <c r="W1012">
        <v>3.2</v>
      </c>
      <c r="X1012" s="1">
        <f t="shared" si="30"/>
        <v>8313.6899999999459</v>
      </c>
      <c r="Y1012" s="1">
        <f t="shared" si="31"/>
        <v>7682.919999999951</v>
      </c>
    </row>
    <row r="1013" spans="1:25" x14ac:dyDescent="0.3">
      <c r="A1013" s="1" t="s">
        <v>2210</v>
      </c>
      <c r="B1013">
        <v>3</v>
      </c>
      <c r="C1013">
        <v>27.99</v>
      </c>
      <c r="D1013">
        <v>66.239999999999995</v>
      </c>
      <c r="E1013" s="1" t="s">
        <v>2093</v>
      </c>
      <c r="F1013" s="1" t="s">
        <v>51</v>
      </c>
      <c r="G1013">
        <v>0</v>
      </c>
      <c r="H1013" s="1" t="s">
        <v>41</v>
      </c>
      <c r="I1013" s="1" t="s">
        <v>75</v>
      </c>
      <c r="J1013">
        <v>9</v>
      </c>
      <c r="K1013">
        <v>27.99</v>
      </c>
      <c r="L1013" s="1" t="s">
        <v>28</v>
      </c>
      <c r="M1013" s="1" t="s">
        <v>61</v>
      </c>
      <c r="N1013" s="1" t="s">
        <v>62</v>
      </c>
      <c r="O1013" s="1" t="s">
        <v>31</v>
      </c>
      <c r="P1013" s="2">
        <v>45726</v>
      </c>
      <c r="Q1013" s="1" t="s">
        <v>140</v>
      </c>
      <c r="R1013" s="1" t="s">
        <v>1199</v>
      </c>
      <c r="S1013" s="1" t="s">
        <v>65</v>
      </c>
      <c r="T1013" s="1" t="s">
        <v>35</v>
      </c>
      <c r="U1013" s="1" t="s">
        <v>36</v>
      </c>
      <c r="V1013" s="1" t="s">
        <v>37</v>
      </c>
      <c r="W1013">
        <v>2</v>
      </c>
      <c r="X1013" s="1">
        <f t="shared" si="30"/>
        <v>8551.6499999999451</v>
      </c>
      <c r="Y1013" s="1">
        <f t="shared" si="31"/>
        <v>6355.4899999999634</v>
      </c>
    </row>
    <row r="1014" spans="1:25" x14ac:dyDescent="0.3">
      <c r="A1014" s="1" t="s">
        <v>2211</v>
      </c>
      <c r="B1014">
        <v>1</v>
      </c>
      <c r="C1014">
        <v>27.99</v>
      </c>
      <c r="D1014">
        <v>27.99</v>
      </c>
      <c r="E1014" s="1" t="s">
        <v>252</v>
      </c>
      <c r="F1014" s="1" t="s">
        <v>40</v>
      </c>
      <c r="G1014">
        <v>3</v>
      </c>
      <c r="H1014" s="1" t="s">
        <v>58</v>
      </c>
      <c r="I1014" s="1" t="s">
        <v>75</v>
      </c>
      <c r="J1014">
        <v>9</v>
      </c>
      <c r="K1014">
        <v>27.99</v>
      </c>
      <c r="L1014" s="1" t="s">
        <v>28</v>
      </c>
      <c r="M1014" s="1" t="s">
        <v>61</v>
      </c>
      <c r="N1014" s="1" t="s">
        <v>62</v>
      </c>
      <c r="O1014" s="1" t="s">
        <v>31</v>
      </c>
      <c r="P1014" s="2">
        <v>45726</v>
      </c>
      <c r="Q1014" s="1" t="s">
        <v>1940</v>
      </c>
      <c r="R1014" s="1" t="s">
        <v>1941</v>
      </c>
      <c r="S1014" s="1" t="s">
        <v>34</v>
      </c>
      <c r="T1014" s="1" t="s">
        <v>35</v>
      </c>
      <c r="U1014" s="1" t="s">
        <v>48</v>
      </c>
      <c r="V1014" s="1" t="s">
        <v>37</v>
      </c>
      <c r="W1014">
        <v>2</v>
      </c>
      <c r="X1014" s="1">
        <f t="shared" si="30"/>
        <v>8640.6199999999462</v>
      </c>
      <c r="Y1014" s="1">
        <f t="shared" si="31"/>
        <v>7682.919999999951</v>
      </c>
    </row>
    <row r="1015" spans="1:25" x14ac:dyDescent="0.3">
      <c r="A1015" s="1" t="s">
        <v>2212</v>
      </c>
      <c r="B1015">
        <v>1</v>
      </c>
      <c r="C1015">
        <v>18.989999999999998</v>
      </c>
      <c r="D1015">
        <v>18.989999999999998</v>
      </c>
      <c r="E1015" s="1" t="s">
        <v>297</v>
      </c>
      <c r="F1015" s="1" t="s">
        <v>40</v>
      </c>
      <c r="G1015">
        <v>10</v>
      </c>
      <c r="H1015" s="1" t="s">
        <v>26</v>
      </c>
      <c r="I1015" s="1" t="s">
        <v>97</v>
      </c>
      <c r="J1015">
        <v>6</v>
      </c>
      <c r="K1015">
        <v>18.989999999999998</v>
      </c>
      <c r="L1015" s="1" t="s">
        <v>60</v>
      </c>
      <c r="M1015" s="1" t="s">
        <v>43</v>
      </c>
      <c r="N1015" s="1" t="s">
        <v>44</v>
      </c>
      <c r="O1015" s="1" t="s">
        <v>31</v>
      </c>
      <c r="P1015" s="2">
        <v>45823</v>
      </c>
      <c r="Q1015" s="1" t="s">
        <v>865</v>
      </c>
      <c r="R1015" s="1" t="s">
        <v>866</v>
      </c>
      <c r="S1015" s="1" t="s">
        <v>105</v>
      </c>
      <c r="T1015" s="1" t="s">
        <v>35</v>
      </c>
      <c r="U1015" s="1" t="s">
        <v>36</v>
      </c>
      <c r="V1015" s="1" t="s">
        <v>100</v>
      </c>
      <c r="W1015">
        <v>3.2</v>
      </c>
      <c r="X1015" s="1">
        <f t="shared" si="30"/>
        <v>8313.6899999999459</v>
      </c>
      <c r="Y1015" s="1">
        <f t="shared" si="31"/>
        <v>6355.4899999999634</v>
      </c>
    </row>
    <row r="1016" spans="1:25" x14ac:dyDescent="0.3">
      <c r="A1016" s="1" t="s">
        <v>2213</v>
      </c>
      <c r="B1016">
        <v>2</v>
      </c>
      <c r="C1016">
        <v>27.99</v>
      </c>
      <c r="D1016">
        <v>48.54</v>
      </c>
      <c r="E1016" s="1" t="s">
        <v>1492</v>
      </c>
      <c r="F1016" s="1" t="s">
        <v>70</v>
      </c>
      <c r="G1016">
        <v>0</v>
      </c>
      <c r="H1016" s="1" t="s">
        <v>41</v>
      </c>
      <c r="I1016" s="1" t="s">
        <v>75</v>
      </c>
      <c r="J1016">
        <v>9</v>
      </c>
      <c r="K1016">
        <v>27.99</v>
      </c>
      <c r="L1016" s="1" t="s">
        <v>28</v>
      </c>
      <c r="M1016" s="1" t="s">
        <v>61</v>
      </c>
      <c r="N1016" s="1" t="s">
        <v>62</v>
      </c>
      <c r="O1016" s="1" t="s">
        <v>31</v>
      </c>
      <c r="P1016" s="2">
        <v>45726</v>
      </c>
      <c r="Q1016" s="1" t="s">
        <v>1887</v>
      </c>
      <c r="R1016" s="1" t="s">
        <v>1888</v>
      </c>
      <c r="S1016" s="1" t="s">
        <v>88</v>
      </c>
      <c r="T1016" s="1" t="s">
        <v>35</v>
      </c>
      <c r="U1016" s="1" t="s">
        <v>82</v>
      </c>
      <c r="V1016" s="1" t="s">
        <v>37</v>
      </c>
      <c r="W1016">
        <v>2</v>
      </c>
      <c r="X1016" s="1">
        <f t="shared" si="30"/>
        <v>8551.6499999999451</v>
      </c>
      <c r="Y1016" s="1">
        <f t="shared" si="31"/>
        <v>7204.2099999999582</v>
      </c>
    </row>
    <row r="1017" spans="1:25" x14ac:dyDescent="0.3">
      <c r="A1017" s="1" t="s">
        <v>2214</v>
      </c>
      <c r="B1017">
        <v>3</v>
      </c>
      <c r="C1017">
        <v>16.989999999999998</v>
      </c>
      <c r="D1017">
        <v>41.09</v>
      </c>
      <c r="E1017" s="1" t="s">
        <v>1227</v>
      </c>
      <c r="F1017" s="1" t="s">
        <v>188</v>
      </c>
      <c r="G1017">
        <v>0</v>
      </c>
      <c r="H1017" s="1" t="s">
        <v>26</v>
      </c>
      <c r="I1017" s="1" t="s">
        <v>59</v>
      </c>
      <c r="J1017">
        <v>5</v>
      </c>
      <c r="K1017">
        <v>16.989999999999998</v>
      </c>
      <c r="L1017" s="1" t="s">
        <v>60</v>
      </c>
      <c r="M1017" s="1" t="s">
        <v>61</v>
      </c>
      <c r="N1017" s="1" t="s">
        <v>62</v>
      </c>
      <c r="O1017" s="1" t="s">
        <v>31</v>
      </c>
      <c r="P1017" s="2">
        <v>45726</v>
      </c>
      <c r="Q1017" s="1" t="s">
        <v>1218</v>
      </c>
      <c r="R1017" s="1" t="s">
        <v>1219</v>
      </c>
      <c r="S1017" s="1" t="s">
        <v>105</v>
      </c>
      <c r="T1017" s="1" t="s">
        <v>35</v>
      </c>
      <c r="U1017" s="1" t="s">
        <v>82</v>
      </c>
      <c r="V1017" s="1" t="s">
        <v>67</v>
      </c>
      <c r="W1017">
        <v>3</v>
      </c>
      <c r="X1017" s="1">
        <f t="shared" si="30"/>
        <v>8313.6899999999459</v>
      </c>
      <c r="Y1017" s="1">
        <f t="shared" si="31"/>
        <v>7204.2099999999582</v>
      </c>
    </row>
    <row r="1018" spans="1:25" x14ac:dyDescent="0.3">
      <c r="A1018" s="1" t="s">
        <v>2215</v>
      </c>
      <c r="B1018">
        <v>1</v>
      </c>
      <c r="C1018">
        <v>30.99</v>
      </c>
      <c r="D1018">
        <v>30.99</v>
      </c>
      <c r="E1018" s="1" t="s">
        <v>1881</v>
      </c>
      <c r="F1018" s="1" t="s">
        <v>40</v>
      </c>
      <c r="G1018">
        <v>3</v>
      </c>
      <c r="H1018" s="1" t="s">
        <v>96</v>
      </c>
      <c r="I1018" s="1" t="s">
        <v>42</v>
      </c>
      <c r="J1018">
        <v>10.5</v>
      </c>
      <c r="K1018">
        <v>30.99</v>
      </c>
      <c r="L1018" s="1" t="s">
        <v>28</v>
      </c>
      <c r="M1018" s="1" t="s">
        <v>43</v>
      </c>
      <c r="N1018" s="1" t="s">
        <v>44</v>
      </c>
      <c r="O1018" s="1" t="s">
        <v>31</v>
      </c>
      <c r="P1018" s="2">
        <v>45823</v>
      </c>
      <c r="Q1018" s="1" t="s">
        <v>893</v>
      </c>
      <c r="R1018" s="1" t="s">
        <v>1300</v>
      </c>
      <c r="S1018" s="1" t="s">
        <v>34</v>
      </c>
      <c r="T1018" s="1" t="s">
        <v>35</v>
      </c>
      <c r="U1018" s="1" t="s">
        <v>66</v>
      </c>
      <c r="V1018" s="1" t="s">
        <v>37</v>
      </c>
      <c r="W1018">
        <v>2</v>
      </c>
      <c r="X1018" s="1">
        <f t="shared" si="30"/>
        <v>7844.9099999999507</v>
      </c>
      <c r="Y1018" s="1">
        <f t="shared" si="31"/>
        <v>6397.4799999999632</v>
      </c>
    </row>
    <row r="1019" spans="1:25" x14ac:dyDescent="0.3">
      <c r="A1019" s="1" t="s">
        <v>2216</v>
      </c>
      <c r="B1019">
        <v>1</v>
      </c>
      <c r="C1019">
        <v>18.989999999999998</v>
      </c>
      <c r="D1019">
        <v>18.989999999999998</v>
      </c>
      <c r="E1019" s="1" t="s">
        <v>1233</v>
      </c>
      <c r="F1019" s="1" t="s">
        <v>51</v>
      </c>
      <c r="G1019">
        <v>0</v>
      </c>
      <c r="H1019" s="1" t="s">
        <v>26</v>
      </c>
      <c r="I1019" s="1" t="s">
        <v>97</v>
      </c>
      <c r="J1019">
        <v>6</v>
      </c>
      <c r="K1019">
        <v>18.989999999999998</v>
      </c>
      <c r="L1019" s="1" t="s">
        <v>60</v>
      </c>
      <c r="M1019" s="1" t="s">
        <v>43</v>
      </c>
      <c r="N1019" s="1" t="s">
        <v>44</v>
      </c>
      <c r="O1019" s="1" t="s">
        <v>31</v>
      </c>
      <c r="P1019" s="2">
        <v>45823</v>
      </c>
      <c r="Q1019" s="1" t="s">
        <v>1728</v>
      </c>
      <c r="R1019" s="1" t="s">
        <v>1729</v>
      </c>
      <c r="S1019" s="1" t="s">
        <v>65</v>
      </c>
      <c r="T1019" s="1" t="s">
        <v>35</v>
      </c>
      <c r="U1019" s="1" t="s">
        <v>55</v>
      </c>
      <c r="V1019" s="1" t="s">
        <v>100</v>
      </c>
      <c r="W1019">
        <v>3.2</v>
      </c>
      <c r="X1019" s="1">
        <f t="shared" si="30"/>
        <v>8313.6899999999459</v>
      </c>
      <c r="Y1019" s="1">
        <f t="shared" si="31"/>
        <v>5710.7699999999695</v>
      </c>
    </row>
    <row r="1020" spans="1:25" x14ac:dyDescent="0.3">
      <c r="A1020" s="1" t="s">
        <v>2217</v>
      </c>
      <c r="B1020">
        <v>3</v>
      </c>
      <c r="C1020">
        <v>16.989999999999998</v>
      </c>
      <c r="D1020">
        <v>41.25</v>
      </c>
      <c r="E1020" s="1" t="s">
        <v>2218</v>
      </c>
      <c r="F1020" s="1" t="s">
        <v>40</v>
      </c>
      <c r="G1020">
        <v>18</v>
      </c>
      <c r="H1020" s="1" t="s">
        <v>96</v>
      </c>
      <c r="I1020" s="1" t="s">
        <v>59</v>
      </c>
      <c r="J1020">
        <v>5</v>
      </c>
      <c r="K1020">
        <v>16.989999999999998</v>
      </c>
      <c r="L1020" s="1" t="s">
        <v>60</v>
      </c>
      <c r="M1020" s="1" t="s">
        <v>61</v>
      </c>
      <c r="N1020" s="1" t="s">
        <v>62</v>
      </c>
      <c r="O1020" s="1" t="s">
        <v>31</v>
      </c>
      <c r="P1020" s="2">
        <v>45726</v>
      </c>
      <c r="Q1020" s="1" t="s">
        <v>779</v>
      </c>
      <c r="R1020" s="1" t="s">
        <v>780</v>
      </c>
      <c r="S1020" s="1" t="s">
        <v>88</v>
      </c>
      <c r="T1020" s="1" t="s">
        <v>35</v>
      </c>
      <c r="U1020" s="1" t="s">
        <v>48</v>
      </c>
      <c r="V1020" s="1" t="s">
        <v>67</v>
      </c>
      <c r="W1020">
        <v>3</v>
      </c>
      <c r="X1020" s="1">
        <f t="shared" si="30"/>
        <v>7844.9099999999507</v>
      </c>
      <c r="Y1020" s="1">
        <f t="shared" si="31"/>
        <v>7682.919999999951</v>
      </c>
    </row>
    <row r="1021" spans="1:25" x14ac:dyDescent="0.3">
      <c r="A1021" s="1" t="s">
        <v>2219</v>
      </c>
      <c r="B1021">
        <v>2</v>
      </c>
      <c r="C1021">
        <v>27.99</v>
      </c>
      <c r="D1021">
        <v>48.89</v>
      </c>
      <c r="E1021" s="1" t="s">
        <v>2220</v>
      </c>
      <c r="F1021" s="1" t="s">
        <v>40</v>
      </c>
      <c r="G1021">
        <v>3</v>
      </c>
      <c r="H1021" s="1" t="s">
        <v>58</v>
      </c>
      <c r="I1021" s="1" t="s">
        <v>75</v>
      </c>
      <c r="J1021">
        <v>9</v>
      </c>
      <c r="K1021">
        <v>27.99</v>
      </c>
      <c r="L1021" s="1" t="s">
        <v>28</v>
      </c>
      <c r="M1021" s="1" t="s">
        <v>61</v>
      </c>
      <c r="N1021" s="1" t="s">
        <v>62</v>
      </c>
      <c r="O1021" s="1" t="s">
        <v>31</v>
      </c>
      <c r="P1021" s="2">
        <v>45726</v>
      </c>
      <c r="Q1021" s="1" t="s">
        <v>804</v>
      </c>
      <c r="R1021" s="1" t="s">
        <v>805</v>
      </c>
      <c r="S1021" s="1" t="s">
        <v>88</v>
      </c>
      <c r="T1021" s="1" t="s">
        <v>35</v>
      </c>
      <c r="U1021" s="1" t="s">
        <v>82</v>
      </c>
      <c r="V1021" s="1" t="s">
        <v>37</v>
      </c>
      <c r="W1021">
        <v>2</v>
      </c>
      <c r="X1021" s="1">
        <f t="shared" si="30"/>
        <v>8640.6199999999462</v>
      </c>
      <c r="Y1021" s="1">
        <f t="shared" si="31"/>
        <v>7204.2099999999582</v>
      </c>
    </row>
    <row r="1022" spans="1:25" x14ac:dyDescent="0.3">
      <c r="A1022" s="1" t="s">
        <v>2221</v>
      </c>
      <c r="B1022">
        <v>1</v>
      </c>
      <c r="C1022">
        <v>34.99</v>
      </c>
      <c r="D1022">
        <v>34.99</v>
      </c>
      <c r="E1022" s="1" t="s">
        <v>1153</v>
      </c>
      <c r="F1022" s="1" t="s">
        <v>51</v>
      </c>
      <c r="G1022">
        <v>0</v>
      </c>
      <c r="H1022" s="1" t="s">
        <v>41</v>
      </c>
      <c r="I1022" s="1" t="s">
        <v>85</v>
      </c>
      <c r="J1022">
        <v>12.5</v>
      </c>
      <c r="K1022">
        <v>34.99</v>
      </c>
      <c r="L1022" s="1" t="s">
        <v>60</v>
      </c>
      <c r="M1022" s="1" t="s">
        <v>29</v>
      </c>
      <c r="N1022" s="1" t="s">
        <v>30</v>
      </c>
      <c r="O1022" s="1" t="s">
        <v>31</v>
      </c>
      <c r="P1022" s="2">
        <v>45778</v>
      </c>
      <c r="Q1022" s="1" t="s">
        <v>1101</v>
      </c>
      <c r="R1022" s="1" t="s">
        <v>1102</v>
      </c>
      <c r="S1022" s="1" t="s">
        <v>47</v>
      </c>
      <c r="T1022" s="1" t="s">
        <v>35</v>
      </c>
      <c r="U1022" s="1" t="s">
        <v>48</v>
      </c>
      <c r="V1022" s="1" t="s">
        <v>89</v>
      </c>
      <c r="W1022">
        <v>2.4</v>
      </c>
      <c r="X1022" s="1">
        <f t="shared" si="30"/>
        <v>8551.6499999999451</v>
      </c>
      <c r="Y1022" s="1">
        <f t="shared" si="31"/>
        <v>7682.919999999951</v>
      </c>
    </row>
    <row r="1023" spans="1:25" x14ac:dyDescent="0.3">
      <c r="A1023" s="1" t="s">
        <v>2222</v>
      </c>
      <c r="B1023">
        <v>2</v>
      </c>
      <c r="C1023">
        <v>30.99</v>
      </c>
      <c r="D1023">
        <v>53.02</v>
      </c>
      <c r="E1023" s="1" t="s">
        <v>274</v>
      </c>
      <c r="F1023" s="1" t="s">
        <v>40</v>
      </c>
      <c r="G1023">
        <v>3</v>
      </c>
      <c r="H1023" s="1" t="s">
        <v>26</v>
      </c>
      <c r="I1023" s="1" t="s">
        <v>42</v>
      </c>
      <c r="J1023">
        <v>10.5</v>
      </c>
      <c r="K1023">
        <v>30.99</v>
      </c>
      <c r="L1023" s="1" t="s">
        <v>28</v>
      </c>
      <c r="M1023" s="1" t="s">
        <v>43</v>
      </c>
      <c r="N1023" s="1" t="s">
        <v>44</v>
      </c>
      <c r="O1023" s="1" t="s">
        <v>31</v>
      </c>
      <c r="P1023" s="2">
        <v>45823</v>
      </c>
      <c r="Q1023" s="1" t="s">
        <v>137</v>
      </c>
      <c r="R1023" s="1" t="s">
        <v>1278</v>
      </c>
      <c r="S1023" s="1" t="s">
        <v>34</v>
      </c>
      <c r="T1023" s="1" t="s">
        <v>35</v>
      </c>
      <c r="U1023" s="1" t="s">
        <v>36</v>
      </c>
      <c r="V1023" s="1" t="s">
        <v>37</v>
      </c>
      <c r="W1023">
        <v>2</v>
      </c>
      <c r="X1023" s="1">
        <f t="shared" si="30"/>
        <v>8313.6899999999459</v>
      </c>
      <c r="Y1023" s="1">
        <f t="shared" si="31"/>
        <v>6355.4899999999634</v>
      </c>
    </row>
    <row r="1024" spans="1:25" x14ac:dyDescent="0.3">
      <c r="A1024" s="1" t="s">
        <v>2223</v>
      </c>
      <c r="B1024">
        <v>2</v>
      </c>
      <c r="C1024">
        <v>18.989999999999998</v>
      </c>
      <c r="D1024">
        <v>32.770000000000003</v>
      </c>
      <c r="E1024" s="1" t="s">
        <v>1596</v>
      </c>
      <c r="F1024" s="1" t="s">
        <v>188</v>
      </c>
      <c r="G1024">
        <v>0</v>
      </c>
      <c r="H1024" s="1" t="s">
        <v>26</v>
      </c>
      <c r="I1024" s="1" t="s">
        <v>97</v>
      </c>
      <c r="J1024">
        <v>6</v>
      </c>
      <c r="K1024">
        <v>18.989999999999998</v>
      </c>
      <c r="L1024" s="1" t="s">
        <v>60</v>
      </c>
      <c r="M1024" s="1" t="s">
        <v>43</v>
      </c>
      <c r="N1024" s="1" t="s">
        <v>44</v>
      </c>
      <c r="O1024" s="1" t="s">
        <v>31</v>
      </c>
      <c r="P1024" s="2">
        <v>45823</v>
      </c>
      <c r="Q1024" s="1" t="s">
        <v>1533</v>
      </c>
      <c r="R1024" s="1" t="s">
        <v>1635</v>
      </c>
      <c r="S1024" s="1" t="s">
        <v>105</v>
      </c>
      <c r="T1024" s="1" t="s">
        <v>35</v>
      </c>
      <c r="U1024" s="1" t="s">
        <v>36</v>
      </c>
      <c r="V1024" s="1" t="s">
        <v>100</v>
      </c>
      <c r="W1024">
        <v>3.2</v>
      </c>
      <c r="X1024" s="1">
        <f t="shared" si="30"/>
        <v>8313.6899999999459</v>
      </c>
      <c r="Y1024" s="1">
        <f t="shared" si="31"/>
        <v>6355.4899999999634</v>
      </c>
    </row>
    <row r="1025" spans="1:25" x14ac:dyDescent="0.3">
      <c r="A1025" s="1" t="s">
        <v>2224</v>
      </c>
      <c r="B1025">
        <v>1</v>
      </c>
      <c r="C1025">
        <v>27.99</v>
      </c>
      <c r="D1025">
        <v>27.99</v>
      </c>
      <c r="E1025" s="1" t="s">
        <v>950</v>
      </c>
      <c r="F1025" s="1" t="s">
        <v>25</v>
      </c>
      <c r="G1025">
        <v>2</v>
      </c>
      <c r="H1025" s="1" t="s">
        <v>26</v>
      </c>
      <c r="I1025" s="1" t="s">
        <v>75</v>
      </c>
      <c r="J1025">
        <v>9</v>
      </c>
      <c r="K1025">
        <v>27.99</v>
      </c>
      <c r="L1025" s="1" t="s">
        <v>28</v>
      </c>
      <c r="M1025" s="1" t="s">
        <v>61</v>
      </c>
      <c r="N1025" s="1" t="s">
        <v>62</v>
      </c>
      <c r="O1025" s="1" t="s">
        <v>31</v>
      </c>
      <c r="P1025" s="2">
        <v>45726</v>
      </c>
      <c r="Q1025" s="1" t="s">
        <v>2225</v>
      </c>
      <c r="R1025" s="1" t="s">
        <v>2226</v>
      </c>
      <c r="S1025" s="1" t="s">
        <v>65</v>
      </c>
      <c r="T1025" s="1" t="s">
        <v>35</v>
      </c>
      <c r="U1025" s="1" t="s">
        <v>55</v>
      </c>
      <c r="V1025" s="1" t="s">
        <v>37</v>
      </c>
      <c r="W1025">
        <v>2</v>
      </c>
      <c r="X1025" s="1">
        <f t="shared" si="30"/>
        <v>8313.6899999999459</v>
      </c>
      <c r="Y1025" s="1">
        <f t="shared" si="31"/>
        <v>5710.7699999999695</v>
      </c>
    </row>
    <row r="1026" spans="1:25" x14ac:dyDescent="0.3">
      <c r="A1026" s="1" t="s">
        <v>2227</v>
      </c>
      <c r="B1026">
        <v>1</v>
      </c>
      <c r="C1026">
        <v>21.99</v>
      </c>
      <c r="D1026">
        <v>21.99</v>
      </c>
      <c r="E1026" s="1" t="s">
        <v>1893</v>
      </c>
      <c r="F1026" s="1" t="s">
        <v>25</v>
      </c>
      <c r="G1026">
        <v>3</v>
      </c>
      <c r="H1026" s="1" t="s">
        <v>58</v>
      </c>
      <c r="I1026" s="1" t="s">
        <v>27</v>
      </c>
      <c r="J1026">
        <v>7</v>
      </c>
      <c r="K1026">
        <v>21.99</v>
      </c>
      <c r="L1026" s="1" t="s">
        <v>28</v>
      </c>
      <c r="M1026" s="1" t="s">
        <v>29</v>
      </c>
      <c r="N1026" s="1" t="s">
        <v>30</v>
      </c>
      <c r="O1026" s="1" t="s">
        <v>31</v>
      </c>
      <c r="P1026" s="2">
        <v>45778</v>
      </c>
      <c r="Q1026" s="1" t="s">
        <v>1878</v>
      </c>
      <c r="R1026" s="1" t="s">
        <v>1879</v>
      </c>
      <c r="S1026" s="1" t="s">
        <v>54</v>
      </c>
      <c r="T1026" s="1" t="s">
        <v>35</v>
      </c>
      <c r="U1026" s="1" t="s">
        <v>66</v>
      </c>
      <c r="V1026" s="1" t="s">
        <v>37</v>
      </c>
      <c r="W1026">
        <v>2</v>
      </c>
      <c r="X1026" s="1">
        <f t="shared" ref="X1026:X1089" si="32">SUMIF(H:H,H1026,K:K)</f>
        <v>8640.6199999999462</v>
      </c>
      <c r="Y1026" s="1">
        <f t="shared" ref="Y1026:Y1089" si="33">SUMIF(U:U,U1026,K:K)</f>
        <v>6397.4799999999632</v>
      </c>
    </row>
    <row r="1027" spans="1:25" x14ac:dyDescent="0.3">
      <c r="A1027" s="1" t="s">
        <v>2228</v>
      </c>
      <c r="B1027">
        <v>1</v>
      </c>
      <c r="C1027">
        <v>21.99</v>
      </c>
      <c r="D1027">
        <v>21.99</v>
      </c>
      <c r="E1027" s="1" t="s">
        <v>2229</v>
      </c>
      <c r="F1027" s="1" t="s">
        <v>188</v>
      </c>
      <c r="G1027">
        <v>0</v>
      </c>
      <c r="H1027" s="1" t="s">
        <v>41</v>
      </c>
      <c r="I1027" s="1" t="s">
        <v>27</v>
      </c>
      <c r="J1027">
        <v>7</v>
      </c>
      <c r="K1027">
        <v>21.99</v>
      </c>
      <c r="L1027" s="1" t="s">
        <v>28</v>
      </c>
      <c r="M1027" s="1" t="s">
        <v>29</v>
      </c>
      <c r="N1027" s="1" t="s">
        <v>30</v>
      </c>
      <c r="O1027" s="1" t="s">
        <v>31</v>
      </c>
      <c r="P1027" s="2">
        <v>45778</v>
      </c>
      <c r="Q1027" s="1" t="s">
        <v>1157</v>
      </c>
      <c r="R1027" s="1" t="s">
        <v>1158</v>
      </c>
      <c r="S1027" s="1" t="s">
        <v>105</v>
      </c>
      <c r="T1027" s="1" t="s">
        <v>35</v>
      </c>
      <c r="U1027" s="1" t="s">
        <v>55</v>
      </c>
      <c r="V1027" s="1" t="s">
        <v>37</v>
      </c>
      <c r="W1027">
        <v>2</v>
      </c>
      <c r="X1027" s="1">
        <f t="shared" si="32"/>
        <v>8551.6499999999451</v>
      </c>
      <c r="Y1027" s="1">
        <f t="shared" si="33"/>
        <v>5710.7699999999695</v>
      </c>
    </row>
    <row r="1028" spans="1:25" x14ac:dyDescent="0.3">
      <c r="A1028" s="1" t="s">
        <v>2230</v>
      </c>
      <c r="B1028">
        <v>2</v>
      </c>
      <c r="C1028">
        <v>34.99</v>
      </c>
      <c r="D1028">
        <v>61.18</v>
      </c>
      <c r="E1028" s="1" t="s">
        <v>146</v>
      </c>
      <c r="F1028" s="1" t="s">
        <v>40</v>
      </c>
      <c r="G1028">
        <v>8</v>
      </c>
      <c r="H1028" s="1" t="s">
        <v>58</v>
      </c>
      <c r="I1028" s="1" t="s">
        <v>85</v>
      </c>
      <c r="J1028">
        <v>12.5</v>
      </c>
      <c r="K1028">
        <v>34.99</v>
      </c>
      <c r="L1028" s="1" t="s">
        <v>60</v>
      </c>
      <c r="M1028" s="1" t="s">
        <v>29</v>
      </c>
      <c r="N1028" s="1" t="s">
        <v>30</v>
      </c>
      <c r="O1028" s="1" t="s">
        <v>31</v>
      </c>
      <c r="P1028" s="2">
        <v>45778</v>
      </c>
      <c r="Q1028" s="1" t="s">
        <v>1466</v>
      </c>
      <c r="R1028" s="1" t="s">
        <v>1467</v>
      </c>
      <c r="S1028" s="1" t="s">
        <v>65</v>
      </c>
      <c r="T1028" s="1" t="s">
        <v>35</v>
      </c>
      <c r="U1028" s="1" t="s">
        <v>48</v>
      </c>
      <c r="V1028" s="1" t="s">
        <v>89</v>
      </c>
      <c r="W1028">
        <v>2.4</v>
      </c>
      <c r="X1028" s="1">
        <f t="shared" si="32"/>
        <v>8640.6199999999462</v>
      </c>
      <c r="Y1028" s="1">
        <f t="shared" si="33"/>
        <v>7682.919999999951</v>
      </c>
    </row>
    <row r="1029" spans="1:25" x14ac:dyDescent="0.3">
      <c r="A1029" s="1" t="s">
        <v>2231</v>
      </c>
      <c r="B1029">
        <v>1</v>
      </c>
      <c r="C1029">
        <v>16.989999999999998</v>
      </c>
      <c r="D1029">
        <v>16.989999999999998</v>
      </c>
      <c r="E1029" s="1" t="s">
        <v>1172</v>
      </c>
      <c r="F1029" s="1" t="s">
        <v>40</v>
      </c>
      <c r="G1029">
        <v>16</v>
      </c>
      <c r="H1029" s="1" t="s">
        <v>41</v>
      </c>
      <c r="I1029" s="1" t="s">
        <v>59</v>
      </c>
      <c r="J1029">
        <v>5</v>
      </c>
      <c r="K1029">
        <v>16.989999999999998</v>
      </c>
      <c r="L1029" s="1" t="s">
        <v>60</v>
      </c>
      <c r="M1029" s="1" t="s">
        <v>61</v>
      </c>
      <c r="N1029" s="1" t="s">
        <v>62</v>
      </c>
      <c r="O1029" s="1" t="s">
        <v>31</v>
      </c>
      <c r="P1029" s="2">
        <v>45726</v>
      </c>
      <c r="Q1029" s="1" t="s">
        <v>1549</v>
      </c>
      <c r="R1029" s="1" t="s">
        <v>1550</v>
      </c>
      <c r="S1029" s="1" t="s">
        <v>34</v>
      </c>
      <c r="T1029" s="1" t="s">
        <v>35</v>
      </c>
      <c r="U1029" s="1" t="s">
        <v>48</v>
      </c>
      <c r="V1029" s="1" t="s">
        <v>67</v>
      </c>
      <c r="W1029">
        <v>3</v>
      </c>
      <c r="X1029" s="1">
        <f t="shared" si="32"/>
        <v>8551.6499999999451</v>
      </c>
      <c r="Y1029" s="1">
        <f t="shared" si="33"/>
        <v>7682.919999999951</v>
      </c>
    </row>
    <row r="1030" spans="1:25" x14ac:dyDescent="0.3">
      <c r="A1030" s="1" t="s">
        <v>2232</v>
      </c>
      <c r="B1030">
        <v>3</v>
      </c>
      <c r="C1030">
        <v>27.99</v>
      </c>
      <c r="D1030">
        <v>66.2</v>
      </c>
      <c r="E1030" s="1" t="s">
        <v>771</v>
      </c>
      <c r="F1030" s="1" t="s">
        <v>51</v>
      </c>
      <c r="G1030">
        <v>0</v>
      </c>
      <c r="H1030" s="1" t="s">
        <v>41</v>
      </c>
      <c r="I1030" s="1" t="s">
        <v>75</v>
      </c>
      <c r="J1030">
        <v>9</v>
      </c>
      <c r="K1030">
        <v>27.99</v>
      </c>
      <c r="L1030" s="1" t="s">
        <v>28</v>
      </c>
      <c r="M1030" s="1" t="s">
        <v>61</v>
      </c>
      <c r="N1030" s="1" t="s">
        <v>62</v>
      </c>
      <c r="O1030" s="1" t="s">
        <v>31</v>
      </c>
      <c r="P1030" s="2">
        <v>45726</v>
      </c>
      <c r="Q1030" s="1" t="s">
        <v>828</v>
      </c>
      <c r="R1030" s="1" t="s">
        <v>829</v>
      </c>
      <c r="S1030" s="1" t="s">
        <v>65</v>
      </c>
      <c r="T1030" s="1" t="s">
        <v>35</v>
      </c>
      <c r="U1030" s="1" t="s">
        <v>48</v>
      </c>
      <c r="V1030" s="1" t="s">
        <v>37</v>
      </c>
      <c r="W1030">
        <v>2</v>
      </c>
      <c r="X1030" s="1">
        <f t="shared" si="32"/>
        <v>8551.6499999999451</v>
      </c>
      <c r="Y1030" s="1">
        <f t="shared" si="33"/>
        <v>7682.919999999951</v>
      </c>
    </row>
    <row r="1031" spans="1:25" x14ac:dyDescent="0.3">
      <c r="A1031" s="1" t="s">
        <v>2233</v>
      </c>
      <c r="B1031">
        <v>1</v>
      </c>
      <c r="C1031">
        <v>34.99</v>
      </c>
      <c r="D1031">
        <v>34.99</v>
      </c>
      <c r="E1031" s="1" t="s">
        <v>1648</v>
      </c>
      <c r="F1031" s="1" t="s">
        <v>25</v>
      </c>
      <c r="G1031">
        <v>8</v>
      </c>
      <c r="H1031" s="1" t="s">
        <v>26</v>
      </c>
      <c r="I1031" s="1" t="s">
        <v>85</v>
      </c>
      <c r="J1031">
        <v>12.5</v>
      </c>
      <c r="K1031">
        <v>34.99</v>
      </c>
      <c r="L1031" s="1" t="s">
        <v>60</v>
      </c>
      <c r="M1031" s="1" t="s">
        <v>29</v>
      </c>
      <c r="N1031" s="1" t="s">
        <v>30</v>
      </c>
      <c r="O1031" s="1" t="s">
        <v>31</v>
      </c>
      <c r="P1031" s="2">
        <v>45778</v>
      </c>
      <c r="Q1031" s="1" t="s">
        <v>934</v>
      </c>
      <c r="R1031" s="1" t="s">
        <v>1165</v>
      </c>
      <c r="S1031" s="1" t="s">
        <v>65</v>
      </c>
      <c r="T1031" s="1" t="s">
        <v>35</v>
      </c>
      <c r="U1031" s="1" t="s">
        <v>82</v>
      </c>
      <c r="V1031" s="1" t="s">
        <v>89</v>
      </c>
      <c r="W1031">
        <v>2.4</v>
      </c>
      <c r="X1031" s="1">
        <f t="shared" si="32"/>
        <v>8313.6899999999459</v>
      </c>
      <c r="Y1031" s="1">
        <f t="shared" si="33"/>
        <v>7204.2099999999582</v>
      </c>
    </row>
    <row r="1032" spans="1:25" x14ac:dyDescent="0.3">
      <c r="A1032" s="1" t="s">
        <v>2234</v>
      </c>
      <c r="B1032">
        <v>1</v>
      </c>
      <c r="C1032">
        <v>34.99</v>
      </c>
      <c r="D1032">
        <v>34.99</v>
      </c>
      <c r="E1032" s="1" t="s">
        <v>989</v>
      </c>
      <c r="F1032" s="1" t="s">
        <v>40</v>
      </c>
      <c r="G1032">
        <v>5</v>
      </c>
      <c r="H1032" s="1" t="s">
        <v>41</v>
      </c>
      <c r="I1032" s="1" t="s">
        <v>85</v>
      </c>
      <c r="J1032">
        <v>12.5</v>
      </c>
      <c r="K1032">
        <v>34.99</v>
      </c>
      <c r="L1032" s="1" t="s">
        <v>60</v>
      </c>
      <c r="M1032" s="1" t="s">
        <v>29</v>
      </c>
      <c r="N1032" s="1" t="s">
        <v>30</v>
      </c>
      <c r="O1032" s="1" t="s">
        <v>31</v>
      </c>
      <c r="P1032" s="2">
        <v>45778</v>
      </c>
      <c r="Q1032" s="1" t="s">
        <v>1187</v>
      </c>
      <c r="R1032" s="1" t="s">
        <v>2204</v>
      </c>
      <c r="S1032" s="1" t="s">
        <v>88</v>
      </c>
      <c r="T1032" s="1" t="s">
        <v>35</v>
      </c>
      <c r="U1032" s="1" t="s">
        <v>55</v>
      </c>
      <c r="V1032" s="1" t="s">
        <v>89</v>
      </c>
      <c r="W1032">
        <v>2.4</v>
      </c>
      <c r="X1032" s="1">
        <f t="shared" si="32"/>
        <v>8551.6499999999451</v>
      </c>
      <c r="Y1032" s="1">
        <f t="shared" si="33"/>
        <v>5710.7699999999695</v>
      </c>
    </row>
    <row r="1033" spans="1:25" x14ac:dyDescent="0.3">
      <c r="A1033" s="1" t="s">
        <v>2235</v>
      </c>
      <c r="B1033">
        <v>1</v>
      </c>
      <c r="C1033">
        <v>34.99</v>
      </c>
      <c r="D1033">
        <v>34.99</v>
      </c>
      <c r="E1033" s="1" t="s">
        <v>457</v>
      </c>
      <c r="F1033" s="1" t="s">
        <v>40</v>
      </c>
      <c r="G1033">
        <v>5</v>
      </c>
      <c r="H1033" s="1" t="s">
        <v>41</v>
      </c>
      <c r="I1033" s="1" t="s">
        <v>85</v>
      </c>
      <c r="J1033">
        <v>12.5</v>
      </c>
      <c r="K1033">
        <v>34.99</v>
      </c>
      <c r="L1033" s="1" t="s">
        <v>60</v>
      </c>
      <c r="M1033" s="1" t="s">
        <v>29</v>
      </c>
      <c r="N1033" s="1" t="s">
        <v>30</v>
      </c>
      <c r="O1033" s="1" t="s">
        <v>31</v>
      </c>
      <c r="P1033" s="2">
        <v>45778</v>
      </c>
      <c r="Q1033" s="1" t="s">
        <v>219</v>
      </c>
      <c r="R1033" s="1" t="s">
        <v>2236</v>
      </c>
      <c r="S1033" s="1" t="s">
        <v>34</v>
      </c>
      <c r="T1033" s="1" t="s">
        <v>35</v>
      </c>
      <c r="U1033" s="1" t="s">
        <v>55</v>
      </c>
      <c r="V1033" s="1" t="s">
        <v>89</v>
      </c>
      <c r="W1033">
        <v>2.4</v>
      </c>
      <c r="X1033" s="1">
        <f t="shared" si="32"/>
        <v>8551.6499999999451</v>
      </c>
      <c r="Y1033" s="1">
        <f t="shared" si="33"/>
        <v>5710.7699999999695</v>
      </c>
    </row>
    <row r="1034" spans="1:25" x14ac:dyDescent="0.3">
      <c r="A1034" s="1" t="s">
        <v>2237</v>
      </c>
      <c r="B1034">
        <v>1</v>
      </c>
      <c r="C1034">
        <v>30.99</v>
      </c>
      <c r="D1034">
        <v>30.99</v>
      </c>
      <c r="E1034" s="1" t="s">
        <v>1096</v>
      </c>
      <c r="F1034" s="1" t="s">
        <v>51</v>
      </c>
      <c r="G1034">
        <v>0</v>
      </c>
      <c r="H1034" s="1" t="s">
        <v>96</v>
      </c>
      <c r="I1034" s="1" t="s">
        <v>42</v>
      </c>
      <c r="J1034">
        <v>10.5</v>
      </c>
      <c r="K1034">
        <v>30.99</v>
      </c>
      <c r="L1034" s="1" t="s">
        <v>28</v>
      </c>
      <c r="M1034" s="1" t="s">
        <v>43</v>
      </c>
      <c r="N1034" s="1" t="s">
        <v>44</v>
      </c>
      <c r="O1034" s="1" t="s">
        <v>31</v>
      </c>
      <c r="P1034" s="2">
        <v>45823</v>
      </c>
      <c r="Q1034" s="1" t="s">
        <v>544</v>
      </c>
      <c r="R1034" s="1" t="s">
        <v>1756</v>
      </c>
      <c r="S1034" s="1" t="s">
        <v>54</v>
      </c>
      <c r="T1034" s="1" t="s">
        <v>35</v>
      </c>
      <c r="U1034" s="1" t="s">
        <v>55</v>
      </c>
      <c r="V1034" s="1" t="s">
        <v>37</v>
      </c>
      <c r="W1034">
        <v>2</v>
      </c>
      <c r="X1034" s="1">
        <f t="shared" si="32"/>
        <v>7844.9099999999507</v>
      </c>
      <c r="Y1034" s="1">
        <f t="shared" si="33"/>
        <v>5710.7699999999695</v>
      </c>
    </row>
    <row r="1035" spans="1:25" x14ac:dyDescent="0.3">
      <c r="A1035" s="1" t="s">
        <v>2238</v>
      </c>
      <c r="B1035">
        <v>1</v>
      </c>
      <c r="C1035">
        <v>21.99</v>
      </c>
      <c r="D1035">
        <v>21.99</v>
      </c>
      <c r="E1035" s="1" t="s">
        <v>1552</v>
      </c>
      <c r="F1035" s="1" t="s">
        <v>51</v>
      </c>
      <c r="G1035">
        <v>0</v>
      </c>
      <c r="H1035" s="1" t="s">
        <v>58</v>
      </c>
      <c r="I1035" s="1" t="s">
        <v>27</v>
      </c>
      <c r="J1035">
        <v>7</v>
      </c>
      <c r="K1035">
        <v>21.99</v>
      </c>
      <c r="L1035" s="1" t="s">
        <v>28</v>
      </c>
      <c r="M1035" s="1" t="s">
        <v>29</v>
      </c>
      <c r="N1035" s="1" t="s">
        <v>30</v>
      </c>
      <c r="O1035" s="1" t="s">
        <v>31</v>
      </c>
      <c r="P1035" s="2">
        <v>45778</v>
      </c>
      <c r="Q1035" s="1" t="s">
        <v>1069</v>
      </c>
      <c r="R1035" s="1" t="s">
        <v>1070</v>
      </c>
      <c r="S1035" s="1" t="s">
        <v>65</v>
      </c>
      <c r="T1035" s="1" t="s">
        <v>35</v>
      </c>
      <c r="U1035" s="1" t="s">
        <v>66</v>
      </c>
      <c r="V1035" s="1" t="s">
        <v>37</v>
      </c>
      <c r="W1035">
        <v>2</v>
      </c>
      <c r="X1035" s="1">
        <f t="shared" si="32"/>
        <v>8640.6199999999462</v>
      </c>
      <c r="Y1035" s="1">
        <f t="shared" si="33"/>
        <v>6397.4799999999632</v>
      </c>
    </row>
    <row r="1036" spans="1:25" x14ac:dyDescent="0.3">
      <c r="A1036" s="1" t="s">
        <v>2239</v>
      </c>
      <c r="B1036">
        <v>1</v>
      </c>
      <c r="C1036">
        <v>21.99</v>
      </c>
      <c r="D1036">
        <v>21.99</v>
      </c>
      <c r="E1036" s="1" t="s">
        <v>2240</v>
      </c>
      <c r="F1036" s="1" t="s">
        <v>40</v>
      </c>
      <c r="G1036">
        <v>3</v>
      </c>
      <c r="H1036" s="1" t="s">
        <v>41</v>
      </c>
      <c r="I1036" s="1" t="s">
        <v>27</v>
      </c>
      <c r="J1036">
        <v>7</v>
      </c>
      <c r="K1036">
        <v>21.99</v>
      </c>
      <c r="L1036" s="1" t="s">
        <v>28</v>
      </c>
      <c r="M1036" s="1" t="s">
        <v>29</v>
      </c>
      <c r="N1036" s="1" t="s">
        <v>30</v>
      </c>
      <c r="O1036" s="1" t="s">
        <v>31</v>
      </c>
      <c r="P1036" s="2">
        <v>45778</v>
      </c>
      <c r="Q1036" s="1" t="s">
        <v>140</v>
      </c>
      <c r="R1036" s="1" t="s">
        <v>2241</v>
      </c>
      <c r="S1036" s="1" t="s">
        <v>65</v>
      </c>
      <c r="T1036" s="1" t="s">
        <v>35</v>
      </c>
      <c r="U1036" s="1" t="s">
        <v>66</v>
      </c>
      <c r="V1036" s="1" t="s">
        <v>37</v>
      </c>
      <c r="W1036">
        <v>2</v>
      </c>
      <c r="X1036" s="1">
        <f t="shared" si="32"/>
        <v>8551.6499999999451</v>
      </c>
      <c r="Y1036" s="1">
        <f t="shared" si="33"/>
        <v>6397.4799999999632</v>
      </c>
    </row>
    <row r="1037" spans="1:25" x14ac:dyDescent="0.3">
      <c r="A1037" s="1" t="s">
        <v>2242</v>
      </c>
      <c r="B1037">
        <v>1</v>
      </c>
      <c r="C1037">
        <v>34.99</v>
      </c>
      <c r="D1037">
        <v>34.99</v>
      </c>
      <c r="E1037" s="1" t="s">
        <v>1289</v>
      </c>
      <c r="F1037" s="1" t="s">
        <v>25</v>
      </c>
      <c r="G1037">
        <v>10</v>
      </c>
      <c r="H1037" s="1" t="s">
        <v>41</v>
      </c>
      <c r="I1037" s="1" t="s">
        <v>85</v>
      </c>
      <c r="J1037">
        <v>12.5</v>
      </c>
      <c r="K1037">
        <v>34.99</v>
      </c>
      <c r="L1037" s="1" t="s">
        <v>60</v>
      </c>
      <c r="M1037" s="1" t="s">
        <v>29</v>
      </c>
      <c r="N1037" s="1" t="s">
        <v>30</v>
      </c>
      <c r="O1037" s="1" t="s">
        <v>31</v>
      </c>
      <c r="P1037" s="2">
        <v>45778</v>
      </c>
      <c r="Q1037" s="1" t="s">
        <v>1994</v>
      </c>
      <c r="R1037" s="1" t="s">
        <v>1995</v>
      </c>
      <c r="S1037" s="1" t="s">
        <v>88</v>
      </c>
      <c r="T1037" s="1" t="s">
        <v>35</v>
      </c>
      <c r="U1037" s="1" t="s">
        <v>48</v>
      </c>
      <c r="V1037" s="1" t="s">
        <v>89</v>
      </c>
      <c r="W1037">
        <v>2.4</v>
      </c>
      <c r="X1037" s="1">
        <f t="shared" si="32"/>
        <v>8551.6499999999451</v>
      </c>
      <c r="Y1037" s="1">
        <f t="shared" si="33"/>
        <v>7682.919999999951</v>
      </c>
    </row>
    <row r="1038" spans="1:25" x14ac:dyDescent="0.3">
      <c r="A1038" s="1" t="s">
        <v>2243</v>
      </c>
      <c r="B1038">
        <v>1</v>
      </c>
      <c r="C1038">
        <v>27.99</v>
      </c>
      <c r="D1038">
        <v>27.99</v>
      </c>
      <c r="E1038" s="1" t="s">
        <v>1446</v>
      </c>
      <c r="F1038" s="1" t="s">
        <v>188</v>
      </c>
      <c r="G1038">
        <v>0</v>
      </c>
      <c r="H1038" s="1" t="s">
        <v>26</v>
      </c>
      <c r="I1038" s="1" t="s">
        <v>75</v>
      </c>
      <c r="J1038">
        <v>9</v>
      </c>
      <c r="K1038">
        <v>27.99</v>
      </c>
      <c r="L1038" s="1" t="s">
        <v>28</v>
      </c>
      <c r="M1038" s="1" t="s">
        <v>61</v>
      </c>
      <c r="N1038" s="1" t="s">
        <v>62</v>
      </c>
      <c r="O1038" s="1" t="s">
        <v>31</v>
      </c>
      <c r="P1038" s="2">
        <v>45726</v>
      </c>
      <c r="Q1038" s="1" t="s">
        <v>194</v>
      </c>
      <c r="R1038" s="1" t="s">
        <v>1872</v>
      </c>
      <c r="S1038" s="1" t="s">
        <v>34</v>
      </c>
      <c r="T1038" s="1" t="s">
        <v>35</v>
      </c>
      <c r="U1038" s="1" t="s">
        <v>66</v>
      </c>
      <c r="V1038" s="1" t="s">
        <v>37</v>
      </c>
      <c r="W1038">
        <v>2</v>
      </c>
      <c r="X1038" s="1">
        <f t="shared" si="32"/>
        <v>8313.6899999999459</v>
      </c>
      <c r="Y1038" s="1">
        <f t="shared" si="33"/>
        <v>6397.4799999999632</v>
      </c>
    </row>
    <row r="1039" spans="1:25" x14ac:dyDescent="0.3">
      <c r="A1039" s="1" t="s">
        <v>2244</v>
      </c>
      <c r="B1039">
        <v>3</v>
      </c>
      <c r="C1039">
        <v>16.989999999999998</v>
      </c>
      <c r="D1039">
        <v>41.07</v>
      </c>
      <c r="E1039" s="1" t="s">
        <v>260</v>
      </c>
      <c r="F1039" s="1" t="s">
        <v>188</v>
      </c>
      <c r="G1039">
        <v>0</v>
      </c>
      <c r="H1039" s="1" t="s">
        <v>26</v>
      </c>
      <c r="I1039" s="1" t="s">
        <v>59</v>
      </c>
      <c r="J1039">
        <v>5</v>
      </c>
      <c r="K1039">
        <v>16.989999999999998</v>
      </c>
      <c r="L1039" s="1" t="s">
        <v>60</v>
      </c>
      <c r="M1039" s="1" t="s">
        <v>61</v>
      </c>
      <c r="N1039" s="1" t="s">
        <v>62</v>
      </c>
      <c r="O1039" s="1" t="s">
        <v>31</v>
      </c>
      <c r="P1039" s="2">
        <v>45726</v>
      </c>
      <c r="Q1039" s="1" t="s">
        <v>1545</v>
      </c>
      <c r="R1039" s="1" t="s">
        <v>1546</v>
      </c>
      <c r="S1039" s="1" t="s">
        <v>105</v>
      </c>
      <c r="T1039" s="1" t="s">
        <v>35</v>
      </c>
      <c r="U1039" s="1" t="s">
        <v>48</v>
      </c>
      <c r="V1039" s="1" t="s">
        <v>67</v>
      </c>
      <c r="W1039">
        <v>3</v>
      </c>
      <c r="X1039" s="1">
        <f t="shared" si="32"/>
        <v>8313.6899999999459</v>
      </c>
      <c r="Y1039" s="1">
        <f t="shared" si="33"/>
        <v>7682.919999999951</v>
      </c>
    </row>
    <row r="1040" spans="1:25" x14ac:dyDescent="0.3">
      <c r="A1040" s="1" t="s">
        <v>2245</v>
      </c>
      <c r="B1040">
        <v>1</v>
      </c>
      <c r="C1040">
        <v>18.989999999999998</v>
      </c>
      <c r="D1040">
        <v>18.989999999999998</v>
      </c>
      <c r="E1040" s="1" t="s">
        <v>1965</v>
      </c>
      <c r="F1040" s="1" t="s">
        <v>40</v>
      </c>
      <c r="G1040">
        <v>13</v>
      </c>
      <c r="H1040" s="1" t="s">
        <v>26</v>
      </c>
      <c r="I1040" s="1" t="s">
        <v>97</v>
      </c>
      <c r="J1040">
        <v>6</v>
      </c>
      <c r="K1040">
        <v>18.989999999999998</v>
      </c>
      <c r="L1040" s="1" t="s">
        <v>60</v>
      </c>
      <c r="M1040" s="1" t="s">
        <v>43</v>
      </c>
      <c r="N1040" s="1" t="s">
        <v>44</v>
      </c>
      <c r="O1040" s="1" t="s">
        <v>31</v>
      </c>
      <c r="P1040" s="2">
        <v>45823</v>
      </c>
      <c r="Q1040" s="1" t="s">
        <v>1887</v>
      </c>
      <c r="R1040" s="1" t="s">
        <v>1888</v>
      </c>
      <c r="S1040" s="1" t="s">
        <v>88</v>
      </c>
      <c r="T1040" s="1" t="s">
        <v>35</v>
      </c>
      <c r="U1040" s="1" t="s">
        <v>82</v>
      </c>
      <c r="V1040" s="1" t="s">
        <v>100</v>
      </c>
      <c r="W1040">
        <v>3.2</v>
      </c>
      <c r="X1040" s="1">
        <f t="shared" si="32"/>
        <v>8313.6899999999459</v>
      </c>
      <c r="Y1040" s="1">
        <f t="shared" si="33"/>
        <v>7204.2099999999582</v>
      </c>
    </row>
    <row r="1041" spans="1:25" x14ac:dyDescent="0.3">
      <c r="A1041" s="1" t="s">
        <v>2246</v>
      </c>
      <c r="B1041">
        <v>3</v>
      </c>
      <c r="C1041">
        <v>18.989999999999998</v>
      </c>
      <c r="D1041">
        <v>45.69</v>
      </c>
      <c r="E1041" s="1" t="s">
        <v>2240</v>
      </c>
      <c r="F1041" s="1" t="s">
        <v>40</v>
      </c>
      <c r="G1041">
        <v>11</v>
      </c>
      <c r="H1041" s="1" t="s">
        <v>58</v>
      </c>
      <c r="I1041" s="1" t="s">
        <v>97</v>
      </c>
      <c r="J1041">
        <v>6</v>
      </c>
      <c r="K1041">
        <v>18.989999999999998</v>
      </c>
      <c r="L1041" s="1" t="s">
        <v>60</v>
      </c>
      <c r="M1041" s="1" t="s">
        <v>43</v>
      </c>
      <c r="N1041" s="1" t="s">
        <v>44</v>
      </c>
      <c r="O1041" s="1" t="s">
        <v>31</v>
      </c>
      <c r="P1041" s="2">
        <v>45823</v>
      </c>
      <c r="Q1041" s="1" t="s">
        <v>745</v>
      </c>
      <c r="R1041" s="1" t="s">
        <v>746</v>
      </c>
      <c r="S1041" s="1" t="s">
        <v>105</v>
      </c>
      <c r="T1041" s="1" t="s">
        <v>35</v>
      </c>
      <c r="U1041" s="1" t="s">
        <v>48</v>
      </c>
      <c r="V1041" s="1" t="s">
        <v>100</v>
      </c>
      <c r="W1041">
        <v>3.2</v>
      </c>
      <c r="X1041" s="1">
        <f t="shared" si="32"/>
        <v>8640.6199999999462</v>
      </c>
      <c r="Y1041" s="1">
        <f t="shared" si="33"/>
        <v>7682.919999999951</v>
      </c>
    </row>
    <row r="1042" spans="1:25" x14ac:dyDescent="0.3">
      <c r="A1042" s="1" t="s">
        <v>2247</v>
      </c>
      <c r="B1042">
        <v>1</v>
      </c>
      <c r="C1042">
        <v>34.99</v>
      </c>
      <c r="D1042">
        <v>34.99</v>
      </c>
      <c r="E1042" s="1" t="s">
        <v>2048</v>
      </c>
      <c r="F1042" s="1" t="s">
        <v>70</v>
      </c>
      <c r="G1042">
        <v>0</v>
      </c>
      <c r="H1042" s="1" t="s">
        <v>26</v>
      </c>
      <c r="I1042" s="1" t="s">
        <v>85</v>
      </c>
      <c r="J1042">
        <v>12.5</v>
      </c>
      <c r="K1042">
        <v>34.99</v>
      </c>
      <c r="L1042" s="1" t="s">
        <v>60</v>
      </c>
      <c r="M1042" s="1" t="s">
        <v>29</v>
      </c>
      <c r="N1042" s="1" t="s">
        <v>30</v>
      </c>
      <c r="O1042" s="1" t="s">
        <v>31</v>
      </c>
      <c r="P1042" s="2">
        <v>45778</v>
      </c>
      <c r="Q1042" s="1" t="s">
        <v>2042</v>
      </c>
      <c r="R1042" s="1" t="s">
        <v>2248</v>
      </c>
      <c r="S1042" s="1" t="s">
        <v>47</v>
      </c>
      <c r="T1042" s="1" t="s">
        <v>35</v>
      </c>
      <c r="U1042" s="1" t="s">
        <v>82</v>
      </c>
      <c r="V1042" s="1" t="s">
        <v>89</v>
      </c>
      <c r="W1042">
        <v>2.4</v>
      </c>
      <c r="X1042" s="1">
        <f t="shared" si="32"/>
        <v>8313.6899999999459</v>
      </c>
      <c r="Y1042" s="1">
        <f t="shared" si="33"/>
        <v>7204.2099999999582</v>
      </c>
    </row>
    <row r="1043" spans="1:25" x14ac:dyDescent="0.3">
      <c r="A1043" s="1" t="s">
        <v>2249</v>
      </c>
      <c r="B1043">
        <v>2</v>
      </c>
      <c r="C1043">
        <v>27.99</v>
      </c>
      <c r="D1043">
        <v>48.8</v>
      </c>
      <c r="E1043" s="1" t="s">
        <v>1168</v>
      </c>
      <c r="F1043" s="1" t="s">
        <v>25</v>
      </c>
      <c r="G1043">
        <v>3</v>
      </c>
      <c r="H1043" s="1" t="s">
        <v>58</v>
      </c>
      <c r="I1043" s="1" t="s">
        <v>75</v>
      </c>
      <c r="J1043">
        <v>9</v>
      </c>
      <c r="K1043">
        <v>27.99</v>
      </c>
      <c r="L1043" s="1" t="s">
        <v>28</v>
      </c>
      <c r="M1043" s="1" t="s">
        <v>61</v>
      </c>
      <c r="N1043" s="1" t="s">
        <v>62</v>
      </c>
      <c r="O1043" s="1" t="s">
        <v>31</v>
      </c>
      <c r="P1043" s="2">
        <v>45726</v>
      </c>
      <c r="Q1043" s="1" t="s">
        <v>1187</v>
      </c>
      <c r="R1043" s="1" t="s">
        <v>2204</v>
      </c>
      <c r="S1043" s="1" t="s">
        <v>88</v>
      </c>
      <c r="T1043" s="1" t="s">
        <v>35</v>
      </c>
      <c r="U1043" s="1" t="s">
        <v>55</v>
      </c>
      <c r="V1043" s="1" t="s">
        <v>37</v>
      </c>
      <c r="W1043">
        <v>2</v>
      </c>
      <c r="X1043" s="1">
        <f t="shared" si="32"/>
        <v>8640.6199999999462</v>
      </c>
      <c r="Y1043" s="1">
        <f t="shared" si="33"/>
        <v>5710.7699999999695</v>
      </c>
    </row>
    <row r="1044" spans="1:25" x14ac:dyDescent="0.3">
      <c r="A1044" s="1" t="s">
        <v>2250</v>
      </c>
      <c r="B1044">
        <v>3</v>
      </c>
      <c r="C1044">
        <v>30.99</v>
      </c>
      <c r="D1044">
        <v>73.47</v>
      </c>
      <c r="E1044" s="1" t="s">
        <v>2156</v>
      </c>
      <c r="F1044" s="1" t="s">
        <v>40</v>
      </c>
      <c r="G1044">
        <v>2</v>
      </c>
      <c r="H1044" s="1" t="s">
        <v>58</v>
      </c>
      <c r="I1044" s="1" t="s">
        <v>42</v>
      </c>
      <c r="J1044">
        <v>10.5</v>
      </c>
      <c r="K1044">
        <v>30.99</v>
      </c>
      <c r="L1044" s="1" t="s">
        <v>28</v>
      </c>
      <c r="M1044" s="1" t="s">
        <v>43</v>
      </c>
      <c r="N1044" s="1" t="s">
        <v>44</v>
      </c>
      <c r="O1044" s="1" t="s">
        <v>31</v>
      </c>
      <c r="P1044" s="2">
        <v>45823</v>
      </c>
      <c r="Q1044" s="1" t="s">
        <v>836</v>
      </c>
      <c r="R1044" s="1" t="s">
        <v>1847</v>
      </c>
      <c r="S1044" s="1" t="s">
        <v>105</v>
      </c>
      <c r="T1044" s="1" t="s">
        <v>35</v>
      </c>
      <c r="U1044" s="1" t="s">
        <v>66</v>
      </c>
      <c r="V1044" s="1" t="s">
        <v>37</v>
      </c>
      <c r="W1044">
        <v>2</v>
      </c>
      <c r="X1044" s="1">
        <f t="shared" si="32"/>
        <v>8640.6199999999462</v>
      </c>
      <c r="Y1044" s="1">
        <f t="shared" si="33"/>
        <v>6397.4799999999632</v>
      </c>
    </row>
    <row r="1045" spans="1:25" x14ac:dyDescent="0.3">
      <c r="A1045" s="1" t="s">
        <v>2251</v>
      </c>
      <c r="B1045">
        <v>1</v>
      </c>
      <c r="C1045">
        <v>18.989999999999998</v>
      </c>
      <c r="D1045">
        <v>18.989999999999998</v>
      </c>
      <c r="E1045" s="1" t="s">
        <v>185</v>
      </c>
      <c r="F1045" s="1" t="s">
        <v>51</v>
      </c>
      <c r="G1045">
        <v>0</v>
      </c>
      <c r="H1045" s="1" t="s">
        <v>58</v>
      </c>
      <c r="I1045" s="1" t="s">
        <v>97</v>
      </c>
      <c r="J1045">
        <v>6</v>
      </c>
      <c r="K1045">
        <v>18.989999999999998</v>
      </c>
      <c r="L1045" s="1" t="s">
        <v>60</v>
      </c>
      <c r="M1045" s="1" t="s">
        <v>43</v>
      </c>
      <c r="N1045" s="1" t="s">
        <v>44</v>
      </c>
      <c r="O1045" s="1" t="s">
        <v>31</v>
      </c>
      <c r="P1045" s="2">
        <v>45823</v>
      </c>
      <c r="Q1045" s="1" t="s">
        <v>893</v>
      </c>
      <c r="R1045" s="1" t="s">
        <v>1300</v>
      </c>
      <c r="S1045" s="1" t="s">
        <v>34</v>
      </c>
      <c r="T1045" s="1" t="s">
        <v>35</v>
      </c>
      <c r="U1045" s="1" t="s">
        <v>66</v>
      </c>
      <c r="V1045" s="1" t="s">
        <v>100</v>
      </c>
      <c r="W1045">
        <v>3.2</v>
      </c>
      <c r="X1045" s="1">
        <f t="shared" si="32"/>
        <v>8640.6199999999462</v>
      </c>
      <c r="Y1045" s="1">
        <f t="shared" si="33"/>
        <v>6397.4799999999632</v>
      </c>
    </row>
    <row r="1046" spans="1:25" x14ac:dyDescent="0.3">
      <c r="A1046" s="1" t="s">
        <v>2252</v>
      </c>
      <c r="B1046">
        <v>1</v>
      </c>
      <c r="C1046">
        <v>16.989999999999998</v>
      </c>
      <c r="D1046">
        <v>16.989999999999998</v>
      </c>
      <c r="E1046" s="1" t="s">
        <v>2253</v>
      </c>
      <c r="F1046" s="1" t="s">
        <v>51</v>
      </c>
      <c r="G1046">
        <v>0</v>
      </c>
      <c r="H1046" s="1" t="s">
        <v>96</v>
      </c>
      <c r="I1046" s="1" t="s">
        <v>59</v>
      </c>
      <c r="J1046">
        <v>5</v>
      </c>
      <c r="K1046">
        <v>16.989999999999998</v>
      </c>
      <c r="L1046" s="1" t="s">
        <v>60</v>
      </c>
      <c r="M1046" s="1" t="s">
        <v>61</v>
      </c>
      <c r="N1046" s="1" t="s">
        <v>62</v>
      </c>
      <c r="O1046" s="1" t="s">
        <v>31</v>
      </c>
      <c r="P1046" s="2">
        <v>45726</v>
      </c>
      <c r="Q1046" s="1" t="s">
        <v>1048</v>
      </c>
      <c r="R1046" s="1" t="s">
        <v>1701</v>
      </c>
      <c r="S1046" s="1" t="s">
        <v>105</v>
      </c>
      <c r="T1046" s="1" t="s">
        <v>35</v>
      </c>
      <c r="U1046" s="1" t="s">
        <v>82</v>
      </c>
      <c r="V1046" s="1" t="s">
        <v>67</v>
      </c>
      <c r="W1046">
        <v>3</v>
      </c>
      <c r="X1046" s="1">
        <f t="shared" si="32"/>
        <v>7844.9099999999507</v>
      </c>
      <c r="Y1046" s="1">
        <f t="shared" si="33"/>
        <v>7204.2099999999582</v>
      </c>
    </row>
    <row r="1047" spans="1:25" x14ac:dyDescent="0.3">
      <c r="A1047" s="1" t="s">
        <v>2254</v>
      </c>
      <c r="B1047">
        <v>1</v>
      </c>
      <c r="C1047">
        <v>18.989999999999998</v>
      </c>
      <c r="D1047">
        <v>18.989999999999998</v>
      </c>
      <c r="E1047" s="1" t="s">
        <v>1407</v>
      </c>
      <c r="F1047" s="1" t="s">
        <v>40</v>
      </c>
      <c r="G1047">
        <v>12</v>
      </c>
      <c r="H1047" s="1" t="s">
        <v>58</v>
      </c>
      <c r="I1047" s="1" t="s">
        <v>97</v>
      </c>
      <c r="J1047">
        <v>6</v>
      </c>
      <c r="K1047">
        <v>18.989999999999998</v>
      </c>
      <c r="L1047" s="1" t="s">
        <v>60</v>
      </c>
      <c r="M1047" s="1" t="s">
        <v>43</v>
      </c>
      <c r="N1047" s="1" t="s">
        <v>44</v>
      </c>
      <c r="O1047" s="1" t="s">
        <v>31</v>
      </c>
      <c r="P1047" s="2">
        <v>45823</v>
      </c>
      <c r="Q1047" s="1" t="s">
        <v>1137</v>
      </c>
      <c r="R1047" s="1" t="s">
        <v>2255</v>
      </c>
      <c r="S1047" s="1" t="s">
        <v>65</v>
      </c>
      <c r="T1047" s="1" t="s">
        <v>35</v>
      </c>
      <c r="U1047" s="1" t="s">
        <v>36</v>
      </c>
      <c r="V1047" s="1" t="s">
        <v>100</v>
      </c>
      <c r="W1047">
        <v>3.2</v>
      </c>
      <c r="X1047" s="1">
        <f t="shared" si="32"/>
        <v>8640.6199999999462</v>
      </c>
      <c r="Y1047" s="1">
        <f t="shared" si="33"/>
        <v>6355.4899999999634</v>
      </c>
    </row>
    <row r="1048" spans="1:25" x14ac:dyDescent="0.3">
      <c r="A1048" s="1" t="s">
        <v>2256</v>
      </c>
      <c r="B1048">
        <v>1</v>
      </c>
      <c r="C1048">
        <v>16.989999999999998</v>
      </c>
      <c r="D1048">
        <v>16.989999999999998</v>
      </c>
      <c r="E1048" s="1" t="s">
        <v>117</v>
      </c>
      <c r="F1048" s="1" t="s">
        <v>25</v>
      </c>
      <c r="G1048">
        <v>15</v>
      </c>
      <c r="H1048" s="1" t="s">
        <v>58</v>
      </c>
      <c r="I1048" s="1" t="s">
        <v>59</v>
      </c>
      <c r="J1048">
        <v>5</v>
      </c>
      <c r="K1048">
        <v>16.989999999999998</v>
      </c>
      <c r="L1048" s="1" t="s">
        <v>60</v>
      </c>
      <c r="M1048" s="1" t="s">
        <v>61</v>
      </c>
      <c r="N1048" s="1" t="s">
        <v>62</v>
      </c>
      <c r="O1048" s="1" t="s">
        <v>31</v>
      </c>
      <c r="P1048" s="2">
        <v>45726</v>
      </c>
      <c r="Q1048" s="1" t="s">
        <v>1253</v>
      </c>
      <c r="R1048" s="1" t="s">
        <v>1875</v>
      </c>
      <c r="S1048" s="1" t="s">
        <v>105</v>
      </c>
      <c r="T1048" s="1" t="s">
        <v>35</v>
      </c>
      <c r="U1048" s="1" t="s">
        <v>66</v>
      </c>
      <c r="V1048" s="1" t="s">
        <v>67</v>
      </c>
      <c r="W1048">
        <v>3</v>
      </c>
      <c r="X1048" s="1">
        <f t="shared" si="32"/>
        <v>8640.6199999999462</v>
      </c>
      <c r="Y1048" s="1">
        <f t="shared" si="33"/>
        <v>6397.4799999999632</v>
      </c>
    </row>
    <row r="1049" spans="1:25" x14ac:dyDescent="0.3">
      <c r="A1049" s="1" t="s">
        <v>2257</v>
      </c>
      <c r="B1049">
        <v>1</v>
      </c>
      <c r="C1049">
        <v>27.99</v>
      </c>
      <c r="D1049">
        <v>27.99</v>
      </c>
      <c r="E1049" s="1" t="s">
        <v>858</v>
      </c>
      <c r="F1049" s="1" t="s">
        <v>51</v>
      </c>
      <c r="G1049">
        <v>0</v>
      </c>
      <c r="H1049" s="1" t="s">
        <v>58</v>
      </c>
      <c r="I1049" s="1" t="s">
        <v>75</v>
      </c>
      <c r="J1049">
        <v>9</v>
      </c>
      <c r="K1049">
        <v>27.99</v>
      </c>
      <c r="L1049" s="1" t="s">
        <v>28</v>
      </c>
      <c r="M1049" s="1" t="s">
        <v>61</v>
      </c>
      <c r="N1049" s="1" t="s">
        <v>62</v>
      </c>
      <c r="O1049" s="1" t="s">
        <v>31</v>
      </c>
      <c r="P1049" s="2">
        <v>45726</v>
      </c>
      <c r="Q1049" s="1" t="s">
        <v>1780</v>
      </c>
      <c r="R1049" s="1" t="s">
        <v>1781</v>
      </c>
      <c r="S1049" s="1" t="s">
        <v>65</v>
      </c>
      <c r="T1049" s="1" t="s">
        <v>35</v>
      </c>
      <c r="U1049" s="1" t="s">
        <v>36</v>
      </c>
      <c r="V1049" s="1" t="s">
        <v>37</v>
      </c>
      <c r="W1049">
        <v>2</v>
      </c>
      <c r="X1049" s="1">
        <f t="shared" si="32"/>
        <v>8640.6199999999462</v>
      </c>
      <c r="Y1049" s="1">
        <f t="shared" si="33"/>
        <v>6355.4899999999634</v>
      </c>
    </row>
    <row r="1050" spans="1:25" x14ac:dyDescent="0.3">
      <c r="A1050" s="1" t="s">
        <v>2258</v>
      </c>
      <c r="B1050">
        <v>1</v>
      </c>
      <c r="C1050">
        <v>18.989999999999998</v>
      </c>
      <c r="D1050">
        <v>18.989999999999998</v>
      </c>
      <c r="E1050" s="1" t="s">
        <v>224</v>
      </c>
      <c r="F1050" s="1" t="s">
        <v>188</v>
      </c>
      <c r="G1050">
        <v>0</v>
      </c>
      <c r="H1050" s="1" t="s">
        <v>26</v>
      </c>
      <c r="I1050" s="1" t="s">
        <v>97</v>
      </c>
      <c r="J1050">
        <v>6</v>
      </c>
      <c r="K1050">
        <v>18.989999999999998</v>
      </c>
      <c r="L1050" s="1" t="s">
        <v>60</v>
      </c>
      <c r="M1050" s="1" t="s">
        <v>43</v>
      </c>
      <c r="N1050" s="1" t="s">
        <v>44</v>
      </c>
      <c r="O1050" s="1" t="s">
        <v>31</v>
      </c>
      <c r="P1050" s="2">
        <v>45823</v>
      </c>
      <c r="Q1050" s="1" t="s">
        <v>689</v>
      </c>
      <c r="R1050" s="1" t="s">
        <v>766</v>
      </c>
      <c r="S1050" s="1" t="s">
        <v>105</v>
      </c>
      <c r="T1050" s="1" t="s">
        <v>35</v>
      </c>
      <c r="U1050" s="1" t="s">
        <v>48</v>
      </c>
      <c r="V1050" s="1" t="s">
        <v>100</v>
      </c>
      <c r="W1050">
        <v>3.2</v>
      </c>
      <c r="X1050" s="1">
        <f t="shared" si="32"/>
        <v>8313.6899999999459</v>
      </c>
      <c r="Y1050" s="1">
        <f t="shared" si="33"/>
        <v>7682.919999999951</v>
      </c>
    </row>
    <row r="1051" spans="1:25" x14ac:dyDescent="0.3">
      <c r="A1051" s="1" t="s">
        <v>2259</v>
      </c>
      <c r="B1051">
        <v>1</v>
      </c>
      <c r="C1051">
        <v>21.99</v>
      </c>
      <c r="D1051">
        <v>21.99</v>
      </c>
      <c r="E1051" s="1" t="s">
        <v>1068</v>
      </c>
      <c r="F1051" s="1" t="s">
        <v>40</v>
      </c>
      <c r="G1051">
        <v>3</v>
      </c>
      <c r="H1051" s="1" t="s">
        <v>26</v>
      </c>
      <c r="I1051" s="1" t="s">
        <v>27</v>
      </c>
      <c r="J1051">
        <v>7</v>
      </c>
      <c r="K1051">
        <v>21.99</v>
      </c>
      <c r="L1051" s="1" t="s">
        <v>28</v>
      </c>
      <c r="M1051" s="1" t="s">
        <v>29</v>
      </c>
      <c r="N1051" s="1" t="s">
        <v>30</v>
      </c>
      <c r="O1051" s="1" t="s">
        <v>31</v>
      </c>
      <c r="P1051" s="2">
        <v>45778</v>
      </c>
      <c r="Q1051" s="1" t="s">
        <v>938</v>
      </c>
      <c r="R1051" s="1" t="s">
        <v>939</v>
      </c>
      <c r="S1051" s="1" t="s">
        <v>54</v>
      </c>
      <c r="T1051" s="1" t="s">
        <v>35</v>
      </c>
      <c r="U1051" s="1" t="s">
        <v>66</v>
      </c>
      <c r="V1051" s="1" t="s">
        <v>37</v>
      </c>
      <c r="W1051">
        <v>2</v>
      </c>
      <c r="X1051" s="1">
        <f t="shared" si="32"/>
        <v>8313.6899999999459</v>
      </c>
      <c r="Y1051" s="1">
        <f t="shared" si="33"/>
        <v>6397.4799999999632</v>
      </c>
    </row>
    <row r="1052" spans="1:25" x14ac:dyDescent="0.3">
      <c r="A1052" s="1" t="s">
        <v>2260</v>
      </c>
      <c r="B1052">
        <v>1</v>
      </c>
      <c r="C1052">
        <v>30.99</v>
      </c>
      <c r="D1052">
        <v>30.99</v>
      </c>
      <c r="E1052" s="1" t="s">
        <v>2261</v>
      </c>
      <c r="F1052" s="1" t="s">
        <v>40</v>
      </c>
      <c r="G1052">
        <v>3</v>
      </c>
      <c r="H1052" s="1" t="s">
        <v>96</v>
      </c>
      <c r="I1052" s="1" t="s">
        <v>42</v>
      </c>
      <c r="J1052">
        <v>10.5</v>
      </c>
      <c r="K1052">
        <v>30.99</v>
      </c>
      <c r="L1052" s="1" t="s">
        <v>28</v>
      </c>
      <c r="M1052" s="1" t="s">
        <v>43</v>
      </c>
      <c r="N1052" s="1" t="s">
        <v>44</v>
      </c>
      <c r="O1052" s="1" t="s">
        <v>31</v>
      </c>
      <c r="P1052" s="2">
        <v>45823</v>
      </c>
      <c r="Q1052" s="1" t="s">
        <v>842</v>
      </c>
      <c r="R1052" s="1" t="s">
        <v>1504</v>
      </c>
      <c r="S1052" s="1" t="s">
        <v>47</v>
      </c>
      <c r="T1052" s="1" t="s">
        <v>35</v>
      </c>
      <c r="U1052" s="1" t="s">
        <v>66</v>
      </c>
      <c r="V1052" s="1" t="s">
        <v>37</v>
      </c>
      <c r="W1052">
        <v>2</v>
      </c>
      <c r="X1052" s="1">
        <f t="shared" si="32"/>
        <v>7844.9099999999507</v>
      </c>
      <c r="Y1052" s="1">
        <f t="shared" si="33"/>
        <v>6397.4799999999632</v>
      </c>
    </row>
    <row r="1053" spans="1:25" x14ac:dyDescent="0.3">
      <c r="A1053" s="1" t="s">
        <v>2262</v>
      </c>
      <c r="B1053">
        <v>3</v>
      </c>
      <c r="C1053">
        <v>30.99</v>
      </c>
      <c r="D1053">
        <v>74.77</v>
      </c>
      <c r="E1053" s="1" t="s">
        <v>113</v>
      </c>
      <c r="F1053" s="1" t="s">
        <v>51</v>
      </c>
      <c r="G1053">
        <v>0</v>
      </c>
      <c r="H1053" s="1" t="s">
        <v>58</v>
      </c>
      <c r="I1053" s="1" t="s">
        <v>42</v>
      </c>
      <c r="J1053">
        <v>10.5</v>
      </c>
      <c r="K1053">
        <v>30.99</v>
      </c>
      <c r="L1053" s="1" t="s">
        <v>28</v>
      </c>
      <c r="M1053" s="1" t="s">
        <v>43</v>
      </c>
      <c r="N1053" s="1" t="s">
        <v>44</v>
      </c>
      <c r="O1053" s="1" t="s">
        <v>31</v>
      </c>
      <c r="P1053" s="2">
        <v>45823</v>
      </c>
      <c r="Q1053" s="1" t="s">
        <v>943</v>
      </c>
      <c r="R1053" s="1" t="s">
        <v>1346</v>
      </c>
      <c r="S1053" s="1" t="s">
        <v>54</v>
      </c>
      <c r="T1053" s="1" t="s">
        <v>35</v>
      </c>
      <c r="U1053" s="1" t="s">
        <v>55</v>
      </c>
      <c r="V1053" s="1" t="s">
        <v>37</v>
      </c>
      <c r="W1053">
        <v>2</v>
      </c>
      <c r="X1053" s="1">
        <f t="shared" si="32"/>
        <v>8640.6199999999462</v>
      </c>
      <c r="Y1053" s="1">
        <f t="shared" si="33"/>
        <v>5710.7699999999695</v>
      </c>
    </row>
    <row r="1054" spans="1:25" x14ac:dyDescent="0.3">
      <c r="A1054" s="1" t="s">
        <v>2263</v>
      </c>
      <c r="B1054">
        <v>1</v>
      </c>
      <c r="C1054">
        <v>16.989999999999998</v>
      </c>
      <c r="D1054">
        <v>16.989999999999998</v>
      </c>
      <c r="E1054" s="1" t="s">
        <v>382</v>
      </c>
      <c r="F1054" s="1" t="s">
        <v>40</v>
      </c>
      <c r="G1054">
        <v>15</v>
      </c>
      <c r="H1054" s="1" t="s">
        <v>26</v>
      </c>
      <c r="I1054" s="1" t="s">
        <v>59</v>
      </c>
      <c r="J1054">
        <v>5</v>
      </c>
      <c r="K1054">
        <v>16.989999999999998</v>
      </c>
      <c r="L1054" s="1" t="s">
        <v>60</v>
      </c>
      <c r="M1054" s="1" t="s">
        <v>61</v>
      </c>
      <c r="N1054" s="1" t="s">
        <v>62</v>
      </c>
      <c r="O1054" s="1" t="s">
        <v>31</v>
      </c>
      <c r="P1054" s="2">
        <v>45726</v>
      </c>
      <c r="Q1054" s="1" t="s">
        <v>930</v>
      </c>
      <c r="R1054" s="1" t="s">
        <v>1251</v>
      </c>
      <c r="S1054" s="1" t="s">
        <v>47</v>
      </c>
      <c r="T1054" s="1" t="s">
        <v>35</v>
      </c>
      <c r="U1054" s="1" t="s">
        <v>66</v>
      </c>
      <c r="V1054" s="1" t="s">
        <v>67</v>
      </c>
      <c r="W1054">
        <v>3</v>
      </c>
      <c r="X1054" s="1">
        <f t="shared" si="32"/>
        <v>8313.6899999999459</v>
      </c>
      <c r="Y1054" s="1">
        <f t="shared" si="33"/>
        <v>6397.4799999999632</v>
      </c>
    </row>
    <row r="1055" spans="1:25" x14ac:dyDescent="0.3">
      <c r="A1055" s="1" t="s">
        <v>2264</v>
      </c>
      <c r="B1055">
        <v>2</v>
      </c>
      <c r="C1055">
        <v>34.99</v>
      </c>
      <c r="D1055">
        <v>59.89</v>
      </c>
      <c r="E1055" s="1" t="s">
        <v>989</v>
      </c>
      <c r="F1055" s="1" t="s">
        <v>25</v>
      </c>
      <c r="G1055">
        <v>8</v>
      </c>
      <c r="H1055" s="1" t="s">
        <v>96</v>
      </c>
      <c r="I1055" s="1" t="s">
        <v>85</v>
      </c>
      <c r="J1055">
        <v>12.5</v>
      </c>
      <c r="K1055">
        <v>34.99</v>
      </c>
      <c r="L1055" s="1" t="s">
        <v>60</v>
      </c>
      <c r="M1055" s="1" t="s">
        <v>29</v>
      </c>
      <c r="N1055" s="1" t="s">
        <v>30</v>
      </c>
      <c r="O1055" s="1" t="s">
        <v>31</v>
      </c>
      <c r="P1055" s="2">
        <v>45778</v>
      </c>
      <c r="Q1055" s="1" t="s">
        <v>1024</v>
      </c>
      <c r="R1055" s="1" t="s">
        <v>1854</v>
      </c>
      <c r="S1055" s="1" t="s">
        <v>65</v>
      </c>
      <c r="T1055" s="1" t="s">
        <v>35</v>
      </c>
      <c r="U1055" s="1" t="s">
        <v>82</v>
      </c>
      <c r="V1055" s="1" t="s">
        <v>89</v>
      </c>
      <c r="W1055">
        <v>2.4</v>
      </c>
      <c r="X1055" s="1">
        <f t="shared" si="32"/>
        <v>7844.9099999999507</v>
      </c>
      <c r="Y1055" s="1">
        <f t="shared" si="33"/>
        <v>7204.2099999999582</v>
      </c>
    </row>
    <row r="1056" spans="1:25" x14ac:dyDescent="0.3">
      <c r="A1056" s="1" t="s">
        <v>2265</v>
      </c>
      <c r="B1056">
        <v>1</v>
      </c>
      <c r="C1056">
        <v>30.99</v>
      </c>
      <c r="D1056">
        <v>30.99</v>
      </c>
      <c r="E1056" s="1" t="s">
        <v>1302</v>
      </c>
      <c r="F1056" s="1" t="s">
        <v>40</v>
      </c>
      <c r="G1056">
        <v>3</v>
      </c>
      <c r="H1056" s="1" t="s">
        <v>41</v>
      </c>
      <c r="I1056" s="1" t="s">
        <v>42</v>
      </c>
      <c r="J1056">
        <v>10.5</v>
      </c>
      <c r="K1056">
        <v>30.99</v>
      </c>
      <c r="L1056" s="1" t="s">
        <v>28</v>
      </c>
      <c r="M1056" s="1" t="s">
        <v>43</v>
      </c>
      <c r="N1056" s="1" t="s">
        <v>44</v>
      </c>
      <c r="O1056" s="1" t="s">
        <v>31</v>
      </c>
      <c r="P1056" s="2">
        <v>45823</v>
      </c>
      <c r="Q1056" s="1" t="s">
        <v>278</v>
      </c>
      <c r="R1056" s="1" t="s">
        <v>1202</v>
      </c>
      <c r="S1056" s="1" t="s">
        <v>54</v>
      </c>
      <c r="T1056" s="1" t="s">
        <v>35</v>
      </c>
      <c r="U1056" s="1" t="s">
        <v>36</v>
      </c>
      <c r="V1056" s="1" t="s">
        <v>37</v>
      </c>
      <c r="W1056">
        <v>2</v>
      </c>
      <c r="X1056" s="1">
        <f t="shared" si="32"/>
        <v>8551.6499999999451</v>
      </c>
      <c r="Y1056" s="1">
        <f t="shared" si="33"/>
        <v>6355.4899999999634</v>
      </c>
    </row>
    <row r="1057" spans="1:25" x14ac:dyDescent="0.3">
      <c r="A1057" s="1" t="s">
        <v>2266</v>
      </c>
      <c r="B1057">
        <v>1</v>
      </c>
      <c r="C1057">
        <v>16.989999999999998</v>
      </c>
      <c r="D1057">
        <v>16.989999999999998</v>
      </c>
      <c r="E1057" s="1" t="s">
        <v>2267</v>
      </c>
      <c r="F1057" s="1" t="s">
        <v>40</v>
      </c>
      <c r="G1057">
        <v>17</v>
      </c>
      <c r="H1057" s="1" t="s">
        <v>26</v>
      </c>
      <c r="I1057" s="1" t="s">
        <v>59</v>
      </c>
      <c r="J1057">
        <v>5</v>
      </c>
      <c r="K1057">
        <v>16.989999999999998</v>
      </c>
      <c r="L1057" s="1" t="s">
        <v>60</v>
      </c>
      <c r="M1057" s="1" t="s">
        <v>61</v>
      </c>
      <c r="N1057" s="1" t="s">
        <v>62</v>
      </c>
      <c r="O1057" s="1" t="s">
        <v>31</v>
      </c>
      <c r="P1057" s="2">
        <v>45726</v>
      </c>
      <c r="Q1057" s="1" t="s">
        <v>990</v>
      </c>
      <c r="R1057" s="1" t="s">
        <v>1623</v>
      </c>
      <c r="S1057" s="1" t="s">
        <v>54</v>
      </c>
      <c r="T1057" s="1" t="s">
        <v>35</v>
      </c>
      <c r="U1057" s="1" t="s">
        <v>48</v>
      </c>
      <c r="V1057" s="1" t="s">
        <v>67</v>
      </c>
      <c r="W1057">
        <v>3</v>
      </c>
      <c r="X1057" s="1">
        <f t="shared" si="32"/>
        <v>8313.6899999999459</v>
      </c>
      <c r="Y1057" s="1">
        <f t="shared" si="33"/>
        <v>7682.919999999951</v>
      </c>
    </row>
    <row r="1058" spans="1:25" x14ac:dyDescent="0.3">
      <c r="A1058" s="1" t="s">
        <v>2268</v>
      </c>
      <c r="B1058">
        <v>1</v>
      </c>
      <c r="C1058">
        <v>18.989999999999998</v>
      </c>
      <c r="D1058">
        <v>18.989999999999998</v>
      </c>
      <c r="E1058" s="1" t="s">
        <v>1953</v>
      </c>
      <c r="F1058" s="1" t="s">
        <v>25</v>
      </c>
      <c r="G1058">
        <v>14</v>
      </c>
      <c r="H1058" s="1" t="s">
        <v>41</v>
      </c>
      <c r="I1058" s="1" t="s">
        <v>97</v>
      </c>
      <c r="J1058">
        <v>6</v>
      </c>
      <c r="K1058">
        <v>18.989999999999998</v>
      </c>
      <c r="L1058" s="1" t="s">
        <v>60</v>
      </c>
      <c r="M1058" s="1" t="s">
        <v>43</v>
      </c>
      <c r="N1058" s="1" t="s">
        <v>44</v>
      </c>
      <c r="O1058" s="1" t="s">
        <v>31</v>
      </c>
      <c r="P1058" s="2">
        <v>45823</v>
      </c>
      <c r="Q1058" s="1" t="s">
        <v>969</v>
      </c>
      <c r="R1058" s="1" t="s">
        <v>970</v>
      </c>
      <c r="S1058" s="1" t="s">
        <v>105</v>
      </c>
      <c r="T1058" s="1" t="s">
        <v>35</v>
      </c>
      <c r="U1058" s="1" t="s">
        <v>36</v>
      </c>
      <c r="V1058" s="1" t="s">
        <v>100</v>
      </c>
      <c r="W1058">
        <v>3.2</v>
      </c>
      <c r="X1058" s="1">
        <f t="shared" si="32"/>
        <v>8551.6499999999451</v>
      </c>
      <c r="Y1058" s="1">
        <f t="shared" si="33"/>
        <v>6355.4899999999634</v>
      </c>
    </row>
    <row r="1059" spans="1:25" x14ac:dyDescent="0.3">
      <c r="A1059" s="1" t="s">
        <v>2269</v>
      </c>
      <c r="B1059">
        <v>3</v>
      </c>
      <c r="C1059">
        <v>21.99</v>
      </c>
      <c r="D1059">
        <v>53.17</v>
      </c>
      <c r="E1059" s="1" t="s">
        <v>1096</v>
      </c>
      <c r="F1059" s="1" t="s">
        <v>40</v>
      </c>
      <c r="G1059">
        <v>6</v>
      </c>
      <c r="H1059" s="1" t="s">
        <v>96</v>
      </c>
      <c r="I1059" s="1" t="s">
        <v>27</v>
      </c>
      <c r="J1059">
        <v>7</v>
      </c>
      <c r="K1059">
        <v>21.99</v>
      </c>
      <c r="L1059" s="1" t="s">
        <v>28</v>
      </c>
      <c r="M1059" s="1" t="s">
        <v>29</v>
      </c>
      <c r="N1059" s="1" t="s">
        <v>30</v>
      </c>
      <c r="O1059" s="1" t="s">
        <v>31</v>
      </c>
      <c r="P1059" s="2">
        <v>45778</v>
      </c>
      <c r="Q1059" s="1" t="s">
        <v>1211</v>
      </c>
      <c r="R1059" s="1" t="s">
        <v>1212</v>
      </c>
      <c r="S1059" s="1" t="s">
        <v>34</v>
      </c>
      <c r="T1059" s="1" t="s">
        <v>35</v>
      </c>
      <c r="U1059" s="1" t="s">
        <v>66</v>
      </c>
      <c r="V1059" s="1" t="s">
        <v>37</v>
      </c>
      <c r="W1059">
        <v>2</v>
      </c>
      <c r="X1059" s="1">
        <f t="shared" si="32"/>
        <v>7844.9099999999507</v>
      </c>
      <c r="Y1059" s="1">
        <f t="shared" si="33"/>
        <v>6397.4799999999632</v>
      </c>
    </row>
    <row r="1060" spans="1:25" x14ac:dyDescent="0.3">
      <c r="A1060" s="1" t="s">
        <v>2270</v>
      </c>
      <c r="B1060">
        <v>2</v>
      </c>
      <c r="C1060">
        <v>16.989999999999998</v>
      </c>
      <c r="D1060">
        <v>29.69</v>
      </c>
      <c r="E1060" s="1" t="s">
        <v>2082</v>
      </c>
      <c r="F1060" s="1" t="s">
        <v>40</v>
      </c>
      <c r="G1060">
        <v>19</v>
      </c>
      <c r="H1060" s="1" t="s">
        <v>41</v>
      </c>
      <c r="I1060" s="1" t="s">
        <v>59</v>
      </c>
      <c r="J1060">
        <v>5</v>
      </c>
      <c r="K1060">
        <v>16.989999999999998</v>
      </c>
      <c r="L1060" s="1" t="s">
        <v>60</v>
      </c>
      <c r="M1060" s="1" t="s">
        <v>61</v>
      </c>
      <c r="N1060" s="1" t="s">
        <v>62</v>
      </c>
      <c r="O1060" s="1" t="s">
        <v>31</v>
      </c>
      <c r="P1060" s="2">
        <v>45726</v>
      </c>
      <c r="Q1060" s="1" t="s">
        <v>1187</v>
      </c>
      <c r="R1060" s="1" t="s">
        <v>2204</v>
      </c>
      <c r="S1060" s="1" t="s">
        <v>88</v>
      </c>
      <c r="T1060" s="1" t="s">
        <v>35</v>
      </c>
      <c r="U1060" s="1" t="s">
        <v>55</v>
      </c>
      <c r="V1060" s="1" t="s">
        <v>67</v>
      </c>
      <c r="W1060">
        <v>3</v>
      </c>
      <c r="X1060" s="1">
        <f t="shared" si="32"/>
        <v>8551.6499999999451</v>
      </c>
      <c r="Y1060" s="1">
        <f t="shared" si="33"/>
        <v>5710.7699999999695</v>
      </c>
    </row>
    <row r="1061" spans="1:25" x14ac:dyDescent="0.3">
      <c r="A1061" s="1" t="s">
        <v>2271</v>
      </c>
      <c r="B1061">
        <v>3</v>
      </c>
      <c r="C1061">
        <v>27.99</v>
      </c>
      <c r="D1061">
        <v>67.5</v>
      </c>
      <c r="E1061" s="1" t="s">
        <v>435</v>
      </c>
      <c r="F1061" s="1" t="s">
        <v>40</v>
      </c>
      <c r="G1061">
        <v>2</v>
      </c>
      <c r="H1061" s="1" t="s">
        <v>96</v>
      </c>
      <c r="I1061" s="1" t="s">
        <v>75</v>
      </c>
      <c r="J1061">
        <v>9</v>
      </c>
      <c r="K1061">
        <v>27.99</v>
      </c>
      <c r="L1061" s="1" t="s">
        <v>28</v>
      </c>
      <c r="M1061" s="1" t="s">
        <v>61</v>
      </c>
      <c r="N1061" s="1" t="s">
        <v>62</v>
      </c>
      <c r="O1061" s="1" t="s">
        <v>31</v>
      </c>
      <c r="P1061" s="2">
        <v>45726</v>
      </c>
      <c r="Q1061" s="1" t="s">
        <v>1458</v>
      </c>
      <c r="R1061" s="1" t="s">
        <v>1459</v>
      </c>
      <c r="S1061" s="1" t="s">
        <v>88</v>
      </c>
      <c r="T1061" s="1" t="s">
        <v>35</v>
      </c>
      <c r="U1061" s="1" t="s">
        <v>82</v>
      </c>
      <c r="V1061" s="1" t="s">
        <v>37</v>
      </c>
      <c r="W1061">
        <v>2</v>
      </c>
      <c r="X1061" s="1">
        <f t="shared" si="32"/>
        <v>7844.9099999999507</v>
      </c>
      <c r="Y1061" s="1">
        <f t="shared" si="33"/>
        <v>7204.2099999999582</v>
      </c>
    </row>
    <row r="1062" spans="1:25" x14ac:dyDescent="0.3">
      <c r="A1062" s="1" t="s">
        <v>2272</v>
      </c>
      <c r="B1062">
        <v>1</v>
      </c>
      <c r="C1062">
        <v>16.989999999999998</v>
      </c>
      <c r="D1062">
        <v>16.989999999999998</v>
      </c>
      <c r="E1062" s="1" t="s">
        <v>989</v>
      </c>
      <c r="F1062" s="1" t="s">
        <v>40</v>
      </c>
      <c r="G1062">
        <v>19</v>
      </c>
      <c r="H1062" s="1" t="s">
        <v>58</v>
      </c>
      <c r="I1062" s="1" t="s">
        <v>59</v>
      </c>
      <c r="J1062">
        <v>5</v>
      </c>
      <c r="K1062">
        <v>16.989999999999998</v>
      </c>
      <c r="L1062" s="1" t="s">
        <v>60</v>
      </c>
      <c r="M1062" s="1" t="s">
        <v>61</v>
      </c>
      <c r="N1062" s="1" t="s">
        <v>62</v>
      </c>
      <c r="O1062" s="1" t="s">
        <v>31</v>
      </c>
      <c r="P1062" s="2">
        <v>45726</v>
      </c>
      <c r="Q1062" s="1" t="s">
        <v>938</v>
      </c>
      <c r="R1062" s="1" t="s">
        <v>939</v>
      </c>
      <c r="S1062" s="1" t="s">
        <v>54</v>
      </c>
      <c r="T1062" s="1" t="s">
        <v>35</v>
      </c>
      <c r="U1062" s="1" t="s">
        <v>66</v>
      </c>
      <c r="V1062" s="1" t="s">
        <v>67</v>
      </c>
      <c r="W1062">
        <v>3</v>
      </c>
      <c r="X1062" s="1">
        <f t="shared" si="32"/>
        <v>8640.6199999999462</v>
      </c>
      <c r="Y1062" s="1">
        <f t="shared" si="33"/>
        <v>6397.4799999999632</v>
      </c>
    </row>
    <row r="1063" spans="1:25" x14ac:dyDescent="0.3">
      <c r="A1063" s="1" t="s">
        <v>2273</v>
      </c>
      <c r="B1063">
        <v>2</v>
      </c>
      <c r="C1063">
        <v>34.99</v>
      </c>
      <c r="D1063">
        <v>60.72</v>
      </c>
      <c r="E1063" s="1" t="s">
        <v>2274</v>
      </c>
      <c r="F1063" s="1" t="s">
        <v>40</v>
      </c>
      <c r="G1063">
        <v>6</v>
      </c>
      <c r="H1063" s="1" t="s">
        <v>26</v>
      </c>
      <c r="I1063" s="1" t="s">
        <v>85</v>
      </c>
      <c r="J1063">
        <v>12.5</v>
      </c>
      <c r="K1063">
        <v>34.99</v>
      </c>
      <c r="L1063" s="1" t="s">
        <v>60</v>
      </c>
      <c r="M1063" s="1" t="s">
        <v>29</v>
      </c>
      <c r="N1063" s="1" t="s">
        <v>30</v>
      </c>
      <c r="O1063" s="1" t="s">
        <v>31</v>
      </c>
      <c r="P1063" s="2">
        <v>45778</v>
      </c>
      <c r="Q1063" s="1" t="s">
        <v>1947</v>
      </c>
      <c r="R1063" s="1" t="s">
        <v>1948</v>
      </c>
      <c r="S1063" s="1" t="s">
        <v>34</v>
      </c>
      <c r="T1063" s="1" t="s">
        <v>35</v>
      </c>
      <c r="U1063" s="1" t="s">
        <v>55</v>
      </c>
      <c r="V1063" s="1" t="s">
        <v>89</v>
      </c>
      <c r="W1063">
        <v>2.4</v>
      </c>
      <c r="X1063" s="1">
        <f t="shared" si="32"/>
        <v>8313.6899999999459</v>
      </c>
      <c r="Y1063" s="1">
        <f t="shared" si="33"/>
        <v>5710.7699999999695</v>
      </c>
    </row>
    <row r="1064" spans="1:25" x14ac:dyDescent="0.3">
      <c r="A1064" s="1" t="s">
        <v>2275</v>
      </c>
      <c r="B1064">
        <v>1</v>
      </c>
      <c r="C1064">
        <v>18.989999999999998</v>
      </c>
      <c r="D1064">
        <v>18.989999999999998</v>
      </c>
      <c r="E1064" s="1" t="s">
        <v>1930</v>
      </c>
      <c r="F1064" s="1" t="s">
        <v>188</v>
      </c>
      <c r="G1064">
        <v>0</v>
      </c>
      <c r="H1064" s="1" t="s">
        <v>96</v>
      </c>
      <c r="I1064" s="1" t="s">
        <v>97</v>
      </c>
      <c r="J1064">
        <v>6</v>
      </c>
      <c r="K1064">
        <v>18.989999999999998</v>
      </c>
      <c r="L1064" s="1" t="s">
        <v>60</v>
      </c>
      <c r="M1064" s="1" t="s">
        <v>43</v>
      </c>
      <c r="N1064" s="1" t="s">
        <v>44</v>
      </c>
      <c r="O1064" s="1" t="s">
        <v>31</v>
      </c>
      <c r="P1064" s="2">
        <v>45823</v>
      </c>
      <c r="Q1064" s="1" t="s">
        <v>2276</v>
      </c>
      <c r="R1064" s="1" t="s">
        <v>2277</v>
      </c>
      <c r="S1064" s="1" t="s">
        <v>105</v>
      </c>
      <c r="T1064" s="1" t="s">
        <v>35</v>
      </c>
      <c r="U1064" s="1" t="s">
        <v>48</v>
      </c>
      <c r="V1064" s="1" t="s">
        <v>100</v>
      </c>
      <c r="W1064">
        <v>3.2</v>
      </c>
      <c r="X1064" s="1">
        <f t="shared" si="32"/>
        <v>7844.9099999999507</v>
      </c>
      <c r="Y1064" s="1">
        <f t="shared" si="33"/>
        <v>7682.919999999951</v>
      </c>
    </row>
    <row r="1065" spans="1:25" x14ac:dyDescent="0.3">
      <c r="A1065" s="1" t="s">
        <v>2278</v>
      </c>
      <c r="B1065">
        <v>3</v>
      </c>
      <c r="C1065">
        <v>34.99</v>
      </c>
      <c r="D1065">
        <v>83.42</v>
      </c>
      <c r="E1065" s="1" t="s">
        <v>1106</v>
      </c>
      <c r="F1065" s="1" t="s">
        <v>40</v>
      </c>
      <c r="G1065">
        <v>7</v>
      </c>
      <c r="H1065" s="1" t="s">
        <v>96</v>
      </c>
      <c r="I1065" s="1" t="s">
        <v>85</v>
      </c>
      <c r="J1065">
        <v>12.5</v>
      </c>
      <c r="K1065">
        <v>34.99</v>
      </c>
      <c r="L1065" s="1" t="s">
        <v>60</v>
      </c>
      <c r="M1065" s="1" t="s">
        <v>29</v>
      </c>
      <c r="N1065" s="1" t="s">
        <v>30</v>
      </c>
      <c r="O1065" s="1" t="s">
        <v>31</v>
      </c>
      <c r="P1065" s="2">
        <v>45778</v>
      </c>
      <c r="Q1065" s="1" t="s">
        <v>1083</v>
      </c>
      <c r="R1065" s="1" t="s">
        <v>1084</v>
      </c>
      <c r="S1065" s="1" t="s">
        <v>47</v>
      </c>
      <c r="T1065" s="1" t="s">
        <v>35</v>
      </c>
      <c r="U1065" s="1" t="s">
        <v>36</v>
      </c>
      <c r="V1065" s="1" t="s">
        <v>89</v>
      </c>
      <c r="W1065">
        <v>2.4</v>
      </c>
      <c r="X1065" s="1">
        <f t="shared" si="32"/>
        <v>7844.9099999999507</v>
      </c>
      <c r="Y1065" s="1">
        <f t="shared" si="33"/>
        <v>6355.4899999999634</v>
      </c>
    </row>
    <row r="1066" spans="1:25" x14ac:dyDescent="0.3">
      <c r="A1066" s="1" t="s">
        <v>2279</v>
      </c>
      <c r="B1066">
        <v>1</v>
      </c>
      <c r="C1066">
        <v>18.989999999999998</v>
      </c>
      <c r="D1066">
        <v>18.989999999999998</v>
      </c>
      <c r="E1066" s="1" t="s">
        <v>946</v>
      </c>
      <c r="F1066" s="1" t="s">
        <v>40</v>
      </c>
      <c r="G1066">
        <v>11</v>
      </c>
      <c r="H1066" s="1" t="s">
        <v>96</v>
      </c>
      <c r="I1066" s="1" t="s">
        <v>97</v>
      </c>
      <c r="J1066">
        <v>6</v>
      </c>
      <c r="K1066">
        <v>18.989999999999998</v>
      </c>
      <c r="L1066" s="1" t="s">
        <v>60</v>
      </c>
      <c r="M1066" s="1" t="s">
        <v>43</v>
      </c>
      <c r="N1066" s="1" t="s">
        <v>44</v>
      </c>
      <c r="O1066" s="1" t="s">
        <v>31</v>
      </c>
      <c r="P1066" s="2">
        <v>45823</v>
      </c>
      <c r="Q1066" s="1" t="s">
        <v>1376</v>
      </c>
      <c r="R1066" s="1" t="s">
        <v>1456</v>
      </c>
      <c r="S1066" s="1" t="s">
        <v>105</v>
      </c>
      <c r="T1066" s="1" t="s">
        <v>35</v>
      </c>
      <c r="U1066" s="1" t="s">
        <v>36</v>
      </c>
      <c r="V1066" s="1" t="s">
        <v>100</v>
      </c>
      <c r="W1066">
        <v>3.2</v>
      </c>
      <c r="X1066" s="1">
        <f t="shared" si="32"/>
        <v>7844.9099999999507</v>
      </c>
      <c r="Y1066" s="1">
        <f t="shared" si="33"/>
        <v>6355.4899999999634</v>
      </c>
    </row>
    <row r="1067" spans="1:25" x14ac:dyDescent="0.3">
      <c r="A1067" s="1" t="s">
        <v>2280</v>
      </c>
      <c r="B1067">
        <v>1</v>
      </c>
      <c r="C1067">
        <v>34.99</v>
      </c>
      <c r="D1067">
        <v>34.99</v>
      </c>
      <c r="E1067" s="1" t="s">
        <v>2133</v>
      </c>
      <c r="F1067" s="1" t="s">
        <v>188</v>
      </c>
      <c r="G1067">
        <v>0</v>
      </c>
      <c r="H1067" s="1" t="s">
        <v>58</v>
      </c>
      <c r="I1067" s="1" t="s">
        <v>85</v>
      </c>
      <c r="J1067">
        <v>12.5</v>
      </c>
      <c r="K1067">
        <v>34.99</v>
      </c>
      <c r="L1067" s="1" t="s">
        <v>60</v>
      </c>
      <c r="M1067" s="1" t="s">
        <v>29</v>
      </c>
      <c r="N1067" s="1" t="s">
        <v>30</v>
      </c>
      <c r="O1067" s="1" t="s">
        <v>31</v>
      </c>
      <c r="P1067" s="2">
        <v>45778</v>
      </c>
      <c r="Q1067" s="1" t="s">
        <v>979</v>
      </c>
      <c r="R1067" s="1" t="s">
        <v>1912</v>
      </c>
      <c r="S1067" s="1" t="s">
        <v>105</v>
      </c>
      <c r="T1067" s="1" t="s">
        <v>35</v>
      </c>
      <c r="U1067" s="1" t="s">
        <v>82</v>
      </c>
      <c r="V1067" s="1" t="s">
        <v>89</v>
      </c>
      <c r="W1067">
        <v>2.4</v>
      </c>
      <c r="X1067" s="1">
        <f t="shared" si="32"/>
        <v>8640.6199999999462</v>
      </c>
      <c r="Y1067" s="1">
        <f t="shared" si="33"/>
        <v>7204.2099999999582</v>
      </c>
    </row>
    <row r="1068" spans="1:25" x14ac:dyDescent="0.3">
      <c r="A1068" s="1" t="s">
        <v>2281</v>
      </c>
      <c r="B1068">
        <v>3</v>
      </c>
      <c r="C1068">
        <v>34.99</v>
      </c>
      <c r="D1068">
        <v>82.45</v>
      </c>
      <c r="E1068" s="1" t="s">
        <v>933</v>
      </c>
      <c r="F1068" s="1" t="s">
        <v>51</v>
      </c>
      <c r="G1068">
        <v>0</v>
      </c>
      <c r="H1068" s="1" t="s">
        <v>96</v>
      </c>
      <c r="I1068" s="1" t="s">
        <v>85</v>
      </c>
      <c r="J1068">
        <v>12.5</v>
      </c>
      <c r="K1068">
        <v>34.99</v>
      </c>
      <c r="L1068" s="1" t="s">
        <v>60</v>
      </c>
      <c r="M1068" s="1" t="s">
        <v>29</v>
      </c>
      <c r="N1068" s="1" t="s">
        <v>30</v>
      </c>
      <c r="O1068" s="1" t="s">
        <v>31</v>
      </c>
      <c r="P1068" s="2">
        <v>45778</v>
      </c>
      <c r="Q1068" s="1" t="s">
        <v>1325</v>
      </c>
      <c r="R1068" s="1" t="s">
        <v>1326</v>
      </c>
      <c r="S1068" s="1" t="s">
        <v>105</v>
      </c>
      <c r="T1068" s="1" t="s">
        <v>35</v>
      </c>
      <c r="U1068" s="1" t="s">
        <v>82</v>
      </c>
      <c r="V1068" s="1" t="s">
        <v>89</v>
      </c>
      <c r="W1068">
        <v>2.4</v>
      </c>
      <c r="X1068" s="1">
        <f t="shared" si="32"/>
        <v>7844.9099999999507</v>
      </c>
      <c r="Y1068" s="1">
        <f t="shared" si="33"/>
        <v>7204.2099999999582</v>
      </c>
    </row>
    <row r="1069" spans="1:25" x14ac:dyDescent="0.3">
      <c r="A1069" s="1" t="s">
        <v>2282</v>
      </c>
      <c r="B1069">
        <v>1</v>
      </c>
      <c r="C1069">
        <v>16.989999999999998</v>
      </c>
      <c r="D1069">
        <v>16.989999999999998</v>
      </c>
      <c r="E1069" s="1" t="s">
        <v>74</v>
      </c>
      <c r="F1069" s="1" t="s">
        <v>40</v>
      </c>
      <c r="G1069">
        <v>22</v>
      </c>
      <c r="H1069" s="1" t="s">
        <v>58</v>
      </c>
      <c r="I1069" s="1" t="s">
        <v>59</v>
      </c>
      <c r="J1069">
        <v>5</v>
      </c>
      <c r="K1069">
        <v>16.989999999999998</v>
      </c>
      <c r="L1069" s="1" t="s">
        <v>60</v>
      </c>
      <c r="M1069" s="1" t="s">
        <v>61</v>
      </c>
      <c r="N1069" s="1" t="s">
        <v>62</v>
      </c>
      <c r="O1069" s="1" t="s">
        <v>31</v>
      </c>
      <c r="P1069" s="2">
        <v>45726</v>
      </c>
      <c r="Q1069" s="1" t="s">
        <v>373</v>
      </c>
      <c r="R1069" s="1" t="s">
        <v>993</v>
      </c>
      <c r="S1069" s="1" t="s">
        <v>34</v>
      </c>
      <c r="T1069" s="1" t="s">
        <v>35</v>
      </c>
      <c r="U1069" s="1" t="s">
        <v>48</v>
      </c>
      <c r="V1069" s="1" t="s">
        <v>67</v>
      </c>
      <c r="W1069">
        <v>3</v>
      </c>
      <c r="X1069" s="1">
        <f t="shared" si="32"/>
        <v>8640.6199999999462</v>
      </c>
      <c r="Y1069" s="1">
        <f t="shared" si="33"/>
        <v>7682.919999999951</v>
      </c>
    </row>
    <row r="1070" spans="1:25" x14ac:dyDescent="0.3">
      <c r="A1070" s="1" t="s">
        <v>2283</v>
      </c>
      <c r="B1070">
        <v>2</v>
      </c>
      <c r="C1070">
        <v>18.989999999999998</v>
      </c>
      <c r="D1070">
        <v>32.89</v>
      </c>
      <c r="E1070" s="1" t="s">
        <v>338</v>
      </c>
      <c r="F1070" s="1" t="s">
        <v>40</v>
      </c>
      <c r="G1070">
        <v>13</v>
      </c>
      <c r="H1070" s="1" t="s">
        <v>58</v>
      </c>
      <c r="I1070" s="1" t="s">
        <v>97</v>
      </c>
      <c r="J1070">
        <v>6</v>
      </c>
      <c r="K1070">
        <v>18.989999999999998</v>
      </c>
      <c r="L1070" s="1" t="s">
        <v>60</v>
      </c>
      <c r="M1070" s="1" t="s">
        <v>43</v>
      </c>
      <c r="N1070" s="1" t="s">
        <v>44</v>
      </c>
      <c r="O1070" s="1" t="s">
        <v>31</v>
      </c>
      <c r="P1070" s="2">
        <v>45823</v>
      </c>
      <c r="Q1070" s="1" t="s">
        <v>1342</v>
      </c>
      <c r="R1070" s="1" t="s">
        <v>1731</v>
      </c>
      <c r="S1070" s="1" t="s">
        <v>34</v>
      </c>
      <c r="T1070" s="1" t="s">
        <v>35</v>
      </c>
      <c r="U1070" s="1" t="s">
        <v>48</v>
      </c>
      <c r="V1070" s="1" t="s">
        <v>100</v>
      </c>
      <c r="W1070">
        <v>3.2</v>
      </c>
      <c r="X1070" s="1">
        <f t="shared" si="32"/>
        <v>8640.6199999999462</v>
      </c>
      <c r="Y1070" s="1">
        <f t="shared" si="33"/>
        <v>7682.919999999951</v>
      </c>
    </row>
    <row r="1071" spans="1:25" x14ac:dyDescent="0.3">
      <c r="A1071" s="1" t="s">
        <v>2284</v>
      </c>
      <c r="B1071">
        <v>1</v>
      </c>
      <c r="C1071">
        <v>21.99</v>
      </c>
      <c r="D1071">
        <v>21.99</v>
      </c>
      <c r="E1071" s="1" t="s">
        <v>1652</v>
      </c>
      <c r="F1071" s="1" t="s">
        <v>70</v>
      </c>
      <c r="G1071">
        <v>0</v>
      </c>
      <c r="H1071" s="1" t="s">
        <v>26</v>
      </c>
      <c r="I1071" s="1" t="s">
        <v>27</v>
      </c>
      <c r="J1071">
        <v>7</v>
      </c>
      <c r="K1071">
        <v>21.99</v>
      </c>
      <c r="L1071" s="1" t="s">
        <v>28</v>
      </c>
      <c r="M1071" s="1" t="s">
        <v>29</v>
      </c>
      <c r="N1071" s="1" t="s">
        <v>30</v>
      </c>
      <c r="O1071" s="1" t="s">
        <v>31</v>
      </c>
      <c r="P1071" s="2">
        <v>45778</v>
      </c>
      <c r="Q1071" s="1" t="s">
        <v>219</v>
      </c>
      <c r="R1071" s="1" t="s">
        <v>2236</v>
      </c>
      <c r="S1071" s="1" t="s">
        <v>34</v>
      </c>
      <c r="T1071" s="1" t="s">
        <v>35</v>
      </c>
      <c r="U1071" s="1" t="s">
        <v>55</v>
      </c>
      <c r="V1071" s="1" t="s">
        <v>37</v>
      </c>
      <c r="W1071">
        <v>2</v>
      </c>
      <c r="X1071" s="1">
        <f t="shared" si="32"/>
        <v>8313.6899999999459</v>
      </c>
      <c r="Y1071" s="1">
        <f t="shared" si="33"/>
        <v>5710.7699999999695</v>
      </c>
    </row>
    <row r="1072" spans="1:25" x14ac:dyDescent="0.3">
      <c r="A1072" s="1" t="s">
        <v>2285</v>
      </c>
      <c r="B1072">
        <v>1</v>
      </c>
      <c r="C1072">
        <v>30.99</v>
      </c>
      <c r="D1072">
        <v>30.99</v>
      </c>
      <c r="E1072" s="1" t="s">
        <v>1285</v>
      </c>
      <c r="F1072" s="1" t="s">
        <v>40</v>
      </c>
      <c r="G1072">
        <v>3</v>
      </c>
      <c r="H1072" s="1" t="s">
        <v>26</v>
      </c>
      <c r="I1072" s="1" t="s">
        <v>42</v>
      </c>
      <c r="J1072">
        <v>10.5</v>
      </c>
      <c r="K1072">
        <v>30.99</v>
      </c>
      <c r="L1072" s="1" t="s">
        <v>28</v>
      </c>
      <c r="M1072" s="1" t="s">
        <v>43</v>
      </c>
      <c r="N1072" s="1" t="s">
        <v>44</v>
      </c>
      <c r="O1072" s="1" t="s">
        <v>31</v>
      </c>
      <c r="P1072" s="2">
        <v>45823</v>
      </c>
      <c r="Q1072" s="1" t="s">
        <v>1398</v>
      </c>
      <c r="R1072" s="1" t="s">
        <v>1399</v>
      </c>
      <c r="S1072" s="1" t="s">
        <v>54</v>
      </c>
      <c r="T1072" s="1" t="s">
        <v>35</v>
      </c>
      <c r="U1072" s="1" t="s">
        <v>48</v>
      </c>
      <c r="V1072" s="1" t="s">
        <v>37</v>
      </c>
      <c r="W1072">
        <v>2</v>
      </c>
      <c r="X1072" s="1">
        <f t="shared" si="32"/>
        <v>8313.6899999999459</v>
      </c>
      <c r="Y1072" s="1">
        <f t="shared" si="33"/>
        <v>7682.919999999951</v>
      </c>
    </row>
    <row r="1073" spans="1:25" x14ac:dyDescent="0.3">
      <c r="A1073" s="1" t="s">
        <v>2286</v>
      </c>
      <c r="B1073">
        <v>2</v>
      </c>
      <c r="C1073">
        <v>16.989999999999998</v>
      </c>
      <c r="D1073">
        <v>29.44</v>
      </c>
      <c r="E1073" s="1" t="s">
        <v>2124</v>
      </c>
      <c r="F1073" s="1" t="s">
        <v>188</v>
      </c>
      <c r="G1073">
        <v>0</v>
      </c>
      <c r="H1073" s="1" t="s">
        <v>41</v>
      </c>
      <c r="I1073" s="1" t="s">
        <v>59</v>
      </c>
      <c r="J1073">
        <v>5</v>
      </c>
      <c r="K1073">
        <v>16.989999999999998</v>
      </c>
      <c r="L1073" s="1" t="s">
        <v>60</v>
      </c>
      <c r="M1073" s="1" t="s">
        <v>61</v>
      </c>
      <c r="N1073" s="1" t="s">
        <v>62</v>
      </c>
      <c r="O1073" s="1" t="s">
        <v>31</v>
      </c>
      <c r="P1073" s="2">
        <v>45726</v>
      </c>
      <c r="Q1073" s="1" t="s">
        <v>1157</v>
      </c>
      <c r="R1073" s="1" t="s">
        <v>2022</v>
      </c>
      <c r="S1073" s="1" t="s">
        <v>34</v>
      </c>
      <c r="T1073" s="1" t="s">
        <v>35</v>
      </c>
      <c r="U1073" s="1" t="s">
        <v>82</v>
      </c>
      <c r="V1073" s="1" t="s">
        <v>67</v>
      </c>
      <c r="W1073">
        <v>3</v>
      </c>
      <c r="X1073" s="1">
        <f t="shared" si="32"/>
        <v>8551.6499999999451</v>
      </c>
      <c r="Y1073" s="1">
        <f t="shared" si="33"/>
        <v>7204.2099999999582</v>
      </c>
    </row>
    <row r="1074" spans="1:25" x14ac:dyDescent="0.3">
      <c r="A1074" s="1" t="s">
        <v>2287</v>
      </c>
      <c r="B1074">
        <v>1</v>
      </c>
      <c r="C1074">
        <v>34.99</v>
      </c>
      <c r="D1074">
        <v>34.99</v>
      </c>
      <c r="E1074" s="1" t="s">
        <v>723</v>
      </c>
      <c r="F1074" s="1" t="s">
        <v>40</v>
      </c>
      <c r="G1074">
        <v>5</v>
      </c>
      <c r="H1074" s="1" t="s">
        <v>58</v>
      </c>
      <c r="I1074" s="1" t="s">
        <v>85</v>
      </c>
      <c r="J1074">
        <v>12.5</v>
      </c>
      <c r="K1074">
        <v>34.99</v>
      </c>
      <c r="L1074" s="1" t="s">
        <v>60</v>
      </c>
      <c r="M1074" s="1" t="s">
        <v>29</v>
      </c>
      <c r="N1074" s="1" t="s">
        <v>30</v>
      </c>
      <c r="O1074" s="1" t="s">
        <v>31</v>
      </c>
      <c r="P1074" s="2">
        <v>45778</v>
      </c>
      <c r="Q1074" s="1" t="s">
        <v>1286</v>
      </c>
      <c r="R1074" s="1" t="s">
        <v>1861</v>
      </c>
      <c r="S1074" s="1" t="s">
        <v>88</v>
      </c>
      <c r="T1074" s="1" t="s">
        <v>35</v>
      </c>
      <c r="U1074" s="1" t="s">
        <v>48</v>
      </c>
      <c r="V1074" s="1" t="s">
        <v>89</v>
      </c>
      <c r="W1074">
        <v>2.4</v>
      </c>
      <c r="X1074" s="1">
        <f t="shared" si="32"/>
        <v>8640.6199999999462</v>
      </c>
      <c r="Y1074" s="1">
        <f t="shared" si="33"/>
        <v>7682.919999999951</v>
      </c>
    </row>
    <row r="1075" spans="1:25" x14ac:dyDescent="0.3">
      <c r="A1075" s="1" t="s">
        <v>2288</v>
      </c>
      <c r="B1075">
        <v>1</v>
      </c>
      <c r="C1075">
        <v>34.99</v>
      </c>
      <c r="D1075">
        <v>34.99</v>
      </c>
      <c r="E1075" s="1" t="s">
        <v>50</v>
      </c>
      <c r="F1075" s="1" t="s">
        <v>40</v>
      </c>
      <c r="G1075">
        <v>8</v>
      </c>
      <c r="H1075" s="1" t="s">
        <v>58</v>
      </c>
      <c r="I1075" s="1" t="s">
        <v>85</v>
      </c>
      <c r="J1075">
        <v>12.5</v>
      </c>
      <c r="K1075">
        <v>34.99</v>
      </c>
      <c r="L1075" s="1" t="s">
        <v>60</v>
      </c>
      <c r="M1075" s="1" t="s">
        <v>29</v>
      </c>
      <c r="N1075" s="1" t="s">
        <v>30</v>
      </c>
      <c r="O1075" s="1" t="s">
        <v>31</v>
      </c>
      <c r="P1075" s="2">
        <v>45778</v>
      </c>
      <c r="Q1075" s="1" t="s">
        <v>779</v>
      </c>
      <c r="R1075" s="1" t="s">
        <v>2289</v>
      </c>
      <c r="S1075" s="1" t="s">
        <v>65</v>
      </c>
      <c r="T1075" s="1" t="s">
        <v>35</v>
      </c>
      <c r="U1075" s="1" t="s">
        <v>55</v>
      </c>
      <c r="V1075" s="1" t="s">
        <v>89</v>
      </c>
      <c r="W1075">
        <v>2.4</v>
      </c>
      <c r="X1075" s="1">
        <f t="shared" si="32"/>
        <v>8640.6199999999462</v>
      </c>
      <c r="Y1075" s="1">
        <f t="shared" si="33"/>
        <v>5710.7699999999695</v>
      </c>
    </row>
    <row r="1076" spans="1:25" x14ac:dyDescent="0.3">
      <c r="A1076" s="1" t="s">
        <v>2290</v>
      </c>
      <c r="B1076">
        <v>2</v>
      </c>
      <c r="C1076">
        <v>18.989999999999998</v>
      </c>
      <c r="D1076">
        <v>32.97</v>
      </c>
      <c r="E1076" s="1" t="s">
        <v>753</v>
      </c>
      <c r="F1076" s="1" t="s">
        <v>51</v>
      </c>
      <c r="G1076">
        <v>0</v>
      </c>
      <c r="H1076" s="1" t="s">
        <v>41</v>
      </c>
      <c r="I1076" s="1" t="s">
        <v>97</v>
      </c>
      <c r="J1076">
        <v>6</v>
      </c>
      <c r="K1076">
        <v>18.989999999999998</v>
      </c>
      <c r="L1076" s="1" t="s">
        <v>60</v>
      </c>
      <c r="M1076" s="1" t="s">
        <v>43</v>
      </c>
      <c r="N1076" s="1" t="s">
        <v>44</v>
      </c>
      <c r="O1076" s="1" t="s">
        <v>31</v>
      </c>
      <c r="P1076" s="2">
        <v>45823</v>
      </c>
      <c r="Q1076" s="1" t="s">
        <v>376</v>
      </c>
      <c r="R1076" s="1" t="s">
        <v>808</v>
      </c>
      <c r="S1076" s="1" t="s">
        <v>34</v>
      </c>
      <c r="T1076" s="1" t="s">
        <v>35</v>
      </c>
      <c r="U1076" s="1" t="s">
        <v>48</v>
      </c>
      <c r="V1076" s="1" t="s">
        <v>100</v>
      </c>
      <c r="W1076">
        <v>3.2</v>
      </c>
      <c r="X1076" s="1">
        <f t="shared" si="32"/>
        <v>8551.6499999999451</v>
      </c>
      <c r="Y1076" s="1">
        <f t="shared" si="33"/>
        <v>7682.919999999951</v>
      </c>
    </row>
    <row r="1077" spans="1:25" x14ac:dyDescent="0.3">
      <c r="A1077" s="1" t="s">
        <v>2291</v>
      </c>
      <c r="B1077">
        <v>1</v>
      </c>
      <c r="C1077">
        <v>27.99</v>
      </c>
      <c r="D1077">
        <v>27.99</v>
      </c>
      <c r="E1077" s="1" t="s">
        <v>1198</v>
      </c>
      <c r="F1077" s="1" t="s">
        <v>70</v>
      </c>
      <c r="G1077">
        <v>0</v>
      </c>
      <c r="H1077" s="1" t="s">
        <v>26</v>
      </c>
      <c r="I1077" s="1" t="s">
        <v>75</v>
      </c>
      <c r="J1077">
        <v>9</v>
      </c>
      <c r="K1077">
        <v>27.99</v>
      </c>
      <c r="L1077" s="1" t="s">
        <v>28</v>
      </c>
      <c r="M1077" s="1" t="s">
        <v>61</v>
      </c>
      <c r="N1077" s="1" t="s">
        <v>62</v>
      </c>
      <c r="O1077" s="1" t="s">
        <v>31</v>
      </c>
      <c r="P1077" s="2">
        <v>45726</v>
      </c>
      <c r="Q1077" s="1" t="s">
        <v>1487</v>
      </c>
      <c r="R1077" s="1" t="s">
        <v>1488</v>
      </c>
      <c r="S1077" s="1" t="s">
        <v>34</v>
      </c>
      <c r="T1077" s="1" t="s">
        <v>35</v>
      </c>
      <c r="U1077" s="1" t="s">
        <v>48</v>
      </c>
      <c r="V1077" s="1" t="s">
        <v>37</v>
      </c>
      <c r="W1077">
        <v>2</v>
      </c>
      <c r="X1077" s="1">
        <f t="shared" si="32"/>
        <v>8313.6899999999459</v>
      </c>
      <c r="Y1077" s="1">
        <f t="shared" si="33"/>
        <v>7682.919999999951</v>
      </c>
    </row>
    <row r="1078" spans="1:25" x14ac:dyDescent="0.3">
      <c r="A1078" s="1" t="s">
        <v>2292</v>
      </c>
      <c r="B1078">
        <v>1</v>
      </c>
      <c r="C1078">
        <v>16.989999999999998</v>
      </c>
      <c r="D1078">
        <v>16.989999999999998</v>
      </c>
      <c r="E1078" s="1" t="s">
        <v>325</v>
      </c>
      <c r="F1078" s="1" t="s">
        <v>188</v>
      </c>
      <c r="G1078">
        <v>0</v>
      </c>
      <c r="H1078" s="1" t="s">
        <v>96</v>
      </c>
      <c r="I1078" s="1" t="s">
        <v>59</v>
      </c>
      <c r="J1078">
        <v>5</v>
      </c>
      <c r="K1078">
        <v>16.989999999999998</v>
      </c>
      <c r="L1078" s="1" t="s">
        <v>60</v>
      </c>
      <c r="M1078" s="1" t="s">
        <v>61</v>
      </c>
      <c r="N1078" s="1" t="s">
        <v>62</v>
      </c>
      <c r="O1078" s="1" t="s">
        <v>31</v>
      </c>
      <c r="P1078" s="2">
        <v>45726</v>
      </c>
      <c r="Q1078" s="1" t="s">
        <v>1140</v>
      </c>
      <c r="R1078" s="1" t="s">
        <v>1799</v>
      </c>
      <c r="S1078" s="1" t="s">
        <v>65</v>
      </c>
      <c r="T1078" s="1" t="s">
        <v>35</v>
      </c>
      <c r="U1078" s="1" t="s">
        <v>48</v>
      </c>
      <c r="V1078" s="1" t="s">
        <v>67</v>
      </c>
      <c r="W1078">
        <v>3</v>
      </c>
      <c r="X1078" s="1">
        <f t="shared" si="32"/>
        <v>7844.9099999999507</v>
      </c>
      <c r="Y1078" s="1">
        <f t="shared" si="33"/>
        <v>7682.919999999951</v>
      </c>
    </row>
    <row r="1079" spans="1:25" x14ac:dyDescent="0.3">
      <c r="A1079" s="1" t="s">
        <v>2293</v>
      </c>
      <c r="B1079">
        <v>1</v>
      </c>
      <c r="C1079">
        <v>34.99</v>
      </c>
      <c r="D1079">
        <v>34.99</v>
      </c>
      <c r="E1079" s="1" t="s">
        <v>2169</v>
      </c>
      <c r="F1079" s="1" t="s">
        <v>40</v>
      </c>
      <c r="G1079">
        <v>7</v>
      </c>
      <c r="H1079" s="1" t="s">
        <v>26</v>
      </c>
      <c r="I1079" s="1" t="s">
        <v>85</v>
      </c>
      <c r="J1079">
        <v>12.5</v>
      </c>
      <c r="K1079">
        <v>34.99</v>
      </c>
      <c r="L1079" s="1" t="s">
        <v>60</v>
      </c>
      <c r="M1079" s="1" t="s">
        <v>29</v>
      </c>
      <c r="N1079" s="1" t="s">
        <v>30</v>
      </c>
      <c r="O1079" s="1" t="s">
        <v>31</v>
      </c>
      <c r="P1079" s="2">
        <v>45778</v>
      </c>
      <c r="Q1079" s="1" t="s">
        <v>1549</v>
      </c>
      <c r="R1079" s="1" t="s">
        <v>1550</v>
      </c>
      <c r="S1079" s="1" t="s">
        <v>34</v>
      </c>
      <c r="T1079" s="1" t="s">
        <v>35</v>
      </c>
      <c r="U1079" s="1" t="s">
        <v>48</v>
      </c>
      <c r="V1079" s="1" t="s">
        <v>89</v>
      </c>
      <c r="W1079">
        <v>2.4</v>
      </c>
      <c r="X1079" s="1">
        <f t="shared" si="32"/>
        <v>8313.6899999999459</v>
      </c>
      <c r="Y1079" s="1">
        <f t="shared" si="33"/>
        <v>7682.919999999951</v>
      </c>
    </row>
    <row r="1080" spans="1:25" x14ac:dyDescent="0.3">
      <c r="A1080" s="1" t="s">
        <v>2294</v>
      </c>
      <c r="B1080">
        <v>1</v>
      </c>
      <c r="C1080">
        <v>30.99</v>
      </c>
      <c r="D1080">
        <v>30.99</v>
      </c>
      <c r="E1080" s="1" t="s">
        <v>1289</v>
      </c>
      <c r="F1080" s="1" t="s">
        <v>51</v>
      </c>
      <c r="G1080">
        <v>0</v>
      </c>
      <c r="H1080" s="1" t="s">
        <v>58</v>
      </c>
      <c r="I1080" s="1" t="s">
        <v>42</v>
      </c>
      <c r="J1080">
        <v>10.5</v>
      </c>
      <c r="K1080">
        <v>30.99</v>
      </c>
      <c r="L1080" s="1" t="s">
        <v>28</v>
      </c>
      <c r="M1080" s="1" t="s">
        <v>43</v>
      </c>
      <c r="N1080" s="1" t="s">
        <v>44</v>
      </c>
      <c r="O1080" s="1" t="s">
        <v>31</v>
      </c>
      <c r="P1080" s="2">
        <v>45823</v>
      </c>
      <c r="Q1080" s="1" t="s">
        <v>1753</v>
      </c>
      <c r="R1080" s="1" t="s">
        <v>1754</v>
      </c>
      <c r="S1080" s="1" t="s">
        <v>54</v>
      </c>
      <c r="T1080" s="1" t="s">
        <v>35</v>
      </c>
      <c r="U1080" s="1" t="s">
        <v>66</v>
      </c>
      <c r="V1080" s="1" t="s">
        <v>37</v>
      </c>
      <c r="W1080">
        <v>2</v>
      </c>
      <c r="X1080" s="1">
        <f t="shared" si="32"/>
        <v>8640.6199999999462</v>
      </c>
      <c r="Y1080" s="1">
        <f t="shared" si="33"/>
        <v>6397.4799999999632</v>
      </c>
    </row>
    <row r="1081" spans="1:25" x14ac:dyDescent="0.3">
      <c r="A1081" s="1" t="s">
        <v>2295</v>
      </c>
      <c r="B1081">
        <v>2</v>
      </c>
      <c r="C1081">
        <v>27.99</v>
      </c>
      <c r="D1081">
        <v>48.34</v>
      </c>
      <c r="E1081" s="1" t="s">
        <v>1455</v>
      </c>
      <c r="F1081" s="1" t="s">
        <v>188</v>
      </c>
      <c r="G1081">
        <v>0</v>
      </c>
      <c r="H1081" s="1" t="s">
        <v>41</v>
      </c>
      <c r="I1081" s="1" t="s">
        <v>75</v>
      </c>
      <c r="J1081">
        <v>9</v>
      </c>
      <c r="K1081">
        <v>27.99</v>
      </c>
      <c r="L1081" s="1" t="s">
        <v>28</v>
      </c>
      <c r="M1081" s="1" t="s">
        <v>61</v>
      </c>
      <c r="N1081" s="1" t="s">
        <v>62</v>
      </c>
      <c r="O1081" s="1" t="s">
        <v>31</v>
      </c>
      <c r="P1081" s="2">
        <v>45726</v>
      </c>
      <c r="Q1081" s="1" t="s">
        <v>2296</v>
      </c>
      <c r="R1081" s="1" t="s">
        <v>2297</v>
      </c>
      <c r="S1081" s="1" t="s">
        <v>34</v>
      </c>
      <c r="T1081" s="1" t="s">
        <v>35</v>
      </c>
      <c r="U1081" s="1" t="s">
        <v>48</v>
      </c>
      <c r="V1081" s="1" t="s">
        <v>37</v>
      </c>
      <c r="W1081">
        <v>2</v>
      </c>
      <c r="X1081" s="1">
        <f t="shared" si="32"/>
        <v>8551.6499999999451</v>
      </c>
      <c r="Y1081" s="1">
        <f t="shared" si="33"/>
        <v>7682.919999999951</v>
      </c>
    </row>
    <row r="1082" spans="1:25" x14ac:dyDescent="0.3">
      <c r="A1082" s="1" t="s">
        <v>2298</v>
      </c>
      <c r="B1082">
        <v>1</v>
      </c>
      <c r="C1082">
        <v>30.99</v>
      </c>
      <c r="D1082">
        <v>30.99</v>
      </c>
      <c r="E1082" s="1" t="s">
        <v>1895</v>
      </c>
      <c r="F1082" s="1" t="s">
        <v>40</v>
      </c>
      <c r="G1082">
        <v>2</v>
      </c>
      <c r="H1082" s="1" t="s">
        <v>41</v>
      </c>
      <c r="I1082" s="1" t="s">
        <v>42</v>
      </c>
      <c r="J1082">
        <v>10.5</v>
      </c>
      <c r="K1082">
        <v>30.99</v>
      </c>
      <c r="L1082" s="1" t="s">
        <v>28</v>
      </c>
      <c r="M1082" s="1" t="s">
        <v>43</v>
      </c>
      <c r="N1082" s="1" t="s">
        <v>44</v>
      </c>
      <c r="O1082" s="1" t="s">
        <v>31</v>
      </c>
      <c r="P1082" s="2">
        <v>45823</v>
      </c>
      <c r="Q1082" s="1" t="s">
        <v>1408</v>
      </c>
      <c r="R1082" s="1" t="s">
        <v>2299</v>
      </c>
      <c r="S1082" s="1" t="s">
        <v>47</v>
      </c>
      <c r="T1082" s="1" t="s">
        <v>35</v>
      </c>
      <c r="U1082" s="1" t="s">
        <v>55</v>
      </c>
      <c r="V1082" s="1" t="s">
        <v>37</v>
      </c>
      <c r="W1082">
        <v>2</v>
      </c>
      <c r="X1082" s="1">
        <f t="shared" si="32"/>
        <v>8551.6499999999451</v>
      </c>
      <c r="Y1082" s="1">
        <f t="shared" si="33"/>
        <v>5710.7699999999695</v>
      </c>
    </row>
    <row r="1083" spans="1:25" x14ac:dyDescent="0.3">
      <c r="A1083" s="1" t="s">
        <v>2300</v>
      </c>
      <c r="B1083">
        <v>1</v>
      </c>
      <c r="C1083">
        <v>34.99</v>
      </c>
      <c r="D1083">
        <v>34.99</v>
      </c>
      <c r="E1083" s="1" t="s">
        <v>759</v>
      </c>
      <c r="F1083" s="1" t="s">
        <v>188</v>
      </c>
      <c r="G1083">
        <v>0</v>
      </c>
      <c r="H1083" s="1" t="s">
        <v>41</v>
      </c>
      <c r="I1083" s="1" t="s">
        <v>85</v>
      </c>
      <c r="J1083">
        <v>12.5</v>
      </c>
      <c r="K1083">
        <v>34.99</v>
      </c>
      <c r="L1083" s="1" t="s">
        <v>60</v>
      </c>
      <c r="M1083" s="1" t="s">
        <v>29</v>
      </c>
      <c r="N1083" s="1" t="s">
        <v>30</v>
      </c>
      <c r="O1083" s="1" t="s">
        <v>31</v>
      </c>
      <c r="P1083" s="2">
        <v>45778</v>
      </c>
      <c r="Q1083" s="1" t="s">
        <v>2301</v>
      </c>
      <c r="R1083" s="1" t="s">
        <v>2302</v>
      </c>
      <c r="S1083" s="1" t="s">
        <v>54</v>
      </c>
      <c r="T1083" s="1" t="s">
        <v>35</v>
      </c>
      <c r="U1083" s="1" t="s">
        <v>36</v>
      </c>
      <c r="V1083" s="1" t="s">
        <v>89</v>
      </c>
      <c r="W1083">
        <v>2.4</v>
      </c>
      <c r="X1083" s="1">
        <f t="shared" si="32"/>
        <v>8551.6499999999451</v>
      </c>
      <c r="Y1083" s="1">
        <f t="shared" si="33"/>
        <v>6355.4899999999634</v>
      </c>
    </row>
    <row r="1084" spans="1:25" x14ac:dyDescent="0.3">
      <c r="A1084" s="1" t="s">
        <v>2303</v>
      </c>
      <c r="B1084">
        <v>1</v>
      </c>
      <c r="C1084">
        <v>18.989999999999998</v>
      </c>
      <c r="D1084">
        <v>18.989999999999998</v>
      </c>
      <c r="E1084" s="1" t="s">
        <v>69</v>
      </c>
      <c r="F1084" s="1" t="s">
        <v>40</v>
      </c>
      <c r="G1084">
        <v>11</v>
      </c>
      <c r="H1084" s="1" t="s">
        <v>96</v>
      </c>
      <c r="I1084" s="1" t="s">
        <v>97</v>
      </c>
      <c r="J1084">
        <v>6</v>
      </c>
      <c r="K1084">
        <v>18.989999999999998</v>
      </c>
      <c r="L1084" s="1" t="s">
        <v>60</v>
      </c>
      <c r="M1084" s="1" t="s">
        <v>43</v>
      </c>
      <c r="N1084" s="1" t="s">
        <v>44</v>
      </c>
      <c r="O1084" s="1" t="s">
        <v>31</v>
      </c>
      <c r="P1084" s="2">
        <v>45823</v>
      </c>
      <c r="Q1084" s="1" t="s">
        <v>2042</v>
      </c>
      <c r="R1084" s="1" t="s">
        <v>2043</v>
      </c>
      <c r="S1084" s="1" t="s">
        <v>65</v>
      </c>
      <c r="T1084" s="1" t="s">
        <v>35</v>
      </c>
      <c r="U1084" s="1" t="s">
        <v>36</v>
      </c>
      <c r="V1084" s="1" t="s">
        <v>100</v>
      </c>
      <c r="W1084">
        <v>3.2</v>
      </c>
      <c r="X1084" s="1">
        <f t="shared" si="32"/>
        <v>7844.9099999999507</v>
      </c>
      <c r="Y1084" s="1">
        <f t="shared" si="33"/>
        <v>6355.4899999999634</v>
      </c>
    </row>
    <row r="1085" spans="1:25" x14ac:dyDescent="0.3">
      <c r="A1085" s="1" t="s">
        <v>2304</v>
      </c>
      <c r="B1085">
        <v>1</v>
      </c>
      <c r="C1085">
        <v>34.99</v>
      </c>
      <c r="D1085">
        <v>34.99</v>
      </c>
      <c r="E1085" s="1" t="s">
        <v>862</v>
      </c>
      <c r="F1085" s="1" t="s">
        <v>40</v>
      </c>
      <c r="G1085">
        <v>7</v>
      </c>
      <c r="H1085" s="1" t="s">
        <v>58</v>
      </c>
      <c r="I1085" s="1" t="s">
        <v>85</v>
      </c>
      <c r="J1085">
        <v>12.5</v>
      </c>
      <c r="K1085">
        <v>34.99</v>
      </c>
      <c r="L1085" s="1" t="s">
        <v>60</v>
      </c>
      <c r="M1085" s="1" t="s">
        <v>29</v>
      </c>
      <c r="N1085" s="1" t="s">
        <v>30</v>
      </c>
      <c r="O1085" s="1" t="s">
        <v>31</v>
      </c>
      <c r="P1085" s="2">
        <v>45778</v>
      </c>
      <c r="Q1085" s="1" t="s">
        <v>1075</v>
      </c>
      <c r="R1085" s="1" t="s">
        <v>1076</v>
      </c>
      <c r="S1085" s="1" t="s">
        <v>65</v>
      </c>
      <c r="T1085" s="1" t="s">
        <v>35</v>
      </c>
      <c r="U1085" s="1" t="s">
        <v>55</v>
      </c>
      <c r="V1085" s="1" t="s">
        <v>89</v>
      </c>
      <c r="W1085">
        <v>2.4</v>
      </c>
      <c r="X1085" s="1">
        <f t="shared" si="32"/>
        <v>8640.6199999999462</v>
      </c>
      <c r="Y1085" s="1">
        <f t="shared" si="33"/>
        <v>5710.7699999999695</v>
      </c>
    </row>
    <row r="1086" spans="1:25" x14ac:dyDescent="0.3">
      <c r="A1086" s="1" t="s">
        <v>2305</v>
      </c>
      <c r="B1086">
        <v>1</v>
      </c>
      <c r="C1086">
        <v>30.99</v>
      </c>
      <c r="D1086">
        <v>30.99</v>
      </c>
      <c r="E1086" s="1" t="s">
        <v>989</v>
      </c>
      <c r="F1086" s="1" t="s">
        <v>51</v>
      </c>
      <c r="G1086">
        <v>0</v>
      </c>
      <c r="H1086" s="1" t="s">
        <v>41</v>
      </c>
      <c r="I1086" s="1" t="s">
        <v>42</v>
      </c>
      <c r="J1086">
        <v>10.5</v>
      </c>
      <c r="K1086">
        <v>30.99</v>
      </c>
      <c r="L1086" s="1" t="s">
        <v>28</v>
      </c>
      <c r="M1086" s="1" t="s">
        <v>43</v>
      </c>
      <c r="N1086" s="1" t="s">
        <v>44</v>
      </c>
      <c r="O1086" s="1" t="s">
        <v>31</v>
      </c>
      <c r="P1086" s="2">
        <v>45823</v>
      </c>
      <c r="Q1086" s="1" t="s">
        <v>873</v>
      </c>
      <c r="R1086" s="1" t="s">
        <v>1208</v>
      </c>
      <c r="S1086" s="1" t="s">
        <v>54</v>
      </c>
      <c r="T1086" s="1" t="s">
        <v>35</v>
      </c>
      <c r="U1086" s="1" t="s">
        <v>82</v>
      </c>
      <c r="V1086" s="1" t="s">
        <v>37</v>
      </c>
      <c r="W1086">
        <v>2</v>
      </c>
      <c r="X1086" s="1">
        <f t="shared" si="32"/>
        <v>8551.6499999999451</v>
      </c>
      <c r="Y1086" s="1">
        <f t="shared" si="33"/>
        <v>7204.2099999999582</v>
      </c>
    </row>
    <row r="1087" spans="1:25" x14ac:dyDescent="0.3">
      <c r="A1087" s="1" t="s">
        <v>2306</v>
      </c>
      <c r="B1087">
        <v>2</v>
      </c>
      <c r="C1087">
        <v>21.99</v>
      </c>
      <c r="D1087">
        <v>38.229999999999997</v>
      </c>
      <c r="E1087" s="1" t="s">
        <v>727</v>
      </c>
      <c r="F1087" s="1" t="s">
        <v>70</v>
      </c>
      <c r="G1087">
        <v>0</v>
      </c>
      <c r="H1087" s="1" t="s">
        <v>26</v>
      </c>
      <c r="I1087" s="1" t="s">
        <v>27</v>
      </c>
      <c r="J1087">
        <v>7</v>
      </c>
      <c r="K1087">
        <v>21.99</v>
      </c>
      <c r="L1087" s="1" t="s">
        <v>28</v>
      </c>
      <c r="M1087" s="1" t="s">
        <v>29</v>
      </c>
      <c r="N1087" s="1" t="s">
        <v>30</v>
      </c>
      <c r="O1087" s="1" t="s">
        <v>31</v>
      </c>
      <c r="P1087" s="2">
        <v>45778</v>
      </c>
      <c r="Q1087" s="1" t="s">
        <v>2301</v>
      </c>
      <c r="R1087" s="1" t="s">
        <v>2302</v>
      </c>
      <c r="S1087" s="1" t="s">
        <v>54</v>
      </c>
      <c r="T1087" s="1" t="s">
        <v>35</v>
      </c>
      <c r="U1087" s="1" t="s">
        <v>36</v>
      </c>
      <c r="V1087" s="1" t="s">
        <v>37</v>
      </c>
      <c r="W1087">
        <v>2</v>
      </c>
      <c r="X1087" s="1">
        <f t="shared" si="32"/>
        <v>8313.6899999999459</v>
      </c>
      <c r="Y1087" s="1">
        <f t="shared" si="33"/>
        <v>6355.4899999999634</v>
      </c>
    </row>
    <row r="1088" spans="1:25" x14ac:dyDescent="0.3">
      <c r="A1088" s="1" t="s">
        <v>2307</v>
      </c>
      <c r="B1088">
        <v>1</v>
      </c>
      <c r="C1088">
        <v>16.989999999999998</v>
      </c>
      <c r="D1088">
        <v>16.989999999999998</v>
      </c>
      <c r="E1088" s="1" t="s">
        <v>2308</v>
      </c>
      <c r="F1088" s="1" t="s">
        <v>40</v>
      </c>
      <c r="G1088">
        <v>16</v>
      </c>
      <c r="H1088" s="1" t="s">
        <v>58</v>
      </c>
      <c r="I1088" s="1" t="s">
        <v>59</v>
      </c>
      <c r="J1088">
        <v>5</v>
      </c>
      <c r="K1088">
        <v>16.989999999999998</v>
      </c>
      <c r="L1088" s="1" t="s">
        <v>60</v>
      </c>
      <c r="M1088" s="1" t="s">
        <v>61</v>
      </c>
      <c r="N1088" s="1" t="s">
        <v>62</v>
      </c>
      <c r="O1088" s="1" t="s">
        <v>31</v>
      </c>
      <c r="P1088" s="2">
        <v>45726</v>
      </c>
      <c r="Q1088" s="1" t="s">
        <v>1356</v>
      </c>
      <c r="R1088" s="1" t="s">
        <v>1357</v>
      </c>
      <c r="S1088" s="1" t="s">
        <v>34</v>
      </c>
      <c r="T1088" s="1" t="s">
        <v>35</v>
      </c>
      <c r="U1088" s="1" t="s">
        <v>55</v>
      </c>
      <c r="V1088" s="1" t="s">
        <v>67</v>
      </c>
      <c r="W1088">
        <v>3</v>
      </c>
      <c r="X1088" s="1">
        <f t="shared" si="32"/>
        <v>8640.6199999999462</v>
      </c>
      <c r="Y1088" s="1">
        <f t="shared" si="33"/>
        <v>5710.7699999999695</v>
      </c>
    </row>
    <row r="1089" spans="1:25" x14ac:dyDescent="0.3">
      <c r="A1089" s="1" t="s">
        <v>2309</v>
      </c>
      <c r="B1089">
        <v>1</v>
      </c>
      <c r="C1089">
        <v>30.99</v>
      </c>
      <c r="D1089">
        <v>30.99</v>
      </c>
      <c r="E1089" s="1" t="s">
        <v>807</v>
      </c>
      <c r="F1089" s="1" t="s">
        <v>51</v>
      </c>
      <c r="G1089">
        <v>0</v>
      </c>
      <c r="H1089" s="1" t="s">
        <v>26</v>
      </c>
      <c r="I1089" s="1" t="s">
        <v>42</v>
      </c>
      <c r="J1089">
        <v>10.5</v>
      </c>
      <c r="K1089">
        <v>30.99</v>
      </c>
      <c r="L1089" s="1" t="s">
        <v>28</v>
      </c>
      <c r="M1089" s="1" t="s">
        <v>43</v>
      </c>
      <c r="N1089" s="1" t="s">
        <v>44</v>
      </c>
      <c r="O1089" s="1" t="s">
        <v>31</v>
      </c>
      <c r="P1089" s="2">
        <v>45823</v>
      </c>
      <c r="Q1089" s="1" t="s">
        <v>1116</v>
      </c>
      <c r="R1089" s="1" t="s">
        <v>1117</v>
      </c>
      <c r="S1089" s="1" t="s">
        <v>88</v>
      </c>
      <c r="T1089" s="1" t="s">
        <v>35</v>
      </c>
      <c r="U1089" s="1" t="s">
        <v>55</v>
      </c>
      <c r="V1089" s="1" t="s">
        <v>37</v>
      </c>
      <c r="W1089">
        <v>2</v>
      </c>
      <c r="X1089" s="1">
        <f t="shared" si="32"/>
        <v>8313.6899999999459</v>
      </c>
      <c r="Y1089" s="1">
        <f t="shared" si="33"/>
        <v>5710.7699999999695</v>
      </c>
    </row>
    <row r="1090" spans="1:25" x14ac:dyDescent="0.3">
      <c r="A1090" s="1" t="s">
        <v>2310</v>
      </c>
      <c r="B1090">
        <v>3</v>
      </c>
      <c r="C1090">
        <v>16.989999999999998</v>
      </c>
      <c r="D1090">
        <v>41.23</v>
      </c>
      <c r="E1090" s="1" t="s">
        <v>1461</v>
      </c>
      <c r="F1090" s="1" t="s">
        <v>25</v>
      </c>
      <c r="G1090">
        <v>15</v>
      </c>
      <c r="H1090" s="1" t="s">
        <v>41</v>
      </c>
      <c r="I1090" s="1" t="s">
        <v>59</v>
      </c>
      <c r="J1090">
        <v>5</v>
      </c>
      <c r="K1090">
        <v>16.989999999999998</v>
      </c>
      <c r="L1090" s="1" t="s">
        <v>60</v>
      </c>
      <c r="M1090" s="1" t="s">
        <v>61</v>
      </c>
      <c r="N1090" s="1" t="s">
        <v>62</v>
      </c>
      <c r="O1090" s="1" t="s">
        <v>31</v>
      </c>
      <c r="P1090" s="2">
        <v>45726</v>
      </c>
      <c r="Q1090" s="1" t="s">
        <v>930</v>
      </c>
      <c r="R1090" s="1" t="s">
        <v>931</v>
      </c>
      <c r="S1090" s="1" t="s">
        <v>65</v>
      </c>
      <c r="T1090" s="1" t="s">
        <v>35</v>
      </c>
      <c r="U1090" s="1" t="s">
        <v>36</v>
      </c>
      <c r="V1090" s="1" t="s">
        <v>67</v>
      </c>
      <c r="W1090">
        <v>3</v>
      </c>
      <c r="X1090" s="1">
        <f t="shared" ref="X1090:X1153" si="34">SUMIF(H:H,H1090,K:K)</f>
        <v>8551.6499999999451</v>
      </c>
      <c r="Y1090" s="1">
        <f t="shared" ref="Y1090:Y1153" si="35">SUMIF(U:U,U1090,K:K)</f>
        <v>6355.4899999999634</v>
      </c>
    </row>
    <row r="1091" spans="1:25" x14ac:dyDescent="0.3">
      <c r="A1091" s="1" t="s">
        <v>2311</v>
      </c>
      <c r="B1091">
        <v>2</v>
      </c>
      <c r="C1091">
        <v>18.989999999999998</v>
      </c>
      <c r="D1091">
        <v>33.200000000000003</v>
      </c>
      <c r="E1091" s="1" t="s">
        <v>1055</v>
      </c>
      <c r="F1091" s="1" t="s">
        <v>40</v>
      </c>
      <c r="G1091">
        <v>13</v>
      </c>
      <c r="H1091" s="1" t="s">
        <v>96</v>
      </c>
      <c r="I1091" s="1" t="s">
        <v>97</v>
      </c>
      <c r="J1091">
        <v>6</v>
      </c>
      <c r="K1091">
        <v>18.989999999999998</v>
      </c>
      <c r="L1091" s="1" t="s">
        <v>60</v>
      </c>
      <c r="M1091" s="1" t="s">
        <v>43</v>
      </c>
      <c r="N1091" s="1" t="s">
        <v>44</v>
      </c>
      <c r="O1091" s="1" t="s">
        <v>31</v>
      </c>
      <c r="P1091" s="2">
        <v>45823</v>
      </c>
      <c r="Q1091" s="1" t="s">
        <v>893</v>
      </c>
      <c r="R1091" s="1" t="s">
        <v>1300</v>
      </c>
      <c r="S1091" s="1" t="s">
        <v>34</v>
      </c>
      <c r="T1091" s="1" t="s">
        <v>35</v>
      </c>
      <c r="U1091" s="1" t="s">
        <v>66</v>
      </c>
      <c r="V1091" s="1" t="s">
        <v>100</v>
      </c>
      <c r="W1091">
        <v>3.2</v>
      </c>
      <c r="X1091" s="1">
        <f t="shared" si="34"/>
        <v>7844.9099999999507</v>
      </c>
      <c r="Y1091" s="1">
        <f t="shared" si="35"/>
        <v>6397.4799999999632</v>
      </c>
    </row>
    <row r="1092" spans="1:25" x14ac:dyDescent="0.3">
      <c r="A1092" s="1" t="s">
        <v>2312</v>
      </c>
      <c r="B1092">
        <v>1</v>
      </c>
      <c r="C1092">
        <v>27.99</v>
      </c>
      <c r="D1092">
        <v>27.99</v>
      </c>
      <c r="E1092" s="1" t="s">
        <v>1743</v>
      </c>
      <c r="F1092" s="1" t="s">
        <v>51</v>
      </c>
      <c r="G1092">
        <v>0</v>
      </c>
      <c r="H1092" s="1" t="s">
        <v>41</v>
      </c>
      <c r="I1092" s="1" t="s">
        <v>75</v>
      </c>
      <c r="J1092">
        <v>9</v>
      </c>
      <c r="K1092">
        <v>27.99</v>
      </c>
      <c r="L1092" s="1" t="s">
        <v>28</v>
      </c>
      <c r="M1092" s="1" t="s">
        <v>61</v>
      </c>
      <c r="N1092" s="1" t="s">
        <v>62</v>
      </c>
      <c r="O1092" s="1" t="s">
        <v>31</v>
      </c>
      <c r="P1092" s="2">
        <v>45726</v>
      </c>
      <c r="Q1092" s="1" t="s">
        <v>814</v>
      </c>
      <c r="R1092" s="1" t="s">
        <v>1041</v>
      </c>
      <c r="S1092" s="1" t="s">
        <v>54</v>
      </c>
      <c r="T1092" s="1" t="s">
        <v>35</v>
      </c>
      <c r="U1092" s="1" t="s">
        <v>36</v>
      </c>
      <c r="V1092" s="1" t="s">
        <v>37</v>
      </c>
      <c r="W1092">
        <v>2</v>
      </c>
      <c r="X1092" s="1">
        <f t="shared" si="34"/>
        <v>8551.6499999999451</v>
      </c>
      <c r="Y1092" s="1">
        <f t="shared" si="35"/>
        <v>6355.4899999999634</v>
      </c>
    </row>
    <row r="1093" spans="1:25" x14ac:dyDescent="0.3">
      <c r="A1093" s="1" t="s">
        <v>2313</v>
      </c>
      <c r="B1093">
        <v>3</v>
      </c>
      <c r="C1093">
        <v>18.989999999999998</v>
      </c>
      <c r="D1093">
        <v>46.09</v>
      </c>
      <c r="E1093" s="1" t="s">
        <v>1420</v>
      </c>
      <c r="F1093" s="1" t="s">
        <v>40</v>
      </c>
      <c r="G1093">
        <v>11</v>
      </c>
      <c r="H1093" s="1" t="s">
        <v>41</v>
      </c>
      <c r="I1093" s="1" t="s">
        <v>97</v>
      </c>
      <c r="J1093">
        <v>6</v>
      </c>
      <c r="K1093">
        <v>18.989999999999998</v>
      </c>
      <c r="L1093" s="1" t="s">
        <v>60</v>
      </c>
      <c r="M1093" s="1" t="s">
        <v>43</v>
      </c>
      <c r="N1093" s="1" t="s">
        <v>44</v>
      </c>
      <c r="O1093" s="1" t="s">
        <v>31</v>
      </c>
      <c r="P1093" s="2">
        <v>45823</v>
      </c>
      <c r="Q1093" s="1" t="s">
        <v>2314</v>
      </c>
      <c r="R1093" s="1" t="s">
        <v>2315</v>
      </c>
      <c r="S1093" s="1" t="s">
        <v>65</v>
      </c>
      <c r="T1093" s="1" t="s">
        <v>35</v>
      </c>
      <c r="U1093" s="1" t="s">
        <v>55</v>
      </c>
      <c r="V1093" s="1" t="s">
        <v>100</v>
      </c>
      <c r="W1093">
        <v>3.2</v>
      </c>
      <c r="X1093" s="1">
        <f t="shared" si="34"/>
        <v>8551.6499999999451</v>
      </c>
      <c r="Y1093" s="1">
        <f t="shared" si="35"/>
        <v>5710.7699999999695</v>
      </c>
    </row>
    <row r="1094" spans="1:25" x14ac:dyDescent="0.3">
      <c r="A1094" s="1" t="s">
        <v>2316</v>
      </c>
      <c r="B1094">
        <v>3</v>
      </c>
      <c r="C1094">
        <v>27.99</v>
      </c>
      <c r="D1094">
        <v>66.78</v>
      </c>
      <c r="E1094" s="1" t="s">
        <v>1592</v>
      </c>
      <c r="F1094" s="1" t="s">
        <v>40</v>
      </c>
      <c r="G1094">
        <v>2</v>
      </c>
      <c r="H1094" s="1" t="s">
        <v>26</v>
      </c>
      <c r="I1094" s="1" t="s">
        <v>75</v>
      </c>
      <c r="J1094">
        <v>9</v>
      </c>
      <c r="K1094">
        <v>27.99</v>
      </c>
      <c r="L1094" s="1" t="s">
        <v>28</v>
      </c>
      <c r="M1094" s="1" t="s">
        <v>61</v>
      </c>
      <c r="N1094" s="1" t="s">
        <v>62</v>
      </c>
      <c r="O1094" s="1" t="s">
        <v>31</v>
      </c>
      <c r="P1094" s="2">
        <v>45726</v>
      </c>
      <c r="Q1094" s="1" t="s">
        <v>1856</v>
      </c>
      <c r="R1094" s="1" t="s">
        <v>1857</v>
      </c>
      <c r="S1094" s="1" t="s">
        <v>34</v>
      </c>
      <c r="T1094" s="1" t="s">
        <v>35</v>
      </c>
      <c r="U1094" s="1" t="s">
        <v>36</v>
      </c>
      <c r="V1094" s="1" t="s">
        <v>37</v>
      </c>
      <c r="W1094">
        <v>2</v>
      </c>
      <c r="X1094" s="1">
        <f t="shared" si="34"/>
        <v>8313.6899999999459</v>
      </c>
      <c r="Y1094" s="1">
        <f t="shared" si="35"/>
        <v>6355.4899999999634</v>
      </c>
    </row>
    <row r="1095" spans="1:25" x14ac:dyDescent="0.3">
      <c r="A1095" s="1" t="s">
        <v>2317</v>
      </c>
      <c r="B1095">
        <v>2</v>
      </c>
      <c r="C1095">
        <v>30.99</v>
      </c>
      <c r="D1095">
        <v>53.73</v>
      </c>
      <c r="E1095" s="1" t="s">
        <v>2082</v>
      </c>
      <c r="F1095" s="1" t="s">
        <v>40</v>
      </c>
      <c r="G1095">
        <v>3</v>
      </c>
      <c r="H1095" s="1" t="s">
        <v>41</v>
      </c>
      <c r="I1095" s="1" t="s">
        <v>42</v>
      </c>
      <c r="J1095">
        <v>10.5</v>
      </c>
      <c r="K1095">
        <v>30.99</v>
      </c>
      <c r="L1095" s="1" t="s">
        <v>28</v>
      </c>
      <c r="M1095" s="1" t="s">
        <v>43</v>
      </c>
      <c r="N1095" s="1" t="s">
        <v>44</v>
      </c>
      <c r="O1095" s="1" t="s">
        <v>31</v>
      </c>
      <c r="P1095" s="2">
        <v>45823</v>
      </c>
      <c r="Q1095" s="1" t="s">
        <v>1184</v>
      </c>
      <c r="R1095" s="1" t="s">
        <v>1185</v>
      </c>
      <c r="S1095" s="1" t="s">
        <v>105</v>
      </c>
      <c r="T1095" s="1" t="s">
        <v>35</v>
      </c>
      <c r="U1095" s="1" t="s">
        <v>55</v>
      </c>
      <c r="V1095" s="1" t="s">
        <v>37</v>
      </c>
      <c r="W1095">
        <v>2</v>
      </c>
      <c r="X1095" s="1">
        <f t="shared" si="34"/>
        <v>8551.6499999999451</v>
      </c>
      <c r="Y1095" s="1">
        <f t="shared" si="35"/>
        <v>5710.7699999999695</v>
      </c>
    </row>
    <row r="1096" spans="1:25" x14ac:dyDescent="0.3">
      <c r="A1096" s="1" t="s">
        <v>2318</v>
      </c>
      <c r="B1096">
        <v>1</v>
      </c>
      <c r="C1096">
        <v>16.989999999999998</v>
      </c>
      <c r="D1096">
        <v>16.989999999999998</v>
      </c>
      <c r="E1096" s="1" t="s">
        <v>2319</v>
      </c>
      <c r="F1096" s="1" t="s">
        <v>40</v>
      </c>
      <c r="G1096">
        <v>15</v>
      </c>
      <c r="H1096" s="1" t="s">
        <v>26</v>
      </c>
      <c r="I1096" s="1" t="s">
        <v>59</v>
      </c>
      <c r="J1096">
        <v>5</v>
      </c>
      <c r="K1096">
        <v>16.989999999999998</v>
      </c>
      <c r="L1096" s="1" t="s">
        <v>60</v>
      </c>
      <c r="M1096" s="1" t="s">
        <v>61</v>
      </c>
      <c r="N1096" s="1" t="s">
        <v>62</v>
      </c>
      <c r="O1096" s="1" t="s">
        <v>31</v>
      </c>
      <c r="P1096" s="2">
        <v>45726</v>
      </c>
      <c r="Q1096" s="1" t="s">
        <v>654</v>
      </c>
      <c r="R1096" s="1" t="s">
        <v>983</v>
      </c>
      <c r="S1096" s="1" t="s">
        <v>88</v>
      </c>
      <c r="T1096" s="1" t="s">
        <v>35</v>
      </c>
      <c r="U1096" s="1" t="s">
        <v>48</v>
      </c>
      <c r="V1096" s="1" t="s">
        <v>67</v>
      </c>
      <c r="W1096">
        <v>3</v>
      </c>
      <c r="X1096" s="1">
        <f t="shared" si="34"/>
        <v>8313.6899999999459</v>
      </c>
      <c r="Y1096" s="1">
        <f t="shared" si="35"/>
        <v>7682.919999999951</v>
      </c>
    </row>
    <row r="1097" spans="1:25" x14ac:dyDescent="0.3">
      <c r="A1097" s="1" t="s">
        <v>2320</v>
      </c>
      <c r="B1097">
        <v>1</v>
      </c>
      <c r="C1097">
        <v>21.99</v>
      </c>
      <c r="D1097">
        <v>21.99</v>
      </c>
      <c r="E1097" s="1" t="s">
        <v>2202</v>
      </c>
      <c r="F1097" s="1" t="s">
        <v>51</v>
      </c>
      <c r="G1097">
        <v>0</v>
      </c>
      <c r="H1097" s="1" t="s">
        <v>58</v>
      </c>
      <c r="I1097" s="1" t="s">
        <v>27</v>
      </c>
      <c r="J1097">
        <v>7</v>
      </c>
      <c r="K1097">
        <v>21.99</v>
      </c>
      <c r="L1097" s="1" t="s">
        <v>28</v>
      </c>
      <c r="M1097" s="1" t="s">
        <v>29</v>
      </c>
      <c r="N1097" s="1" t="s">
        <v>30</v>
      </c>
      <c r="O1097" s="1" t="s">
        <v>31</v>
      </c>
      <c r="P1097" s="2">
        <v>45778</v>
      </c>
      <c r="Q1097" s="1" t="s">
        <v>140</v>
      </c>
      <c r="R1097" s="1" t="s">
        <v>1199</v>
      </c>
      <c r="S1097" s="1" t="s">
        <v>65</v>
      </c>
      <c r="T1097" s="1" t="s">
        <v>35</v>
      </c>
      <c r="U1097" s="1" t="s">
        <v>36</v>
      </c>
      <c r="V1097" s="1" t="s">
        <v>37</v>
      </c>
      <c r="W1097">
        <v>2</v>
      </c>
      <c r="X1097" s="1">
        <f t="shared" si="34"/>
        <v>8640.6199999999462</v>
      </c>
      <c r="Y1097" s="1">
        <f t="shared" si="35"/>
        <v>6355.4899999999634</v>
      </c>
    </row>
    <row r="1098" spans="1:25" x14ac:dyDescent="0.3">
      <c r="A1098" s="1" t="s">
        <v>2321</v>
      </c>
      <c r="B1098">
        <v>2</v>
      </c>
      <c r="C1098">
        <v>21.99</v>
      </c>
      <c r="D1098">
        <v>38.049999999999997</v>
      </c>
      <c r="E1098" s="1" t="s">
        <v>1577</v>
      </c>
      <c r="F1098" s="1" t="s">
        <v>40</v>
      </c>
      <c r="G1098">
        <v>8</v>
      </c>
      <c r="H1098" s="1" t="s">
        <v>41</v>
      </c>
      <c r="I1098" s="1" t="s">
        <v>27</v>
      </c>
      <c r="J1098">
        <v>7</v>
      </c>
      <c r="K1098">
        <v>21.99</v>
      </c>
      <c r="L1098" s="1" t="s">
        <v>28</v>
      </c>
      <c r="M1098" s="1" t="s">
        <v>29</v>
      </c>
      <c r="N1098" s="1" t="s">
        <v>30</v>
      </c>
      <c r="O1098" s="1" t="s">
        <v>31</v>
      </c>
      <c r="P1098" s="2">
        <v>45778</v>
      </c>
      <c r="Q1098" s="1" t="s">
        <v>1539</v>
      </c>
      <c r="R1098" s="1" t="s">
        <v>1540</v>
      </c>
      <c r="S1098" s="1" t="s">
        <v>47</v>
      </c>
      <c r="T1098" s="1" t="s">
        <v>35</v>
      </c>
      <c r="U1098" s="1" t="s">
        <v>36</v>
      </c>
      <c r="V1098" s="1" t="s">
        <v>37</v>
      </c>
      <c r="W1098">
        <v>2</v>
      </c>
      <c r="X1098" s="1">
        <f t="shared" si="34"/>
        <v>8551.6499999999451</v>
      </c>
      <c r="Y1098" s="1">
        <f t="shared" si="35"/>
        <v>6355.4899999999634</v>
      </c>
    </row>
    <row r="1099" spans="1:25" x14ac:dyDescent="0.3">
      <c r="A1099" s="1" t="s">
        <v>2322</v>
      </c>
      <c r="B1099">
        <v>3</v>
      </c>
      <c r="C1099">
        <v>21.99</v>
      </c>
      <c r="D1099">
        <v>51.89</v>
      </c>
      <c r="E1099" s="1" t="s">
        <v>598</v>
      </c>
      <c r="F1099" s="1" t="s">
        <v>40</v>
      </c>
      <c r="G1099">
        <v>3</v>
      </c>
      <c r="H1099" s="1" t="s">
        <v>41</v>
      </c>
      <c r="I1099" s="1" t="s">
        <v>27</v>
      </c>
      <c r="J1099">
        <v>7</v>
      </c>
      <c r="K1099">
        <v>21.99</v>
      </c>
      <c r="L1099" s="1" t="s">
        <v>28</v>
      </c>
      <c r="M1099" s="1" t="s">
        <v>29</v>
      </c>
      <c r="N1099" s="1" t="s">
        <v>30</v>
      </c>
      <c r="O1099" s="1" t="s">
        <v>31</v>
      </c>
      <c r="P1099" s="2">
        <v>45778</v>
      </c>
      <c r="Q1099" s="1" t="s">
        <v>1654</v>
      </c>
      <c r="R1099" s="1" t="s">
        <v>1833</v>
      </c>
      <c r="S1099" s="1" t="s">
        <v>65</v>
      </c>
      <c r="T1099" s="1" t="s">
        <v>35</v>
      </c>
      <c r="U1099" s="1" t="s">
        <v>82</v>
      </c>
      <c r="V1099" s="1" t="s">
        <v>37</v>
      </c>
      <c r="W1099">
        <v>2</v>
      </c>
      <c r="X1099" s="1">
        <f t="shared" si="34"/>
        <v>8551.6499999999451</v>
      </c>
      <c r="Y1099" s="1">
        <f t="shared" si="35"/>
        <v>7204.2099999999582</v>
      </c>
    </row>
    <row r="1100" spans="1:25" x14ac:dyDescent="0.3">
      <c r="A1100" s="1" t="s">
        <v>2323</v>
      </c>
      <c r="B1100">
        <v>1</v>
      </c>
      <c r="C1100">
        <v>34.99</v>
      </c>
      <c r="D1100">
        <v>34.99</v>
      </c>
      <c r="E1100" s="1" t="s">
        <v>222</v>
      </c>
      <c r="F1100" s="1" t="s">
        <v>51</v>
      </c>
      <c r="G1100">
        <v>0</v>
      </c>
      <c r="H1100" s="1" t="s">
        <v>96</v>
      </c>
      <c r="I1100" s="1" t="s">
        <v>85</v>
      </c>
      <c r="J1100">
        <v>12.5</v>
      </c>
      <c r="K1100">
        <v>34.99</v>
      </c>
      <c r="L1100" s="1" t="s">
        <v>60</v>
      </c>
      <c r="M1100" s="1" t="s">
        <v>29</v>
      </c>
      <c r="N1100" s="1" t="s">
        <v>30</v>
      </c>
      <c r="O1100" s="1" t="s">
        <v>31</v>
      </c>
      <c r="P1100" s="2">
        <v>45778</v>
      </c>
      <c r="Q1100" s="1" t="s">
        <v>732</v>
      </c>
      <c r="R1100" s="1" t="s">
        <v>1109</v>
      </c>
      <c r="S1100" s="1" t="s">
        <v>54</v>
      </c>
      <c r="T1100" s="1" t="s">
        <v>35</v>
      </c>
      <c r="U1100" s="1" t="s">
        <v>66</v>
      </c>
      <c r="V1100" s="1" t="s">
        <v>89</v>
      </c>
      <c r="W1100">
        <v>2.4</v>
      </c>
      <c r="X1100" s="1">
        <f t="shared" si="34"/>
        <v>7844.9099999999507</v>
      </c>
      <c r="Y1100" s="1">
        <f t="shared" si="35"/>
        <v>6397.4799999999632</v>
      </c>
    </row>
    <row r="1101" spans="1:25" x14ac:dyDescent="0.3">
      <c r="A1101" s="1" t="s">
        <v>2324</v>
      </c>
      <c r="B1101">
        <v>1</v>
      </c>
      <c r="C1101">
        <v>30.99</v>
      </c>
      <c r="D1101">
        <v>30.99</v>
      </c>
      <c r="E1101" s="1" t="s">
        <v>1281</v>
      </c>
      <c r="F1101" s="1" t="s">
        <v>40</v>
      </c>
      <c r="G1101">
        <v>7</v>
      </c>
      <c r="H1101" s="1" t="s">
        <v>41</v>
      </c>
      <c r="I1101" s="1" t="s">
        <v>42</v>
      </c>
      <c r="J1101">
        <v>10.5</v>
      </c>
      <c r="K1101">
        <v>30.99</v>
      </c>
      <c r="L1101" s="1" t="s">
        <v>28</v>
      </c>
      <c r="M1101" s="1" t="s">
        <v>43</v>
      </c>
      <c r="N1101" s="1" t="s">
        <v>44</v>
      </c>
      <c r="O1101" s="1" t="s">
        <v>31</v>
      </c>
      <c r="P1101" s="2">
        <v>45823</v>
      </c>
      <c r="Q1101" s="1" t="s">
        <v>118</v>
      </c>
      <c r="R1101" s="1" t="s">
        <v>1959</v>
      </c>
      <c r="S1101" s="1" t="s">
        <v>65</v>
      </c>
      <c r="T1101" s="1" t="s">
        <v>35</v>
      </c>
      <c r="U1101" s="1" t="s">
        <v>36</v>
      </c>
      <c r="V1101" s="1" t="s">
        <v>37</v>
      </c>
      <c r="W1101">
        <v>2</v>
      </c>
      <c r="X1101" s="1">
        <f t="shared" si="34"/>
        <v>8551.6499999999451</v>
      </c>
      <c r="Y1101" s="1">
        <f t="shared" si="35"/>
        <v>6355.4899999999634</v>
      </c>
    </row>
    <row r="1102" spans="1:25" x14ac:dyDescent="0.3">
      <c r="A1102" s="1" t="s">
        <v>2325</v>
      </c>
      <c r="B1102">
        <v>1</v>
      </c>
      <c r="C1102">
        <v>27.99</v>
      </c>
      <c r="D1102">
        <v>27.99</v>
      </c>
      <c r="E1102" s="1" t="s">
        <v>107</v>
      </c>
      <c r="F1102" s="1" t="s">
        <v>40</v>
      </c>
      <c r="G1102">
        <v>2</v>
      </c>
      <c r="H1102" s="1" t="s">
        <v>96</v>
      </c>
      <c r="I1102" s="1" t="s">
        <v>75</v>
      </c>
      <c r="J1102">
        <v>9</v>
      </c>
      <c r="K1102">
        <v>27.99</v>
      </c>
      <c r="L1102" s="1" t="s">
        <v>28</v>
      </c>
      <c r="M1102" s="1" t="s">
        <v>61</v>
      </c>
      <c r="N1102" s="1" t="s">
        <v>62</v>
      </c>
      <c r="O1102" s="1" t="s">
        <v>31</v>
      </c>
      <c r="P1102" s="2">
        <v>45726</v>
      </c>
      <c r="Q1102" s="1" t="s">
        <v>161</v>
      </c>
      <c r="R1102" s="1" t="s">
        <v>2096</v>
      </c>
      <c r="S1102" s="1" t="s">
        <v>34</v>
      </c>
      <c r="T1102" s="1" t="s">
        <v>35</v>
      </c>
      <c r="U1102" s="1" t="s">
        <v>48</v>
      </c>
      <c r="V1102" s="1" t="s">
        <v>37</v>
      </c>
      <c r="W1102">
        <v>2</v>
      </c>
      <c r="X1102" s="1">
        <f t="shared" si="34"/>
        <v>7844.9099999999507</v>
      </c>
      <c r="Y1102" s="1">
        <f t="shared" si="35"/>
        <v>7682.919999999951</v>
      </c>
    </row>
    <row r="1103" spans="1:25" x14ac:dyDescent="0.3">
      <c r="A1103" s="1" t="s">
        <v>2326</v>
      </c>
      <c r="B1103">
        <v>3</v>
      </c>
      <c r="C1103">
        <v>27.99</v>
      </c>
      <c r="D1103">
        <v>66.94</v>
      </c>
      <c r="E1103" s="1" t="s">
        <v>1420</v>
      </c>
      <c r="F1103" s="1" t="s">
        <v>188</v>
      </c>
      <c r="G1103">
        <v>0</v>
      </c>
      <c r="H1103" s="1" t="s">
        <v>58</v>
      </c>
      <c r="I1103" s="1" t="s">
        <v>75</v>
      </c>
      <c r="J1103">
        <v>9</v>
      </c>
      <c r="K1103">
        <v>27.99</v>
      </c>
      <c r="L1103" s="1" t="s">
        <v>28</v>
      </c>
      <c r="M1103" s="1" t="s">
        <v>61</v>
      </c>
      <c r="N1103" s="1" t="s">
        <v>62</v>
      </c>
      <c r="O1103" s="1" t="s">
        <v>31</v>
      </c>
      <c r="P1103" s="2">
        <v>45726</v>
      </c>
      <c r="Q1103" s="1" t="s">
        <v>1018</v>
      </c>
      <c r="R1103" s="1" t="s">
        <v>1725</v>
      </c>
      <c r="S1103" s="1" t="s">
        <v>47</v>
      </c>
      <c r="T1103" s="1" t="s">
        <v>35</v>
      </c>
      <c r="U1103" s="1" t="s">
        <v>55</v>
      </c>
      <c r="V1103" s="1" t="s">
        <v>37</v>
      </c>
      <c r="W1103">
        <v>2</v>
      </c>
      <c r="X1103" s="1">
        <f t="shared" si="34"/>
        <v>8640.6199999999462</v>
      </c>
      <c r="Y1103" s="1">
        <f t="shared" si="35"/>
        <v>5710.7699999999695</v>
      </c>
    </row>
    <row r="1104" spans="1:25" x14ac:dyDescent="0.3">
      <c r="A1104" s="1" t="s">
        <v>2327</v>
      </c>
      <c r="B1104">
        <v>3</v>
      </c>
      <c r="C1104">
        <v>16.989999999999998</v>
      </c>
      <c r="D1104">
        <v>40.78</v>
      </c>
      <c r="E1104" s="1" t="s">
        <v>2328</v>
      </c>
      <c r="F1104" s="1" t="s">
        <v>40</v>
      </c>
      <c r="G1104">
        <v>15</v>
      </c>
      <c r="H1104" s="1" t="s">
        <v>96</v>
      </c>
      <c r="I1104" s="1" t="s">
        <v>59</v>
      </c>
      <c r="J1104">
        <v>5</v>
      </c>
      <c r="K1104">
        <v>16.989999999999998</v>
      </c>
      <c r="L1104" s="1" t="s">
        <v>60</v>
      </c>
      <c r="M1104" s="1" t="s">
        <v>61</v>
      </c>
      <c r="N1104" s="1" t="s">
        <v>62</v>
      </c>
      <c r="O1104" s="1" t="s">
        <v>31</v>
      </c>
      <c r="P1104" s="2">
        <v>45726</v>
      </c>
      <c r="Q1104" s="1" t="s">
        <v>1157</v>
      </c>
      <c r="R1104" s="1" t="s">
        <v>2329</v>
      </c>
      <c r="S1104" s="1" t="s">
        <v>65</v>
      </c>
      <c r="T1104" s="1" t="s">
        <v>35</v>
      </c>
      <c r="U1104" s="1" t="s">
        <v>48</v>
      </c>
      <c r="V1104" s="1" t="s">
        <v>67</v>
      </c>
      <c r="W1104">
        <v>3</v>
      </c>
      <c r="X1104" s="1">
        <f t="shared" si="34"/>
        <v>7844.9099999999507</v>
      </c>
      <c r="Y1104" s="1">
        <f t="shared" si="35"/>
        <v>7682.919999999951</v>
      </c>
    </row>
    <row r="1105" spans="1:25" x14ac:dyDescent="0.3">
      <c r="A1105" s="1" t="s">
        <v>2330</v>
      </c>
      <c r="B1105">
        <v>2</v>
      </c>
      <c r="C1105">
        <v>34.99</v>
      </c>
      <c r="D1105">
        <v>60.77</v>
      </c>
      <c r="E1105" s="1" t="s">
        <v>1648</v>
      </c>
      <c r="F1105" s="1" t="s">
        <v>40</v>
      </c>
      <c r="G1105">
        <v>5</v>
      </c>
      <c r="H1105" s="1" t="s">
        <v>26</v>
      </c>
      <c r="I1105" s="1" t="s">
        <v>85</v>
      </c>
      <c r="J1105">
        <v>12.5</v>
      </c>
      <c r="K1105">
        <v>34.99</v>
      </c>
      <c r="L1105" s="1" t="s">
        <v>60</v>
      </c>
      <c r="M1105" s="1" t="s">
        <v>29</v>
      </c>
      <c r="N1105" s="1" t="s">
        <v>30</v>
      </c>
      <c r="O1105" s="1" t="s">
        <v>31</v>
      </c>
      <c r="P1105" s="2">
        <v>45778</v>
      </c>
      <c r="Q1105" s="1" t="s">
        <v>979</v>
      </c>
      <c r="R1105" s="1" t="s">
        <v>980</v>
      </c>
      <c r="S1105" s="1" t="s">
        <v>105</v>
      </c>
      <c r="T1105" s="1" t="s">
        <v>35</v>
      </c>
      <c r="U1105" s="1" t="s">
        <v>82</v>
      </c>
      <c r="V1105" s="1" t="s">
        <v>89</v>
      </c>
      <c r="W1105">
        <v>2.4</v>
      </c>
      <c r="X1105" s="1">
        <f t="shared" si="34"/>
        <v>8313.6899999999459</v>
      </c>
      <c r="Y1105" s="1">
        <f t="shared" si="35"/>
        <v>7204.2099999999582</v>
      </c>
    </row>
    <row r="1106" spans="1:25" x14ac:dyDescent="0.3">
      <c r="A1106" s="1" t="s">
        <v>2331</v>
      </c>
      <c r="B1106">
        <v>3</v>
      </c>
      <c r="C1106">
        <v>34.99</v>
      </c>
      <c r="D1106">
        <v>84.88</v>
      </c>
      <c r="E1106" s="1" t="s">
        <v>1233</v>
      </c>
      <c r="F1106" s="1" t="s">
        <v>51</v>
      </c>
      <c r="G1106">
        <v>0</v>
      </c>
      <c r="H1106" s="1" t="s">
        <v>96</v>
      </c>
      <c r="I1106" s="1" t="s">
        <v>85</v>
      </c>
      <c r="J1106">
        <v>12.5</v>
      </c>
      <c r="K1106">
        <v>34.99</v>
      </c>
      <c r="L1106" s="1" t="s">
        <v>60</v>
      </c>
      <c r="M1106" s="1" t="s">
        <v>29</v>
      </c>
      <c r="N1106" s="1" t="s">
        <v>30</v>
      </c>
      <c r="O1106" s="1" t="s">
        <v>31</v>
      </c>
      <c r="P1106" s="2">
        <v>45778</v>
      </c>
      <c r="Q1106" s="1" t="s">
        <v>990</v>
      </c>
      <c r="R1106" s="1" t="s">
        <v>1228</v>
      </c>
      <c r="S1106" s="1" t="s">
        <v>47</v>
      </c>
      <c r="T1106" s="1" t="s">
        <v>35</v>
      </c>
      <c r="U1106" s="1" t="s">
        <v>55</v>
      </c>
      <c r="V1106" s="1" t="s">
        <v>89</v>
      </c>
      <c r="W1106">
        <v>2.4</v>
      </c>
      <c r="X1106" s="1">
        <f t="shared" si="34"/>
        <v>7844.9099999999507</v>
      </c>
      <c r="Y1106" s="1">
        <f t="shared" si="35"/>
        <v>5710.7699999999695</v>
      </c>
    </row>
    <row r="1107" spans="1:25" x14ac:dyDescent="0.3">
      <c r="A1107" s="1" t="s">
        <v>2332</v>
      </c>
      <c r="B1107">
        <v>3</v>
      </c>
      <c r="C1107">
        <v>16.989999999999998</v>
      </c>
      <c r="D1107">
        <v>41.26</v>
      </c>
      <c r="E1107" s="1" t="s">
        <v>2082</v>
      </c>
      <c r="F1107" s="1" t="s">
        <v>188</v>
      </c>
      <c r="G1107">
        <v>0</v>
      </c>
      <c r="H1107" s="1" t="s">
        <v>96</v>
      </c>
      <c r="I1107" s="1" t="s">
        <v>59</v>
      </c>
      <c r="J1107">
        <v>5</v>
      </c>
      <c r="K1107">
        <v>16.989999999999998</v>
      </c>
      <c r="L1107" s="1" t="s">
        <v>60</v>
      </c>
      <c r="M1107" s="1" t="s">
        <v>61</v>
      </c>
      <c r="N1107" s="1" t="s">
        <v>62</v>
      </c>
      <c r="O1107" s="1" t="s">
        <v>31</v>
      </c>
      <c r="P1107" s="2">
        <v>45726</v>
      </c>
      <c r="Q1107" s="1" t="s">
        <v>1506</v>
      </c>
      <c r="R1107" s="1" t="s">
        <v>2333</v>
      </c>
      <c r="S1107" s="1" t="s">
        <v>47</v>
      </c>
      <c r="T1107" s="1" t="s">
        <v>35</v>
      </c>
      <c r="U1107" s="1" t="s">
        <v>55</v>
      </c>
      <c r="V1107" s="1" t="s">
        <v>67</v>
      </c>
      <c r="W1107">
        <v>3</v>
      </c>
      <c r="X1107" s="1">
        <f t="shared" si="34"/>
        <v>7844.9099999999507</v>
      </c>
      <c r="Y1107" s="1">
        <f t="shared" si="35"/>
        <v>5710.7699999999695</v>
      </c>
    </row>
    <row r="1108" spans="1:25" x14ac:dyDescent="0.3">
      <c r="A1108" s="1" t="s">
        <v>2334</v>
      </c>
      <c r="B1108">
        <v>1</v>
      </c>
      <c r="C1108">
        <v>18.989999999999998</v>
      </c>
      <c r="D1108">
        <v>18.989999999999998</v>
      </c>
      <c r="E1108" s="1" t="s">
        <v>1367</v>
      </c>
      <c r="F1108" s="1" t="s">
        <v>25</v>
      </c>
      <c r="G1108">
        <v>10</v>
      </c>
      <c r="H1108" s="1" t="s">
        <v>41</v>
      </c>
      <c r="I1108" s="1" t="s">
        <v>97</v>
      </c>
      <c r="J1108">
        <v>6</v>
      </c>
      <c r="K1108">
        <v>18.989999999999998</v>
      </c>
      <c r="L1108" s="1" t="s">
        <v>60</v>
      </c>
      <c r="M1108" s="1" t="s">
        <v>43</v>
      </c>
      <c r="N1108" s="1" t="s">
        <v>44</v>
      </c>
      <c r="O1108" s="1" t="s">
        <v>31</v>
      </c>
      <c r="P1108" s="2">
        <v>45823</v>
      </c>
      <c r="Q1108" s="1" t="s">
        <v>965</v>
      </c>
      <c r="R1108" s="1" t="s">
        <v>1221</v>
      </c>
      <c r="S1108" s="1" t="s">
        <v>34</v>
      </c>
      <c r="T1108" s="1" t="s">
        <v>35</v>
      </c>
      <c r="U1108" s="1" t="s">
        <v>48</v>
      </c>
      <c r="V1108" s="1" t="s">
        <v>100</v>
      </c>
      <c r="W1108">
        <v>3.2</v>
      </c>
      <c r="X1108" s="1">
        <f t="shared" si="34"/>
        <v>8551.6499999999451</v>
      </c>
      <c r="Y1108" s="1">
        <f t="shared" si="35"/>
        <v>7682.919999999951</v>
      </c>
    </row>
    <row r="1109" spans="1:25" x14ac:dyDescent="0.3">
      <c r="A1109" s="1" t="s">
        <v>2335</v>
      </c>
      <c r="B1109">
        <v>1</v>
      </c>
      <c r="C1109">
        <v>30.99</v>
      </c>
      <c r="D1109">
        <v>30.99</v>
      </c>
      <c r="E1109" s="1" t="s">
        <v>1965</v>
      </c>
      <c r="F1109" s="1" t="s">
        <v>188</v>
      </c>
      <c r="G1109">
        <v>0</v>
      </c>
      <c r="H1109" s="1" t="s">
        <v>41</v>
      </c>
      <c r="I1109" s="1" t="s">
        <v>42</v>
      </c>
      <c r="J1109">
        <v>10.5</v>
      </c>
      <c r="K1109">
        <v>30.99</v>
      </c>
      <c r="L1109" s="1" t="s">
        <v>28</v>
      </c>
      <c r="M1109" s="1" t="s">
        <v>43</v>
      </c>
      <c r="N1109" s="1" t="s">
        <v>44</v>
      </c>
      <c r="O1109" s="1" t="s">
        <v>31</v>
      </c>
      <c r="P1109" s="2">
        <v>45823</v>
      </c>
      <c r="Q1109" s="1" t="s">
        <v>1401</v>
      </c>
      <c r="R1109" s="1" t="s">
        <v>1402</v>
      </c>
      <c r="S1109" s="1" t="s">
        <v>65</v>
      </c>
      <c r="T1109" s="1" t="s">
        <v>35</v>
      </c>
      <c r="U1109" s="1" t="s">
        <v>66</v>
      </c>
      <c r="V1109" s="1" t="s">
        <v>37</v>
      </c>
      <c r="W1109">
        <v>2</v>
      </c>
      <c r="X1109" s="1">
        <f t="shared" si="34"/>
        <v>8551.6499999999451</v>
      </c>
      <c r="Y1109" s="1">
        <f t="shared" si="35"/>
        <v>6397.4799999999632</v>
      </c>
    </row>
    <row r="1110" spans="1:25" x14ac:dyDescent="0.3">
      <c r="A1110" s="1" t="s">
        <v>2336</v>
      </c>
      <c r="B1110">
        <v>1</v>
      </c>
      <c r="C1110">
        <v>27.99</v>
      </c>
      <c r="D1110">
        <v>27.99</v>
      </c>
      <c r="E1110" s="1" t="s">
        <v>317</v>
      </c>
      <c r="F1110" s="1" t="s">
        <v>51</v>
      </c>
      <c r="G1110">
        <v>0</v>
      </c>
      <c r="H1110" s="1" t="s">
        <v>58</v>
      </c>
      <c r="I1110" s="1" t="s">
        <v>75</v>
      </c>
      <c r="J1110">
        <v>9</v>
      </c>
      <c r="K1110">
        <v>27.99</v>
      </c>
      <c r="L1110" s="1" t="s">
        <v>28</v>
      </c>
      <c r="M1110" s="1" t="s">
        <v>61</v>
      </c>
      <c r="N1110" s="1" t="s">
        <v>62</v>
      </c>
      <c r="O1110" s="1" t="s">
        <v>31</v>
      </c>
      <c r="P1110" s="2">
        <v>45726</v>
      </c>
      <c r="Q1110" s="1" t="s">
        <v>1385</v>
      </c>
      <c r="R1110" s="1" t="s">
        <v>1630</v>
      </c>
      <c r="S1110" s="1" t="s">
        <v>65</v>
      </c>
      <c r="T1110" s="1" t="s">
        <v>35</v>
      </c>
      <c r="U1110" s="1" t="s">
        <v>55</v>
      </c>
      <c r="V1110" s="1" t="s">
        <v>37</v>
      </c>
      <c r="W1110">
        <v>2</v>
      </c>
      <c r="X1110" s="1">
        <f t="shared" si="34"/>
        <v>8640.6199999999462</v>
      </c>
      <c r="Y1110" s="1">
        <f t="shared" si="35"/>
        <v>5710.7699999999695</v>
      </c>
    </row>
    <row r="1111" spans="1:25" x14ac:dyDescent="0.3">
      <c r="A1111" s="1" t="s">
        <v>2337</v>
      </c>
      <c r="B1111">
        <v>1</v>
      </c>
      <c r="C1111">
        <v>16.989999999999998</v>
      </c>
      <c r="D1111">
        <v>16.989999999999998</v>
      </c>
      <c r="E1111" s="1" t="s">
        <v>916</v>
      </c>
      <c r="F1111" s="1" t="s">
        <v>40</v>
      </c>
      <c r="G1111">
        <v>19</v>
      </c>
      <c r="H1111" s="1" t="s">
        <v>26</v>
      </c>
      <c r="I1111" s="1" t="s">
        <v>59</v>
      </c>
      <c r="J1111">
        <v>5</v>
      </c>
      <c r="K1111">
        <v>16.989999999999998</v>
      </c>
      <c r="L1111" s="1" t="s">
        <v>60</v>
      </c>
      <c r="M1111" s="1" t="s">
        <v>61</v>
      </c>
      <c r="N1111" s="1" t="s">
        <v>62</v>
      </c>
      <c r="O1111" s="1" t="s">
        <v>31</v>
      </c>
      <c r="P1111" s="2">
        <v>45726</v>
      </c>
      <c r="Q1111" s="1" t="s">
        <v>1187</v>
      </c>
      <c r="R1111" s="1" t="s">
        <v>2338</v>
      </c>
      <c r="S1111" s="1" t="s">
        <v>34</v>
      </c>
      <c r="T1111" s="1" t="s">
        <v>35</v>
      </c>
      <c r="U1111" s="1" t="s">
        <v>48</v>
      </c>
      <c r="V1111" s="1" t="s">
        <v>67</v>
      </c>
      <c r="W1111">
        <v>3</v>
      </c>
      <c r="X1111" s="1">
        <f t="shared" si="34"/>
        <v>8313.6899999999459</v>
      </c>
      <c r="Y1111" s="1">
        <f t="shared" si="35"/>
        <v>7682.919999999951</v>
      </c>
    </row>
    <row r="1112" spans="1:25" x14ac:dyDescent="0.3">
      <c r="A1112" s="1" t="s">
        <v>2339</v>
      </c>
      <c r="B1112">
        <v>2</v>
      </c>
      <c r="C1112">
        <v>16.989999999999998</v>
      </c>
      <c r="D1112">
        <v>29.17</v>
      </c>
      <c r="E1112" s="1" t="s">
        <v>1285</v>
      </c>
      <c r="F1112" s="1" t="s">
        <v>40</v>
      </c>
      <c r="G1112">
        <v>15</v>
      </c>
      <c r="H1112" s="1" t="s">
        <v>26</v>
      </c>
      <c r="I1112" s="1" t="s">
        <v>59</v>
      </c>
      <c r="J1112">
        <v>5</v>
      </c>
      <c r="K1112">
        <v>16.989999999999998</v>
      </c>
      <c r="L1112" s="1" t="s">
        <v>60</v>
      </c>
      <c r="M1112" s="1" t="s">
        <v>61</v>
      </c>
      <c r="N1112" s="1" t="s">
        <v>62</v>
      </c>
      <c r="O1112" s="1" t="s">
        <v>31</v>
      </c>
      <c r="P1112" s="2">
        <v>45726</v>
      </c>
      <c r="Q1112" s="1" t="s">
        <v>1306</v>
      </c>
      <c r="R1112" s="1" t="s">
        <v>1307</v>
      </c>
      <c r="S1112" s="1" t="s">
        <v>47</v>
      </c>
      <c r="T1112" s="1" t="s">
        <v>35</v>
      </c>
      <c r="U1112" s="1" t="s">
        <v>66</v>
      </c>
      <c r="V1112" s="1" t="s">
        <v>67</v>
      </c>
      <c r="W1112">
        <v>3</v>
      </c>
      <c r="X1112" s="1">
        <f t="shared" si="34"/>
        <v>8313.6899999999459</v>
      </c>
      <c r="Y1112" s="1">
        <f t="shared" si="35"/>
        <v>6397.4799999999632</v>
      </c>
    </row>
    <row r="1113" spans="1:25" x14ac:dyDescent="0.3">
      <c r="A1113" s="1" t="s">
        <v>2340</v>
      </c>
      <c r="B1113">
        <v>1</v>
      </c>
      <c r="C1113">
        <v>16.989999999999998</v>
      </c>
      <c r="D1113">
        <v>16.989999999999998</v>
      </c>
      <c r="E1113" s="1" t="s">
        <v>2070</v>
      </c>
      <c r="F1113" s="1" t="s">
        <v>40</v>
      </c>
      <c r="G1113">
        <v>19</v>
      </c>
      <c r="H1113" s="1" t="s">
        <v>96</v>
      </c>
      <c r="I1113" s="1" t="s">
        <v>59</v>
      </c>
      <c r="J1113">
        <v>5</v>
      </c>
      <c r="K1113">
        <v>16.989999999999998</v>
      </c>
      <c r="L1113" s="1" t="s">
        <v>60</v>
      </c>
      <c r="M1113" s="1" t="s">
        <v>61</v>
      </c>
      <c r="N1113" s="1" t="s">
        <v>62</v>
      </c>
      <c r="O1113" s="1" t="s">
        <v>31</v>
      </c>
      <c r="P1113" s="2">
        <v>45726</v>
      </c>
      <c r="Q1113" s="1" t="s">
        <v>385</v>
      </c>
      <c r="R1113" s="1" t="s">
        <v>1510</v>
      </c>
      <c r="S1113" s="1" t="s">
        <v>88</v>
      </c>
      <c r="T1113" s="1" t="s">
        <v>35</v>
      </c>
      <c r="U1113" s="1" t="s">
        <v>48</v>
      </c>
      <c r="V1113" s="1" t="s">
        <v>67</v>
      </c>
      <c r="W1113">
        <v>3</v>
      </c>
      <c r="X1113" s="1">
        <f t="shared" si="34"/>
        <v>7844.9099999999507</v>
      </c>
      <c r="Y1113" s="1">
        <f t="shared" si="35"/>
        <v>7682.919999999951</v>
      </c>
    </row>
    <row r="1114" spans="1:25" x14ac:dyDescent="0.3">
      <c r="A1114" s="1" t="s">
        <v>2341</v>
      </c>
      <c r="B1114">
        <v>3</v>
      </c>
      <c r="C1114">
        <v>30.99</v>
      </c>
      <c r="D1114">
        <v>74.86</v>
      </c>
      <c r="E1114" s="1" t="s">
        <v>1577</v>
      </c>
      <c r="F1114" s="1" t="s">
        <v>51</v>
      </c>
      <c r="G1114">
        <v>0</v>
      </c>
      <c r="H1114" s="1" t="s">
        <v>41</v>
      </c>
      <c r="I1114" s="1" t="s">
        <v>42</v>
      </c>
      <c r="J1114">
        <v>10.5</v>
      </c>
      <c r="K1114">
        <v>30.99</v>
      </c>
      <c r="L1114" s="1" t="s">
        <v>28</v>
      </c>
      <c r="M1114" s="1" t="s">
        <v>43</v>
      </c>
      <c r="N1114" s="1" t="s">
        <v>44</v>
      </c>
      <c r="O1114" s="1" t="s">
        <v>31</v>
      </c>
      <c r="P1114" s="2">
        <v>45823</v>
      </c>
      <c r="Q1114" s="1" t="s">
        <v>1728</v>
      </c>
      <c r="R1114" s="1" t="s">
        <v>1729</v>
      </c>
      <c r="S1114" s="1" t="s">
        <v>65</v>
      </c>
      <c r="T1114" s="1" t="s">
        <v>35</v>
      </c>
      <c r="U1114" s="1" t="s">
        <v>55</v>
      </c>
      <c r="V1114" s="1" t="s">
        <v>37</v>
      </c>
      <c r="W1114">
        <v>2</v>
      </c>
      <c r="X1114" s="1">
        <f t="shared" si="34"/>
        <v>8551.6499999999451</v>
      </c>
      <c r="Y1114" s="1">
        <f t="shared" si="35"/>
        <v>5710.7699999999695</v>
      </c>
    </row>
    <row r="1115" spans="1:25" x14ac:dyDescent="0.3">
      <c r="A1115" s="1" t="s">
        <v>2342</v>
      </c>
      <c r="B1115">
        <v>1</v>
      </c>
      <c r="C1115">
        <v>30.99</v>
      </c>
      <c r="D1115">
        <v>30.99</v>
      </c>
      <c r="E1115" s="1" t="s">
        <v>50</v>
      </c>
      <c r="F1115" s="1" t="s">
        <v>40</v>
      </c>
      <c r="G1115">
        <v>8</v>
      </c>
      <c r="H1115" s="1" t="s">
        <v>26</v>
      </c>
      <c r="I1115" s="1" t="s">
        <v>42</v>
      </c>
      <c r="J1115">
        <v>10.5</v>
      </c>
      <c r="K1115">
        <v>30.99</v>
      </c>
      <c r="L1115" s="1" t="s">
        <v>28</v>
      </c>
      <c r="M1115" s="1" t="s">
        <v>43</v>
      </c>
      <c r="N1115" s="1" t="s">
        <v>44</v>
      </c>
      <c r="O1115" s="1" t="s">
        <v>31</v>
      </c>
      <c r="P1115" s="2">
        <v>45823</v>
      </c>
      <c r="Q1115" s="1" t="s">
        <v>1856</v>
      </c>
      <c r="R1115" s="1" t="s">
        <v>1857</v>
      </c>
      <c r="S1115" s="1" t="s">
        <v>34</v>
      </c>
      <c r="T1115" s="1" t="s">
        <v>35</v>
      </c>
      <c r="U1115" s="1" t="s">
        <v>36</v>
      </c>
      <c r="V1115" s="1" t="s">
        <v>37</v>
      </c>
      <c r="W1115">
        <v>2</v>
      </c>
      <c r="X1115" s="1">
        <f t="shared" si="34"/>
        <v>8313.6899999999459</v>
      </c>
      <c r="Y1115" s="1">
        <f t="shared" si="35"/>
        <v>6355.4899999999634</v>
      </c>
    </row>
    <row r="1116" spans="1:25" x14ac:dyDescent="0.3">
      <c r="A1116" s="1" t="s">
        <v>2343</v>
      </c>
      <c r="B1116">
        <v>1</v>
      </c>
      <c r="C1116">
        <v>21.99</v>
      </c>
      <c r="D1116">
        <v>21.99</v>
      </c>
      <c r="E1116" s="1" t="s">
        <v>2344</v>
      </c>
      <c r="F1116" s="1" t="s">
        <v>40</v>
      </c>
      <c r="G1116">
        <v>4</v>
      </c>
      <c r="H1116" s="1" t="s">
        <v>26</v>
      </c>
      <c r="I1116" s="1" t="s">
        <v>27</v>
      </c>
      <c r="J1116">
        <v>7</v>
      </c>
      <c r="K1116">
        <v>21.99</v>
      </c>
      <c r="L1116" s="1" t="s">
        <v>28</v>
      </c>
      <c r="M1116" s="1" t="s">
        <v>29</v>
      </c>
      <c r="N1116" s="1" t="s">
        <v>30</v>
      </c>
      <c r="O1116" s="1" t="s">
        <v>31</v>
      </c>
      <c r="P1116" s="2">
        <v>45778</v>
      </c>
      <c r="Q1116" s="1" t="s">
        <v>1385</v>
      </c>
      <c r="R1116" s="1" t="s">
        <v>1630</v>
      </c>
      <c r="S1116" s="1" t="s">
        <v>65</v>
      </c>
      <c r="T1116" s="1" t="s">
        <v>35</v>
      </c>
      <c r="U1116" s="1" t="s">
        <v>55</v>
      </c>
      <c r="V1116" s="1" t="s">
        <v>37</v>
      </c>
      <c r="W1116">
        <v>2</v>
      </c>
      <c r="X1116" s="1">
        <f t="shared" si="34"/>
        <v>8313.6899999999459</v>
      </c>
      <c r="Y1116" s="1">
        <f t="shared" si="35"/>
        <v>5710.7699999999695</v>
      </c>
    </row>
    <row r="1117" spans="1:25" x14ac:dyDescent="0.3">
      <c r="A1117" s="1" t="s">
        <v>2345</v>
      </c>
      <c r="B1117">
        <v>2</v>
      </c>
      <c r="C1117">
        <v>18.989999999999998</v>
      </c>
      <c r="D1117">
        <v>33.17</v>
      </c>
      <c r="E1117" s="1" t="s">
        <v>813</v>
      </c>
      <c r="F1117" s="1" t="s">
        <v>40</v>
      </c>
      <c r="G1117">
        <v>10</v>
      </c>
      <c r="H1117" s="1" t="s">
        <v>58</v>
      </c>
      <c r="I1117" s="1" t="s">
        <v>97</v>
      </c>
      <c r="J1117">
        <v>6</v>
      </c>
      <c r="K1117">
        <v>18.989999999999998</v>
      </c>
      <c r="L1117" s="1" t="s">
        <v>60</v>
      </c>
      <c r="M1117" s="1" t="s">
        <v>43</v>
      </c>
      <c r="N1117" s="1" t="s">
        <v>44</v>
      </c>
      <c r="O1117" s="1" t="s">
        <v>31</v>
      </c>
      <c r="P1117" s="2">
        <v>45823</v>
      </c>
      <c r="Q1117" s="1" t="s">
        <v>71</v>
      </c>
      <c r="R1117" s="1" t="s">
        <v>955</v>
      </c>
      <c r="S1117" s="1" t="s">
        <v>65</v>
      </c>
      <c r="T1117" s="1" t="s">
        <v>35</v>
      </c>
      <c r="U1117" s="1" t="s">
        <v>82</v>
      </c>
      <c r="V1117" s="1" t="s">
        <v>100</v>
      </c>
      <c r="W1117">
        <v>3.2</v>
      </c>
      <c r="X1117" s="1">
        <f t="shared" si="34"/>
        <v>8640.6199999999462</v>
      </c>
      <c r="Y1117" s="1">
        <f t="shared" si="35"/>
        <v>7204.2099999999582</v>
      </c>
    </row>
    <row r="1118" spans="1:25" x14ac:dyDescent="0.3">
      <c r="A1118" s="1" t="s">
        <v>2346</v>
      </c>
      <c r="B1118">
        <v>3</v>
      </c>
      <c r="C1118">
        <v>27.99</v>
      </c>
      <c r="D1118">
        <v>66.44</v>
      </c>
      <c r="E1118" s="1" t="s">
        <v>288</v>
      </c>
      <c r="F1118" s="1" t="s">
        <v>25</v>
      </c>
      <c r="G1118">
        <v>2</v>
      </c>
      <c r="H1118" s="1" t="s">
        <v>41</v>
      </c>
      <c r="I1118" s="1" t="s">
        <v>75</v>
      </c>
      <c r="J1118">
        <v>9</v>
      </c>
      <c r="K1118">
        <v>27.99</v>
      </c>
      <c r="L1118" s="1" t="s">
        <v>28</v>
      </c>
      <c r="M1118" s="1" t="s">
        <v>61</v>
      </c>
      <c r="N1118" s="1" t="s">
        <v>62</v>
      </c>
      <c r="O1118" s="1" t="s">
        <v>31</v>
      </c>
      <c r="P1118" s="2">
        <v>45726</v>
      </c>
      <c r="Q1118" s="1" t="s">
        <v>1385</v>
      </c>
      <c r="R1118" s="1" t="s">
        <v>1386</v>
      </c>
      <c r="S1118" s="1" t="s">
        <v>47</v>
      </c>
      <c r="T1118" s="1" t="s">
        <v>35</v>
      </c>
      <c r="U1118" s="1" t="s">
        <v>66</v>
      </c>
      <c r="V1118" s="1" t="s">
        <v>37</v>
      </c>
      <c r="W1118">
        <v>2</v>
      </c>
      <c r="X1118" s="1">
        <f t="shared" si="34"/>
        <v>8551.6499999999451</v>
      </c>
      <c r="Y1118" s="1">
        <f t="shared" si="35"/>
        <v>6397.4799999999632</v>
      </c>
    </row>
    <row r="1119" spans="1:25" x14ac:dyDescent="0.3">
      <c r="A1119" s="1" t="s">
        <v>2347</v>
      </c>
      <c r="B1119">
        <v>3</v>
      </c>
      <c r="C1119">
        <v>27.99</v>
      </c>
      <c r="D1119">
        <v>66.97</v>
      </c>
      <c r="E1119" s="1" t="s">
        <v>2348</v>
      </c>
      <c r="F1119" s="1" t="s">
        <v>40</v>
      </c>
      <c r="G1119">
        <v>3</v>
      </c>
      <c r="H1119" s="1" t="s">
        <v>96</v>
      </c>
      <c r="I1119" s="1" t="s">
        <v>75</v>
      </c>
      <c r="J1119">
        <v>9</v>
      </c>
      <c r="K1119">
        <v>27.99</v>
      </c>
      <c r="L1119" s="1" t="s">
        <v>28</v>
      </c>
      <c r="M1119" s="1" t="s">
        <v>61</v>
      </c>
      <c r="N1119" s="1" t="s">
        <v>62</v>
      </c>
      <c r="O1119" s="1" t="s">
        <v>31</v>
      </c>
      <c r="P1119" s="2">
        <v>45726</v>
      </c>
      <c r="Q1119" s="1" t="s">
        <v>1328</v>
      </c>
      <c r="R1119" s="1" t="s">
        <v>1329</v>
      </c>
      <c r="S1119" s="1" t="s">
        <v>105</v>
      </c>
      <c r="T1119" s="1" t="s">
        <v>35</v>
      </c>
      <c r="U1119" s="1" t="s">
        <v>36</v>
      </c>
      <c r="V1119" s="1" t="s">
        <v>37</v>
      </c>
      <c r="W1119">
        <v>2</v>
      </c>
      <c r="X1119" s="1">
        <f t="shared" si="34"/>
        <v>7844.9099999999507</v>
      </c>
      <c r="Y1119" s="1">
        <f t="shared" si="35"/>
        <v>6355.4899999999634</v>
      </c>
    </row>
    <row r="1120" spans="1:25" x14ac:dyDescent="0.3">
      <c r="A1120" s="1" t="s">
        <v>2349</v>
      </c>
      <c r="B1120">
        <v>3</v>
      </c>
      <c r="C1120">
        <v>16.989999999999998</v>
      </c>
      <c r="D1120">
        <v>41.26</v>
      </c>
      <c r="E1120" s="1" t="s">
        <v>1548</v>
      </c>
      <c r="F1120" s="1" t="s">
        <v>40</v>
      </c>
      <c r="G1120">
        <v>15</v>
      </c>
      <c r="H1120" s="1" t="s">
        <v>58</v>
      </c>
      <c r="I1120" s="1" t="s">
        <v>59</v>
      </c>
      <c r="J1120">
        <v>5</v>
      </c>
      <c r="K1120">
        <v>16.989999999999998</v>
      </c>
      <c r="L1120" s="1" t="s">
        <v>60</v>
      </c>
      <c r="M1120" s="1" t="s">
        <v>61</v>
      </c>
      <c r="N1120" s="1" t="s">
        <v>62</v>
      </c>
      <c r="O1120" s="1" t="s">
        <v>31</v>
      </c>
      <c r="P1120" s="2">
        <v>45726</v>
      </c>
      <c r="Q1120" s="1" t="s">
        <v>836</v>
      </c>
      <c r="R1120" s="1" t="s">
        <v>1847</v>
      </c>
      <c r="S1120" s="1" t="s">
        <v>105</v>
      </c>
      <c r="T1120" s="1" t="s">
        <v>35</v>
      </c>
      <c r="U1120" s="1" t="s">
        <v>66</v>
      </c>
      <c r="V1120" s="1" t="s">
        <v>67</v>
      </c>
      <c r="W1120">
        <v>3</v>
      </c>
      <c r="X1120" s="1">
        <f t="shared" si="34"/>
        <v>8640.6199999999462</v>
      </c>
      <c r="Y1120" s="1">
        <f t="shared" si="35"/>
        <v>6397.4799999999632</v>
      </c>
    </row>
    <row r="1121" spans="1:25" x14ac:dyDescent="0.3">
      <c r="A1121" s="1" t="s">
        <v>2350</v>
      </c>
      <c r="B1121">
        <v>1</v>
      </c>
      <c r="C1121">
        <v>27.99</v>
      </c>
      <c r="D1121">
        <v>27.99</v>
      </c>
      <c r="E1121" s="1" t="s">
        <v>1548</v>
      </c>
      <c r="F1121" s="1" t="s">
        <v>51</v>
      </c>
      <c r="G1121">
        <v>0</v>
      </c>
      <c r="H1121" s="1" t="s">
        <v>58</v>
      </c>
      <c r="I1121" s="1" t="s">
        <v>75</v>
      </c>
      <c r="J1121">
        <v>9</v>
      </c>
      <c r="K1121">
        <v>27.99</v>
      </c>
      <c r="L1121" s="1" t="s">
        <v>28</v>
      </c>
      <c r="M1121" s="1" t="s">
        <v>61</v>
      </c>
      <c r="N1121" s="1" t="s">
        <v>62</v>
      </c>
      <c r="O1121" s="1" t="s">
        <v>31</v>
      </c>
      <c r="P1121" s="2">
        <v>45726</v>
      </c>
      <c r="Q1121" s="1" t="s">
        <v>2065</v>
      </c>
      <c r="R1121" s="1" t="s">
        <v>2066</v>
      </c>
      <c r="S1121" s="1" t="s">
        <v>47</v>
      </c>
      <c r="T1121" s="1" t="s">
        <v>35</v>
      </c>
      <c r="U1121" s="1" t="s">
        <v>66</v>
      </c>
      <c r="V1121" s="1" t="s">
        <v>37</v>
      </c>
      <c r="W1121">
        <v>2</v>
      </c>
      <c r="X1121" s="1">
        <f t="shared" si="34"/>
        <v>8640.6199999999462</v>
      </c>
      <c r="Y1121" s="1">
        <f t="shared" si="35"/>
        <v>6397.4799999999632</v>
      </c>
    </row>
    <row r="1122" spans="1:25" x14ac:dyDescent="0.3">
      <c r="A1122" s="1" t="s">
        <v>2351</v>
      </c>
      <c r="B1122">
        <v>1</v>
      </c>
      <c r="C1122">
        <v>30.99</v>
      </c>
      <c r="D1122">
        <v>30.99</v>
      </c>
      <c r="E1122" s="1" t="s">
        <v>2344</v>
      </c>
      <c r="F1122" s="1" t="s">
        <v>70</v>
      </c>
      <c r="G1122">
        <v>0</v>
      </c>
      <c r="H1122" s="1" t="s">
        <v>96</v>
      </c>
      <c r="I1122" s="1" t="s">
        <v>42</v>
      </c>
      <c r="J1122">
        <v>10.5</v>
      </c>
      <c r="K1122">
        <v>30.99</v>
      </c>
      <c r="L1122" s="1" t="s">
        <v>28</v>
      </c>
      <c r="M1122" s="1" t="s">
        <v>43</v>
      </c>
      <c r="N1122" s="1" t="s">
        <v>44</v>
      </c>
      <c r="O1122" s="1" t="s">
        <v>31</v>
      </c>
      <c r="P1122" s="2">
        <v>45823</v>
      </c>
      <c r="Q1122" s="1" t="s">
        <v>118</v>
      </c>
      <c r="R1122" s="1" t="s">
        <v>1959</v>
      </c>
      <c r="S1122" s="1" t="s">
        <v>65</v>
      </c>
      <c r="T1122" s="1" t="s">
        <v>35</v>
      </c>
      <c r="U1122" s="1" t="s">
        <v>36</v>
      </c>
      <c r="V1122" s="1" t="s">
        <v>37</v>
      </c>
      <c r="W1122">
        <v>2</v>
      </c>
      <c r="X1122" s="1">
        <f t="shared" si="34"/>
        <v>7844.9099999999507</v>
      </c>
      <c r="Y1122" s="1">
        <f t="shared" si="35"/>
        <v>6355.4899999999634</v>
      </c>
    </row>
    <row r="1123" spans="1:25" x14ac:dyDescent="0.3">
      <c r="A1123" s="1" t="s">
        <v>2352</v>
      </c>
      <c r="B1123">
        <v>2</v>
      </c>
      <c r="C1123">
        <v>18.989999999999998</v>
      </c>
      <c r="D1123">
        <v>33.06</v>
      </c>
      <c r="E1123" s="1" t="s">
        <v>2098</v>
      </c>
      <c r="F1123" s="1" t="s">
        <v>40</v>
      </c>
      <c r="G1123">
        <v>15</v>
      </c>
      <c r="H1123" s="1" t="s">
        <v>58</v>
      </c>
      <c r="I1123" s="1" t="s">
        <v>97</v>
      </c>
      <c r="J1123">
        <v>6</v>
      </c>
      <c r="K1123">
        <v>18.989999999999998</v>
      </c>
      <c r="L1123" s="1" t="s">
        <v>60</v>
      </c>
      <c r="M1123" s="1" t="s">
        <v>43</v>
      </c>
      <c r="N1123" s="1" t="s">
        <v>44</v>
      </c>
      <c r="O1123" s="1" t="s">
        <v>31</v>
      </c>
      <c r="P1123" s="2">
        <v>45823</v>
      </c>
      <c r="Q1123" s="1" t="s">
        <v>787</v>
      </c>
      <c r="R1123" s="1" t="s">
        <v>1836</v>
      </c>
      <c r="S1123" s="1" t="s">
        <v>47</v>
      </c>
      <c r="T1123" s="1" t="s">
        <v>35</v>
      </c>
      <c r="U1123" s="1" t="s">
        <v>36</v>
      </c>
      <c r="V1123" s="1" t="s">
        <v>100</v>
      </c>
      <c r="W1123">
        <v>3.2</v>
      </c>
      <c r="X1123" s="1">
        <f t="shared" si="34"/>
        <v>8640.6199999999462</v>
      </c>
      <c r="Y1123" s="1">
        <f t="shared" si="35"/>
        <v>6355.4899999999634</v>
      </c>
    </row>
    <row r="1124" spans="1:25" x14ac:dyDescent="0.3">
      <c r="A1124" s="1" t="s">
        <v>2353</v>
      </c>
      <c r="B1124">
        <v>1</v>
      </c>
      <c r="C1124">
        <v>27.99</v>
      </c>
      <c r="D1124">
        <v>27.99</v>
      </c>
      <c r="E1124" s="1" t="s">
        <v>763</v>
      </c>
      <c r="F1124" s="1" t="s">
        <v>40</v>
      </c>
      <c r="G1124">
        <v>3</v>
      </c>
      <c r="H1124" s="1" t="s">
        <v>58</v>
      </c>
      <c r="I1124" s="1" t="s">
        <v>75</v>
      </c>
      <c r="J1124">
        <v>9</v>
      </c>
      <c r="K1124">
        <v>27.99</v>
      </c>
      <c r="L1124" s="1" t="s">
        <v>28</v>
      </c>
      <c r="M1124" s="1" t="s">
        <v>61</v>
      </c>
      <c r="N1124" s="1" t="s">
        <v>62</v>
      </c>
      <c r="O1124" s="1" t="s">
        <v>31</v>
      </c>
      <c r="P1124" s="2">
        <v>45726</v>
      </c>
      <c r="Q1124" s="1" t="s">
        <v>1137</v>
      </c>
      <c r="R1124" s="1" t="s">
        <v>2255</v>
      </c>
      <c r="S1124" s="1" t="s">
        <v>65</v>
      </c>
      <c r="T1124" s="1" t="s">
        <v>35</v>
      </c>
      <c r="U1124" s="1" t="s">
        <v>36</v>
      </c>
      <c r="V1124" s="1" t="s">
        <v>37</v>
      </c>
      <c r="W1124">
        <v>2</v>
      </c>
      <c r="X1124" s="1">
        <f t="shared" si="34"/>
        <v>8640.6199999999462</v>
      </c>
      <c r="Y1124" s="1">
        <f t="shared" si="35"/>
        <v>6355.4899999999634</v>
      </c>
    </row>
    <row r="1125" spans="1:25" x14ac:dyDescent="0.3">
      <c r="A1125" s="1" t="s">
        <v>2354</v>
      </c>
      <c r="B1125">
        <v>1</v>
      </c>
      <c r="C1125">
        <v>27.99</v>
      </c>
      <c r="D1125">
        <v>27.99</v>
      </c>
      <c r="E1125" s="1" t="s">
        <v>107</v>
      </c>
      <c r="F1125" s="1" t="s">
        <v>40</v>
      </c>
      <c r="G1125">
        <v>2</v>
      </c>
      <c r="H1125" s="1" t="s">
        <v>96</v>
      </c>
      <c r="I1125" s="1" t="s">
        <v>75</v>
      </c>
      <c r="J1125">
        <v>9</v>
      </c>
      <c r="K1125">
        <v>27.99</v>
      </c>
      <c r="L1125" s="1" t="s">
        <v>28</v>
      </c>
      <c r="M1125" s="1" t="s">
        <v>61</v>
      </c>
      <c r="N1125" s="1" t="s">
        <v>62</v>
      </c>
      <c r="O1125" s="1" t="s">
        <v>31</v>
      </c>
      <c r="P1125" s="2">
        <v>45726</v>
      </c>
      <c r="Q1125" s="1" t="s">
        <v>1342</v>
      </c>
      <c r="R1125" s="1" t="s">
        <v>1731</v>
      </c>
      <c r="S1125" s="1" t="s">
        <v>34</v>
      </c>
      <c r="T1125" s="1" t="s">
        <v>35</v>
      </c>
      <c r="U1125" s="1" t="s">
        <v>48</v>
      </c>
      <c r="V1125" s="1" t="s">
        <v>37</v>
      </c>
      <c r="W1125">
        <v>2</v>
      </c>
      <c r="X1125" s="1">
        <f t="shared" si="34"/>
        <v>7844.9099999999507</v>
      </c>
      <c r="Y1125" s="1">
        <f t="shared" si="35"/>
        <v>7682.919999999951</v>
      </c>
    </row>
    <row r="1126" spans="1:25" x14ac:dyDescent="0.3">
      <c r="A1126" s="1" t="s">
        <v>2355</v>
      </c>
      <c r="B1126">
        <v>1</v>
      </c>
      <c r="C1126">
        <v>34.99</v>
      </c>
      <c r="D1126">
        <v>34.99</v>
      </c>
      <c r="E1126" s="1" t="s">
        <v>2356</v>
      </c>
      <c r="F1126" s="1" t="s">
        <v>40</v>
      </c>
      <c r="G1126">
        <v>8</v>
      </c>
      <c r="H1126" s="1" t="s">
        <v>58</v>
      </c>
      <c r="I1126" s="1" t="s">
        <v>85</v>
      </c>
      <c r="J1126">
        <v>12.5</v>
      </c>
      <c r="K1126">
        <v>34.99</v>
      </c>
      <c r="L1126" s="1" t="s">
        <v>60</v>
      </c>
      <c r="M1126" s="1" t="s">
        <v>29</v>
      </c>
      <c r="N1126" s="1" t="s">
        <v>30</v>
      </c>
      <c r="O1126" s="1" t="s">
        <v>31</v>
      </c>
      <c r="P1126" s="2">
        <v>45778</v>
      </c>
      <c r="Q1126" s="1" t="s">
        <v>137</v>
      </c>
      <c r="R1126" s="1" t="s">
        <v>1278</v>
      </c>
      <c r="S1126" s="1" t="s">
        <v>34</v>
      </c>
      <c r="T1126" s="1" t="s">
        <v>35</v>
      </c>
      <c r="U1126" s="1" t="s">
        <v>36</v>
      </c>
      <c r="V1126" s="1" t="s">
        <v>89</v>
      </c>
      <c r="W1126">
        <v>2.4</v>
      </c>
      <c r="X1126" s="1">
        <f t="shared" si="34"/>
        <v>8640.6199999999462</v>
      </c>
      <c r="Y1126" s="1">
        <f t="shared" si="35"/>
        <v>6355.4899999999634</v>
      </c>
    </row>
    <row r="1127" spans="1:25" x14ac:dyDescent="0.3">
      <c r="A1127" s="1" t="s">
        <v>2357</v>
      </c>
      <c r="B1127">
        <v>1</v>
      </c>
      <c r="C1127">
        <v>27.99</v>
      </c>
      <c r="D1127">
        <v>27.99</v>
      </c>
      <c r="E1127" s="1" t="s">
        <v>916</v>
      </c>
      <c r="F1127" s="1" t="s">
        <v>70</v>
      </c>
      <c r="G1127">
        <v>0</v>
      </c>
      <c r="H1127" s="1" t="s">
        <v>58</v>
      </c>
      <c r="I1127" s="1" t="s">
        <v>75</v>
      </c>
      <c r="J1127">
        <v>9</v>
      </c>
      <c r="K1127">
        <v>27.99</v>
      </c>
      <c r="L1127" s="1" t="s">
        <v>28</v>
      </c>
      <c r="M1127" s="1" t="s">
        <v>61</v>
      </c>
      <c r="N1127" s="1" t="s">
        <v>62</v>
      </c>
      <c r="O1127" s="1" t="s">
        <v>31</v>
      </c>
      <c r="P1127" s="2">
        <v>45726</v>
      </c>
      <c r="Q1127" s="1" t="s">
        <v>1260</v>
      </c>
      <c r="R1127" s="1" t="s">
        <v>1261</v>
      </c>
      <c r="S1127" s="1" t="s">
        <v>105</v>
      </c>
      <c r="T1127" s="1" t="s">
        <v>35</v>
      </c>
      <c r="U1127" s="1" t="s">
        <v>82</v>
      </c>
      <c r="V1127" s="1" t="s">
        <v>37</v>
      </c>
      <c r="W1127">
        <v>2</v>
      </c>
      <c r="X1127" s="1">
        <f t="shared" si="34"/>
        <v>8640.6199999999462</v>
      </c>
      <c r="Y1127" s="1">
        <f t="shared" si="35"/>
        <v>7204.2099999999582</v>
      </c>
    </row>
    <row r="1128" spans="1:25" x14ac:dyDescent="0.3">
      <c r="A1128" s="1" t="s">
        <v>2358</v>
      </c>
      <c r="B1128">
        <v>1</v>
      </c>
      <c r="C1128">
        <v>27.99</v>
      </c>
      <c r="D1128">
        <v>27.99</v>
      </c>
      <c r="E1128" s="1" t="s">
        <v>2359</v>
      </c>
      <c r="F1128" s="1" t="s">
        <v>40</v>
      </c>
      <c r="G1128">
        <v>3</v>
      </c>
      <c r="H1128" s="1" t="s">
        <v>26</v>
      </c>
      <c r="I1128" s="1" t="s">
        <v>75</v>
      </c>
      <c r="J1128">
        <v>9</v>
      </c>
      <c r="K1128">
        <v>27.99</v>
      </c>
      <c r="L1128" s="1" t="s">
        <v>28</v>
      </c>
      <c r="M1128" s="1" t="s">
        <v>61</v>
      </c>
      <c r="N1128" s="1" t="s">
        <v>62</v>
      </c>
      <c r="O1128" s="1" t="s">
        <v>31</v>
      </c>
      <c r="P1128" s="2">
        <v>45726</v>
      </c>
      <c r="Q1128" s="1" t="s">
        <v>1408</v>
      </c>
      <c r="R1128" s="1" t="s">
        <v>2055</v>
      </c>
      <c r="S1128" s="1" t="s">
        <v>54</v>
      </c>
      <c r="T1128" s="1" t="s">
        <v>35</v>
      </c>
      <c r="U1128" s="1" t="s">
        <v>82</v>
      </c>
      <c r="V1128" s="1" t="s">
        <v>37</v>
      </c>
      <c r="W1128">
        <v>2</v>
      </c>
      <c r="X1128" s="1">
        <f t="shared" si="34"/>
        <v>8313.6899999999459</v>
      </c>
      <c r="Y1128" s="1">
        <f t="shared" si="35"/>
        <v>7204.2099999999582</v>
      </c>
    </row>
    <row r="1129" spans="1:25" x14ac:dyDescent="0.3">
      <c r="A1129" s="1" t="s">
        <v>2360</v>
      </c>
      <c r="B1129">
        <v>1</v>
      </c>
      <c r="C1129">
        <v>18.989999999999998</v>
      </c>
      <c r="D1129">
        <v>18.989999999999998</v>
      </c>
      <c r="E1129" s="1" t="s">
        <v>2045</v>
      </c>
      <c r="F1129" s="1" t="s">
        <v>70</v>
      </c>
      <c r="G1129">
        <v>0</v>
      </c>
      <c r="H1129" s="1" t="s">
        <v>96</v>
      </c>
      <c r="I1129" s="1" t="s">
        <v>97</v>
      </c>
      <c r="J1129">
        <v>6</v>
      </c>
      <c r="K1129">
        <v>18.989999999999998</v>
      </c>
      <c r="L1129" s="1" t="s">
        <v>60</v>
      </c>
      <c r="M1129" s="1" t="s">
        <v>43</v>
      </c>
      <c r="N1129" s="1" t="s">
        <v>44</v>
      </c>
      <c r="O1129" s="1" t="s">
        <v>31</v>
      </c>
      <c r="P1129" s="2">
        <v>45823</v>
      </c>
      <c r="Q1129" s="1" t="s">
        <v>231</v>
      </c>
      <c r="R1129" s="1" t="s">
        <v>1978</v>
      </c>
      <c r="S1129" s="1" t="s">
        <v>65</v>
      </c>
      <c r="T1129" s="1" t="s">
        <v>35</v>
      </c>
      <c r="U1129" s="1" t="s">
        <v>66</v>
      </c>
      <c r="V1129" s="1" t="s">
        <v>100</v>
      </c>
      <c r="W1129">
        <v>3.2</v>
      </c>
      <c r="X1129" s="1">
        <f t="shared" si="34"/>
        <v>7844.9099999999507</v>
      </c>
      <c r="Y1129" s="1">
        <f t="shared" si="35"/>
        <v>6397.4799999999632</v>
      </c>
    </row>
    <row r="1130" spans="1:25" x14ac:dyDescent="0.3">
      <c r="A1130" s="1" t="s">
        <v>2361</v>
      </c>
      <c r="B1130">
        <v>1</v>
      </c>
      <c r="C1130">
        <v>18.989999999999998</v>
      </c>
      <c r="D1130">
        <v>18.989999999999998</v>
      </c>
      <c r="E1130" s="1" t="s">
        <v>2181</v>
      </c>
      <c r="F1130" s="1" t="s">
        <v>40</v>
      </c>
      <c r="G1130">
        <v>13</v>
      </c>
      <c r="H1130" s="1" t="s">
        <v>41</v>
      </c>
      <c r="I1130" s="1" t="s">
        <v>97</v>
      </c>
      <c r="J1130">
        <v>6</v>
      </c>
      <c r="K1130">
        <v>18.989999999999998</v>
      </c>
      <c r="L1130" s="1" t="s">
        <v>60</v>
      </c>
      <c r="M1130" s="1" t="s">
        <v>43</v>
      </c>
      <c r="N1130" s="1" t="s">
        <v>44</v>
      </c>
      <c r="O1130" s="1" t="s">
        <v>31</v>
      </c>
      <c r="P1130" s="2">
        <v>45823</v>
      </c>
      <c r="Q1130" s="1" t="s">
        <v>1356</v>
      </c>
      <c r="R1130" s="1" t="s">
        <v>1357</v>
      </c>
      <c r="S1130" s="1" t="s">
        <v>34</v>
      </c>
      <c r="T1130" s="1" t="s">
        <v>35</v>
      </c>
      <c r="U1130" s="1" t="s">
        <v>55</v>
      </c>
      <c r="V1130" s="1" t="s">
        <v>100</v>
      </c>
      <c r="W1130">
        <v>3.2</v>
      </c>
      <c r="X1130" s="1">
        <f t="shared" si="34"/>
        <v>8551.6499999999451</v>
      </c>
      <c r="Y1130" s="1">
        <f t="shared" si="35"/>
        <v>5710.7699999999695</v>
      </c>
    </row>
    <row r="1131" spans="1:25" x14ac:dyDescent="0.3">
      <c r="A1131" s="1" t="s">
        <v>2362</v>
      </c>
      <c r="B1131">
        <v>1</v>
      </c>
      <c r="C1131">
        <v>16.989999999999998</v>
      </c>
      <c r="D1131">
        <v>16.989999999999998</v>
      </c>
      <c r="E1131" s="1" t="s">
        <v>662</v>
      </c>
      <c r="F1131" s="1" t="s">
        <v>25</v>
      </c>
      <c r="G1131">
        <v>18</v>
      </c>
      <c r="H1131" s="1" t="s">
        <v>96</v>
      </c>
      <c r="I1131" s="1" t="s">
        <v>59</v>
      </c>
      <c r="J1131">
        <v>5</v>
      </c>
      <c r="K1131">
        <v>16.989999999999998</v>
      </c>
      <c r="L1131" s="1" t="s">
        <v>60</v>
      </c>
      <c r="M1131" s="1" t="s">
        <v>61</v>
      </c>
      <c r="N1131" s="1" t="s">
        <v>62</v>
      </c>
      <c r="O1131" s="1" t="s">
        <v>31</v>
      </c>
      <c r="P1131" s="2">
        <v>45726</v>
      </c>
      <c r="Q1131" s="1" t="s">
        <v>161</v>
      </c>
      <c r="R1131" s="1" t="s">
        <v>2096</v>
      </c>
      <c r="S1131" s="1" t="s">
        <v>34</v>
      </c>
      <c r="T1131" s="1" t="s">
        <v>35</v>
      </c>
      <c r="U1131" s="1" t="s">
        <v>48</v>
      </c>
      <c r="V1131" s="1" t="s">
        <v>67</v>
      </c>
      <c r="W1131">
        <v>3</v>
      </c>
      <c r="X1131" s="1">
        <f t="shared" si="34"/>
        <v>7844.9099999999507</v>
      </c>
      <c r="Y1131" s="1">
        <f t="shared" si="35"/>
        <v>7682.919999999951</v>
      </c>
    </row>
    <row r="1132" spans="1:25" x14ac:dyDescent="0.3">
      <c r="A1132" s="1" t="s">
        <v>2363</v>
      </c>
      <c r="B1132">
        <v>3</v>
      </c>
      <c r="C1132">
        <v>18.989999999999998</v>
      </c>
      <c r="D1132">
        <v>45.43</v>
      </c>
      <c r="E1132" s="1" t="s">
        <v>1299</v>
      </c>
      <c r="F1132" s="1" t="s">
        <v>40</v>
      </c>
      <c r="G1132">
        <v>13</v>
      </c>
      <c r="H1132" s="1" t="s">
        <v>96</v>
      </c>
      <c r="I1132" s="1" t="s">
        <v>97</v>
      </c>
      <c r="J1132">
        <v>6</v>
      </c>
      <c r="K1132">
        <v>18.989999999999998</v>
      </c>
      <c r="L1132" s="1" t="s">
        <v>60</v>
      </c>
      <c r="M1132" s="1" t="s">
        <v>43</v>
      </c>
      <c r="N1132" s="1" t="s">
        <v>44</v>
      </c>
      <c r="O1132" s="1" t="s">
        <v>31</v>
      </c>
      <c r="P1132" s="2">
        <v>45823</v>
      </c>
      <c r="Q1132" s="1" t="s">
        <v>1256</v>
      </c>
      <c r="R1132" s="1" t="s">
        <v>2100</v>
      </c>
      <c r="S1132" s="1" t="s">
        <v>88</v>
      </c>
      <c r="T1132" s="1" t="s">
        <v>35</v>
      </c>
      <c r="U1132" s="1" t="s">
        <v>55</v>
      </c>
      <c r="V1132" s="1" t="s">
        <v>100</v>
      </c>
      <c r="W1132">
        <v>3.2</v>
      </c>
      <c r="X1132" s="1">
        <f t="shared" si="34"/>
        <v>7844.9099999999507</v>
      </c>
      <c r="Y1132" s="1">
        <f t="shared" si="35"/>
        <v>5710.7699999999695</v>
      </c>
    </row>
    <row r="1133" spans="1:25" x14ac:dyDescent="0.3">
      <c r="A1133" s="1" t="s">
        <v>2364</v>
      </c>
      <c r="B1133">
        <v>1</v>
      </c>
      <c r="C1133">
        <v>30.99</v>
      </c>
      <c r="D1133">
        <v>30.99</v>
      </c>
      <c r="E1133" s="1" t="s">
        <v>1168</v>
      </c>
      <c r="F1133" s="1" t="s">
        <v>70</v>
      </c>
      <c r="G1133">
        <v>0</v>
      </c>
      <c r="H1133" s="1" t="s">
        <v>41</v>
      </c>
      <c r="I1133" s="1" t="s">
        <v>42</v>
      </c>
      <c r="J1133">
        <v>10.5</v>
      </c>
      <c r="K1133">
        <v>30.99</v>
      </c>
      <c r="L1133" s="1" t="s">
        <v>28</v>
      </c>
      <c r="M1133" s="1" t="s">
        <v>43</v>
      </c>
      <c r="N1133" s="1" t="s">
        <v>44</v>
      </c>
      <c r="O1133" s="1" t="s">
        <v>31</v>
      </c>
      <c r="P1133" s="2">
        <v>45823</v>
      </c>
      <c r="Q1133" s="1" t="s">
        <v>290</v>
      </c>
      <c r="R1133" s="1" t="s">
        <v>1123</v>
      </c>
      <c r="S1133" s="1" t="s">
        <v>34</v>
      </c>
      <c r="T1133" s="1" t="s">
        <v>35</v>
      </c>
      <c r="U1133" s="1" t="s">
        <v>55</v>
      </c>
      <c r="V1133" s="1" t="s">
        <v>37</v>
      </c>
      <c r="W1133">
        <v>2</v>
      </c>
      <c r="X1133" s="1">
        <f t="shared" si="34"/>
        <v>8551.6499999999451</v>
      </c>
      <c r="Y1133" s="1">
        <f t="shared" si="35"/>
        <v>5710.7699999999695</v>
      </c>
    </row>
    <row r="1134" spans="1:25" x14ac:dyDescent="0.3">
      <c r="A1134" s="1" t="s">
        <v>2365</v>
      </c>
      <c r="B1134">
        <v>1</v>
      </c>
      <c r="C1134">
        <v>30.99</v>
      </c>
      <c r="D1134">
        <v>30.99</v>
      </c>
      <c r="E1134" s="1" t="s">
        <v>113</v>
      </c>
      <c r="F1134" s="1" t="s">
        <v>40</v>
      </c>
      <c r="G1134">
        <v>3</v>
      </c>
      <c r="H1134" s="1" t="s">
        <v>41</v>
      </c>
      <c r="I1134" s="1" t="s">
        <v>42</v>
      </c>
      <c r="J1134">
        <v>10.5</v>
      </c>
      <c r="K1134">
        <v>30.99</v>
      </c>
      <c r="L1134" s="1" t="s">
        <v>28</v>
      </c>
      <c r="M1134" s="1" t="s">
        <v>43</v>
      </c>
      <c r="N1134" s="1" t="s">
        <v>44</v>
      </c>
      <c r="O1134" s="1" t="s">
        <v>31</v>
      </c>
      <c r="P1134" s="2">
        <v>45823</v>
      </c>
      <c r="Q1134" s="1" t="s">
        <v>1184</v>
      </c>
      <c r="R1134" s="1" t="s">
        <v>2028</v>
      </c>
      <c r="S1134" s="1" t="s">
        <v>105</v>
      </c>
      <c r="T1134" s="1" t="s">
        <v>35</v>
      </c>
      <c r="U1134" s="1" t="s">
        <v>36</v>
      </c>
      <c r="V1134" s="1" t="s">
        <v>37</v>
      </c>
      <c r="W1134">
        <v>2</v>
      </c>
      <c r="X1134" s="1">
        <f t="shared" si="34"/>
        <v>8551.6499999999451</v>
      </c>
      <c r="Y1134" s="1">
        <f t="shared" si="35"/>
        <v>6355.4899999999634</v>
      </c>
    </row>
    <row r="1135" spans="1:25" x14ac:dyDescent="0.3">
      <c r="A1135" s="1" t="s">
        <v>2366</v>
      </c>
      <c r="B1135">
        <v>1</v>
      </c>
      <c r="C1135">
        <v>34.99</v>
      </c>
      <c r="D1135">
        <v>34.99</v>
      </c>
      <c r="E1135" s="1" t="s">
        <v>447</v>
      </c>
      <c r="F1135" s="1" t="s">
        <v>25</v>
      </c>
      <c r="G1135">
        <v>6</v>
      </c>
      <c r="H1135" s="1" t="s">
        <v>58</v>
      </c>
      <c r="I1135" s="1" t="s">
        <v>85</v>
      </c>
      <c r="J1135">
        <v>12.5</v>
      </c>
      <c r="K1135">
        <v>34.99</v>
      </c>
      <c r="L1135" s="1" t="s">
        <v>60</v>
      </c>
      <c r="M1135" s="1" t="s">
        <v>29</v>
      </c>
      <c r="N1135" s="1" t="s">
        <v>30</v>
      </c>
      <c r="O1135" s="1" t="s">
        <v>31</v>
      </c>
      <c r="P1135" s="2">
        <v>45778</v>
      </c>
      <c r="Q1135" s="1" t="s">
        <v>1211</v>
      </c>
      <c r="R1135" s="1" t="s">
        <v>1212</v>
      </c>
      <c r="S1135" s="1" t="s">
        <v>34</v>
      </c>
      <c r="T1135" s="1" t="s">
        <v>35</v>
      </c>
      <c r="U1135" s="1" t="s">
        <v>66</v>
      </c>
      <c r="V1135" s="1" t="s">
        <v>89</v>
      </c>
      <c r="W1135">
        <v>2.4</v>
      </c>
      <c r="X1135" s="1">
        <f t="shared" si="34"/>
        <v>8640.6199999999462</v>
      </c>
      <c r="Y1135" s="1">
        <f t="shared" si="35"/>
        <v>6397.4799999999632</v>
      </c>
    </row>
    <row r="1136" spans="1:25" x14ac:dyDescent="0.3">
      <c r="A1136" s="1" t="s">
        <v>2367</v>
      </c>
      <c r="B1136">
        <v>1</v>
      </c>
      <c r="C1136">
        <v>34.99</v>
      </c>
      <c r="D1136">
        <v>34.99</v>
      </c>
      <c r="E1136" s="1" t="s">
        <v>2151</v>
      </c>
      <c r="F1136" s="1" t="s">
        <v>51</v>
      </c>
      <c r="G1136">
        <v>0</v>
      </c>
      <c r="H1136" s="1" t="s">
        <v>41</v>
      </c>
      <c r="I1136" s="1" t="s">
        <v>85</v>
      </c>
      <c r="J1136">
        <v>12.5</v>
      </c>
      <c r="K1136">
        <v>34.99</v>
      </c>
      <c r="L1136" s="1" t="s">
        <v>60</v>
      </c>
      <c r="M1136" s="1" t="s">
        <v>29</v>
      </c>
      <c r="N1136" s="1" t="s">
        <v>30</v>
      </c>
      <c r="O1136" s="1" t="s">
        <v>31</v>
      </c>
      <c r="P1136" s="2">
        <v>45778</v>
      </c>
      <c r="Q1136" s="1" t="s">
        <v>496</v>
      </c>
      <c r="R1136" s="1" t="s">
        <v>1650</v>
      </c>
      <c r="S1136" s="1" t="s">
        <v>47</v>
      </c>
      <c r="T1136" s="1" t="s">
        <v>35</v>
      </c>
      <c r="U1136" s="1" t="s">
        <v>48</v>
      </c>
      <c r="V1136" s="1" t="s">
        <v>89</v>
      </c>
      <c r="W1136">
        <v>2.4</v>
      </c>
      <c r="X1136" s="1">
        <f t="shared" si="34"/>
        <v>8551.6499999999451</v>
      </c>
      <c r="Y1136" s="1">
        <f t="shared" si="35"/>
        <v>7682.919999999951</v>
      </c>
    </row>
    <row r="1137" spans="1:25" x14ac:dyDescent="0.3">
      <c r="A1137" s="1" t="s">
        <v>2368</v>
      </c>
      <c r="B1137">
        <v>3</v>
      </c>
      <c r="C1137">
        <v>27.99</v>
      </c>
      <c r="D1137">
        <v>67.430000000000007</v>
      </c>
      <c r="E1137" s="1" t="s">
        <v>964</v>
      </c>
      <c r="F1137" s="1" t="s">
        <v>40</v>
      </c>
      <c r="G1137">
        <v>3</v>
      </c>
      <c r="H1137" s="1" t="s">
        <v>58</v>
      </c>
      <c r="I1137" s="1" t="s">
        <v>75</v>
      </c>
      <c r="J1137">
        <v>9</v>
      </c>
      <c r="K1137">
        <v>27.99</v>
      </c>
      <c r="L1137" s="1" t="s">
        <v>28</v>
      </c>
      <c r="M1137" s="1" t="s">
        <v>61</v>
      </c>
      <c r="N1137" s="1" t="s">
        <v>62</v>
      </c>
      <c r="O1137" s="1" t="s">
        <v>31</v>
      </c>
      <c r="P1137" s="2">
        <v>45726</v>
      </c>
      <c r="Q1137" s="1" t="s">
        <v>990</v>
      </c>
      <c r="R1137" s="1" t="s">
        <v>991</v>
      </c>
      <c r="S1137" s="1" t="s">
        <v>54</v>
      </c>
      <c r="T1137" s="1" t="s">
        <v>35</v>
      </c>
      <c r="U1137" s="1" t="s">
        <v>48</v>
      </c>
      <c r="V1137" s="1" t="s">
        <v>37</v>
      </c>
      <c r="W1137">
        <v>2</v>
      </c>
      <c r="X1137" s="1">
        <f t="shared" si="34"/>
        <v>8640.6199999999462</v>
      </c>
      <c r="Y1137" s="1">
        <f t="shared" si="35"/>
        <v>7682.919999999951</v>
      </c>
    </row>
    <row r="1138" spans="1:25" x14ac:dyDescent="0.3">
      <c r="A1138" s="1" t="s">
        <v>2369</v>
      </c>
      <c r="B1138">
        <v>3</v>
      </c>
      <c r="C1138">
        <v>18.989999999999998</v>
      </c>
      <c r="D1138">
        <v>44.87</v>
      </c>
      <c r="E1138" s="1" t="s">
        <v>1153</v>
      </c>
      <c r="F1138" s="1" t="s">
        <v>40</v>
      </c>
      <c r="G1138">
        <v>15</v>
      </c>
      <c r="H1138" s="1" t="s">
        <v>96</v>
      </c>
      <c r="I1138" s="1" t="s">
        <v>97</v>
      </c>
      <c r="J1138">
        <v>6</v>
      </c>
      <c r="K1138">
        <v>18.989999999999998</v>
      </c>
      <c r="L1138" s="1" t="s">
        <v>60</v>
      </c>
      <c r="M1138" s="1" t="s">
        <v>43</v>
      </c>
      <c r="N1138" s="1" t="s">
        <v>44</v>
      </c>
      <c r="O1138" s="1" t="s">
        <v>31</v>
      </c>
      <c r="P1138" s="2">
        <v>45823</v>
      </c>
      <c r="Q1138" s="1" t="s">
        <v>2042</v>
      </c>
      <c r="R1138" s="1" t="s">
        <v>2043</v>
      </c>
      <c r="S1138" s="1" t="s">
        <v>65</v>
      </c>
      <c r="T1138" s="1" t="s">
        <v>35</v>
      </c>
      <c r="U1138" s="1" t="s">
        <v>36</v>
      </c>
      <c r="V1138" s="1" t="s">
        <v>100</v>
      </c>
      <c r="W1138">
        <v>3.2</v>
      </c>
      <c r="X1138" s="1">
        <f t="shared" si="34"/>
        <v>7844.9099999999507</v>
      </c>
      <c r="Y1138" s="1">
        <f t="shared" si="35"/>
        <v>6355.4899999999634</v>
      </c>
    </row>
    <row r="1139" spans="1:25" x14ac:dyDescent="0.3">
      <c r="A1139" s="1" t="s">
        <v>2370</v>
      </c>
      <c r="B1139">
        <v>1</v>
      </c>
      <c r="C1139">
        <v>21.99</v>
      </c>
      <c r="D1139">
        <v>21.99</v>
      </c>
      <c r="E1139" s="1" t="s">
        <v>954</v>
      </c>
      <c r="F1139" s="1" t="s">
        <v>51</v>
      </c>
      <c r="G1139">
        <v>0</v>
      </c>
      <c r="H1139" s="1" t="s">
        <v>26</v>
      </c>
      <c r="I1139" s="1" t="s">
        <v>27</v>
      </c>
      <c r="J1139">
        <v>7</v>
      </c>
      <c r="K1139">
        <v>21.99</v>
      </c>
      <c r="L1139" s="1" t="s">
        <v>28</v>
      </c>
      <c r="M1139" s="1" t="s">
        <v>29</v>
      </c>
      <c r="N1139" s="1" t="s">
        <v>30</v>
      </c>
      <c r="O1139" s="1" t="s">
        <v>31</v>
      </c>
      <c r="P1139" s="2">
        <v>45778</v>
      </c>
      <c r="Q1139" s="1" t="s">
        <v>1417</v>
      </c>
      <c r="R1139" s="1" t="s">
        <v>1418</v>
      </c>
      <c r="S1139" s="1" t="s">
        <v>65</v>
      </c>
      <c r="T1139" s="1" t="s">
        <v>35</v>
      </c>
      <c r="U1139" s="1" t="s">
        <v>55</v>
      </c>
      <c r="V1139" s="1" t="s">
        <v>37</v>
      </c>
      <c r="W1139">
        <v>2</v>
      </c>
      <c r="X1139" s="1">
        <f t="shared" si="34"/>
        <v>8313.6899999999459</v>
      </c>
      <c r="Y1139" s="1">
        <f t="shared" si="35"/>
        <v>5710.7699999999695</v>
      </c>
    </row>
    <row r="1140" spans="1:25" x14ac:dyDescent="0.3">
      <c r="A1140" s="1" t="s">
        <v>2371</v>
      </c>
      <c r="B1140">
        <v>1</v>
      </c>
      <c r="C1140">
        <v>27.99</v>
      </c>
      <c r="D1140">
        <v>27.99</v>
      </c>
      <c r="E1140" s="1" t="s">
        <v>2372</v>
      </c>
      <c r="F1140" s="1" t="s">
        <v>51</v>
      </c>
      <c r="G1140">
        <v>0</v>
      </c>
      <c r="H1140" s="1" t="s">
        <v>41</v>
      </c>
      <c r="I1140" s="1" t="s">
        <v>75</v>
      </c>
      <c r="J1140">
        <v>9</v>
      </c>
      <c r="K1140">
        <v>27.99</v>
      </c>
      <c r="L1140" s="1" t="s">
        <v>28</v>
      </c>
      <c r="M1140" s="1" t="s">
        <v>61</v>
      </c>
      <c r="N1140" s="1" t="s">
        <v>62</v>
      </c>
      <c r="O1140" s="1" t="s">
        <v>31</v>
      </c>
      <c r="P1140" s="2">
        <v>45726</v>
      </c>
      <c r="Q1140" s="1" t="s">
        <v>748</v>
      </c>
      <c r="R1140" s="1" t="s">
        <v>749</v>
      </c>
      <c r="S1140" s="1" t="s">
        <v>88</v>
      </c>
      <c r="T1140" s="1" t="s">
        <v>35</v>
      </c>
      <c r="U1140" s="1" t="s">
        <v>48</v>
      </c>
      <c r="V1140" s="1" t="s">
        <v>37</v>
      </c>
      <c r="W1140">
        <v>2</v>
      </c>
      <c r="X1140" s="1">
        <f t="shared" si="34"/>
        <v>8551.6499999999451</v>
      </c>
      <c r="Y1140" s="1">
        <f t="shared" si="35"/>
        <v>7682.919999999951</v>
      </c>
    </row>
    <row r="1141" spans="1:25" x14ac:dyDescent="0.3">
      <c r="A1141" s="1" t="s">
        <v>2373</v>
      </c>
      <c r="B1141">
        <v>3</v>
      </c>
      <c r="C1141">
        <v>34.99</v>
      </c>
      <c r="D1141">
        <v>84.73</v>
      </c>
      <c r="E1141" s="1" t="s">
        <v>156</v>
      </c>
      <c r="F1141" s="1" t="s">
        <v>40</v>
      </c>
      <c r="G1141">
        <v>7</v>
      </c>
      <c r="H1141" s="1" t="s">
        <v>41</v>
      </c>
      <c r="I1141" s="1" t="s">
        <v>85</v>
      </c>
      <c r="J1141">
        <v>12.5</v>
      </c>
      <c r="K1141">
        <v>34.99</v>
      </c>
      <c r="L1141" s="1" t="s">
        <v>60</v>
      </c>
      <c r="M1141" s="1" t="s">
        <v>29</v>
      </c>
      <c r="N1141" s="1" t="s">
        <v>30</v>
      </c>
      <c r="O1141" s="1" t="s">
        <v>31</v>
      </c>
      <c r="P1141" s="2">
        <v>45778</v>
      </c>
      <c r="Q1141" s="1" t="s">
        <v>294</v>
      </c>
      <c r="R1141" s="1" t="s">
        <v>2374</v>
      </c>
      <c r="S1141" s="1" t="s">
        <v>34</v>
      </c>
      <c r="T1141" s="1" t="s">
        <v>35</v>
      </c>
      <c r="U1141" s="1" t="s">
        <v>36</v>
      </c>
      <c r="V1141" s="1" t="s">
        <v>89</v>
      </c>
      <c r="W1141">
        <v>2.4</v>
      </c>
      <c r="X1141" s="1">
        <f t="shared" si="34"/>
        <v>8551.6499999999451</v>
      </c>
      <c r="Y1141" s="1">
        <f t="shared" si="35"/>
        <v>6355.4899999999634</v>
      </c>
    </row>
    <row r="1142" spans="1:25" x14ac:dyDescent="0.3">
      <c r="A1142" s="1" t="s">
        <v>2375</v>
      </c>
      <c r="B1142">
        <v>1</v>
      </c>
      <c r="C1142">
        <v>16.989999999999998</v>
      </c>
      <c r="D1142">
        <v>16.989999999999998</v>
      </c>
      <c r="E1142" s="1" t="s">
        <v>113</v>
      </c>
      <c r="F1142" s="1" t="s">
        <v>25</v>
      </c>
      <c r="G1142">
        <v>20</v>
      </c>
      <c r="H1142" s="1" t="s">
        <v>58</v>
      </c>
      <c r="I1142" s="1" t="s">
        <v>59</v>
      </c>
      <c r="J1142">
        <v>5</v>
      </c>
      <c r="K1142">
        <v>16.989999999999998</v>
      </c>
      <c r="L1142" s="1" t="s">
        <v>60</v>
      </c>
      <c r="M1142" s="1" t="s">
        <v>61</v>
      </c>
      <c r="N1142" s="1" t="s">
        <v>62</v>
      </c>
      <c r="O1142" s="1" t="s">
        <v>31</v>
      </c>
      <c r="P1142" s="2">
        <v>45726</v>
      </c>
      <c r="Q1142" s="1" t="s">
        <v>1187</v>
      </c>
      <c r="R1142" s="1" t="s">
        <v>2338</v>
      </c>
      <c r="S1142" s="1" t="s">
        <v>34</v>
      </c>
      <c r="T1142" s="1" t="s">
        <v>35</v>
      </c>
      <c r="U1142" s="1" t="s">
        <v>48</v>
      </c>
      <c r="V1142" s="1" t="s">
        <v>67</v>
      </c>
      <c r="W1142">
        <v>3</v>
      </c>
      <c r="X1142" s="1">
        <f t="shared" si="34"/>
        <v>8640.6199999999462</v>
      </c>
      <c r="Y1142" s="1">
        <f t="shared" si="35"/>
        <v>7682.919999999951</v>
      </c>
    </row>
    <row r="1143" spans="1:25" x14ac:dyDescent="0.3">
      <c r="A1143" s="1" t="s">
        <v>2376</v>
      </c>
      <c r="B1143">
        <v>1</v>
      </c>
      <c r="C1143">
        <v>21.99</v>
      </c>
      <c r="D1143">
        <v>21.99</v>
      </c>
      <c r="E1143" s="1" t="s">
        <v>246</v>
      </c>
      <c r="F1143" s="1" t="s">
        <v>70</v>
      </c>
      <c r="G1143">
        <v>0</v>
      </c>
      <c r="H1143" s="1" t="s">
        <v>41</v>
      </c>
      <c r="I1143" s="1" t="s">
        <v>27</v>
      </c>
      <c r="J1143">
        <v>7</v>
      </c>
      <c r="K1143">
        <v>21.99</v>
      </c>
      <c r="L1143" s="1" t="s">
        <v>28</v>
      </c>
      <c r="M1143" s="1" t="s">
        <v>29</v>
      </c>
      <c r="N1143" s="1" t="s">
        <v>30</v>
      </c>
      <c r="O1143" s="1" t="s">
        <v>31</v>
      </c>
      <c r="P1143" s="2">
        <v>45778</v>
      </c>
      <c r="Q1143" s="1" t="s">
        <v>1545</v>
      </c>
      <c r="R1143" s="1" t="s">
        <v>1546</v>
      </c>
      <c r="S1143" s="1" t="s">
        <v>105</v>
      </c>
      <c r="T1143" s="1" t="s">
        <v>35</v>
      </c>
      <c r="U1143" s="1" t="s">
        <v>48</v>
      </c>
      <c r="V1143" s="1" t="s">
        <v>37</v>
      </c>
      <c r="W1143">
        <v>2</v>
      </c>
      <c r="X1143" s="1">
        <f t="shared" si="34"/>
        <v>8551.6499999999451</v>
      </c>
      <c r="Y1143" s="1">
        <f t="shared" si="35"/>
        <v>7682.919999999951</v>
      </c>
    </row>
    <row r="1144" spans="1:25" x14ac:dyDescent="0.3">
      <c r="A1144" s="1" t="s">
        <v>2377</v>
      </c>
      <c r="B1144">
        <v>1</v>
      </c>
      <c r="C1144">
        <v>16.989999999999998</v>
      </c>
      <c r="D1144">
        <v>16.989999999999998</v>
      </c>
      <c r="E1144" s="1" t="s">
        <v>2274</v>
      </c>
      <c r="F1144" s="1" t="s">
        <v>51</v>
      </c>
      <c r="G1144">
        <v>0</v>
      </c>
      <c r="H1144" s="1" t="s">
        <v>41</v>
      </c>
      <c r="I1144" s="1" t="s">
        <v>59</v>
      </c>
      <c r="J1144">
        <v>5</v>
      </c>
      <c r="K1144">
        <v>16.989999999999998</v>
      </c>
      <c r="L1144" s="1" t="s">
        <v>60</v>
      </c>
      <c r="M1144" s="1" t="s">
        <v>61</v>
      </c>
      <c r="N1144" s="1" t="s">
        <v>62</v>
      </c>
      <c r="O1144" s="1" t="s">
        <v>31</v>
      </c>
      <c r="P1144" s="2">
        <v>45726</v>
      </c>
      <c r="Q1144" s="1" t="s">
        <v>219</v>
      </c>
      <c r="R1144" s="1" t="s">
        <v>2236</v>
      </c>
      <c r="S1144" s="1" t="s">
        <v>34</v>
      </c>
      <c r="T1144" s="1" t="s">
        <v>35</v>
      </c>
      <c r="U1144" s="1" t="s">
        <v>55</v>
      </c>
      <c r="V1144" s="1" t="s">
        <v>67</v>
      </c>
      <c r="W1144">
        <v>3</v>
      </c>
      <c r="X1144" s="1">
        <f t="shared" si="34"/>
        <v>8551.6499999999451</v>
      </c>
      <c r="Y1144" s="1">
        <f t="shared" si="35"/>
        <v>5710.7699999999695</v>
      </c>
    </row>
    <row r="1145" spans="1:25" x14ac:dyDescent="0.3">
      <c r="A1145" s="1" t="s">
        <v>2378</v>
      </c>
      <c r="B1145">
        <v>2</v>
      </c>
      <c r="C1145">
        <v>30.99</v>
      </c>
      <c r="D1145">
        <v>53.81</v>
      </c>
      <c r="E1145" s="1" t="s">
        <v>1268</v>
      </c>
      <c r="F1145" s="1" t="s">
        <v>40</v>
      </c>
      <c r="G1145">
        <v>2</v>
      </c>
      <c r="H1145" s="1" t="s">
        <v>26</v>
      </c>
      <c r="I1145" s="1" t="s">
        <v>42</v>
      </c>
      <c r="J1145">
        <v>10.5</v>
      </c>
      <c r="K1145">
        <v>30.99</v>
      </c>
      <c r="L1145" s="1" t="s">
        <v>28</v>
      </c>
      <c r="M1145" s="1" t="s">
        <v>43</v>
      </c>
      <c r="N1145" s="1" t="s">
        <v>44</v>
      </c>
      <c r="O1145" s="1" t="s">
        <v>31</v>
      </c>
      <c r="P1145" s="2">
        <v>45823</v>
      </c>
      <c r="Q1145" s="1" t="s">
        <v>1032</v>
      </c>
      <c r="R1145" s="1" t="s">
        <v>2112</v>
      </c>
      <c r="S1145" s="1" t="s">
        <v>105</v>
      </c>
      <c r="T1145" s="1" t="s">
        <v>35</v>
      </c>
      <c r="U1145" s="1" t="s">
        <v>82</v>
      </c>
      <c r="V1145" s="1" t="s">
        <v>37</v>
      </c>
      <c r="W1145">
        <v>2</v>
      </c>
      <c r="X1145" s="1">
        <f t="shared" si="34"/>
        <v>8313.6899999999459</v>
      </c>
      <c r="Y1145" s="1">
        <f t="shared" si="35"/>
        <v>7204.2099999999582</v>
      </c>
    </row>
    <row r="1146" spans="1:25" x14ac:dyDescent="0.3">
      <c r="A1146" s="1" t="s">
        <v>2379</v>
      </c>
      <c r="B1146">
        <v>1</v>
      </c>
      <c r="C1146">
        <v>21.99</v>
      </c>
      <c r="D1146">
        <v>21.99</v>
      </c>
      <c r="E1146" s="1" t="s">
        <v>2380</v>
      </c>
      <c r="F1146" s="1" t="s">
        <v>40</v>
      </c>
      <c r="G1146">
        <v>8</v>
      </c>
      <c r="H1146" s="1" t="s">
        <v>26</v>
      </c>
      <c r="I1146" s="1" t="s">
        <v>27</v>
      </c>
      <c r="J1146">
        <v>7</v>
      </c>
      <c r="K1146">
        <v>21.99</v>
      </c>
      <c r="L1146" s="1" t="s">
        <v>28</v>
      </c>
      <c r="M1146" s="1" t="s">
        <v>29</v>
      </c>
      <c r="N1146" s="1" t="s">
        <v>30</v>
      </c>
      <c r="O1146" s="1" t="s">
        <v>31</v>
      </c>
      <c r="P1146" s="2">
        <v>45778</v>
      </c>
      <c r="Q1146" s="1" t="s">
        <v>960</v>
      </c>
      <c r="R1146" s="1" t="s">
        <v>961</v>
      </c>
      <c r="S1146" s="1" t="s">
        <v>47</v>
      </c>
      <c r="T1146" s="1" t="s">
        <v>35</v>
      </c>
      <c r="U1146" s="1" t="s">
        <v>48</v>
      </c>
      <c r="V1146" s="1" t="s">
        <v>37</v>
      </c>
      <c r="W1146">
        <v>2</v>
      </c>
      <c r="X1146" s="1">
        <f t="shared" si="34"/>
        <v>8313.6899999999459</v>
      </c>
      <c r="Y1146" s="1">
        <f t="shared" si="35"/>
        <v>7682.919999999951</v>
      </c>
    </row>
    <row r="1147" spans="1:25" x14ac:dyDescent="0.3">
      <c r="A1147" s="1" t="s">
        <v>2381</v>
      </c>
      <c r="B1147">
        <v>1</v>
      </c>
      <c r="C1147">
        <v>34.99</v>
      </c>
      <c r="D1147">
        <v>34.99</v>
      </c>
      <c r="E1147" s="1" t="s">
        <v>536</v>
      </c>
      <c r="F1147" s="1" t="s">
        <v>40</v>
      </c>
      <c r="G1147">
        <v>11</v>
      </c>
      <c r="H1147" s="1" t="s">
        <v>41</v>
      </c>
      <c r="I1147" s="1" t="s">
        <v>85</v>
      </c>
      <c r="J1147">
        <v>12.5</v>
      </c>
      <c r="K1147">
        <v>34.99</v>
      </c>
      <c r="L1147" s="1" t="s">
        <v>60</v>
      </c>
      <c r="M1147" s="1" t="s">
        <v>29</v>
      </c>
      <c r="N1147" s="1" t="s">
        <v>30</v>
      </c>
      <c r="O1147" s="1" t="s">
        <v>31</v>
      </c>
      <c r="P1147" s="2">
        <v>45778</v>
      </c>
      <c r="Q1147" s="1" t="s">
        <v>2015</v>
      </c>
      <c r="R1147" s="1" t="s">
        <v>2016</v>
      </c>
      <c r="S1147" s="1" t="s">
        <v>65</v>
      </c>
      <c r="T1147" s="1" t="s">
        <v>35</v>
      </c>
      <c r="U1147" s="1" t="s">
        <v>48</v>
      </c>
      <c r="V1147" s="1" t="s">
        <v>89</v>
      </c>
      <c r="W1147">
        <v>2.4</v>
      </c>
      <c r="X1147" s="1">
        <f t="shared" si="34"/>
        <v>8551.6499999999451</v>
      </c>
      <c r="Y1147" s="1">
        <f t="shared" si="35"/>
        <v>7682.919999999951</v>
      </c>
    </row>
    <row r="1148" spans="1:25" x14ac:dyDescent="0.3">
      <c r="A1148" s="1" t="s">
        <v>2382</v>
      </c>
      <c r="B1148">
        <v>1</v>
      </c>
      <c r="C1148">
        <v>16.989999999999998</v>
      </c>
      <c r="D1148">
        <v>16.989999999999998</v>
      </c>
      <c r="E1148" s="1" t="s">
        <v>796</v>
      </c>
      <c r="F1148" s="1" t="s">
        <v>40</v>
      </c>
      <c r="G1148">
        <v>15</v>
      </c>
      <c r="H1148" s="1" t="s">
        <v>41</v>
      </c>
      <c r="I1148" s="1" t="s">
        <v>59</v>
      </c>
      <c r="J1148">
        <v>5</v>
      </c>
      <c r="K1148">
        <v>16.989999999999998</v>
      </c>
      <c r="L1148" s="1" t="s">
        <v>60</v>
      </c>
      <c r="M1148" s="1" t="s">
        <v>61</v>
      </c>
      <c r="N1148" s="1" t="s">
        <v>62</v>
      </c>
      <c r="O1148" s="1" t="s">
        <v>31</v>
      </c>
      <c r="P1148" s="2">
        <v>45726</v>
      </c>
      <c r="Q1148" s="1" t="s">
        <v>1253</v>
      </c>
      <c r="R1148" s="1" t="s">
        <v>1875</v>
      </c>
      <c r="S1148" s="1" t="s">
        <v>105</v>
      </c>
      <c r="T1148" s="1" t="s">
        <v>35</v>
      </c>
      <c r="U1148" s="1" t="s">
        <v>66</v>
      </c>
      <c r="V1148" s="1" t="s">
        <v>67</v>
      </c>
      <c r="W1148">
        <v>3</v>
      </c>
      <c r="X1148" s="1">
        <f t="shared" si="34"/>
        <v>8551.6499999999451</v>
      </c>
      <c r="Y1148" s="1">
        <f t="shared" si="35"/>
        <v>6397.4799999999632</v>
      </c>
    </row>
    <row r="1149" spans="1:25" x14ac:dyDescent="0.3">
      <c r="A1149" s="1" t="s">
        <v>2383</v>
      </c>
      <c r="B1149">
        <v>1</v>
      </c>
      <c r="C1149">
        <v>34.99</v>
      </c>
      <c r="D1149">
        <v>34.99</v>
      </c>
      <c r="E1149" s="1" t="s">
        <v>393</v>
      </c>
      <c r="F1149" s="1" t="s">
        <v>25</v>
      </c>
      <c r="G1149">
        <v>7</v>
      </c>
      <c r="H1149" s="1" t="s">
        <v>26</v>
      </c>
      <c r="I1149" s="1" t="s">
        <v>85</v>
      </c>
      <c r="J1149">
        <v>12.5</v>
      </c>
      <c r="K1149">
        <v>34.99</v>
      </c>
      <c r="L1149" s="1" t="s">
        <v>60</v>
      </c>
      <c r="M1149" s="1" t="s">
        <v>29</v>
      </c>
      <c r="N1149" s="1" t="s">
        <v>30</v>
      </c>
      <c r="O1149" s="1" t="s">
        <v>31</v>
      </c>
      <c r="P1149" s="2">
        <v>45778</v>
      </c>
      <c r="Q1149" s="1" t="s">
        <v>689</v>
      </c>
      <c r="R1149" s="1" t="s">
        <v>766</v>
      </c>
      <c r="S1149" s="1" t="s">
        <v>105</v>
      </c>
      <c r="T1149" s="1" t="s">
        <v>35</v>
      </c>
      <c r="U1149" s="1" t="s">
        <v>48</v>
      </c>
      <c r="V1149" s="1" t="s">
        <v>89</v>
      </c>
      <c r="W1149">
        <v>2.4</v>
      </c>
      <c r="X1149" s="1">
        <f t="shared" si="34"/>
        <v>8313.6899999999459</v>
      </c>
      <c r="Y1149" s="1">
        <f t="shared" si="35"/>
        <v>7682.919999999951</v>
      </c>
    </row>
    <row r="1150" spans="1:25" x14ac:dyDescent="0.3">
      <c r="A1150" s="1" t="s">
        <v>2384</v>
      </c>
      <c r="B1150">
        <v>1</v>
      </c>
      <c r="C1150">
        <v>16.989999999999998</v>
      </c>
      <c r="D1150">
        <v>16.989999999999998</v>
      </c>
      <c r="E1150" s="1" t="s">
        <v>1281</v>
      </c>
      <c r="F1150" s="1" t="s">
        <v>40</v>
      </c>
      <c r="G1150">
        <v>20</v>
      </c>
      <c r="H1150" s="1" t="s">
        <v>96</v>
      </c>
      <c r="I1150" s="1" t="s">
        <v>59</v>
      </c>
      <c r="J1150">
        <v>5</v>
      </c>
      <c r="K1150">
        <v>16.989999999999998</v>
      </c>
      <c r="L1150" s="1" t="s">
        <v>60</v>
      </c>
      <c r="M1150" s="1" t="s">
        <v>61</v>
      </c>
      <c r="N1150" s="1" t="s">
        <v>62</v>
      </c>
      <c r="O1150" s="1" t="s">
        <v>31</v>
      </c>
      <c r="P1150" s="2">
        <v>45726</v>
      </c>
      <c r="Q1150" s="1" t="s">
        <v>1349</v>
      </c>
      <c r="R1150" s="1" t="s">
        <v>1432</v>
      </c>
      <c r="S1150" s="1" t="s">
        <v>47</v>
      </c>
      <c r="T1150" s="1" t="s">
        <v>35</v>
      </c>
      <c r="U1150" s="1" t="s">
        <v>36</v>
      </c>
      <c r="V1150" s="1" t="s">
        <v>67</v>
      </c>
      <c r="W1150">
        <v>3</v>
      </c>
      <c r="X1150" s="1">
        <f t="shared" si="34"/>
        <v>7844.9099999999507</v>
      </c>
      <c r="Y1150" s="1">
        <f t="shared" si="35"/>
        <v>6355.4899999999634</v>
      </c>
    </row>
    <row r="1151" spans="1:25" x14ac:dyDescent="0.3">
      <c r="A1151" s="1" t="s">
        <v>2385</v>
      </c>
      <c r="B1151">
        <v>1</v>
      </c>
      <c r="C1151">
        <v>21.99</v>
      </c>
      <c r="D1151">
        <v>21.99</v>
      </c>
      <c r="E1151" s="1" t="s">
        <v>2162</v>
      </c>
      <c r="F1151" s="1" t="s">
        <v>40</v>
      </c>
      <c r="G1151">
        <v>3</v>
      </c>
      <c r="H1151" s="1" t="s">
        <v>41</v>
      </c>
      <c r="I1151" s="1" t="s">
        <v>27</v>
      </c>
      <c r="J1151">
        <v>7</v>
      </c>
      <c r="K1151">
        <v>21.99</v>
      </c>
      <c r="L1151" s="1" t="s">
        <v>28</v>
      </c>
      <c r="M1151" s="1" t="s">
        <v>29</v>
      </c>
      <c r="N1151" s="1" t="s">
        <v>30</v>
      </c>
      <c r="O1151" s="1" t="s">
        <v>31</v>
      </c>
      <c r="P1151" s="2">
        <v>45778</v>
      </c>
      <c r="Q1151" s="1" t="s">
        <v>1116</v>
      </c>
      <c r="R1151" s="1" t="s">
        <v>2386</v>
      </c>
      <c r="S1151" s="1" t="s">
        <v>65</v>
      </c>
      <c r="T1151" s="1" t="s">
        <v>35</v>
      </c>
      <c r="U1151" s="1" t="s">
        <v>55</v>
      </c>
      <c r="V1151" s="1" t="s">
        <v>37</v>
      </c>
      <c r="W1151">
        <v>2</v>
      </c>
      <c r="X1151" s="1">
        <f t="shared" si="34"/>
        <v>8551.6499999999451</v>
      </c>
      <c r="Y1151" s="1">
        <f t="shared" si="35"/>
        <v>5710.7699999999695</v>
      </c>
    </row>
    <row r="1152" spans="1:25" x14ac:dyDescent="0.3">
      <c r="A1152" s="1" t="s">
        <v>2387</v>
      </c>
      <c r="B1152">
        <v>1</v>
      </c>
      <c r="C1152">
        <v>30.99</v>
      </c>
      <c r="D1152">
        <v>30.99</v>
      </c>
      <c r="E1152" s="1" t="s">
        <v>1281</v>
      </c>
      <c r="F1152" s="1" t="s">
        <v>40</v>
      </c>
      <c r="G1152">
        <v>3</v>
      </c>
      <c r="H1152" s="1" t="s">
        <v>41</v>
      </c>
      <c r="I1152" s="1" t="s">
        <v>42</v>
      </c>
      <c r="J1152">
        <v>10.5</v>
      </c>
      <c r="K1152">
        <v>30.99</v>
      </c>
      <c r="L1152" s="1" t="s">
        <v>28</v>
      </c>
      <c r="M1152" s="1" t="s">
        <v>43</v>
      </c>
      <c r="N1152" s="1" t="s">
        <v>44</v>
      </c>
      <c r="O1152" s="1" t="s">
        <v>31</v>
      </c>
      <c r="P1152" s="2">
        <v>45823</v>
      </c>
      <c r="Q1152" s="1" t="s">
        <v>972</v>
      </c>
      <c r="R1152" s="1" t="s">
        <v>1692</v>
      </c>
      <c r="S1152" s="1" t="s">
        <v>105</v>
      </c>
      <c r="T1152" s="1" t="s">
        <v>35</v>
      </c>
      <c r="U1152" s="1" t="s">
        <v>48</v>
      </c>
      <c r="V1152" s="1" t="s">
        <v>37</v>
      </c>
      <c r="W1152">
        <v>2</v>
      </c>
      <c r="X1152" s="1">
        <f t="shared" si="34"/>
        <v>8551.6499999999451</v>
      </c>
      <c r="Y1152" s="1">
        <f t="shared" si="35"/>
        <v>7682.919999999951</v>
      </c>
    </row>
    <row r="1153" spans="1:25" x14ac:dyDescent="0.3">
      <c r="A1153" s="1" t="s">
        <v>2388</v>
      </c>
      <c r="B1153">
        <v>1</v>
      </c>
      <c r="C1153">
        <v>30.99</v>
      </c>
      <c r="D1153">
        <v>30.99</v>
      </c>
      <c r="E1153" s="1" t="s">
        <v>1180</v>
      </c>
      <c r="F1153" s="1" t="s">
        <v>25</v>
      </c>
      <c r="G1153">
        <v>3</v>
      </c>
      <c r="H1153" s="1" t="s">
        <v>41</v>
      </c>
      <c r="I1153" s="1" t="s">
        <v>42</v>
      </c>
      <c r="J1153">
        <v>10.5</v>
      </c>
      <c r="K1153">
        <v>30.99</v>
      </c>
      <c r="L1153" s="1" t="s">
        <v>28</v>
      </c>
      <c r="M1153" s="1" t="s">
        <v>43</v>
      </c>
      <c r="N1153" s="1" t="s">
        <v>44</v>
      </c>
      <c r="O1153" s="1" t="s">
        <v>31</v>
      </c>
      <c r="P1153" s="2">
        <v>45823</v>
      </c>
      <c r="Q1153" s="1" t="s">
        <v>1336</v>
      </c>
      <c r="R1153" s="1" t="s">
        <v>1337</v>
      </c>
      <c r="S1153" s="1" t="s">
        <v>105</v>
      </c>
      <c r="T1153" s="1" t="s">
        <v>35</v>
      </c>
      <c r="U1153" s="1" t="s">
        <v>55</v>
      </c>
      <c r="V1153" s="1" t="s">
        <v>37</v>
      </c>
      <c r="W1153">
        <v>2</v>
      </c>
      <c r="X1153" s="1">
        <f t="shared" si="34"/>
        <v>8551.6499999999451</v>
      </c>
      <c r="Y1153" s="1">
        <f t="shared" si="35"/>
        <v>5710.7699999999695</v>
      </c>
    </row>
    <row r="1154" spans="1:25" x14ac:dyDescent="0.3">
      <c r="A1154" s="1" t="s">
        <v>2389</v>
      </c>
      <c r="B1154">
        <v>1</v>
      </c>
      <c r="C1154">
        <v>30.99</v>
      </c>
      <c r="D1154">
        <v>30.99</v>
      </c>
      <c r="E1154" s="1" t="s">
        <v>327</v>
      </c>
      <c r="F1154" s="1" t="s">
        <v>40</v>
      </c>
      <c r="G1154">
        <v>3</v>
      </c>
      <c r="H1154" s="1" t="s">
        <v>41</v>
      </c>
      <c r="I1154" s="1" t="s">
        <v>42</v>
      </c>
      <c r="J1154">
        <v>10.5</v>
      </c>
      <c r="K1154">
        <v>30.99</v>
      </c>
      <c r="L1154" s="1" t="s">
        <v>28</v>
      </c>
      <c r="M1154" s="1" t="s">
        <v>43</v>
      </c>
      <c r="N1154" s="1" t="s">
        <v>44</v>
      </c>
      <c r="O1154" s="1" t="s">
        <v>31</v>
      </c>
      <c r="P1154" s="2">
        <v>45823</v>
      </c>
      <c r="Q1154" s="1" t="s">
        <v>741</v>
      </c>
      <c r="R1154" s="1" t="s">
        <v>1680</v>
      </c>
      <c r="S1154" s="1" t="s">
        <v>65</v>
      </c>
      <c r="T1154" s="1" t="s">
        <v>35</v>
      </c>
      <c r="U1154" s="1" t="s">
        <v>66</v>
      </c>
      <c r="V1154" s="1" t="s">
        <v>37</v>
      </c>
      <c r="W1154">
        <v>2</v>
      </c>
      <c r="X1154" s="1">
        <f t="shared" ref="X1154:X1217" si="36">SUMIF(H:H,H1154,K:K)</f>
        <v>8551.6499999999451</v>
      </c>
      <c r="Y1154" s="1">
        <f t="shared" ref="Y1154:Y1217" si="37">SUMIF(U:U,U1154,K:K)</f>
        <v>6397.4799999999632</v>
      </c>
    </row>
    <row r="1155" spans="1:25" x14ac:dyDescent="0.3">
      <c r="A1155" s="1" t="s">
        <v>2390</v>
      </c>
      <c r="B1155">
        <v>2</v>
      </c>
      <c r="C1155">
        <v>16.989999999999998</v>
      </c>
      <c r="D1155">
        <v>29.54</v>
      </c>
      <c r="E1155" s="1" t="s">
        <v>2391</v>
      </c>
      <c r="F1155" s="1" t="s">
        <v>40</v>
      </c>
      <c r="G1155">
        <v>20</v>
      </c>
      <c r="H1155" s="1" t="s">
        <v>41</v>
      </c>
      <c r="I1155" s="1" t="s">
        <v>59</v>
      </c>
      <c r="J1155">
        <v>5</v>
      </c>
      <c r="K1155">
        <v>16.989999999999998</v>
      </c>
      <c r="L1155" s="1" t="s">
        <v>60</v>
      </c>
      <c r="M1155" s="1" t="s">
        <v>61</v>
      </c>
      <c r="N1155" s="1" t="s">
        <v>62</v>
      </c>
      <c r="O1155" s="1" t="s">
        <v>31</v>
      </c>
      <c r="P1155" s="2">
        <v>45726</v>
      </c>
      <c r="Q1155" s="1" t="s">
        <v>990</v>
      </c>
      <c r="R1155" s="1" t="s">
        <v>1087</v>
      </c>
      <c r="S1155" s="1" t="s">
        <v>105</v>
      </c>
      <c r="T1155" s="1" t="s">
        <v>35</v>
      </c>
      <c r="U1155" s="1" t="s">
        <v>48</v>
      </c>
      <c r="V1155" s="1" t="s">
        <v>67</v>
      </c>
      <c r="W1155">
        <v>3</v>
      </c>
      <c r="X1155" s="1">
        <f t="shared" si="36"/>
        <v>8551.6499999999451</v>
      </c>
      <c r="Y1155" s="1">
        <f t="shared" si="37"/>
        <v>7682.919999999951</v>
      </c>
    </row>
    <row r="1156" spans="1:25" x14ac:dyDescent="0.3">
      <c r="A1156" s="1" t="s">
        <v>2392</v>
      </c>
      <c r="B1156">
        <v>3</v>
      </c>
      <c r="C1156">
        <v>34.99</v>
      </c>
      <c r="D1156">
        <v>84.02</v>
      </c>
      <c r="E1156" s="1" t="s">
        <v>744</v>
      </c>
      <c r="F1156" s="1" t="s">
        <v>40</v>
      </c>
      <c r="G1156">
        <v>7</v>
      </c>
      <c r="H1156" s="1" t="s">
        <v>96</v>
      </c>
      <c r="I1156" s="1" t="s">
        <v>85</v>
      </c>
      <c r="J1156">
        <v>12.5</v>
      </c>
      <c r="K1156">
        <v>34.99</v>
      </c>
      <c r="L1156" s="1" t="s">
        <v>60</v>
      </c>
      <c r="M1156" s="1" t="s">
        <v>29</v>
      </c>
      <c r="N1156" s="1" t="s">
        <v>30</v>
      </c>
      <c r="O1156" s="1" t="s">
        <v>31</v>
      </c>
      <c r="P1156" s="2">
        <v>45778</v>
      </c>
      <c r="Q1156" s="1" t="s">
        <v>1349</v>
      </c>
      <c r="R1156" s="1" t="s">
        <v>1350</v>
      </c>
      <c r="S1156" s="1" t="s">
        <v>47</v>
      </c>
      <c r="T1156" s="1" t="s">
        <v>35</v>
      </c>
      <c r="U1156" s="1" t="s">
        <v>48</v>
      </c>
      <c r="V1156" s="1" t="s">
        <v>89</v>
      </c>
      <c r="W1156">
        <v>2.4</v>
      </c>
      <c r="X1156" s="1">
        <f t="shared" si="36"/>
        <v>7844.9099999999507</v>
      </c>
      <c r="Y1156" s="1">
        <f t="shared" si="37"/>
        <v>7682.919999999951</v>
      </c>
    </row>
    <row r="1157" spans="1:25" x14ac:dyDescent="0.3">
      <c r="A1157" s="1" t="s">
        <v>2393</v>
      </c>
      <c r="B1157">
        <v>1</v>
      </c>
      <c r="C1157">
        <v>30.99</v>
      </c>
      <c r="D1157">
        <v>30.99</v>
      </c>
      <c r="E1157" s="1" t="s">
        <v>1047</v>
      </c>
      <c r="F1157" s="1" t="s">
        <v>40</v>
      </c>
      <c r="G1157">
        <v>2</v>
      </c>
      <c r="H1157" s="1" t="s">
        <v>26</v>
      </c>
      <c r="I1157" s="1" t="s">
        <v>42</v>
      </c>
      <c r="J1157">
        <v>10.5</v>
      </c>
      <c r="K1157">
        <v>30.99</v>
      </c>
      <c r="L1157" s="1" t="s">
        <v>28</v>
      </c>
      <c r="M1157" s="1" t="s">
        <v>43</v>
      </c>
      <c r="N1157" s="1" t="s">
        <v>44</v>
      </c>
      <c r="O1157" s="1" t="s">
        <v>31</v>
      </c>
      <c r="P1157" s="2">
        <v>45823</v>
      </c>
      <c r="Q1157" s="1" t="s">
        <v>1955</v>
      </c>
      <c r="R1157" s="1" t="s">
        <v>2394</v>
      </c>
      <c r="S1157" s="1" t="s">
        <v>105</v>
      </c>
      <c r="T1157" s="1" t="s">
        <v>35</v>
      </c>
      <c r="U1157" s="1" t="s">
        <v>82</v>
      </c>
      <c r="V1157" s="1" t="s">
        <v>37</v>
      </c>
      <c r="W1157">
        <v>2</v>
      </c>
      <c r="X1157" s="1">
        <f t="shared" si="36"/>
        <v>8313.6899999999459</v>
      </c>
      <c r="Y1157" s="1">
        <f t="shared" si="37"/>
        <v>7204.2099999999582</v>
      </c>
    </row>
    <row r="1158" spans="1:25" x14ac:dyDescent="0.3">
      <c r="A1158" s="1" t="s">
        <v>2395</v>
      </c>
      <c r="B1158">
        <v>1</v>
      </c>
      <c r="C1158">
        <v>27.99</v>
      </c>
      <c r="D1158">
        <v>27.99</v>
      </c>
      <c r="E1158" s="1" t="s">
        <v>2054</v>
      </c>
      <c r="F1158" s="1" t="s">
        <v>40</v>
      </c>
      <c r="G1158">
        <v>2</v>
      </c>
      <c r="H1158" s="1" t="s">
        <v>58</v>
      </c>
      <c r="I1158" s="1" t="s">
        <v>75</v>
      </c>
      <c r="J1158">
        <v>9</v>
      </c>
      <c r="K1158">
        <v>27.99</v>
      </c>
      <c r="L1158" s="1" t="s">
        <v>28</v>
      </c>
      <c r="M1158" s="1" t="s">
        <v>61</v>
      </c>
      <c r="N1158" s="1" t="s">
        <v>62</v>
      </c>
      <c r="O1158" s="1" t="s">
        <v>31</v>
      </c>
      <c r="P1158" s="2">
        <v>45726</v>
      </c>
      <c r="Q1158" s="1" t="s">
        <v>1260</v>
      </c>
      <c r="R1158" s="1" t="s">
        <v>1261</v>
      </c>
      <c r="S1158" s="1" t="s">
        <v>105</v>
      </c>
      <c r="T1158" s="1" t="s">
        <v>35</v>
      </c>
      <c r="U1158" s="1" t="s">
        <v>82</v>
      </c>
      <c r="V1158" s="1" t="s">
        <v>37</v>
      </c>
      <c r="W1158">
        <v>2</v>
      </c>
      <c r="X1158" s="1">
        <f t="shared" si="36"/>
        <v>8640.6199999999462</v>
      </c>
      <c r="Y1158" s="1">
        <f t="shared" si="37"/>
        <v>7204.2099999999582</v>
      </c>
    </row>
    <row r="1159" spans="1:25" x14ac:dyDescent="0.3">
      <c r="A1159" s="1" t="s">
        <v>2396</v>
      </c>
      <c r="B1159">
        <v>1</v>
      </c>
      <c r="C1159">
        <v>34.99</v>
      </c>
      <c r="D1159">
        <v>34.99</v>
      </c>
      <c r="E1159" s="1" t="s">
        <v>813</v>
      </c>
      <c r="F1159" s="1" t="s">
        <v>40</v>
      </c>
      <c r="G1159">
        <v>7</v>
      </c>
      <c r="H1159" s="1" t="s">
        <v>58</v>
      </c>
      <c r="I1159" s="1" t="s">
        <v>85</v>
      </c>
      <c r="J1159">
        <v>12.5</v>
      </c>
      <c r="K1159">
        <v>34.99</v>
      </c>
      <c r="L1159" s="1" t="s">
        <v>60</v>
      </c>
      <c r="M1159" s="1" t="s">
        <v>29</v>
      </c>
      <c r="N1159" s="1" t="s">
        <v>30</v>
      </c>
      <c r="O1159" s="1" t="s">
        <v>31</v>
      </c>
      <c r="P1159" s="2">
        <v>45778</v>
      </c>
      <c r="Q1159" s="1" t="s">
        <v>118</v>
      </c>
      <c r="R1159" s="1" t="s">
        <v>1959</v>
      </c>
      <c r="S1159" s="1" t="s">
        <v>65</v>
      </c>
      <c r="T1159" s="1" t="s">
        <v>35</v>
      </c>
      <c r="U1159" s="1" t="s">
        <v>36</v>
      </c>
      <c r="V1159" s="1" t="s">
        <v>89</v>
      </c>
      <c r="W1159">
        <v>2.4</v>
      </c>
      <c r="X1159" s="1">
        <f t="shared" si="36"/>
        <v>8640.6199999999462</v>
      </c>
      <c r="Y1159" s="1">
        <f t="shared" si="37"/>
        <v>6355.4899999999634</v>
      </c>
    </row>
    <row r="1160" spans="1:25" x14ac:dyDescent="0.3">
      <c r="A1160" s="1" t="s">
        <v>2397</v>
      </c>
      <c r="B1160">
        <v>1</v>
      </c>
      <c r="C1160">
        <v>30.99</v>
      </c>
      <c r="D1160">
        <v>30.99</v>
      </c>
      <c r="E1160" s="1" t="s">
        <v>1068</v>
      </c>
      <c r="F1160" s="1" t="s">
        <v>70</v>
      </c>
      <c r="G1160">
        <v>0</v>
      </c>
      <c r="H1160" s="1" t="s">
        <v>96</v>
      </c>
      <c r="I1160" s="1" t="s">
        <v>42</v>
      </c>
      <c r="J1160">
        <v>10.5</v>
      </c>
      <c r="K1160">
        <v>30.99</v>
      </c>
      <c r="L1160" s="1" t="s">
        <v>28</v>
      </c>
      <c r="M1160" s="1" t="s">
        <v>43</v>
      </c>
      <c r="N1160" s="1" t="s">
        <v>44</v>
      </c>
      <c r="O1160" s="1" t="s">
        <v>31</v>
      </c>
      <c r="P1160" s="2">
        <v>45823</v>
      </c>
      <c r="Q1160" s="1" t="s">
        <v>2398</v>
      </c>
      <c r="R1160" s="1" t="s">
        <v>2399</v>
      </c>
      <c r="S1160" s="1" t="s">
        <v>47</v>
      </c>
      <c r="T1160" s="1" t="s">
        <v>35</v>
      </c>
      <c r="U1160" s="1" t="s">
        <v>82</v>
      </c>
      <c r="V1160" s="1" t="s">
        <v>37</v>
      </c>
      <c r="W1160">
        <v>2</v>
      </c>
      <c r="X1160" s="1">
        <f t="shared" si="36"/>
        <v>7844.9099999999507</v>
      </c>
      <c r="Y1160" s="1">
        <f t="shared" si="37"/>
        <v>7204.2099999999582</v>
      </c>
    </row>
    <row r="1161" spans="1:25" x14ac:dyDescent="0.3">
      <c r="A1161" s="1" t="s">
        <v>2400</v>
      </c>
      <c r="B1161">
        <v>3</v>
      </c>
      <c r="C1161">
        <v>16.989999999999998</v>
      </c>
      <c r="D1161">
        <v>40.85</v>
      </c>
      <c r="E1161" s="1" t="s">
        <v>447</v>
      </c>
      <c r="F1161" s="1" t="s">
        <v>40</v>
      </c>
      <c r="G1161">
        <v>18</v>
      </c>
      <c r="H1161" s="1" t="s">
        <v>41</v>
      </c>
      <c r="I1161" s="1" t="s">
        <v>59</v>
      </c>
      <c r="J1161">
        <v>5</v>
      </c>
      <c r="K1161">
        <v>16.989999999999998</v>
      </c>
      <c r="L1161" s="1" t="s">
        <v>60</v>
      </c>
      <c r="M1161" s="1" t="s">
        <v>61</v>
      </c>
      <c r="N1161" s="1" t="s">
        <v>62</v>
      </c>
      <c r="O1161" s="1" t="s">
        <v>31</v>
      </c>
      <c r="P1161" s="2">
        <v>45726</v>
      </c>
      <c r="Q1161" s="1" t="s">
        <v>1613</v>
      </c>
      <c r="R1161" s="1" t="s">
        <v>1614</v>
      </c>
      <c r="S1161" s="1" t="s">
        <v>34</v>
      </c>
      <c r="T1161" s="1" t="s">
        <v>35</v>
      </c>
      <c r="U1161" s="1" t="s">
        <v>55</v>
      </c>
      <c r="V1161" s="1" t="s">
        <v>67</v>
      </c>
      <c r="W1161">
        <v>3</v>
      </c>
      <c r="X1161" s="1">
        <f t="shared" si="36"/>
        <v>8551.6499999999451</v>
      </c>
      <c r="Y1161" s="1">
        <f t="shared" si="37"/>
        <v>5710.7699999999695</v>
      </c>
    </row>
    <row r="1162" spans="1:25" x14ac:dyDescent="0.3">
      <c r="A1162" s="1" t="s">
        <v>2401</v>
      </c>
      <c r="B1162">
        <v>3</v>
      </c>
      <c r="C1162">
        <v>34.99</v>
      </c>
      <c r="D1162">
        <v>83.39</v>
      </c>
      <c r="E1162" s="1" t="s">
        <v>2348</v>
      </c>
      <c r="F1162" s="1" t="s">
        <v>40</v>
      </c>
      <c r="G1162">
        <v>6</v>
      </c>
      <c r="H1162" s="1" t="s">
        <v>41</v>
      </c>
      <c r="I1162" s="1" t="s">
        <v>85</v>
      </c>
      <c r="J1162">
        <v>12.5</v>
      </c>
      <c r="K1162">
        <v>34.99</v>
      </c>
      <c r="L1162" s="1" t="s">
        <v>60</v>
      </c>
      <c r="M1162" s="1" t="s">
        <v>29</v>
      </c>
      <c r="N1162" s="1" t="s">
        <v>30</v>
      </c>
      <c r="O1162" s="1" t="s">
        <v>31</v>
      </c>
      <c r="P1162" s="2">
        <v>45778</v>
      </c>
      <c r="Q1162" s="1" t="s">
        <v>1414</v>
      </c>
      <c r="R1162" s="1" t="s">
        <v>2402</v>
      </c>
      <c r="S1162" s="1" t="s">
        <v>34</v>
      </c>
      <c r="T1162" s="1" t="s">
        <v>35</v>
      </c>
      <c r="U1162" s="1" t="s">
        <v>55</v>
      </c>
      <c r="V1162" s="1" t="s">
        <v>89</v>
      </c>
      <c r="W1162">
        <v>2.4</v>
      </c>
      <c r="X1162" s="1">
        <f t="shared" si="36"/>
        <v>8551.6499999999451</v>
      </c>
      <c r="Y1162" s="1">
        <f t="shared" si="37"/>
        <v>5710.7699999999695</v>
      </c>
    </row>
    <row r="1163" spans="1:25" x14ac:dyDescent="0.3">
      <c r="A1163" s="1" t="s">
        <v>2403</v>
      </c>
      <c r="B1163">
        <v>1</v>
      </c>
      <c r="C1163">
        <v>18.989999999999998</v>
      </c>
      <c r="D1163">
        <v>18.989999999999998</v>
      </c>
      <c r="E1163" s="1" t="s">
        <v>2404</v>
      </c>
      <c r="F1163" s="1" t="s">
        <v>70</v>
      </c>
      <c r="G1163">
        <v>0</v>
      </c>
      <c r="H1163" s="1" t="s">
        <v>41</v>
      </c>
      <c r="I1163" s="1" t="s">
        <v>97</v>
      </c>
      <c r="J1163">
        <v>6</v>
      </c>
      <c r="K1163">
        <v>18.989999999999998</v>
      </c>
      <c r="L1163" s="1" t="s">
        <v>60</v>
      </c>
      <c r="M1163" s="1" t="s">
        <v>43</v>
      </c>
      <c r="N1163" s="1" t="s">
        <v>44</v>
      </c>
      <c r="O1163" s="1" t="s">
        <v>31</v>
      </c>
      <c r="P1163" s="2">
        <v>45823</v>
      </c>
      <c r="Q1163" s="1" t="s">
        <v>720</v>
      </c>
      <c r="R1163" s="1" t="s">
        <v>721</v>
      </c>
      <c r="S1163" s="1" t="s">
        <v>54</v>
      </c>
      <c r="T1163" s="1" t="s">
        <v>35</v>
      </c>
      <c r="U1163" s="1" t="s">
        <v>82</v>
      </c>
      <c r="V1163" s="1" t="s">
        <v>100</v>
      </c>
      <c r="W1163">
        <v>3.2</v>
      </c>
      <c r="X1163" s="1">
        <f t="shared" si="36"/>
        <v>8551.6499999999451</v>
      </c>
      <c r="Y1163" s="1">
        <f t="shared" si="37"/>
        <v>7204.2099999999582</v>
      </c>
    </row>
    <row r="1164" spans="1:25" x14ac:dyDescent="0.3">
      <c r="A1164" s="1" t="s">
        <v>2405</v>
      </c>
      <c r="B1164">
        <v>3</v>
      </c>
      <c r="C1164">
        <v>30.99</v>
      </c>
      <c r="D1164">
        <v>74.290000000000006</v>
      </c>
      <c r="E1164" s="1" t="s">
        <v>1895</v>
      </c>
      <c r="F1164" s="1" t="s">
        <v>188</v>
      </c>
      <c r="G1164">
        <v>0</v>
      </c>
      <c r="H1164" s="1" t="s">
        <v>26</v>
      </c>
      <c r="I1164" s="1" t="s">
        <v>42</v>
      </c>
      <c r="J1164">
        <v>10.5</v>
      </c>
      <c r="K1164">
        <v>30.99</v>
      </c>
      <c r="L1164" s="1" t="s">
        <v>28</v>
      </c>
      <c r="M1164" s="1" t="s">
        <v>43</v>
      </c>
      <c r="N1164" s="1" t="s">
        <v>44</v>
      </c>
      <c r="O1164" s="1" t="s">
        <v>31</v>
      </c>
      <c r="P1164" s="2">
        <v>45823</v>
      </c>
      <c r="Q1164" s="1" t="s">
        <v>118</v>
      </c>
      <c r="R1164" s="1" t="s">
        <v>2406</v>
      </c>
      <c r="S1164" s="1" t="s">
        <v>105</v>
      </c>
      <c r="T1164" s="1" t="s">
        <v>35</v>
      </c>
      <c r="U1164" s="1" t="s">
        <v>48</v>
      </c>
      <c r="V1164" s="1" t="s">
        <v>37</v>
      </c>
      <c r="W1164">
        <v>2</v>
      </c>
      <c r="X1164" s="1">
        <f t="shared" si="36"/>
        <v>8313.6899999999459</v>
      </c>
      <c r="Y1164" s="1">
        <f t="shared" si="37"/>
        <v>7682.919999999951</v>
      </c>
    </row>
    <row r="1165" spans="1:25" x14ac:dyDescent="0.3">
      <c r="A1165" s="1" t="s">
        <v>2407</v>
      </c>
      <c r="B1165">
        <v>1</v>
      </c>
      <c r="C1165">
        <v>30.99</v>
      </c>
      <c r="D1165">
        <v>30.99</v>
      </c>
      <c r="E1165" s="1" t="s">
        <v>107</v>
      </c>
      <c r="F1165" s="1" t="s">
        <v>40</v>
      </c>
      <c r="G1165">
        <v>2</v>
      </c>
      <c r="H1165" s="1" t="s">
        <v>41</v>
      </c>
      <c r="I1165" s="1" t="s">
        <v>42</v>
      </c>
      <c r="J1165">
        <v>10.5</v>
      </c>
      <c r="K1165">
        <v>30.99</v>
      </c>
      <c r="L1165" s="1" t="s">
        <v>28</v>
      </c>
      <c r="M1165" s="1" t="s">
        <v>43</v>
      </c>
      <c r="N1165" s="1" t="s">
        <v>44</v>
      </c>
      <c r="O1165" s="1" t="s">
        <v>31</v>
      </c>
      <c r="P1165" s="2">
        <v>45823</v>
      </c>
      <c r="Q1165" s="1" t="s">
        <v>1408</v>
      </c>
      <c r="R1165" s="1" t="s">
        <v>2055</v>
      </c>
      <c r="S1165" s="1" t="s">
        <v>54</v>
      </c>
      <c r="T1165" s="1" t="s">
        <v>35</v>
      </c>
      <c r="U1165" s="1" t="s">
        <v>82</v>
      </c>
      <c r="V1165" s="1" t="s">
        <v>37</v>
      </c>
      <c r="W1165">
        <v>2</v>
      </c>
      <c r="X1165" s="1">
        <f t="shared" si="36"/>
        <v>8551.6499999999451</v>
      </c>
      <c r="Y1165" s="1">
        <f t="shared" si="37"/>
        <v>7204.2099999999582</v>
      </c>
    </row>
    <row r="1166" spans="1:25" x14ac:dyDescent="0.3">
      <c r="A1166" s="1" t="s">
        <v>2408</v>
      </c>
      <c r="B1166">
        <v>1</v>
      </c>
      <c r="C1166">
        <v>27.99</v>
      </c>
      <c r="D1166">
        <v>27.99</v>
      </c>
      <c r="E1166" s="1" t="s">
        <v>393</v>
      </c>
      <c r="F1166" s="1" t="s">
        <v>70</v>
      </c>
      <c r="G1166">
        <v>0</v>
      </c>
      <c r="H1166" s="1" t="s">
        <v>41</v>
      </c>
      <c r="I1166" s="1" t="s">
        <v>75</v>
      </c>
      <c r="J1166">
        <v>9</v>
      </c>
      <c r="K1166">
        <v>27.99</v>
      </c>
      <c r="L1166" s="1" t="s">
        <v>28</v>
      </c>
      <c r="M1166" s="1" t="s">
        <v>61</v>
      </c>
      <c r="N1166" s="1" t="s">
        <v>62</v>
      </c>
      <c r="O1166" s="1" t="s">
        <v>31</v>
      </c>
      <c r="P1166" s="2">
        <v>45726</v>
      </c>
      <c r="Q1166" s="1" t="s">
        <v>732</v>
      </c>
      <c r="R1166" s="1" t="s">
        <v>825</v>
      </c>
      <c r="S1166" s="1" t="s">
        <v>47</v>
      </c>
      <c r="T1166" s="1" t="s">
        <v>35</v>
      </c>
      <c r="U1166" s="1" t="s">
        <v>66</v>
      </c>
      <c r="V1166" s="1" t="s">
        <v>37</v>
      </c>
      <c r="W1166">
        <v>2</v>
      </c>
      <c r="X1166" s="1">
        <f t="shared" si="36"/>
        <v>8551.6499999999451</v>
      </c>
      <c r="Y1166" s="1">
        <f t="shared" si="37"/>
        <v>6397.4799999999632</v>
      </c>
    </row>
    <row r="1167" spans="1:25" x14ac:dyDescent="0.3">
      <c r="A1167" s="1" t="s">
        <v>2409</v>
      </c>
      <c r="B1167">
        <v>3</v>
      </c>
      <c r="C1167">
        <v>18.989999999999998</v>
      </c>
      <c r="D1167">
        <v>44.78</v>
      </c>
      <c r="E1167" s="1" t="s">
        <v>1588</v>
      </c>
      <c r="F1167" s="1" t="s">
        <v>40</v>
      </c>
      <c r="G1167">
        <v>12</v>
      </c>
      <c r="H1167" s="1" t="s">
        <v>41</v>
      </c>
      <c r="I1167" s="1" t="s">
        <v>97</v>
      </c>
      <c r="J1167">
        <v>6</v>
      </c>
      <c r="K1167">
        <v>18.989999999999998</v>
      </c>
      <c r="L1167" s="1" t="s">
        <v>60</v>
      </c>
      <c r="M1167" s="1" t="s">
        <v>43</v>
      </c>
      <c r="N1167" s="1" t="s">
        <v>44</v>
      </c>
      <c r="O1167" s="1" t="s">
        <v>31</v>
      </c>
      <c r="P1167" s="2">
        <v>45823</v>
      </c>
      <c r="Q1167" s="1" t="s">
        <v>385</v>
      </c>
      <c r="R1167" s="1" t="s">
        <v>998</v>
      </c>
      <c r="S1167" s="1" t="s">
        <v>54</v>
      </c>
      <c r="T1167" s="1" t="s">
        <v>35</v>
      </c>
      <c r="U1167" s="1" t="s">
        <v>48</v>
      </c>
      <c r="V1167" s="1" t="s">
        <v>100</v>
      </c>
      <c r="W1167">
        <v>3.2</v>
      </c>
      <c r="X1167" s="1">
        <f t="shared" si="36"/>
        <v>8551.6499999999451</v>
      </c>
      <c r="Y1167" s="1">
        <f t="shared" si="37"/>
        <v>7682.919999999951</v>
      </c>
    </row>
    <row r="1168" spans="1:25" x14ac:dyDescent="0.3">
      <c r="A1168" s="1" t="s">
        <v>2410</v>
      </c>
      <c r="B1168">
        <v>1</v>
      </c>
      <c r="C1168">
        <v>18.989999999999998</v>
      </c>
      <c r="D1168">
        <v>18.989999999999998</v>
      </c>
      <c r="E1168" s="1" t="s">
        <v>831</v>
      </c>
      <c r="F1168" s="1" t="s">
        <v>51</v>
      </c>
      <c r="G1168">
        <v>0</v>
      </c>
      <c r="H1168" s="1" t="s">
        <v>26</v>
      </c>
      <c r="I1168" s="1" t="s">
        <v>97</v>
      </c>
      <c r="J1168">
        <v>6</v>
      </c>
      <c r="K1168">
        <v>18.989999999999998</v>
      </c>
      <c r="L1168" s="1" t="s">
        <v>60</v>
      </c>
      <c r="M1168" s="1" t="s">
        <v>43</v>
      </c>
      <c r="N1168" s="1" t="s">
        <v>44</v>
      </c>
      <c r="O1168" s="1" t="s">
        <v>31</v>
      </c>
      <c r="P1168" s="2">
        <v>45823</v>
      </c>
      <c r="Q1168" s="1" t="s">
        <v>161</v>
      </c>
      <c r="R1168" s="1" t="s">
        <v>2096</v>
      </c>
      <c r="S1168" s="1" t="s">
        <v>34</v>
      </c>
      <c r="T1168" s="1" t="s">
        <v>35</v>
      </c>
      <c r="U1168" s="1" t="s">
        <v>48</v>
      </c>
      <c r="V1168" s="1" t="s">
        <v>100</v>
      </c>
      <c r="W1168">
        <v>3.2</v>
      </c>
      <c r="X1168" s="1">
        <f t="shared" si="36"/>
        <v>8313.6899999999459</v>
      </c>
      <c r="Y1168" s="1">
        <f t="shared" si="37"/>
        <v>7682.919999999951</v>
      </c>
    </row>
    <row r="1169" spans="1:25" x14ac:dyDescent="0.3">
      <c r="A1169" s="1" t="s">
        <v>2411</v>
      </c>
      <c r="B1169">
        <v>1</v>
      </c>
      <c r="C1169">
        <v>18.989999999999998</v>
      </c>
      <c r="D1169">
        <v>18.989999999999998</v>
      </c>
      <c r="E1169" s="1" t="s">
        <v>2412</v>
      </c>
      <c r="F1169" s="1" t="s">
        <v>25</v>
      </c>
      <c r="G1169">
        <v>17</v>
      </c>
      <c r="H1169" s="1" t="s">
        <v>41</v>
      </c>
      <c r="I1169" s="1" t="s">
        <v>97</v>
      </c>
      <c r="J1169">
        <v>6</v>
      </c>
      <c r="K1169">
        <v>18.989999999999998</v>
      </c>
      <c r="L1169" s="1" t="s">
        <v>60</v>
      </c>
      <c r="M1169" s="1" t="s">
        <v>43</v>
      </c>
      <c r="N1169" s="1" t="s">
        <v>44</v>
      </c>
      <c r="O1169" s="1" t="s">
        <v>31</v>
      </c>
      <c r="P1169" s="2">
        <v>45823</v>
      </c>
      <c r="Q1169" s="1" t="s">
        <v>161</v>
      </c>
      <c r="R1169" s="1" t="s">
        <v>2096</v>
      </c>
      <c r="S1169" s="1" t="s">
        <v>34</v>
      </c>
      <c r="T1169" s="1" t="s">
        <v>35</v>
      </c>
      <c r="U1169" s="1" t="s">
        <v>48</v>
      </c>
      <c r="V1169" s="1" t="s">
        <v>100</v>
      </c>
      <c r="W1169">
        <v>3.2</v>
      </c>
      <c r="X1169" s="1">
        <f t="shared" si="36"/>
        <v>8551.6499999999451</v>
      </c>
      <c r="Y1169" s="1">
        <f t="shared" si="37"/>
        <v>7682.919999999951</v>
      </c>
    </row>
    <row r="1170" spans="1:25" x14ac:dyDescent="0.3">
      <c r="A1170" s="1" t="s">
        <v>2413</v>
      </c>
      <c r="B1170">
        <v>1</v>
      </c>
      <c r="C1170">
        <v>16.989999999999998</v>
      </c>
      <c r="D1170">
        <v>16.989999999999998</v>
      </c>
      <c r="E1170" s="1" t="s">
        <v>452</v>
      </c>
      <c r="F1170" s="1" t="s">
        <v>40</v>
      </c>
      <c r="G1170">
        <v>16</v>
      </c>
      <c r="H1170" s="1" t="s">
        <v>26</v>
      </c>
      <c r="I1170" s="1" t="s">
        <v>59</v>
      </c>
      <c r="J1170">
        <v>5</v>
      </c>
      <c r="K1170">
        <v>16.989999999999998</v>
      </c>
      <c r="L1170" s="1" t="s">
        <v>60</v>
      </c>
      <c r="M1170" s="1" t="s">
        <v>61</v>
      </c>
      <c r="N1170" s="1" t="s">
        <v>62</v>
      </c>
      <c r="O1170" s="1" t="s">
        <v>31</v>
      </c>
      <c r="P1170" s="2">
        <v>45726</v>
      </c>
      <c r="Q1170" s="1" t="s">
        <v>1487</v>
      </c>
      <c r="R1170" s="1" t="s">
        <v>1557</v>
      </c>
      <c r="S1170" s="1" t="s">
        <v>47</v>
      </c>
      <c r="T1170" s="1" t="s">
        <v>35</v>
      </c>
      <c r="U1170" s="1" t="s">
        <v>82</v>
      </c>
      <c r="V1170" s="1" t="s">
        <v>67</v>
      </c>
      <c r="W1170">
        <v>3</v>
      </c>
      <c r="X1170" s="1">
        <f t="shared" si="36"/>
        <v>8313.6899999999459</v>
      </c>
      <c r="Y1170" s="1">
        <f t="shared" si="37"/>
        <v>7204.2099999999582</v>
      </c>
    </row>
    <row r="1171" spans="1:25" x14ac:dyDescent="0.3">
      <c r="A1171" s="1" t="s">
        <v>2414</v>
      </c>
      <c r="B1171">
        <v>1</v>
      </c>
      <c r="C1171">
        <v>34.99</v>
      </c>
      <c r="D1171">
        <v>34.99</v>
      </c>
      <c r="E1171" s="1" t="s">
        <v>1968</v>
      </c>
      <c r="F1171" s="1" t="s">
        <v>40</v>
      </c>
      <c r="G1171">
        <v>6</v>
      </c>
      <c r="H1171" s="1" t="s">
        <v>41</v>
      </c>
      <c r="I1171" s="1" t="s">
        <v>85</v>
      </c>
      <c r="J1171">
        <v>12.5</v>
      </c>
      <c r="K1171">
        <v>34.99</v>
      </c>
      <c r="L1171" s="1" t="s">
        <v>60</v>
      </c>
      <c r="M1171" s="1" t="s">
        <v>29</v>
      </c>
      <c r="N1171" s="1" t="s">
        <v>30</v>
      </c>
      <c r="O1171" s="1" t="s">
        <v>31</v>
      </c>
      <c r="P1171" s="2">
        <v>45778</v>
      </c>
      <c r="Q1171" s="1" t="s">
        <v>1157</v>
      </c>
      <c r="R1171" s="1" t="s">
        <v>1158</v>
      </c>
      <c r="S1171" s="1" t="s">
        <v>105</v>
      </c>
      <c r="T1171" s="1" t="s">
        <v>35</v>
      </c>
      <c r="U1171" s="1" t="s">
        <v>55</v>
      </c>
      <c r="V1171" s="1" t="s">
        <v>89</v>
      </c>
      <c r="W1171">
        <v>2.4</v>
      </c>
      <c r="X1171" s="1">
        <f t="shared" si="36"/>
        <v>8551.6499999999451</v>
      </c>
      <c r="Y1171" s="1">
        <f t="shared" si="37"/>
        <v>5710.7699999999695</v>
      </c>
    </row>
    <row r="1172" spans="1:25" x14ac:dyDescent="0.3">
      <c r="A1172" s="1" t="s">
        <v>2415</v>
      </c>
      <c r="B1172">
        <v>1</v>
      </c>
      <c r="C1172">
        <v>27.99</v>
      </c>
      <c r="D1172">
        <v>27.99</v>
      </c>
      <c r="E1172" s="1" t="s">
        <v>2416</v>
      </c>
      <c r="F1172" s="1" t="s">
        <v>40</v>
      </c>
      <c r="G1172">
        <v>2</v>
      </c>
      <c r="H1172" s="1" t="s">
        <v>41</v>
      </c>
      <c r="I1172" s="1" t="s">
        <v>75</v>
      </c>
      <c r="J1172">
        <v>9</v>
      </c>
      <c r="K1172">
        <v>27.99</v>
      </c>
      <c r="L1172" s="1" t="s">
        <v>28</v>
      </c>
      <c r="M1172" s="1" t="s">
        <v>61</v>
      </c>
      <c r="N1172" s="1" t="s">
        <v>62</v>
      </c>
      <c r="O1172" s="1" t="s">
        <v>31</v>
      </c>
      <c r="P1172" s="2">
        <v>45726</v>
      </c>
      <c r="Q1172" s="1" t="s">
        <v>1083</v>
      </c>
      <c r="R1172" s="1" t="s">
        <v>1084</v>
      </c>
      <c r="S1172" s="1" t="s">
        <v>47</v>
      </c>
      <c r="T1172" s="1" t="s">
        <v>35</v>
      </c>
      <c r="U1172" s="1" t="s">
        <v>36</v>
      </c>
      <c r="V1172" s="1" t="s">
        <v>37</v>
      </c>
      <c r="W1172">
        <v>2</v>
      </c>
      <c r="X1172" s="1">
        <f t="shared" si="36"/>
        <v>8551.6499999999451</v>
      </c>
      <c r="Y1172" s="1">
        <f t="shared" si="37"/>
        <v>6355.4899999999634</v>
      </c>
    </row>
    <row r="1173" spans="1:25" x14ac:dyDescent="0.3">
      <c r="A1173" s="1" t="s">
        <v>2417</v>
      </c>
      <c r="B1173">
        <v>1</v>
      </c>
      <c r="C1173">
        <v>16.989999999999998</v>
      </c>
      <c r="D1173">
        <v>16.989999999999998</v>
      </c>
      <c r="E1173" s="1" t="s">
        <v>2167</v>
      </c>
      <c r="F1173" s="1" t="s">
        <v>40</v>
      </c>
      <c r="G1173">
        <v>20</v>
      </c>
      <c r="H1173" s="1" t="s">
        <v>58</v>
      </c>
      <c r="I1173" s="1" t="s">
        <v>59</v>
      </c>
      <c r="J1173">
        <v>5</v>
      </c>
      <c r="K1173">
        <v>16.989999999999998</v>
      </c>
      <c r="L1173" s="1" t="s">
        <v>60</v>
      </c>
      <c r="M1173" s="1" t="s">
        <v>61</v>
      </c>
      <c r="N1173" s="1" t="s">
        <v>62</v>
      </c>
      <c r="O1173" s="1" t="s">
        <v>31</v>
      </c>
      <c r="P1173" s="2">
        <v>45726</v>
      </c>
      <c r="Q1173" s="1" t="s">
        <v>1398</v>
      </c>
      <c r="R1173" s="1" t="s">
        <v>1399</v>
      </c>
      <c r="S1173" s="1" t="s">
        <v>54</v>
      </c>
      <c r="T1173" s="1" t="s">
        <v>35</v>
      </c>
      <c r="U1173" s="1" t="s">
        <v>48</v>
      </c>
      <c r="V1173" s="1" t="s">
        <v>67</v>
      </c>
      <c r="W1173">
        <v>3</v>
      </c>
      <c r="X1173" s="1">
        <f t="shared" si="36"/>
        <v>8640.6199999999462</v>
      </c>
      <c r="Y1173" s="1">
        <f t="shared" si="37"/>
        <v>7682.919999999951</v>
      </c>
    </row>
    <row r="1174" spans="1:25" x14ac:dyDescent="0.3">
      <c r="A1174" s="1" t="s">
        <v>2418</v>
      </c>
      <c r="B1174">
        <v>1</v>
      </c>
      <c r="C1174">
        <v>21.99</v>
      </c>
      <c r="D1174">
        <v>21.99</v>
      </c>
      <c r="E1174" s="1" t="s">
        <v>2419</v>
      </c>
      <c r="F1174" s="1" t="s">
        <v>40</v>
      </c>
      <c r="G1174">
        <v>8</v>
      </c>
      <c r="H1174" s="1" t="s">
        <v>58</v>
      </c>
      <c r="I1174" s="1" t="s">
        <v>27</v>
      </c>
      <c r="J1174">
        <v>7</v>
      </c>
      <c r="K1174">
        <v>21.99</v>
      </c>
      <c r="L1174" s="1" t="s">
        <v>28</v>
      </c>
      <c r="M1174" s="1" t="s">
        <v>29</v>
      </c>
      <c r="N1174" s="1" t="s">
        <v>30</v>
      </c>
      <c r="O1174" s="1" t="s">
        <v>31</v>
      </c>
      <c r="P1174" s="2">
        <v>45778</v>
      </c>
      <c r="Q1174" s="1" t="s">
        <v>2276</v>
      </c>
      <c r="R1174" s="1" t="s">
        <v>2277</v>
      </c>
      <c r="S1174" s="1" t="s">
        <v>105</v>
      </c>
      <c r="T1174" s="1" t="s">
        <v>35</v>
      </c>
      <c r="U1174" s="1" t="s">
        <v>48</v>
      </c>
      <c r="V1174" s="1" t="s">
        <v>37</v>
      </c>
      <c r="W1174">
        <v>2</v>
      </c>
      <c r="X1174" s="1">
        <f t="shared" si="36"/>
        <v>8640.6199999999462</v>
      </c>
      <c r="Y1174" s="1">
        <f t="shared" si="37"/>
        <v>7682.919999999951</v>
      </c>
    </row>
    <row r="1175" spans="1:25" x14ac:dyDescent="0.3">
      <c r="A1175" s="1" t="s">
        <v>2420</v>
      </c>
      <c r="B1175">
        <v>3</v>
      </c>
      <c r="C1175">
        <v>18.989999999999998</v>
      </c>
      <c r="D1175">
        <v>45.11</v>
      </c>
      <c r="E1175" s="1" t="s">
        <v>2421</v>
      </c>
      <c r="F1175" s="1" t="s">
        <v>40</v>
      </c>
      <c r="G1175">
        <v>20</v>
      </c>
      <c r="H1175" s="1" t="s">
        <v>58</v>
      </c>
      <c r="I1175" s="1" t="s">
        <v>97</v>
      </c>
      <c r="J1175">
        <v>6</v>
      </c>
      <c r="K1175">
        <v>18.989999999999998</v>
      </c>
      <c r="L1175" s="1" t="s">
        <v>60</v>
      </c>
      <c r="M1175" s="1" t="s">
        <v>43</v>
      </c>
      <c r="N1175" s="1" t="s">
        <v>44</v>
      </c>
      <c r="O1175" s="1" t="s">
        <v>31</v>
      </c>
      <c r="P1175" s="2">
        <v>45823</v>
      </c>
      <c r="Q1175" s="1" t="s">
        <v>943</v>
      </c>
      <c r="R1175" s="1" t="s">
        <v>1346</v>
      </c>
      <c r="S1175" s="1" t="s">
        <v>54</v>
      </c>
      <c r="T1175" s="1" t="s">
        <v>35</v>
      </c>
      <c r="U1175" s="1" t="s">
        <v>55</v>
      </c>
      <c r="V1175" s="1" t="s">
        <v>100</v>
      </c>
      <c r="W1175">
        <v>3.2</v>
      </c>
      <c r="X1175" s="1">
        <f t="shared" si="36"/>
        <v>8640.6199999999462</v>
      </c>
      <c r="Y1175" s="1">
        <f t="shared" si="37"/>
        <v>5710.7699999999695</v>
      </c>
    </row>
    <row r="1176" spans="1:25" x14ac:dyDescent="0.3">
      <c r="A1176" s="1" t="s">
        <v>2422</v>
      </c>
      <c r="B1176">
        <v>3</v>
      </c>
      <c r="C1176">
        <v>27.99</v>
      </c>
      <c r="D1176">
        <v>67.709999999999994</v>
      </c>
      <c r="E1176" s="1" t="s">
        <v>2062</v>
      </c>
      <c r="F1176" s="1" t="s">
        <v>51</v>
      </c>
      <c r="G1176">
        <v>0</v>
      </c>
      <c r="H1176" s="1" t="s">
        <v>58</v>
      </c>
      <c r="I1176" s="1" t="s">
        <v>75</v>
      </c>
      <c r="J1176">
        <v>9</v>
      </c>
      <c r="K1176">
        <v>27.99</v>
      </c>
      <c r="L1176" s="1" t="s">
        <v>28</v>
      </c>
      <c r="M1176" s="1" t="s">
        <v>61</v>
      </c>
      <c r="N1176" s="1" t="s">
        <v>62</v>
      </c>
      <c r="O1176" s="1" t="s">
        <v>31</v>
      </c>
      <c r="P1176" s="2">
        <v>45726</v>
      </c>
      <c r="Q1176" s="1" t="s">
        <v>1024</v>
      </c>
      <c r="R1176" s="1" t="s">
        <v>1025</v>
      </c>
      <c r="S1176" s="1" t="s">
        <v>34</v>
      </c>
      <c r="T1176" s="1" t="s">
        <v>35</v>
      </c>
      <c r="U1176" s="1" t="s">
        <v>66</v>
      </c>
      <c r="V1176" s="1" t="s">
        <v>37</v>
      </c>
      <c r="W1176">
        <v>2</v>
      </c>
      <c r="X1176" s="1">
        <f t="shared" si="36"/>
        <v>8640.6199999999462</v>
      </c>
      <c r="Y1176" s="1">
        <f t="shared" si="37"/>
        <v>6397.4799999999632</v>
      </c>
    </row>
    <row r="1177" spans="1:25" x14ac:dyDescent="0.3">
      <c r="A1177" s="1" t="s">
        <v>2423</v>
      </c>
      <c r="B1177">
        <v>1</v>
      </c>
      <c r="C1177">
        <v>27.99</v>
      </c>
      <c r="D1177">
        <v>27.99</v>
      </c>
      <c r="E1177" s="1" t="s">
        <v>1832</v>
      </c>
      <c r="F1177" s="1" t="s">
        <v>70</v>
      </c>
      <c r="G1177">
        <v>0</v>
      </c>
      <c r="H1177" s="1" t="s">
        <v>58</v>
      </c>
      <c r="I1177" s="1" t="s">
        <v>75</v>
      </c>
      <c r="J1177">
        <v>9</v>
      </c>
      <c r="K1177">
        <v>27.99</v>
      </c>
      <c r="L1177" s="1" t="s">
        <v>28</v>
      </c>
      <c r="M1177" s="1" t="s">
        <v>61</v>
      </c>
      <c r="N1177" s="1" t="s">
        <v>62</v>
      </c>
      <c r="O1177" s="1" t="s">
        <v>31</v>
      </c>
      <c r="P1177" s="2">
        <v>45726</v>
      </c>
      <c r="Q1177" s="1" t="s">
        <v>2424</v>
      </c>
      <c r="R1177" s="1" t="s">
        <v>2425</v>
      </c>
      <c r="S1177" s="1" t="s">
        <v>47</v>
      </c>
      <c r="T1177" s="1" t="s">
        <v>35</v>
      </c>
      <c r="U1177" s="1" t="s">
        <v>66</v>
      </c>
      <c r="V1177" s="1" t="s">
        <v>37</v>
      </c>
      <c r="W1177">
        <v>2</v>
      </c>
      <c r="X1177" s="1">
        <f t="shared" si="36"/>
        <v>8640.6199999999462</v>
      </c>
      <c r="Y1177" s="1">
        <f t="shared" si="37"/>
        <v>6397.4799999999632</v>
      </c>
    </row>
    <row r="1178" spans="1:25" x14ac:dyDescent="0.3">
      <c r="A1178" s="1" t="s">
        <v>2426</v>
      </c>
      <c r="B1178">
        <v>1</v>
      </c>
      <c r="C1178">
        <v>18.989999999999998</v>
      </c>
      <c r="D1178">
        <v>18.989999999999998</v>
      </c>
      <c r="E1178" s="1" t="s">
        <v>1230</v>
      </c>
      <c r="F1178" s="1" t="s">
        <v>51</v>
      </c>
      <c r="G1178">
        <v>0</v>
      </c>
      <c r="H1178" s="1" t="s">
        <v>96</v>
      </c>
      <c r="I1178" s="1" t="s">
        <v>97</v>
      </c>
      <c r="J1178">
        <v>6</v>
      </c>
      <c r="K1178">
        <v>18.989999999999998</v>
      </c>
      <c r="L1178" s="1" t="s">
        <v>60</v>
      </c>
      <c r="M1178" s="1" t="s">
        <v>43</v>
      </c>
      <c r="N1178" s="1" t="s">
        <v>44</v>
      </c>
      <c r="O1178" s="1" t="s">
        <v>31</v>
      </c>
      <c r="P1178" s="2">
        <v>45823</v>
      </c>
      <c r="Q1178" s="1" t="s">
        <v>2427</v>
      </c>
      <c r="R1178" s="1" t="s">
        <v>2428</v>
      </c>
      <c r="S1178" s="1" t="s">
        <v>54</v>
      </c>
      <c r="T1178" s="1" t="s">
        <v>35</v>
      </c>
      <c r="U1178" s="1" t="s">
        <v>48</v>
      </c>
      <c r="V1178" s="1" t="s">
        <v>100</v>
      </c>
      <c r="W1178">
        <v>3.2</v>
      </c>
      <c r="X1178" s="1">
        <f t="shared" si="36"/>
        <v>7844.9099999999507</v>
      </c>
      <c r="Y1178" s="1">
        <f t="shared" si="37"/>
        <v>7682.919999999951</v>
      </c>
    </row>
    <row r="1179" spans="1:25" x14ac:dyDescent="0.3">
      <c r="A1179" s="1" t="s">
        <v>2429</v>
      </c>
      <c r="B1179">
        <v>3</v>
      </c>
      <c r="C1179">
        <v>34.99</v>
      </c>
      <c r="D1179">
        <v>83.13</v>
      </c>
      <c r="E1179" s="1" t="s">
        <v>272</v>
      </c>
      <c r="F1179" s="1" t="s">
        <v>40</v>
      </c>
      <c r="G1179">
        <v>6</v>
      </c>
      <c r="H1179" s="1" t="s">
        <v>58</v>
      </c>
      <c r="I1179" s="1" t="s">
        <v>85</v>
      </c>
      <c r="J1179">
        <v>12.5</v>
      </c>
      <c r="K1179">
        <v>34.99</v>
      </c>
      <c r="L1179" s="1" t="s">
        <v>60</v>
      </c>
      <c r="M1179" s="1" t="s">
        <v>29</v>
      </c>
      <c r="N1179" s="1" t="s">
        <v>30</v>
      </c>
      <c r="O1179" s="1" t="s">
        <v>31</v>
      </c>
      <c r="P1179" s="2">
        <v>45778</v>
      </c>
      <c r="Q1179" s="1" t="s">
        <v>1253</v>
      </c>
      <c r="R1179" s="1" t="s">
        <v>1875</v>
      </c>
      <c r="S1179" s="1" t="s">
        <v>105</v>
      </c>
      <c r="T1179" s="1" t="s">
        <v>35</v>
      </c>
      <c r="U1179" s="1" t="s">
        <v>66</v>
      </c>
      <c r="V1179" s="1" t="s">
        <v>89</v>
      </c>
      <c r="W1179">
        <v>2.4</v>
      </c>
      <c r="X1179" s="1">
        <f t="shared" si="36"/>
        <v>8640.6199999999462</v>
      </c>
      <c r="Y1179" s="1">
        <f t="shared" si="37"/>
        <v>6397.4799999999632</v>
      </c>
    </row>
    <row r="1180" spans="1:25" x14ac:dyDescent="0.3">
      <c r="A1180" s="1" t="s">
        <v>2430</v>
      </c>
      <c r="B1180">
        <v>3</v>
      </c>
      <c r="C1180">
        <v>30.99</v>
      </c>
      <c r="D1180">
        <v>73.66</v>
      </c>
      <c r="E1180" s="1" t="s">
        <v>1170</v>
      </c>
      <c r="F1180" s="1" t="s">
        <v>40</v>
      </c>
      <c r="G1180">
        <v>6</v>
      </c>
      <c r="H1180" s="1" t="s">
        <v>41</v>
      </c>
      <c r="I1180" s="1" t="s">
        <v>42</v>
      </c>
      <c r="J1180">
        <v>10.5</v>
      </c>
      <c r="K1180">
        <v>30.99</v>
      </c>
      <c r="L1180" s="1" t="s">
        <v>28</v>
      </c>
      <c r="M1180" s="1" t="s">
        <v>43</v>
      </c>
      <c r="N1180" s="1" t="s">
        <v>44</v>
      </c>
      <c r="O1180" s="1" t="s">
        <v>31</v>
      </c>
      <c r="P1180" s="2">
        <v>45823</v>
      </c>
      <c r="Q1180" s="1" t="s">
        <v>1349</v>
      </c>
      <c r="R1180" s="1" t="s">
        <v>1439</v>
      </c>
      <c r="S1180" s="1" t="s">
        <v>65</v>
      </c>
      <c r="T1180" s="1" t="s">
        <v>35</v>
      </c>
      <c r="U1180" s="1" t="s">
        <v>36</v>
      </c>
      <c r="V1180" s="1" t="s">
        <v>37</v>
      </c>
      <c r="W1180">
        <v>2</v>
      </c>
      <c r="X1180" s="1">
        <f t="shared" si="36"/>
        <v>8551.6499999999451</v>
      </c>
      <c r="Y1180" s="1">
        <f t="shared" si="37"/>
        <v>6355.4899999999634</v>
      </c>
    </row>
    <row r="1181" spans="1:25" x14ac:dyDescent="0.3">
      <c r="A1181" s="1" t="s">
        <v>2431</v>
      </c>
      <c r="B1181">
        <v>1</v>
      </c>
      <c r="C1181">
        <v>34.99</v>
      </c>
      <c r="D1181">
        <v>34.99</v>
      </c>
      <c r="E1181" s="1" t="s">
        <v>1431</v>
      </c>
      <c r="F1181" s="1" t="s">
        <v>188</v>
      </c>
      <c r="G1181">
        <v>0</v>
      </c>
      <c r="H1181" s="1" t="s">
        <v>41</v>
      </c>
      <c r="I1181" s="1" t="s">
        <v>85</v>
      </c>
      <c r="J1181">
        <v>12.5</v>
      </c>
      <c r="K1181">
        <v>34.99</v>
      </c>
      <c r="L1181" s="1" t="s">
        <v>60</v>
      </c>
      <c r="M1181" s="1" t="s">
        <v>29</v>
      </c>
      <c r="N1181" s="1" t="s">
        <v>30</v>
      </c>
      <c r="O1181" s="1" t="s">
        <v>31</v>
      </c>
      <c r="P1181" s="2">
        <v>45778</v>
      </c>
      <c r="Q1181" s="1" t="s">
        <v>182</v>
      </c>
      <c r="R1181" s="1" t="s">
        <v>754</v>
      </c>
      <c r="S1181" s="1" t="s">
        <v>65</v>
      </c>
      <c r="T1181" s="1" t="s">
        <v>35</v>
      </c>
      <c r="U1181" s="1" t="s">
        <v>36</v>
      </c>
      <c r="V1181" s="1" t="s">
        <v>89</v>
      </c>
      <c r="W1181">
        <v>2.4</v>
      </c>
      <c r="X1181" s="1">
        <f t="shared" si="36"/>
        <v>8551.6499999999451</v>
      </c>
      <c r="Y1181" s="1">
        <f t="shared" si="37"/>
        <v>6355.4899999999634</v>
      </c>
    </row>
    <row r="1182" spans="1:25" x14ac:dyDescent="0.3">
      <c r="A1182" s="1" t="s">
        <v>2432</v>
      </c>
      <c r="B1182">
        <v>1</v>
      </c>
      <c r="C1182">
        <v>18.989999999999998</v>
      </c>
      <c r="D1182">
        <v>18.989999999999998</v>
      </c>
      <c r="E1182" s="1" t="s">
        <v>2433</v>
      </c>
      <c r="F1182" s="1" t="s">
        <v>51</v>
      </c>
      <c r="G1182">
        <v>0</v>
      </c>
      <c r="H1182" s="1" t="s">
        <v>58</v>
      </c>
      <c r="I1182" s="1" t="s">
        <v>97</v>
      </c>
      <c r="J1182">
        <v>6</v>
      </c>
      <c r="K1182">
        <v>18.989999999999998</v>
      </c>
      <c r="L1182" s="1" t="s">
        <v>60</v>
      </c>
      <c r="M1182" s="1" t="s">
        <v>43</v>
      </c>
      <c r="N1182" s="1" t="s">
        <v>44</v>
      </c>
      <c r="O1182" s="1" t="s">
        <v>31</v>
      </c>
      <c r="P1182" s="2">
        <v>45823</v>
      </c>
      <c r="Q1182" s="1" t="s">
        <v>161</v>
      </c>
      <c r="R1182" s="1" t="s">
        <v>2096</v>
      </c>
      <c r="S1182" s="1" t="s">
        <v>34</v>
      </c>
      <c r="T1182" s="1" t="s">
        <v>35</v>
      </c>
      <c r="U1182" s="1" t="s">
        <v>48</v>
      </c>
      <c r="V1182" s="1" t="s">
        <v>100</v>
      </c>
      <c r="W1182">
        <v>3.2</v>
      </c>
      <c r="X1182" s="1">
        <f t="shared" si="36"/>
        <v>8640.6199999999462</v>
      </c>
      <c r="Y1182" s="1">
        <f t="shared" si="37"/>
        <v>7682.919999999951</v>
      </c>
    </row>
    <row r="1183" spans="1:25" x14ac:dyDescent="0.3">
      <c r="A1183" s="1" t="s">
        <v>2434</v>
      </c>
      <c r="B1183">
        <v>1</v>
      </c>
      <c r="C1183">
        <v>21.99</v>
      </c>
      <c r="D1183">
        <v>21.99</v>
      </c>
      <c r="E1183" s="1" t="s">
        <v>338</v>
      </c>
      <c r="F1183" s="1" t="s">
        <v>40</v>
      </c>
      <c r="G1183">
        <v>3</v>
      </c>
      <c r="H1183" s="1" t="s">
        <v>26</v>
      </c>
      <c r="I1183" s="1" t="s">
        <v>27</v>
      </c>
      <c r="J1183">
        <v>7</v>
      </c>
      <c r="K1183">
        <v>21.99</v>
      </c>
      <c r="L1183" s="1" t="s">
        <v>28</v>
      </c>
      <c r="M1183" s="1" t="s">
        <v>29</v>
      </c>
      <c r="N1183" s="1" t="s">
        <v>30</v>
      </c>
      <c r="O1183" s="1" t="s">
        <v>31</v>
      </c>
      <c r="P1183" s="2">
        <v>45778</v>
      </c>
      <c r="Q1183" s="1" t="s">
        <v>385</v>
      </c>
      <c r="R1183" s="1" t="s">
        <v>998</v>
      </c>
      <c r="S1183" s="1" t="s">
        <v>54</v>
      </c>
      <c r="T1183" s="1" t="s">
        <v>35</v>
      </c>
      <c r="U1183" s="1" t="s">
        <v>48</v>
      </c>
      <c r="V1183" s="1" t="s">
        <v>37</v>
      </c>
      <c r="W1183">
        <v>2</v>
      </c>
      <c r="X1183" s="1">
        <f t="shared" si="36"/>
        <v>8313.6899999999459</v>
      </c>
      <c r="Y1183" s="1">
        <f t="shared" si="37"/>
        <v>7682.919999999951</v>
      </c>
    </row>
    <row r="1184" spans="1:25" x14ac:dyDescent="0.3">
      <c r="A1184" s="1" t="s">
        <v>2435</v>
      </c>
      <c r="B1184">
        <v>3</v>
      </c>
      <c r="C1184">
        <v>21.99</v>
      </c>
      <c r="D1184">
        <v>52.8</v>
      </c>
      <c r="E1184" s="1" t="s">
        <v>209</v>
      </c>
      <c r="F1184" s="1" t="s">
        <v>70</v>
      </c>
      <c r="G1184">
        <v>0</v>
      </c>
      <c r="H1184" s="1" t="s">
        <v>41</v>
      </c>
      <c r="I1184" s="1" t="s">
        <v>27</v>
      </c>
      <c r="J1184">
        <v>7</v>
      </c>
      <c r="K1184">
        <v>21.99</v>
      </c>
      <c r="L1184" s="1" t="s">
        <v>28</v>
      </c>
      <c r="M1184" s="1" t="s">
        <v>29</v>
      </c>
      <c r="N1184" s="1" t="s">
        <v>30</v>
      </c>
      <c r="O1184" s="1" t="s">
        <v>31</v>
      </c>
      <c r="P1184" s="2">
        <v>45778</v>
      </c>
      <c r="Q1184" s="1" t="s">
        <v>1336</v>
      </c>
      <c r="R1184" s="1" t="s">
        <v>1337</v>
      </c>
      <c r="S1184" s="1" t="s">
        <v>105</v>
      </c>
      <c r="T1184" s="1" t="s">
        <v>35</v>
      </c>
      <c r="U1184" s="1" t="s">
        <v>55</v>
      </c>
      <c r="V1184" s="1" t="s">
        <v>37</v>
      </c>
      <c r="W1184">
        <v>2</v>
      </c>
      <c r="X1184" s="1">
        <f t="shared" si="36"/>
        <v>8551.6499999999451</v>
      </c>
      <c r="Y1184" s="1">
        <f t="shared" si="37"/>
        <v>5710.7699999999695</v>
      </c>
    </row>
    <row r="1185" spans="1:25" x14ac:dyDescent="0.3">
      <c r="A1185" s="1" t="s">
        <v>2436</v>
      </c>
      <c r="B1185">
        <v>1</v>
      </c>
      <c r="C1185">
        <v>30.99</v>
      </c>
      <c r="D1185">
        <v>30.99</v>
      </c>
      <c r="E1185" s="1" t="s">
        <v>617</v>
      </c>
      <c r="F1185" s="1" t="s">
        <v>40</v>
      </c>
      <c r="G1185">
        <v>2</v>
      </c>
      <c r="H1185" s="1" t="s">
        <v>58</v>
      </c>
      <c r="I1185" s="1" t="s">
        <v>42</v>
      </c>
      <c r="J1185">
        <v>10.5</v>
      </c>
      <c r="K1185">
        <v>30.99</v>
      </c>
      <c r="L1185" s="1" t="s">
        <v>28</v>
      </c>
      <c r="M1185" s="1" t="s">
        <v>43</v>
      </c>
      <c r="N1185" s="1" t="s">
        <v>44</v>
      </c>
      <c r="O1185" s="1" t="s">
        <v>31</v>
      </c>
      <c r="P1185" s="2">
        <v>45823</v>
      </c>
      <c r="Q1185" s="1" t="s">
        <v>1480</v>
      </c>
      <c r="R1185" s="1" t="s">
        <v>1481</v>
      </c>
      <c r="S1185" s="1" t="s">
        <v>34</v>
      </c>
      <c r="T1185" s="1" t="s">
        <v>35</v>
      </c>
      <c r="U1185" s="1" t="s">
        <v>66</v>
      </c>
      <c r="V1185" s="1" t="s">
        <v>37</v>
      </c>
      <c r="W1185">
        <v>2</v>
      </c>
      <c r="X1185" s="1">
        <f t="shared" si="36"/>
        <v>8640.6199999999462</v>
      </c>
      <c r="Y1185" s="1">
        <f t="shared" si="37"/>
        <v>6397.4799999999632</v>
      </c>
    </row>
    <row r="1186" spans="1:25" x14ac:dyDescent="0.3">
      <c r="A1186" s="1" t="s">
        <v>2437</v>
      </c>
      <c r="B1186">
        <v>1</v>
      </c>
      <c r="C1186">
        <v>18.989999999999998</v>
      </c>
      <c r="D1186">
        <v>18.989999999999998</v>
      </c>
      <c r="E1186" s="1" t="s">
        <v>109</v>
      </c>
      <c r="F1186" s="1" t="s">
        <v>51</v>
      </c>
      <c r="G1186">
        <v>0</v>
      </c>
      <c r="H1186" s="1" t="s">
        <v>26</v>
      </c>
      <c r="I1186" s="1" t="s">
        <v>97</v>
      </c>
      <c r="J1186">
        <v>6</v>
      </c>
      <c r="K1186">
        <v>18.989999999999998</v>
      </c>
      <c r="L1186" s="1" t="s">
        <v>60</v>
      </c>
      <c r="M1186" s="1" t="s">
        <v>43</v>
      </c>
      <c r="N1186" s="1" t="s">
        <v>44</v>
      </c>
      <c r="O1186" s="1" t="s">
        <v>31</v>
      </c>
      <c r="P1186" s="2">
        <v>45823</v>
      </c>
      <c r="Q1186" s="1" t="s">
        <v>1260</v>
      </c>
      <c r="R1186" s="1" t="s">
        <v>1261</v>
      </c>
      <c r="S1186" s="1" t="s">
        <v>105</v>
      </c>
      <c r="T1186" s="1" t="s">
        <v>35</v>
      </c>
      <c r="U1186" s="1" t="s">
        <v>82</v>
      </c>
      <c r="V1186" s="1" t="s">
        <v>100</v>
      </c>
      <c r="W1186">
        <v>3.2</v>
      </c>
      <c r="X1186" s="1">
        <f t="shared" si="36"/>
        <v>8313.6899999999459</v>
      </c>
      <c r="Y1186" s="1">
        <f t="shared" si="37"/>
        <v>7204.2099999999582</v>
      </c>
    </row>
    <row r="1187" spans="1:25" x14ac:dyDescent="0.3">
      <c r="A1187" s="1" t="s">
        <v>2438</v>
      </c>
      <c r="B1187">
        <v>3</v>
      </c>
      <c r="C1187">
        <v>27.99</v>
      </c>
      <c r="D1187">
        <v>67.7</v>
      </c>
      <c r="E1187" s="1" t="s">
        <v>1271</v>
      </c>
      <c r="F1187" s="1" t="s">
        <v>40</v>
      </c>
      <c r="G1187">
        <v>3</v>
      </c>
      <c r="H1187" s="1" t="s">
        <v>58</v>
      </c>
      <c r="I1187" s="1" t="s">
        <v>75</v>
      </c>
      <c r="J1187">
        <v>9</v>
      </c>
      <c r="K1187">
        <v>27.99</v>
      </c>
      <c r="L1187" s="1" t="s">
        <v>28</v>
      </c>
      <c r="M1187" s="1" t="s">
        <v>61</v>
      </c>
      <c r="N1187" s="1" t="s">
        <v>62</v>
      </c>
      <c r="O1187" s="1" t="s">
        <v>31</v>
      </c>
      <c r="P1187" s="2">
        <v>45726</v>
      </c>
      <c r="Q1187" s="1" t="s">
        <v>1137</v>
      </c>
      <c r="R1187" s="1" t="s">
        <v>2255</v>
      </c>
      <c r="S1187" s="1" t="s">
        <v>65</v>
      </c>
      <c r="T1187" s="1" t="s">
        <v>35</v>
      </c>
      <c r="U1187" s="1" t="s">
        <v>36</v>
      </c>
      <c r="V1187" s="1" t="s">
        <v>37</v>
      </c>
      <c r="W1187">
        <v>2</v>
      </c>
      <c r="X1187" s="1">
        <f t="shared" si="36"/>
        <v>8640.6199999999462</v>
      </c>
      <c r="Y1187" s="1">
        <f t="shared" si="37"/>
        <v>6355.4899999999634</v>
      </c>
    </row>
    <row r="1188" spans="1:25" x14ac:dyDescent="0.3">
      <c r="A1188" s="1" t="s">
        <v>2439</v>
      </c>
      <c r="B1188">
        <v>1</v>
      </c>
      <c r="C1188">
        <v>16.989999999999998</v>
      </c>
      <c r="D1188">
        <v>16.989999999999998</v>
      </c>
      <c r="E1188" s="1" t="s">
        <v>1574</v>
      </c>
      <c r="F1188" s="1" t="s">
        <v>70</v>
      </c>
      <c r="G1188">
        <v>0</v>
      </c>
      <c r="H1188" s="1" t="s">
        <v>96</v>
      </c>
      <c r="I1188" s="1" t="s">
        <v>59</v>
      </c>
      <c r="J1188">
        <v>5</v>
      </c>
      <c r="K1188">
        <v>16.989999999999998</v>
      </c>
      <c r="L1188" s="1" t="s">
        <v>60</v>
      </c>
      <c r="M1188" s="1" t="s">
        <v>61</v>
      </c>
      <c r="N1188" s="1" t="s">
        <v>62</v>
      </c>
      <c r="O1188" s="1" t="s">
        <v>31</v>
      </c>
      <c r="P1188" s="2">
        <v>45726</v>
      </c>
      <c r="Q1188" s="1" t="s">
        <v>1385</v>
      </c>
      <c r="R1188" s="1" t="s">
        <v>1386</v>
      </c>
      <c r="S1188" s="1" t="s">
        <v>47</v>
      </c>
      <c r="T1188" s="1" t="s">
        <v>35</v>
      </c>
      <c r="U1188" s="1" t="s">
        <v>66</v>
      </c>
      <c r="V1188" s="1" t="s">
        <v>67</v>
      </c>
      <c r="W1188">
        <v>3</v>
      </c>
      <c r="X1188" s="1">
        <f t="shared" si="36"/>
        <v>7844.9099999999507</v>
      </c>
      <c r="Y1188" s="1">
        <f t="shared" si="37"/>
        <v>6397.4799999999632</v>
      </c>
    </row>
    <row r="1189" spans="1:25" x14ac:dyDescent="0.3">
      <c r="A1189" s="1" t="s">
        <v>2440</v>
      </c>
      <c r="B1189">
        <v>1</v>
      </c>
      <c r="C1189">
        <v>30.99</v>
      </c>
      <c r="D1189">
        <v>30.99</v>
      </c>
      <c r="E1189" s="1" t="s">
        <v>1086</v>
      </c>
      <c r="F1189" s="1" t="s">
        <v>40</v>
      </c>
      <c r="G1189">
        <v>6</v>
      </c>
      <c r="H1189" s="1" t="s">
        <v>41</v>
      </c>
      <c r="I1189" s="1" t="s">
        <v>42</v>
      </c>
      <c r="J1189">
        <v>10.5</v>
      </c>
      <c r="K1189">
        <v>30.99</v>
      </c>
      <c r="L1189" s="1" t="s">
        <v>28</v>
      </c>
      <c r="M1189" s="1" t="s">
        <v>43</v>
      </c>
      <c r="N1189" s="1" t="s">
        <v>44</v>
      </c>
      <c r="O1189" s="1" t="s">
        <v>31</v>
      </c>
      <c r="P1189" s="2">
        <v>45823</v>
      </c>
      <c r="Q1189" s="1" t="s">
        <v>428</v>
      </c>
      <c r="R1189" s="1" t="s">
        <v>1094</v>
      </c>
      <c r="S1189" s="1" t="s">
        <v>105</v>
      </c>
      <c r="T1189" s="1" t="s">
        <v>35</v>
      </c>
      <c r="U1189" s="1" t="s">
        <v>36</v>
      </c>
      <c r="V1189" s="1" t="s">
        <v>37</v>
      </c>
      <c r="W1189">
        <v>2</v>
      </c>
      <c r="X1189" s="1">
        <f t="shared" si="36"/>
        <v>8551.6499999999451</v>
      </c>
      <c r="Y1189" s="1">
        <f t="shared" si="37"/>
        <v>6355.4899999999634</v>
      </c>
    </row>
    <row r="1190" spans="1:25" x14ac:dyDescent="0.3">
      <c r="A1190" s="1" t="s">
        <v>2441</v>
      </c>
      <c r="B1190">
        <v>1</v>
      </c>
      <c r="C1190">
        <v>27.99</v>
      </c>
      <c r="D1190">
        <v>27.99</v>
      </c>
      <c r="E1190" s="1" t="s">
        <v>1411</v>
      </c>
      <c r="F1190" s="1" t="s">
        <v>40</v>
      </c>
      <c r="G1190">
        <v>3</v>
      </c>
      <c r="H1190" s="1" t="s">
        <v>96</v>
      </c>
      <c r="I1190" s="1" t="s">
        <v>75</v>
      </c>
      <c r="J1190">
        <v>9</v>
      </c>
      <c r="K1190">
        <v>27.99</v>
      </c>
      <c r="L1190" s="1" t="s">
        <v>28</v>
      </c>
      <c r="M1190" s="1" t="s">
        <v>61</v>
      </c>
      <c r="N1190" s="1" t="s">
        <v>62</v>
      </c>
      <c r="O1190" s="1" t="s">
        <v>31</v>
      </c>
      <c r="P1190" s="2">
        <v>45726</v>
      </c>
      <c r="Q1190" s="1" t="s">
        <v>1676</v>
      </c>
      <c r="R1190" s="1" t="s">
        <v>1677</v>
      </c>
      <c r="S1190" s="1" t="s">
        <v>105</v>
      </c>
      <c r="T1190" s="1" t="s">
        <v>35</v>
      </c>
      <c r="U1190" s="1" t="s">
        <v>66</v>
      </c>
      <c r="V1190" s="1" t="s">
        <v>37</v>
      </c>
      <c r="W1190">
        <v>2</v>
      </c>
      <c r="X1190" s="1">
        <f t="shared" si="36"/>
        <v>7844.9099999999507</v>
      </c>
      <c r="Y1190" s="1">
        <f t="shared" si="37"/>
        <v>6397.4799999999632</v>
      </c>
    </row>
    <row r="1191" spans="1:25" x14ac:dyDescent="0.3">
      <c r="A1191" s="1" t="s">
        <v>2442</v>
      </c>
      <c r="B1191">
        <v>3</v>
      </c>
      <c r="C1191">
        <v>21.99</v>
      </c>
      <c r="D1191">
        <v>52.66</v>
      </c>
      <c r="E1191" s="1" t="s">
        <v>1590</v>
      </c>
      <c r="F1191" s="1" t="s">
        <v>40</v>
      </c>
      <c r="G1191">
        <v>3</v>
      </c>
      <c r="H1191" s="1" t="s">
        <v>58</v>
      </c>
      <c r="I1191" s="1" t="s">
        <v>27</v>
      </c>
      <c r="J1191">
        <v>7</v>
      </c>
      <c r="K1191">
        <v>21.99</v>
      </c>
      <c r="L1191" s="1" t="s">
        <v>28</v>
      </c>
      <c r="M1191" s="1" t="s">
        <v>29</v>
      </c>
      <c r="N1191" s="1" t="s">
        <v>30</v>
      </c>
      <c r="O1191" s="1" t="s">
        <v>31</v>
      </c>
      <c r="P1191" s="2">
        <v>45778</v>
      </c>
      <c r="Q1191" s="1" t="s">
        <v>1256</v>
      </c>
      <c r="R1191" s="1" t="s">
        <v>1257</v>
      </c>
      <c r="S1191" s="1" t="s">
        <v>47</v>
      </c>
      <c r="T1191" s="1" t="s">
        <v>35</v>
      </c>
      <c r="U1191" s="1" t="s">
        <v>82</v>
      </c>
      <c r="V1191" s="1" t="s">
        <v>37</v>
      </c>
      <c r="W1191">
        <v>2</v>
      </c>
      <c r="X1191" s="1">
        <f t="shared" si="36"/>
        <v>8640.6199999999462</v>
      </c>
      <c r="Y1191" s="1">
        <f t="shared" si="37"/>
        <v>7204.2099999999582</v>
      </c>
    </row>
    <row r="1192" spans="1:25" x14ac:dyDescent="0.3">
      <c r="A1192" s="1" t="s">
        <v>2443</v>
      </c>
      <c r="B1192">
        <v>1</v>
      </c>
      <c r="C1192">
        <v>21.99</v>
      </c>
      <c r="D1192">
        <v>21.99</v>
      </c>
      <c r="E1192" s="1" t="s">
        <v>2444</v>
      </c>
      <c r="F1192" s="1" t="s">
        <v>40</v>
      </c>
      <c r="G1192">
        <v>3</v>
      </c>
      <c r="H1192" s="1" t="s">
        <v>96</v>
      </c>
      <c r="I1192" s="1" t="s">
        <v>27</v>
      </c>
      <c r="J1192">
        <v>7</v>
      </c>
      <c r="K1192">
        <v>21.99</v>
      </c>
      <c r="L1192" s="1" t="s">
        <v>28</v>
      </c>
      <c r="M1192" s="1" t="s">
        <v>29</v>
      </c>
      <c r="N1192" s="1" t="s">
        <v>30</v>
      </c>
      <c r="O1192" s="1" t="s">
        <v>31</v>
      </c>
      <c r="P1192" s="2">
        <v>45778</v>
      </c>
      <c r="Q1192" s="1" t="s">
        <v>850</v>
      </c>
      <c r="R1192" s="1" t="s">
        <v>2445</v>
      </c>
      <c r="S1192" s="1" t="s">
        <v>65</v>
      </c>
      <c r="T1192" s="1" t="s">
        <v>35</v>
      </c>
      <c r="U1192" s="1" t="s">
        <v>48</v>
      </c>
      <c r="V1192" s="1" t="s">
        <v>37</v>
      </c>
      <c r="W1192">
        <v>2</v>
      </c>
      <c r="X1192" s="1">
        <f t="shared" si="36"/>
        <v>7844.9099999999507</v>
      </c>
      <c r="Y1192" s="1">
        <f t="shared" si="37"/>
        <v>7682.919999999951</v>
      </c>
    </row>
    <row r="1193" spans="1:25" x14ac:dyDescent="0.3">
      <c r="A1193" s="1" t="s">
        <v>2446</v>
      </c>
      <c r="B1193">
        <v>2</v>
      </c>
      <c r="C1193">
        <v>34.99</v>
      </c>
      <c r="D1193">
        <v>60.72</v>
      </c>
      <c r="E1193" s="1" t="s">
        <v>2149</v>
      </c>
      <c r="F1193" s="1" t="s">
        <v>70</v>
      </c>
      <c r="G1193">
        <v>0</v>
      </c>
      <c r="H1193" s="1" t="s">
        <v>26</v>
      </c>
      <c r="I1193" s="1" t="s">
        <v>85</v>
      </c>
      <c r="J1193">
        <v>12.5</v>
      </c>
      <c r="K1193">
        <v>34.99</v>
      </c>
      <c r="L1193" s="1" t="s">
        <v>60</v>
      </c>
      <c r="M1193" s="1" t="s">
        <v>29</v>
      </c>
      <c r="N1193" s="1" t="s">
        <v>30</v>
      </c>
      <c r="O1193" s="1" t="s">
        <v>31</v>
      </c>
      <c r="P1193" s="2">
        <v>45778</v>
      </c>
      <c r="Q1193" s="1" t="s">
        <v>738</v>
      </c>
      <c r="R1193" s="1" t="s">
        <v>739</v>
      </c>
      <c r="S1193" s="1" t="s">
        <v>34</v>
      </c>
      <c r="T1193" s="1" t="s">
        <v>35</v>
      </c>
      <c r="U1193" s="1" t="s">
        <v>82</v>
      </c>
      <c r="V1193" s="1" t="s">
        <v>89</v>
      </c>
      <c r="W1193">
        <v>2.4</v>
      </c>
      <c r="X1193" s="1">
        <f t="shared" si="36"/>
        <v>8313.6899999999459</v>
      </c>
      <c r="Y1193" s="1">
        <f t="shared" si="37"/>
        <v>7204.2099999999582</v>
      </c>
    </row>
    <row r="1194" spans="1:25" x14ac:dyDescent="0.3">
      <c r="A1194" s="1" t="s">
        <v>2447</v>
      </c>
      <c r="B1194">
        <v>3</v>
      </c>
      <c r="C1194">
        <v>27.99</v>
      </c>
      <c r="D1194">
        <v>66.040000000000006</v>
      </c>
      <c r="E1194" s="1" t="s">
        <v>2045</v>
      </c>
      <c r="F1194" s="1" t="s">
        <v>51</v>
      </c>
      <c r="G1194">
        <v>0</v>
      </c>
      <c r="H1194" s="1" t="s">
        <v>96</v>
      </c>
      <c r="I1194" s="1" t="s">
        <v>75</v>
      </c>
      <c r="J1194">
        <v>9</v>
      </c>
      <c r="K1194">
        <v>27.99</v>
      </c>
      <c r="L1194" s="1" t="s">
        <v>28</v>
      </c>
      <c r="M1194" s="1" t="s">
        <v>61</v>
      </c>
      <c r="N1194" s="1" t="s">
        <v>62</v>
      </c>
      <c r="O1194" s="1" t="s">
        <v>31</v>
      </c>
      <c r="P1194" s="2">
        <v>45726</v>
      </c>
      <c r="Q1194" s="1" t="s">
        <v>732</v>
      </c>
      <c r="R1194" s="1" t="s">
        <v>1263</v>
      </c>
      <c r="S1194" s="1" t="s">
        <v>88</v>
      </c>
      <c r="T1194" s="1" t="s">
        <v>35</v>
      </c>
      <c r="U1194" s="1" t="s">
        <v>82</v>
      </c>
      <c r="V1194" s="1" t="s">
        <v>37</v>
      </c>
      <c r="W1194">
        <v>2</v>
      </c>
      <c r="X1194" s="1">
        <f t="shared" si="36"/>
        <v>7844.9099999999507</v>
      </c>
      <c r="Y1194" s="1">
        <f t="shared" si="37"/>
        <v>7204.2099999999582</v>
      </c>
    </row>
    <row r="1195" spans="1:25" x14ac:dyDescent="0.3">
      <c r="A1195" s="1" t="s">
        <v>2448</v>
      </c>
      <c r="B1195">
        <v>1</v>
      </c>
      <c r="C1195">
        <v>30.99</v>
      </c>
      <c r="D1195">
        <v>30.99</v>
      </c>
      <c r="E1195" s="1" t="s">
        <v>1807</v>
      </c>
      <c r="F1195" s="1" t="s">
        <v>40</v>
      </c>
      <c r="G1195">
        <v>2</v>
      </c>
      <c r="H1195" s="1" t="s">
        <v>58</v>
      </c>
      <c r="I1195" s="1" t="s">
        <v>42</v>
      </c>
      <c r="J1195">
        <v>10.5</v>
      </c>
      <c r="K1195">
        <v>30.99</v>
      </c>
      <c r="L1195" s="1" t="s">
        <v>28</v>
      </c>
      <c r="M1195" s="1" t="s">
        <v>43</v>
      </c>
      <c r="N1195" s="1" t="s">
        <v>44</v>
      </c>
      <c r="O1195" s="1" t="s">
        <v>31</v>
      </c>
      <c r="P1195" s="2">
        <v>45823</v>
      </c>
      <c r="Q1195" s="1" t="s">
        <v>2449</v>
      </c>
      <c r="R1195" s="1" t="s">
        <v>2450</v>
      </c>
      <c r="S1195" s="1" t="s">
        <v>47</v>
      </c>
      <c r="T1195" s="1" t="s">
        <v>35</v>
      </c>
      <c r="U1195" s="1" t="s">
        <v>36</v>
      </c>
      <c r="V1195" s="1" t="s">
        <v>37</v>
      </c>
      <c r="W1195">
        <v>2</v>
      </c>
      <c r="X1195" s="1">
        <f t="shared" si="36"/>
        <v>8640.6199999999462</v>
      </c>
      <c r="Y1195" s="1">
        <f t="shared" si="37"/>
        <v>6355.4899999999634</v>
      </c>
    </row>
    <row r="1196" spans="1:25" x14ac:dyDescent="0.3">
      <c r="A1196" s="1" t="s">
        <v>2451</v>
      </c>
      <c r="B1196">
        <v>1</v>
      </c>
      <c r="C1196">
        <v>30.99</v>
      </c>
      <c r="D1196">
        <v>30.99</v>
      </c>
      <c r="E1196" s="1" t="s">
        <v>2156</v>
      </c>
      <c r="F1196" s="1" t="s">
        <v>40</v>
      </c>
      <c r="G1196">
        <v>2</v>
      </c>
      <c r="H1196" s="1" t="s">
        <v>96</v>
      </c>
      <c r="I1196" s="1" t="s">
        <v>42</v>
      </c>
      <c r="J1196">
        <v>10.5</v>
      </c>
      <c r="K1196">
        <v>30.99</v>
      </c>
      <c r="L1196" s="1" t="s">
        <v>28</v>
      </c>
      <c r="M1196" s="1" t="s">
        <v>43</v>
      </c>
      <c r="N1196" s="1" t="s">
        <v>44</v>
      </c>
      <c r="O1196" s="1" t="s">
        <v>31</v>
      </c>
      <c r="P1196" s="2">
        <v>45823</v>
      </c>
      <c r="Q1196" s="1" t="s">
        <v>2452</v>
      </c>
      <c r="R1196" s="1" t="s">
        <v>2453</v>
      </c>
      <c r="S1196" s="1" t="s">
        <v>34</v>
      </c>
      <c r="T1196" s="1" t="s">
        <v>35</v>
      </c>
      <c r="U1196" s="1" t="s">
        <v>66</v>
      </c>
      <c r="V1196" s="1" t="s">
        <v>37</v>
      </c>
      <c r="W1196">
        <v>2</v>
      </c>
      <c r="X1196" s="1">
        <f t="shared" si="36"/>
        <v>7844.9099999999507</v>
      </c>
      <c r="Y1196" s="1">
        <f t="shared" si="37"/>
        <v>6397.4799999999632</v>
      </c>
    </row>
    <row r="1197" spans="1:25" x14ac:dyDescent="0.3">
      <c r="A1197" s="1" t="s">
        <v>2454</v>
      </c>
      <c r="B1197">
        <v>1</v>
      </c>
      <c r="C1197">
        <v>30.99</v>
      </c>
      <c r="D1197">
        <v>30.99</v>
      </c>
      <c r="E1197" s="1" t="s">
        <v>1738</v>
      </c>
      <c r="F1197" s="1" t="s">
        <v>51</v>
      </c>
      <c r="G1197">
        <v>0</v>
      </c>
      <c r="H1197" s="1" t="s">
        <v>26</v>
      </c>
      <c r="I1197" s="1" t="s">
        <v>42</v>
      </c>
      <c r="J1197">
        <v>10.5</v>
      </c>
      <c r="K1197">
        <v>30.99</v>
      </c>
      <c r="L1197" s="1" t="s">
        <v>28</v>
      </c>
      <c r="M1197" s="1" t="s">
        <v>43</v>
      </c>
      <c r="N1197" s="1" t="s">
        <v>44</v>
      </c>
      <c r="O1197" s="1" t="s">
        <v>31</v>
      </c>
      <c r="P1197" s="2">
        <v>45823</v>
      </c>
      <c r="Q1197" s="1" t="s">
        <v>1286</v>
      </c>
      <c r="R1197" s="1" t="s">
        <v>1861</v>
      </c>
      <c r="S1197" s="1" t="s">
        <v>88</v>
      </c>
      <c r="T1197" s="1" t="s">
        <v>35</v>
      </c>
      <c r="U1197" s="1" t="s">
        <v>48</v>
      </c>
      <c r="V1197" s="1" t="s">
        <v>37</v>
      </c>
      <c r="W1197">
        <v>2</v>
      </c>
      <c r="X1197" s="1">
        <f t="shared" si="36"/>
        <v>8313.6899999999459</v>
      </c>
      <c r="Y1197" s="1">
        <f t="shared" si="37"/>
        <v>7682.919999999951</v>
      </c>
    </row>
    <row r="1198" spans="1:25" x14ac:dyDescent="0.3">
      <c r="A1198" s="1" t="s">
        <v>2455</v>
      </c>
      <c r="B1198">
        <v>3</v>
      </c>
      <c r="C1198">
        <v>27.99</v>
      </c>
      <c r="D1198">
        <v>68</v>
      </c>
      <c r="E1198" s="1" t="s">
        <v>2456</v>
      </c>
      <c r="F1198" s="1" t="s">
        <v>40</v>
      </c>
      <c r="G1198">
        <v>2</v>
      </c>
      <c r="H1198" s="1" t="s">
        <v>41</v>
      </c>
      <c r="I1198" s="1" t="s">
        <v>75</v>
      </c>
      <c r="J1198">
        <v>9</v>
      </c>
      <c r="K1198">
        <v>27.99</v>
      </c>
      <c r="L1198" s="1" t="s">
        <v>28</v>
      </c>
      <c r="M1198" s="1" t="s">
        <v>61</v>
      </c>
      <c r="N1198" s="1" t="s">
        <v>62</v>
      </c>
      <c r="O1198" s="1" t="s">
        <v>31</v>
      </c>
      <c r="P1198" s="2">
        <v>45726</v>
      </c>
      <c r="Q1198" s="1" t="s">
        <v>342</v>
      </c>
      <c r="R1198" s="1" t="s">
        <v>2457</v>
      </c>
      <c r="S1198" s="1" t="s">
        <v>65</v>
      </c>
      <c r="T1198" s="1" t="s">
        <v>35</v>
      </c>
      <c r="U1198" s="1" t="s">
        <v>36</v>
      </c>
      <c r="V1198" s="1" t="s">
        <v>37</v>
      </c>
      <c r="W1198">
        <v>2</v>
      </c>
      <c r="X1198" s="1">
        <f t="shared" si="36"/>
        <v>8551.6499999999451</v>
      </c>
      <c r="Y1198" s="1">
        <f t="shared" si="37"/>
        <v>6355.4899999999634</v>
      </c>
    </row>
    <row r="1199" spans="1:25" x14ac:dyDescent="0.3">
      <c r="A1199" s="1" t="s">
        <v>2458</v>
      </c>
      <c r="B1199">
        <v>1</v>
      </c>
      <c r="C1199">
        <v>30.99</v>
      </c>
      <c r="D1199">
        <v>30.99</v>
      </c>
      <c r="E1199" s="1" t="s">
        <v>1168</v>
      </c>
      <c r="F1199" s="1" t="s">
        <v>40</v>
      </c>
      <c r="G1199">
        <v>2</v>
      </c>
      <c r="H1199" s="1" t="s">
        <v>96</v>
      </c>
      <c r="I1199" s="1" t="s">
        <v>42</v>
      </c>
      <c r="J1199">
        <v>10.5</v>
      </c>
      <c r="K1199">
        <v>30.99</v>
      </c>
      <c r="L1199" s="1" t="s">
        <v>28</v>
      </c>
      <c r="M1199" s="1" t="s">
        <v>43</v>
      </c>
      <c r="N1199" s="1" t="s">
        <v>44</v>
      </c>
      <c r="O1199" s="1" t="s">
        <v>31</v>
      </c>
      <c r="P1199" s="2">
        <v>45823</v>
      </c>
      <c r="Q1199" s="1" t="s">
        <v>1191</v>
      </c>
      <c r="R1199" s="1" t="s">
        <v>1365</v>
      </c>
      <c r="S1199" s="1" t="s">
        <v>54</v>
      </c>
      <c r="T1199" s="1" t="s">
        <v>35</v>
      </c>
      <c r="U1199" s="1" t="s">
        <v>82</v>
      </c>
      <c r="V1199" s="1" t="s">
        <v>37</v>
      </c>
      <c r="W1199">
        <v>2</v>
      </c>
      <c r="X1199" s="1">
        <f t="shared" si="36"/>
        <v>7844.9099999999507</v>
      </c>
      <c r="Y1199" s="1">
        <f t="shared" si="37"/>
        <v>7204.2099999999582</v>
      </c>
    </row>
    <row r="1200" spans="1:25" x14ac:dyDescent="0.3">
      <c r="A1200" s="1" t="s">
        <v>2459</v>
      </c>
      <c r="B1200">
        <v>1</v>
      </c>
      <c r="C1200">
        <v>21.99</v>
      </c>
      <c r="D1200">
        <v>21.99</v>
      </c>
      <c r="E1200" s="1" t="s">
        <v>181</v>
      </c>
      <c r="F1200" s="1" t="s">
        <v>25</v>
      </c>
      <c r="G1200">
        <v>2</v>
      </c>
      <c r="H1200" s="1" t="s">
        <v>41</v>
      </c>
      <c r="I1200" s="1" t="s">
        <v>27</v>
      </c>
      <c r="J1200">
        <v>7</v>
      </c>
      <c r="K1200">
        <v>21.99</v>
      </c>
      <c r="L1200" s="1" t="s">
        <v>28</v>
      </c>
      <c r="M1200" s="1" t="s">
        <v>29</v>
      </c>
      <c r="N1200" s="1" t="s">
        <v>30</v>
      </c>
      <c r="O1200" s="1" t="s">
        <v>31</v>
      </c>
      <c r="P1200" s="2">
        <v>45778</v>
      </c>
      <c r="Q1200" s="1" t="s">
        <v>1272</v>
      </c>
      <c r="R1200" s="1" t="s">
        <v>1273</v>
      </c>
      <c r="S1200" s="1" t="s">
        <v>88</v>
      </c>
      <c r="T1200" s="1" t="s">
        <v>35</v>
      </c>
      <c r="U1200" s="1" t="s">
        <v>48</v>
      </c>
      <c r="V1200" s="1" t="s">
        <v>37</v>
      </c>
      <c r="W1200">
        <v>2</v>
      </c>
      <c r="X1200" s="1">
        <f t="shared" si="36"/>
        <v>8551.6499999999451</v>
      </c>
      <c r="Y1200" s="1">
        <f t="shared" si="37"/>
        <v>7682.919999999951</v>
      </c>
    </row>
    <row r="1201" spans="1:25" x14ac:dyDescent="0.3">
      <c r="A1201" s="1" t="s">
        <v>2460</v>
      </c>
      <c r="B1201">
        <v>1</v>
      </c>
      <c r="C1201">
        <v>16.989999999999998</v>
      </c>
      <c r="D1201">
        <v>16.989999999999998</v>
      </c>
      <c r="E1201" s="1" t="s">
        <v>102</v>
      </c>
      <c r="F1201" s="1" t="s">
        <v>40</v>
      </c>
      <c r="G1201">
        <v>17</v>
      </c>
      <c r="H1201" s="1" t="s">
        <v>58</v>
      </c>
      <c r="I1201" s="1" t="s">
        <v>59</v>
      </c>
      <c r="J1201">
        <v>5</v>
      </c>
      <c r="K1201">
        <v>16.989999999999998</v>
      </c>
      <c r="L1201" s="1" t="s">
        <v>60</v>
      </c>
      <c r="M1201" s="1" t="s">
        <v>61</v>
      </c>
      <c r="N1201" s="1" t="s">
        <v>62</v>
      </c>
      <c r="O1201" s="1" t="s">
        <v>31</v>
      </c>
      <c r="P1201" s="2">
        <v>45726</v>
      </c>
      <c r="Q1201" s="1" t="s">
        <v>137</v>
      </c>
      <c r="R1201" s="1" t="s">
        <v>2461</v>
      </c>
      <c r="S1201" s="1" t="s">
        <v>34</v>
      </c>
      <c r="T1201" s="1" t="s">
        <v>35</v>
      </c>
      <c r="U1201" s="1" t="s">
        <v>36</v>
      </c>
      <c r="V1201" s="1" t="s">
        <v>67</v>
      </c>
      <c r="W1201">
        <v>3</v>
      </c>
      <c r="X1201" s="1">
        <f t="shared" si="36"/>
        <v>8640.6199999999462</v>
      </c>
      <c r="Y1201" s="1">
        <f t="shared" si="37"/>
        <v>6355.4899999999634</v>
      </c>
    </row>
    <row r="1202" spans="1:25" x14ac:dyDescent="0.3">
      <c r="A1202" s="1" t="s">
        <v>2462</v>
      </c>
      <c r="B1202">
        <v>1</v>
      </c>
      <c r="C1202">
        <v>34.99</v>
      </c>
      <c r="D1202">
        <v>34.99</v>
      </c>
      <c r="E1202" s="1" t="s">
        <v>2463</v>
      </c>
      <c r="F1202" s="1" t="s">
        <v>40</v>
      </c>
      <c r="G1202">
        <v>7</v>
      </c>
      <c r="H1202" s="1" t="s">
        <v>96</v>
      </c>
      <c r="I1202" s="1" t="s">
        <v>85</v>
      </c>
      <c r="J1202">
        <v>12.5</v>
      </c>
      <c r="K1202">
        <v>34.99</v>
      </c>
      <c r="L1202" s="1" t="s">
        <v>60</v>
      </c>
      <c r="M1202" s="1" t="s">
        <v>29</v>
      </c>
      <c r="N1202" s="1" t="s">
        <v>30</v>
      </c>
      <c r="O1202" s="1" t="s">
        <v>31</v>
      </c>
      <c r="P1202" s="2">
        <v>45778</v>
      </c>
      <c r="Q1202" s="1" t="s">
        <v>1211</v>
      </c>
      <c r="R1202" s="1" t="s">
        <v>1212</v>
      </c>
      <c r="S1202" s="1" t="s">
        <v>34</v>
      </c>
      <c r="T1202" s="1" t="s">
        <v>35</v>
      </c>
      <c r="U1202" s="1" t="s">
        <v>66</v>
      </c>
      <c r="V1202" s="1" t="s">
        <v>89</v>
      </c>
      <c r="W1202">
        <v>2.4</v>
      </c>
      <c r="X1202" s="1">
        <f t="shared" si="36"/>
        <v>7844.9099999999507</v>
      </c>
      <c r="Y1202" s="1">
        <f t="shared" si="37"/>
        <v>6397.4799999999632</v>
      </c>
    </row>
    <row r="1203" spans="1:25" x14ac:dyDescent="0.3">
      <c r="A1203" s="1" t="s">
        <v>2464</v>
      </c>
      <c r="B1203">
        <v>1</v>
      </c>
      <c r="C1203">
        <v>16.989999999999998</v>
      </c>
      <c r="D1203">
        <v>16.989999999999998</v>
      </c>
      <c r="E1203" s="1" t="s">
        <v>1217</v>
      </c>
      <c r="F1203" s="1" t="s">
        <v>40</v>
      </c>
      <c r="G1203">
        <v>19</v>
      </c>
      <c r="H1203" s="1" t="s">
        <v>26</v>
      </c>
      <c r="I1203" s="1" t="s">
        <v>59</v>
      </c>
      <c r="J1203">
        <v>5</v>
      </c>
      <c r="K1203">
        <v>16.989999999999998</v>
      </c>
      <c r="L1203" s="1" t="s">
        <v>60</v>
      </c>
      <c r="M1203" s="1" t="s">
        <v>61</v>
      </c>
      <c r="N1203" s="1" t="s">
        <v>62</v>
      </c>
      <c r="O1203" s="1" t="s">
        <v>31</v>
      </c>
      <c r="P1203" s="2">
        <v>45726</v>
      </c>
      <c r="Q1203" s="1" t="s">
        <v>1028</v>
      </c>
      <c r="R1203" s="1" t="s">
        <v>2465</v>
      </c>
      <c r="S1203" s="1" t="s">
        <v>34</v>
      </c>
      <c r="T1203" s="1" t="s">
        <v>35</v>
      </c>
      <c r="U1203" s="1" t="s">
        <v>55</v>
      </c>
      <c r="V1203" s="1" t="s">
        <v>67</v>
      </c>
      <c r="W1203">
        <v>3</v>
      </c>
      <c r="X1203" s="1">
        <f t="shared" si="36"/>
        <v>8313.6899999999459</v>
      </c>
      <c r="Y1203" s="1">
        <f t="shared" si="37"/>
        <v>5710.7699999999695</v>
      </c>
    </row>
    <row r="1204" spans="1:25" x14ac:dyDescent="0.3">
      <c r="A1204" s="1" t="s">
        <v>2466</v>
      </c>
      <c r="B1204">
        <v>2</v>
      </c>
      <c r="C1204">
        <v>18.989999999999998</v>
      </c>
      <c r="D1204">
        <v>32.53</v>
      </c>
      <c r="E1204" s="1" t="s">
        <v>744</v>
      </c>
      <c r="F1204" s="1" t="s">
        <v>51</v>
      </c>
      <c r="G1204">
        <v>0</v>
      </c>
      <c r="H1204" s="1" t="s">
        <v>41</v>
      </c>
      <c r="I1204" s="1" t="s">
        <v>97</v>
      </c>
      <c r="J1204">
        <v>6</v>
      </c>
      <c r="K1204">
        <v>18.989999999999998</v>
      </c>
      <c r="L1204" s="1" t="s">
        <v>60</v>
      </c>
      <c r="M1204" s="1" t="s">
        <v>43</v>
      </c>
      <c r="N1204" s="1" t="s">
        <v>44</v>
      </c>
      <c r="O1204" s="1" t="s">
        <v>31</v>
      </c>
      <c r="P1204" s="2">
        <v>45823</v>
      </c>
      <c r="Q1204" s="1" t="s">
        <v>917</v>
      </c>
      <c r="R1204" s="1" t="s">
        <v>2467</v>
      </c>
      <c r="S1204" s="1" t="s">
        <v>54</v>
      </c>
      <c r="T1204" s="1" t="s">
        <v>35</v>
      </c>
      <c r="U1204" s="1" t="s">
        <v>36</v>
      </c>
      <c r="V1204" s="1" t="s">
        <v>100</v>
      </c>
      <c r="W1204">
        <v>3.2</v>
      </c>
      <c r="X1204" s="1">
        <f t="shared" si="36"/>
        <v>8551.6499999999451</v>
      </c>
      <c r="Y1204" s="1">
        <f t="shared" si="37"/>
        <v>6355.4899999999634</v>
      </c>
    </row>
    <row r="1205" spans="1:25" x14ac:dyDescent="0.3">
      <c r="A1205" s="1" t="s">
        <v>2468</v>
      </c>
      <c r="B1205">
        <v>3</v>
      </c>
      <c r="C1205">
        <v>27.99</v>
      </c>
      <c r="D1205">
        <v>65.959999999999994</v>
      </c>
      <c r="E1205" s="1" t="s">
        <v>1733</v>
      </c>
      <c r="F1205" s="1" t="s">
        <v>40</v>
      </c>
      <c r="G1205">
        <v>7</v>
      </c>
      <c r="H1205" s="1" t="s">
        <v>26</v>
      </c>
      <c r="I1205" s="1" t="s">
        <v>75</v>
      </c>
      <c r="J1205">
        <v>9</v>
      </c>
      <c r="K1205">
        <v>27.99</v>
      </c>
      <c r="L1205" s="1" t="s">
        <v>28</v>
      </c>
      <c r="M1205" s="1" t="s">
        <v>61</v>
      </c>
      <c r="N1205" s="1" t="s">
        <v>62</v>
      </c>
      <c r="O1205" s="1" t="s">
        <v>31</v>
      </c>
      <c r="P1205" s="2">
        <v>45726</v>
      </c>
      <c r="Q1205" s="1" t="s">
        <v>2065</v>
      </c>
      <c r="R1205" s="1" t="s">
        <v>2066</v>
      </c>
      <c r="S1205" s="1" t="s">
        <v>47</v>
      </c>
      <c r="T1205" s="1" t="s">
        <v>35</v>
      </c>
      <c r="U1205" s="1" t="s">
        <v>66</v>
      </c>
      <c r="V1205" s="1" t="s">
        <v>37</v>
      </c>
      <c r="W1205">
        <v>2</v>
      </c>
      <c r="X1205" s="1">
        <f t="shared" si="36"/>
        <v>8313.6899999999459</v>
      </c>
      <c r="Y1205" s="1">
        <f t="shared" si="37"/>
        <v>6397.4799999999632</v>
      </c>
    </row>
    <row r="1206" spans="1:25" x14ac:dyDescent="0.3">
      <c r="A1206" s="1" t="s">
        <v>2469</v>
      </c>
      <c r="B1206">
        <v>1</v>
      </c>
      <c r="C1206">
        <v>16.989999999999998</v>
      </c>
      <c r="D1206">
        <v>16.989999999999998</v>
      </c>
      <c r="E1206" s="1" t="s">
        <v>2470</v>
      </c>
      <c r="F1206" s="1" t="s">
        <v>40</v>
      </c>
      <c r="G1206">
        <v>16</v>
      </c>
      <c r="H1206" s="1" t="s">
        <v>26</v>
      </c>
      <c r="I1206" s="1" t="s">
        <v>59</v>
      </c>
      <c r="J1206">
        <v>5</v>
      </c>
      <c r="K1206">
        <v>16.989999999999998</v>
      </c>
      <c r="L1206" s="1" t="s">
        <v>60</v>
      </c>
      <c r="M1206" s="1" t="s">
        <v>61</v>
      </c>
      <c r="N1206" s="1" t="s">
        <v>62</v>
      </c>
      <c r="O1206" s="1" t="s">
        <v>31</v>
      </c>
      <c r="P1206" s="2">
        <v>45726</v>
      </c>
      <c r="Q1206" s="1" t="s">
        <v>1480</v>
      </c>
      <c r="R1206" s="1" t="s">
        <v>1699</v>
      </c>
      <c r="S1206" s="1" t="s">
        <v>88</v>
      </c>
      <c r="T1206" s="1" t="s">
        <v>35</v>
      </c>
      <c r="U1206" s="1" t="s">
        <v>48</v>
      </c>
      <c r="V1206" s="1" t="s">
        <v>67</v>
      </c>
      <c r="W1206">
        <v>3</v>
      </c>
      <c r="X1206" s="1">
        <f t="shared" si="36"/>
        <v>8313.6899999999459</v>
      </c>
      <c r="Y1206" s="1">
        <f t="shared" si="37"/>
        <v>7682.919999999951</v>
      </c>
    </row>
    <row r="1207" spans="1:25" x14ac:dyDescent="0.3">
      <c r="A1207" s="1" t="s">
        <v>2471</v>
      </c>
      <c r="B1207">
        <v>1</v>
      </c>
      <c r="C1207">
        <v>18.989999999999998</v>
      </c>
      <c r="D1207">
        <v>18.989999999999998</v>
      </c>
      <c r="E1207" s="1" t="s">
        <v>1161</v>
      </c>
      <c r="F1207" s="1" t="s">
        <v>40</v>
      </c>
      <c r="G1207">
        <v>18</v>
      </c>
      <c r="H1207" s="1" t="s">
        <v>26</v>
      </c>
      <c r="I1207" s="1" t="s">
        <v>97</v>
      </c>
      <c r="J1207">
        <v>6</v>
      </c>
      <c r="K1207">
        <v>18.989999999999998</v>
      </c>
      <c r="L1207" s="1" t="s">
        <v>60</v>
      </c>
      <c r="M1207" s="1" t="s">
        <v>43</v>
      </c>
      <c r="N1207" s="1" t="s">
        <v>44</v>
      </c>
      <c r="O1207" s="1" t="s">
        <v>31</v>
      </c>
      <c r="P1207" s="2">
        <v>45823</v>
      </c>
      <c r="Q1207" s="1" t="s">
        <v>828</v>
      </c>
      <c r="R1207" s="1" t="s">
        <v>829</v>
      </c>
      <c r="S1207" s="1" t="s">
        <v>65</v>
      </c>
      <c r="T1207" s="1" t="s">
        <v>35</v>
      </c>
      <c r="U1207" s="1" t="s">
        <v>48</v>
      </c>
      <c r="V1207" s="1" t="s">
        <v>100</v>
      </c>
      <c r="W1207">
        <v>3.2</v>
      </c>
      <c r="X1207" s="1">
        <f t="shared" si="36"/>
        <v>8313.6899999999459</v>
      </c>
      <c r="Y1207" s="1">
        <f t="shared" si="37"/>
        <v>7682.919999999951</v>
      </c>
    </row>
    <row r="1208" spans="1:25" x14ac:dyDescent="0.3">
      <c r="A1208" s="1" t="s">
        <v>2472</v>
      </c>
      <c r="B1208">
        <v>1</v>
      </c>
      <c r="C1208">
        <v>21.99</v>
      </c>
      <c r="D1208">
        <v>21.99</v>
      </c>
      <c r="E1208" s="1" t="s">
        <v>2473</v>
      </c>
      <c r="F1208" s="1" t="s">
        <v>40</v>
      </c>
      <c r="G1208">
        <v>2</v>
      </c>
      <c r="H1208" s="1" t="s">
        <v>96</v>
      </c>
      <c r="I1208" s="1" t="s">
        <v>27</v>
      </c>
      <c r="J1208">
        <v>7</v>
      </c>
      <c r="K1208">
        <v>21.99</v>
      </c>
      <c r="L1208" s="1" t="s">
        <v>28</v>
      </c>
      <c r="M1208" s="1" t="s">
        <v>29</v>
      </c>
      <c r="N1208" s="1" t="s">
        <v>30</v>
      </c>
      <c r="O1208" s="1" t="s">
        <v>31</v>
      </c>
      <c r="P1208" s="2">
        <v>45778</v>
      </c>
      <c r="Q1208" s="1" t="s">
        <v>437</v>
      </c>
      <c r="R1208" s="1" t="s">
        <v>1045</v>
      </c>
      <c r="S1208" s="1" t="s">
        <v>34</v>
      </c>
      <c r="T1208" s="1" t="s">
        <v>35</v>
      </c>
      <c r="U1208" s="1" t="s">
        <v>66</v>
      </c>
      <c r="V1208" s="1" t="s">
        <v>37</v>
      </c>
      <c r="W1208">
        <v>2</v>
      </c>
      <c r="X1208" s="1">
        <f t="shared" si="36"/>
        <v>7844.9099999999507</v>
      </c>
      <c r="Y1208" s="1">
        <f t="shared" si="37"/>
        <v>6397.4799999999632</v>
      </c>
    </row>
    <row r="1209" spans="1:25" x14ac:dyDescent="0.3">
      <c r="A1209" s="1" t="s">
        <v>2474</v>
      </c>
      <c r="B1209">
        <v>3</v>
      </c>
      <c r="C1209">
        <v>30.99</v>
      </c>
      <c r="D1209">
        <v>74.930000000000007</v>
      </c>
      <c r="E1209" s="1" t="s">
        <v>2475</v>
      </c>
      <c r="F1209" s="1" t="s">
        <v>51</v>
      </c>
      <c r="G1209">
        <v>0</v>
      </c>
      <c r="H1209" s="1" t="s">
        <v>58</v>
      </c>
      <c r="I1209" s="1" t="s">
        <v>42</v>
      </c>
      <c r="J1209">
        <v>10.5</v>
      </c>
      <c r="K1209">
        <v>30.99</v>
      </c>
      <c r="L1209" s="1" t="s">
        <v>28</v>
      </c>
      <c r="M1209" s="1" t="s">
        <v>43</v>
      </c>
      <c r="N1209" s="1" t="s">
        <v>44</v>
      </c>
      <c r="O1209" s="1" t="s">
        <v>31</v>
      </c>
      <c r="P1209" s="2">
        <v>45823</v>
      </c>
      <c r="Q1209" s="1" t="s">
        <v>884</v>
      </c>
      <c r="R1209" s="1" t="s">
        <v>885</v>
      </c>
      <c r="S1209" s="1" t="s">
        <v>34</v>
      </c>
      <c r="T1209" s="1" t="s">
        <v>35</v>
      </c>
      <c r="U1209" s="1" t="s">
        <v>36</v>
      </c>
      <c r="V1209" s="1" t="s">
        <v>37</v>
      </c>
      <c r="W1209">
        <v>2</v>
      </c>
      <c r="X1209" s="1">
        <f t="shared" si="36"/>
        <v>8640.6199999999462</v>
      </c>
      <c r="Y1209" s="1">
        <f t="shared" si="37"/>
        <v>6355.4899999999634</v>
      </c>
    </row>
    <row r="1210" spans="1:25" x14ac:dyDescent="0.3">
      <c r="A1210" s="1" t="s">
        <v>2476</v>
      </c>
      <c r="B1210">
        <v>1</v>
      </c>
      <c r="C1210">
        <v>21.99</v>
      </c>
      <c r="D1210">
        <v>21.99</v>
      </c>
      <c r="E1210" s="1" t="s">
        <v>246</v>
      </c>
      <c r="F1210" s="1" t="s">
        <v>51</v>
      </c>
      <c r="G1210">
        <v>0</v>
      </c>
      <c r="H1210" s="1" t="s">
        <v>41</v>
      </c>
      <c r="I1210" s="1" t="s">
        <v>27</v>
      </c>
      <c r="J1210">
        <v>7</v>
      </c>
      <c r="K1210">
        <v>21.99</v>
      </c>
      <c r="L1210" s="1" t="s">
        <v>28</v>
      </c>
      <c r="M1210" s="1" t="s">
        <v>29</v>
      </c>
      <c r="N1210" s="1" t="s">
        <v>30</v>
      </c>
      <c r="O1210" s="1" t="s">
        <v>31</v>
      </c>
      <c r="P1210" s="2">
        <v>45778</v>
      </c>
      <c r="Q1210" s="1" t="s">
        <v>1003</v>
      </c>
      <c r="R1210" s="1" t="s">
        <v>2477</v>
      </c>
      <c r="S1210" s="1" t="s">
        <v>54</v>
      </c>
      <c r="T1210" s="1" t="s">
        <v>35</v>
      </c>
      <c r="U1210" s="1" t="s">
        <v>66</v>
      </c>
      <c r="V1210" s="1" t="s">
        <v>37</v>
      </c>
      <c r="W1210">
        <v>2</v>
      </c>
      <c r="X1210" s="1">
        <f t="shared" si="36"/>
        <v>8551.6499999999451</v>
      </c>
      <c r="Y1210" s="1">
        <f t="shared" si="37"/>
        <v>6397.4799999999632</v>
      </c>
    </row>
    <row r="1211" spans="1:25" x14ac:dyDescent="0.3">
      <c r="A1211" s="1" t="s">
        <v>2478</v>
      </c>
      <c r="B1211">
        <v>2</v>
      </c>
      <c r="C1211">
        <v>16.989999999999998</v>
      </c>
      <c r="D1211">
        <v>29.44</v>
      </c>
      <c r="E1211" s="1" t="s">
        <v>1122</v>
      </c>
      <c r="F1211" s="1" t="s">
        <v>188</v>
      </c>
      <c r="G1211">
        <v>0</v>
      </c>
      <c r="H1211" s="1" t="s">
        <v>41</v>
      </c>
      <c r="I1211" s="1" t="s">
        <v>59</v>
      </c>
      <c r="J1211">
        <v>5</v>
      </c>
      <c r="K1211">
        <v>16.989999999999998</v>
      </c>
      <c r="L1211" s="1" t="s">
        <v>60</v>
      </c>
      <c r="M1211" s="1" t="s">
        <v>61</v>
      </c>
      <c r="N1211" s="1" t="s">
        <v>62</v>
      </c>
      <c r="O1211" s="1" t="s">
        <v>31</v>
      </c>
      <c r="P1211" s="2">
        <v>45726</v>
      </c>
      <c r="Q1211" s="1" t="s">
        <v>1408</v>
      </c>
      <c r="R1211" s="1" t="s">
        <v>2299</v>
      </c>
      <c r="S1211" s="1" t="s">
        <v>47</v>
      </c>
      <c r="T1211" s="1" t="s">
        <v>35</v>
      </c>
      <c r="U1211" s="1" t="s">
        <v>55</v>
      </c>
      <c r="V1211" s="1" t="s">
        <v>67</v>
      </c>
      <c r="W1211">
        <v>3</v>
      </c>
      <c r="X1211" s="1">
        <f t="shared" si="36"/>
        <v>8551.6499999999451</v>
      </c>
      <c r="Y1211" s="1">
        <f t="shared" si="37"/>
        <v>5710.7699999999695</v>
      </c>
    </row>
    <row r="1212" spans="1:25" x14ac:dyDescent="0.3">
      <c r="A1212" s="1" t="s">
        <v>2479</v>
      </c>
      <c r="B1212">
        <v>1</v>
      </c>
      <c r="C1212">
        <v>18.989999999999998</v>
      </c>
      <c r="D1212">
        <v>18.989999999999998</v>
      </c>
      <c r="E1212" s="1" t="s">
        <v>786</v>
      </c>
      <c r="F1212" s="1" t="s">
        <v>40</v>
      </c>
      <c r="G1212">
        <v>10</v>
      </c>
      <c r="H1212" s="1" t="s">
        <v>26</v>
      </c>
      <c r="I1212" s="1" t="s">
        <v>97</v>
      </c>
      <c r="J1212">
        <v>6</v>
      </c>
      <c r="K1212">
        <v>18.989999999999998</v>
      </c>
      <c r="L1212" s="1" t="s">
        <v>60</v>
      </c>
      <c r="M1212" s="1" t="s">
        <v>43</v>
      </c>
      <c r="N1212" s="1" t="s">
        <v>44</v>
      </c>
      <c r="O1212" s="1" t="s">
        <v>31</v>
      </c>
      <c r="P1212" s="2">
        <v>45823</v>
      </c>
      <c r="Q1212" s="1" t="s">
        <v>913</v>
      </c>
      <c r="R1212" s="1" t="s">
        <v>914</v>
      </c>
      <c r="S1212" s="1" t="s">
        <v>65</v>
      </c>
      <c r="T1212" s="1" t="s">
        <v>35</v>
      </c>
      <c r="U1212" s="1" t="s">
        <v>48</v>
      </c>
      <c r="V1212" s="1" t="s">
        <v>100</v>
      </c>
      <c r="W1212">
        <v>3.2</v>
      </c>
      <c r="X1212" s="1">
        <f t="shared" si="36"/>
        <v>8313.6899999999459</v>
      </c>
      <c r="Y1212" s="1">
        <f t="shared" si="37"/>
        <v>7682.919999999951</v>
      </c>
    </row>
    <row r="1213" spans="1:25" x14ac:dyDescent="0.3">
      <c r="A1213" s="1" t="s">
        <v>2480</v>
      </c>
      <c r="B1213">
        <v>1</v>
      </c>
      <c r="C1213">
        <v>27.99</v>
      </c>
      <c r="D1213">
        <v>27.99</v>
      </c>
      <c r="E1213" s="1" t="s">
        <v>584</v>
      </c>
      <c r="F1213" s="1" t="s">
        <v>40</v>
      </c>
      <c r="G1213">
        <v>3</v>
      </c>
      <c r="H1213" s="1" t="s">
        <v>26</v>
      </c>
      <c r="I1213" s="1" t="s">
        <v>75</v>
      </c>
      <c r="J1213">
        <v>9</v>
      </c>
      <c r="K1213">
        <v>27.99</v>
      </c>
      <c r="L1213" s="1" t="s">
        <v>28</v>
      </c>
      <c r="M1213" s="1" t="s">
        <v>61</v>
      </c>
      <c r="N1213" s="1" t="s">
        <v>62</v>
      </c>
      <c r="O1213" s="1" t="s">
        <v>31</v>
      </c>
      <c r="P1213" s="2">
        <v>45726</v>
      </c>
      <c r="Q1213" s="1" t="s">
        <v>1878</v>
      </c>
      <c r="R1213" s="1" t="s">
        <v>1879</v>
      </c>
      <c r="S1213" s="1" t="s">
        <v>54</v>
      </c>
      <c r="T1213" s="1" t="s">
        <v>35</v>
      </c>
      <c r="U1213" s="1" t="s">
        <v>66</v>
      </c>
      <c r="V1213" s="1" t="s">
        <v>37</v>
      </c>
      <c r="W1213">
        <v>2</v>
      </c>
      <c r="X1213" s="1">
        <f t="shared" si="36"/>
        <v>8313.6899999999459</v>
      </c>
      <c r="Y1213" s="1">
        <f t="shared" si="37"/>
        <v>6397.4799999999632</v>
      </c>
    </row>
    <row r="1214" spans="1:25" x14ac:dyDescent="0.3">
      <c r="A1214" s="1" t="s">
        <v>2481</v>
      </c>
      <c r="B1214">
        <v>2</v>
      </c>
      <c r="C1214">
        <v>21.99</v>
      </c>
      <c r="D1214">
        <v>38.26</v>
      </c>
      <c r="E1214" s="1" t="s">
        <v>1051</v>
      </c>
      <c r="F1214" s="1" t="s">
        <v>40</v>
      </c>
      <c r="G1214">
        <v>2</v>
      </c>
      <c r="H1214" s="1" t="s">
        <v>41</v>
      </c>
      <c r="I1214" s="1" t="s">
        <v>27</v>
      </c>
      <c r="J1214">
        <v>7</v>
      </c>
      <c r="K1214">
        <v>21.99</v>
      </c>
      <c r="L1214" s="1" t="s">
        <v>28</v>
      </c>
      <c r="M1214" s="1" t="s">
        <v>29</v>
      </c>
      <c r="N1214" s="1" t="s">
        <v>30</v>
      </c>
      <c r="O1214" s="1" t="s">
        <v>31</v>
      </c>
      <c r="P1214" s="2">
        <v>45778</v>
      </c>
      <c r="Q1214" s="1" t="s">
        <v>2398</v>
      </c>
      <c r="R1214" s="1" t="s">
        <v>2399</v>
      </c>
      <c r="S1214" s="1" t="s">
        <v>47</v>
      </c>
      <c r="T1214" s="1" t="s">
        <v>35</v>
      </c>
      <c r="U1214" s="1" t="s">
        <v>82</v>
      </c>
      <c r="V1214" s="1" t="s">
        <v>37</v>
      </c>
      <c r="W1214">
        <v>2</v>
      </c>
      <c r="X1214" s="1">
        <f t="shared" si="36"/>
        <v>8551.6499999999451</v>
      </c>
      <c r="Y1214" s="1">
        <f t="shared" si="37"/>
        <v>7204.2099999999582</v>
      </c>
    </row>
    <row r="1215" spans="1:25" x14ac:dyDescent="0.3">
      <c r="A1215" s="1" t="s">
        <v>2482</v>
      </c>
      <c r="B1215">
        <v>3</v>
      </c>
      <c r="C1215">
        <v>18.989999999999998</v>
      </c>
      <c r="D1215">
        <v>45.03</v>
      </c>
      <c r="E1215" s="1" t="s">
        <v>1129</v>
      </c>
      <c r="F1215" s="1" t="s">
        <v>40</v>
      </c>
      <c r="G1215">
        <v>10</v>
      </c>
      <c r="H1215" s="1" t="s">
        <v>26</v>
      </c>
      <c r="I1215" s="1" t="s">
        <v>97</v>
      </c>
      <c r="J1215">
        <v>6</v>
      </c>
      <c r="K1215">
        <v>18.989999999999998</v>
      </c>
      <c r="L1215" s="1" t="s">
        <v>60</v>
      </c>
      <c r="M1215" s="1" t="s">
        <v>43</v>
      </c>
      <c r="N1215" s="1" t="s">
        <v>44</v>
      </c>
      <c r="O1215" s="1" t="s">
        <v>31</v>
      </c>
      <c r="P1215" s="2">
        <v>45823</v>
      </c>
      <c r="Q1215" s="1" t="s">
        <v>832</v>
      </c>
      <c r="R1215" s="1" t="s">
        <v>879</v>
      </c>
      <c r="S1215" s="1" t="s">
        <v>105</v>
      </c>
      <c r="T1215" s="1" t="s">
        <v>35</v>
      </c>
      <c r="U1215" s="1" t="s">
        <v>66</v>
      </c>
      <c r="V1215" s="1" t="s">
        <v>100</v>
      </c>
      <c r="W1215">
        <v>3.2</v>
      </c>
      <c r="X1215" s="1">
        <f t="shared" si="36"/>
        <v>8313.6899999999459</v>
      </c>
      <c r="Y1215" s="1">
        <f t="shared" si="37"/>
        <v>6397.4799999999632</v>
      </c>
    </row>
    <row r="1216" spans="1:25" x14ac:dyDescent="0.3">
      <c r="A1216" s="1" t="s">
        <v>2483</v>
      </c>
      <c r="B1216">
        <v>1</v>
      </c>
      <c r="C1216">
        <v>18.989999999999998</v>
      </c>
      <c r="D1216">
        <v>18.989999999999998</v>
      </c>
      <c r="E1216" s="1" t="s">
        <v>175</v>
      </c>
      <c r="F1216" s="1" t="s">
        <v>40</v>
      </c>
      <c r="G1216">
        <v>10</v>
      </c>
      <c r="H1216" s="1" t="s">
        <v>58</v>
      </c>
      <c r="I1216" s="1" t="s">
        <v>97</v>
      </c>
      <c r="J1216">
        <v>6</v>
      </c>
      <c r="K1216">
        <v>18.989999999999998</v>
      </c>
      <c r="L1216" s="1" t="s">
        <v>60</v>
      </c>
      <c r="M1216" s="1" t="s">
        <v>43</v>
      </c>
      <c r="N1216" s="1" t="s">
        <v>44</v>
      </c>
      <c r="O1216" s="1" t="s">
        <v>31</v>
      </c>
      <c r="P1216" s="2">
        <v>45823</v>
      </c>
      <c r="Q1216" s="1" t="s">
        <v>917</v>
      </c>
      <c r="R1216" s="1" t="s">
        <v>918</v>
      </c>
      <c r="S1216" s="1" t="s">
        <v>54</v>
      </c>
      <c r="T1216" s="1" t="s">
        <v>35</v>
      </c>
      <c r="U1216" s="1" t="s">
        <v>36</v>
      </c>
      <c r="V1216" s="1" t="s">
        <v>100</v>
      </c>
      <c r="W1216">
        <v>3.2</v>
      </c>
      <c r="X1216" s="1">
        <f t="shared" si="36"/>
        <v>8640.6199999999462</v>
      </c>
      <c r="Y1216" s="1">
        <f t="shared" si="37"/>
        <v>6355.4899999999634</v>
      </c>
    </row>
    <row r="1217" spans="1:25" x14ac:dyDescent="0.3">
      <c r="A1217" s="1" t="s">
        <v>2484</v>
      </c>
      <c r="B1217">
        <v>1</v>
      </c>
      <c r="C1217">
        <v>30.99</v>
      </c>
      <c r="D1217">
        <v>30.99</v>
      </c>
      <c r="E1217" s="1" t="s">
        <v>1122</v>
      </c>
      <c r="F1217" s="1" t="s">
        <v>40</v>
      </c>
      <c r="G1217">
        <v>2</v>
      </c>
      <c r="H1217" s="1" t="s">
        <v>26</v>
      </c>
      <c r="I1217" s="1" t="s">
        <v>42</v>
      </c>
      <c r="J1217">
        <v>10.5</v>
      </c>
      <c r="K1217">
        <v>30.99</v>
      </c>
      <c r="L1217" s="1" t="s">
        <v>28</v>
      </c>
      <c r="M1217" s="1" t="s">
        <v>43</v>
      </c>
      <c r="N1217" s="1" t="s">
        <v>44</v>
      </c>
      <c r="O1217" s="1" t="s">
        <v>31</v>
      </c>
      <c r="P1217" s="2">
        <v>45823</v>
      </c>
      <c r="Q1217" s="1" t="s">
        <v>1969</v>
      </c>
      <c r="R1217" s="1" t="s">
        <v>1970</v>
      </c>
      <c r="S1217" s="1" t="s">
        <v>34</v>
      </c>
      <c r="T1217" s="1" t="s">
        <v>35</v>
      </c>
      <c r="U1217" s="1" t="s">
        <v>55</v>
      </c>
      <c r="V1217" s="1" t="s">
        <v>37</v>
      </c>
      <c r="W1217">
        <v>2</v>
      </c>
      <c r="X1217" s="1">
        <f t="shared" si="36"/>
        <v>8313.6899999999459</v>
      </c>
      <c r="Y1217" s="1">
        <f t="shared" si="37"/>
        <v>5710.7699999999695</v>
      </c>
    </row>
    <row r="1218" spans="1:25" x14ac:dyDescent="0.3">
      <c r="A1218" s="1" t="s">
        <v>2485</v>
      </c>
      <c r="B1218">
        <v>1</v>
      </c>
      <c r="C1218">
        <v>18.989999999999998</v>
      </c>
      <c r="D1218">
        <v>18.989999999999998</v>
      </c>
      <c r="E1218" s="1" t="s">
        <v>2486</v>
      </c>
      <c r="F1218" s="1" t="s">
        <v>40</v>
      </c>
      <c r="G1218">
        <v>16</v>
      </c>
      <c r="H1218" s="1" t="s">
        <v>58</v>
      </c>
      <c r="I1218" s="1" t="s">
        <v>97</v>
      </c>
      <c r="J1218">
        <v>6</v>
      </c>
      <c r="K1218">
        <v>18.989999999999998</v>
      </c>
      <c r="L1218" s="1" t="s">
        <v>60</v>
      </c>
      <c r="M1218" s="1" t="s">
        <v>43</v>
      </c>
      <c r="N1218" s="1" t="s">
        <v>44</v>
      </c>
      <c r="O1218" s="1" t="s">
        <v>31</v>
      </c>
      <c r="P1218" s="2">
        <v>45823</v>
      </c>
      <c r="Q1218" s="1" t="s">
        <v>176</v>
      </c>
      <c r="R1218" s="1" t="s">
        <v>1789</v>
      </c>
      <c r="S1218" s="1" t="s">
        <v>54</v>
      </c>
      <c r="T1218" s="1" t="s">
        <v>35</v>
      </c>
      <c r="U1218" s="1" t="s">
        <v>66</v>
      </c>
      <c r="V1218" s="1" t="s">
        <v>100</v>
      </c>
      <c r="W1218">
        <v>3.2</v>
      </c>
      <c r="X1218" s="1">
        <f t="shared" ref="X1218:X1281" si="38">SUMIF(H:H,H1218,K:K)</f>
        <v>8640.6199999999462</v>
      </c>
      <c r="Y1218" s="1">
        <f t="shared" ref="Y1218:Y1281" si="39">SUMIF(U:U,U1218,K:K)</f>
        <v>6397.4799999999632</v>
      </c>
    </row>
    <row r="1219" spans="1:25" x14ac:dyDescent="0.3">
      <c r="A1219" s="1" t="s">
        <v>2487</v>
      </c>
      <c r="B1219">
        <v>1</v>
      </c>
      <c r="C1219">
        <v>30.99</v>
      </c>
      <c r="D1219">
        <v>30.99</v>
      </c>
      <c r="E1219" s="1" t="s">
        <v>1727</v>
      </c>
      <c r="F1219" s="1" t="s">
        <v>40</v>
      </c>
      <c r="G1219">
        <v>3</v>
      </c>
      <c r="H1219" s="1" t="s">
        <v>96</v>
      </c>
      <c r="I1219" s="1" t="s">
        <v>42</v>
      </c>
      <c r="J1219">
        <v>10.5</v>
      </c>
      <c r="K1219">
        <v>30.99</v>
      </c>
      <c r="L1219" s="1" t="s">
        <v>28</v>
      </c>
      <c r="M1219" s="1" t="s">
        <v>43</v>
      </c>
      <c r="N1219" s="1" t="s">
        <v>44</v>
      </c>
      <c r="O1219" s="1" t="s">
        <v>31</v>
      </c>
      <c r="P1219" s="2">
        <v>45823</v>
      </c>
      <c r="Q1219" s="1" t="s">
        <v>728</v>
      </c>
      <c r="R1219" s="1" t="s">
        <v>729</v>
      </c>
      <c r="S1219" s="1" t="s">
        <v>88</v>
      </c>
      <c r="T1219" s="1" t="s">
        <v>35</v>
      </c>
      <c r="U1219" s="1" t="s">
        <v>55</v>
      </c>
      <c r="V1219" s="1" t="s">
        <v>37</v>
      </c>
      <c r="W1219">
        <v>2</v>
      </c>
      <c r="X1219" s="1">
        <f t="shared" si="38"/>
        <v>7844.9099999999507</v>
      </c>
      <c r="Y1219" s="1">
        <f t="shared" si="39"/>
        <v>5710.7699999999695</v>
      </c>
    </row>
    <row r="1220" spans="1:25" x14ac:dyDescent="0.3">
      <c r="A1220" s="1" t="s">
        <v>2488</v>
      </c>
      <c r="B1220">
        <v>3</v>
      </c>
      <c r="C1220">
        <v>18.989999999999998</v>
      </c>
      <c r="D1220">
        <v>45.15</v>
      </c>
      <c r="E1220" s="1" t="s">
        <v>113</v>
      </c>
      <c r="F1220" s="1" t="s">
        <v>51</v>
      </c>
      <c r="G1220">
        <v>0</v>
      </c>
      <c r="H1220" s="1" t="s">
        <v>96</v>
      </c>
      <c r="I1220" s="1" t="s">
        <v>97</v>
      </c>
      <c r="J1220">
        <v>6</v>
      </c>
      <c r="K1220">
        <v>18.989999999999998</v>
      </c>
      <c r="L1220" s="1" t="s">
        <v>60</v>
      </c>
      <c r="M1220" s="1" t="s">
        <v>43</v>
      </c>
      <c r="N1220" s="1" t="s">
        <v>44</v>
      </c>
      <c r="O1220" s="1" t="s">
        <v>31</v>
      </c>
      <c r="P1220" s="2">
        <v>45823</v>
      </c>
      <c r="Q1220" s="1" t="s">
        <v>294</v>
      </c>
      <c r="R1220" s="1" t="s">
        <v>2489</v>
      </c>
      <c r="S1220" s="1" t="s">
        <v>105</v>
      </c>
      <c r="T1220" s="1" t="s">
        <v>35</v>
      </c>
      <c r="U1220" s="1" t="s">
        <v>66</v>
      </c>
      <c r="V1220" s="1" t="s">
        <v>100</v>
      </c>
      <c r="W1220">
        <v>3.2</v>
      </c>
      <c r="X1220" s="1">
        <f t="shared" si="38"/>
        <v>7844.9099999999507</v>
      </c>
      <c r="Y1220" s="1">
        <f t="shared" si="39"/>
        <v>6397.4799999999632</v>
      </c>
    </row>
    <row r="1221" spans="1:25" x14ac:dyDescent="0.3">
      <c r="A1221" s="1" t="s">
        <v>2490</v>
      </c>
      <c r="B1221">
        <v>1</v>
      </c>
      <c r="C1221">
        <v>18.989999999999998</v>
      </c>
      <c r="D1221">
        <v>18.989999999999998</v>
      </c>
      <c r="E1221" s="1" t="s">
        <v>900</v>
      </c>
      <c r="F1221" s="1" t="s">
        <v>51</v>
      </c>
      <c r="G1221">
        <v>0</v>
      </c>
      <c r="H1221" s="1" t="s">
        <v>96</v>
      </c>
      <c r="I1221" s="1" t="s">
        <v>97</v>
      </c>
      <c r="J1221">
        <v>6</v>
      </c>
      <c r="K1221">
        <v>18.989999999999998</v>
      </c>
      <c r="L1221" s="1" t="s">
        <v>60</v>
      </c>
      <c r="M1221" s="1" t="s">
        <v>43</v>
      </c>
      <c r="N1221" s="1" t="s">
        <v>44</v>
      </c>
      <c r="O1221" s="1" t="s">
        <v>31</v>
      </c>
      <c r="P1221" s="2">
        <v>45823</v>
      </c>
      <c r="Q1221" s="1" t="s">
        <v>732</v>
      </c>
      <c r="R1221" s="1" t="s">
        <v>1263</v>
      </c>
      <c r="S1221" s="1" t="s">
        <v>88</v>
      </c>
      <c r="T1221" s="1" t="s">
        <v>35</v>
      </c>
      <c r="U1221" s="1" t="s">
        <v>82</v>
      </c>
      <c r="V1221" s="1" t="s">
        <v>100</v>
      </c>
      <c r="W1221">
        <v>3.2</v>
      </c>
      <c r="X1221" s="1">
        <f t="shared" si="38"/>
        <v>7844.9099999999507</v>
      </c>
      <c r="Y1221" s="1">
        <f t="shared" si="39"/>
        <v>7204.2099999999582</v>
      </c>
    </row>
    <row r="1222" spans="1:25" x14ac:dyDescent="0.3">
      <c r="A1222" s="1" t="s">
        <v>2491</v>
      </c>
      <c r="B1222">
        <v>1</v>
      </c>
      <c r="C1222">
        <v>16.989999999999998</v>
      </c>
      <c r="D1222">
        <v>16.989999999999998</v>
      </c>
      <c r="E1222" s="1" t="s">
        <v>2151</v>
      </c>
      <c r="F1222" s="1" t="s">
        <v>40</v>
      </c>
      <c r="G1222">
        <v>16</v>
      </c>
      <c r="H1222" s="1" t="s">
        <v>96</v>
      </c>
      <c r="I1222" s="1" t="s">
        <v>59</v>
      </c>
      <c r="J1222">
        <v>5</v>
      </c>
      <c r="K1222">
        <v>16.989999999999998</v>
      </c>
      <c r="L1222" s="1" t="s">
        <v>60</v>
      </c>
      <c r="M1222" s="1" t="s">
        <v>61</v>
      </c>
      <c r="N1222" s="1" t="s">
        <v>62</v>
      </c>
      <c r="O1222" s="1" t="s">
        <v>31</v>
      </c>
      <c r="P1222" s="2">
        <v>45726</v>
      </c>
      <c r="Q1222" s="1" t="s">
        <v>1856</v>
      </c>
      <c r="R1222" s="1" t="s">
        <v>2492</v>
      </c>
      <c r="S1222" s="1" t="s">
        <v>34</v>
      </c>
      <c r="T1222" s="1" t="s">
        <v>35</v>
      </c>
      <c r="U1222" s="1" t="s">
        <v>48</v>
      </c>
      <c r="V1222" s="1" t="s">
        <v>67</v>
      </c>
      <c r="W1222">
        <v>3</v>
      </c>
      <c r="X1222" s="1">
        <f t="shared" si="38"/>
        <v>7844.9099999999507</v>
      </c>
      <c r="Y1222" s="1">
        <f t="shared" si="39"/>
        <v>7682.919999999951</v>
      </c>
    </row>
    <row r="1223" spans="1:25" x14ac:dyDescent="0.3">
      <c r="A1223" s="1" t="s">
        <v>2493</v>
      </c>
      <c r="B1223">
        <v>1</v>
      </c>
      <c r="C1223">
        <v>27.99</v>
      </c>
      <c r="D1223">
        <v>27.99</v>
      </c>
      <c r="E1223" s="1" t="s">
        <v>1000</v>
      </c>
      <c r="F1223" s="1" t="s">
        <v>40</v>
      </c>
      <c r="G1223">
        <v>2</v>
      </c>
      <c r="H1223" s="1" t="s">
        <v>26</v>
      </c>
      <c r="I1223" s="1" t="s">
        <v>75</v>
      </c>
      <c r="J1223">
        <v>9</v>
      </c>
      <c r="K1223">
        <v>27.99</v>
      </c>
      <c r="L1223" s="1" t="s">
        <v>28</v>
      </c>
      <c r="M1223" s="1" t="s">
        <v>61</v>
      </c>
      <c r="N1223" s="1" t="s">
        <v>62</v>
      </c>
      <c r="O1223" s="1" t="s">
        <v>31</v>
      </c>
      <c r="P1223" s="2">
        <v>45726</v>
      </c>
      <c r="Q1223" s="1" t="s">
        <v>176</v>
      </c>
      <c r="R1223" s="1" t="s">
        <v>1789</v>
      </c>
      <c r="S1223" s="1" t="s">
        <v>54</v>
      </c>
      <c r="T1223" s="1" t="s">
        <v>35</v>
      </c>
      <c r="U1223" s="1" t="s">
        <v>66</v>
      </c>
      <c r="V1223" s="1" t="s">
        <v>37</v>
      </c>
      <c r="W1223">
        <v>2</v>
      </c>
      <c r="X1223" s="1">
        <f t="shared" si="38"/>
        <v>8313.6899999999459</v>
      </c>
      <c r="Y1223" s="1">
        <f t="shared" si="39"/>
        <v>6397.4799999999632</v>
      </c>
    </row>
    <row r="1224" spans="1:25" x14ac:dyDescent="0.3">
      <c r="A1224" s="1" t="s">
        <v>2494</v>
      </c>
      <c r="B1224">
        <v>3</v>
      </c>
      <c r="C1224">
        <v>34.99</v>
      </c>
      <c r="D1224">
        <v>83.23</v>
      </c>
      <c r="E1224" s="1" t="s">
        <v>2404</v>
      </c>
      <c r="F1224" s="1" t="s">
        <v>40</v>
      </c>
      <c r="G1224">
        <v>6</v>
      </c>
      <c r="H1224" s="1" t="s">
        <v>96</v>
      </c>
      <c r="I1224" s="1" t="s">
        <v>85</v>
      </c>
      <c r="J1224">
        <v>12.5</v>
      </c>
      <c r="K1224">
        <v>34.99</v>
      </c>
      <c r="L1224" s="1" t="s">
        <v>60</v>
      </c>
      <c r="M1224" s="1" t="s">
        <v>29</v>
      </c>
      <c r="N1224" s="1" t="s">
        <v>30</v>
      </c>
      <c r="O1224" s="1" t="s">
        <v>31</v>
      </c>
      <c r="P1224" s="2">
        <v>45778</v>
      </c>
      <c r="Q1224" s="1" t="s">
        <v>926</v>
      </c>
      <c r="R1224" s="1" t="s">
        <v>2046</v>
      </c>
      <c r="S1224" s="1" t="s">
        <v>34</v>
      </c>
      <c r="T1224" s="1" t="s">
        <v>35</v>
      </c>
      <c r="U1224" s="1" t="s">
        <v>55</v>
      </c>
      <c r="V1224" s="1" t="s">
        <v>89</v>
      </c>
      <c r="W1224">
        <v>2.4</v>
      </c>
      <c r="X1224" s="1">
        <f t="shared" si="38"/>
        <v>7844.9099999999507</v>
      </c>
      <c r="Y1224" s="1">
        <f t="shared" si="39"/>
        <v>5710.7699999999695</v>
      </c>
    </row>
    <row r="1225" spans="1:25" x14ac:dyDescent="0.3">
      <c r="A1225" s="1" t="s">
        <v>2495</v>
      </c>
      <c r="B1225">
        <v>1</v>
      </c>
      <c r="C1225">
        <v>16.989999999999998</v>
      </c>
      <c r="D1225">
        <v>16.989999999999998</v>
      </c>
      <c r="E1225" s="1" t="s">
        <v>753</v>
      </c>
      <c r="F1225" s="1" t="s">
        <v>70</v>
      </c>
      <c r="G1225">
        <v>0</v>
      </c>
      <c r="H1225" s="1" t="s">
        <v>41</v>
      </c>
      <c r="I1225" s="1" t="s">
        <v>59</v>
      </c>
      <c r="J1225">
        <v>5</v>
      </c>
      <c r="K1225">
        <v>16.989999999999998</v>
      </c>
      <c r="L1225" s="1" t="s">
        <v>60</v>
      </c>
      <c r="M1225" s="1" t="s">
        <v>61</v>
      </c>
      <c r="N1225" s="1" t="s">
        <v>62</v>
      </c>
      <c r="O1225" s="1" t="s">
        <v>31</v>
      </c>
      <c r="P1225" s="2">
        <v>45726</v>
      </c>
      <c r="Q1225" s="1" t="s">
        <v>768</v>
      </c>
      <c r="R1225" s="1" t="s">
        <v>769</v>
      </c>
      <c r="S1225" s="1" t="s">
        <v>54</v>
      </c>
      <c r="T1225" s="1" t="s">
        <v>35</v>
      </c>
      <c r="U1225" s="1" t="s">
        <v>36</v>
      </c>
      <c r="V1225" s="1" t="s">
        <v>67</v>
      </c>
      <c r="W1225">
        <v>3</v>
      </c>
      <c r="X1225" s="1">
        <f t="shared" si="38"/>
        <v>8551.6499999999451</v>
      </c>
      <c r="Y1225" s="1">
        <f t="shared" si="39"/>
        <v>6355.4899999999634</v>
      </c>
    </row>
    <row r="1226" spans="1:25" x14ac:dyDescent="0.3">
      <c r="A1226" s="1" t="s">
        <v>2496</v>
      </c>
      <c r="B1226">
        <v>2</v>
      </c>
      <c r="C1226">
        <v>34.99</v>
      </c>
      <c r="D1226">
        <v>60.65</v>
      </c>
      <c r="E1226" s="1" t="s">
        <v>222</v>
      </c>
      <c r="F1226" s="1" t="s">
        <v>70</v>
      </c>
      <c r="G1226">
        <v>0</v>
      </c>
      <c r="H1226" s="1" t="s">
        <v>26</v>
      </c>
      <c r="I1226" s="1" t="s">
        <v>85</v>
      </c>
      <c r="J1226">
        <v>12.5</v>
      </c>
      <c r="K1226">
        <v>34.99</v>
      </c>
      <c r="L1226" s="1" t="s">
        <v>60</v>
      </c>
      <c r="M1226" s="1" t="s">
        <v>29</v>
      </c>
      <c r="N1226" s="1" t="s">
        <v>30</v>
      </c>
      <c r="O1226" s="1" t="s">
        <v>31</v>
      </c>
      <c r="P1226" s="2">
        <v>45778</v>
      </c>
      <c r="Q1226" s="1" t="s">
        <v>1112</v>
      </c>
      <c r="R1226" s="1" t="s">
        <v>1891</v>
      </c>
      <c r="S1226" s="1" t="s">
        <v>47</v>
      </c>
      <c r="T1226" s="1" t="s">
        <v>35</v>
      </c>
      <c r="U1226" s="1" t="s">
        <v>82</v>
      </c>
      <c r="V1226" s="1" t="s">
        <v>89</v>
      </c>
      <c r="W1226">
        <v>2.4</v>
      </c>
      <c r="X1226" s="1">
        <f t="shared" si="38"/>
        <v>8313.6899999999459</v>
      </c>
      <c r="Y1226" s="1">
        <f t="shared" si="39"/>
        <v>7204.2099999999582</v>
      </c>
    </row>
    <row r="1227" spans="1:25" x14ac:dyDescent="0.3">
      <c r="A1227" s="1" t="s">
        <v>2497</v>
      </c>
      <c r="B1227">
        <v>1</v>
      </c>
      <c r="C1227">
        <v>16.989999999999998</v>
      </c>
      <c r="D1227">
        <v>16.989999999999998</v>
      </c>
      <c r="E1227" s="1" t="s">
        <v>121</v>
      </c>
      <c r="F1227" s="1" t="s">
        <v>40</v>
      </c>
      <c r="G1227">
        <v>17</v>
      </c>
      <c r="H1227" s="1" t="s">
        <v>96</v>
      </c>
      <c r="I1227" s="1" t="s">
        <v>59</v>
      </c>
      <c r="J1227">
        <v>5</v>
      </c>
      <c r="K1227">
        <v>16.989999999999998</v>
      </c>
      <c r="L1227" s="1" t="s">
        <v>60</v>
      </c>
      <c r="M1227" s="1" t="s">
        <v>61</v>
      </c>
      <c r="N1227" s="1" t="s">
        <v>62</v>
      </c>
      <c r="O1227" s="1" t="s">
        <v>31</v>
      </c>
      <c r="P1227" s="2">
        <v>45726</v>
      </c>
      <c r="Q1227" s="1" t="s">
        <v>71</v>
      </c>
      <c r="R1227" s="1" t="s">
        <v>955</v>
      </c>
      <c r="S1227" s="1" t="s">
        <v>65</v>
      </c>
      <c r="T1227" s="1" t="s">
        <v>35</v>
      </c>
      <c r="U1227" s="1" t="s">
        <v>82</v>
      </c>
      <c r="V1227" s="1" t="s">
        <v>67</v>
      </c>
      <c r="W1227">
        <v>3</v>
      </c>
      <c r="X1227" s="1">
        <f t="shared" si="38"/>
        <v>7844.9099999999507</v>
      </c>
      <c r="Y1227" s="1">
        <f t="shared" si="39"/>
        <v>7204.2099999999582</v>
      </c>
    </row>
    <row r="1228" spans="1:25" x14ac:dyDescent="0.3">
      <c r="A1228" s="1" t="s">
        <v>2498</v>
      </c>
      <c r="B1228">
        <v>2</v>
      </c>
      <c r="C1228">
        <v>21.99</v>
      </c>
      <c r="D1228">
        <v>38.340000000000003</v>
      </c>
      <c r="E1228" s="1" t="s">
        <v>57</v>
      </c>
      <c r="F1228" s="1" t="s">
        <v>70</v>
      </c>
      <c r="G1228">
        <v>0</v>
      </c>
      <c r="H1228" s="1" t="s">
        <v>58</v>
      </c>
      <c r="I1228" s="1" t="s">
        <v>27</v>
      </c>
      <c r="J1228">
        <v>7</v>
      </c>
      <c r="K1228">
        <v>21.99</v>
      </c>
      <c r="L1228" s="1" t="s">
        <v>28</v>
      </c>
      <c r="M1228" s="1" t="s">
        <v>29</v>
      </c>
      <c r="N1228" s="1" t="s">
        <v>30</v>
      </c>
      <c r="O1228" s="1" t="s">
        <v>31</v>
      </c>
      <c r="P1228" s="2">
        <v>45778</v>
      </c>
      <c r="Q1228" s="1" t="s">
        <v>1316</v>
      </c>
      <c r="R1228" s="1" t="s">
        <v>1317</v>
      </c>
      <c r="S1228" s="1" t="s">
        <v>105</v>
      </c>
      <c r="T1228" s="1" t="s">
        <v>35</v>
      </c>
      <c r="U1228" s="1" t="s">
        <v>66</v>
      </c>
      <c r="V1228" s="1" t="s">
        <v>37</v>
      </c>
      <c r="W1228">
        <v>2</v>
      </c>
      <c r="X1228" s="1">
        <f t="shared" si="38"/>
        <v>8640.6199999999462</v>
      </c>
      <c r="Y1228" s="1">
        <f t="shared" si="39"/>
        <v>6397.4799999999632</v>
      </c>
    </row>
    <row r="1229" spans="1:25" x14ac:dyDescent="0.3">
      <c r="A1229" s="1" t="s">
        <v>2499</v>
      </c>
      <c r="B1229">
        <v>3</v>
      </c>
      <c r="C1229">
        <v>34.99</v>
      </c>
      <c r="D1229">
        <v>82.94</v>
      </c>
      <c r="E1229" s="1" t="s">
        <v>2500</v>
      </c>
      <c r="F1229" s="1" t="s">
        <v>40</v>
      </c>
      <c r="G1229">
        <v>5</v>
      </c>
      <c r="H1229" s="1" t="s">
        <v>26</v>
      </c>
      <c r="I1229" s="1" t="s">
        <v>85</v>
      </c>
      <c r="J1229">
        <v>12.5</v>
      </c>
      <c r="K1229">
        <v>34.99</v>
      </c>
      <c r="L1229" s="1" t="s">
        <v>60</v>
      </c>
      <c r="M1229" s="1" t="s">
        <v>29</v>
      </c>
      <c r="N1229" s="1" t="s">
        <v>30</v>
      </c>
      <c r="O1229" s="1" t="s">
        <v>31</v>
      </c>
      <c r="P1229" s="2">
        <v>45778</v>
      </c>
      <c r="Q1229" s="1" t="s">
        <v>1793</v>
      </c>
      <c r="R1229" s="1" t="s">
        <v>1916</v>
      </c>
      <c r="S1229" s="1" t="s">
        <v>88</v>
      </c>
      <c r="T1229" s="1" t="s">
        <v>35</v>
      </c>
      <c r="U1229" s="1" t="s">
        <v>36</v>
      </c>
      <c r="V1229" s="1" t="s">
        <v>89</v>
      </c>
      <c r="W1229">
        <v>2.4</v>
      </c>
      <c r="X1229" s="1">
        <f t="shared" si="38"/>
        <v>8313.6899999999459</v>
      </c>
      <c r="Y1229" s="1">
        <f t="shared" si="39"/>
        <v>6355.4899999999634</v>
      </c>
    </row>
    <row r="1230" spans="1:25" x14ac:dyDescent="0.3">
      <c r="A1230" s="1" t="s">
        <v>2501</v>
      </c>
      <c r="B1230">
        <v>2</v>
      </c>
      <c r="C1230">
        <v>21.99</v>
      </c>
      <c r="D1230">
        <v>37.619999999999997</v>
      </c>
      <c r="E1230" s="1" t="s">
        <v>900</v>
      </c>
      <c r="F1230" s="1" t="s">
        <v>40</v>
      </c>
      <c r="G1230">
        <v>2</v>
      </c>
      <c r="H1230" s="1" t="s">
        <v>58</v>
      </c>
      <c r="I1230" s="1" t="s">
        <v>27</v>
      </c>
      <c r="J1230">
        <v>7</v>
      </c>
      <c r="K1230">
        <v>21.99</v>
      </c>
      <c r="L1230" s="1" t="s">
        <v>28</v>
      </c>
      <c r="M1230" s="1" t="s">
        <v>29</v>
      </c>
      <c r="N1230" s="1" t="s">
        <v>30</v>
      </c>
      <c r="O1230" s="1" t="s">
        <v>31</v>
      </c>
      <c r="P1230" s="2">
        <v>45778</v>
      </c>
      <c r="Q1230" s="1" t="s">
        <v>720</v>
      </c>
      <c r="R1230" s="1" t="s">
        <v>1827</v>
      </c>
      <c r="S1230" s="1" t="s">
        <v>47</v>
      </c>
      <c r="T1230" s="1" t="s">
        <v>35</v>
      </c>
      <c r="U1230" s="1" t="s">
        <v>36</v>
      </c>
      <c r="V1230" s="1" t="s">
        <v>37</v>
      </c>
      <c r="W1230">
        <v>2</v>
      </c>
      <c r="X1230" s="1">
        <f t="shared" si="38"/>
        <v>8640.6199999999462</v>
      </c>
      <c r="Y1230" s="1">
        <f t="shared" si="39"/>
        <v>6355.4899999999634</v>
      </c>
    </row>
    <row r="1231" spans="1:25" x14ac:dyDescent="0.3">
      <c r="A1231" s="1" t="s">
        <v>2502</v>
      </c>
      <c r="B1231">
        <v>1</v>
      </c>
      <c r="C1231">
        <v>18.989999999999998</v>
      </c>
      <c r="D1231">
        <v>18.989999999999998</v>
      </c>
      <c r="E1231" s="1" t="s">
        <v>1634</v>
      </c>
      <c r="F1231" s="1" t="s">
        <v>70</v>
      </c>
      <c r="G1231">
        <v>0</v>
      </c>
      <c r="H1231" s="1" t="s">
        <v>58</v>
      </c>
      <c r="I1231" s="1" t="s">
        <v>97</v>
      </c>
      <c r="J1231">
        <v>6</v>
      </c>
      <c r="K1231">
        <v>18.989999999999998</v>
      </c>
      <c r="L1231" s="1" t="s">
        <v>60</v>
      </c>
      <c r="M1231" s="1" t="s">
        <v>43</v>
      </c>
      <c r="N1231" s="1" t="s">
        <v>44</v>
      </c>
      <c r="O1231" s="1" t="s">
        <v>31</v>
      </c>
      <c r="P1231" s="2">
        <v>45823</v>
      </c>
      <c r="Q1231" s="1" t="s">
        <v>689</v>
      </c>
      <c r="R1231" s="1" t="s">
        <v>766</v>
      </c>
      <c r="S1231" s="1" t="s">
        <v>105</v>
      </c>
      <c r="T1231" s="1" t="s">
        <v>35</v>
      </c>
      <c r="U1231" s="1" t="s">
        <v>48</v>
      </c>
      <c r="V1231" s="1" t="s">
        <v>100</v>
      </c>
      <c r="W1231">
        <v>3.2</v>
      </c>
      <c r="X1231" s="1">
        <f t="shared" si="38"/>
        <v>8640.6199999999462</v>
      </c>
      <c r="Y1231" s="1">
        <f t="shared" si="39"/>
        <v>7682.919999999951</v>
      </c>
    </row>
    <row r="1232" spans="1:25" x14ac:dyDescent="0.3">
      <c r="A1232" s="1" t="s">
        <v>2503</v>
      </c>
      <c r="B1232">
        <v>1</v>
      </c>
      <c r="C1232">
        <v>21.99</v>
      </c>
      <c r="D1232">
        <v>21.99</v>
      </c>
      <c r="E1232" s="1" t="s">
        <v>1977</v>
      </c>
      <c r="F1232" s="1" t="s">
        <v>51</v>
      </c>
      <c r="G1232">
        <v>0</v>
      </c>
      <c r="H1232" s="1" t="s">
        <v>26</v>
      </c>
      <c r="I1232" s="1" t="s">
        <v>27</v>
      </c>
      <c r="J1232">
        <v>7</v>
      </c>
      <c r="K1232">
        <v>21.99</v>
      </c>
      <c r="L1232" s="1" t="s">
        <v>28</v>
      </c>
      <c r="M1232" s="1" t="s">
        <v>29</v>
      </c>
      <c r="N1232" s="1" t="s">
        <v>30</v>
      </c>
      <c r="O1232" s="1" t="s">
        <v>31</v>
      </c>
      <c r="P1232" s="2">
        <v>45778</v>
      </c>
      <c r="Q1232" s="1" t="s">
        <v>1349</v>
      </c>
      <c r="R1232" s="1" t="s">
        <v>1350</v>
      </c>
      <c r="S1232" s="1" t="s">
        <v>47</v>
      </c>
      <c r="T1232" s="1" t="s">
        <v>35</v>
      </c>
      <c r="U1232" s="1" t="s">
        <v>48</v>
      </c>
      <c r="V1232" s="1" t="s">
        <v>37</v>
      </c>
      <c r="W1232">
        <v>2</v>
      </c>
      <c r="X1232" s="1">
        <f t="shared" si="38"/>
        <v>8313.6899999999459</v>
      </c>
      <c r="Y1232" s="1">
        <f t="shared" si="39"/>
        <v>7682.919999999951</v>
      </c>
    </row>
    <row r="1233" spans="1:25" x14ac:dyDescent="0.3">
      <c r="A1233" s="1" t="s">
        <v>2504</v>
      </c>
      <c r="B1233">
        <v>1</v>
      </c>
      <c r="C1233">
        <v>18.989999999999998</v>
      </c>
      <c r="D1233">
        <v>18.989999999999998</v>
      </c>
      <c r="E1233" s="1" t="s">
        <v>2505</v>
      </c>
      <c r="F1233" s="1" t="s">
        <v>188</v>
      </c>
      <c r="G1233">
        <v>0</v>
      </c>
      <c r="H1233" s="1" t="s">
        <v>26</v>
      </c>
      <c r="I1233" s="1" t="s">
        <v>97</v>
      </c>
      <c r="J1233">
        <v>6</v>
      </c>
      <c r="K1233">
        <v>18.989999999999998</v>
      </c>
      <c r="L1233" s="1" t="s">
        <v>60</v>
      </c>
      <c r="M1233" s="1" t="s">
        <v>43</v>
      </c>
      <c r="N1233" s="1" t="s">
        <v>44</v>
      </c>
      <c r="O1233" s="1" t="s">
        <v>31</v>
      </c>
      <c r="P1233" s="2">
        <v>45823</v>
      </c>
      <c r="Q1233" s="1" t="s">
        <v>1770</v>
      </c>
      <c r="R1233" s="1" t="s">
        <v>1771</v>
      </c>
      <c r="S1233" s="1" t="s">
        <v>34</v>
      </c>
      <c r="T1233" s="1" t="s">
        <v>35</v>
      </c>
      <c r="U1233" s="1" t="s">
        <v>55</v>
      </c>
      <c r="V1233" s="1" t="s">
        <v>100</v>
      </c>
      <c r="W1233">
        <v>3.2</v>
      </c>
      <c r="X1233" s="1">
        <f t="shared" si="38"/>
        <v>8313.6899999999459</v>
      </c>
      <c r="Y1233" s="1">
        <f t="shared" si="39"/>
        <v>5710.7699999999695</v>
      </c>
    </row>
    <row r="1234" spans="1:25" x14ac:dyDescent="0.3">
      <c r="A1234" s="1" t="s">
        <v>2506</v>
      </c>
      <c r="B1234">
        <v>1</v>
      </c>
      <c r="C1234">
        <v>18.989999999999998</v>
      </c>
      <c r="D1234">
        <v>18.989999999999998</v>
      </c>
      <c r="E1234" s="1" t="s">
        <v>916</v>
      </c>
      <c r="F1234" s="1" t="s">
        <v>51</v>
      </c>
      <c r="G1234">
        <v>0</v>
      </c>
      <c r="H1234" s="1" t="s">
        <v>41</v>
      </c>
      <c r="I1234" s="1" t="s">
        <v>97</v>
      </c>
      <c r="J1234">
        <v>6</v>
      </c>
      <c r="K1234">
        <v>18.989999999999998</v>
      </c>
      <c r="L1234" s="1" t="s">
        <v>60</v>
      </c>
      <c r="M1234" s="1" t="s">
        <v>43</v>
      </c>
      <c r="N1234" s="1" t="s">
        <v>44</v>
      </c>
      <c r="O1234" s="1" t="s">
        <v>31</v>
      </c>
      <c r="P1234" s="2">
        <v>45823</v>
      </c>
      <c r="Q1234" s="1" t="s">
        <v>526</v>
      </c>
      <c r="R1234" s="1" t="s">
        <v>846</v>
      </c>
      <c r="S1234" s="1" t="s">
        <v>47</v>
      </c>
      <c r="T1234" s="1" t="s">
        <v>35</v>
      </c>
      <c r="U1234" s="1" t="s">
        <v>55</v>
      </c>
      <c r="V1234" s="1" t="s">
        <v>100</v>
      </c>
      <c r="W1234">
        <v>3.2</v>
      </c>
      <c r="X1234" s="1">
        <f t="shared" si="38"/>
        <v>8551.6499999999451</v>
      </c>
      <c r="Y1234" s="1">
        <f t="shared" si="39"/>
        <v>5710.7699999999695</v>
      </c>
    </row>
    <row r="1235" spans="1:25" x14ac:dyDescent="0.3">
      <c r="A1235" s="1" t="s">
        <v>2507</v>
      </c>
      <c r="B1235">
        <v>3</v>
      </c>
      <c r="C1235">
        <v>30.99</v>
      </c>
      <c r="D1235">
        <v>74.59</v>
      </c>
      <c r="E1235" s="1" t="s">
        <v>2508</v>
      </c>
      <c r="F1235" s="1" t="s">
        <v>40</v>
      </c>
      <c r="G1235">
        <v>2</v>
      </c>
      <c r="H1235" s="1" t="s">
        <v>26</v>
      </c>
      <c r="I1235" s="1" t="s">
        <v>42</v>
      </c>
      <c r="J1235">
        <v>10.5</v>
      </c>
      <c r="K1235">
        <v>30.99</v>
      </c>
      <c r="L1235" s="1" t="s">
        <v>28</v>
      </c>
      <c r="M1235" s="1" t="s">
        <v>43</v>
      </c>
      <c r="N1235" s="1" t="s">
        <v>44</v>
      </c>
      <c r="O1235" s="1" t="s">
        <v>31</v>
      </c>
      <c r="P1235" s="2">
        <v>45823</v>
      </c>
      <c r="Q1235" s="1" t="s">
        <v>2424</v>
      </c>
      <c r="R1235" s="1" t="s">
        <v>2425</v>
      </c>
      <c r="S1235" s="1" t="s">
        <v>47</v>
      </c>
      <c r="T1235" s="1" t="s">
        <v>35</v>
      </c>
      <c r="U1235" s="1" t="s">
        <v>66</v>
      </c>
      <c r="V1235" s="1" t="s">
        <v>37</v>
      </c>
      <c r="W1235">
        <v>2</v>
      </c>
      <c r="X1235" s="1">
        <f t="shared" si="38"/>
        <v>8313.6899999999459</v>
      </c>
      <c r="Y1235" s="1">
        <f t="shared" si="39"/>
        <v>6397.4799999999632</v>
      </c>
    </row>
    <row r="1236" spans="1:25" x14ac:dyDescent="0.3">
      <c r="A1236" s="1" t="s">
        <v>2509</v>
      </c>
      <c r="B1236">
        <v>1</v>
      </c>
      <c r="C1236">
        <v>18.989999999999998</v>
      </c>
      <c r="D1236">
        <v>18.989999999999998</v>
      </c>
      <c r="E1236" s="1" t="s">
        <v>2510</v>
      </c>
      <c r="F1236" s="1" t="s">
        <v>51</v>
      </c>
      <c r="G1236">
        <v>0</v>
      </c>
      <c r="H1236" s="1" t="s">
        <v>58</v>
      </c>
      <c r="I1236" s="1" t="s">
        <v>97</v>
      </c>
      <c r="J1236">
        <v>6</v>
      </c>
      <c r="K1236">
        <v>18.989999999999998</v>
      </c>
      <c r="L1236" s="1" t="s">
        <v>60</v>
      </c>
      <c r="M1236" s="1" t="s">
        <v>43</v>
      </c>
      <c r="N1236" s="1" t="s">
        <v>44</v>
      </c>
      <c r="O1236" s="1" t="s">
        <v>31</v>
      </c>
      <c r="P1236" s="2">
        <v>45823</v>
      </c>
      <c r="Q1236" s="1" t="s">
        <v>147</v>
      </c>
      <c r="R1236" s="1" t="s">
        <v>1601</v>
      </c>
      <c r="S1236" s="1" t="s">
        <v>105</v>
      </c>
      <c r="T1236" s="1" t="s">
        <v>35</v>
      </c>
      <c r="U1236" s="1" t="s">
        <v>55</v>
      </c>
      <c r="V1236" s="1" t="s">
        <v>100</v>
      </c>
      <c r="W1236">
        <v>3.2</v>
      </c>
      <c r="X1236" s="1">
        <f t="shared" si="38"/>
        <v>8640.6199999999462</v>
      </c>
      <c r="Y1236" s="1">
        <f t="shared" si="39"/>
        <v>5710.7699999999695</v>
      </c>
    </row>
    <row r="1237" spans="1:25" x14ac:dyDescent="0.3">
      <c r="A1237" s="1" t="s">
        <v>2511</v>
      </c>
      <c r="B1237">
        <v>2</v>
      </c>
      <c r="C1237">
        <v>18.989999999999998</v>
      </c>
      <c r="D1237">
        <v>32.950000000000003</v>
      </c>
      <c r="E1237" s="1" t="s">
        <v>1355</v>
      </c>
      <c r="F1237" s="1" t="s">
        <v>70</v>
      </c>
      <c r="G1237">
        <v>0</v>
      </c>
      <c r="H1237" s="1" t="s">
        <v>58</v>
      </c>
      <c r="I1237" s="1" t="s">
        <v>97</v>
      </c>
      <c r="J1237">
        <v>6</v>
      </c>
      <c r="K1237">
        <v>18.989999999999998</v>
      </c>
      <c r="L1237" s="1" t="s">
        <v>60</v>
      </c>
      <c r="M1237" s="1" t="s">
        <v>43</v>
      </c>
      <c r="N1237" s="1" t="s">
        <v>44</v>
      </c>
      <c r="O1237" s="1" t="s">
        <v>31</v>
      </c>
      <c r="P1237" s="2">
        <v>45823</v>
      </c>
      <c r="Q1237" s="1" t="s">
        <v>241</v>
      </c>
      <c r="R1237" s="1" t="s">
        <v>2512</v>
      </c>
      <c r="S1237" s="1" t="s">
        <v>47</v>
      </c>
      <c r="T1237" s="1" t="s">
        <v>35</v>
      </c>
      <c r="U1237" s="1" t="s">
        <v>36</v>
      </c>
      <c r="V1237" s="1" t="s">
        <v>100</v>
      </c>
      <c r="W1237">
        <v>3.2</v>
      </c>
      <c r="X1237" s="1">
        <f t="shared" si="38"/>
        <v>8640.6199999999462</v>
      </c>
      <c r="Y1237" s="1">
        <f t="shared" si="39"/>
        <v>6355.4899999999634</v>
      </c>
    </row>
    <row r="1238" spans="1:25" x14ac:dyDescent="0.3">
      <c r="A1238" s="1" t="s">
        <v>2513</v>
      </c>
      <c r="B1238">
        <v>1</v>
      </c>
      <c r="C1238">
        <v>21.99</v>
      </c>
      <c r="D1238">
        <v>21.99</v>
      </c>
      <c r="E1238" s="1" t="s">
        <v>1652</v>
      </c>
      <c r="F1238" s="1" t="s">
        <v>40</v>
      </c>
      <c r="G1238">
        <v>2</v>
      </c>
      <c r="H1238" s="1" t="s">
        <v>58</v>
      </c>
      <c r="I1238" s="1" t="s">
        <v>27</v>
      </c>
      <c r="J1238">
        <v>7</v>
      </c>
      <c r="K1238">
        <v>21.99</v>
      </c>
      <c r="L1238" s="1" t="s">
        <v>28</v>
      </c>
      <c r="M1238" s="1" t="s">
        <v>29</v>
      </c>
      <c r="N1238" s="1" t="s">
        <v>30</v>
      </c>
      <c r="O1238" s="1" t="s">
        <v>31</v>
      </c>
      <c r="P1238" s="2">
        <v>45778</v>
      </c>
      <c r="Q1238" s="1" t="s">
        <v>1349</v>
      </c>
      <c r="R1238" s="1" t="s">
        <v>1439</v>
      </c>
      <c r="S1238" s="1" t="s">
        <v>65</v>
      </c>
      <c r="T1238" s="1" t="s">
        <v>35</v>
      </c>
      <c r="U1238" s="1" t="s">
        <v>36</v>
      </c>
      <c r="V1238" s="1" t="s">
        <v>37</v>
      </c>
      <c r="W1238">
        <v>2</v>
      </c>
      <c r="X1238" s="1">
        <f t="shared" si="38"/>
        <v>8640.6199999999462</v>
      </c>
      <c r="Y1238" s="1">
        <f t="shared" si="39"/>
        <v>6355.4899999999634</v>
      </c>
    </row>
    <row r="1239" spans="1:25" x14ac:dyDescent="0.3">
      <c r="A1239" s="1" t="s">
        <v>2514</v>
      </c>
      <c r="B1239">
        <v>1</v>
      </c>
      <c r="C1239">
        <v>34.99</v>
      </c>
      <c r="D1239">
        <v>34.99</v>
      </c>
      <c r="E1239" s="1" t="s">
        <v>1743</v>
      </c>
      <c r="F1239" s="1" t="s">
        <v>25</v>
      </c>
      <c r="G1239">
        <v>8</v>
      </c>
      <c r="H1239" s="1" t="s">
        <v>58</v>
      </c>
      <c r="I1239" s="1" t="s">
        <v>85</v>
      </c>
      <c r="J1239">
        <v>12.5</v>
      </c>
      <c r="K1239">
        <v>34.99</v>
      </c>
      <c r="L1239" s="1" t="s">
        <v>60</v>
      </c>
      <c r="M1239" s="1" t="s">
        <v>29</v>
      </c>
      <c r="N1239" s="1" t="s">
        <v>30</v>
      </c>
      <c r="O1239" s="1" t="s">
        <v>31</v>
      </c>
      <c r="P1239" s="2">
        <v>45778</v>
      </c>
      <c r="Q1239" s="1" t="s">
        <v>118</v>
      </c>
      <c r="R1239" s="1" t="s">
        <v>1959</v>
      </c>
      <c r="S1239" s="1" t="s">
        <v>65</v>
      </c>
      <c r="T1239" s="1" t="s">
        <v>35</v>
      </c>
      <c r="U1239" s="1" t="s">
        <v>36</v>
      </c>
      <c r="V1239" s="1" t="s">
        <v>89</v>
      </c>
      <c r="W1239">
        <v>2.4</v>
      </c>
      <c r="X1239" s="1">
        <f t="shared" si="38"/>
        <v>8640.6199999999462</v>
      </c>
      <c r="Y1239" s="1">
        <f t="shared" si="39"/>
        <v>6355.4899999999634</v>
      </c>
    </row>
    <row r="1240" spans="1:25" x14ac:dyDescent="0.3">
      <c r="A1240" s="1" t="s">
        <v>2515</v>
      </c>
      <c r="B1240">
        <v>2</v>
      </c>
      <c r="C1240">
        <v>34.99</v>
      </c>
      <c r="D1240">
        <v>60.24</v>
      </c>
      <c r="E1240" s="1" t="s">
        <v>1156</v>
      </c>
      <c r="F1240" s="1" t="s">
        <v>40</v>
      </c>
      <c r="G1240">
        <v>10</v>
      </c>
      <c r="H1240" s="1" t="s">
        <v>58</v>
      </c>
      <c r="I1240" s="1" t="s">
        <v>85</v>
      </c>
      <c r="J1240">
        <v>12.5</v>
      </c>
      <c r="K1240">
        <v>34.99</v>
      </c>
      <c r="L1240" s="1" t="s">
        <v>60</v>
      </c>
      <c r="M1240" s="1" t="s">
        <v>29</v>
      </c>
      <c r="N1240" s="1" t="s">
        <v>30</v>
      </c>
      <c r="O1240" s="1" t="s">
        <v>31</v>
      </c>
      <c r="P1240" s="2">
        <v>45778</v>
      </c>
      <c r="Q1240" s="1" t="s">
        <v>1676</v>
      </c>
      <c r="R1240" s="1" t="s">
        <v>1774</v>
      </c>
      <c r="S1240" s="1" t="s">
        <v>54</v>
      </c>
      <c r="T1240" s="1" t="s">
        <v>35</v>
      </c>
      <c r="U1240" s="1" t="s">
        <v>36</v>
      </c>
      <c r="V1240" s="1" t="s">
        <v>89</v>
      </c>
      <c r="W1240">
        <v>2.4</v>
      </c>
      <c r="X1240" s="1">
        <f t="shared" si="38"/>
        <v>8640.6199999999462</v>
      </c>
      <c r="Y1240" s="1">
        <f t="shared" si="39"/>
        <v>6355.4899999999634</v>
      </c>
    </row>
    <row r="1241" spans="1:25" x14ac:dyDescent="0.3">
      <c r="A1241" s="1" t="s">
        <v>2516</v>
      </c>
      <c r="B1241">
        <v>1</v>
      </c>
      <c r="C1241">
        <v>21.99</v>
      </c>
      <c r="D1241">
        <v>21.99</v>
      </c>
      <c r="E1241" s="1" t="s">
        <v>2192</v>
      </c>
      <c r="F1241" s="1" t="s">
        <v>25</v>
      </c>
      <c r="G1241">
        <v>2</v>
      </c>
      <c r="H1241" s="1" t="s">
        <v>58</v>
      </c>
      <c r="I1241" s="1" t="s">
        <v>27</v>
      </c>
      <c r="J1241">
        <v>7</v>
      </c>
      <c r="K1241">
        <v>21.99</v>
      </c>
      <c r="L1241" s="1" t="s">
        <v>28</v>
      </c>
      <c r="M1241" s="1" t="s">
        <v>29</v>
      </c>
      <c r="N1241" s="1" t="s">
        <v>30</v>
      </c>
      <c r="O1241" s="1" t="s">
        <v>31</v>
      </c>
      <c r="P1241" s="2">
        <v>45778</v>
      </c>
      <c r="Q1241" s="1" t="s">
        <v>1028</v>
      </c>
      <c r="R1241" s="1" t="s">
        <v>1029</v>
      </c>
      <c r="S1241" s="1" t="s">
        <v>105</v>
      </c>
      <c r="T1241" s="1" t="s">
        <v>35</v>
      </c>
      <c r="U1241" s="1" t="s">
        <v>36</v>
      </c>
      <c r="V1241" s="1" t="s">
        <v>37</v>
      </c>
      <c r="W1241">
        <v>2</v>
      </c>
      <c r="X1241" s="1">
        <f t="shared" si="38"/>
        <v>8640.6199999999462</v>
      </c>
      <c r="Y1241" s="1">
        <f t="shared" si="39"/>
        <v>6355.4899999999634</v>
      </c>
    </row>
    <row r="1242" spans="1:25" x14ac:dyDescent="0.3">
      <c r="A1242" s="1" t="s">
        <v>2517</v>
      </c>
      <c r="B1242">
        <v>2</v>
      </c>
      <c r="C1242">
        <v>34.99</v>
      </c>
      <c r="D1242">
        <v>60.49</v>
      </c>
      <c r="E1242" s="1" t="s">
        <v>187</v>
      </c>
      <c r="F1242" s="1" t="s">
        <v>188</v>
      </c>
      <c r="G1242">
        <v>0</v>
      </c>
      <c r="H1242" s="1" t="s">
        <v>26</v>
      </c>
      <c r="I1242" s="1" t="s">
        <v>85</v>
      </c>
      <c r="J1242">
        <v>12.5</v>
      </c>
      <c r="K1242">
        <v>34.99</v>
      </c>
      <c r="L1242" s="1" t="s">
        <v>60</v>
      </c>
      <c r="M1242" s="1" t="s">
        <v>29</v>
      </c>
      <c r="N1242" s="1" t="s">
        <v>30</v>
      </c>
      <c r="O1242" s="1" t="s">
        <v>31</v>
      </c>
      <c r="P1242" s="2">
        <v>45778</v>
      </c>
      <c r="Q1242" s="1" t="s">
        <v>1035</v>
      </c>
      <c r="R1242" s="1" t="s">
        <v>1036</v>
      </c>
      <c r="S1242" s="1" t="s">
        <v>54</v>
      </c>
      <c r="T1242" s="1" t="s">
        <v>35</v>
      </c>
      <c r="U1242" s="1" t="s">
        <v>66</v>
      </c>
      <c r="V1242" s="1" t="s">
        <v>89</v>
      </c>
      <c r="W1242">
        <v>2.4</v>
      </c>
      <c r="X1242" s="1">
        <f t="shared" si="38"/>
        <v>8313.6899999999459</v>
      </c>
      <c r="Y1242" s="1">
        <f t="shared" si="39"/>
        <v>6397.4799999999632</v>
      </c>
    </row>
    <row r="1243" spans="1:25" x14ac:dyDescent="0.3">
      <c r="A1243" s="1" t="s">
        <v>2518</v>
      </c>
      <c r="B1243">
        <v>3</v>
      </c>
      <c r="C1243">
        <v>18.989999999999998</v>
      </c>
      <c r="D1243">
        <v>45.04</v>
      </c>
      <c r="E1243" s="1" t="s">
        <v>2519</v>
      </c>
      <c r="F1243" s="1" t="s">
        <v>188</v>
      </c>
      <c r="G1243">
        <v>0</v>
      </c>
      <c r="H1243" s="1" t="s">
        <v>26</v>
      </c>
      <c r="I1243" s="1" t="s">
        <v>97</v>
      </c>
      <c r="J1243">
        <v>6</v>
      </c>
      <c r="K1243">
        <v>18.989999999999998</v>
      </c>
      <c r="L1243" s="1" t="s">
        <v>60</v>
      </c>
      <c r="M1243" s="1" t="s">
        <v>43</v>
      </c>
      <c r="N1243" s="1" t="s">
        <v>44</v>
      </c>
      <c r="O1243" s="1" t="s">
        <v>31</v>
      </c>
      <c r="P1243" s="2">
        <v>45823</v>
      </c>
      <c r="Q1243" s="1" t="s">
        <v>814</v>
      </c>
      <c r="R1243" s="1" t="s">
        <v>1041</v>
      </c>
      <c r="S1243" s="1" t="s">
        <v>54</v>
      </c>
      <c r="T1243" s="1" t="s">
        <v>35</v>
      </c>
      <c r="U1243" s="1" t="s">
        <v>36</v>
      </c>
      <c r="V1243" s="1" t="s">
        <v>100</v>
      </c>
      <c r="W1243">
        <v>3.2</v>
      </c>
      <c r="X1243" s="1">
        <f t="shared" si="38"/>
        <v>8313.6899999999459</v>
      </c>
      <c r="Y1243" s="1">
        <f t="shared" si="39"/>
        <v>6355.4899999999634</v>
      </c>
    </row>
    <row r="1244" spans="1:25" x14ac:dyDescent="0.3">
      <c r="A1244" s="1" t="s">
        <v>2520</v>
      </c>
      <c r="B1244">
        <v>1</v>
      </c>
      <c r="C1244">
        <v>30.99</v>
      </c>
      <c r="D1244">
        <v>30.99</v>
      </c>
      <c r="E1244" s="1" t="s">
        <v>244</v>
      </c>
      <c r="F1244" s="1" t="s">
        <v>25</v>
      </c>
      <c r="G1244">
        <v>2</v>
      </c>
      <c r="H1244" s="1" t="s">
        <v>58</v>
      </c>
      <c r="I1244" s="1" t="s">
        <v>42</v>
      </c>
      <c r="J1244">
        <v>10.5</v>
      </c>
      <c r="K1244">
        <v>30.99</v>
      </c>
      <c r="L1244" s="1" t="s">
        <v>28</v>
      </c>
      <c r="M1244" s="1" t="s">
        <v>43</v>
      </c>
      <c r="N1244" s="1" t="s">
        <v>44</v>
      </c>
      <c r="O1244" s="1" t="s">
        <v>31</v>
      </c>
      <c r="P1244" s="2">
        <v>45823</v>
      </c>
      <c r="Q1244" s="1" t="s">
        <v>1162</v>
      </c>
      <c r="R1244" s="1" t="s">
        <v>1163</v>
      </c>
      <c r="S1244" s="1" t="s">
        <v>65</v>
      </c>
      <c r="T1244" s="1" t="s">
        <v>35</v>
      </c>
      <c r="U1244" s="1" t="s">
        <v>48</v>
      </c>
      <c r="V1244" s="1" t="s">
        <v>37</v>
      </c>
      <c r="W1244">
        <v>2</v>
      </c>
      <c r="X1244" s="1">
        <f t="shared" si="38"/>
        <v>8640.6199999999462</v>
      </c>
      <c r="Y1244" s="1">
        <f t="shared" si="39"/>
        <v>7682.919999999951</v>
      </c>
    </row>
    <row r="1245" spans="1:25" x14ac:dyDescent="0.3">
      <c r="A1245" s="1" t="s">
        <v>2521</v>
      </c>
      <c r="B1245">
        <v>1</v>
      </c>
      <c r="C1245">
        <v>16.989999999999998</v>
      </c>
      <c r="D1245">
        <v>16.989999999999998</v>
      </c>
      <c r="E1245" s="1" t="s">
        <v>389</v>
      </c>
      <c r="F1245" s="1" t="s">
        <v>40</v>
      </c>
      <c r="G1245">
        <v>17</v>
      </c>
      <c r="H1245" s="1" t="s">
        <v>96</v>
      </c>
      <c r="I1245" s="1" t="s">
        <v>59</v>
      </c>
      <c r="J1245">
        <v>5</v>
      </c>
      <c r="K1245">
        <v>16.989999999999998</v>
      </c>
      <c r="L1245" s="1" t="s">
        <v>60</v>
      </c>
      <c r="M1245" s="1" t="s">
        <v>61</v>
      </c>
      <c r="N1245" s="1" t="s">
        <v>62</v>
      </c>
      <c r="O1245" s="1" t="s">
        <v>31</v>
      </c>
      <c r="P1245" s="2">
        <v>45726</v>
      </c>
      <c r="Q1245" s="1" t="s">
        <v>1657</v>
      </c>
      <c r="R1245" s="1" t="s">
        <v>1658</v>
      </c>
      <c r="S1245" s="1" t="s">
        <v>65</v>
      </c>
      <c r="T1245" s="1" t="s">
        <v>35</v>
      </c>
      <c r="U1245" s="1" t="s">
        <v>36</v>
      </c>
      <c r="V1245" s="1" t="s">
        <v>67</v>
      </c>
      <c r="W1245">
        <v>3</v>
      </c>
      <c r="X1245" s="1">
        <f t="shared" si="38"/>
        <v>7844.9099999999507</v>
      </c>
      <c r="Y1245" s="1">
        <f t="shared" si="39"/>
        <v>6355.4899999999634</v>
      </c>
    </row>
    <row r="1246" spans="1:25" x14ac:dyDescent="0.3">
      <c r="A1246" s="1" t="s">
        <v>2522</v>
      </c>
      <c r="B1246">
        <v>1</v>
      </c>
      <c r="C1246">
        <v>34.99</v>
      </c>
      <c r="D1246">
        <v>34.99</v>
      </c>
      <c r="E1246" s="1" t="s">
        <v>113</v>
      </c>
      <c r="F1246" s="1" t="s">
        <v>40</v>
      </c>
      <c r="G1246">
        <v>5</v>
      </c>
      <c r="H1246" s="1" t="s">
        <v>41</v>
      </c>
      <c r="I1246" s="1" t="s">
        <v>85</v>
      </c>
      <c r="J1246">
        <v>12.5</v>
      </c>
      <c r="K1246">
        <v>34.99</v>
      </c>
      <c r="L1246" s="1" t="s">
        <v>60</v>
      </c>
      <c r="M1246" s="1" t="s">
        <v>29</v>
      </c>
      <c r="N1246" s="1" t="s">
        <v>30</v>
      </c>
      <c r="O1246" s="1" t="s">
        <v>31</v>
      </c>
      <c r="P1246" s="2">
        <v>45778</v>
      </c>
      <c r="Q1246" s="1" t="s">
        <v>161</v>
      </c>
      <c r="R1246" s="1" t="s">
        <v>2096</v>
      </c>
      <c r="S1246" s="1" t="s">
        <v>34</v>
      </c>
      <c r="T1246" s="1" t="s">
        <v>35</v>
      </c>
      <c r="U1246" s="1" t="s">
        <v>48</v>
      </c>
      <c r="V1246" s="1" t="s">
        <v>89</v>
      </c>
      <c r="W1246">
        <v>2.4</v>
      </c>
      <c r="X1246" s="1">
        <f t="shared" si="38"/>
        <v>8551.6499999999451</v>
      </c>
      <c r="Y1246" s="1">
        <f t="shared" si="39"/>
        <v>7682.919999999951</v>
      </c>
    </row>
    <row r="1247" spans="1:25" x14ac:dyDescent="0.3">
      <c r="A1247" s="1" t="s">
        <v>2523</v>
      </c>
      <c r="B1247">
        <v>1</v>
      </c>
      <c r="C1247">
        <v>16.989999999999998</v>
      </c>
      <c r="D1247">
        <v>16.989999999999998</v>
      </c>
      <c r="E1247" s="1" t="s">
        <v>1570</v>
      </c>
      <c r="F1247" s="1" t="s">
        <v>40</v>
      </c>
      <c r="G1247">
        <v>17</v>
      </c>
      <c r="H1247" s="1" t="s">
        <v>96</v>
      </c>
      <c r="I1247" s="1" t="s">
        <v>59</v>
      </c>
      <c r="J1247">
        <v>5</v>
      </c>
      <c r="K1247">
        <v>16.989999999999998</v>
      </c>
      <c r="L1247" s="1" t="s">
        <v>60</v>
      </c>
      <c r="M1247" s="1" t="s">
        <v>61</v>
      </c>
      <c r="N1247" s="1" t="s">
        <v>62</v>
      </c>
      <c r="O1247" s="1" t="s">
        <v>31</v>
      </c>
      <c r="P1247" s="2">
        <v>45726</v>
      </c>
      <c r="Q1247" s="1" t="s">
        <v>140</v>
      </c>
      <c r="R1247" s="1" t="s">
        <v>2241</v>
      </c>
      <c r="S1247" s="1" t="s">
        <v>65</v>
      </c>
      <c r="T1247" s="1" t="s">
        <v>35</v>
      </c>
      <c r="U1247" s="1" t="s">
        <v>66</v>
      </c>
      <c r="V1247" s="1" t="s">
        <v>67</v>
      </c>
      <c r="W1247">
        <v>3</v>
      </c>
      <c r="X1247" s="1">
        <f t="shared" si="38"/>
        <v>7844.9099999999507</v>
      </c>
      <c r="Y1247" s="1">
        <f t="shared" si="39"/>
        <v>6397.4799999999632</v>
      </c>
    </row>
    <row r="1248" spans="1:25" x14ac:dyDescent="0.3">
      <c r="A1248" s="1" t="s">
        <v>2524</v>
      </c>
      <c r="B1248">
        <v>1</v>
      </c>
      <c r="C1248">
        <v>27.99</v>
      </c>
      <c r="D1248">
        <v>27.99</v>
      </c>
      <c r="E1248" s="1" t="s">
        <v>1233</v>
      </c>
      <c r="F1248" s="1" t="s">
        <v>51</v>
      </c>
      <c r="G1248">
        <v>0</v>
      </c>
      <c r="H1248" s="1" t="s">
        <v>26</v>
      </c>
      <c r="I1248" s="1" t="s">
        <v>75</v>
      </c>
      <c r="J1248">
        <v>9</v>
      </c>
      <c r="K1248">
        <v>27.99</v>
      </c>
      <c r="L1248" s="1" t="s">
        <v>28</v>
      </c>
      <c r="M1248" s="1" t="s">
        <v>61</v>
      </c>
      <c r="N1248" s="1" t="s">
        <v>62</v>
      </c>
      <c r="O1248" s="1" t="s">
        <v>31</v>
      </c>
      <c r="P1248" s="2">
        <v>45726</v>
      </c>
      <c r="Q1248" s="1" t="s">
        <v>1447</v>
      </c>
      <c r="R1248" s="1" t="s">
        <v>1448</v>
      </c>
      <c r="S1248" s="1" t="s">
        <v>47</v>
      </c>
      <c r="T1248" s="1" t="s">
        <v>35</v>
      </c>
      <c r="U1248" s="1" t="s">
        <v>36</v>
      </c>
      <c r="V1248" s="1" t="s">
        <v>37</v>
      </c>
      <c r="W1248">
        <v>2</v>
      </c>
      <c r="X1248" s="1">
        <f t="shared" si="38"/>
        <v>8313.6899999999459</v>
      </c>
      <c r="Y1248" s="1">
        <f t="shared" si="39"/>
        <v>6355.4899999999634</v>
      </c>
    </row>
    <row r="1249" spans="1:25" x14ac:dyDescent="0.3">
      <c r="A1249" s="1" t="s">
        <v>2525</v>
      </c>
      <c r="B1249">
        <v>1</v>
      </c>
      <c r="C1249">
        <v>34.99</v>
      </c>
      <c r="D1249">
        <v>34.99</v>
      </c>
      <c r="E1249" s="1" t="s">
        <v>902</v>
      </c>
      <c r="F1249" s="1" t="s">
        <v>40</v>
      </c>
      <c r="G1249">
        <v>12</v>
      </c>
      <c r="H1249" s="1" t="s">
        <v>41</v>
      </c>
      <c r="I1249" s="1" t="s">
        <v>85</v>
      </c>
      <c r="J1249">
        <v>12.5</v>
      </c>
      <c r="K1249">
        <v>34.99</v>
      </c>
      <c r="L1249" s="1" t="s">
        <v>60</v>
      </c>
      <c r="M1249" s="1" t="s">
        <v>29</v>
      </c>
      <c r="N1249" s="1" t="s">
        <v>30</v>
      </c>
      <c r="O1249" s="1" t="s">
        <v>31</v>
      </c>
      <c r="P1249" s="2">
        <v>45778</v>
      </c>
      <c r="Q1249" s="1" t="s">
        <v>1237</v>
      </c>
      <c r="R1249" s="1" t="s">
        <v>1238</v>
      </c>
      <c r="S1249" s="1" t="s">
        <v>65</v>
      </c>
      <c r="T1249" s="1" t="s">
        <v>35</v>
      </c>
      <c r="U1249" s="1" t="s">
        <v>66</v>
      </c>
      <c r="V1249" s="1" t="s">
        <v>89</v>
      </c>
      <c r="W1249">
        <v>2.4</v>
      </c>
      <c r="X1249" s="1">
        <f t="shared" si="38"/>
        <v>8551.6499999999451</v>
      </c>
      <c r="Y1249" s="1">
        <f t="shared" si="39"/>
        <v>6397.4799999999632</v>
      </c>
    </row>
    <row r="1250" spans="1:25" x14ac:dyDescent="0.3">
      <c r="A1250" s="1" t="s">
        <v>2526</v>
      </c>
      <c r="B1250">
        <v>1</v>
      </c>
      <c r="C1250">
        <v>18.989999999999998</v>
      </c>
      <c r="D1250">
        <v>18.989999999999998</v>
      </c>
      <c r="E1250" s="1" t="s">
        <v>719</v>
      </c>
      <c r="F1250" s="1" t="s">
        <v>40</v>
      </c>
      <c r="G1250">
        <v>19</v>
      </c>
      <c r="H1250" s="1" t="s">
        <v>26</v>
      </c>
      <c r="I1250" s="1" t="s">
        <v>97</v>
      </c>
      <c r="J1250">
        <v>6</v>
      </c>
      <c r="K1250">
        <v>18.989999999999998</v>
      </c>
      <c r="L1250" s="1" t="s">
        <v>60</v>
      </c>
      <c r="M1250" s="1" t="s">
        <v>43</v>
      </c>
      <c r="N1250" s="1" t="s">
        <v>44</v>
      </c>
      <c r="O1250" s="1" t="s">
        <v>31</v>
      </c>
      <c r="P1250" s="2">
        <v>45823</v>
      </c>
      <c r="Q1250" s="1" t="s">
        <v>850</v>
      </c>
      <c r="R1250" s="1" t="s">
        <v>2445</v>
      </c>
      <c r="S1250" s="1" t="s">
        <v>65</v>
      </c>
      <c r="T1250" s="1" t="s">
        <v>35</v>
      </c>
      <c r="U1250" s="1" t="s">
        <v>48</v>
      </c>
      <c r="V1250" s="1" t="s">
        <v>100</v>
      </c>
      <c r="W1250">
        <v>3.2</v>
      </c>
      <c r="X1250" s="1">
        <f t="shared" si="38"/>
        <v>8313.6899999999459</v>
      </c>
      <c r="Y1250" s="1">
        <f t="shared" si="39"/>
        <v>7682.919999999951</v>
      </c>
    </row>
    <row r="1251" spans="1:25" x14ac:dyDescent="0.3">
      <c r="A1251" s="1" t="s">
        <v>2527</v>
      </c>
      <c r="B1251">
        <v>1</v>
      </c>
      <c r="C1251">
        <v>30.99</v>
      </c>
      <c r="D1251">
        <v>30.99</v>
      </c>
      <c r="E1251" s="1" t="s">
        <v>810</v>
      </c>
      <c r="F1251" s="1" t="s">
        <v>40</v>
      </c>
      <c r="G1251">
        <v>3</v>
      </c>
      <c r="H1251" s="1" t="s">
        <v>96</v>
      </c>
      <c r="I1251" s="1" t="s">
        <v>42</v>
      </c>
      <c r="J1251">
        <v>10.5</v>
      </c>
      <c r="K1251">
        <v>30.99</v>
      </c>
      <c r="L1251" s="1" t="s">
        <v>28</v>
      </c>
      <c r="M1251" s="1" t="s">
        <v>43</v>
      </c>
      <c r="N1251" s="1" t="s">
        <v>44</v>
      </c>
      <c r="O1251" s="1" t="s">
        <v>31</v>
      </c>
      <c r="P1251" s="2">
        <v>45823</v>
      </c>
      <c r="Q1251" s="1" t="s">
        <v>990</v>
      </c>
      <c r="R1251" s="1" t="s">
        <v>1490</v>
      </c>
      <c r="S1251" s="1" t="s">
        <v>88</v>
      </c>
      <c r="T1251" s="1" t="s">
        <v>35</v>
      </c>
      <c r="U1251" s="1" t="s">
        <v>82</v>
      </c>
      <c r="V1251" s="1" t="s">
        <v>37</v>
      </c>
      <c r="W1251">
        <v>2</v>
      </c>
      <c r="X1251" s="1">
        <f t="shared" si="38"/>
        <v>7844.9099999999507</v>
      </c>
      <c r="Y1251" s="1">
        <f t="shared" si="39"/>
        <v>7204.2099999999582</v>
      </c>
    </row>
    <row r="1252" spans="1:25" x14ac:dyDescent="0.3">
      <c r="A1252" s="1" t="s">
        <v>2528</v>
      </c>
      <c r="B1252">
        <v>1</v>
      </c>
      <c r="C1252">
        <v>16.989999999999998</v>
      </c>
      <c r="D1252">
        <v>16.989999999999998</v>
      </c>
      <c r="E1252" s="1" t="s">
        <v>1530</v>
      </c>
      <c r="F1252" s="1" t="s">
        <v>25</v>
      </c>
      <c r="G1252">
        <v>24</v>
      </c>
      <c r="H1252" s="1" t="s">
        <v>26</v>
      </c>
      <c r="I1252" s="1" t="s">
        <v>59</v>
      </c>
      <c r="J1252">
        <v>5</v>
      </c>
      <c r="K1252">
        <v>16.989999999999998</v>
      </c>
      <c r="L1252" s="1" t="s">
        <v>60</v>
      </c>
      <c r="M1252" s="1" t="s">
        <v>61</v>
      </c>
      <c r="N1252" s="1" t="s">
        <v>62</v>
      </c>
      <c r="O1252" s="1" t="s">
        <v>31</v>
      </c>
      <c r="P1252" s="2">
        <v>45726</v>
      </c>
      <c r="Q1252" s="1" t="s">
        <v>832</v>
      </c>
      <c r="R1252" s="1" t="s">
        <v>833</v>
      </c>
      <c r="S1252" s="1" t="s">
        <v>34</v>
      </c>
      <c r="T1252" s="1" t="s">
        <v>35</v>
      </c>
      <c r="U1252" s="1" t="s">
        <v>36</v>
      </c>
      <c r="V1252" s="1" t="s">
        <v>67</v>
      </c>
      <c r="W1252">
        <v>3</v>
      </c>
      <c r="X1252" s="1">
        <f t="shared" si="38"/>
        <v>8313.6899999999459</v>
      </c>
      <c r="Y1252" s="1">
        <f t="shared" si="39"/>
        <v>6355.4899999999634</v>
      </c>
    </row>
    <row r="1253" spans="1:25" x14ac:dyDescent="0.3">
      <c r="A1253" s="1" t="s">
        <v>2529</v>
      </c>
      <c r="B1253">
        <v>1</v>
      </c>
      <c r="C1253">
        <v>21.99</v>
      </c>
      <c r="D1253">
        <v>21.99</v>
      </c>
      <c r="E1253" s="1" t="s">
        <v>1268</v>
      </c>
      <c r="F1253" s="1" t="s">
        <v>40</v>
      </c>
      <c r="G1253">
        <v>2</v>
      </c>
      <c r="H1253" s="1" t="s">
        <v>26</v>
      </c>
      <c r="I1253" s="1" t="s">
        <v>27</v>
      </c>
      <c r="J1253">
        <v>7</v>
      </c>
      <c r="K1253">
        <v>21.99</v>
      </c>
      <c r="L1253" s="1" t="s">
        <v>28</v>
      </c>
      <c r="M1253" s="1" t="s">
        <v>29</v>
      </c>
      <c r="N1253" s="1" t="s">
        <v>30</v>
      </c>
      <c r="O1253" s="1" t="s">
        <v>31</v>
      </c>
      <c r="P1253" s="2">
        <v>45778</v>
      </c>
      <c r="Q1253" s="1" t="s">
        <v>1112</v>
      </c>
      <c r="R1253" s="1" t="s">
        <v>1215</v>
      </c>
      <c r="S1253" s="1" t="s">
        <v>54</v>
      </c>
      <c r="T1253" s="1" t="s">
        <v>35</v>
      </c>
      <c r="U1253" s="1" t="s">
        <v>48</v>
      </c>
      <c r="V1253" s="1" t="s">
        <v>37</v>
      </c>
      <c r="W1253">
        <v>2</v>
      </c>
      <c r="X1253" s="1">
        <f t="shared" si="38"/>
        <v>8313.6899999999459</v>
      </c>
      <c r="Y1253" s="1">
        <f t="shared" si="39"/>
        <v>7682.919999999951</v>
      </c>
    </row>
    <row r="1254" spans="1:25" x14ac:dyDescent="0.3">
      <c r="A1254" s="1" t="s">
        <v>2530</v>
      </c>
      <c r="B1254">
        <v>1</v>
      </c>
      <c r="C1254">
        <v>16.989999999999998</v>
      </c>
      <c r="D1254">
        <v>16.989999999999998</v>
      </c>
      <c r="E1254" s="1" t="s">
        <v>1807</v>
      </c>
      <c r="F1254" s="1" t="s">
        <v>40</v>
      </c>
      <c r="G1254">
        <v>16</v>
      </c>
      <c r="H1254" s="1" t="s">
        <v>41</v>
      </c>
      <c r="I1254" s="1" t="s">
        <v>59</v>
      </c>
      <c r="J1254">
        <v>5</v>
      </c>
      <c r="K1254">
        <v>16.989999999999998</v>
      </c>
      <c r="L1254" s="1" t="s">
        <v>60</v>
      </c>
      <c r="M1254" s="1" t="s">
        <v>61</v>
      </c>
      <c r="N1254" s="1" t="s">
        <v>62</v>
      </c>
      <c r="O1254" s="1" t="s">
        <v>31</v>
      </c>
      <c r="P1254" s="2">
        <v>45726</v>
      </c>
      <c r="Q1254" s="1" t="s">
        <v>957</v>
      </c>
      <c r="R1254" s="1" t="s">
        <v>958</v>
      </c>
      <c r="S1254" s="1" t="s">
        <v>105</v>
      </c>
      <c r="T1254" s="1" t="s">
        <v>35</v>
      </c>
      <c r="U1254" s="1" t="s">
        <v>66</v>
      </c>
      <c r="V1254" s="1" t="s">
        <v>67</v>
      </c>
      <c r="W1254">
        <v>3</v>
      </c>
      <c r="X1254" s="1">
        <f t="shared" si="38"/>
        <v>8551.6499999999451</v>
      </c>
      <c r="Y1254" s="1">
        <f t="shared" si="39"/>
        <v>6397.4799999999632</v>
      </c>
    </row>
    <row r="1255" spans="1:25" x14ac:dyDescent="0.3">
      <c r="A1255" s="1" t="s">
        <v>2531</v>
      </c>
      <c r="B1255">
        <v>1</v>
      </c>
      <c r="C1255">
        <v>21.99</v>
      </c>
      <c r="D1255">
        <v>21.99</v>
      </c>
      <c r="E1255" s="1" t="s">
        <v>954</v>
      </c>
      <c r="F1255" s="1" t="s">
        <v>70</v>
      </c>
      <c r="G1255">
        <v>0</v>
      </c>
      <c r="H1255" s="1" t="s">
        <v>58</v>
      </c>
      <c r="I1255" s="1" t="s">
        <v>27</v>
      </c>
      <c r="J1255">
        <v>7</v>
      </c>
      <c r="K1255">
        <v>21.99</v>
      </c>
      <c r="L1255" s="1" t="s">
        <v>28</v>
      </c>
      <c r="M1255" s="1" t="s">
        <v>29</v>
      </c>
      <c r="N1255" s="1" t="s">
        <v>30</v>
      </c>
      <c r="O1255" s="1" t="s">
        <v>31</v>
      </c>
      <c r="P1255" s="2">
        <v>45778</v>
      </c>
      <c r="Q1255" s="1" t="s">
        <v>1032</v>
      </c>
      <c r="R1255" s="1" t="s">
        <v>2112</v>
      </c>
      <c r="S1255" s="1" t="s">
        <v>105</v>
      </c>
      <c r="T1255" s="1" t="s">
        <v>35</v>
      </c>
      <c r="U1255" s="1" t="s">
        <v>82</v>
      </c>
      <c r="V1255" s="1" t="s">
        <v>37</v>
      </c>
      <c r="W1255">
        <v>2</v>
      </c>
      <c r="X1255" s="1">
        <f t="shared" si="38"/>
        <v>8640.6199999999462</v>
      </c>
      <c r="Y1255" s="1">
        <f t="shared" si="39"/>
        <v>7204.2099999999582</v>
      </c>
    </row>
    <row r="1256" spans="1:25" x14ac:dyDescent="0.3">
      <c r="A1256" s="1" t="s">
        <v>2532</v>
      </c>
      <c r="B1256">
        <v>2</v>
      </c>
      <c r="C1256">
        <v>27.99</v>
      </c>
      <c r="D1256">
        <v>48.35</v>
      </c>
      <c r="E1256" s="1" t="s">
        <v>1446</v>
      </c>
      <c r="F1256" s="1" t="s">
        <v>51</v>
      </c>
      <c r="G1256">
        <v>0</v>
      </c>
      <c r="H1256" s="1" t="s">
        <v>96</v>
      </c>
      <c r="I1256" s="1" t="s">
        <v>75</v>
      </c>
      <c r="J1256">
        <v>9</v>
      </c>
      <c r="K1256">
        <v>27.99</v>
      </c>
      <c r="L1256" s="1" t="s">
        <v>28</v>
      </c>
      <c r="M1256" s="1" t="s">
        <v>61</v>
      </c>
      <c r="N1256" s="1" t="s">
        <v>62</v>
      </c>
      <c r="O1256" s="1" t="s">
        <v>31</v>
      </c>
      <c r="P1256" s="2">
        <v>45726</v>
      </c>
      <c r="Q1256" s="1" t="s">
        <v>1703</v>
      </c>
      <c r="R1256" s="1" t="s">
        <v>1704</v>
      </c>
      <c r="S1256" s="1" t="s">
        <v>105</v>
      </c>
      <c r="T1256" s="1" t="s">
        <v>35</v>
      </c>
      <c r="U1256" s="1" t="s">
        <v>82</v>
      </c>
      <c r="V1256" s="1" t="s">
        <v>37</v>
      </c>
      <c r="W1256">
        <v>2</v>
      </c>
      <c r="X1256" s="1">
        <f t="shared" si="38"/>
        <v>7844.9099999999507</v>
      </c>
      <c r="Y1256" s="1">
        <f t="shared" si="39"/>
        <v>7204.2099999999582</v>
      </c>
    </row>
    <row r="1257" spans="1:25" x14ac:dyDescent="0.3">
      <c r="A1257" s="1" t="s">
        <v>2533</v>
      </c>
      <c r="B1257">
        <v>1</v>
      </c>
      <c r="C1257">
        <v>27.99</v>
      </c>
      <c r="D1257">
        <v>27.99</v>
      </c>
      <c r="E1257" s="1" t="s">
        <v>2534</v>
      </c>
      <c r="F1257" s="1" t="s">
        <v>40</v>
      </c>
      <c r="G1257">
        <v>2</v>
      </c>
      <c r="H1257" s="1" t="s">
        <v>41</v>
      </c>
      <c r="I1257" s="1" t="s">
        <v>75</v>
      </c>
      <c r="J1257">
        <v>9</v>
      </c>
      <c r="K1257">
        <v>27.99</v>
      </c>
      <c r="L1257" s="1" t="s">
        <v>28</v>
      </c>
      <c r="M1257" s="1" t="s">
        <v>61</v>
      </c>
      <c r="N1257" s="1" t="s">
        <v>62</v>
      </c>
      <c r="O1257" s="1" t="s">
        <v>31</v>
      </c>
      <c r="P1257" s="2">
        <v>45726</v>
      </c>
      <c r="Q1257" s="1" t="s">
        <v>420</v>
      </c>
      <c r="R1257" s="1" t="s">
        <v>1131</v>
      </c>
      <c r="S1257" s="1" t="s">
        <v>54</v>
      </c>
      <c r="T1257" s="1" t="s">
        <v>35</v>
      </c>
      <c r="U1257" s="1" t="s">
        <v>55</v>
      </c>
      <c r="V1257" s="1" t="s">
        <v>37</v>
      </c>
      <c r="W1257">
        <v>2</v>
      </c>
      <c r="X1257" s="1">
        <f t="shared" si="38"/>
        <v>8551.6499999999451</v>
      </c>
      <c r="Y1257" s="1">
        <f t="shared" si="39"/>
        <v>5710.7699999999695</v>
      </c>
    </row>
    <row r="1258" spans="1:25" x14ac:dyDescent="0.3">
      <c r="A1258" s="1" t="s">
        <v>2535</v>
      </c>
      <c r="B1258">
        <v>1</v>
      </c>
      <c r="C1258">
        <v>21.99</v>
      </c>
      <c r="D1258">
        <v>21.99</v>
      </c>
      <c r="E1258" s="1" t="s">
        <v>978</v>
      </c>
      <c r="F1258" s="1" t="s">
        <v>40</v>
      </c>
      <c r="G1258">
        <v>3</v>
      </c>
      <c r="H1258" s="1" t="s">
        <v>58</v>
      </c>
      <c r="I1258" s="1" t="s">
        <v>27</v>
      </c>
      <c r="J1258">
        <v>7</v>
      </c>
      <c r="K1258">
        <v>21.99</v>
      </c>
      <c r="L1258" s="1" t="s">
        <v>28</v>
      </c>
      <c r="M1258" s="1" t="s">
        <v>29</v>
      </c>
      <c r="N1258" s="1" t="s">
        <v>30</v>
      </c>
      <c r="O1258" s="1" t="s">
        <v>31</v>
      </c>
      <c r="P1258" s="2">
        <v>45778</v>
      </c>
      <c r="Q1258" s="1" t="s">
        <v>2536</v>
      </c>
      <c r="R1258" s="1" t="s">
        <v>2537</v>
      </c>
      <c r="S1258" s="1" t="s">
        <v>105</v>
      </c>
      <c r="T1258" s="1" t="s">
        <v>35</v>
      </c>
      <c r="U1258" s="1" t="s">
        <v>48</v>
      </c>
      <c r="V1258" s="1" t="s">
        <v>37</v>
      </c>
      <c r="W1258">
        <v>2</v>
      </c>
      <c r="X1258" s="1">
        <f t="shared" si="38"/>
        <v>8640.6199999999462</v>
      </c>
      <c r="Y1258" s="1">
        <f t="shared" si="39"/>
        <v>7682.919999999951</v>
      </c>
    </row>
    <row r="1259" spans="1:25" x14ac:dyDescent="0.3">
      <c r="A1259" s="1" t="s">
        <v>2538</v>
      </c>
      <c r="B1259">
        <v>2</v>
      </c>
      <c r="C1259">
        <v>30.99</v>
      </c>
      <c r="D1259">
        <v>53.51</v>
      </c>
      <c r="E1259" s="1" t="s">
        <v>445</v>
      </c>
      <c r="F1259" s="1" t="s">
        <v>188</v>
      </c>
      <c r="G1259">
        <v>0</v>
      </c>
      <c r="H1259" s="1" t="s">
        <v>26</v>
      </c>
      <c r="I1259" s="1" t="s">
        <v>42</v>
      </c>
      <c r="J1259">
        <v>10.5</v>
      </c>
      <c r="K1259">
        <v>30.99</v>
      </c>
      <c r="L1259" s="1" t="s">
        <v>28</v>
      </c>
      <c r="M1259" s="1" t="s">
        <v>43</v>
      </c>
      <c r="N1259" s="1" t="s">
        <v>44</v>
      </c>
      <c r="O1259" s="1" t="s">
        <v>31</v>
      </c>
      <c r="P1259" s="2">
        <v>45823</v>
      </c>
      <c r="Q1259" s="1" t="s">
        <v>1187</v>
      </c>
      <c r="R1259" s="1" t="s">
        <v>2338</v>
      </c>
      <c r="S1259" s="1" t="s">
        <v>34</v>
      </c>
      <c r="T1259" s="1" t="s">
        <v>35</v>
      </c>
      <c r="U1259" s="1" t="s">
        <v>48</v>
      </c>
      <c r="V1259" s="1" t="s">
        <v>37</v>
      </c>
      <c r="W1259">
        <v>2</v>
      </c>
      <c r="X1259" s="1">
        <f t="shared" si="38"/>
        <v>8313.6899999999459</v>
      </c>
      <c r="Y1259" s="1">
        <f t="shared" si="39"/>
        <v>7682.919999999951</v>
      </c>
    </row>
    <row r="1260" spans="1:25" x14ac:dyDescent="0.3">
      <c r="A1260" s="1" t="s">
        <v>2539</v>
      </c>
      <c r="B1260">
        <v>1</v>
      </c>
      <c r="C1260">
        <v>16.989999999999998</v>
      </c>
      <c r="D1260">
        <v>16.989999999999998</v>
      </c>
      <c r="E1260" s="1" t="s">
        <v>2540</v>
      </c>
      <c r="F1260" s="1" t="s">
        <v>51</v>
      </c>
      <c r="G1260">
        <v>0</v>
      </c>
      <c r="H1260" s="1" t="s">
        <v>26</v>
      </c>
      <c r="I1260" s="1" t="s">
        <v>59</v>
      </c>
      <c r="J1260">
        <v>5</v>
      </c>
      <c r="K1260">
        <v>16.989999999999998</v>
      </c>
      <c r="L1260" s="1" t="s">
        <v>60</v>
      </c>
      <c r="M1260" s="1" t="s">
        <v>61</v>
      </c>
      <c r="N1260" s="1" t="s">
        <v>62</v>
      </c>
      <c r="O1260" s="1" t="s">
        <v>31</v>
      </c>
      <c r="P1260" s="2">
        <v>45726</v>
      </c>
      <c r="Q1260" s="1" t="s">
        <v>544</v>
      </c>
      <c r="R1260" s="1" t="s">
        <v>1923</v>
      </c>
      <c r="S1260" s="1" t="s">
        <v>105</v>
      </c>
      <c r="T1260" s="1" t="s">
        <v>35</v>
      </c>
      <c r="U1260" s="1" t="s">
        <v>36</v>
      </c>
      <c r="V1260" s="1" t="s">
        <v>67</v>
      </c>
      <c r="W1260">
        <v>3</v>
      </c>
      <c r="X1260" s="1">
        <f t="shared" si="38"/>
        <v>8313.6899999999459</v>
      </c>
      <c r="Y1260" s="1">
        <f t="shared" si="39"/>
        <v>6355.4899999999634</v>
      </c>
    </row>
    <row r="1261" spans="1:25" x14ac:dyDescent="0.3">
      <c r="A1261" s="1" t="s">
        <v>2541</v>
      </c>
      <c r="B1261">
        <v>1</v>
      </c>
      <c r="C1261">
        <v>27.99</v>
      </c>
      <c r="D1261">
        <v>27.99</v>
      </c>
      <c r="E1261" s="1" t="s">
        <v>107</v>
      </c>
      <c r="F1261" s="1" t="s">
        <v>40</v>
      </c>
      <c r="G1261">
        <v>3</v>
      </c>
      <c r="H1261" s="1" t="s">
        <v>26</v>
      </c>
      <c r="I1261" s="1" t="s">
        <v>75</v>
      </c>
      <c r="J1261">
        <v>9</v>
      </c>
      <c r="K1261">
        <v>27.99</v>
      </c>
      <c r="L1261" s="1" t="s">
        <v>28</v>
      </c>
      <c r="M1261" s="1" t="s">
        <v>61</v>
      </c>
      <c r="N1261" s="1" t="s">
        <v>62</v>
      </c>
      <c r="O1261" s="1" t="s">
        <v>31</v>
      </c>
      <c r="P1261" s="2">
        <v>45726</v>
      </c>
      <c r="Q1261" s="1" t="s">
        <v>790</v>
      </c>
      <c r="R1261" s="1" t="s">
        <v>791</v>
      </c>
      <c r="S1261" s="1" t="s">
        <v>47</v>
      </c>
      <c r="T1261" s="1" t="s">
        <v>35</v>
      </c>
      <c r="U1261" s="1" t="s">
        <v>55</v>
      </c>
      <c r="V1261" s="1" t="s">
        <v>37</v>
      </c>
      <c r="W1261">
        <v>2</v>
      </c>
      <c r="X1261" s="1">
        <f t="shared" si="38"/>
        <v>8313.6899999999459</v>
      </c>
      <c r="Y1261" s="1">
        <f t="shared" si="39"/>
        <v>5710.7699999999695</v>
      </c>
    </row>
    <row r="1262" spans="1:25" x14ac:dyDescent="0.3">
      <c r="A1262" s="1" t="s">
        <v>2542</v>
      </c>
      <c r="B1262">
        <v>3</v>
      </c>
      <c r="C1262">
        <v>34.99</v>
      </c>
      <c r="D1262">
        <v>82.46</v>
      </c>
      <c r="E1262" s="1" t="s">
        <v>1509</v>
      </c>
      <c r="F1262" s="1" t="s">
        <v>188</v>
      </c>
      <c r="G1262">
        <v>0</v>
      </c>
      <c r="H1262" s="1" t="s">
        <v>58</v>
      </c>
      <c r="I1262" s="1" t="s">
        <v>85</v>
      </c>
      <c r="J1262">
        <v>12.5</v>
      </c>
      <c r="K1262">
        <v>34.99</v>
      </c>
      <c r="L1262" s="1" t="s">
        <v>60</v>
      </c>
      <c r="M1262" s="1" t="s">
        <v>29</v>
      </c>
      <c r="N1262" s="1" t="s">
        <v>30</v>
      </c>
      <c r="O1262" s="1" t="s">
        <v>31</v>
      </c>
      <c r="P1262" s="2">
        <v>45778</v>
      </c>
      <c r="Q1262" s="1" t="s">
        <v>975</v>
      </c>
      <c r="R1262" s="1" t="s">
        <v>976</v>
      </c>
      <c r="S1262" s="1" t="s">
        <v>54</v>
      </c>
      <c r="T1262" s="1" t="s">
        <v>35</v>
      </c>
      <c r="U1262" s="1" t="s">
        <v>66</v>
      </c>
      <c r="V1262" s="1" t="s">
        <v>89</v>
      </c>
      <c r="W1262">
        <v>2.4</v>
      </c>
      <c r="X1262" s="1">
        <f t="shared" si="38"/>
        <v>8640.6199999999462</v>
      </c>
      <c r="Y1262" s="1">
        <f t="shared" si="39"/>
        <v>6397.4799999999632</v>
      </c>
    </row>
    <row r="1263" spans="1:25" x14ac:dyDescent="0.3">
      <c r="A1263" s="1" t="s">
        <v>2543</v>
      </c>
      <c r="B1263">
        <v>1</v>
      </c>
      <c r="C1263">
        <v>27.99</v>
      </c>
      <c r="D1263">
        <v>27.99</v>
      </c>
      <c r="E1263" s="1" t="s">
        <v>862</v>
      </c>
      <c r="F1263" s="1" t="s">
        <v>40</v>
      </c>
      <c r="G1263">
        <v>2</v>
      </c>
      <c r="H1263" s="1" t="s">
        <v>41</v>
      </c>
      <c r="I1263" s="1" t="s">
        <v>75</v>
      </c>
      <c r="J1263">
        <v>9</v>
      </c>
      <c r="K1263">
        <v>27.99</v>
      </c>
      <c r="L1263" s="1" t="s">
        <v>28</v>
      </c>
      <c r="M1263" s="1" t="s">
        <v>61</v>
      </c>
      <c r="N1263" s="1" t="s">
        <v>62</v>
      </c>
      <c r="O1263" s="1" t="s">
        <v>31</v>
      </c>
      <c r="P1263" s="2">
        <v>45726</v>
      </c>
      <c r="Q1263" s="1" t="s">
        <v>137</v>
      </c>
      <c r="R1263" s="1" t="s">
        <v>2461</v>
      </c>
      <c r="S1263" s="1" t="s">
        <v>34</v>
      </c>
      <c r="T1263" s="1" t="s">
        <v>35</v>
      </c>
      <c r="U1263" s="1" t="s">
        <v>36</v>
      </c>
      <c r="V1263" s="1" t="s">
        <v>37</v>
      </c>
      <c r="W1263">
        <v>2</v>
      </c>
      <c r="X1263" s="1">
        <f t="shared" si="38"/>
        <v>8551.6499999999451</v>
      </c>
      <c r="Y1263" s="1">
        <f t="shared" si="39"/>
        <v>6355.4899999999634</v>
      </c>
    </row>
    <row r="1264" spans="1:25" x14ac:dyDescent="0.3">
      <c r="A1264" s="1" t="s">
        <v>2544</v>
      </c>
      <c r="B1264">
        <v>2</v>
      </c>
      <c r="C1264">
        <v>18.989999999999998</v>
      </c>
      <c r="D1264">
        <v>32.71</v>
      </c>
      <c r="E1264" s="1" t="s">
        <v>1000</v>
      </c>
      <c r="F1264" s="1" t="s">
        <v>51</v>
      </c>
      <c r="G1264">
        <v>0</v>
      </c>
      <c r="H1264" s="1" t="s">
        <v>96</v>
      </c>
      <c r="I1264" s="1" t="s">
        <v>97</v>
      </c>
      <c r="J1264">
        <v>6</v>
      </c>
      <c r="K1264">
        <v>18.989999999999998</v>
      </c>
      <c r="L1264" s="1" t="s">
        <v>60</v>
      </c>
      <c r="M1264" s="1" t="s">
        <v>43</v>
      </c>
      <c r="N1264" s="1" t="s">
        <v>44</v>
      </c>
      <c r="O1264" s="1" t="s">
        <v>31</v>
      </c>
      <c r="P1264" s="2">
        <v>45823</v>
      </c>
      <c r="Q1264" s="1" t="s">
        <v>979</v>
      </c>
      <c r="R1264" s="1" t="s">
        <v>980</v>
      </c>
      <c r="S1264" s="1" t="s">
        <v>105</v>
      </c>
      <c r="T1264" s="1" t="s">
        <v>35</v>
      </c>
      <c r="U1264" s="1" t="s">
        <v>82</v>
      </c>
      <c r="V1264" s="1" t="s">
        <v>100</v>
      </c>
      <c r="W1264">
        <v>3.2</v>
      </c>
      <c r="X1264" s="1">
        <f t="shared" si="38"/>
        <v>7844.9099999999507</v>
      </c>
      <c r="Y1264" s="1">
        <f t="shared" si="39"/>
        <v>7204.2099999999582</v>
      </c>
    </row>
    <row r="1265" spans="1:25" x14ac:dyDescent="0.3">
      <c r="A1265" s="1" t="s">
        <v>2545</v>
      </c>
      <c r="B1265">
        <v>3</v>
      </c>
      <c r="C1265">
        <v>18.989999999999998</v>
      </c>
      <c r="D1265">
        <v>45.65</v>
      </c>
      <c r="E1265" s="1" t="s">
        <v>1548</v>
      </c>
      <c r="F1265" s="1" t="s">
        <v>25</v>
      </c>
      <c r="G1265">
        <v>20</v>
      </c>
      <c r="H1265" s="1" t="s">
        <v>41</v>
      </c>
      <c r="I1265" s="1" t="s">
        <v>97</v>
      </c>
      <c r="J1265">
        <v>6</v>
      </c>
      <c r="K1265">
        <v>18.989999999999998</v>
      </c>
      <c r="L1265" s="1" t="s">
        <v>60</v>
      </c>
      <c r="M1265" s="1" t="s">
        <v>43</v>
      </c>
      <c r="N1265" s="1" t="s">
        <v>44</v>
      </c>
      <c r="O1265" s="1" t="s">
        <v>31</v>
      </c>
      <c r="P1265" s="2">
        <v>45823</v>
      </c>
      <c r="Q1265" s="1" t="s">
        <v>358</v>
      </c>
      <c r="R1265" s="1" t="s">
        <v>1154</v>
      </c>
      <c r="S1265" s="1" t="s">
        <v>65</v>
      </c>
      <c r="T1265" s="1" t="s">
        <v>35</v>
      </c>
      <c r="U1265" s="1" t="s">
        <v>48</v>
      </c>
      <c r="V1265" s="1" t="s">
        <v>100</v>
      </c>
      <c r="W1265">
        <v>3.2</v>
      </c>
      <c r="X1265" s="1">
        <f t="shared" si="38"/>
        <v>8551.6499999999451</v>
      </c>
      <c r="Y1265" s="1">
        <f t="shared" si="39"/>
        <v>7682.919999999951</v>
      </c>
    </row>
    <row r="1266" spans="1:25" x14ac:dyDescent="0.3">
      <c r="A1266" s="1" t="s">
        <v>2546</v>
      </c>
      <c r="B1266">
        <v>1</v>
      </c>
      <c r="C1266">
        <v>18.989999999999998</v>
      </c>
      <c r="D1266">
        <v>18.989999999999998</v>
      </c>
      <c r="E1266" s="1" t="s">
        <v>2070</v>
      </c>
      <c r="F1266" s="1" t="s">
        <v>40</v>
      </c>
      <c r="G1266">
        <v>13</v>
      </c>
      <c r="H1266" s="1" t="s">
        <v>96</v>
      </c>
      <c r="I1266" s="1" t="s">
        <v>97</v>
      </c>
      <c r="J1266">
        <v>6</v>
      </c>
      <c r="K1266">
        <v>18.989999999999998</v>
      </c>
      <c r="L1266" s="1" t="s">
        <v>60</v>
      </c>
      <c r="M1266" s="1" t="s">
        <v>43</v>
      </c>
      <c r="N1266" s="1" t="s">
        <v>44</v>
      </c>
      <c r="O1266" s="1" t="s">
        <v>31</v>
      </c>
      <c r="P1266" s="2">
        <v>45823</v>
      </c>
      <c r="Q1266" s="1" t="s">
        <v>1719</v>
      </c>
      <c r="R1266" s="1" t="s">
        <v>2198</v>
      </c>
      <c r="S1266" s="1" t="s">
        <v>34</v>
      </c>
      <c r="T1266" s="1" t="s">
        <v>35</v>
      </c>
      <c r="U1266" s="1" t="s">
        <v>36</v>
      </c>
      <c r="V1266" s="1" t="s">
        <v>100</v>
      </c>
      <c r="W1266">
        <v>3.2</v>
      </c>
      <c r="X1266" s="1">
        <f t="shared" si="38"/>
        <v>7844.9099999999507</v>
      </c>
      <c r="Y1266" s="1">
        <f t="shared" si="39"/>
        <v>6355.4899999999634</v>
      </c>
    </row>
    <row r="1267" spans="1:25" x14ac:dyDescent="0.3">
      <c r="A1267" s="1" t="s">
        <v>2547</v>
      </c>
      <c r="B1267">
        <v>1</v>
      </c>
      <c r="C1267">
        <v>30.99</v>
      </c>
      <c r="D1267">
        <v>30.99</v>
      </c>
      <c r="E1267" s="1" t="s">
        <v>2548</v>
      </c>
      <c r="F1267" s="1" t="s">
        <v>40</v>
      </c>
      <c r="G1267">
        <v>3</v>
      </c>
      <c r="H1267" s="1" t="s">
        <v>96</v>
      </c>
      <c r="I1267" s="1" t="s">
        <v>42</v>
      </c>
      <c r="J1267">
        <v>10.5</v>
      </c>
      <c r="K1267">
        <v>30.99</v>
      </c>
      <c r="L1267" s="1" t="s">
        <v>28</v>
      </c>
      <c r="M1267" s="1" t="s">
        <v>43</v>
      </c>
      <c r="N1267" s="1" t="s">
        <v>44</v>
      </c>
      <c r="O1267" s="1" t="s">
        <v>31</v>
      </c>
      <c r="P1267" s="2">
        <v>45823</v>
      </c>
      <c r="Q1267" s="1" t="s">
        <v>147</v>
      </c>
      <c r="R1267" s="1" t="s">
        <v>1601</v>
      </c>
      <c r="S1267" s="1" t="s">
        <v>105</v>
      </c>
      <c r="T1267" s="1" t="s">
        <v>35</v>
      </c>
      <c r="U1267" s="1" t="s">
        <v>55</v>
      </c>
      <c r="V1267" s="1" t="s">
        <v>37</v>
      </c>
      <c r="W1267">
        <v>2</v>
      </c>
      <c r="X1267" s="1">
        <f t="shared" si="38"/>
        <v>7844.9099999999507</v>
      </c>
      <c r="Y1267" s="1">
        <f t="shared" si="39"/>
        <v>5710.7699999999695</v>
      </c>
    </row>
    <row r="1268" spans="1:25" x14ac:dyDescent="0.3">
      <c r="A1268" s="1" t="s">
        <v>2549</v>
      </c>
      <c r="B1268">
        <v>1</v>
      </c>
      <c r="C1268">
        <v>16.989999999999998</v>
      </c>
      <c r="D1268">
        <v>16.989999999999998</v>
      </c>
      <c r="E1268" s="1" t="s">
        <v>1738</v>
      </c>
      <c r="F1268" s="1" t="s">
        <v>70</v>
      </c>
      <c r="G1268">
        <v>0</v>
      </c>
      <c r="H1268" s="1" t="s">
        <v>58</v>
      </c>
      <c r="I1268" s="1" t="s">
        <v>59</v>
      </c>
      <c r="J1268">
        <v>5</v>
      </c>
      <c r="K1268">
        <v>16.989999999999998</v>
      </c>
      <c r="L1268" s="1" t="s">
        <v>60</v>
      </c>
      <c r="M1268" s="1" t="s">
        <v>61</v>
      </c>
      <c r="N1268" s="1" t="s">
        <v>62</v>
      </c>
      <c r="O1268" s="1" t="s">
        <v>31</v>
      </c>
      <c r="P1268" s="2">
        <v>45726</v>
      </c>
      <c r="Q1268" s="1" t="s">
        <v>943</v>
      </c>
      <c r="R1268" s="1" t="s">
        <v>944</v>
      </c>
      <c r="S1268" s="1" t="s">
        <v>47</v>
      </c>
      <c r="T1268" s="1" t="s">
        <v>35</v>
      </c>
      <c r="U1268" s="1" t="s">
        <v>48</v>
      </c>
      <c r="V1268" s="1" t="s">
        <v>67</v>
      </c>
      <c r="W1268">
        <v>3</v>
      </c>
      <c r="X1268" s="1">
        <f t="shared" si="38"/>
        <v>8640.6199999999462</v>
      </c>
      <c r="Y1268" s="1">
        <f t="shared" si="39"/>
        <v>7682.919999999951</v>
      </c>
    </row>
    <row r="1269" spans="1:25" x14ac:dyDescent="0.3">
      <c r="A1269" s="1" t="s">
        <v>2550</v>
      </c>
      <c r="B1269">
        <v>1</v>
      </c>
      <c r="C1269">
        <v>21.99</v>
      </c>
      <c r="D1269">
        <v>21.99</v>
      </c>
      <c r="E1269" s="1" t="s">
        <v>2551</v>
      </c>
      <c r="F1269" s="1" t="s">
        <v>40</v>
      </c>
      <c r="G1269">
        <v>3</v>
      </c>
      <c r="H1269" s="1" t="s">
        <v>58</v>
      </c>
      <c r="I1269" s="1" t="s">
        <v>27</v>
      </c>
      <c r="J1269">
        <v>7</v>
      </c>
      <c r="K1269">
        <v>21.99</v>
      </c>
      <c r="L1269" s="1" t="s">
        <v>28</v>
      </c>
      <c r="M1269" s="1" t="s">
        <v>29</v>
      </c>
      <c r="N1269" s="1" t="s">
        <v>30</v>
      </c>
      <c r="O1269" s="1" t="s">
        <v>31</v>
      </c>
      <c r="P1269" s="2">
        <v>45778</v>
      </c>
      <c r="Q1269" s="1" t="s">
        <v>2065</v>
      </c>
      <c r="R1269" s="1" t="s">
        <v>2066</v>
      </c>
      <c r="S1269" s="1" t="s">
        <v>47</v>
      </c>
      <c r="T1269" s="1" t="s">
        <v>35</v>
      </c>
      <c r="U1269" s="1" t="s">
        <v>66</v>
      </c>
      <c r="V1269" s="1" t="s">
        <v>37</v>
      </c>
      <c r="W1269">
        <v>2</v>
      </c>
      <c r="X1269" s="1">
        <f t="shared" si="38"/>
        <v>8640.6199999999462</v>
      </c>
      <c r="Y1269" s="1">
        <f t="shared" si="39"/>
        <v>6397.4799999999632</v>
      </c>
    </row>
    <row r="1270" spans="1:25" x14ac:dyDescent="0.3">
      <c r="A1270" s="1" t="s">
        <v>2552</v>
      </c>
      <c r="B1270">
        <v>1</v>
      </c>
      <c r="C1270">
        <v>27.99</v>
      </c>
      <c r="D1270">
        <v>27.99</v>
      </c>
      <c r="E1270" s="1" t="s">
        <v>91</v>
      </c>
      <c r="F1270" s="1" t="s">
        <v>40</v>
      </c>
      <c r="G1270">
        <v>3</v>
      </c>
      <c r="H1270" s="1" t="s">
        <v>96</v>
      </c>
      <c r="I1270" s="1" t="s">
        <v>75</v>
      </c>
      <c r="J1270">
        <v>9</v>
      </c>
      <c r="K1270">
        <v>27.99</v>
      </c>
      <c r="L1270" s="1" t="s">
        <v>28</v>
      </c>
      <c r="M1270" s="1" t="s">
        <v>61</v>
      </c>
      <c r="N1270" s="1" t="s">
        <v>62</v>
      </c>
      <c r="O1270" s="1" t="s">
        <v>31</v>
      </c>
      <c r="P1270" s="2">
        <v>45726</v>
      </c>
      <c r="Q1270" s="1" t="s">
        <v>1878</v>
      </c>
      <c r="R1270" s="1" t="s">
        <v>1879</v>
      </c>
      <c r="S1270" s="1" t="s">
        <v>54</v>
      </c>
      <c r="T1270" s="1" t="s">
        <v>35</v>
      </c>
      <c r="U1270" s="1" t="s">
        <v>66</v>
      </c>
      <c r="V1270" s="1" t="s">
        <v>37</v>
      </c>
      <c r="W1270">
        <v>2</v>
      </c>
      <c r="X1270" s="1">
        <f t="shared" si="38"/>
        <v>7844.9099999999507</v>
      </c>
      <c r="Y1270" s="1">
        <f t="shared" si="39"/>
        <v>6397.4799999999632</v>
      </c>
    </row>
    <row r="1271" spans="1:25" x14ac:dyDescent="0.3">
      <c r="A1271" s="1" t="s">
        <v>2553</v>
      </c>
      <c r="B1271">
        <v>1</v>
      </c>
      <c r="C1271">
        <v>27.99</v>
      </c>
      <c r="D1271">
        <v>27.99</v>
      </c>
      <c r="E1271" s="1" t="s">
        <v>1093</v>
      </c>
      <c r="F1271" s="1" t="s">
        <v>40</v>
      </c>
      <c r="G1271">
        <v>2</v>
      </c>
      <c r="H1271" s="1" t="s">
        <v>96</v>
      </c>
      <c r="I1271" s="1" t="s">
        <v>75</v>
      </c>
      <c r="J1271">
        <v>9</v>
      </c>
      <c r="K1271">
        <v>27.99</v>
      </c>
      <c r="L1271" s="1" t="s">
        <v>28</v>
      </c>
      <c r="M1271" s="1" t="s">
        <v>61</v>
      </c>
      <c r="N1271" s="1" t="s">
        <v>62</v>
      </c>
      <c r="O1271" s="1" t="s">
        <v>31</v>
      </c>
      <c r="P1271" s="2">
        <v>45726</v>
      </c>
      <c r="Q1271" s="1" t="s">
        <v>466</v>
      </c>
      <c r="R1271" s="1" t="s">
        <v>1520</v>
      </c>
      <c r="S1271" s="1" t="s">
        <v>105</v>
      </c>
      <c r="T1271" s="1" t="s">
        <v>35</v>
      </c>
      <c r="U1271" s="1" t="s">
        <v>48</v>
      </c>
      <c r="V1271" s="1" t="s">
        <v>37</v>
      </c>
      <c r="W1271">
        <v>2</v>
      </c>
      <c r="X1271" s="1">
        <f t="shared" si="38"/>
        <v>7844.9099999999507</v>
      </c>
      <c r="Y1271" s="1">
        <f t="shared" si="39"/>
        <v>7682.919999999951</v>
      </c>
    </row>
    <row r="1272" spans="1:25" x14ac:dyDescent="0.3">
      <c r="A1272" s="1" t="s">
        <v>2554</v>
      </c>
      <c r="B1272">
        <v>2</v>
      </c>
      <c r="C1272">
        <v>18.989999999999998</v>
      </c>
      <c r="D1272">
        <v>32.75</v>
      </c>
      <c r="E1272" s="1" t="s">
        <v>1968</v>
      </c>
      <c r="F1272" s="1" t="s">
        <v>40</v>
      </c>
      <c r="G1272">
        <v>15</v>
      </c>
      <c r="H1272" s="1" t="s">
        <v>96</v>
      </c>
      <c r="I1272" s="1" t="s">
        <v>97</v>
      </c>
      <c r="J1272">
        <v>6</v>
      </c>
      <c r="K1272">
        <v>18.989999999999998</v>
      </c>
      <c r="L1272" s="1" t="s">
        <v>60</v>
      </c>
      <c r="M1272" s="1" t="s">
        <v>43</v>
      </c>
      <c r="N1272" s="1" t="s">
        <v>44</v>
      </c>
      <c r="O1272" s="1" t="s">
        <v>31</v>
      </c>
      <c r="P1272" s="2">
        <v>45823</v>
      </c>
      <c r="Q1272" s="1" t="s">
        <v>1887</v>
      </c>
      <c r="R1272" s="1" t="s">
        <v>1888</v>
      </c>
      <c r="S1272" s="1" t="s">
        <v>88</v>
      </c>
      <c r="T1272" s="1" t="s">
        <v>35</v>
      </c>
      <c r="U1272" s="1" t="s">
        <v>82</v>
      </c>
      <c r="V1272" s="1" t="s">
        <v>100</v>
      </c>
      <c r="W1272">
        <v>3.2</v>
      </c>
      <c r="X1272" s="1">
        <f t="shared" si="38"/>
        <v>7844.9099999999507</v>
      </c>
      <c r="Y1272" s="1">
        <f t="shared" si="39"/>
        <v>7204.2099999999582</v>
      </c>
    </row>
    <row r="1273" spans="1:25" x14ac:dyDescent="0.3">
      <c r="A1273" s="1" t="s">
        <v>2555</v>
      </c>
      <c r="B1273">
        <v>1</v>
      </c>
      <c r="C1273">
        <v>30.99</v>
      </c>
      <c r="D1273">
        <v>30.99</v>
      </c>
      <c r="E1273" s="1" t="s">
        <v>74</v>
      </c>
      <c r="F1273" s="1" t="s">
        <v>40</v>
      </c>
      <c r="G1273">
        <v>4</v>
      </c>
      <c r="H1273" s="1" t="s">
        <v>26</v>
      </c>
      <c r="I1273" s="1" t="s">
        <v>42</v>
      </c>
      <c r="J1273">
        <v>10.5</v>
      </c>
      <c r="K1273">
        <v>30.99</v>
      </c>
      <c r="L1273" s="1" t="s">
        <v>28</v>
      </c>
      <c r="M1273" s="1" t="s">
        <v>43</v>
      </c>
      <c r="N1273" s="1" t="s">
        <v>44</v>
      </c>
      <c r="O1273" s="1" t="s">
        <v>31</v>
      </c>
      <c r="P1273" s="2">
        <v>45823</v>
      </c>
      <c r="Q1273" s="1" t="s">
        <v>787</v>
      </c>
      <c r="R1273" s="1" t="s">
        <v>1836</v>
      </c>
      <c r="S1273" s="1" t="s">
        <v>47</v>
      </c>
      <c r="T1273" s="1" t="s">
        <v>35</v>
      </c>
      <c r="U1273" s="1" t="s">
        <v>36</v>
      </c>
      <c r="V1273" s="1" t="s">
        <v>37</v>
      </c>
      <c r="W1273">
        <v>2</v>
      </c>
      <c r="X1273" s="1">
        <f t="shared" si="38"/>
        <v>8313.6899999999459</v>
      </c>
      <c r="Y1273" s="1">
        <f t="shared" si="39"/>
        <v>6355.4899999999634</v>
      </c>
    </row>
    <row r="1274" spans="1:25" x14ac:dyDescent="0.3">
      <c r="A1274" s="1" t="s">
        <v>2556</v>
      </c>
      <c r="B1274">
        <v>1</v>
      </c>
      <c r="C1274">
        <v>30.99</v>
      </c>
      <c r="D1274">
        <v>30.99</v>
      </c>
      <c r="E1274" s="1" t="s">
        <v>1577</v>
      </c>
      <c r="F1274" s="1" t="s">
        <v>40</v>
      </c>
      <c r="G1274">
        <v>3</v>
      </c>
      <c r="H1274" s="1" t="s">
        <v>41</v>
      </c>
      <c r="I1274" s="1" t="s">
        <v>42</v>
      </c>
      <c r="J1274">
        <v>10.5</v>
      </c>
      <c r="K1274">
        <v>30.99</v>
      </c>
      <c r="L1274" s="1" t="s">
        <v>28</v>
      </c>
      <c r="M1274" s="1" t="s">
        <v>43</v>
      </c>
      <c r="N1274" s="1" t="s">
        <v>44</v>
      </c>
      <c r="O1274" s="1" t="s">
        <v>31</v>
      </c>
      <c r="P1274" s="2">
        <v>45823</v>
      </c>
      <c r="Q1274" s="1" t="s">
        <v>2176</v>
      </c>
      <c r="R1274" s="1" t="s">
        <v>2177</v>
      </c>
      <c r="S1274" s="1" t="s">
        <v>105</v>
      </c>
      <c r="T1274" s="1" t="s">
        <v>35</v>
      </c>
      <c r="U1274" s="1" t="s">
        <v>82</v>
      </c>
      <c r="V1274" s="1" t="s">
        <v>37</v>
      </c>
      <c r="W1274">
        <v>2</v>
      </c>
      <c r="X1274" s="1">
        <f t="shared" si="38"/>
        <v>8551.6499999999451</v>
      </c>
      <c r="Y1274" s="1">
        <f t="shared" si="39"/>
        <v>7204.2099999999582</v>
      </c>
    </row>
    <row r="1275" spans="1:25" x14ac:dyDescent="0.3">
      <c r="A1275" s="1" t="s">
        <v>2557</v>
      </c>
      <c r="B1275">
        <v>3</v>
      </c>
      <c r="C1275">
        <v>30.99</v>
      </c>
      <c r="D1275">
        <v>73.5</v>
      </c>
      <c r="E1275" s="1" t="s">
        <v>921</v>
      </c>
      <c r="F1275" s="1" t="s">
        <v>40</v>
      </c>
      <c r="G1275">
        <v>3</v>
      </c>
      <c r="H1275" s="1" t="s">
        <v>58</v>
      </c>
      <c r="I1275" s="1" t="s">
        <v>42</v>
      </c>
      <c r="J1275">
        <v>10.5</v>
      </c>
      <c r="K1275">
        <v>30.99</v>
      </c>
      <c r="L1275" s="1" t="s">
        <v>28</v>
      </c>
      <c r="M1275" s="1" t="s">
        <v>43</v>
      </c>
      <c r="N1275" s="1" t="s">
        <v>44</v>
      </c>
      <c r="O1275" s="1" t="s">
        <v>31</v>
      </c>
      <c r="P1275" s="2">
        <v>45823</v>
      </c>
      <c r="Q1275" s="1" t="s">
        <v>249</v>
      </c>
      <c r="R1275" s="1" t="s">
        <v>924</v>
      </c>
      <c r="S1275" s="1" t="s">
        <v>34</v>
      </c>
      <c r="T1275" s="1" t="s">
        <v>35</v>
      </c>
      <c r="U1275" s="1" t="s">
        <v>55</v>
      </c>
      <c r="V1275" s="1" t="s">
        <v>37</v>
      </c>
      <c r="W1275">
        <v>2</v>
      </c>
      <c r="X1275" s="1">
        <f t="shared" si="38"/>
        <v>8640.6199999999462</v>
      </c>
      <c r="Y1275" s="1">
        <f t="shared" si="39"/>
        <v>5710.7699999999695</v>
      </c>
    </row>
    <row r="1276" spans="1:25" x14ac:dyDescent="0.3">
      <c r="A1276" s="1" t="s">
        <v>2558</v>
      </c>
      <c r="B1276">
        <v>1</v>
      </c>
      <c r="C1276">
        <v>34.99</v>
      </c>
      <c r="D1276">
        <v>34.99</v>
      </c>
      <c r="E1276" s="1" t="s">
        <v>297</v>
      </c>
      <c r="F1276" s="1" t="s">
        <v>188</v>
      </c>
      <c r="G1276">
        <v>0</v>
      </c>
      <c r="H1276" s="1" t="s">
        <v>26</v>
      </c>
      <c r="I1276" s="1" t="s">
        <v>85</v>
      </c>
      <c r="J1276">
        <v>12.5</v>
      </c>
      <c r="K1276">
        <v>34.99</v>
      </c>
      <c r="L1276" s="1" t="s">
        <v>60</v>
      </c>
      <c r="M1276" s="1" t="s">
        <v>29</v>
      </c>
      <c r="N1276" s="1" t="s">
        <v>30</v>
      </c>
      <c r="O1276" s="1" t="s">
        <v>31</v>
      </c>
      <c r="P1276" s="2">
        <v>45778</v>
      </c>
      <c r="Q1276" s="1" t="s">
        <v>358</v>
      </c>
      <c r="R1276" s="1" t="s">
        <v>1154</v>
      </c>
      <c r="S1276" s="1" t="s">
        <v>65</v>
      </c>
      <c r="T1276" s="1" t="s">
        <v>35</v>
      </c>
      <c r="U1276" s="1" t="s">
        <v>48</v>
      </c>
      <c r="V1276" s="1" t="s">
        <v>89</v>
      </c>
      <c r="W1276">
        <v>2.4</v>
      </c>
      <c r="X1276" s="1">
        <f t="shared" si="38"/>
        <v>8313.6899999999459</v>
      </c>
      <c r="Y1276" s="1">
        <f t="shared" si="39"/>
        <v>7682.919999999951</v>
      </c>
    </row>
    <row r="1277" spans="1:25" x14ac:dyDescent="0.3">
      <c r="A1277" s="1" t="s">
        <v>2559</v>
      </c>
      <c r="B1277">
        <v>3</v>
      </c>
      <c r="C1277">
        <v>18.989999999999998</v>
      </c>
      <c r="D1277">
        <v>44.74</v>
      </c>
      <c r="E1277" s="1" t="s">
        <v>1359</v>
      </c>
      <c r="F1277" s="1" t="s">
        <v>51</v>
      </c>
      <c r="G1277">
        <v>0</v>
      </c>
      <c r="H1277" s="1" t="s">
        <v>58</v>
      </c>
      <c r="I1277" s="1" t="s">
        <v>97</v>
      </c>
      <c r="J1277">
        <v>6</v>
      </c>
      <c r="K1277">
        <v>18.989999999999998</v>
      </c>
      <c r="L1277" s="1" t="s">
        <v>60</v>
      </c>
      <c r="M1277" s="1" t="s">
        <v>43</v>
      </c>
      <c r="N1277" s="1" t="s">
        <v>44</v>
      </c>
      <c r="O1277" s="1" t="s">
        <v>31</v>
      </c>
      <c r="P1277" s="2">
        <v>45823</v>
      </c>
      <c r="Q1277" s="1" t="s">
        <v>2560</v>
      </c>
      <c r="R1277" s="1" t="s">
        <v>2561</v>
      </c>
      <c r="S1277" s="1" t="s">
        <v>65</v>
      </c>
      <c r="T1277" s="1" t="s">
        <v>35</v>
      </c>
      <c r="U1277" s="1" t="s">
        <v>82</v>
      </c>
      <c r="V1277" s="1" t="s">
        <v>100</v>
      </c>
      <c r="W1277">
        <v>3.2</v>
      </c>
      <c r="X1277" s="1">
        <f t="shared" si="38"/>
        <v>8640.6199999999462</v>
      </c>
      <c r="Y1277" s="1">
        <f t="shared" si="39"/>
        <v>7204.2099999999582</v>
      </c>
    </row>
    <row r="1278" spans="1:25" x14ac:dyDescent="0.3">
      <c r="A1278" s="1" t="s">
        <v>2562</v>
      </c>
      <c r="B1278">
        <v>1</v>
      </c>
      <c r="C1278">
        <v>21.99</v>
      </c>
      <c r="D1278">
        <v>21.99</v>
      </c>
      <c r="E1278" s="1" t="s">
        <v>1592</v>
      </c>
      <c r="F1278" s="1" t="s">
        <v>51</v>
      </c>
      <c r="G1278">
        <v>0</v>
      </c>
      <c r="H1278" s="1" t="s">
        <v>26</v>
      </c>
      <c r="I1278" s="1" t="s">
        <v>27</v>
      </c>
      <c r="J1278">
        <v>7</v>
      </c>
      <c r="K1278">
        <v>21.99</v>
      </c>
      <c r="L1278" s="1" t="s">
        <v>28</v>
      </c>
      <c r="M1278" s="1" t="s">
        <v>29</v>
      </c>
      <c r="N1278" s="1" t="s">
        <v>30</v>
      </c>
      <c r="O1278" s="1" t="s">
        <v>31</v>
      </c>
      <c r="P1278" s="2">
        <v>45778</v>
      </c>
      <c r="Q1278" s="1" t="s">
        <v>1003</v>
      </c>
      <c r="R1278" s="1" t="s">
        <v>1542</v>
      </c>
      <c r="S1278" s="1" t="s">
        <v>54</v>
      </c>
      <c r="T1278" s="1" t="s">
        <v>35</v>
      </c>
      <c r="U1278" s="1" t="s">
        <v>48</v>
      </c>
      <c r="V1278" s="1" t="s">
        <v>37</v>
      </c>
      <c r="W1278">
        <v>2</v>
      </c>
      <c r="X1278" s="1">
        <f t="shared" si="38"/>
        <v>8313.6899999999459</v>
      </c>
      <c r="Y1278" s="1">
        <f t="shared" si="39"/>
        <v>7682.919999999951</v>
      </c>
    </row>
    <row r="1279" spans="1:25" x14ac:dyDescent="0.3">
      <c r="A1279" s="1" t="s">
        <v>2563</v>
      </c>
      <c r="B1279">
        <v>2</v>
      </c>
      <c r="C1279">
        <v>30.99</v>
      </c>
      <c r="D1279">
        <v>53.54</v>
      </c>
      <c r="E1279" s="1" t="s">
        <v>317</v>
      </c>
      <c r="F1279" s="1" t="s">
        <v>188</v>
      </c>
      <c r="G1279">
        <v>0</v>
      </c>
      <c r="H1279" s="1" t="s">
        <v>26</v>
      </c>
      <c r="I1279" s="1" t="s">
        <v>42</v>
      </c>
      <c r="J1279">
        <v>10.5</v>
      </c>
      <c r="K1279">
        <v>30.99</v>
      </c>
      <c r="L1279" s="1" t="s">
        <v>28</v>
      </c>
      <c r="M1279" s="1" t="s">
        <v>43</v>
      </c>
      <c r="N1279" s="1" t="s">
        <v>44</v>
      </c>
      <c r="O1279" s="1" t="s">
        <v>31</v>
      </c>
      <c r="P1279" s="2">
        <v>45823</v>
      </c>
      <c r="Q1279" s="1" t="s">
        <v>1332</v>
      </c>
      <c r="R1279" s="1" t="s">
        <v>1333</v>
      </c>
      <c r="S1279" s="1" t="s">
        <v>34</v>
      </c>
      <c r="T1279" s="1" t="s">
        <v>35</v>
      </c>
      <c r="U1279" s="1" t="s">
        <v>55</v>
      </c>
      <c r="V1279" s="1" t="s">
        <v>37</v>
      </c>
      <c r="W1279">
        <v>2</v>
      </c>
      <c r="X1279" s="1">
        <f t="shared" si="38"/>
        <v>8313.6899999999459</v>
      </c>
      <c r="Y1279" s="1">
        <f t="shared" si="39"/>
        <v>5710.7699999999695</v>
      </c>
    </row>
    <row r="1280" spans="1:25" x14ac:dyDescent="0.3">
      <c r="A1280" s="1" t="s">
        <v>2564</v>
      </c>
      <c r="B1280">
        <v>1</v>
      </c>
      <c r="C1280">
        <v>21.99</v>
      </c>
      <c r="D1280">
        <v>21.99</v>
      </c>
      <c r="E1280" s="1" t="s">
        <v>678</v>
      </c>
      <c r="F1280" s="1" t="s">
        <v>40</v>
      </c>
      <c r="G1280">
        <v>2</v>
      </c>
      <c r="H1280" s="1" t="s">
        <v>96</v>
      </c>
      <c r="I1280" s="1" t="s">
        <v>27</v>
      </c>
      <c r="J1280">
        <v>7</v>
      </c>
      <c r="K1280">
        <v>21.99</v>
      </c>
      <c r="L1280" s="1" t="s">
        <v>28</v>
      </c>
      <c r="M1280" s="1" t="s">
        <v>29</v>
      </c>
      <c r="N1280" s="1" t="s">
        <v>30</v>
      </c>
      <c r="O1280" s="1" t="s">
        <v>31</v>
      </c>
      <c r="P1280" s="2">
        <v>45778</v>
      </c>
      <c r="Q1280" s="1" t="s">
        <v>1275</v>
      </c>
      <c r="R1280" s="1" t="s">
        <v>1276</v>
      </c>
      <c r="S1280" s="1" t="s">
        <v>47</v>
      </c>
      <c r="T1280" s="1" t="s">
        <v>35</v>
      </c>
      <c r="U1280" s="1" t="s">
        <v>66</v>
      </c>
      <c r="V1280" s="1" t="s">
        <v>37</v>
      </c>
      <c r="W1280">
        <v>2</v>
      </c>
      <c r="X1280" s="1">
        <f t="shared" si="38"/>
        <v>7844.9099999999507</v>
      </c>
      <c r="Y1280" s="1">
        <f t="shared" si="39"/>
        <v>6397.4799999999632</v>
      </c>
    </row>
    <row r="1281" spans="1:25" x14ac:dyDescent="0.3">
      <c r="A1281" s="1" t="s">
        <v>2565</v>
      </c>
      <c r="B1281">
        <v>1</v>
      </c>
      <c r="C1281">
        <v>18.989999999999998</v>
      </c>
      <c r="D1281">
        <v>18.989999999999998</v>
      </c>
      <c r="E1281" s="1" t="s">
        <v>1129</v>
      </c>
      <c r="F1281" s="1" t="s">
        <v>188</v>
      </c>
      <c r="G1281">
        <v>0</v>
      </c>
      <c r="H1281" s="1" t="s">
        <v>41</v>
      </c>
      <c r="I1281" s="1" t="s">
        <v>97</v>
      </c>
      <c r="J1281">
        <v>6</v>
      </c>
      <c r="K1281">
        <v>18.989999999999998</v>
      </c>
      <c r="L1281" s="1" t="s">
        <v>60</v>
      </c>
      <c r="M1281" s="1" t="s">
        <v>43</v>
      </c>
      <c r="N1281" s="1" t="s">
        <v>44</v>
      </c>
      <c r="O1281" s="1" t="s">
        <v>31</v>
      </c>
      <c r="P1281" s="2">
        <v>45823</v>
      </c>
      <c r="Q1281" s="1" t="s">
        <v>1533</v>
      </c>
      <c r="R1281" s="1" t="s">
        <v>1635</v>
      </c>
      <c r="S1281" s="1" t="s">
        <v>105</v>
      </c>
      <c r="T1281" s="1" t="s">
        <v>35</v>
      </c>
      <c r="U1281" s="1" t="s">
        <v>36</v>
      </c>
      <c r="V1281" s="1" t="s">
        <v>100</v>
      </c>
      <c r="W1281">
        <v>3.2</v>
      </c>
      <c r="X1281" s="1">
        <f t="shared" si="38"/>
        <v>8551.6499999999451</v>
      </c>
      <c r="Y1281" s="1">
        <f t="shared" si="39"/>
        <v>6355.4899999999634</v>
      </c>
    </row>
    <row r="1282" spans="1:25" x14ac:dyDescent="0.3">
      <c r="A1282" s="1" t="s">
        <v>2566</v>
      </c>
      <c r="B1282">
        <v>1</v>
      </c>
      <c r="C1282">
        <v>34.99</v>
      </c>
      <c r="D1282">
        <v>34.99</v>
      </c>
      <c r="E1282" s="1" t="s">
        <v>2567</v>
      </c>
      <c r="F1282" s="1" t="s">
        <v>40</v>
      </c>
      <c r="G1282">
        <v>5</v>
      </c>
      <c r="H1282" s="1" t="s">
        <v>41</v>
      </c>
      <c r="I1282" s="1" t="s">
        <v>85</v>
      </c>
      <c r="J1282">
        <v>12.5</v>
      </c>
      <c r="K1282">
        <v>34.99</v>
      </c>
      <c r="L1282" s="1" t="s">
        <v>60</v>
      </c>
      <c r="M1282" s="1" t="s">
        <v>29</v>
      </c>
      <c r="N1282" s="1" t="s">
        <v>30</v>
      </c>
      <c r="O1282" s="1" t="s">
        <v>31</v>
      </c>
      <c r="P1282" s="2">
        <v>45778</v>
      </c>
      <c r="Q1282" s="1" t="s">
        <v>1398</v>
      </c>
      <c r="R1282" s="1" t="s">
        <v>1399</v>
      </c>
      <c r="S1282" s="1" t="s">
        <v>54</v>
      </c>
      <c r="T1282" s="1" t="s">
        <v>35</v>
      </c>
      <c r="U1282" s="1" t="s">
        <v>48</v>
      </c>
      <c r="V1282" s="1" t="s">
        <v>89</v>
      </c>
      <c r="W1282">
        <v>2.4</v>
      </c>
      <c r="X1282" s="1">
        <f t="shared" ref="X1282:X1314" si="40">SUMIF(H:H,H1282,K:K)</f>
        <v>8551.6499999999451</v>
      </c>
      <c r="Y1282" s="1">
        <f t="shared" ref="Y1282:Y1314" si="41">SUMIF(U:U,U1282,K:K)</f>
        <v>7682.919999999951</v>
      </c>
    </row>
    <row r="1283" spans="1:25" x14ac:dyDescent="0.3">
      <c r="A1283" s="1" t="s">
        <v>2568</v>
      </c>
      <c r="B1283">
        <v>1</v>
      </c>
      <c r="C1283">
        <v>16.989999999999998</v>
      </c>
      <c r="D1283">
        <v>16.989999999999998</v>
      </c>
      <c r="E1283" s="1" t="s">
        <v>452</v>
      </c>
      <c r="F1283" s="1" t="s">
        <v>40</v>
      </c>
      <c r="G1283">
        <v>20</v>
      </c>
      <c r="H1283" s="1" t="s">
        <v>41</v>
      </c>
      <c r="I1283" s="1" t="s">
        <v>59</v>
      </c>
      <c r="J1283">
        <v>5</v>
      </c>
      <c r="K1283">
        <v>16.989999999999998</v>
      </c>
      <c r="L1283" s="1" t="s">
        <v>60</v>
      </c>
      <c r="M1283" s="1" t="s">
        <v>61</v>
      </c>
      <c r="N1283" s="1" t="s">
        <v>62</v>
      </c>
      <c r="O1283" s="1" t="s">
        <v>31</v>
      </c>
      <c r="P1283" s="2">
        <v>45726</v>
      </c>
      <c r="Q1283" s="1" t="s">
        <v>814</v>
      </c>
      <c r="R1283" s="1" t="s">
        <v>1041</v>
      </c>
      <c r="S1283" s="1" t="s">
        <v>54</v>
      </c>
      <c r="T1283" s="1" t="s">
        <v>35</v>
      </c>
      <c r="U1283" s="1" t="s">
        <v>36</v>
      </c>
      <c r="V1283" s="1" t="s">
        <v>67</v>
      </c>
      <c r="W1283">
        <v>3</v>
      </c>
      <c r="X1283" s="1">
        <f t="shared" si="40"/>
        <v>8551.6499999999451</v>
      </c>
      <c r="Y1283" s="1">
        <f t="shared" si="41"/>
        <v>6355.4899999999634</v>
      </c>
    </row>
    <row r="1284" spans="1:25" x14ac:dyDescent="0.3">
      <c r="A1284" s="1" t="s">
        <v>2569</v>
      </c>
      <c r="B1284">
        <v>1</v>
      </c>
      <c r="C1284">
        <v>27.99</v>
      </c>
      <c r="D1284">
        <v>27.99</v>
      </c>
      <c r="E1284" s="1" t="s">
        <v>1434</v>
      </c>
      <c r="F1284" s="1" t="s">
        <v>51</v>
      </c>
      <c r="G1284">
        <v>0</v>
      </c>
      <c r="H1284" s="1" t="s">
        <v>58</v>
      </c>
      <c r="I1284" s="1" t="s">
        <v>75</v>
      </c>
      <c r="J1284">
        <v>9</v>
      </c>
      <c r="K1284">
        <v>27.99</v>
      </c>
      <c r="L1284" s="1" t="s">
        <v>28</v>
      </c>
      <c r="M1284" s="1" t="s">
        <v>61</v>
      </c>
      <c r="N1284" s="1" t="s">
        <v>62</v>
      </c>
      <c r="O1284" s="1" t="s">
        <v>31</v>
      </c>
      <c r="P1284" s="2">
        <v>45726</v>
      </c>
      <c r="Q1284" s="1" t="s">
        <v>1494</v>
      </c>
      <c r="R1284" s="1" t="s">
        <v>2012</v>
      </c>
      <c r="S1284" s="1" t="s">
        <v>88</v>
      </c>
      <c r="T1284" s="1" t="s">
        <v>35</v>
      </c>
      <c r="U1284" s="1" t="s">
        <v>66</v>
      </c>
      <c r="V1284" s="1" t="s">
        <v>37</v>
      </c>
      <c r="W1284">
        <v>2</v>
      </c>
      <c r="X1284" s="1">
        <f t="shared" si="40"/>
        <v>8640.6199999999462</v>
      </c>
      <c r="Y1284" s="1">
        <f t="shared" si="41"/>
        <v>6397.4799999999632</v>
      </c>
    </row>
    <row r="1285" spans="1:25" x14ac:dyDescent="0.3">
      <c r="A1285" s="1" t="s">
        <v>2570</v>
      </c>
      <c r="B1285">
        <v>1</v>
      </c>
      <c r="C1285">
        <v>30.99</v>
      </c>
      <c r="D1285">
        <v>30.99</v>
      </c>
      <c r="E1285" s="1" t="s">
        <v>327</v>
      </c>
      <c r="F1285" s="1" t="s">
        <v>40</v>
      </c>
      <c r="G1285">
        <v>3</v>
      </c>
      <c r="H1285" s="1" t="s">
        <v>58</v>
      </c>
      <c r="I1285" s="1" t="s">
        <v>42</v>
      </c>
      <c r="J1285">
        <v>10.5</v>
      </c>
      <c r="K1285">
        <v>30.99</v>
      </c>
      <c r="L1285" s="1" t="s">
        <v>28</v>
      </c>
      <c r="M1285" s="1" t="s">
        <v>43</v>
      </c>
      <c r="N1285" s="1" t="s">
        <v>44</v>
      </c>
      <c r="O1285" s="1" t="s">
        <v>31</v>
      </c>
      <c r="P1285" s="2">
        <v>45823</v>
      </c>
      <c r="Q1285" s="1" t="s">
        <v>294</v>
      </c>
      <c r="R1285" s="1" t="s">
        <v>2374</v>
      </c>
      <c r="S1285" s="1" t="s">
        <v>34</v>
      </c>
      <c r="T1285" s="1" t="s">
        <v>35</v>
      </c>
      <c r="U1285" s="1" t="s">
        <v>36</v>
      </c>
      <c r="V1285" s="1" t="s">
        <v>37</v>
      </c>
      <c r="W1285">
        <v>2</v>
      </c>
      <c r="X1285" s="1">
        <f t="shared" si="40"/>
        <v>8640.6199999999462</v>
      </c>
      <c r="Y1285" s="1">
        <f t="shared" si="41"/>
        <v>6355.4899999999634</v>
      </c>
    </row>
    <row r="1286" spans="1:25" x14ac:dyDescent="0.3">
      <c r="A1286" s="1" t="s">
        <v>2571</v>
      </c>
      <c r="B1286">
        <v>3</v>
      </c>
      <c r="C1286">
        <v>30.99</v>
      </c>
      <c r="D1286">
        <v>75.02</v>
      </c>
      <c r="E1286" s="1" t="s">
        <v>202</v>
      </c>
      <c r="F1286" s="1" t="s">
        <v>40</v>
      </c>
      <c r="G1286">
        <v>2</v>
      </c>
      <c r="H1286" s="1" t="s">
        <v>58</v>
      </c>
      <c r="I1286" s="1" t="s">
        <v>42</v>
      </c>
      <c r="J1286">
        <v>10.5</v>
      </c>
      <c r="K1286">
        <v>30.99</v>
      </c>
      <c r="L1286" s="1" t="s">
        <v>28</v>
      </c>
      <c r="M1286" s="1" t="s">
        <v>43</v>
      </c>
      <c r="N1286" s="1" t="s">
        <v>44</v>
      </c>
      <c r="O1286" s="1" t="s">
        <v>31</v>
      </c>
      <c r="P1286" s="2">
        <v>45823</v>
      </c>
      <c r="Q1286" s="1" t="s">
        <v>804</v>
      </c>
      <c r="R1286" s="1" t="s">
        <v>805</v>
      </c>
      <c r="S1286" s="1" t="s">
        <v>88</v>
      </c>
      <c r="T1286" s="1" t="s">
        <v>35</v>
      </c>
      <c r="U1286" s="1" t="s">
        <v>82</v>
      </c>
      <c r="V1286" s="1" t="s">
        <v>37</v>
      </c>
      <c r="W1286">
        <v>2</v>
      </c>
      <c r="X1286" s="1">
        <f t="shared" si="40"/>
        <v>8640.6199999999462</v>
      </c>
      <c r="Y1286" s="1">
        <f t="shared" si="41"/>
        <v>7204.2099999999582</v>
      </c>
    </row>
    <row r="1287" spans="1:25" x14ac:dyDescent="0.3">
      <c r="A1287" s="1" t="s">
        <v>2572</v>
      </c>
      <c r="B1287">
        <v>1</v>
      </c>
      <c r="C1287">
        <v>16.989999999999998</v>
      </c>
      <c r="D1287">
        <v>16.989999999999998</v>
      </c>
      <c r="E1287" s="1" t="s">
        <v>1596</v>
      </c>
      <c r="F1287" s="1" t="s">
        <v>51</v>
      </c>
      <c r="G1287">
        <v>0</v>
      </c>
      <c r="H1287" s="1" t="s">
        <v>26</v>
      </c>
      <c r="I1287" s="1" t="s">
        <v>59</v>
      </c>
      <c r="J1287">
        <v>5</v>
      </c>
      <c r="K1287">
        <v>16.989999999999998</v>
      </c>
      <c r="L1287" s="1" t="s">
        <v>60</v>
      </c>
      <c r="M1287" s="1" t="s">
        <v>61</v>
      </c>
      <c r="N1287" s="1" t="s">
        <v>62</v>
      </c>
      <c r="O1287" s="1" t="s">
        <v>31</v>
      </c>
      <c r="P1287" s="2">
        <v>45726</v>
      </c>
      <c r="Q1287" s="1" t="s">
        <v>1770</v>
      </c>
      <c r="R1287" s="1" t="s">
        <v>2573</v>
      </c>
      <c r="S1287" s="1" t="s">
        <v>411</v>
      </c>
      <c r="T1287" s="1" t="s">
        <v>35</v>
      </c>
      <c r="U1287" s="1" t="s">
        <v>66</v>
      </c>
      <c r="V1287" s="1" t="s">
        <v>67</v>
      </c>
      <c r="W1287">
        <v>3</v>
      </c>
      <c r="X1287" s="1">
        <f t="shared" si="40"/>
        <v>8313.6899999999459</v>
      </c>
      <c r="Y1287" s="1">
        <f t="shared" si="41"/>
        <v>6397.4799999999632</v>
      </c>
    </row>
    <row r="1288" spans="1:25" x14ac:dyDescent="0.3">
      <c r="A1288" s="1" t="s">
        <v>2574</v>
      </c>
      <c r="B1288">
        <v>1</v>
      </c>
      <c r="C1288">
        <v>30.99</v>
      </c>
      <c r="D1288">
        <v>30.99</v>
      </c>
      <c r="E1288" s="1" t="s">
        <v>2534</v>
      </c>
      <c r="F1288" s="1" t="s">
        <v>25</v>
      </c>
      <c r="G1288">
        <v>3</v>
      </c>
      <c r="H1288" s="1" t="s">
        <v>26</v>
      </c>
      <c r="I1288" s="1" t="s">
        <v>42</v>
      </c>
      <c r="J1288">
        <v>10.5</v>
      </c>
      <c r="K1288">
        <v>30.99</v>
      </c>
      <c r="L1288" s="1" t="s">
        <v>28</v>
      </c>
      <c r="M1288" s="1" t="s">
        <v>43</v>
      </c>
      <c r="N1288" s="1" t="s">
        <v>44</v>
      </c>
      <c r="O1288" s="1" t="s">
        <v>31</v>
      </c>
      <c r="P1288" s="2">
        <v>45823</v>
      </c>
      <c r="Q1288" s="1" t="s">
        <v>990</v>
      </c>
      <c r="R1288" s="1" t="s">
        <v>991</v>
      </c>
      <c r="S1288" s="1" t="s">
        <v>54</v>
      </c>
      <c r="T1288" s="1" t="s">
        <v>35</v>
      </c>
      <c r="U1288" s="1" t="s">
        <v>48</v>
      </c>
      <c r="V1288" s="1" t="s">
        <v>37</v>
      </c>
      <c r="W1288">
        <v>2</v>
      </c>
      <c r="X1288" s="1">
        <f t="shared" si="40"/>
        <v>8313.6899999999459</v>
      </c>
      <c r="Y1288" s="1">
        <f t="shared" si="41"/>
        <v>7682.919999999951</v>
      </c>
    </row>
    <row r="1289" spans="1:25" x14ac:dyDescent="0.3">
      <c r="A1289" s="1" t="s">
        <v>2575</v>
      </c>
      <c r="B1289">
        <v>1</v>
      </c>
      <c r="C1289">
        <v>27.99</v>
      </c>
      <c r="D1289">
        <v>27.99</v>
      </c>
      <c r="E1289" s="1" t="s">
        <v>759</v>
      </c>
      <c r="F1289" s="1" t="s">
        <v>51</v>
      </c>
      <c r="G1289">
        <v>0</v>
      </c>
      <c r="H1289" s="1" t="s">
        <v>96</v>
      </c>
      <c r="I1289" s="1" t="s">
        <v>75</v>
      </c>
      <c r="J1289">
        <v>9</v>
      </c>
      <c r="K1289">
        <v>27.99</v>
      </c>
      <c r="L1289" s="1" t="s">
        <v>28</v>
      </c>
      <c r="M1289" s="1" t="s">
        <v>61</v>
      </c>
      <c r="N1289" s="1" t="s">
        <v>62</v>
      </c>
      <c r="O1289" s="1" t="s">
        <v>31</v>
      </c>
      <c r="P1289" s="2">
        <v>45726</v>
      </c>
      <c r="Q1289" s="1" t="s">
        <v>934</v>
      </c>
      <c r="R1289" s="1" t="s">
        <v>935</v>
      </c>
      <c r="S1289" s="1" t="s">
        <v>105</v>
      </c>
      <c r="T1289" s="1" t="s">
        <v>35</v>
      </c>
      <c r="U1289" s="1" t="s">
        <v>82</v>
      </c>
      <c r="V1289" s="1" t="s">
        <v>37</v>
      </c>
      <c r="W1289">
        <v>2</v>
      </c>
      <c r="X1289" s="1">
        <f t="shared" si="40"/>
        <v>7844.9099999999507</v>
      </c>
      <c r="Y1289" s="1">
        <f t="shared" si="41"/>
        <v>7204.2099999999582</v>
      </c>
    </row>
    <row r="1290" spans="1:25" x14ac:dyDescent="0.3">
      <c r="A1290" s="1" t="s">
        <v>2576</v>
      </c>
      <c r="B1290">
        <v>3</v>
      </c>
      <c r="C1290">
        <v>21.99</v>
      </c>
      <c r="D1290">
        <v>53.43</v>
      </c>
      <c r="E1290" s="1" t="s">
        <v>2577</v>
      </c>
      <c r="F1290" s="1" t="s">
        <v>40</v>
      </c>
      <c r="G1290">
        <v>2</v>
      </c>
      <c r="H1290" s="1" t="s">
        <v>58</v>
      </c>
      <c r="I1290" s="1" t="s">
        <v>27</v>
      </c>
      <c r="J1290">
        <v>7</v>
      </c>
      <c r="K1290">
        <v>21.99</v>
      </c>
      <c r="L1290" s="1" t="s">
        <v>28</v>
      </c>
      <c r="M1290" s="1" t="s">
        <v>29</v>
      </c>
      <c r="N1290" s="1" t="s">
        <v>30</v>
      </c>
      <c r="O1290" s="1" t="s">
        <v>31</v>
      </c>
      <c r="P1290" s="2">
        <v>45778</v>
      </c>
      <c r="Q1290" s="1" t="s">
        <v>943</v>
      </c>
      <c r="R1290" s="1" t="s">
        <v>944</v>
      </c>
      <c r="S1290" s="1" t="s">
        <v>47</v>
      </c>
      <c r="T1290" s="1" t="s">
        <v>35</v>
      </c>
      <c r="U1290" s="1" t="s">
        <v>48</v>
      </c>
      <c r="V1290" s="1" t="s">
        <v>37</v>
      </c>
      <c r="W1290">
        <v>2</v>
      </c>
      <c r="X1290" s="1">
        <f t="shared" si="40"/>
        <v>8640.6199999999462</v>
      </c>
      <c r="Y1290" s="1">
        <f t="shared" si="41"/>
        <v>7682.919999999951</v>
      </c>
    </row>
    <row r="1291" spans="1:25" x14ac:dyDescent="0.3">
      <c r="A1291" s="1" t="s">
        <v>2578</v>
      </c>
      <c r="B1291">
        <v>3</v>
      </c>
      <c r="C1291">
        <v>21.99</v>
      </c>
      <c r="D1291">
        <v>52.48</v>
      </c>
      <c r="E1291" s="1" t="s">
        <v>1429</v>
      </c>
      <c r="F1291" s="1" t="s">
        <v>51</v>
      </c>
      <c r="G1291">
        <v>0</v>
      </c>
      <c r="H1291" s="1" t="s">
        <v>96</v>
      </c>
      <c r="I1291" s="1" t="s">
        <v>27</v>
      </c>
      <c r="J1291">
        <v>7</v>
      </c>
      <c r="K1291">
        <v>21.99</v>
      </c>
      <c r="L1291" s="1" t="s">
        <v>28</v>
      </c>
      <c r="M1291" s="1" t="s">
        <v>29</v>
      </c>
      <c r="N1291" s="1" t="s">
        <v>30</v>
      </c>
      <c r="O1291" s="1" t="s">
        <v>31</v>
      </c>
      <c r="P1291" s="2">
        <v>45778</v>
      </c>
      <c r="Q1291" s="1" t="s">
        <v>1447</v>
      </c>
      <c r="R1291" s="1" t="s">
        <v>1448</v>
      </c>
      <c r="S1291" s="1" t="s">
        <v>47</v>
      </c>
      <c r="T1291" s="1" t="s">
        <v>35</v>
      </c>
      <c r="U1291" s="1" t="s">
        <v>36</v>
      </c>
      <c r="V1291" s="1" t="s">
        <v>37</v>
      </c>
      <c r="W1291">
        <v>2</v>
      </c>
      <c r="X1291" s="1">
        <f t="shared" si="40"/>
        <v>7844.9099999999507</v>
      </c>
      <c r="Y1291" s="1">
        <f t="shared" si="41"/>
        <v>6355.4899999999634</v>
      </c>
    </row>
    <row r="1292" spans="1:25" x14ac:dyDescent="0.3">
      <c r="A1292" s="1" t="s">
        <v>2579</v>
      </c>
      <c r="B1292">
        <v>3</v>
      </c>
      <c r="C1292">
        <v>30.99</v>
      </c>
      <c r="D1292">
        <v>73.2</v>
      </c>
      <c r="E1292" s="1" t="s">
        <v>1230</v>
      </c>
      <c r="F1292" s="1" t="s">
        <v>40</v>
      </c>
      <c r="G1292">
        <v>5</v>
      </c>
      <c r="H1292" s="1" t="s">
        <v>58</v>
      </c>
      <c r="I1292" s="1" t="s">
        <v>42</v>
      </c>
      <c r="J1292">
        <v>10.5</v>
      </c>
      <c r="K1292">
        <v>30.99</v>
      </c>
      <c r="L1292" s="1" t="s">
        <v>28</v>
      </c>
      <c r="M1292" s="1" t="s">
        <v>43</v>
      </c>
      <c r="N1292" s="1" t="s">
        <v>44</v>
      </c>
      <c r="O1292" s="1" t="s">
        <v>31</v>
      </c>
      <c r="P1292" s="2">
        <v>45823</v>
      </c>
      <c r="Q1292" s="1" t="s">
        <v>1549</v>
      </c>
      <c r="R1292" s="1" t="s">
        <v>1550</v>
      </c>
      <c r="S1292" s="1" t="s">
        <v>34</v>
      </c>
      <c r="T1292" s="1" t="s">
        <v>35</v>
      </c>
      <c r="U1292" s="1" t="s">
        <v>48</v>
      </c>
      <c r="V1292" s="1" t="s">
        <v>37</v>
      </c>
      <c r="W1292">
        <v>2</v>
      </c>
      <c r="X1292" s="1">
        <f t="shared" si="40"/>
        <v>8640.6199999999462</v>
      </c>
      <c r="Y1292" s="1">
        <f t="shared" si="41"/>
        <v>7682.919999999951</v>
      </c>
    </row>
    <row r="1293" spans="1:25" x14ac:dyDescent="0.3">
      <c r="A1293" s="1" t="s">
        <v>2580</v>
      </c>
      <c r="B1293">
        <v>1</v>
      </c>
      <c r="C1293">
        <v>27.99</v>
      </c>
      <c r="D1293">
        <v>27.99</v>
      </c>
      <c r="E1293" s="1" t="s">
        <v>2581</v>
      </c>
      <c r="F1293" s="1" t="s">
        <v>51</v>
      </c>
      <c r="G1293">
        <v>0</v>
      </c>
      <c r="H1293" s="1" t="s">
        <v>58</v>
      </c>
      <c r="I1293" s="1" t="s">
        <v>75</v>
      </c>
      <c r="J1293">
        <v>9</v>
      </c>
      <c r="K1293">
        <v>27.99</v>
      </c>
      <c r="L1293" s="1" t="s">
        <v>28</v>
      </c>
      <c r="M1293" s="1" t="s">
        <v>61</v>
      </c>
      <c r="N1293" s="1" t="s">
        <v>62</v>
      </c>
      <c r="O1293" s="1" t="s">
        <v>31</v>
      </c>
      <c r="P1293" s="2">
        <v>45726</v>
      </c>
      <c r="Q1293" s="1" t="s">
        <v>1761</v>
      </c>
      <c r="R1293" s="1" t="s">
        <v>1762</v>
      </c>
      <c r="S1293" s="1" t="s">
        <v>88</v>
      </c>
      <c r="T1293" s="1" t="s">
        <v>35</v>
      </c>
      <c r="U1293" s="1" t="s">
        <v>82</v>
      </c>
      <c r="V1293" s="1" t="s">
        <v>37</v>
      </c>
      <c r="W1293">
        <v>2</v>
      </c>
      <c r="X1293" s="1">
        <f t="shared" si="40"/>
        <v>8640.6199999999462</v>
      </c>
      <c r="Y1293" s="1">
        <f t="shared" si="41"/>
        <v>7204.2099999999582</v>
      </c>
    </row>
    <row r="1294" spans="1:25" x14ac:dyDescent="0.3">
      <c r="A1294" s="1" t="s">
        <v>2582</v>
      </c>
      <c r="B1294">
        <v>2</v>
      </c>
      <c r="C1294">
        <v>34.99</v>
      </c>
      <c r="D1294">
        <v>60.85</v>
      </c>
      <c r="E1294" s="1" t="s">
        <v>2404</v>
      </c>
      <c r="F1294" s="1" t="s">
        <v>51</v>
      </c>
      <c r="G1294">
        <v>0</v>
      </c>
      <c r="H1294" s="1" t="s">
        <v>26</v>
      </c>
      <c r="I1294" s="1" t="s">
        <v>85</v>
      </c>
      <c r="J1294">
        <v>12.5</v>
      </c>
      <c r="K1294">
        <v>34.99</v>
      </c>
      <c r="L1294" s="1" t="s">
        <v>60</v>
      </c>
      <c r="M1294" s="1" t="s">
        <v>29</v>
      </c>
      <c r="N1294" s="1" t="s">
        <v>30</v>
      </c>
      <c r="O1294" s="1" t="s">
        <v>31</v>
      </c>
      <c r="P1294" s="2">
        <v>45778</v>
      </c>
      <c r="Q1294" s="1" t="s">
        <v>1319</v>
      </c>
      <c r="R1294" s="1" t="s">
        <v>1320</v>
      </c>
      <c r="S1294" s="1" t="s">
        <v>54</v>
      </c>
      <c r="T1294" s="1" t="s">
        <v>35</v>
      </c>
      <c r="U1294" s="1" t="s">
        <v>82</v>
      </c>
      <c r="V1294" s="1" t="s">
        <v>89</v>
      </c>
      <c r="W1294">
        <v>2.4</v>
      </c>
      <c r="X1294" s="1">
        <f t="shared" si="40"/>
        <v>8313.6899999999459</v>
      </c>
      <c r="Y1294" s="1">
        <f t="shared" si="41"/>
        <v>7204.2099999999582</v>
      </c>
    </row>
    <row r="1295" spans="1:25" x14ac:dyDescent="0.3">
      <c r="A1295" s="1" t="s">
        <v>2583</v>
      </c>
      <c r="B1295">
        <v>1</v>
      </c>
      <c r="C1295">
        <v>30.99</v>
      </c>
      <c r="D1295">
        <v>30.99</v>
      </c>
      <c r="E1295" s="1" t="s">
        <v>775</v>
      </c>
      <c r="F1295" s="1" t="s">
        <v>40</v>
      </c>
      <c r="G1295">
        <v>3</v>
      </c>
      <c r="H1295" s="1" t="s">
        <v>58</v>
      </c>
      <c r="I1295" s="1" t="s">
        <v>42</v>
      </c>
      <c r="J1295">
        <v>10.5</v>
      </c>
      <c r="K1295">
        <v>30.99</v>
      </c>
      <c r="L1295" s="1" t="s">
        <v>28</v>
      </c>
      <c r="M1295" s="1" t="s">
        <v>43</v>
      </c>
      <c r="N1295" s="1" t="s">
        <v>44</v>
      </c>
      <c r="O1295" s="1" t="s">
        <v>31</v>
      </c>
      <c r="P1295" s="2">
        <v>45823</v>
      </c>
      <c r="Q1295" s="1" t="s">
        <v>234</v>
      </c>
      <c r="R1295" s="1" t="s">
        <v>1646</v>
      </c>
      <c r="S1295" s="1" t="s">
        <v>54</v>
      </c>
      <c r="T1295" s="1" t="s">
        <v>35</v>
      </c>
      <c r="U1295" s="1" t="s">
        <v>36</v>
      </c>
      <c r="V1295" s="1" t="s">
        <v>37</v>
      </c>
      <c r="W1295">
        <v>2</v>
      </c>
      <c r="X1295" s="1">
        <f t="shared" si="40"/>
        <v>8640.6199999999462</v>
      </c>
      <c r="Y1295" s="1">
        <f t="shared" si="41"/>
        <v>6355.4899999999634</v>
      </c>
    </row>
    <row r="1296" spans="1:25" x14ac:dyDescent="0.3">
      <c r="A1296" s="1" t="s">
        <v>2584</v>
      </c>
      <c r="B1296">
        <v>3</v>
      </c>
      <c r="C1296">
        <v>30.99</v>
      </c>
      <c r="D1296">
        <v>73.12</v>
      </c>
      <c r="E1296" s="1" t="s">
        <v>2585</v>
      </c>
      <c r="F1296" s="1" t="s">
        <v>40</v>
      </c>
      <c r="G1296">
        <v>3</v>
      </c>
      <c r="H1296" s="1" t="s">
        <v>41</v>
      </c>
      <c r="I1296" s="1" t="s">
        <v>42</v>
      </c>
      <c r="J1296">
        <v>10.5</v>
      </c>
      <c r="K1296">
        <v>30.99</v>
      </c>
      <c r="L1296" s="1" t="s">
        <v>28</v>
      </c>
      <c r="M1296" s="1" t="s">
        <v>43</v>
      </c>
      <c r="N1296" s="1" t="s">
        <v>44</v>
      </c>
      <c r="O1296" s="1" t="s">
        <v>31</v>
      </c>
      <c r="P1296" s="2">
        <v>45823</v>
      </c>
      <c r="Q1296" s="1" t="s">
        <v>1237</v>
      </c>
      <c r="R1296" s="1" t="s">
        <v>2586</v>
      </c>
      <c r="S1296" s="1" t="s">
        <v>34</v>
      </c>
      <c r="T1296" s="1" t="s">
        <v>35</v>
      </c>
      <c r="U1296" s="1" t="s">
        <v>36</v>
      </c>
      <c r="V1296" s="1" t="s">
        <v>37</v>
      </c>
      <c r="W1296">
        <v>2</v>
      </c>
      <c r="X1296" s="1">
        <f t="shared" si="40"/>
        <v>8551.6499999999451</v>
      </c>
      <c r="Y1296" s="1">
        <f t="shared" si="41"/>
        <v>6355.4899999999634</v>
      </c>
    </row>
    <row r="1297" spans="1:25" x14ac:dyDescent="0.3">
      <c r="A1297" s="1" t="s">
        <v>2587</v>
      </c>
      <c r="B1297">
        <v>1</v>
      </c>
      <c r="C1297">
        <v>18.989999999999998</v>
      </c>
      <c r="D1297">
        <v>18.989999999999998</v>
      </c>
      <c r="E1297" s="1" t="s">
        <v>214</v>
      </c>
      <c r="F1297" s="1" t="s">
        <v>51</v>
      </c>
      <c r="G1297">
        <v>0</v>
      </c>
      <c r="H1297" s="1" t="s">
        <v>58</v>
      </c>
      <c r="I1297" s="1" t="s">
        <v>97</v>
      </c>
      <c r="J1297">
        <v>6</v>
      </c>
      <c r="K1297">
        <v>18.989999999999998</v>
      </c>
      <c r="L1297" s="1" t="s">
        <v>60</v>
      </c>
      <c r="M1297" s="1" t="s">
        <v>43</v>
      </c>
      <c r="N1297" s="1" t="s">
        <v>44</v>
      </c>
      <c r="O1297" s="1" t="s">
        <v>31</v>
      </c>
      <c r="P1297" s="2">
        <v>45823</v>
      </c>
      <c r="Q1297" s="1" t="s">
        <v>1719</v>
      </c>
      <c r="R1297" s="1" t="s">
        <v>1720</v>
      </c>
      <c r="S1297" s="1" t="s">
        <v>54</v>
      </c>
      <c r="T1297" s="1" t="s">
        <v>35</v>
      </c>
      <c r="U1297" s="1" t="s">
        <v>66</v>
      </c>
      <c r="V1297" s="1" t="s">
        <v>100</v>
      </c>
      <c r="W1297">
        <v>3.2</v>
      </c>
      <c r="X1297" s="1">
        <f t="shared" si="40"/>
        <v>8640.6199999999462</v>
      </c>
      <c r="Y1297" s="1">
        <f t="shared" si="41"/>
        <v>6397.4799999999632</v>
      </c>
    </row>
    <row r="1298" spans="1:25" x14ac:dyDescent="0.3">
      <c r="A1298" s="1" t="s">
        <v>2588</v>
      </c>
      <c r="B1298">
        <v>1</v>
      </c>
      <c r="C1298">
        <v>34.99</v>
      </c>
      <c r="D1298">
        <v>34.99</v>
      </c>
      <c r="E1298" s="1" t="s">
        <v>2380</v>
      </c>
      <c r="F1298" s="1" t="s">
        <v>25</v>
      </c>
      <c r="G1298">
        <v>6</v>
      </c>
      <c r="H1298" s="1" t="s">
        <v>96</v>
      </c>
      <c r="I1298" s="1" t="s">
        <v>85</v>
      </c>
      <c r="J1298">
        <v>12.5</v>
      </c>
      <c r="K1298">
        <v>34.99</v>
      </c>
      <c r="L1298" s="1" t="s">
        <v>60</v>
      </c>
      <c r="M1298" s="1" t="s">
        <v>29</v>
      </c>
      <c r="N1298" s="1" t="s">
        <v>30</v>
      </c>
      <c r="O1298" s="1" t="s">
        <v>31</v>
      </c>
      <c r="P1298" s="2">
        <v>45778</v>
      </c>
      <c r="Q1298" s="1" t="s">
        <v>1253</v>
      </c>
      <c r="R1298" s="1" t="s">
        <v>1254</v>
      </c>
      <c r="S1298" s="1" t="s">
        <v>105</v>
      </c>
      <c r="T1298" s="1" t="s">
        <v>35</v>
      </c>
      <c r="U1298" s="1" t="s">
        <v>66</v>
      </c>
      <c r="V1298" s="1" t="s">
        <v>89</v>
      </c>
      <c r="W1298">
        <v>2.4</v>
      </c>
      <c r="X1298" s="1">
        <f t="shared" si="40"/>
        <v>7844.9099999999507</v>
      </c>
      <c r="Y1298" s="1">
        <f t="shared" si="41"/>
        <v>6397.4799999999632</v>
      </c>
    </row>
    <row r="1299" spans="1:25" x14ac:dyDescent="0.3">
      <c r="A1299" s="1" t="s">
        <v>2589</v>
      </c>
      <c r="B1299">
        <v>1</v>
      </c>
      <c r="C1299">
        <v>21.99</v>
      </c>
      <c r="D1299">
        <v>21.99</v>
      </c>
      <c r="E1299" s="1" t="s">
        <v>1055</v>
      </c>
      <c r="F1299" s="1" t="s">
        <v>40</v>
      </c>
      <c r="G1299">
        <v>2</v>
      </c>
      <c r="H1299" s="1" t="s">
        <v>26</v>
      </c>
      <c r="I1299" s="1" t="s">
        <v>27</v>
      </c>
      <c r="J1299">
        <v>7</v>
      </c>
      <c r="K1299">
        <v>21.99</v>
      </c>
      <c r="L1299" s="1" t="s">
        <v>28</v>
      </c>
      <c r="M1299" s="1" t="s">
        <v>29</v>
      </c>
      <c r="N1299" s="1" t="s">
        <v>30</v>
      </c>
      <c r="O1299" s="1" t="s">
        <v>31</v>
      </c>
      <c r="P1299" s="2">
        <v>45778</v>
      </c>
      <c r="Q1299" s="1" t="s">
        <v>169</v>
      </c>
      <c r="R1299" s="1" t="s">
        <v>941</v>
      </c>
      <c r="S1299" s="1" t="s">
        <v>105</v>
      </c>
      <c r="T1299" s="1" t="s">
        <v>35</v>
      </c>
      <c r="U1299" s="1" t="s">
        <v>66</v>
      </c>
      <c r="V1299" s="1" t="s">
        <v>37</v>
      </c>
      <c r="W1299">
        <v>2</v>
      </c>
      <c r="X1299" s="1">
        <f t="shared" si="40"/>
        <v>8313.6899999999459</v>
      </c>
      <c r="Y1299" s="1">
        <f t="shared" si="41"/>
        <v>6397.4799999999632</v>
      </c>
    </row>
    <row r="1300" spans="1:25" x14ac:dyDescent="0.3">
      <c r="A1300" s="1" t="s">
        <v>2590</v>
      </c>
      <c r="B1300">
        <v>1</v>
      </c>
      <c r="C1300">
        <v>16.989999999999998</v>
      </c>
      <c r="D1300">
        <v>16.989999999999998</v>
      </c>
      <c r="E1300" s="1" t="s">
        <v>775</v>
      </c>
      <c r="F1300" s="1" t="s">
        <v>40</v>
      </c>
      <c r="G1300">
        <v>20</v>
      </c>
      <c r="H1300" s="1" t="s">
        <v>58</v>
      </c>
      <c r="I1300" s="1" t="s">
        <v>59</v>
      </c>
      <c r="J1300">
        <v>5</v>
      </c>
      <c r="K1300">
        <v>16.989999999999998</v>
      </c>
      <c r="L1300" s="1" t="s">
        <v>60</v>
      </c>
      <c r="M1300" s="1" t="s">
        <v>61</v>
      </c>
      <c r="N1300" s="1" t="s">
        <v>62</v>
      </c>
      <c r="O1300" s="1" t="s">
        <v>31</v>
      </c>
      <c r="P1300" s="2">
        <v>45726</v>
      </c>
      <c r="Q1300" s="1" t="s">
        <v>298</v>
      </c>
      <c r="R1300" s="1" t="s">
        <v>2591</v>
      </c>
      <c r="S1300" s="1" t="s">
        <v>54</v>
      </c>
      <c r="T1300" s="1" t="s">
        <v>35</v>
      </c>
      <c r="U1300" s="1" t="s">
        <v>36</v>
      </c>
      <c r="V1300" s="1" t="s">
        <v>67</v>
      </c>
      <c r="W1300">
        <v>3</v>
      </c>
      <c r="X1300" s="1">
        <f t="shared" si="40"/>
        <v>8640.6199999999462</v>
      </c>
      <c r="Y1300" s="1">
        <f t="shared" si="41"/>
        <v>6355.4899999999634</v>
      </c>
    </row>
    <row r="1301" spans="1:25" x14ac:dyDescent="0.3">
      <c r="A1301" s="1" t="s">
        <v>2592</v>
      </c>
      <c r="B1301">
        <v>3</v>
      </c>
      <c r="C1301">
        <v>16.989999999999998</v>
      </c>
      <c r="D1301">
        <v>40.07</v>
      </c>
      <c r="E1301" s="1" t="s">
        <v>325</v>
      </c>
      <c r="F1301" s="1" t="s">
        <v>40</v>
      </c>
      <c r="G1301">
        <v>19</v>
      </c>
      <c r="H1301" s="1" t="s">
        <v>41</v>
      </c>
      <c r="I1301" s="1" t="s">
        <v>59</v>
      </c>
      <c r="J1301">
        <v>5</v>
      </c>
      <c r="K1301">
        <v>16.989999999999998</v>
      </c>
      <c r="L1301" s="1" t="s">
        <v>60</v>
      </c>
      <c r="M1301" s="1" t="s">
        <v>61</v>
      </c>
      <c r="N1301" s="1" t="s">
        <v>62</v>
      </c>
      <c r="O1301" s="1" t="s">
        <v>31</v>
      </c>
      <c r="P1301" s="2">
        <v>45726</v>
      </c>
      <c r="Q1301" s="1" t="s">
        <v>972</v>
      </c>
      <c r="R1301" s="1" t="s">
        <v>973</v>
      </c>
      <c r="S1301" s="1" t="s">
        <v>65</v>
      </c>
      <c r="T1301" s="1" t="s">
        <v>35</v>
      </c>
      <c r="U1301" s="1" t="s">
        <v>82</v>
      </c>
      <c r="V1301" s="1" t="s">
        <v>67</v>
      </c>
      <c r="W1301">
        <v>3</v>
      </c>
      <c r="X1301" s="1">
        <f t="shared" si="40"/>
        <v>8551.6499999999451</v>
      </c>
      <c r="Y1301" s="1">
        <f t="shared" si="41"/>
        <v>7204.2099999999582</v>
      </c>
    </row>
    <row r="1302" spans="1:25" x14ac:dyDescent="0.3">
      <c r="A1302" s="1" t="s">
        <v>2593</v>
      </c>
      <c r="B1302">
        <v>1</v>
      </c>
      <c r="C1302">
        <v>30.99</v>
      </c>
      <c r="D1302">
        <v>30.99</v>
      </c>
      <c r="E1302" s="1" t="s">
        <v>1881</v>
      </c>
      <c r="F1302" s="1" t="s">
        <v>25</v>
      </c>
      <c r="G1302">
        <v>3</v>
      </c>
      <c r="H1302" s="1" t="s">
        <v>41</v>
      </c>
      <c r="I1302" s="1" t="s">
        <v>42</v>
      </c>
      <c r="J1302">
        <v>10.5</v>
      </c>
      <c r="K1302">
        <v>30.99</v>
      </c>
      <c r="L1302" s="1" t="s">
        <v>28</v>
      </c>
      <c r="M1302" s="1" t="s">
        <v>43</v>
      </c>
      <c r="N1302" s="1" t="s">
        <v>44</v>
      </c>
      <c r="O1302" s="1" t="s">
        <v>31</v>
      </c>
      <c r="P1302" s="2">
        <v>45823</v>
      </c>
      <c r="Q1302" s="1" t="s">
        <v>2452</v>
      </c>
      <c r="R1302" s="1" t="s">
        <v>2453</v>
      </c>
      <c r="S1302" s="1" t="s">
        <v>34</v>
      </c>
      <c r="T1302" s="1" t="s">
        <v>35</v>
      </c>
      <c r="U1302" s="1" t="s">
        <v>66</v>
      </c>
      <c r="V1302" s="1" t="s">
        <v>37</v>
      </c>
      <c r="W1302">
        <v>2</v>
      </c>
      <c r="X1302" s="1">
        <f t="shared" si="40"/>
        <v>8551.6499999999451</v>
      </c>
      <c r="Y1302" s="1">
        <f t="shared" si="41"/>
        <v>6397.4799999999632</v>
      </c>
    </row>
    <row r="1303" spans="1:25" x14ac:dyDescent="0.3">
      <c r="A1303" s="1" t="s">
        <v>2594</v>
      </c>
      <c r="B1303">
        <v>1</v>
      </c>
      <c r="C1303">
        <v>30.99</v>
      </c>
      <c r="D1303">
        <v>30.99</v>
      </c>
      <c r="E1303" s="1" t="s">
        <v>2595</v>
      </c>
      <c r="F1303" s="1" t="s">
        <v>70</v>
      </c>
      <c r="G1303">
        <v>0</v>
      </c>
      <c r="H1303" s="1" t="s">
        <v>26</v>
      </c>
      <c r="I1303" s="1" t="s">
        <v>42</v>
      </c>
      <c r="J1303">
        <v>10.5</v>
      </c>
      <c r="K1303">
        <v>30.99</v>
      </c>
      <c r="L1303" s="1" t="s">
        <v>28</v>
      </c>
      <c r="M1303" s="1" t="s">
        <v>43</v>
      </c>
      <c r="N1303" s="1" t="s">
        <v>44</v>
      </c>
      <c r="O1303" s="1" t="s">
        <v>31</v>
      </c>
      <c r="P1303" s="2">
        <v>45823</v>
      </c>
      <c r="Q1303" s="1" t="s">
        <v>1140</v>
      </c>
      <c r="R1303" s="1" t="s">
        <v>1799</v>
      </c>
      <c r="S1303" s="1" t="s">
        <v>65</v>
      </c>
      <c r="T1303" s="1" t="s">
        <v>35</v>
      </c>
      <c r="U1303" s="1" t="s">
        <v>48</v>
      </c>
      <c r="V1303" s="1" t="s">
        <v>37</v>
      </c>
      <c r="W1303">
        <v>2</v>
      </c>
      <c r="X1303" s="1">
        <f t="shared" si="40"/>
        <v>8313.6899999999459</v>
      </c>
      <c r="Y1303" s="1">
        <f t="shared" si="41"/>
        <v>7682.919999999951</v>
      </c>
    </row>
    <row r="1304" spans="1:25" x14ac:dyDescent="0.3">
      <c r="A1304" s="1" t="s">
        <v>2596</v>
      </c>
      <c r="B1304">
        <v>1</v>
      </c>
      <c r="C1304">
        <v>21.99</v>
      </c>
      <c r="D1304">
        <v>21.99</v>
      </c>
      <c r="E1304" s="1" t="s">
        <v>79</v>
      </c>
      <c r="F1304" s="1" t="s">
        <v>40</v>
      </c>
      <c r="G1304">
        <v>3</v>
      </c>
      <c r="H1304" s="1" t="s">
        <v>58</v>
      </c>
      <c r="I1304" s="1" t="s">
        <v>27</v>
      </c>
      <c r="J1304">
        <v>7</v>
      </c>
      <c r="K1304">
        <v>21.99</v>
      </c>
      <c r="L1304" s="1" t="s">
        <v>28</v>
      </c>
      <c r="M1304" s="1" t="s">
        <v>29</v>
      </c>
      <c r="N1304" s="1" t="s">
        <v>30</v>
      </c>
      <c r="O1304" s="1" t="s">
        <v>31</v>
      </c>
      <c r="P1304" s="2">
        <v>45778</v>
      </c>
      <c r="Q1304" s="1" t="s">
        <v>1639</v>
      </c>
      <c r="R1304" s="1" t="s">
        <v>1640</v>
      </c>
      <c r="S1304" s="1" t="s">
        <v>105</v>
      </c>
      <c r="T1304" s="1" t="s">
        <v>35</v>
      </c>
      <c r="U1304" s="1" t="s">
        <v>36</v>
      </c>
      <c r="V1304" s="1" t="s">
        <v>37</v>
      </c>
      <c r="W1304">
        <v>2</v>
      </c>
      <c r="X1304" s="1">
        <f t="shared" si="40"/>
        <v>8640.6199999999462</v>
      </c>
      <c r="Y1304" s="1">
        <f t="shared" si="41"/>
        <v>6355.4899999999634</v>
      </c>
    </row>
    <row r="1305" spans="1:25" x14ac:dyDescent="0.3">
      <c r="A1305" s="1" t="s">
        <v>2597</v>
      </c>
      <c r="B1305">
        <v>1</v>
      </c>
      <c r="C1305">
        <v>16.989999999999998</v>
      </c>
      <c r="D1305">
        <v>16.989999999999998</v>
      </c>
      <c r="E1305" s="1" t="s">
        <v>1156</v>
      </c>
      <c r="F1305" s="1" t="s">
        <v>40</v>
      </c>
      <c r="G1305">
        <v>20</v>
      </c>
      <c r="H1305" s="1" t="s">
        <v>41</v>
      </c>
      <c r="I1305" s="1" t="s">
        <v>59</v>
      </c>
      <c r="J1305">
        <v>5</v>
      </c>
      <c r="K1305">
        <v>16.989999999999998</v>
      </c>
      <c r="L1305" s="1" t="s">
        <v>60</v>
      </c>
      <c r="M1305" s="1" t="s">
        <v>61</v>
      </c>
      <c r="N1305" s="1" t="s">
        <v>62</v>
      </c>
      <c r="O1305" s="1" t="s">
        <v>31</v>
      </c>
      <c r="P1305" s="2">
        <v>45726</v>
      </c>
      <c r="Q1305" s="1" t="s">
        <v>409</v>
      </c>
      <c r="R1305" s="1" t="s">
        <v>1583</v>
      </c>
      <c r="S1305" s="1" t="s">
        <v>105</v>
      </c>
      <c r="T1305" s="1" t="s">
        <v>35</v>
      </c>
      <c r="U1305" s="1" t="s">
        <v>48</v>
      </c>
      <c r="V1305" s="1" t="s">
        <v>67</v>
      </c>
      <c r="W1305">
        <v>3</v>
      </c>
      <c r="X1305" s="1">
        <f t="shared" si="40"/>
        <v>8551.6499999999451</v>
      </c>
      <c r="Y1305" s="1">
        <f t="shared" si="41"/>
        <v>7682.919999999951</v>
      </c>
    </row>
    <row r="1306" spans="1:25" x14ac:dyDescent="0.3">
      <c r="A1306" s="1" t="s">
        <v>2598</v>
      </c>
      <c r="B1306">
        <v>1</v>
      </c>
      <c r="C1306">
        <v>21.99</v>
      </c>
      <c r="D1306">
        <v>21.99</v>
      </c>
      <c r="E1306" s="1" t="s">
        <v>1461</v>
      </c>
      <c r="F1306" s="1" t="s">
        <v>40</v>
      </c>
      <c r="G1306">
        <v>2</v>
      </c>
      <c r="H1306" s="1" t="s">
        <v>41</v>
      </c>
      <c r="I1306" s="1" t="s">
        <v>27</v>
      </c>
      <c r="J1306">
        <v>7</v>
      </c>
      <c r="K1306">
        <v>21.99</v>
      </c>
      <c r="L1306" s="1" t="s">
        <v>28</v>
      </c>
      <c r="M1306" s="1" t="s">
        <v>29</v>
      </c>
      <c r="N1306" s="1" t="s">
        <v>30</v>
      </c>
      <c r="O1306" s="1" t="s">
        <v>31</v>
      </c>
      <c r="P1306" s="2">
        <v>45778</v>
      </c>
      <c r="Q1306" s="1" t="s">
        <v>828</v>
      </c>
      <c r="R1306" s="1" t="s">
        <v>829</v>
      </c>
      <c r="S1306" s="1" t="s">
        <v>65</v>
      </c>
      <c r="T1306" s="1" t="s">
        <v>35</v>
      </c>
      <c r="U1306" s="1" t="s">
        <v>48</v>
      </c>
      <c r="V1306" s="1" t="s">
        <v>37</v>
      </c>
      <c r="W1306">
        <v>2</v>
      </c>
      <c r="X1306" s="1">
        <f t="shared" si="40"/>
        <v>8551.6499999999451</v>
      </c>
      <c r="Y1306" s="1">
        <f t="shared" si="41"/>
        <v>7682.919999999951</v>
      </c>
    </row>
    <row r="1307" spans="1:25" x14ac:dyDescent="0.3">
      <c r="A1307" s="1" t="s">
        <v>2599</v>
      </c>
      <c r="B1307">
        <v>1</v>
      </c>
      <c r="C1307">
        <v>16.989999999999998</v>
      </c>
      <c r="D1307">
        <v>16.989999999999998</v>
      </c>
      <c r="E1307" s="1" t="s">
        <v>2218</v>
      </c>
      <c r="F1307" s="1" t="s">
        <v>40</v>
      </c>
      <c r="G1307">
        <v>16</v>
      </c>
      <c r="H1307" s="1" t="s">
        <v>58</v>
      </c>
      <c r="I1307" s="1" t="s">
        <v>59</v>
      </c>
      <c r="J1307">
        <v>5</v>
      </c>
      <c r="K1307">
        <v>16.989999999999998</v>
      </c>
      <c r="L1307" s="1" t="s">
        <v>60</v>
      </c>
      <c r="M1307" s="1" t="s">
        <v>61</v>
      </c>
      <c r="N1307" s="1" t="s">
        <v>62</v>
      </c>
      <c r="O1307" s="1" t="s">
        <v>31</v>
      </c>
      <c r="P1307" s="2">
        <v>45726</v>
      </c>
      <c r="Q1307" s="1" t="s">
        <v>1024</v>
      </c>
      <c r="R1307" s="1" t="s">
        <v>1025</v>
      </c>
      <c r="S1307" s="1" t="s">
        <v>34</v>
      </c>
      <c r="T1307" s="1" t="s">
        <v>35</v>
      </c>
      <c r="U1307" s="1" t="s">
        <v>66</v>
      </c>
      <c r="V1307" s="1" t="s">
        <v>67</v>
      </c>
      <c r="W1307">
        <v>3</v>
      </c>
      <c r="X1307" s="1">
        <f t="shared" si="40"/>
        <v>8640.6199999999462</v>
      </c>
      <c r="Y1307" s="1">
        <f t="shared" si="41"/>
        <v>6397.4799999999632</v>
      </c>
    </row>
    <row r="1308" spans="1:25" x14ac:dyDescent="0.3">
      <c r="A1308" s="1" t="s">
        <v>2600</v>
      </c>
      <c r="B1308">
        <v>3</v>
      </c>
      <c r="C1308">
        <v>34.99</v>
      </c>
      <c r="D1308">
        <v>83.92</v>
      </c>
      <c r="E1308" s="1" t="s">
        <v>24</v>
      </c>
      <c r="F1308" s="1" t="s">
        <v>40</v>
      </c>
      <c r="G1308">
        <v>5</v>
      </c>
      <c r="H1308" s="1" t="s">
        <v>58</v>
      </c>
      <c r="I1308" s="1" t="s">
        <v>85</v>
      </c>
      <c r="J1308">
        <v>12.5</v>
      </c>
      <c r="K1308">
        <v>34.99</v>
      </c>
      <c r="L1308" s="1" t="s">
        <v>60</v>
      </c>
      <c r="M1308" s="1" t="s">
        <v>29</v>
      </c>
      <c r="N1308" s="1" t="s">
        <v>30</v>
      </c>
      <c r="O1308" s="1" t="s">
        <v>31</v>
      </c>
      <c r="P1308" s="2">
        <v>45778</v>
      </c>
      <c r="Q1308" s="1" t="s">
        <v>1253</v>
      </c>
      <c r="R1308" s="1" t="s">
        <v>1875</v>
      </c>
      <c r="S1308" s="1" t="s">
        <v>105</v>
      </c>
      <c r="T1308" s="1" t="s">
        <v>35</v>
      </c>
      <c r="U1308" s="1" t="s">
        <v>66</v>
      </c>
      <c r="V1308" s="1" t="s">
        <v>89</v>
      </c>
      <c r="W1308">
        <v>2.4</v>
      </c>
      <c r="X1308" s="1">
        <f t="shared" si="40"/>
        <v>8640.6199999999462</v>
      </c>
      <c r="Y1308" s="1">
        <f t="shared" si="41"/>
        <v>6397.4799999999632</v>
      </c>
    </row>
    <row r="1309" spans="1:25" x14ac:dyDescent="0.3">
      <c r="A1309" s="1" t="s">
        <v>2601</v>
      </c>
      <c r="B1309">
        <v>1</v>
      </c>
      <c r="C1309">
        <v>30.99</v>
      </c>
      <c r="D1309">
        <v>30.99</v>
      </c>
      <c r="E1309" s="1" t="s">
        <v>744</v>
      </c>
      <c r="F1309" s="1" t="s">
        <v>40</v>
      </c>
      <c r="G1309">
        <v>2</v>
      </c>
      <c r="H1309" s="1" t="s">
        <v>26</v>
      </c>
      <c r="I1309" s="1" t="s">
        <v>42</v>
      </c>
      <c r="J1309">
        <v>10.5</v>
      </c>
      <c r="K1309">
        <v>30.99</v>
      </c>
      <c r="L1309" s="1" t="s">
        <v>28</v>
      </c>
      <c r="M1309" s="1" t="s">
        <v>43</v>
      </c>
      <c r="N1309" s="1" t="s">
        <v>44</v>
      </c>
      <c r="O1309" s="1" t="s">
        <v>31</v>
      </c>
      <c r="P1309" s="2">
        <v>45823</v>
      </c>
      <c r="Q1309" s="1" t="s">
        <v>2301</v>
      </c>
      <c r="R1309" s="1" t="s">
        <v>2302</v>
      </c>
      <c r="S1309" s="1" t="s">
        <v>54</v>
      </c>
      <c r="T1309" s="1" t="s">
        <v>35</v>
      </c>
      <c r="U1309" s="1" t="s">
        <v>36</v>
      </c>
      <c r="V1309" s="1" t="s">
        <v>37</v>
      </c>
      <c r="W1309">
        <v>2</v>
      </c>
      <c r="X1309" s="1">
        <f t="shared" si="40"/>
        <v>8313.6899999999459</v>
      </c>
      <c r="Y1309" s="1">
        <f t="shared" si="41"/>
        <v>6355.4899999999634</v>
      </c>
    </row>
    <row r="1310" spans="1:25" x14ac:dyDescent="0.3">
      <c r="A1310" s="1" t="s">
        <v>2602</v>
      </c>
      <c r="B1310">
        <v>1</v>
      </c>
      <c r="C1310">
        <v>16.989999999999998</v>
      </c>
      <c r="D1310">
        <v>16.989999999999998</v>
      </c>
      <c r="E1310" s="1" t="s">
        <v>2164</v>
      </c>
      <c r="F1310" s="1" t="s">
        <v>188</v>
      </c>
      <c r="G1310">
        <v>0</v>
      </c>
      <c r="H1310" s="1" t="s">
        <v>41</v>
      </c>
      <c r="I1310" s="1" t="s">
        <v>59</v>
      </c>
      <c r="J1310">
        <v>5</v>
      </c>
      <c r="K1310">
        <v>16.989999999999998</v>
      </c>
      <c r="L1310" s="1" t="s">
        <v>60</v>
      </c>
      <c r="M1310" s="1" t="s">
        <v>61</v>
      </c>
      <c r="N1310" s="1" t="s">
        <v>62</v>
      </c>
      <c r="O1310" s="1" t="s">
        <v>31</v>
      </c>
      <c r="P1310" s="2">
        <v>45726</v>
      </c>
      <c r="Q1310" s="1" t="s">
        <v>182</v>
      </c>
      <c r="R1310" s="1" t="s">
        <v>1579</v>
      </c>
      <c r="S1310" s="1" t="s">
        <v>105</v>
      </c>
      <c r="T1310" s="1" t="s">
        <v>35</v>
      </c>
      <c r="U1310" s="1" t="s">
        <v>66</v>
      </c>
      <c r="V1310" s="1" t="s">
        <v>67</v>
      </c>
      <c r="W1310">
        <v>3</v>
      </c>
      <c r="X1310" s="1">
        <f t="shared" si="40"/>
        <v>8551.6499999999451</v>
      </c>
      <c r="Y1310" s="1">
        <f t="shared" si="41"/>
        <v>6397.4799999999632</v>
      </c>
    </row>
    <row r="1311" spans="1:25" x14ac:dyDescent="0.3">
      <c r="A1311" s="1" t="s">
        <v>2603</v>
      </c>
      <c r="B1311">
        <v>1</v>
      </c>
      <c r="C1311">
        <v>18.989999999999998</v>
      </c>
      <c r="D1311">
        <v>18.989999999999998</v>
      </c>
      <c r="E1311" s="1" t="s">
        <v>1397</v>
      </c>
      <c r="F1311" s="1" t="s">
        <v>40</v>
      </c>
      <c r="G1311">
        <v>11</v>
      </c>
      <c r="H1311" s="1" t="s">
        <v>26</v>
      </c>
      <c r="I1311" s="1" t="s">
        <v>97</v>
      </c>
      <c r="J1311">
        <v>6</v>
      </c>
      <c r="K1311">
        <v>18.989999999999998</v>
      </c>
      <c r="L1311" s="1" t="s">
        <v>60</v>
      </c>
      <c r="M1311" s="1" t="s">
        <v>43</v>
      </c>
      <c r="N1311" s="1" t="s">
        <v>44</v>
      </c>
      <c r="O1311" s="1" t="s">
        <v>31</v>
      </c>
      <c r="P1311" s="2">
        <v>45823</v>
      </c>
      <c r="Q1311" s="1" t="s">
        <v>836</v>
      </c>
      <c r="R1311" s="1" t="s">
        <v>1847</v>
      </c>
      <c r="S1311" s="1" t="s">
        <v>105</v>
      </c>
      <c r="T1311" s="1" t="s">
        <v>35</v>
      </c>
      <c r="U1311" s="1" t="s">
        <v>66</v>
      </c>
      <c r="V1311" s="1" t="s">
        <v>100</v>
      </c>
      <c r="W1311">
        <v>3.2</v>
      </c>
      <c r="X1311" s="1">
        <f t="shared" si="40"/>
        <v>8313.6899999999459</v>
      </c>
      <c r="Y1311" s="1">
        <f t="shared" si="41"/>
        <v>6397.4799999999632</v>
      </c>
    </row>
    <row r="1312" spans="1:25" x14ac:dyDescent="0.3">
      <c r="A1312" s="1" t="s">
        <v>2604</v>
      </c>
      <c r="B1312">
        <v>1</v>
      </c>
      <c r="C1312">
        <v>18.989999999999998</v>
      </c>
      <c r="D1312">
        <v>18.989999999999998</v>
      </c>
      <c r="E1312" s="1" t="s">
        <v>577</v>
      </c>
      <c r="F1312" s="1" t="s">
        <v>40</v>
      </c>
      <c r="G1312">
        <v>12</v>
      </c>
      <c r="H1312" s="1" t="s">
        <v>96</v>
      </c>
      <c r="I1312" s="1" t="s">
        <v>97</v>
      </c>
      <c r="J1312">
        <v>6</v>
      </c>
      <c r="K1312">
        <v>18.989999999999998</v>
      </c>
      <c r="L1312" s="1" t="s">
        <v>60</v>
      </c>
      <c r="M1312" s="1" t="s">
        <v>43</v>
      </c>
      <c r="N1312" s="1" t="s">
        <v>44</v>
      </c>
      <c r="O1312" s="1" t="s">
        <v>31</v>
      </c>
      <c r="P1312" s="2">
        <v>45823</v>
      </c>
      <c r="Q1312" s="1" t="s">
        <v>1137</v>
      </c>
      <c r="R1312" s="1" t="s">
        <v>2255</v>
      </c>
      <c r="S1312" s="1" t="s">
        <v>65</v>
      </c>
      <c r="T1312" s="1" t="s">
        <v>35</v>
      </c>
      <c r="U1312" s="1" t="s">
        <v>36</v>
      </c>
      <c r="V1312" s="1" t="s">
        <v>100</v>
      </c>
      <c r="W1312">
        <v>3.2</v>
      </c>
      <c r="X1312" s="1">
        <f t="shared" si="40"/>
        <v>7844.9099999999507</v>
      </c>
      <c r="Y1312" s="1">
        <f t="shared" si="41"/>
        <v>6355.4899999999634</v>
      </c>
    </row>
    <row r="1313" spans="1:25" x14ac:dyDescent="0.3">
      <c r="A1313" s="1" t="s">
        <v>2605</v>
      </c>
      <c r="B1313">
        <v>1</v>
      </c>
      <c r="C1313">
        <v>34.99</v>
      </c>
      <c r="D1313">
        <v>34.99</v>
      </c>
      <c r="E1313" s="1" t="s">
        <v>1886</v>
      </c>
      <c r="F1313" s="1" t="s">
        <v>51</v>
      </c>
      <c r="G1313">
        <v>0</v>
      </c>
      <c r="H1313" s="1" t="s">
        <v>26</v>
      </c>
      <c r="I1313" s="1" t="s">
        <v>85</v>
      </c>
      <c r="J1313">
        <v>12.5</v>
      </c>
      <c r="K1313">
        <v>34.99</v>
      </c>
      <c r="L1313" s="1" t="s">
        <v>60</v>
      </c>
      <c r="M1313" s="1" t="s">
        <v>29</v>
      </c>
      <c r="N1313" s="1" t="s">
        <v>30</v>
      </c>
      <c r="O1313" s="1" t="s">
        <v>31</v>
      </c>
      <c r="P1313" s="2">
        <v>45778</v>
      </c>
      <c r="Q1313" s="1" t="s">
        <v>779</v>
      </c>
      <c r="R1313" s="1" t="s">
        <v>2289</v>
      </c>
      <c r="S1313" s="1" t="s">
        <v>65</v>
      </c>
      <c r="T1313" s="1" t="s">
        <v>35</v>
      </c>
      <c r="U1313" s="1" t="s">
        <v>55</v>
      </c>
      <c r="V1313" s="1" t="s">
        <v>89</v>
      </c>
      <c r="W1313">
        <v>2.4</v>
      </c>
      <c r="X1313" s="1">
        <f t="shared" si="40"/>
        <v>8313.6899999999459</v>
      </c>
      <c r="Y1313" s="1">
        <f t="shared" si="41"/>
        <v>5710.7699999999695</v>
      </c>
    </row>
    <row r="1314" spans="1:25" x14ac:dyDescent="0.3">
      <c r="A1314" s="1" t="s">
        <v>2606</v>
      </c>
      <c r="B1314">
        <v>1</v>
      </c>
      <c r="C1314">
        <v>30.99</v>
      </c>
      <c r="D1314">
        <v>30.99</v>
      </c>
      <c r="E1314" s="1" t="s">
        <v>2607</v>
      </c>
      <c r="F1314" s="1" t="s">
        <v>40</v>
      </c>
      <c r="G1314">
        <v>3</v>
      </c>
      <c r="H1314" s="1" t="s">
        <v>41</v>
      </c>
      <c r="I1314" s="1" t="s">
        <v>42</v>
      </c>
      <c r="J1314">
        <v>10.5</v>
      </c>
      <c r="K1314">
        <v>30.99</v>
      </c>
      <c r="L1314" s="1" t="s">
        <v>28</v>
      </c>
      <c r="M1314" s="1" t="s">
        <v>43</v>
      </c>
      <c r="N1314" s="1" t="s">
        <v>44</v>
      </c>
      <c r="O1314" s="1" t="s">
        <v>31</v>
      </c>
      <c r="P1314" s="2">
        <v>45823</v>
      </c>
      <c r="Q1314" s="1" t="s">
        <v>1940</v>
      </c>
      <c r="R1314" s="1" t="s">
        <v>1941</v>
      </c>
      <c r="S1314" s="1" t="s">
        <v>34</v>
      </c>
      <c r="T1314" s="1" t="s">
        <v>35</v>
      </c>
      <c r="U1314" s="1" t="s">
        <v>48</v>
      </c>
      <c r="V1314" s="1" t="s">
        <v>37</v>
      </c>
      <c r="W1314">
        <v>2</v>
      </c>
      <c r="X1314" s="1">
        <f t="shared" si="40"/>
        <v>8551.6499999999451</v>
      </c>
      <c r="Y1314" s="1">
        <f t="shared" si="41"/>
        <v>7682.919999999951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7BFB8-9118-4FB5-92A6-573CB2C87229}">
  <dimension ref="A1:AC1314"/>
  <sheetViews>
    <sheetView topLeftCell="Z1" zoomScaleNormal="100" workbookViewId="0">
      <selection activeCell="AG11" sqref="AG11"/>
    </sheetView>
  </sheetViews>
  <sheetFormatPr defaultRowHeight="14.4" x14ac:dyDescent="0.3"/>
  <cols>
    <col min="1" max="1" width="28.88671875" customWidth="1"/>
    <col min="16" max="16" width="20.88671875" customWidth="1"/>
    <col min="17" max="17" width="16.109375" customWidth="1"/>
    <col min="18" max="18" width="19" customWidth="1"/>
    <col min="22" max="22" width="29" customWidth="1"/>
    <col min="24" max="24" width="34.6640625" customWidth="1"/>
    <col min="25" max="25" width="43.21875" customWidth="1"/>
    <col min="26" max="26" width="26" customWidth="1"/>
    <col min="27" max="27" width="14.6640625" customWidth="1"/>
    <col min="28" max="28" width="30.44140625" customWidth="1"/>
    <col min="29" max="29" width="31.33203125"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2608</v>
      </c>
      <c r="Y1" t="s">
        <v>2609</v>
      </c>
      <c r="Z1" t="s">
        <v>2610</v>
      </c>
      <c r="AA1" t="s">
        <v>2611</v>
      </c>
      <c r="AB1" t="s">
        <v>2612</v>
      </c>
      <c r="AC1" t="s">
        <v>2613</v>
      </c>
    </row>
    <row r="2" spans="1:29" x14ac:dyDescent="0.3">
      <c r="A2" s="1" t="s">
        <v>23</v>
      </c>
      <c r="B2">
        <v>2</v>
      </c>
      <c r="C2">
        <v>21.99</v>
      </c>
      <c r="D2">
        <v>37.979999999999997</v>
      </c>
      <c r="E2" s="1" t="s">
        <v>24</v>
      </c>
      <c r="F2" s="1" t="s">
        <v>25</v>
      </c>
      <c r="G2">
        <v>2</v>
      </c>
      <c r="H2" s="1" t="s">
        <v>26</v>
      </c>
      <c r="I2" s="1" t="s">
        <v>27</v>
      </c>
      <c r="J2">
        <v>7</v>
      </c>
      <c r="K2">
        <v>21.99</v>
      </c>
      <c r="L2" s="1" t="s">
        <v>28</v>
      </c>
      <c r="M2" s="1" t="s">
        <v>29</v>
      </c>
      <c r="N2" s="1" t="s">
        <v>30</v>
      </c>
      <c r="O2" s="1" t="s">
        <v>31</v>
      </c>
      <c r="P2" s="2">
        <v>45778</v>
      </c>
      <c r="Q2" s="1" t="s">
        <v>32</v>
      </c>
      <c r="R2" s="1" t="s">
        <v>33</v>
      </c>
      <c r="S2" s="1" t="s">
        <v>34</v>
      </c>
      <c r="T2" s="1" t="s">
        <v>35</v>
      </c>
      <c r="U2" s="1" t="s">
        <v>36</v>
      </c>
      <c r="V2" s="1" t="s">
        <v>37</v>
      </c>
      <c r="W2">
        <v>2</v>
      </c>
      <c r="X2" s="1" t="str">
        <f t="shared" ref="X2:X65" si="0">INDEX(R:R,MATCH(Q2,Q:Q,0))</f>
        <v>laura.gomez71@mail.com</v>
      </c>
      <c r="Y2" s="1" t="str">
        <f>INDEX(V:V,MATCH(orders_desnormalizado_prueba3[[#This Row],[acquisition_channel]],U:U,0))</f>
        <v>Bodega Propia CO - envio 2-3 dias</v>
      </c>
      <c r="Z2" s="1" t="str">
        <f>INDEX(T:T,MATCH(orders_desnormalizado_prueba3[[#This Row],[shipping_cost]],W:W,0))</f>
        <v>Colombia</v>
      </c>
      <c r="AA2" s="1" t="str">
        <f t="shared" ref="AA2:AA65" si="1">INDEX(S:S,MATCH(G2,G:G,0))</f>
        <v>Medellin</v>
      </c>
      <c r="AB2" s="3" t="s">
        <v>46</v>
      </c>
      <c r="AC2" s="1" t="str">
        <f t="shared" ref="AC2:AC65" si="2">IFERROR(INDEX($V:$V,MATCH(AB2,$R:$R,0)), " ")</f>
        <v>Bodega Propia CO - envio 2-3 dias</v>
      </c>
    </row>
    <row r="3" spans="1:29" x14ac:dyDescent="0.3">
      <c r="A3" s="1" t="s">
        <v>38</v>
      </c>
      <c r="B3">
        <v>2</v>
      </c>
      <c r="C3">
        <v>30.99</v>
      </c>
      <c r="D3">
        <v>53.78</v>
      </c>
      <c r="E3" s="1" t="s">
        <v>39</v>
      </c>
      <c r="F3" s="1" t="s">
        <v>40</v>
      </c>
      <c r="G3">
        <v>3</v>
      </c>
      <c r="H3" s="1" t="s">
        <v>41</v>
      </c>
      <c r="I3" s="1" t="s">
        <v>42</v>
      </c>
      <c r="J3">
        <v>10.5</v>
      </c>
      <c r="K3">
        <v>30.99</v>
      </c>
      <c r="L3" s="1" t="s">
        <v>28</v>
      </c>
      <c r="M3" s="1" t="s">
        <v>43</v>
      </c>
      <c r="N3" s="1" t="s">
        <v>44</v>
      </c>
      <c r="O3" s="1" t="s">
        <v>31</v>
      </c>
      <c r="P3" s="2">
        <v>45823</v>
      </c>
      <c r="Q3" s="1" t="s">
        <v>45</v>
      </c>
      <c r="R3" s="1" t="s">
        <v>46</v>
      </c>
      <c r="S3" s="1" t="s">
        <v>47</v>
      </c>
      <c r="T3" s="1" t="s">
        <v>35</v>
      </c>
      <c r="U3" s="1" t="s">
        <v>48</v>
      </c>
      <c r="V3" s="1" t="s">
        <v>37</v>
      </c>
      <c r="W3">
        <v>2</v>
      </c>
      <c r="X3" s="1" t="str">
        <f t="shared" si="0"/>
        <v>david.martinez142@mail.com</v>
      </c>
      <c r="Y3" s="1" t="str">
        <f>INDEX(V:V,MATCH(orders_desnormalizado_prueba3[[#This Row],[acquisition_channel]],U:U,0))</f>
        <v>Bodega Propia CO - envio 2-3 dias</v>
      </c>
      <c r="Z3" s="1" t="str">
        <f>INDEX(T:T,MATCH(orders_desnormalizado_prueba3[[#This Row],[shipping_cost]],W:W,0))</f>
        <v>Colombia</v>
      </c>
      <c r="AA3" s="1" t="str">
        <f t="shared" si="1"/>
        <v>Barranquilla</v>
      </c>
      <c r="AB3" s="1"/>
      <c r="AC3" s="1" t="str">
        <f t="shared" si="2"/>
        <v xml:space="preserve"> </v>
      </c>
    </row>
    <row r="4" spans="1:29" x14ac:dyDescent="0.3">
      <c r="A4" s="1" t="s">
        <v>49</v>
      </c>
      <c r="B4">
        <v>1</v>
      </c>
      <c r="C4">
        <v>21.99</v>
      </c>
      <c r="D4">
        <v>21.99</v>
      </c>
      <c r="E4" s="1" t="s">
        <v>50</v>
      </c>
      <c r="F4" s="1" t="s">
        <v>51</v>
      </c>
      <c r="G4">
        <v>0</v>
      </c>
      <c r="H4" s="1" t="s">
        <v>41</v>
      </c>
      <c r="I4" s="1" t="s">
        <v>27</v>
      </c>
      <c r="J4">
        <v>7</v>
      </c>
      <c r="K4">
        <v>21.99</v>
      </c>
      <c r="L4" s="1" t="s">
        <v>28</v>
      </c>
      <c r="M4" s="1" t="s">
        <v>29</v>
      </c>
      <c r="N4" s="1" t="s">
        <v>30</v>
      </c>
      <c r="O4" s="1" t="s">
        <v>31</v>
      </c>
      <c r="P4" s="2">
        <v>45778</v>
      </c>
      <c r="Q4" s="1" t="s">
        <v>52</v>
      </c>
      <c r="R4" s="1" t="s">
        <v>53</v>
      </c>
      <c r="S4" s="1" t="s">
        <v>54</v>
      </c>
      <c r="T4" s="1" t="s">
        <v>35</v>
      </c>
      <c r="U4" s="1" t="s">
        <v>55</v>
      </c>
      <c r="V4" s="1" t="s">
        <v>37</v>
      </c>
      <c r="W4">
        <v>2</v>
      </c>
      <c r="X4" s="1" t="str">
        <f t="shared" si="0"/>
        <v>daniela.vargas12@mail.com</v>
      </c>
      <c r="Y4" s="1" t="str">
        <f>INDEX(V:V,MATCH(orders_desnormalizado_prueba3[[#This Row],[acquisition_channel]],U:U,0))</f>
        <v>Bodega Propia CO - envio 2-3 dias</v>
      </c>
      <c r="Z4" s="1" t="str">
        <f>INDEX(T:T,MATCH(orders_desnormalizado_prueba3[[#This Row],[shipping_cost]],W:W,0))</f>
        <v>Colombia</v>
      </c>
      <c r="AA4" s="1" t="str">
        <f t="shared" si="1"/>
        <v>Cartagena</v>
      </c>
      <c r="AB4" s="1"/>
      <c r="AC4" s="1" t="str">
        <f t="shared" si="2"/>
        <v xml:space="preserve"> </v>
      </c>
    </row>
    <row r="5" spans="1:29" x14ac:dyDescent="0.3">
      <c r="A5" s="1" t="s">
        <v>56</v>
      </c>
      <c r="B5">
        <v>2</v>
      </c>
      <c r="C5">
        <v>16.989999999999998</v>
      </c>
      <c r="D5">
        <v>29.18</v>
      </c>
      <c r="E5" s="1" t="s">
        <v>57</v>
      </c>
      <c r="F5" s="1" t="s">
        <v>40</v>
      </c>
      <c r="G5">
        <v>19</v>
      </c>
      <c r="H5" s="1" t="s">
        <v>58</v>
      </c>
      <c r="I5" s="1" t="s">
        <v>59</v>
      </c>
      <c r="J5">
        <v>5</v>
      </c>
      <c r="K5">
        <v>16.989999999999998</v>
      </c>
      <c r="L5" s="1" t="s">
        <v>60</v>
      </c>
      <c r="M5" s="1" t="s">
        <v>61</v>
      </c>
      <c r="N5" s="1" t="s">
        <v>62</v>
      </c>
      <c r="O5" s="1" t="s">
        <v>31</v>
      </c>
      <c r="P5" s="2">
        <v>45726</v>
      </c>
      <c r="Q5" s="1" t="s">
        <v>63</v>
      </c>
      <c r="R5" s="1" t="s">
        <v>64</v>
      </c>
      <c r="S5" s="1" t="s">
        <v>65</v>
      </c>
      <c r="T5" s="1" t="s">
        <v>35</v>
      </c>
      <c r="U5" s="1" t="s">
        <v>66</v>
      </c>
      <c r="V5" s="1" t="s">
        <v>67</v>
      </c>
      <c r="W5">
        <v>3</v>
      </c>
      <c r="X5" s="1" t="str">
        <f t="shared" si="0"/>
        <v>laura.rodriguez85@mail.com</v>
      </c>
      <c r="Y5" s="1" t="str">
        <f>INDEX(V:V,MATCH(orders_desnormalizado_prueba3[[#This Row],[acquisition_channel]],U:U,0))</f>
        <v>AliDropship CN - envio 15-20 dias</v>
      </c>
      <c r="Z5" s="1" t="str">
        <f>INDEX(T:T,MATCH(orders_desnormalizado_prueba3[[#This Row],[shipping_cost]],W:W,0))</f>
        <v>Colombia</v>
      </c>
      <c r="AA5" s="1" t="str">
        <f t="shared" si="1"/>
        <v>Bogota</v>
      </c>
      <c r="AB5" s="1"/>
      <c r="AC5" s="1" t="str">
        <f t="shared" si="2"/>
        <v xml:space="preserve"> </v>
      </c>
    </row>
    <row r="6" spans="1:29" x14ac:dyDescent="0.3">
      <c r="A6" s="1" t="s">
        <v>68</v>
      </c>
      <c r="B6">
        <v>1</v>
      </c>
      <c r="C6">
        <v>16.989999999999998</v>
      </c>
      <c r="D6">
        <v>16.989999999999998</v>
      </c>
      <c r="E6" s="1" t="s">
        <v>69</v>
      </c>
      <c r="F6" s="1" t="s">
        <v>70</v>
      </c>
      <c r="G6">
        <v>0</v>
      </c>
      <c r="H6" s="1" t="s">
        <v>58</v>
      </c>
      <c r="I6" s="1" t="s">
        <v>59</v>
      </c>
      <c r="J6">
        <v>5</v>
      </c>
      <c r="K6">
        <v>16.989999999999998</v>
      </c>
      <c r="L6" s="1" t="s">
        <v>60</v>
      </c>
      <c r="M6" s="1" t="s">
        <v>61</v>
      </c>
      <c r="N6" s="1" t="s">
        <v>62</v>
      </c>
      <c r="O6" s="1" t="s">
        <v>31</v>
      </c>
      <c r="P6" s="2">
        <v>45726</v>
      </c>
      <c r="Q6" s="1" t="s">
        <v>71</v>
      </c>
      <c r="R6" s="1" t="s">
        <v>72</v>
      </c>
      <c r="S6" s="1" t="s">
        <v>47</v>
      </c>
      <c r="T6" s="1" t="s">
        <v>35</v>
      </c>
      <c r="U6" s="1" t="s">
        <v>36</v>
      </c>
      <c r="V6" s="1" t="s">
        <v>67</v>
      </c>
      <c r="W6">
        <v>3</v>
      </c>
      <c r="X6" s="1" t="str">
        <f t="shared" si="0"/>
        <v>diego.ramirez167@mail.com</v>
      </c>
      <c r="Y6" s="1" t="str">
        <f>INDEX(V:V,MATCH(orders_desnormalizado_prueba3[[#This Row],[acquisition_channel]],U:U,0))</f>
        <v>Bodega Propia CO - envio 2-3 dias</v>
      </c>
      <c r="Z6" s="1" t="str">
        <f>INDEX(T:T,MATCH(orders_desnormalizado_prueba3[[#This Row],[shipping_cost]],W:W,0))</f>
        <v>Colombia</v>
      </c>
      <c r="AA6" s="1" t="str">
        <f t="shared" si="1"/>
        <v>Cartagena</v>
      </c>
      <c r="AB6" s="1"/>
      <c r="AC6" s="1" t="str">
        <f t="shared" si="2"/>
        <v xml:space="preserve"> </v>
      </c>
    </row>
    <row r="7" spans="1:29" x14ac:dyDescent="0.3">
      <c r="A7" s="1" t="s">
        <v>73</v>
      </c>
      <c r="B7">
        <v>1</v>
      </c>
      <c r="C7">
        <v>27.99</v>
      </c>
      <c r="D7">
        <v>27.99</v>
      </c>
      <c r="E7" s="1" t="s">
        <v>74</v>
      </c>
      <c r="F7" s="1" t="s">
        <v>40</v>
      </c>
      <c r="G7">
        <v>3</v>
      </c>
      <c r="H7" s="1" t="s">
        <v>26</v>
      </c>
      <c r="I7" s="1" t="s">
        <v>75</v>
      </c>
      <c r="J7">
        <v>9</v>
      </c>
      <c r="K7">
        <v>27.99</v>
      </c>
      <c r="L7" s="1" t="s">
        <v>28</v>
      </c>
      <c r="M7" s="1" t="s">
        <v>61</v>
      </c>
      <c r="N7" s="1" t="s">
        <v>62</v>
      </c>
      <c r="O7" s="1" t="s">
        <v>31</v>
      </c>
      <c r="P7" s="2">
        <v>45726</v>
      </c>
      <c r="Q7" s="1" t="s">
        <v>76</v>
      </c>
      <c r="R7" s="1" t="s">
        <v>77</v>
      </c>
      <c r="S7" s="1" t="s">
        <v>34</v>
      </c>
      <c r="T7" s="1" t="s">
        <v>35</v>
      </c>
      <c r="U7" s="1" t="s">
        <v>36</v>
      </c>
      <c r="V7" s="1" t="s">
        <v>37</v>
      </c>
      <c r="W7">
        <v>2</v>
      </c>
      <c r="X7" s="1" t="str">
        <f t="shared" si="0"/>
        <v>david.gomez112@mail.com</v>
      </c>
      <c r="Y7" s="1" t="str">
        <f>INDEX(V:V,MATCH(orders_desnormalizado_prueba3[[#This Row],[acquisition_channel]],U:U,0))</f>
        <v>Bodega Propia CO - envio 2-3 dias</v>
      </c>
      <c r="Z7" s="1" t="str">
        <f>INDEX(T:T,MATCH(orders_desnormalizado_prueba3[[#This Row],[shipping_cost]],W:W,0))</f>
        <v>Colombia</v>
      </c>
      <c r="AA7" s="1" t="str">
        <f t="shared" si="1"/>
        <v>Barranquilla</v>
      </c>
      <c r="AB7" s="1"/>
      <c r="AC7" s="1" t="str">
        <f t="shared" si="2"/>
        <v xml:space="preserve"> </v>
      </c>
    </row>
    <row r="8" spans="1:29" x14ac:dyDescent="0.3">
      <c r="A8" s="1" t="s">
        <v>78</v>
      </c>
      <c r="B8">
        <v>1</v>
      </c>
      <c r="C8">
        <v>30.99</v>
      </c>
      <c r="D8">
        <v>30.99</v>
      </c>
      <c r="E8" s="1" t="s">
        <v>79</v>
      </c>
      <c r="F8" s="1" t="s">
        <v>40</v>
      </c>
      <c r="G8">
        <v>2</v>
      </c>
      <c r="H8" s="1" t="s">
        <v>41</v>
      </c>
      <c r="I8" s="1" t="s">
        <v>42</v>
      </c>
      <c r="J8">
        <v>10.5</v>
      </c>
      <c r="K8">
        <v>30.99</v>
      </c>
      <c r="L8" s="1" t="s">
        <v>28</v>
      </c>
      <c r="M8" s="1" t="s">
        <v>43</v>
      </c>
      <c r="N8" s="1" t="s">
        <v>44</v>
      </c>
      <c r="O8" s="1" t="s">
        <v>31</v>
      </c>
      <c r="P8" s="2">
        <v>45823</v>
      </c>
      <c r="Q8" s="1" t="s">
        <v>80</v>
      </c>
      <c r="R8" s="1" t="s">
        <v>81</v>
      </c>
      <c r="S8" s="1" t="s">
        <v>34</v>
      </c>
      <c r="T8" s="1" t="s">
        <v>35</v>
      </c>
      <c r="U8" s="1" t="s">
        <v>82</v>
      </c>
      <c r="V8" s="1" t="s">
        <v>37</v>
      </c>
      <c r="W8">
        <v>2</v>
      </c>
      <c r="X8" s="1" t="str">
        <f t="shared" si="0"/>
        <v>laura.martinez145@mail.com</v>
      </c>
      <c r="Y8" s="1" t="str">
        <f>INDEX(V:V,MATCH(orders_desnormalizado_prueba3[[#This Row],[acquisition_channel]],U:U,0))</f>
        <v>Bodega Propia CO - envio 2-3 dias</v>
      </c>
      <c r="Z8" s="1" t="str">
        <f>INDEX(T:T,MATCH(orders_desnormalizado_prueba3[[#This Row],[shipping_cost]],W:W,0))</f>
        <v>Colombia</v>
      </c>
      <c r="AA8" s="1" t="str">
        <f t="shared" si="1"/>
        <v>Medellin</v>
      </c>
      <c r="AB8" s="1"/>
      <c r="AC8" s="1" t="str">
        <f t="shared" si="2"/>
        <v xml:space="preserve"> </v>
      </c>
    </row>
    <row r="9" spans="1:29" x14ac:dyDescent="0.3">
      <c r="A9" s="1" t="s">
        <v>83</v>
      </c>
      <c r="B9">
        <v>3</v>
      </c>
      <c r="C9">
        <v>34.99</v>
      </c>
      <c r="D9">
        <v>84.73</v>
      </c>
      <c r="E9" s="1" t="s">
        <v>84</v>
      </c>
      <c r="F9" s="1" t="s">
        <v>70</v>
      </c>
      <c r="G9">
        <v>0</v>
      </c>
      <c r="H9" s="1" t="s">
        <v>26</v>
      </c>
      <c r="I9" s="1" t="s">
        <v>85</v>
      </c>
      <c r="J9">
        <v>12.5</v>
      </c>
      <c r="K9">
        <v>34.99</v>
      </c>
      <c r="L9" s="1" t="s">
        <v>60</v>
      </c>
      <c r="M9" s="1" t="s">
        <v>29</v>
      </c>
      <c r="N9" s="1" t="s">
        <v>30</v>
      </c>
      <c r="O9" s="1" t="s">
        <v>31</v>
      </c>
      <c r="P9" s="2">
        <v>45778</v>
      </c>
      <c r="Q9" s="1" t="s">
        <v>86</v>
      </c>
      <c r="R9" s="1" t="s">
        <v>87</v>
      </c>
      <c r="S9" s="1" t="s">
        <v>88</v>
      </c>
      <c r="T9" s="1" t="s">
        <v>35</v>
      </c>
      <c r="U9" s="1" t="s">
        <v>36</v>
      </c>
      <c r="V9" s="1" t="s">
        <v>89</v>
      </c>
      <c r="W9">
        <v>2.4</v>
      </c>
      <c r="X9" s="1" t="str">
        <f t="shared" si="0"/>
        <v>gabriela.torres118@mail.com</v>
      </c>
      <c r="Y9" s="1" t="str">
        <f>INDEX(V:V,MATCH(orders_desnormalizado_prueba3[[#This Row],[acquisition_channel]],U:U,0))</f>
        <v>Bodega Propia CO - envio 2-3 dias</v>
      </c>
      <c r="Z9" s="1" t="str">
        <f>INDEX(T:T,MATCH(orders_desnormalizado_prueba3[[#This Row],[shipping_cost]],W:W,0))</f>
        <v>Colombia</v>
      </c>
      <c r="AA9" s="1" t="str">
        <f t="shared" si="1"/>
        <v>Cartagena</v>
      </c>
      <c r="AB9" s="1"/>
      <c r="AC9" s="1" t="str">
        <f t="shared" si="2"/>
        <v xml:space="preserve"> </v>
      </c>
    </row>
    <row r="10" spans="1:29" x14ac:dyDescent="0.3">
      <c r="A10" s="1" t="s">
        <v>90</v>
      </c>
      <c r="B10">
        <v>1</v>
      </c>
      <c r="C10">
        <v>21.99</v>
      </c>
      <c r="D10">
        <v>21.99</v>
      </c>
      <c r="E10" s="1" t="s">
        <v>91</v>
      </c>
      <c r="F10" s="1" t="s">
        <v>40</v>
      </c>
      <c r="G10">
        <v>3</v>
      </c>
      <c r="H10" s="1" t="s">
        <v>58</v>
      </c>
      <c r="I10" s="1" t="s">
        <v>27</v>
      </c>
      <c r="J10">
        <v>7</v>
      </c>
      <c r="K10">
        <v>21.99</v>
      </c>
      <c r="L10" s="1" t="s">
        <v>28</v>
      </c>
      <c r="M10" s="1" t="s">
        <v>29</v>
      </c>
      <c r="N10" s="1" t="s">
        <v>30</v>
      </c>
      <c r="O10" s="1" t="s">
        <v>31</v>
      </c>
      <c r="P10" s="2">
        <v>45778</v>
      </c>
      <c r="Q10" s="1" t="s">
        <v>92</v>
      </c>
      <c r="R10" s="1" t="s">
        <v>93</v>
      </c>
      <c r="S10" s="1" t="s">
        <v>65</v>
      </c>
      <c r="T10" s="1" t="s">
        <v>35</v>
      </c>
      <c r="U10" s="1" t="s">
        <v>82</v>
      </c>
      <c r="V10" s="1" t="s">
        <v>37</v>
      </c>
      <c r="W10">
        <v>2</v>
      </c>
      <c r="X10" s="1" t="str">
        <f t="shared" si="0"/>
        <v>gabriela.gomez164@mail.com</v>
      </c>
      <c r="Y10" s="1" t="str">
        <f>INDEX(V:V,MATCH(orders_desnormalizado_prueba3[[#This Row],[acquisition_channel]],U:U,0))</f>
        <v>Bodega Propia CO - envio 2-3 dias</v>
      </c>
      <c r="Z10" s="1" t="str">
        <f>INDEX(T:T,MATCH(orders_desnormalizado_prueba3[[#This Row],[shipping_cost]],W:W,0))</f>
        <v>Colombia</v>
      </c>
      <c r="AA10" s="1" t="str">
        <f t="shared" si="1"/>
        <v>Barranquilla</v>
      </c>
      <c r="AB10" s="1"/>
      <c r="AC10" s="1" t="str">
        <f t="shared" si="2"/>
        <v xml:space="preserve"> </v>
      </c>
    </row>
    <row r="11" spans="1:29" x14ac:dyDescent="0.3">
      <c r="A11" s="1" t="s">
        <v>94</v>
      </c>
      <c r="B11">
        <v>1</v>
      </c>
      <c r="C11">
        <v>18.989999999999998</v>
      </c>
      <c r="D11">
        <v>18.989999999999998</v>
      </c>
      <c r="E11" s="1" t="s">
        <v>95</v>
      </c>
      <c r="F11" s="1" t="s">
        <v>40</v>
      </c>
      <c r="G11">
        <v>15</v>
      </c>
      <c r="H11" s="1" t="s">
        <v>96</v>
      </c>
      <c r="I11" s="1" t="s">
        <v>97</v>
      </c>
      <c r="J11">
        <v>6</v>
      </c>
      <c r="K11">
        <v>18.989999999999998</v>
      </c>
      <c r="L11" s="1" t="s">
        <v>60</v>
      </c>
      <c r="M11" s="1" t="s">
        <v>43</v>
      </c>
      <c r="N11" s="1" t="s">
        <v>44</v>
      </c>
      <c r="O11" s="1" t="s">
        <v>31</v>
      </c>
      <c r="P11" s="2">
        <v>45823</v>
      </c>
      <c r="Q11" s="1" t="s">
        <v>98</v>
      </c>
      <c r="R11" s="1" t="s">
        <v>99</v>
      </c>
      <c r="S11" s="1" t="s">
        <v>47</v>
      </c>
      <c r="T11" s="1" t="s">
        <v>35</v>
      </c>
      <c r="U11" s="1" t="s">
        <v>66</v>
      </c>
      <c r="V11" s="1" t="s">
        <v>100</v>
      </c>
      <c r="W11">
        <v>3.2</v>
      </c>
      <c r="X11" s="1" t="str">
        <f t="shared" si="0"/>
        <v>david.perez76@mail.com</v>
      </c>
      <c r="Y11" s="1" t="str">
        <f>INDEX(V:V,MATCH(orders_desnormalizado_prueba3[[#This Row],[acquisition_channel]],U:U,0))</f>
        <v>AliDropship CN - envio 15-20 dias</v>
      </c>
      <c r="Z11" s="1" t="str">
        <f>INDEX(T:T,MATCH(orders_desnormalizado_prueba3[[#This Row],[shipping_cost]],W:W,0))</f>
        <v>Colombia</v>
      </c>
      <c r="AA11" s="1" t="str">
        <f t="shared" si="1"/>
        <v>Barranquilla</v>
      </c>
      <c r="AB11" s="1"/>
      <c r="AC11" s="1" t="str">
        <f t="shared" si="2"/>
        <v xml:space="preserve"> </v>
      </c>
    </row>
    <row r="12" spans="1:29" x14ac:dyDescent="0.3">
      <c r="A12" s="1" t="s">
        <v>101</v>
      </c>
      <c r="B12">
        <v>1</v>
      </c>
      <c r="C12">
        <v>34.99</v>
      </c>
      <c r="D12">
        <v>34.99</v>
      </c>
      <c r="E12" s="1" t="s">
        <v>102</v>
      </c>
      <c r="F12" s="1" t="s">
        <v>51</v>
      </c>
      <c r="G12">
        <v>0</v>
      </c>
      <c r="H12" s="1" t="s">
        <v>58</v>
      </c>
      <c r="I12" s="1" t="s">
        <v>85</v>
      </c>
      <c r="J12">
        <v>12.5</v>
      </c>
      <c r="K12">
        <v>34.99</v>
      </c>
      <c r="L12" s="1" t="s">
        <v>60</v>
      </c>
      <c r="M12" s="1" t="s">
        <v>29</v>
      </c>
      <c r="N12" s="1" t="s">
        <v>30</v>
      </c>
      <c r="O12" s="1" t="s">
        <v>31</v>
      </c>
      <c r="P12" s="2">
        <v>45778</v>
      </c>
      <c r="Q12" s="1" t="s">
        <v>103</v>
      </c>
      <c r="R12" s="1" t="s">
        <v>104</v>
      </c>
      <c r="S12" s="1" t="s">
        <v>105</v>
      </c>
      <c r="T12" s="1" t="s">
        <v>35</v>
      </c>
      <c r="U12" s="1" t="s">
        <v>55</v>
      </c>
      <c r="V12" s="1" t="s">
        <v>89</v>
      </c>
      <c r="W12">
        <v>2.4</v>
      </c>
      <c r="X12" s="1" t="str">
        <f t="shared" si="0"/>
        <v>miguel.castro159@mail.com</v>
      </c>
      <c r="Y12" s="1" t="str">
        <f>INDEX(V:V,MATCH(orders_desnormalizado_prueba3[[#This Row],[acquisition_channel]],U:U,0))</f>
        <v>Bodega Propia CO - envio 2-3 dias</v>
      </c>
      <c r="Z12" s="1" t="str">
        <f>INDEX(T:T,MATCH(orders_desnormalizado_prueba3[[#This Row],[shipping_cost]],W:W,0))</f>
        <v>Colombia</v>
      </c>
      <c r="AA12" s="1" t="str">
        <f t="shared" si="1"/>
        <v>Cartagena</v>
      </c>
      <c r="AB12" s="1"/>
      <c r="AC12" s="1" t="str">
        <f t="shared" si="2"/>
        <v xml:space="preserve"> </v>
      </c>
    </row>
    <row r="13" spans="1:29" x14ac:dyDescent="0.3">
      <c r="A13" s="1" t="s">
        <v>106</v>
      </c>
      <c r="B13">
        <v>3</v>
      </c>
      <c r="C13">
        <v>21.99</v>
      </c>
      <c r="D13">
        <v>52.48</v>
      </c>
      <c r="E13" s="1" t="s">
        <v>107</v>
      </c>
      <c r="F13" s="1" t="s">
        <v>40</v>
      </c>
      <c r="G13">
        <v>3</v>
      </c>
      <c r="H13" s="1" t="s">
        <v>26</v>
      </c>
      <c r="I13" s="1" t="s">
        <v>27</v>
      </c>
      <c r="J13">
        <v>7</v>
      </c>
      <c r="K13">
        <v>21.99</v>
      </c>
      <c r="L13" s="1" t="s">
        <v>28</v>
      </c>
      <c r="M13" s="1" t="s">
        <v>29</v>
      </c>
      <c r="N13" s="1" t="s">
        <v>30</v>
      </c>
      <c r="O13" s="1" t="s">
        <v>31</v>
      </c>
      <c r="P13" s="2">
        <v>45778</v>
      </c>
      <c r="Q13" s="1" t="s">
        <v>98</v>
      </c>
      <c r="R13" s="1" t="s">
        <v>99</v>
      </c>
      <c r="S13" s="1" t="s">
        <v>47</v>
      </c>
      <c r="T13" s="1" t="s">
        <v>35</v>
      </c>
      <c r="U13" s="1" t="s">
        <v>66</v>
      </c>
      <c r="V13" s="1" t="s">
        <v>37</v>
      </c>
      <c r="W13">
        <v>2</v>
      </c>
      <c r="X13" s="1" t="str">
        <f t="shared" si="0"/>
        <v>david.perez76@mail.com</v>
      </c>
      <c r="Y13" s="1" t="str">
        <f>INDEX(V:V,MATCH(orders_desnormalizado_prueba3[[#This Row],[acquisition_channel]],U:U,0))</f>
        <v>AliDropship CN - envio 15-20 dias</v>
      </c>
      <c r="Z13" s="1" t="str">
        <f>INDEX(T:T,MATCH(orders_desnormalizado_prueba3[[#This Row],[shipping_cost]],W:W,0))</f>
        <v>Colombia</v>
      </c>
      <c r="AA13" s="1" t="str">
        <f t="shared" si="1"/>
        <v>Barranquilla</v>
      </c>
      <c r="AB13" s="1"/>
      <c r="AC13" s="1" t="str">
        <f t="shared" si="2"/>
        <v xml:space="preserve"> </v>
      </c>
    </row>
    <row r="14" spans="1:29" x14ac:dyDescent="0.3">
      <c r="A14" s="1" t="s">
        <v>108</v>
      </c>
      <c r="B14">
        <v>3</v>
      </c>
      <c r="C14">
        <v>21.99</v>
      </c>
      <c r="D14">
        <v>52.48</v>
      </c>
      <c r="E14" s="1" t="s">
        <v>109</v>
      </c>
      <c r="F14" s="1" t="s">
        <v>40</v>
      </c>
      <c r="G14">
        <v>3</v>
      </c>
      <c r="H14" s="1" t="s">
        <v>58</v>
      </c>
      <c r="I14" s="1" t="s">
        <v>27</v>
      </c>
      <c r="J14">
        <v>7</v>
      </c>
      <c r="K14">
        <v>21.99</v>
      </c>
      <c r="L14" s="1" t="s">
        <v>28</v>
      </c>
      <c r="M14" s="1" t="s">
        <v>29</v>
      </c>
      <c r="N14" s="1" t="s">
        <v>30</v>
      </c>
      <c r="O14" s="1" t="s">
        <v>31</v>
      </c>
      <c r="P14" s="2">
        <v>45778</v>
      </c>
      <c r="Q14" s="1" t="s">
        <v>110</v>
      </c>
      <c r="R14" s="1" t="s">
        <v>111</v>
      </c>
      <c r="S14" s="1" t="s">
        <v>47</v>
      </c>
      <c r="T14" s="1" t="s">
        <v>35</v>
      </c>
      <c r="U14" s="1" t="s">
        <v>36</v>
      </c>
      <c r="V14" s="1" t="s">
        <v>37</v>
      </c>
      <c r="W14">
        <v>2</v>
      </c>
      <c r="X14" s="1" t="str">
        <f t="shared" si="0"/>
        <v>santiago.torres30@mail.com</v>
      </c>
      <c r="Y14" s="1" t="str">
        <f>INDEX(V:V,MATCH(orders_desnormalizado_prueba3[[#This Row],[acquisition_channel]],U:U,0))</f>
        <v>Bodega Propia CO - envio 2-3 dias</v>
      </c>
      <c r="Z14" s="1" t="str">
        <f>INDEX(T:T,MATCH(orders_desnormalizado_prueba3[[#This Row],[shipping_cost]],W:W,0))</f>
        <v>Colombia</v>
      </c>
      <c r="AA14" s="1" t="str">
        <f t="shared" si="1"/>
        <v>Barranquilla</v>
      </c>
      <c r="AB14" s="1"/>
      <c r="AC14" s="1" t="str">
        <f t="shared" si="2"/>
        <v xml:space="preserve"> </v>
      </c>
    </row>
    <row r="15" spans="1:29" x14ac:dyDescent="0.3">
      <c r="A15" s="1" t="s">
        <v>112</v>
      </c>
      <c r="B15">
        <v>3</v>
      </c>
      <c r="C15">
        <v>21.99</v>
      </c>
      <c r="D15">
        <v>52.48</v>
      </c>
      <c r="E15" s="1" t="s">
        <v>113</v>
      </c>
      <c r="F15" s="1" t="s">
        <v>40</v>
      </c>
      <c r="G15">
        <v>2</v>
      </c>
      <c r="H15" s="1" t="s">
        <v>26</v>
      </c>
      <c r="I15" s="1" t="s">
        <v>27</v>
      </c>
      <c r="J15">
        <v>7</v>
      </c>
      <c r="K15">
        <v>21.99</v>
      </c>
      <c r="L15" s="1" t="s">
        <v>28</v>
      </c>
      <c r="M15" s="1" t="s">
        <v>29</v>
      </c>
      <c r="N15" s="1" t="s">
        <v>30</v>
      </c>
      <c r="O15" s="1" t="s">
        <v>31</v>
      </c>
      <c r="P15" s="2">
        <v>45778</v>
      </c>
      <c r="Q15" s="1" t="s">
        <v>114</v>
      </c>
      <c r="R15" s="1" t="s">
        <v>115</v>
      </c>
      <c r="S15" s="1" t="s">
        <v>54</v>
      </c>
      <c r="T15" s="1" t="s">
        <v>35</v>
      </c>
      <c r="U15" s="1" t="s">
        <v>82</v>
      </c>
      <c r="V15" s="1" t="s">
        <v>37</v>
      </c>
      <c r="W15">
        <v>2</v>
      </c>
      <c r="X15" s="1" t="str">
        <f t="shared" si="0"/>
        <v>paula.diaz150@mail.com</v>
      </c>
      <c r="Y15" s="1" t="str">
        <f>INDEX(V:V,MATCH(orders_desnormalizado_prueba3[[#This Row],[acquisition_channel]],U:U,0))</f>
        <v>Bodega Propia CO - envio 2-3 dias</v>
      </c>
      <c r="Z15" s="1" t="str">
        <f>INDEX(T:T,MATCH(orders_desnormalizado_prueba3[[#This Row],[shipping_cost]],W:W,0))</f>
        <v>Colombia</v>
      </c>
      <c r="AA15" s="1" t="str">
        <f t="shared" si="1"/>
        <v>Medellin</v>
      </c>
      <c r="AB15" s="1"/>
      <c r="AC15" s="1" t="str">
        <f t="shared" si="2"/>
        <v xml:space="preserve"> </v>
      </c>
    </row>
    <row r="16" spans="1:29" x14ac:dyDescent="0.3">
      <c r="A16" s="1" t="s">
        <v>116</v>
      </c>
      <c r="B16">
        <v>3</v>
      </c>
      <c r="C16">
        <v>27.99</v>
      </c>
      <c r="D16">
        <v>66.88</v>
      </c>
      <c r="E16" s="1" t="s">
        <v>117</v>
      </c>
      <c r="F16" s="1" t="s">
        <v>40</v>
      </c>
      <c r="G16">
        <v>3</v>
      </c>
      <c r="H16" s="1" t="s">
        <v>41</v>
      </c>
      <c r="I16" s="1" t="s">
        <v>75</v>
      </c>
      <c r="J16">
        <v>9</v>
      </c>
      <c r="K16">
        <v>27.99</v>
      </c>
      <c r="L16" s="1" t="s">
        <v>28</v>
      </c>
      <c r="M16" s="1" t="s">
        <v>61</v>
      </c>
      <c r="N16" s="1" t="s">
        <v>62</v>
      </c>
      <c r="O16" s="1" t="s">
        <v>31</v>
      </c>
      <c r="P16" s="2">
        <v>45726</v>
      </c>
      <c r="Q16" s="1" t="s">
        <v>118</v>
      </c>
      <c r="R16" s="1" t="s">
        <v>119</v>
      </c>
      <c r="S16" s="1" t="s">
        <v>105</v>
      </c>
      <c r="T16" s="1" t="s">
        <v>35</v>
      </c>
      <c r="U16" s="1" t="s">
        <v>66</v>
      </c>
      <c r="V16" s="1" t="s">
        <v>37</v>
      </c>
      <c r="W16">
        <v>2</v>
      </c>
      <c r="X16" s="1" t="str">
        <f t="shared" si="0"/>
        <v>camila.torres36@mail.com</v>
      </c>
      <c r="Y16" s="1" t="str">
        <f>INDEX(V:V,MATCH(orders_desnormalizado_prueba3[[#This Row],[acquisition_channel]],U:U,0))</f>
        <v>AliDropship CN - envio 15-20 dias</v>
      </c>
      <c r="Z16" s="1" t="str">
        <f>INDEX(T:T,MATCH(orders_desnormalizado_prueba3[[#This Row],[shipping_cost]],W:W,0))</f>
        <v>Colombia</v>
      </c>
      <c r="AA16" s="1" t="str">
        <f t="shared" si="1"/>
        <v>Barranquilla</v>
      </c>
      <c r="AB16" s="1"/>
      <c r="AC16" s="1" t="str">
        <f t="shared" si="2"/>
        <v xml:space="preserve"> </v>
      </c>
    </row>
    <row r="17" spans="1:29" x14ac:dyDescent="0.3">
      <c r="A17" s="1" t="s">
        <v>120</v>
      </c>
      <c r="B17">
        <v>2</v>
      </c>
      <c r="C17">
        <v>30.99</v>
      </c>
      <c r="D17">
        <v>53.78</v>
      </c>
      <c r="E17" s="1" t="s">
        <v>121</v>
      </c>
      <c r="F17" s="1" t="s">
        <v>70</v>
      </c>
      <c r="G17">
        <v>0</v>
      </c>
      <c r="H17" s="1" t="s">
        <v>58</v>
      </c>
      <c r="I17" s="1" t="s">
        <v>42</v>
      </c>
      <c r="J17">
        <v>10.5</v>
      </c>
      <c r="K17">
        <v>30.99</v>
      </c>
      <c r="L17" s="1" t="s">
        <v>28</v>
      </c>
      <c r="M17" s="1" t="s">
        <v>43</v>
      </c>
      <c r="N17" s="1" t="s">
        <v>44</v>
      </c>
      <c r="O17" s="1" t="s">
        <v>31</v>
      </c>
      <c r="P17" s="2">
        <v>45823</v>
      </c>
      <c r="Q17" s="1" t="s">
        <v>122</v>
      </c>
      <c r="R17" s="1" t="s">
        <v>123</v>
      </c>
      <c r="S17" s="1" t="s">
        <v>65</v>
      </c>
      <c r="T17" s="1" t="s">
        <v>35</v>
      </c>
      <c r="U17" s="1" t="s">
        <v>82</v>
      </c>
      <c r="V17" s="1" t="s">
        <v>37</v>
      </c>
      <c r="W17">
        <v>2</v>
      </c>
      <c r="X17" s="1" t="str">
        <f t="shared" si="0"/>
        <v>camila.rodriguez108@mail.com</v>
      </c>
      <c r="Y17" s="1" t="str">
        <f>INDEX(V:V,MATCH(orders_desnormalizado_prueba3[[#This Row],[acquisition_channel]],U:U,0))</f>
        <v>Bodega Propia CO - envio 2-3 dias</v>
      </c>
      <c r="Z17" s="1" t="str">
        <f>INDEX(T:T,MATCH(orders_desnormalizado_prueba3[[#This Row],[shipping_cost]],W:W,0))</f>
        <v>Colombia</v>
      </c>
      <c r="AA17" s="1" t="str">
        <f t="shared" si="1"/>
        <v>Cartagena</v>
      </c>
      <c r="AB17" s="1"/>
      <c r="AC17" s="1" t="str">
        <f t="shared" si="2"/>
        <v xml:space="preserve"> </v>
      </c>
    </row>
    <row r="18" spans="1:29" x14ac:dyDescent="0.3">
      <c r="A18" s="1" t="s">
        <v>124</v>
      </c>
      <c r="B18">
        <v>1</v>
      </c>
      <c r="C18">
        <v>16.989999999999998</v>
      </c>
      <c r="D18">
        <v>16.989999999999998</v>
      </c>
      <c r="E18" s="1" t="s">
        <v>113</v>
      </c>
      <c r="F18" s="1" t="s">
        <v>40</v>
      </c>
      <c r="G18">
        <v>20</v>
      </c>
      <c r="H18" s="1" t="s">
        <v>26</v>
      </c>
      <c r="I18" s="1" t="s">
        <v>59</v>
      </c>
      <c r="J18">
        <v>5</v>
      </c>
      <c r="K18">
        <v>16.989999999999998</v>
      </c>
      <c r="L18" s="1" t="s">
        <v>60</v>
      </c>
      <c r="M18" s="1" t="s">
        <v>61</v>
      </c>
      <c r="N18" s="1" t="s">
        <v>62</v>
      </c>
      <c r="O18" s="1" t="s">
        <v>31</v>
      </c>
      <c r="P18" s="2">
        <v>45726</v>
      </c>
      <c r="Q18" s="1" t="s">
        <v>125</v>
      </c>
      <c r="R18" s="1" t="s">
        <v>126</v>
      </c>
      <c r="S18" s="1" t="s">
        <v>88</v>
      </c>
      <c r="T18" s="1" t="s">
        <v>35</v>
      </c>
      <c r="U18" s="1" t="s">
        <v>48</v>
      </c>
      <c r="V18" s="1" t="s">
        <v>67</v>
      </c>
      <c r="W18">
        <v>3</v>
      </c>
      <c r="X18" s="1" t="str">
        <f t="shared" si="0"/>
        <v>laura.diaz93@mail.com</v>
      </c>
      <c r="Y18" s="1" t="str">
        <f>INDEX(V:V,MATCH(orders_desnormalizado_prueba3[[#This Row],[acquisition_channel]],U:U,0))</f>
        <v>Bodega Propia CO - envio 2-3 dias</v>
      </c>
      <c r="Z18" s="1" t="str">
        <f>INDEX(T:T,MATCH(orders_desnormalizado_prueba3[[#This Row],[shipping_cost]],W:W,0))</f>
        <v>Colombia</v>
      </c>
      <c r="AA18" s="1" t="str">
        <f t="shared" si="1"/>
        <v>Bucaramanga</v>
      </c>
      <c r="AB18" s="1"/>
      <c r="AC18" s="1" t="str">
        <f t="shared" si="2"/>
        <v xml:space="preserve"> </v>
      </c>
    </row>
    <row r="19" spans="1:29" x14ac:dyDescent="0.3">
      <c r="A19" s="1" t="s">
        <v>127</v>
      </c>
      <c r="B19">
        <v>1</v>
      </c>
      <c r="C19">
        <v>18.989999999999998</v>
      </c>
      <c r="D19">
        <v>18.989999999999998</v>
      </c>
      <c r="E19" s="1" t="s">
        <v>128</v>
      </c>
      <c r="F19" s="1" t="s">
        <v>51</v>
      </c>
      <c r="G19">
        <v>0</v>
      </c>
      <c r="H19" s="1" t="s">
        <v>26</v>
      </c>
      <c r="I19" s="1" t="s">
        <v>97</v>
      </c>
      <c r="J19">
        <v>6</v>
      </c>
      <c r="K19">
        <v>18.989999999999998</v>
      </c>
      <c r="L19" s="1" t="s">
        <v>60</v>
      </c>
      <c r="M19" s="1" t="s">
        <v>43</v>
      </c>
      <c r="N19" s="1" t="s">
        <v>44</v>
      </c>
      <c r="O19" s="1" t="s">
        <v>31</v>
      </c>
      <c r="P19" s="2">
        <v>45823</v>
      </c>
      <c r="Q19" s="1" t="s">
        <v>129</v>
      </c>
      <c r="R19" s="1" t="s">
        <v>130</v>
      </c>
      <c r="S19" s="1" t="s">
        <v>34</v>
      </c>
      <c r="T19" s="1" t="s">
        <v>35</v>
      </c>
      <c r="U19" s="1" t="s">
        <v>55</v>
      </c>
      <c r="V19" s="1" t="s">
        <v>100</v>
      </c>
      <c r="W19">
        <v>3.2</v>
      </c>
      <c r="X19" s="1" t="str">
        <f t="shared" si="0"/>
        <v>andres.rodriguez24@mail.com</v>
      </c>
      <c r="Y19" s="1" t="str">
        <f>INDEX(V:V,MATCH(orders_desnormalizado_prueba3[[#This Row],[acquisition_channel]],U:U,0))</f>
        <v>Bodega Propia CO - envio 2-3 dias</v>
      </c>
      <c r="Z19" s="1" t="str">
        <f>INDEX(T:T,MATCH(orders_desnormalizado_prueba3[[#This Row],[shipping_cost]],W:W,0))</f>
        <v>Colombia</v>
      </c>
      <c r="AA19" s="1" t="str">
        <f t="shared" si="1"/>
        <v>Cartagena</v>
      </c>
      <c r="AB19" s="1"/>
      <c r="AC19" s="1" t="str">
        <f t="shared" si="2"/>
        <v xml:space="preserve"> </v>
      </c>
    </row>
    <row r="20" spans="1:29" x14ac:dyDescent="0.3">
      <c r="A20" s="1" t="s">
        <v>131</v>
      </c>
      <c r="B20">
        <v>2</v>
      </c>
      <c r="C20">
        <v>18.989999999999998</v>
      </c>
      <c r="D20">
        <v>32.78</v>
      </c>
      <c r="E20" s="1" t="s">
        <v>132</v>
      </c>
      <c r="F20" s="1" t="s">
        <v>51</v>
      </c>
      <c r="G20">
        <v>0</v>
      </c>
      <c r="H20" s="1" t="s">
        <v>96</v>
      </c>
      <c r="I20" s="1" t="s">
        <v>97</v>
      </c>
      <c r="J20">
        <v>6</v>
      </c>
      <c r="K20">
        <v>18.989999999999998</v>
      </c>
      <c r="L20" s="1" t="s">
        <v>60</v>
      </c>
      <c r="M20" s="1" t="s">
        <v>43</v>
      </c>
      <c r="N20" s="1" t="s">
        <v>44</v>
      </c>
      <c r="O20" s="1" t="s">
        <v>31</v>
      </c>
      <c r="P20" s="2">
        <v>45823</v>
      </c>
      <c r="Q20" s="1" t="s">
        <v>133</v>
      </c>
      <c r="R20" s="1" t="s">
        <v>134</v>
      </c>
      <c r="S20" s="1" t="s">
        <v>65</v>
      </c>
      <c r="T20" s="1" t="s">
        <v>35</v>
      </c>
      <c r="U20" s="1" t="s">
        <v>66</v>
      </c>
      <c r="V20" s="1" t="s">
        <v>100</v>
      </c>
      <c r="W20">
        <v>3.2</v>
      </c>
      <c r="X20" s="1" t="str">
        <f t="shared" si="0"/>
        <v>isabella.diaz18@mail.com</v>
      </c>
      <c r="Y20" s="1" t="str">
        <f>INDEX(V:V,MATCH(orders_desnormalizado_prueba3[[#This Row],[acquisition_channel]],U:U,0))</f>
        <v>AliDropship CN - envio 15-20 dias</v>
      </c>
      <c r="Z20" s="1" t="str">
        <f>INDEX(T:T,MATCH(orders_desnormalizado_prueba3[[#This Row],[shipping_cost]],W:W,0))</f>
        <v>Colombia</v>
      </c>
      <c r="AA20" s="1" t="str">
        <f t="shared" si="1"/>
        <v>Cartagena</v>
      </c>
      <c r="AB20" s="1"/>
      <c r="AC20" s="1" t="str">
        <f t="shared" si="2"/>
        <v xml:space="preserve"> </v>
      </c>
    </row>
    <row r="21" spans="1:29" x14ac:dyDescent="0.3">
      <c r="A21" s="1" t="s">
        <v>135</v>
      </c>
      <c r="B21">
        <v>1</v>
      </c>
      <c r="C21">
        <v>27.99</v>
      </c>
      <c r="D21">
        <v>27.99</v>
      </c>
      <c r="E21" s="1" t="s">
        <v>136</v>
      </c>
      <c r="F21" s="1" t="s">
        <v>51</v>
      </c>
      <c r="G21">
        <v>0</v>
      </c>
      <c r="H21" s="1" t="s">
        <v>41</v>
      </c>
      <c r="I21" s="1" t="s">
        <v>75</v>
      </c>
      <c r="J21">
        <v>9</v>
      </c>
      <c r="K21">
        <v>27.99</v>
      </c>
      <c r="L21" s="1" t="s">
        <v>28</v>
      </c>
      <c r="M21" s="1" t="s">
        <v>61</v>
      </c>
      <c r="N21" s="1" t="s">
        <v>62</v>
      </c>
      <c r="O21" s="1" t="s">
        <v>31</v>
      </c>
      <c r="P21" s="2">
        <v>45726</v>
      </c>
      <c r="Q21" s="1" t="s">
        <v>137</v>
      </c>
      <c r="R21" s="1" t="s">
        <v>138</v>
      </c>
      <c r="S21" s="1" t="s">
        <v>34</v>
      </c>
      <c r="T21" s="1" t="s">
        <v>35</v>
      </c>
      <c r="U21" s="1" t="s">
        <v>82</v>
      </c>
      <c r="V21" s="1" t="s">
        <v>37</v>
      </c>
      <c r="W21">
        <v>2</v>
      </c>
      <c r="X21" s="1" t="str">
        <f t="shared" si="0"/>
        <v>camila.martinez65@mail.com</v>
      </c>
      <c r="Y21" s="1" t="str">
        <f>INDEX(V:V,MATCH(orders_desnormalizado_prueba3[[#This Row],[acquisition_channel]],U:U,0))</f>
        <v>Bodega Propia CO - envio 2-3 dias</v>
      </c>
      <c r="Z21" s="1" t="str">
        <f>INDEX(T:T,MATCH(orders_desnormalizado_prueba3[[#This Row],[shipping_cost]],W:W,0))</f>
        <v>Colombia</v>
      </c>
      <c r="AA21" s="1" t="str">
        <f t="shared" si="1"/>
        <v>Cartagena</v>
      </c>
      <c r="AB21" s="1"/>
      <c r="AC21" s="1" t="str">
        <f t="shared" si="2"/>
        <v xml:space="preserve"> </v>
      </c>
    </row>
    <row r="22" spans="1:29" x14ac:dyDescent="0.3">
      <c r="A22" s="1" t="s">
        <v>139</v>
      </c>
      <c r="B22">
        <v>1</v>
      </c>
      <c r="C22">
        <v>18.989999999999998</v>
      </c>
      <c r="D22">
        <v>18.989999999999998</v>
      </c>
      <c r="E22" s="1" t="s">
        <v>107</v>
      </c>
      <c r="F22" s="1" t="s">
        <v>40</v>
      </c>
      <c r="G22">
        <v>12</v>
      </c>
      <c r="H22" s="1" t="s">
        <v>96</v>
      </c>
      <c r="I22" s="1" t="s">
        <v>97</v>
      </c>
      <c r="J22">
        <v>6</v>
      </c>
      <c r="K22">
        <v>18.989999999999998</v>
      </c>
      <c r="L22" s="1" t="s">
        <v>60</v>
      </c>
      <c r="M22" s="1" t="s">
        <v>43</v>
      </c>
      <c r="N22" s="1" t="s">
        <v>44</v>
      </c>
      <c r="O22" s="1" t="s">
        <v>31</v>
      </c>
      <c r="P22" s="2">
        <v>45823</v>
      </c>
      <c r="Q22" s="1" t="s">
        <v>140</v>
      </c>
      <c r="R22" s="1" t="s">
        <v>141</v>
      </c>
      <c r="S22" s="1" t="s">
        <v>54</v>
      </c>
      <c r="T22" s="1" t="s">
        <v>35</v>
      </c>
      <c r="U22" s="1" t="s">
        <v>55</v>
      </c>
      <c r="V22" s="1" t="s">
        <v>100</v>
      </c>
      <c r="W22">
        <v>3.2</v>
      </c>
      <c r="X22" s="1" t="str">
        <f t="shared" si="0"/>
        <v>david.rodriguez33@mail.com</v>
      </c>
      <c r="Y22" s="1" t="str">
        <f>INDEX(V:V,MATCH(orders_desnormalizado_prueba3[[#This Row],[acquisition_channel]],U:U,0))</f>
        <v>Bodega Propia CO - envio 2-3 dias</v>
      </c>
      <c r="Z22" s="1" t="str">
        <f>INDEX(T:T,MATCH(orders_desnormalizado_prueba3[[#This Row],[shipping_cost]],W:W,0))</f>
        <v>Colombia</v>
      </c>
      <c r="AA22" s="1" t="str">
        <f t="shared" si="1"/>
        <v>Cartagena</v>
      </c>
      <c r="AB22" s="1"/>
      <c r="AC22" s="1" t="str">
        <f t="shared" si="2"/>
        <v xml:space="preserve"> </v>
      </c>
    </row>
    <row r="23" spans="1:29" x14ac:dyDescent="0.3">
      <c r="A23" s="1" t="s">
        <v>142</v>
      </c>
      <c r="B23">
        <v>1</v>
      </c>
      <c r="C23">
        <v>30.99</v>
      </c>
      <c r="D23">
        <v>30.99</v>
      </c>
      <c r="E23" s="1" t="s">
        <v>143</v>
      </c>
      <c r="F23" s="1" t="s">
        <v>40</v>
      </c>
      <c r="G23">
        <v>2</v>
      </c>
      <c r="H23" s="1" t="s">
        <v>58</v>
      </c>
      <c r="I23" s="1" t="s">
        <v>42</v>
      </c>
      <c r="J23">
        <v>10.5</v>
      </c>
      <c r="K23">
        <v>30.99</v>
      </c>
      <c r="L23" s="1" t="s">
        <v>28</v>
      </c>
      <c r="M23" s="1" t="s">
        <v>43</v>
      </c>
      <c r="N23" s="1" t="s">
        <v>44</v>
      </c>
      <c r="O23" s="1" t="s">
        <v>31</v>
      </c>
      <c r="P23" s="2">
        <v>45823</v>
      </c>
      <c r="Q23" s="1" t="s">
        <v>76</v>
      </c>
      <c r="R23" s="1" t="s">
        <v>144</v>
      </c>
      <c r="S23" s="1" t="s">
        <v>34</v>
      </c>
      <c r="T23" s="1" t="s">
        <v>35</v>
      </c>
      <c r="U23" s="1" t="s">
        <v>66</v>
      </c>
      <c r="V23" s="1" t="s">
        <v>37</v>
      </c>
      <c r="W23">
        <v>2</v>
      </c>
      <c r="X23" s="1" t="str">
        <f t="shared" si="0"/>
        <v>david.gomez112@mail.com</v>
      </c>
      <c r="Y23" s="1" t="str">
        <f>INDEX(V:V,MATCH(orders_desnormalizado_prueba3[[#This Row],[acquisition_channel]],U:U,0))</f>
        <v>AliDropship CN - envio 15-20 dias</v>
      </c>
      <c r="Z23" s="1" t="str">
        <f>INDEX(T:T,MATCH(orders_desnormalizado_prueba3[[#This Row],[shipping_cost]],W:W,0))</f>
        <v>Colombia</v>
      </c>
      <c r="AA23" s="1" t="str">
        <f t="shared" si="1"/>
        <v>Medellin</v>
      </c>
      <c r="AB23" s="1"/>
      <c r="AC23" s="1" t="str">
        <f t="shared" si="2"/>
        <v xml:space="preserve"> </v>
      </c>
    </row>
    <row r="24" spans="1:29" x14ac:dyDescent="0.3">
      <c r="A24" s="1" t="s">
        <v>145</v>
      </c>
      <c r="B24">
        <v>3</v>
      </c>
      <c r="C24">
        <v>16.989999999999998</v>
      </c>
      <c r="D24">
        <v>40.18</v>
      </c>
      <c r="E24" s="1" t="s">
        <v>146</v>
      </c>
      <c r="F24" s="1" t="s">
        <v>51</v>
      </c>
      <c r="G24">
        <v>0</v>
      </c>
      <c r="H24" s="1" t="s">
        <v>26</v>
      </c>
      <c r="I24" s="1" t="s">
        <v>59</v>
      </c>
      <c r="J24">
        <v>5</v>
      </c>
      <c r="K24">
        <v>16.989999999999998</v>
      </c>
      <c r="L24" s="1" t="s">
        <v>60</v>
      </c>
      <c r="M24" s="1" t="s">
        <v>61</v>
      </c>
      <c r="N24" s="1" t="s">
        <v>62</v>
      </c>
      <c r="O24" s="1" t="s">
        <v>31</v>
      </c>
      <c r="P24" s="2">
        <v>45726</v>
      </c>
      <c r="Q24" s="1" t="s">
        <v>147</v>
      </c>
      <c r="R24" s="1" t="s">
        <v>148</v>
      </c>
      <c r="S24" s="1" t="s">
        <v>65</v>
      </c>
      <c r="T24" s="1" t="s">
        <v>35</v>
      </c>
      <c r="U24" s="1" t="s">
        <v>48</v>
      </c>
      <c r="V24" s="1" t="s">
        <v>67</v>
      </c>
      <c r="W24">
        <v>3</v>
      </c>
      <c r="X24" s="1" t="str">
        <f t="shared" si="0"/>
        <v>natalia.castro19@mail.com</v>
      </c>
      <c r="Y24" s="1" t="str">
        <f>INDEX(V:V,MATCH(orders_desnormalizado_prueba3[[#This Row],[acquisition_channel]],U:U,0))</f>
        <v>Bodega Propia CO - envio 2-3 dias</v>
      </c>
      <c r="Z24" s="1" t="str">
        <f>INDEX(T:T,MATCH(orders_desnormalizado_prueba3[[#This Row],[shipping_cost]],W:W,0))</f>
        <v>Colombia</v>
      </c>
      <c r="AA24" s="1" t="str">
        <f t="shared" si="1"/>
        <v>Cartagena</v>
      </c>
      <c r="AB24" s="1"/>
      <c r="AC24" s="1" t="str">
        <f t="shared" si="2"/>
        <v xml:space="preserve"> </v>
      </c>
    </row>
    <row r="25" spans="1:29" x14ac:dyDescent="0.3">
      <c r="A25" s="1" t="s">
        <v>149</v>
      </c>
      <c r="B25">
        <v>1</v>
      </c>
      <c r="C25">
        <v>27.99</v>
      </c>
      <c r="D25">
        <v>27.99</v>
      </c>
      <c r="E25" s="1" t="s">
        <v>136</v>
      </c>
      <c r="F25" s="1" t="s">
        <v>70</v>
      </c>
      <c r="G25">
        <v>0</v>
      </c>
      <c r="H25" s="1" t="s">
        <v>41</v>
      </c>
      <c r="I25" s="1" t="s">
        <v>75</v>
      </c>
      <c r="J25">
        <v>9</v>
      </c>
      <c r="K25">
        <v>27.99</v>
      </c>
      <c r="L25" s="1" t="s">
        <v>28</v>
      </c>
      <c r="M25" s="1" t="s">
        <v>61</v>
      </c>
      <c r="N25" s="1" t="s">
        <v>62</v>
      </c>
      <c r="O25" s="1" t="s">
        <v>31</v>
      </c>
      <c r="P25" s="2">
        <v>45726</v>
      </c>
      <c r="Q25" s="1" t="s">
        <v>150</v>
      </c>
      <c r="R25" s="1" t="s">
        <v>151</v>
      </c>
      <c r="S25" s="1" t="s">
        <v>105</v>
      </c>
      <c r="T25" s="1" t="s">
        <v>35</v>
      </c>
      <c r="U25" s="1" t="s">
        <v>55</v>
      </c>
      <c r="V25" s="1" t="s">
        <v>37</v>
      </c>
      <c r="W25">
        <v>2</v>
      </c>
      <c r="X25" s="1" t="str">
        <f t="shared" si="0"/>
        <v>diego.sanchez111@mail.com</v>
      </c>
      <c r="Y25" s="1" t="str">
        <f>INDEX(V:V,MATCH(orders_desnormalizado_prueba3[[#This Row],[acquisition_channel]],U:U,0))</f>
        <v>Bodega Propia CO - envio 2-3 dias</v>
      </c>
      <c r="Z25" s="1" t="str">
        <f>INDEX(T:T,MATCH(orders_desnormalizado_prueba3[[#This Row],[shipping_cost]],W:W,0))</f>
        <v>Colombia</v>
      </c>
      <c r="AA25" s="1" t="str">
        <f t="shared" si="1"/>
        <v>Cartagena</v>
      </c>
      <c r="AB25" s="1"/>
      <c r="AC25" s="1" t="str">
        <f t="shared" si="2"/>
        <v xml:space="preserve"> </v>
      </c>
    </row>
    <row r="26" spans="1:29" x14ac:dyDescent="0.3">
      <c r="A26" s="1" t="s">
        <v>152</v>
      </c>
      <c r="B26">
        <v>3</v>
      </c>
      <c r="C26">
        <v>21.99</v>
      </c>
      <c r="D26">
        <v>52.48</v>
      </c>
      <c r="E26" s="1" t="s">
        <v>74</v>
      </c>
      <c r="F26" s="1" t="s">
        <v>40</v>
      </c>
      <c r="G26">
        <v>3</v>
      </c>
      <c r="H26" s="1" t="s">
        <v>41</v>
      </c>
      <c r="I26" s="1" t="s">
        <v>27</v>
      </c>
      <c r="J26">
        <v>7</v>
      </c>
      <c r="K26">
        <v>21.99</v>
      </c>
      <c r="L26" s="1" t="s">
        <v>28</v>
      </c>
      <c r="M26" s="1" t="s">
        <v>29</v>
      </c>
      <c r="N26" s="1" t="s">
        <v>30</v>
      </c>
      <c r="O26" s="1" t="s">
        <v>31</v>
      </c>
      <c r="P26" s="2">
        <v>45778</v>
      </c>
      <c r="Q26" s="1" t="s">
        <v>153</v>
      </c>
      <c r="R26" s="1" t="s">
        <v>154</v>
      </c>
      <c r="S26" s="1" t="s">
        <v>105</v>
      </c>
      <c r="T26" s="1" t="s">
        <v>35</v>
      </c>
      <c r="U26" s="1" t="s">
        <v>48</v>
      </c>
      <c r="V26" s="1" t="s">
        <v>37</v>
      </c>
      <c r="W26">
        <v>2</v>
      </c>
      <c r="X26" s="1" t="str">
        <f t="shared" si="0"/>
        <v>juan.torres103@mail.com</v>
      </c>
      <c r="Y26" s="1" t="str">
        <f>INDEX(V:V,MATCH(orders_desnormalizado_prueba3[[#This Row],[acquisition_channel]],U:U,0))</f>
        <v>Bodega Propia CO - envio 2-3 dias</v>
      </c>
      <c r="Z26" s="1" t="str">
        <f>INDEX(T:T,MATCH(orders_desnormalizado_prueba3[[#This Row],[shipping_cost]],W:W,0))</f>
        <v>Colombia</v>
      </c>
      <c r="AA26" s="1" t="str">
        <f t="shared" si="1"/>
        <v>Barranquilla</v>
      </c>
      <c r="AB26" s="1"/>
      <c r="AC26" s="1" t="str">
        <f t="shared" si="2"/>
        <v xml:space="preserve"> </v>
      </c>
    </row>
    <row r="27" spans="1:29" x14ac:dyDescent="0.3">
      <c r="A27" s="1" t="s">
        <v>155</v>
      </c>
      <c r="B27">
        <v>1</v>
      </c>
      <c r="C27">
        <v>16.989999999999998</v>
      </c>
      <c r="D27">
        <v>16.989999999999998</v>
      </c>
      <c r="E27" s="1" t="s">
        <v>156</v>
      </c>
      <c r="F27" s="1" t="s">
        <v>40</v>
      </c>
      <c r="G27">
        <v>20</v>
      </c>
      <c r="H27" s="1" t="s">
        <v>96</v>
      </c>
      <c r="I27" s="1" t="s">
        <v>59</v>
      </c>
      <c r="J27">
        <v>5</v>
      </c>
      <c r="K27">
        <v>16.989999999999998</v>
      </c>
      <c r="L27" s="1" t="s">
        <v>60</v>
      </c>
      <c r="M27" s="1" t="s">
        <v>61</v>
      </c>
      <c r="N27" s="1" t="s">
        <v>62</v>
      </c>
      <c r="O27" s="1" t="s">
        <v>31</v>
      </c>
      <c r="P27" s="2">
        <v>45726</v>
      </c>
      <c r="Q27" s="1" t="s">
        <v>157</v>
      </c>
      <c r="R27" s="1" t="s">
        <v>158</v>
      </c>
      <c r="S27" s="1" t="s">
        <v>34</v>
      </c>
      <c r="T27" s="1" t="s">
        <v>35</v>
      </c>
      <c r="U27" s="1" t="s">
        <v>82</v>
      </c>
      <c r="V27" s="1" t="s">
        <v>67</v>
      </c>
      <c r="W27">
        <v>3</v>
      </c>
      <c r="X27" s="1" t="str">
        <f t="shared" si="0"/>
        <v>natalia.diaz96@mail.com</v>
      </c>
      <c r="Y27" s="1" t="str">
        <f>INDEX(V:V,MATCH(orders_desnormalizado_prueba3[[#This Row],[acquisition_channel]],U:U,0))</f>
        <v>Bodega Propia CO - envio 2-3 dias</v>
      </c>
      <c r="Z27" s="1" t="str">
        <f>INDEX(T:T,MATCH(orders_desnormalizado_prueba3[[#This Row],[shipping_cost]],W:W,0))</f>
        <v>Colombia</v>
      </c>
      <c r="AA27" s="1" t="str">
        <f t="shared" si="1"/>
        <v>Bucaramanga</v>
      </c>
      <c r="AB27" s="1"/>
      <c r="AC27" s="1" t="str">
        <f t="shared" si="2"/>
        <v xml:space="preserve"> </v>
      </c>
    </row>
    <row r="28" spans="1:29" x14ac:dyDescent="0.3">
      <c r="A28" s="1" t="s">
        <v>159</v>
      </c>
      <c r="B28">
        <v>1</v>
      </c>
      <c r="C28">
        <v>18.989999999999998</v>
      </c>
      <c r="D28">
        <v>18.989999999999998</v>
      </c>
      <c r="E28" s="1" t="s">
        <v>160</v>
      </c>
      <c r="F28" s="1" t="s">
        <v>40</v>
      </c>
      <c r="G28">
        <v>12</v>
      </c>
      <c r="H28" s="1" t="s">
        <v>58</v>
      </c>
      <c r="I28" s="1" t="s">
        <v>97</v>
      </c>
      <c r="J28">
        <v>6</v>
      </c>
      <c r="K28">
        <v>18.989999999999998</v>
      </c>
      <c r="L28" s="1" t="s">
        <v>60</v>
      </c>
      <c r="M28" s="1" t="s">
        <v>43</v>
      </c>
      <c r="N28" s="1" t="s">
        <v>44</v>
      </c>
      <c r="O28" s="1" t="s">
        <v>31</v>
      </c>
      <c r="P28" s="2">
        <v>45823</v>
      </c>
      <c r="Q28" s="1" t="s">
        <v>161</v>
      </c>
      <c r="R28" s="1" t="s">
        <v>162</v>
      </c>
      <c r="S28" s="1" t="s">
        <v>54</v>
      </c>
      <c r="T28" s="1" t="s">
        <v>35</v>
      </c>
      <c r="U28" s="1" t="s">
        <v>36</v>
      </c>
      <c r="V28" s="1" t="s">
        <v>100</v>
      </c>
      <c r="W28">
        <v>3.2</v>
      </c>
      <c r="X28" s="1" t="str">
        <f t="shared" si="0"/>
        <v>miguel.vargas74@mail.com</v>
      </c>
      <c r="Y28" s="1" t="str">
        <f>INDEX(V:V,MATCH(orders_desnormalizado_prueba3[[#This Row],[acquisition_channel]],U:U,0))</f>
        <v>Bodega Propia CO - envio 2-3 dias</v>
      </c>
      <c r="Z28" s="1" t="str">
        <f>INDEX(T:T,MATCH(orders_desnormalizado_prueba3[[#This Row],[shipping_cost]],W:W,0))</f>
        <v>Colombia</v>
      </c>
      <c r="AA28" s="1" t="str">
        <f t="shared" si="1"/>
        <v>Cartagena</v>
      </c>
      <c r="AB28" s="1"/>
      <c r="AC28" s="1" t="str">
        <f t="shared" si="2"/>
        <v xml:space="preserve"> </v>
      </c>
    </row>
    <row r="29" spans="1:29" x14ac:dyDescent="0.3">
      <c r="A29" s="1" t="s">
        <v>163</v>
      </c>
      <c r="B29">
        <v>3</v>
      </c>
      <c r="C29">
        <v>16.989999999999998</v>
      </c>
      <c r="D29">
        <v>40.18</v>
      </c>
      <c r="E29" s="1" t="s">
        <v>164</v>
      </c>
      <c r="F29" s="1" t="s">
        <v>51</v>
      </c>
      <c r="G29">
        <v>0</v>
      </c>
      <c r="H29" s="1" t="s">
        <v>96</v>
      </c>
      <c r="I29" s="1" t="s">
        <v>59</v>
      </c>
      <c r="J29">
        <v>5</v>
      </c>
      <c r="K29">
        <v>16.989999999999998</v>
      </c>
      <c r="L29" s="1" t="s">
        <v>60</v>
      </c>
      <c r="M29" s="1" t="s">
        <v>61</v>
      </c>
      <c r="N29" s="1" t="s">
        <v>62</v>
      </c>
      <c r="O29" s="1" t="s">
        <v>31</v>
      </c>
      <c r="P29" s="2">
        <v>45726</v>
      </c>
      <c r="Q29" s="1" t="s">
        <v>165</v>
      </c>
      <c r="R29" s="1" t="s">
        <v>166</v>
      </c>
      <c r="S29" s="1" t="s">
        <v>88</v>
      </c>
      <c r="T29" s="1" t="s">
        <v>35</v>
      </c>
      <c r="U29" s="1" t="s">
        <v>66</v>
      </c>
      <c r="V29" s="1" t="s">
        <v>67</v>
      </c>
      <c r="W29">
        <v>3</v>
      </c>
      <c r="X29" s="1" t="str">
        <f t="shared" si="0"/>
        <v>paula.sanchez95@mail.com</v>
      </c>
      <c r="Y29" s="1" t="str">
        <f>INDEX(V:V,MATCH(orders_desnormalizado_prueba3[[#This Row],[acquisition_channel]],U:U,0))</f>
        <v>AliDropship CN - envio 15-20 dias</v>
      </c>
      <c r="Z29" s="1" t="str">
        <f>INDEX(T:T,MATCH(orders_desnormalizado_prueba3[[#This Row],[shipping_cost]],W:W,0))</f>
        <v>Colombia</v>
      </c>
      <c r="AA29" s="1" t="str">
        <f t="shared" si="1"/>
        <v>Cartagena</v>
      </c>
      <c r="AB29" s="1"/>
      <c r="AC29" s="1" t="str">
        <f t="shared" si="2"/>
        <v xml:space="preserve"> </v>
      </c>
    </row>
    <row r="30" spans="1:29" x14ac:dyDescent="0.3">
      <c r="A30" s="1" t="s">
        <v>167</v>
      </c>
      <c r="B30">
        <v>1</v>
      </c>
      <c r="C30">
        <v>27.99</v>
      </c>
      <c r="D30">
        <v>27.99</v>
      </c>
      <c r="E30" s="1" t="s">
        <v>168</v>
      </c>
      <c r="F30" s="1" t="s">
        <v>51</v>
      </c>
      <c r="G30">
        <v>0</v>
      </c>
      <c r="H30" s="1" t="s">
        <v>96</v>
      </c>
      <c r="I30" s="1" t="s">
        <v>75</v>
      </c>
      <c r="J30">
        <v>9</v>
      </c>
      <c r="K30">
        <v>27.99</v>
      </c>
      <c r="L30" s="1" t="s">
        <v>28</v>
      </c>
      <c r="M30" s="1" t="s">
        <v>61</v>
      </c>
      <c r="N30" s="1" t="s">
        <v>62</v>
      </c>
      <c r="O30" s="1" t="s">
        <v>31</v>
      </c>
      <c r="P30" s="2">
        <v>45726</v>
      </c>
      <c r="Q30" s="1" t="s">
        <v>169</v>
      </c>
      <c r="R30" s="1" t="s">
        <v>170</v>
      </c>
      <c r="S30" s="1" t="s">
        <v>54</v>
      </c>
      <c r="T30" s="1" t="s">
        <v>35</v>
      </c>
      <c r="U30" s="1" t="s">
        <v>66</v>
      </c>
      <c r="V30" s="1" t="s">
        <v>37</v>
      </c>
      <c r="W30">
        <v>2</v>
      </c>
      <c r="X30" s="1" t="str">
        <f t="shared" si="0"/>
        <v>daniela.rodriguez2@mail.com</v>
      </c>
      <c r="Y30" s="1" t="str">
        <f>INDEX(V:V,MATCH(orders_desnormalizado_prueba3[[#This Row],[acquisition_channel]],U:U,0))</f>
        <v>AliDropship CN - envio 15-20 dias</v>
      </c>
      <c r="Z30" s="1" t="str">
        <f>INDEX(T:T,MATCH(orders_desnormalizado_prueba3[[#This Row],[shipping_cost]],W:W,0))</f>
        <v>Colombia</v>
      </c>
      <c r="AA30" s="1" t="str">
        <f t="shared" si="1"/>
        <v>Cartagena</v>
      </c>
      <c r="AB30" s="1"/>
      <c r="AC30" s="1" t="str">
        <f t="shared" si="2"/>
        <v xml:space="preserve"> </v>
      </c>
    </row>
    <row r="31" spans="1:29" x14ac:dyDescent="0.3">
      <c r="A31" s="1" t="s">
        <v>171</v>
      </c>
      <c r="B31">
        <v>1</v>
      </c>
      <c r="C31">
        <v>16.989999999999998</v>
      </c>
      <c r="D31">
        <v>16.989999999999998</v>
      </c>
      <c r="E31" s="1" t="s">
        <v>113</v>
      </c>
      <c r="F31" s="1" t="s">
        <v>40</v>
      </c>
      <c r="G31">
        <v>19</v>
      </c>
      <c r="H31" s="1" t="s">
        <v>96</v>
      </c>
      <c r="I31" s="1" t="s">
        <v>59</v>
      </c>
      <c r="J31">
        <v>5</v>
      </c>
      <c r="K31">
        <v>16.989999999999998</v>
      </c>
      <c r="L31" s="1" t="s">
        <v>60</v>
      </c>
      <c r="M31" s="1" t="s">
        <v>61</v>
      </c>
      <c r="N31" s="1" t="s">
        <v>62</v>
      </c>
      <c r="O31" s="1" t="s">
        <v>31</v>
      </c>
      <c r="P31" s="2">
        <v>45726</v>
      </c>
      <c r="Q31" s="1" t="s">
        <v>172</v>
      </c>
      <c r="R31" s="1" t="s">
        <v>173</v>
      </c>
      <c r="S31" s="1" t="s">
        <v>88</v>
      </c>
      <c r="T31" s="1" t="s">
        <v>35</v>
      </c>
      <c r="U31" s="1" t="s">
        <v>82</v>
      </c>
      <c r="V31" s="1" t="s">
        <v>67</v>
      </c>
      <c r="W31">
        <v>3</v>
      </c>
      <c r="X31" s="1" t="str">
        <f t="shared" si="0"/>
        <v>diego.castro88@mail.com</v>
      </c>
      <c r="Y31" s="1" t="str">
        <f>INDEX(V:V,MATCH(orders_desnormalizado_prueba3[[#This Row],[acquisition_channel]],U:U,0))</f>
        <v>Bodega Propia CO - envio 2-3 dias</v>
      </c>
      <c r="Z31" s="1" t="str">
        <f>INDEX(T:T,MATCH(orders_desnormalizado_prueba3[[#This Row],[shipping_cost]],W:W,0))</f>
        <v>Colombia</v>
      </c>
      <c r="AA31" s="1" t="str">
        <f t="shared" si="1"/>
        <v>Bogota</v>
      </c>
      <c r="AB31" s="1"/>
      <c r="AC31" s="1" t="str">
        <f t="shared" si="2"/>
        <v xml:space="preserve"> </v>
      </c>
    </row>
    <row r="32" spans="1:29" x14ac:dyDescent="0.3">
      <c r="A32" s="1" t="s">
        <v>174</v>
      </c>
      <c r="B32">
        <v>1</v>
      </c>
      <c r="C32">
        <v>30.99</v>
      </c>
      <c r="D32">
        <v>30.99</v>
      </c>
      <c r="E32" s="1" t="s">
        <v>175</v>
      </c>
      <c r="F32" s="1" t="s">
        <v>40</v>
      </c>
      <c r="G32">
        <v>7</v>
      </c>
      <c r="H32" s="1" t="s">
        <v>96</v>
      </c>
      <c r="I32" s="1" t="s">
        <v>42</v>
      </c>
      <c r="J32">
        <v>10.5</v>
      </c>
      <c r="K32">
        <v>30.99</v>
      </c>
      <c r="L32" s="1" t="s">
        <v>28</v>
      </c>
      <c r="M32" s="1" t="s">
        <v>43</v>
      </c>
      <c r="N32" s="1" t="s">
        <v>44</v>
      </c>
      <c r="O32" s="1" t="s">
        <v>31</v>
      </c>
      <c r="P32" s="2">
        <v>45823</v>
      </c>
      <c r="Q32" s="1" t="s">
        <v>176</v>
      </c>
      <c r="R32" s="1" t="s">
        <v>177</v>
      </c>
      <c r="S32" s="1" t="s">
        <v>65</v>
      </c>
      <c r="T32" s="1" t="s">
        <v>35</v>
      </c>
      <c r="U32" s="1" t="s">
        <v>82</v>
      </c>
      <c r="V32" s="1" t="s">
        <v>37</v>
      </c>
      <c r="W32">
        <v>2</v>
      </c>
      <c r="X32" s="1" t="str">
        <f t="shared" si="0"/>
        <v>camila.castro114@mail.com</v>
      </c>
      <c r="Y32" s="1" t="str">
        <f>INDEX(V:V,MATCH(orders_desnormalizado_prueba3[[#This Row],[acquisition_channel]],U:U,0))</f>
        <v>Bodega Propia CO - envio 2-3 dias</v>
      </c>
      <c r="Z32" s="1" t="str">
        <f>INDEX(T:T,MATCH(orders_desnormalizado_prueba3[[#This Row],[shipping_cost]],W:W,0))</f>
        <v>Colombia</v>
      </c>
      <c r="AA32" s="1" t="str">
        <f t="shared" si="1"/>
        <v>Bogota</v>
      </c>
      <c r="AB32" s="1"/>
      <c r="AC32" s="1" t="str">
        <f t="shared" si="2"/>
        <v xml:space="preserve"> </v>
      </c>
    </row>
    <row r="33" spans="1:29" x14ac:dyDescent="0.3">
      <c r="A33" s="1" t="s">
        <v>178</v>
      </c>
      <c r="B33">
        <v>3</v>
      </c>
      <c r="C33">
        <v>18.989999999999998</v>
      </c>
      <c r="D33">
        <v>45.28</v>
      </c>
      <c r="E33" s="1" t="s">
        <v>160</v>
      </c>
      <c r="F33" s="1" t="s">
        <v>40</v>
      </c>
      <c r="G33">
        <v>11</v>
      </c>
      <c r="H33" s="1" t="s">
        <v>96</v>
      </c>
      <c r="I33" s="1" t="s">
        <v>97</v>
      </c>
      <c r="J33">
        <v>6</v>
      </c>
      <c r="K33">
        <v>18.989999999999998</v>
      </c>
      <c r="L33" s="1" t="s">
        <v>60</v>
      </c>
      <c r="M33" s="1" t="s">
        <v>43</v>
      </c>
      <c r="N33" s="1" t="s">
        <v>44</v>
      </c>
      <c r="O33" s="1" t="s">
        <v>31</v>
      </c>
      <c r="P33" s="2">
        <v>45823</v>
      </c>
      <c r="Q33" s="1" t="s">
        <v>161</v>
      </c>
      <c r="R33" s="1" t="s">
        <v>179</v>
      </c>
      <c r="S33" s="1" t="s">
        <v>105</v>
      </c>
      <c r="T33" s="1" t="s">
        <v>35</v>
      </c>
      <c r="U33" s="1" t="s">
        <v>82</v>
      </c>
      <c r="V33" s="1" t="s">
        <v>100</v>
      </c>
      <c r="W33">
        <v>3.2</v>
      </c>
      <c r="X33" s="1" t="str">
        <f t="shared" si="0"/>
        <v>miguel.vargas74@mail.com</v>
      </c>
      <c r="Y33" s="1" t="str">
        <f>INDEX(V:V,MATCH(orders_desnormalizado_prueba3[[#This Row],[acquisition_channel]],U:U,0))</f>
        <v>Bodega Propia CO - envio 2-3 dias</v>
      </c>
      <c r="Z33" s="1" t="str">
        <f>INDEX(T:T,MATCH(orders_desnormalizado_prueba3[[#This Row],[shipping_cost]],W:W,0))</f>
        <v>Colombia</v>
      </c>
      <c r="AA33" s="1" t="str">
        <f t="shared" si="1"/>
        <v>Cali</v>
      </c>
      <c r="AB33" s="1"/>
      <c r="AC33" s="1" t="str">
        <f t="shared" si="2"/>
        <v xml:space="preserve"> </v>
      </c>
    </row>
    <row r="34" spans="1:29" x14ac:dyDescent="0.3">
      <c r="A34" s="1" t="s">
        <v>180</v>
      </c>
      <c r="B34">
        <v>1</v>
      </c>
      <c r="C34">
        <v>34.99</v>
      </c>
      <c r="D34">
        <v>34.99</v>
      </c>
      <c r="E34" s="1" t="s">
        <v>181</v>
      </c>
      <c r="F34" s="1" t="s">
        <v>40</v>
      </c>
      <c r="G34">
        <v>8</v>
      </c>
      <c r="H34" s="1" t="s">
        <v>41</v>
      </c>
      <c r="I34" s="1" t="s">
        <v>85</v>
      </c>
      <c r="J34">
        <v>12.5</v>
      </c>
      <c r="K34">
        <v>34.99</v>
      </c>
      <c r="L34" s="1" t="s">
        <v>60</v>
      </c>
      <c r="M34" s="1" t="s">
        <v>29</v>
      </c>
      <c r="N34" s="1" t="s">
        <v>30</v>
      </c>
      <c r="O34" s="1" t="s">
        <v>31</v>
      </c>
      <c r="P34" s="2">
        <v>45778</v>
      </c>
      <c r="Q34" s="1" t="s">
        <v>182</v>
      </c>
      <c r="R34" s="1" t="s">
        <v>183</v>
      </c>
      <c r="S34" s="1" t="s">
        <v>47</v>
      </c>
      <c r="T34" s="1" t="s">
        <v>35</v>
      </c>
      <c r="U34" s="1" t="s">
        <v>48</v>
      </c>
      <c r="V34" s="1" t="s">
        <v>89</v>
      </c>
      <c r="W34">
        <v>2.4</v>
      </c>
      <c r="X34" s="1" t="str">
        <f t="shared" si="0"/>
        <v>daniela.gomez75@mail.com</v>
      </c>
      <c r="Y34" s="1" t="str">
        <f>INDEX(V:V,MATCH(orders_desnormalizado_prueba3[[#This Row],[acquisition_channel]],U:U,0))</f>
        <v>Bodega Propia CO - envio 2-3 dias</v>
      </c>
      <c r="Z34" s="1" t="str">
        <f>INDEX(T:T,MATCH(orders_desnormalizado_prueba3[[#This Row],[shipping_cost]],W:W,0))</f>
        <v>Colombia</v>
      </c>
      <c r="AA34" s="1" t="str">
        <f t="shared" si="1"/>
        <v>Barranquilla</v>
      </c>
      <c r="AB34" s="1"/>
      <c r="AC34" s="1" t="str">
        <f t="shared" si="2"/>
        <v xml:space="preserve"> </v>
      </c>
    </row>
    <row r="35" spans="1:29" x14ac:dyDescent="0.3">
      <c r="A35" s="1" t="s">
        <v>184</v>
      </c>
      <c r="B35">
        <v>1</v>
      </c>
      <c r="C35">
        <v>16.989999999999998</v>
      </c>
      <c r="D35">
        <v>16.989999999999998</v>
      </c>
      <c r="E35" s="1" t="s">
        <v>185</v>
      </c>
      <c r="F35" s="1" t="s">
        <v>70</v>
      </c>
      <c r="G35">
        <v>0</v>
      </c>
      <c r="H35" s="1" t="s">
        <v>58</v>
      </c>
      <c r="I35" s="1" t="s">
        <v>59</v>
      </c>
      <c r="J35">
        <v>5</v>
      </c>
      <c r="K35">
        <v>16.989999999999998</v>
      </c>
      <c r="L35" s="1" t="s">
        <v>60</v>
      </c>
      <c r="M35" s="1" t="s">
        <v>61</v>
      </c>
      <c r="N35" s="1" t="s">
        <v>62</v>
      </c>
      <c r="O35" s="1" t="s">
        <v>31</v>
      </c>
      <c r="P35" s="2">
        <v>45726</v>
      </c>
      <c r="Q35" s="1" t="s">
        <v>76</v>
      </c>
      <c r="R35" s="1" t="s">
        <v>77</v>
      </c>
      <c r="S35" s="1" t="s">
        <v>34</v>
      </c>
      <c r="T35" s="1" t="s">
        <v>35</v>
      </c>
      <c r="U35" s="1" t="s">
        <v>36</v>
      </c>
      <c r="V35" s="1" t="s">
        <v>67</v>
      </c>
      <c r="W35">
        <v>3</v>
      </c>
      <c r="X35" s="1" t="str">
        <f t="shared" si="0"/>
        <v>david.gomez112@mail.com</v>
      </c>
      <c r="Y35" s="1" t="str">
        <f>INDEX(V:V,MATCH(orders_desnormalizado_prueba3[[#This Row],[acquisition_channel]],U:U,0))</f>
        <v>Bodega Propia CO - envio 2-3 dias</v>
      </c>
      <c r="Z35" s="1" t="str">
        <f>INDEX(T:T,MATCH(orders_desnormalizado_prueba3[[#This Row],[shipping_cost]],W:W,0))</f>
        <v>Colombia</v>
      </c>
      <c r="AA35" s="1" t="str">
        <f t="shared" si="1"/>
        <v>Cartagena</v>
      </c>
      <c r="AB35" s="1"/>
      <c r="AC35" s="1" t="str">
        <f t="shared" si="2"/>
        <v xml:space="preserve"> </v>
      </c>
    </row>
    <row r="36" spans="1:29" x14ac:dyDescent="0.3">
      <c r="A36" s="1" t="s">
        <v>186</v>
      </c>
      <c r="B36">
        <v>3</v>
      </c>
      <c r="C36">
        <v>34.99</v>
      </c>
      <c r="D36">
        <v>84.73</v>
      </c>
      <c r="E36" s="1" t="s">
        <v>187</v>
      </c>
      <c r="F36" s="1" t="s">
        <v>188</v>
      </c>
      <c r="G36">
        <v>0</v>
      </c>
      <c r="H36" s="1" t="s">
        <v>26</v>
      </c>
      <c r="I36" s="1" t="s">
        <v>85</v>
      </c>
      <c r="J36">
        <v>12.5</v>
      </c>
      <c r="K36">
        <v>34.99</v>
      </c>
      <c r="L36" s="1" t="s">
        <v>60</v>
      </c>
      <c r="M36" s="1" t="s">
        <v>29</v>
      </c>
      <c r="N36" s="1" t="s">
        <v>30</v>
      </c>
      <c r="O36" s="1" t="s">
        <v>31</v>
      </c>
      <c r="P36" s="2">
        <v>45778</v>
      </c>
      <c r="Q36" s="1" t="s">
        <v>189</v>
      </c>
      <c r="R36" s="1" t="s">
        <v>190</v>
      </c>
      <c r="S36" s="1" t="s">
        <v>65</v>
      </c>
      <c r="T36" s="1" t="s">
        <v>35</v>
      </c>
      <c r="U36" s="1" t="s">
        <v>48</v>
      </c>
      <c r="V36" s="1" t="s">
        <v>89</v>
      </c>
      <c r="W36">
        <v>2.4</v>
      </c>
      <c r="X36" s="1" t="str">
        <f t="shared" si="0"/>
        <v>maria.ramirez6@mail.com</v>
      </c>
      <c r="Y36" s="1" t="str">
        <f>INDEX(V:V,MATCH(orders_desnormalizado_prueba3[[#This Row],[acquisition_channel]],U:U,0))</f>
        <v>Bodega Propia CO - envio 2-3 dias</v>
      </c>
      <c r="Z36" s="1" t="str">
        <f>INDEX(T:T,MATCH(orders_desnormalizado_prueba3[[#This Row],[shipping_cost]],W:W,0))</f>
        <v>Colombia</v>
      </c>
      <c r="AA36" s="1" t="str">
        <f t="shared" si="1"/>
        <v>Cartagena</v>
      </c>
      <c r="AB36" s="1"/>
      <c r="AC36" s="1" t="str">
        <f t="shared" si="2"/>
        <v xml:space="preserve"> </v>
      </c>
    </row>
    <row r="37" spans="1:29" x14ac:dyDescent="0.3">
      <c r="A37" s="1" t="s">
        <v>191</v>
      </c>
      <c r="B37">
        <v>3</v>
      </c>
      <c r="C37">
        <v>30.99</v>
      </c>
      <c r="D37">
        <v>74.53</v>
      </c>
      <c r="E37" s="1" t="s">
        <v>192</v>
      </c>
      <c r="F37" s="1" t="s">
        <v>40</v>
      </c>
      <c r="G37">
        <v>3</v>
      </c>
      <c r="H37" s="1" t="s">
        <v>26</v>
      </c>
      <c r="I37" s="1" t="s">
        <v>42</v>
      </c>
      <c r="J37">
        <v>10.5</v>
      </c>
      <c r="K37">
        <v>30.99</v>
      </c>
      <c r="L37" s="1" t="s">
        <v>28</v>
      </c>
      <c r="M37" s="1" t="s">
        <v>43</v>
      </c>
      <c r="N37" s="1" t="s">
        <v>44</v>
      </c>
      <c r="O37" s="1" t="s">
        <v>31</v>
      </c>
      <c r="P37" s="2">
        <v>45823</v>
      </c>
      <c r="Q37" s="1" t="s">
        <v>153</v>
      </c>
      <c r="R37" s="1" t="s">
        <v>154</v>
      </c>
      <c r="S37" s="1" t="s">
        <v>105</v>
      </c>
      <c r="T37" s="1" t="s">
        <v>35</v>
      </c>
      <c r="U37" s="1" t="s">
        <v>48</v>
      </c>
      <c r="V37" s="1" t="s">
        <v>37</v>
      </c>
      <c r="W37">
        <v>2</v>
      </c>
      <c r="X37" s="1" t="str">
        <f t="shared" si="0"/>
        <v>juan.torres103@mail.com</v>
      </c>
      <c r="Y37" s="1" t="str">
        <f>INDEX(V:V,MATCH(orders_desnormalizado_prueba3[[#This Row],[acquisition_channel]],U:U,0))</f>
        <v>Bodega Propia CO - envio 2-3 dias</v>
      </c>
      <c r="Z37" s="1" t="str">
        <f>INDEX(T:T,MATCH(orders_desnormalizado_prueba3[[#This Row],[shipping_cost]],W:W,0))</f>
        <v>Colombia</v>
      </c>
      <c r="AA37" s="1" t="str">
        <f t="shared" si="1"/>
        <v>Barranquilla</v>
      </c>
      <c r="AB37" s="1"/>
      <c r="AC37" s="1" t="str">
        <f t="shared" si="2"/>
        <v xml:space="preserve"> </v>
      </c>
    </row>
    <row r="38" spans="1:29" x14ac:dyDescent="0.3">
      <c r="A38" s="1" t="s">
        <v>193</v>
      </c>
      <c r="B38">
        <v>1</v>
      </c>
      <c r="C38">
        <v>30.99</v>
      </c>
      <c r="D38">
        <v>30.99</v>
      </c>
      <c r="E38" s="1" t="s">
        <v>168</v>
      </c>
      <c r="F38" s="1" t="s">
        <v>40</v>
      </c>
      <c r="G38">
        <v>3</v>
      </c>
      <c r="H38" s="1" t="s">
        <v>41</v>
      </c>
      <c r="I38" s="1" t="s">
        <v>42</v>
      </c>
      <c r="J38">
        <v>10.5</v>
      </c>
      <c r="K38">
        <v>30.99</v>
      </c>
      <c r="L38" s="1" t="s">
        <v>28</v>
      </c>
      <c r="M38" s="1" t="s">
        <v>43</v>
      </c>
      <c r="N38" s="1" t="s">
        <v>44</v>
      </c>
      <c r="O38" s="1" t="s">
        <v>31</v>
      </c>
      <c r="P38" s="2">
        <v>45823</v>
      </c>
      <c r="Q38" s="1" t="s">
        <v>194</v>
      </c>
      <c r="R38" s="1" t="s">
        <v>195</v>
      </c>
      <c r="S38" s="1" t="s">
        <v>88</v>
      </c>
      <c r="T38" s="1" t="s">
        <v>35</v>
      </c>
      <c r="U38" s="1" t="s">
        <v>48</v>
      </c>
      <c r="V38" s="1" t="s">
        <v>37</v>
      </c>
      <c r="W38">
        <v>2</v>
      </c>
      <c r="X38" s="1" t="str">
        <f t="shared" si="0"/>
        <v>mateo.torres90@mail.com</v>
      </c>
      <c r="Y38" s="1" t="str">
        <f>INDEX(V:V,MATCH(orders_desnormalizado_prueba3[[#This Row],[acquisition_channel]],U:U,0))</f>
        <v>Bodega Propia CO - envio 2-3 dias</v>
      </c>
      <c r="Z38" s="1" t="str">
        <f>INDEX(T:T,MATCH(orders_desnormalizado_prueba3[[#This Row],[shipping_cost]],W:W,0))</f>
        <v>Colombia</v>
      </c>
      <c r="AA38" s="1" t="str">
        <f t="shared" si="1"/>
        <v>Barranquilla</v>
      </c>
      <c r="AB38" s="1"/>
      <c r="AC38" s="1" t="str">
        <f t="shared" si="2"/>
        <v xml:space="preserve"> </v>
      </c>
    </row>
    <row r="39" spans="1:29" x14ac:dyDescent="0.3">
      <c r="A39" s="1" t="s">
        <v>196</v>
      </c>
      <c r="B39">
        <v>1</v>
      </c>
      <c r="C39">
        <v>21.99</v>
      </c>
      <c r="D39">
        <v>21.99</v>
      </c>
      <c r="E39" s="1" t="s">
        <v>197</v>
      </c>
      <c r="F39" s="1" t="s">
        <v>51</v>
      </c>
      <c r="G39">
        <v>0</v>
      </c>
      <c r="H39" s="1" t="s">
        <v>26</v>
      </c>
      <c r="I39" s="1" t="s">
        <v>27</v>
      </c>
      <c r="J39">
        <v>7</v>
      </c>
      <c r="K39">
        <v>21.99</v>
      </c>
      <c r="L39" s="1" t="s">
        <v>28</v>
      </c>
      <c r="M39" s="1" t="s">
        <v>29</v>
      </c>
      <c r="N39" s="1" t="s">
        <v>30</v>
      </c>
      <c r="O39" s="1" t="s">
        <v>31</v>
      </c>
      <c r="P39" s="2">
        <v>45778</v>
      </c>
      <c r="Q39" s="1" t="s">
        <v>103</v>
      </c>
      <c r="R39" s="1" t="s">
        <v>198</v>
      </c>
      <c r="S39" s="1" t="s">
        <v>54</v>
      </c>
      <c r="T39" s="1" t="s">
        <v>35</v>
      </c>
      <c r="U39" s="1" t="s">
        <v>82</v>
      </c>
      <c r="V39" s="1" t="s">
        <v>37</v>
      </c>
      <c r="W39">
        <v>2</v>
      </c>
      <c r="X39" s="1" t="str">
        <f t="shared" si="0"/>
        <v>miguel.castro159@mail.com</v>
      </c>
      <c r="Y39" s="1" t="str">
        <f>INDEX(V:V,MATCH(orders_desnormalizado_prueba3[[#This Row],[acquisition_channel]],U:U,0))</f>
        <v>Bodega Propia CO - envio 2-3 dias</v>
      </c>
      <c r="Z39" s="1" t="str">
        <f>INDEX(T:T,MATCH(orders_desnormalizado_prueba3[[#This Row],[shipping_cost]],W:W,0))</f>
        <v>Colombia</v>
      </c>
      <c r="AA39" s="1" t="str">
        <f t="shared" si="1"/>
        <v>Cartagena</v>
      </c>
      <c r="AB39" s="1"/>
      <c r="AC39" s="1" t="str">
        <f t="shared" si="2"/>
        <v xml:space="preserve"> </v>
      </c>
    </row>
    <row r="40" spans="1:29" x14ac:dyDescent="0.3">
      <c r="A40" s="1" t="s">
        <v>199</v>
      </c>
      <c r="B40">
        <v>1</v>
      </c>
      <c r="C40">
        <v>30.99</v>
      </c>
      <c r="D40">
        <v>30.99</v>
      </c>
      <c r="E40" s="1" t="s">
        <v>200</v>
      </c>
      <c r="F40" s="1" t="s">
        <v>40</v>
      </c>
      <c r="G40">
        <v>3</v>
      </c>
      <c r="H40" s="1" t="s">
        <v>96</v>
      </c>
      <c r="I40" s="1" t="s">
        <v>42</v>
      </c>
      <c r="J40">
        <v>10.5</v>
      </c>
      <c r="K40">
        <v>30.99</v>
      </c>
      <c r="L40" s="1" t="s">
        <v>28</v>
      </c>
      <c r="M40" s="1" t="s">
        <v>43</v>
      </c>
      <c r="N40" s="1" t="s">
        <v>44</v>
      </c>
      <c r="O40" s="1" t="s">
        <v>31</v>
      </c>
      <c r="P40" s="2">
        <v>45823</v>
      </c>
      <c r="Q40" s="1" t="s">
        <v>32</v>
      </c>
      <c r="R40" s="1" t="s">
        <v>33</v>
      </c>
      <c r="S40" s="1" t="s">
        <v>34</v>
      </c>
      <c r="T40" s="1" t="s">
        <v>35</v>
      </c>
      <c r="U40" s="1" t="s">
        <v>36</v>
      </c>
      <c r="V40" s="1" t="s">
        <v>37</v>
      </c>
      <c r="W40">
        <v>2</v>
      </c>
      <c r="X40" s="1" t="str">
        <f t="shared" si="0"/>
        <v>laura.gomez71@mail.com</v>
      </c>
      <c r="Y40" s="1" t="str">
        <f>INDEX(V:V,MATCH(orders_desnormalizado_prueba3[[#This Row],[acquisition_channel]],U:U,0))</f>
        <v>Bodega Propia CO - envio 2-3 dias</v>
      </c>
      <c r="Z40" s="1" t="str">
        <f>INDEX(T:T,MATCH(orders_desnormalizado_prueba3[[#This Row],[shipping_cost]],W:W,0))</f>
        <v>Colombia</v>
      </c>
      <c r="AA40" s="1" t="str">
        <f t="shared" si="1"/>
        <v>Barranquilla</v>
      </c>
      <c r="AB40" s="1"/>
      <c r="AC40" s="1" t="str">
        <f t="shared" si="2"/>
        <v xml:space="preserve"> </v>
      </c>
    </row>
    <row r="41" spans="1:29" x14ac:dyDescent="0.3">
      <c r="A41" s="1" t="s">
        <v>201</v>
      </c>
      <c r="B41">
        <v>1</v>
      </c>
      <c r="C41">
        <v>18.989999999999998</v>
      </c>
      <c r="D41">
        <v>18.989999999999998</v>
      </c>
      <c r="E41" s="1" t="s">
        <v>202</v>
      </c>
      <c r="F41" s="1" t="s">
        <v>40</v>
      </c>
      <c r="G41">
        <v>14</v>
      </c>
      <c r="H41" s="1" t="s">
        <v>96</v>
      </c>
      <c r="I41" s="1" t="s">
        <v>97</v>
      </c>
      <c r="J41">
        <v>6</v>
      </c>
      <c r="K41">
        <v>18.989999999999998</v>
      </c>
      <c r="L41" s="1" t="s">
        <v>60</v>
      </c>
      <c r="M41" s="1" t="s">
        <v>43</v>
      </c>
      <c r="N41" s="1" t="s">
        <v>44</v>
      </c>
      <c r="O41" s="1" t="s">
        <v>31</v>
      </c>
      <c r="P41" s="2">
        <v>45823</v>
      </c>
      <c r="Q41" s="1" t="s">
        <v>203</v>
      </c>
      <c r="R41" s="1" t="s">
        <v>204</v>
      </c>
      <c r="S41" s="1" t="s">
        <v>65</v>
      </c>
      <c r="T41" s="1" t="s">
        <v>35</v>
      </c>
      <c r="U41" s="1" t="s">
        <v>66</v>
      </c>
      <c r="V41" s="1" t="s">
        <v>100</v>
      </c>
      <c r="W41">
        <v>3.2</v>
      </c>
      <c r="X41" s="1" t="str">
        <f t="shared" si="0"/>
        <v>daniela.martinez158@mail.com</v>
      </c>
      <c r="Y41" s="1" t="str">
        <f>INDEX(V:V,MATCH(orders_desnormalizado_prueba3[[#This Row],[acquisition_channel]],U:U,0))</f>
        <v>AliDropship CN - envio 15-20 dias</v>
      </c>
      <c r="Z41" s="1" t="str">
        <f>INDEX(T:T,MATCH(orders_desnormalizado_prueba3[[#This Row],[shipping_cost]],W:W,0))</f>
        <v>Colombia</v>
      </c>
      <c r="AA41" s="1" t="str">
        <f t="shared" si="1"/>
        <v>Bogota</v>
      </c>
      <c r="AB41" s="1"/>
      <c r="AC41" s="1" t="str">
        <f t="shared" si="2"/>
        <v xml:space="preserve"> </v>
      </c>
    </row>
    <row r="42" spans="1:29" x14ac:dyDescent="0.3">
      <c r="A42" s="1" t="s">
        <v>205</v>
      </c>
      <c r="B42">
        <v>1</v>
      </c>
      <c r="C42">
        <v>27.99</v>
      </c>
      <c r="D42">
        <v>27.99</v>
      </c>
      <c r="E42" s="1" t="s">
        <v>200</v>
      </c>
      <c r="F42" s="1" t="s">
        <v>40</v>
      </c>
      <c r="G42">
        <v>3</v>
      </c>
      <c r="H42" s="1" t="s">
        <v>41</v>
      </c>
      <c r="I42" s="1" t="s">
        <v>75</v>
      </c>
      <c r="J42">
        <v>9</v>
      </c>
      <c r="K42">
        <v>27.99</v>
      </c>
      <c r="L42" s="1" t="s">
        <v>28</v>
      </c>
      <c r="M42" s="1" t="s">
        <v>61</v>
      </c>
      <c r="N42" s="1" t="s">
        <v>62</v>
      </c>
      <c r="O42" s="1" t="s">
        <v>31</v>
      </c>
      <c r="P42" s="2">
        <v>45726</v>
      </c>
      <c r="Q42" s="1" t="s">
        <v>206</v>
      </c>
      <c r="R42" s="1" t="s">
        <v>207</v>
      </c>
      <c r="S42" s="1" t="s">
        <v>34</v>
      </c>
      <c r="T42" s="1" t="s">
        <v>35</v>
      </c>
      <c r="U42" s="1" t="s">
        <v>66</v>
      </c>
      <c r="V42" s="1" t="s">
        <v>37</v>
      </c>
      <c r="W42">
        <v>2</v>
      </c>
      <c r="X42" s="1" t="str">
        <f t="shared" si="0"/>
        <v>sebastian.diaz129@mail.com</v>
      </c>
      <c r="Y42" s="1" t="str">
        <f>INDEX(V:V,MATCH(orders_desnormalizado_prueba3[[#This Row],[acquisition_channel]],U:U,0))</f>
        <v>AliDropship CN - envio 15-20 dias</v>
      </c>
      <c r="Z42" s="1" t="str">
        <f>INDEX(T:T,MATCH(orders_desnormalizado_prueba3[[#This Row],[shipping_cost]],W:W,0))</f>
        <v>Colombia</v>
      </c>
      <c r="AA42" s="1" t="str">
        <f t="shared" si="1"/>
        <v>Barranquilla</v>
      </c>
      <c r="AB42" s="1"/>
      <c r="AC42" s="1" t="str">
        <f t="shared" si="2"/>
        <v xml:space="preserve"> </v>
      </c>
    </row>
    <row r="43" spans="1:29" x14ac:dyDescent="0.3">
      <c r="A43" s="1" t="s">
        <v>208</v>
      </c>
      <c r="B43">
        <v>1</v>
      </c>
      <c r="C43">
        <v>18.989999999999998</v>
      </c>
      <c r="D43">
        <v>18.989999999999998</v>
      </c>
      <c r="E43" s="1" t="s">
        <v>209</v>
      </c>
      <c r="F43" s="1" t="s">
        <v>40</v>
      </c>
      <c r="G43">
        <v>18</v>
      </c>
      <c r="H43" s="1" t="s">
        <v>96</v>
      </c>
      <c r="I43" s="1" t="s">
        <v>97</v>
      </c>
      <c r="J43">
        <v>6</v>
      </c>
      <c r="K43">
        <v>18.989999999999998</v>
      </c>
      <c r="L43" s="1" t="s">
        <v>60</v>
      </c>
      <c r="M43" s="1" t="s">
        <v>43</v>
      </c>
      <c r="N43" s="1" t="s">
        <v>44</v>
      </c>
      <c r="O43" s="1" t="s">
        <v>31</v>
      </c>
      <c r="P43" s="2">
        <v>45823</v>
      </c>
      <c r="Q43" s="1" t="s">
        <v>210</v>
      </c>
      <c r="R43" s="1" t="s">
        <v>211</v>
      </c>
      <c r="S43" s="1" t="s">
        <v>34</v>
      </c>
      <c r="T43" s="1" t="s">
        <v>35</v>
      </c>
      <c r="U43" s="1" t="s">
        <v>48</v>
      </c>
      <c r="V43" s="1" t="s">
        <v>100</v>
      </c>
      <c r="W43">
        <v>3.2</v>
      </c>
      <c r="X43" s="1" t="str">
        <f t="shared" si="0"/>
        <v>andres.torres134@mail.com</v>
      </c>
      <c r="Y43" s="1" t="str">
        <f>INDEX(V:V,MATCH(orders_desnormalizado_prueba3[[#This Row],[acquisition_channel]],U:U,0))</f>
        <v>Bodega Propia CO - envio 2-3 dias</v>
      </c>
      <c r="Z43" s="1" t="str">
        <f>INDEX(T:T,MATCH(orders_desnormalizado_prueba3[[#This Row],[shipping_cost]],W:W,0))</f>
        <v>Colombia</v>
      </c>
      <c r="AA43" s="1" t="str">
        <f t="shared" si="1"/>
        <v>Medellin</v>
      </c>
      <c r="AB43" s="1"/>
      <c r="AC43" s="1" t="str">
        <f t="shared" si="2"/>
        <v xml:space="preserve"> </v>
      </c>
    </row>
    <row r="44" spans="1:29" x14ac:dyDescent="0.3">
      <c r="A44" s="1" t="s">
        <v>212</v>
      </c>
      <c r="B44">
        <v>1</v>
      </c>
      <c r="C44">
        <v>18.989999999999998</v>
      </c>
      <c r="D44">
        <v>18.989999999999998</v>
      </c>
      <c r="E44" s="1" t="s">
        <v>121</v>
      </c>
      <c r="F44" s="1" t="s">
        <v>40</v>
      </c>
      <c r="G44">
        <v>11</v>
      </c>
      <c r="H44" s="1" t="s">
        <v>26</v>
      </c>
      <c r="I44" s="1" t="s">
        <v>97</v>
      </c>
      <c r="J44">
        <v>6</v>
      </c>
      <c r="K44">
        <v>18.989999999999998</v>
      </c>
      <c r="L44" s="1" t="s">
        <v>60</v>
      </c>
      <c r="M44" s="1" t="s">
        <v>43</v>
      </c>
      <c r="N44" s="1" t="s">
        <v>44</v>
      </c>
      <c r="O44" s="1" t="s">
        <v>31</v>
      </c>
      <c r="P44" s="2">
        <v>45823</v>
      </c>
      <c r="Q44" s="1" t="s">
        <v>137</v>
      </c>
      <c r="R44" s="1" t="s">
        <v>138</v>
      </c>
      <c r="S44" s="1" t="s">
        <v>34</v>
      </c>
      <c r="T44" s="1" t="s">
        <v>35</v>
      </c>
      <c r="U44" s="1" t="s">
        <v>82</v>
      </c>
      <c r="V44" s="1" t="s">
        <v>100</v>
      </c>
      <c r="W44">
        <v>3.2</v>
      </c>
      <c r="X44" s="1" t="str">
        <f t="shared" si="0"/>
        <v>camila.martinez65@mail.com</v>
      </c>
      <c r="Y44" s="1" t="str">
        <f>INDEX(V:V,MATCH(orders_desnormalizado_prueba3[[#This Row],[acquisition_channel]],U:U,0))</f>
        <v>Bodega Propia CO - envio 2-3 dias</v>
      </c>
      <c r="Z44" s="1" t="str">
        <f>INDEX(T:T,MATCH(orders_desnormalizado_prueba3[[#This Row],[shipping_cost]],W:W,0))</f>
        <v>Colombia</v>
      </c>
      <c r="AA44" s="1" t="str">
        <f t="shared" si="1"/>
        <v>Cali</v>
      </c>
      <c r="AB44" s="1"/>
      <c r="AC44" s="1" t="str">
        <f t="shared" si="2"/>
        <v xml:space="preserve"> </v>
      </c>
    </row>
    <row r="45" spans="1:29" x14ac:dyDescent="0.3">
      <c r="A45" s="1" t="s">
        <v>213</v>
      </c>
      <c r="B45">
        <v>1</v>
      </c>
      <c r="C45">
        <v>18.989999999999998</v>
      </c>
      <c r="D45">
        <v>18.989999999999998</v>
      </c>
      <c r="E45" s="1" t="s">
        <v>214</v>
      </c>
      <c r="F45" s="1" t="s">
        <v>40</v>
      </c>
      <c r="G45">
        <v>20</v>
      </c>
      <c r="H45" s="1" t="s">
        <v>26</v>
      </c>
      <c r="I45" s="1" t="s">
        <v>97</v>
      </c>
      <c r="J45">
        <v>6</v>
      </c>
      <c r="K45">
        <v>18.989999999999998</v>
      </c>
      <c r="L45" s="1" t="s">
        <v>60</v>
      </c>
      <c r="M45" s="1" t="s">
        <v>43</v>
      </c>
      <c r="N45" s="1" t="s">
        <v>44</v>
      </c>
      <c r="O45" s="1" t="s">
        <v>31</v>
      </c>
      <c r="P45" s="2">
        <v>45823</v>
      </c>
      <c r="Q45" s="1" t="s">
        <v>140</v>
      </c>
      <c r="R45" s="1" t="s">
        <v>141</v>
      </c>
      <c r="S45" s="1" t="s">
        <v>54</v>
      </c>
      <c r="T45" s="1" t="s">
        <v>35</v>
      </c>
      <c r="U45" s="1" t="s">
        <v>55</v>
      </c>
      <c r="V45" s="1" t="s">
        <v>100</v>
      </c>
      <c r="W45">
        <v>3.2</v>
      </c>
      <c r="X45" s="1" t="str">
        <f t="shared" si="0"/>
        <v>david.rodriguez33@mail.com</v>
      </c>
      <c r="Y45" s="1" t="str">
        <f>INDEX(V:V,MATCH(orders_desnormalizado_prueba3[[#This Row],[acquisition_channel]],U:U,0))</f>
        <v>Bodega Propia CO - envio 2-3 dias</v>
      </c>
      <c r="Z45" s="1" t="str">
        <f>INDEX(T:T,MATCH(orders_desnormalizado_prueba3[[#This Row],[shipping_cost]],W:W,0))</f>
        <v>Colombia</v>
      </c>
      <c r="AA45" s="1" t="str">
        <f t="shared" si="1"/>
        <v>Bucaramanga</v>
      </c>
      <c r="AB45" s="1"/>
      <c r="AC45" s="1" t="str">
        <f t="shared" si="2"/>
        <v xml:space="preserve"> </v>
      </c>
    </row>
    <row r="46" spans="1:29" x14ac:dyDescent="0.3">
      <c r="A46" s="1" t="s">
        <v>215</v>
      </c>
      <c r="B46">
        <v>1</v>
      </c>
      <c r="C46">
        <v>16.989999999999998</v>
      </c>
      <c r="D46">
        <v>16.989999999999998</v>
      </c>
      <c r="E46" s="1" t="s">
        <v>102</v>
      </c>
      <c r="F46" s="1" t="s">
        <v>40</v>
      </c>
      <c r="G46">
        <v>16</v>
      </c>
      <c r="H46" s="1" t="s">
        <v>96</v>
      </c>
      <c r="I46" s="1" t="s">
        <v>59</v>
      </c>
      <c r="J46">
        <v>5</v>
      </c>
      <c r="K46">
        <v>16.989999999999998</v>
      </c>
      <c r="L46" s="1" t="s">
        <v>60</v>
      </c>
      <c r="M46" s="1" t="s">
        <v>61</v>
      </c>
      <c r="N46" s="1" t="s">
        <v>62</v>
      </c>
      <c r="O46" s="1" t="s">
        <v>31</v>
      </c>
      <c r="P46" s="2">
        <v>45726</v>
      </c>
      <c r="Q46" s="1" t="s">
        <v>216</v>
      </c>
      <c r="R46" s="1" t="s">
        <v>217</v>
      </c>
      <c r="S46" s="1" t="s">
        <v>65</v>
      </c>
      <c r="T46" s="1" t="s">
        <v>35</v>
      </c>
      <c r="U46" s="1" t="s">
        <v>82</v>
      </c>
      <c r="V46" s="1" t="s">
        <v>67</v>
      </c>
      <c r="W46">
        <v>3</v>
      </c>
      <c r="X46" s="1" t="str">
        <f t="shared" si="0"/>
        <v>valentina.perez50@mail.com</v>
      </c>
      <c r="Y46" s="1" t="str">
        <f>INDEX(V:V,MATCH(orders_desnormalizado_prueba3[[#This Row],[acquisition_channel]],U:U,0))</f>
        <v>Bodega Propia CO - envio 2-3 dias</v>
      </c>
      <c r="Z46" s="1" t="str">
        <f>INDEX(T:T,MATCH(orders_desnormalizado_prueba3[[#This Row],[shipping_cost]],W:W,0))</f>
        <v>Colombia</v>
      </c>
      <c r="AA46" s="1" t="str">
        <f t="shared" si="1"/>
        <v>Bogota</v>
      </c>
      <c r="AB46" s="1"/>
      <c r="AC46" s="1" t="str">
        <f t="shared" si="2"/>
        <v xml:space="preserve"> </v>
      </c>
    </row>
    <row r="47" spans="1:29" x14ac:dyDescent="0.3">
      <c r="A47" s="1" t="s">
        <v>218</v>
      </c>
      <c r="B47">
        <v>1</v>
      </c>
      <c r="C47">
        <v>18.989999999999998</v>
      </c>
      <c r="D47">
        <v>18.989999999999998</v>
      </c>
      <c r="E47" s="1" t="s">
        <v>57</v>
      </c>
      <c r="F47" s="1" t="s">
        <v>40</v>
      </c>
      <c r="G47">
        <v>14</v>
      </c>
      <c r="H47" s="1" t="s">
        <v>58</v>
      </c>
      <c r="I47" s="1" t="s">
        <v>97</v>
      </c>
      <c r="J47">
        <v>6</v>
      </c>
      <c r="K47">
        <v>18.989999999999998</v>
      </c>
      <c r="L47" s="1" t="s">
        <v>60</v>
      </c>
      <c r="M47" s="1" t="s">
        <v>43</v>
      </c>
      <c r="N47" s="1" t="s">
        <v>44</v>
      </c>
      <c r="O47" s="1" t="s">
        <v>31</v>
      </c>
      <c r="P47" s="2">
        <v>45823</v>
      </c>
      <c r="Q47" s="1" t="s">
        <v>219</v>
      </c>
      <c r="R47" s="1" t="s">
        <v>220</v>
      </c>
      <c r="S47" s="1" t="s">
        <v>54</v>
      </c>
      <c r="T47" s="1" t="s">
        <v>35</v>
      </c>
      <c r="U47" s="1" t="s">
        <v>55</v>
      </c>
      <c r="V47" s="1" t="s">
        <v>100</v>
      </c>
      <c r="W47">
        <v>3.2</v>
      </c>
      <c r="X47" s="1" t="str">
        <f t="shared" si="0"/>
        <v>mateo.castro43@mail.com</v>
      </c>
      <c r="Y47" s="1" t="str">
        <f>INDEX(V:V,MATCH(orders_desnormalizado_prueba3[[#This Row],[acquisition_channel]],U:U,0))</f>
        <v>Bodega Propia CO - envio 2-3 dias</v>
      </c>
      <c r="Z47" s="1" t="str">
        <f>INDEX(T:T,MATCH(orders_desnormalizado_prueba3[[#This Row],[shipping_cost]],W:W,0))</f>
        <v>Colombia</v>
      </c>
      <c r="AA47" s="1" t="str">
        <f t="shared" si="1"/>
        <v>Bogota</v>
      </c>
      <c r="AB47" s="1"/>
      <c r="AC47" s="1" t="str">
        <f t="shared" si="2"/>
        <v xml:space="preserve"> </v>
      </c>
    </row>
    <row r="48" spans="1:29" x14ac:dyDescent="0.3">
      <c r="A48" s="1" t="s">
        <v>221</v>
      </c>
      <c r="B48">
        <v>1</v>
      </c>
      <c r="C48">
        <v>21.99</v>
      </c>
      <c r="D48">
        <v>21.99</v>
      </c>
      <c r="E48" s="1" t="s">
        <v>222</v>
      </c>
      <c r="F48" s="1" t="s">
        <v>25</v>
      </c>
      <c r="G48">
        <v>2</v>
      </c>
      <c r="H48" s="1" t="s">
        <v>58</v>
      </c>
      <c r="I48" s="1" t="s">
        <v>27</v>
      </c>
      <c r="J48">
        <v>7</v>
      </c>
      <c r="K48">
        <v>21.99</v>
      </c>
      <c r="L48" s="1" t="s">
        <v>28</v>
      </c>
      <c r="M48" s="1" t="s">
        <v>29</v>
      </c>
      <c r="N48" s="1" t="s">
        <v>30</v>
      </c>
      <c r="O48" s="1" t="s">
        <v>31</v>
      </c>
      <c r="P48" s="2">
        <v>45778</v>
      </c>
      <c r="Q48" s="1" t="s">
        <v>216</v>
      </c>
      <c r="R48" s="1" t="s">
        <v>217</v>
      </c>
      <c r="S48" s="1" t="s">
        <v>65</v>
      </c>
      <c r="T48" s="1" t="s">
        <v>35</v>
      </c>
      <c r="U48" s="1" t="s">
        <v>82</v>
      </c>
      <c r="V48" s="1" t="s">
        <v>37</v>
      </c>
      <c r="W48">
        <v>2</v>
      </c>
      <c r="X48" s="1" t="str">
        <f t="shared" si="0"/>
        <v>valentina.perez50@mail.com</v>
      </c>
      <c r="Y48" s="1" t="str">
        <f>INDEX(V:V,MATCH(orders_desnormalizado_prueba3[[#This Row],[acquisition_channel]],U:U,0))</f>
        <v>Bodega Propia CO - envio 2-3 dias</v>
      </c>
      <c r="Z48" s="1" t="str">
        <f>INDEX(T:T,MATCH(orders_desnormalizado_prueba3[[#This Row],[shipping_cost]],W:W,0))</f>
        <v>Colombia</v>
      </c>
      <c r="AA48" s="1" t="str">
        <f t="shared" si="1"/>
        <v>Medellin</v>
      </c>
      <c r="AB48" s="1"/>
      <c r="AC48" s="1" t="str">
        <f t="shared" si="2"/>
        <v xml:space="preserve"> </v>
      </c>
    </row>
    <row r="49" spans="1:29" x14ac:dyDescent="0.3">
      <c r="A49" s="1" t="s">
        <v>223</v>
      </c>
      <c r="B49">
        <v>2</v>
      </c>
      <c r="C49">
        <v>30.99</v>
      </c>
      <c r="D49">
        <v>53.78</v>
      </c>
      <c r="E49" s="1" t="s">
        <v>224</v>
      </c>
      <c r="F49" s="1" t="s">
        <v>70</v>
      </c>
      <c r="G49">
        <v>0</v>
      </c>
      <c r="H49" s="1" t="s">
        <v>41</v>
      </c>
      <c r="I49" s="1" t="s">
        <v>42</v>
      </c>
      <c r="J49">
        <v>10.5</v>
      </c>
      <c r="K49">
        <v>30.99</v>
      </c>
      <c r="L49" s="1" t="s">
        <v>28</v>
      </c>
      <c r="M49" s="1" t="s">
        <v>43</v>
      </c>
      <c r="N49" s="1" t="s">
        <v>44</v>
      </c>
      <c r="O49" s="1" t="s">
        <v>31</v>
      </c>
      <c r="P49" s="2">
        <v>45823</v>
      </c>
      <c r="Q49" s="1" t="s">
        <v>225</v>
      </c>
      <c r="R49" s="1" t="s">
        <v>226</v>
      </c>
      <c r="S49" s="1" t="s">
        <v>105</v>
      </c>
      <c r="T49" s="1" t="s">
        <v>35</v>
      </c>
      <c r="U49" s="1" t="s">
        <v>36</v>
      </c>
      <c r="V49" s="1" t="s">
        <v>37</v>
      </c>
      <c r="W49">
        <v>2</v>
      </c>
      <c r="X49" s="1" t="str">
        <f t="shared" si="0"/>
        <v>alejandro.perez27@mail.com</v>
      </c>
      <c r="Y49" s="1" t="str">
        <f>INDEX(V:V,MATCH(orders_desnormalizado_prueba3[[#This Row],[acquisition_channel]],U:U,0))</f>
        <v>Bodega Propia CO - envio 2-3 dias</v>
      </c>
      <c r="Z49" s="1" t="str">
        <f>INDEX(T:T,MATCH(orders_desnormalizado_prueba3[[#This Row],[shipping_cost]],W:W,0))</f>
        <v>Colombia</v>
      </c>
      <c r="AA49" s="1" t="str">
        <f t="shared" si="1"/>
        <v>Cartagena</v>
      </c>
      <c r="AB49" s="1"/>
      <c r="AC49" s="1" t="str">
        <f t="shared" si="2"/>
        <v xml:space="preserve"> </v>
      </c>
    </row>
    <row r="50" spans="1:29" x14ac:dyDescent="0.3">
      <c r="A50" s="1" t="s">
        <v>227</v>
      </c>
      <c r="B50">
        <v>2</v>
      </c>
      <c r="C50">
        <v>21.99</v>
      </c>
      <c r="D50">
        <v>37.979999999999997</v>
      </c>
      <c r="E50" s="1" t="s">
        <v>228</v>
      </c>
      <c r="F50" s="1" t="s">
        <v>25</v>
      </c>
      <c r="G50">
        <v>3</v>
      </c>
      <c r="H50" s="1" t="s">
        <v>26</v>
      </c>
      <c r="I50" s="1" t="s">
        <v>27</v>
      </c>
      <c r="J50">
        <v>7</v>
      </c>
      <c r="K50">
        <v>21.99</v>
      </c>
      <c r="L50" s="1" t="s">
        <v>28</v>
      </c>
      <c r="M50" s="1" t="s">
        <v>29</v>
      </c>
      <c r="N50" s="1" t="s">
        <v>30</v>
      </c>
      <c r="O50" s="1" t="s">
        <v>31</v>
      </c>
      <c r="P50" s="2">
        <v>45778</v>
      </c>
      <c r="Q50" s="1" t="s">
        <v>80</v>
      </c>
      <c r="R50" s="1" t="s">
        <v>229</v>
      </c>
      <c r="S50" s="1" t="s">
        <v>34</v>
      </c>
      <c r="T50" s="1" t="s">
        <v>35</v>
      </c>
      <c r="U50" s="1" t="s">
        <v>36</v>
      </c>
      <c r="V50" s="1" t="s">
        <v>37</v>
      </c>
      <c r="W50">
        <v>2</v>
      </c>
      <c r="X50" s="1" t="str">
        <f t="shared" si="0"/>
        <v>laura.martinez145@mail.com</v>
      </c>
      <c r="Y50" s="1" t="str">
        <f>INDEX(V:V,MATCH(orders_desnormalizado_prueba3[[#This Row],[acquisition_channel]],U:U,0))</f>
        <v>Bodega Propia CO - envio 2-3 dias</v>
      </c>
      <c r="Z50" s="1" t="str">
        <f>INDEX(T:T,MATCH(orders_desnormalizado_prueba3[[#This Row],[shipping_cost]],W:W,0))</f>
        <v>Colombia</v>
      </c>
      <c r="AA50" s="1" t="str">
        <f t="shared" si="1"/>
        <v>Barranquilla</v>
      </c>
      <c r="AB50" s="1"/>
      <c r="AC50" s="1" t="str">
        <f t="shared" si="2"/>
        <v xml:space="preserve"> </v>
      </c>
    </row>
    <row r="51" spans="1:29" x14ac:dyDescent="0.3">
      <c r="A51" s="1" t="s">
        <v>230</v>
      </c>
      <c r="B51">
        <v>2</v>
      </c>
      <c r="C51">
        <v>16.989999999999998</v>
      </c>
      <c r="D51">
        <v>29.18</v>
      </c>
      <c r="E51" s="1" t="s">
        <v>69</v>
      </c>
      <c r="F51" s="1" t="s">
        <v>188</v>
      </c>
      <c r="G51">
        <v>0</v>
      </c>
      <c r="H51" s="1" t="s">
        <v>58</v>
      </c>
      <c r="I51" s="1" t="s">
        <v>59</v>
      </c>
      <c r="J51">
        <v>5</v>
      </c>
      <c r="K51">
        <v>16.989999999999998</v>
      </c>
      <c r="L51" s="1" t="s">
        <v>60</v>
      </c>
      <c r="M51" s="1" t="s">
        <v>61</v>
      </c>
      <c r="N51" s="1" t="s">
        <v>62</v>
      </c>
      <c r="O51" s="1" t="s">
        <v>31</v>
      </c>
      <c r="P51" s="2">
        <v>45726</v>
      </c>
      <c r="Q51" s="1" t="s">
        <v>231</v>
      </c>
      <c r="R51" s="1" t="s">
        <v>232</v>
      </c>
      <c r="S51" s="1" t="s">
        <v>105</v>
      </c>
      <c r="T51" s="1" t="s">
        <v>35</v>
      </c>
      <c r="U51" s="1" t="s">
        <v>36</v>
      </c>
      <c r="V51" s="1" t="s">
        <v>67</v>
      </c>
      <c r="W51">
        <v>3</v>
      </c>
      <c r="X51" s="1" t="str">
        <f t="shared" si="0"/>
        <v>miguel.ramirez82@mail.com</v>
      </c>
      <c r="Y51" s="1" t="str">
        <f>INDEX(V:V,MATCH(orders_desnormalizado_prueba3[[#This Row],[acquisition_channel]],U:U,0))</f>
        <v>Bodega Propia CO - envio 2-3 dias</v>
      </c>
      <c r="Z51" s="1" t="str">
        <f>INDEX(T:T,MATCH(orders_desnormalizado_prueba3[[#This Row],[shipping_cost]],W:W,0))</f>
        <v>Colombia</v>
      </c>
      <c r="AA51" s="1" t="str">
        <f t="shared" si="1"/>
        <v>Cartagena</v>
      </c>
      <c r="AB51" s="1"/>
      <c r="AC51" s="1" t="str">
        <f t="shared" si="2"/>
        <v xml:space="preserve"> </v>
      </c>
    </row>
    <row r="52" spans="1:29" x14ac:dyDescent="0.3">
      <c r="A52" s="1" t="s">
        <v>233</v>
      </c>
      <c r="B52">
        <v>1</v>
      </c>
      <c r="C52">
        <v>34.99</v>
      </c>
      <c r="D52">
        <v>34.99</v>
      </c>
      <c r="E52" s="1" t="s">
        <v>128</v>
      </c>
      <c r="F52" s="1" t="s">
        <v>188</v>
      </c>
      <c r="G52">
        <v>0</v>
      </c>
      <c r="H52" s="1" t="s">
        <v>58</v>
      </c>
      <c r="I52" s="1" t="s">
        <v>85</v>
      </c>
      <c r="J52">
        <v>12.5</v>
      </c>
      <c r="K52">
        <v>34.99</v>
      </c>
      <c r="L52" s="1" t="s">
        <v>60</v>
      </c>
      <c r="M52" s="1" t="s">
        <v>29</v>
      </c>
      <c r="N52" s="1" t="s">
        <v>30</v>
      </c>
      <c r="O52" s="1" t="s">
        <v>31</v>
      </c>
      <c r="P52" s="2">
        <v>45778</v>
      </c>
      <c r="Q52" s="1" t="s">
        <v>234</v>
      </c>
      <c r="R52" s="1" t="s">
        <v>235</v>
      </c>
      <c r="S52" s="1" t="s">
        <v>105</v>
      </c>
      <c r="T52" s="1" t="s">
        <v>35</v>
      </c>
      <c r="U52" s="1" t="s">
        <v>48</v>
      </c>
      <c r="V52" s="1" t="s">
        <v>89</v>
      </c>
      <c r="W52">
        <v>2.4</v>
      </c>
      <c r="X52" s="1" t="str">
        <f t="shared" si="0"/>
        <v>david.sanchez5@mail.com</v>
      </c>
      <c r="Y52" s="1" t="str">
        <f>INDEX(V:V,MATCH(orders_desnormalizado_prueba3[[#This Row],[acquisition_channel]],U:U,0))</f>
        <v>Bodega Propia CO - envio 2-3 dias</v>
      </c>
      <c r="Z52" s="1" t="str">
        <f>INDEX(T:T,MATCH(orders_desnormalizado_prueba3[[#This Row],[shipping_cost]],W:W,0))</f>
        <v>Colombia</v>
      </c>
      <c r="AA52" s="1" t="str">
        <f t="shared" si="1"/>
        <v>Cartagena</v>
      </c>
      <c r="AB52" s="1"/>
      <c r="AC52" s="1" t="str">
        <f t="shared" si="2"/>
        <v xml:space="preserve"> </v>
      </c>
    </row>
    <row r="53" spans="1:29" x14ac:dyDescent="0.3">
      <c r="A53" s="1" t="s">
        <v>236</v>
      </c>
      <c r="B53">
        <v>1</v>
      </c>
      <c r="C53">
        <v>16.989999999999998</v>
      </c>
      <c r="D53">
        <v>16.989999999999998</v>
      </c>
      <c r="E53" s="1" t="s">
        <v>237</v>
      </c>
      <c r="F53" s="1" t="s">
        <v>51</v>
      </c>
      <c r="G53">
        <v>0</v>
      </c>
      <c r="H53" s="1" t="s">
        <v>58</v>
      </c>
      <c r="I53" s="1" t="s">
        <v>59</v>
      </c>
      <c r="J53">
        <v>5</v>
      </c>
      <c r="K53">
        <v>16.989999999999998</v>
      </c>
      <c r="L53" s="1" t="s">
        <v>60</v>
      </c>
      <c r="M53" s="1" t="s">
        <v>61</v>
      </c>
      <c r="N53" s="1" t="s">
        <v>62</v>
      </c>
      <c r="O53" s="1" t="s">
        <v>31</v>
      </c>
      <c r="P53" s="2">
        <v>45726</v>
      </c>
      <c r="Q53" s="1" t="s">
        <v>238</v>
      </c>
      <c r="R53" s="1" t="s">
        <v>239</v>
      </c>
      <c r="S53" s="1" t="s">
        <v>65</v>
      </c>
      <c r="T53" s="1" t="s">
        <v>35</v>
      </c>
      <c r="U53" s="1" t="s">
        <v>66</v>
      </c>
      <c r="V53" s="1" t="s">
        <v>67</v>
      </c>
      <c r="W53">
        <v>3</v>
      </c>
      <c r="X53" s="1" t="str">
        <f t="shared" si="0"/>
        <v>juan.vargas13@mail.com</v>
      </c>
      <c r="Y53" s="1" t="str">
        <f>INDEX(V:V,MATCH(orders_desnormalizado_prueba3[[#This Row],[acquisition_channel]],U:U,0))</f>
        <v>AliDropship CN - envio 15-20 dias</v>
      </c>
      <c r="Z53" s="1" t="str">
        <f>INDEX(T:T,MATCH(orders_desnormalizado_prueba3[[#This Row],[shipping_cost]],W:W,0))</f>
        <v>Colombia</v>
      </c>
      <c r="AA53" s="1" t="str">
        <f t="shared" si="1"/>
        <v>Cartagena</v>
      </c>
      <c r="AB53" s="1"/>
      <c r="AC53" s="1" t="str">
        <f t="shared" si="2"/>
        <v xml:space="preserve"> </v>
      </c>
    </row>
    <row r="54" spans="1:29" x14ac:dyDescent="0.3">
      <c r="A54" s="1" t="s">
        <v>240</v>
      </c>
      <c r="B54">
        <v>3</v>
      </c>
      <c r="C54">
        <v>18.989999999999998</v>
      </c>
      <c r="D54">
        <v>45.28</v>
      </c>
      <c r="E54" s="1" t="s">
        <v>168</v>
      </c>
      <c r="F54" s="1" t="s">
        <v>40</v>
      </c>
      <c r="G54">
        <v>10</v>
      </c>
      <c r="H54" s="1" t="s">
        <v>58</v>
      </c>
      <c r="I54" s="1" t="s">
        <v>97</v>
      </c>
      <c r="J54">
        <v>6</v>
      </c>
      <c r="K54">
        <v>18.989999999999998</v>
      </c>
      <c r="L54" s="1" t="s">
        <v>60</v>
      </c>
      <c r="M54" s="1" t="s">
        <v>43</v>
      </c>
      <c r="N54" s="1" t="s">
        <v>44</v>
      </c>
      <c r="O54" s="1" t="s">
        <v>31</v>
      </c>
      <c r="P54" s="2">
        <v>45823</v>
      </c>
      <c r="Q54" s="1" t="s">
        <v>241</v>
      </c>
      <c r="R54" s="1" t="s">
        <v>242</v>
      </c>
      <c r="S54" s="1" t="s">
        <v>65</v>
      </c>
      <c r="T54" s="1" t="s">
        <v>35</v>
      </c>
      <c r="U54" s="1" t="s">
        <v>55</v>
      </c>
      <c r="V54" s="1" t="s">
        <v>100</v>
      </c>
      <c r="W54">
        <v>3.2</v>
      </c>
      <c r="X54" s="1" t="str">
        <f t="shared" si="0"/>
        <v>santiago.ramirez62@mail.com</v>
      </c>
      <c r="Y54" s="1" t="str">
        <f>INDEX(V:V,MATCH(orders_desnormalizado_prueba3[[#This Row],[acquisition_channel]],U:U,0))</f>
        <v>Bodega Propia CO - envio 2-3 dias</v>
      </c>
      <c r="Z54" s="1" t="str">
        <f>INDEX(T:T,MATCH(orders_desnormalizado_prueba3[[#This Row],[shipping_cost]],W:W,0))</f>
        <v>Colombia</v>
      </c>
      <c r="AA54" s="1" t="str">
        <f t="shared" si="1"/>
        <v>Bogota</v>
      </c>
      <c r="AB54" s="1"/>
      <c r="AC54" s="1" t="str">
        <f t="shared" si="2"/>
        <v xml:space="preserve"> </v>
      </c>
    </row>
    <row r="55" spans="1:29" x14ac:dyDescent="0.3">
      <c r="A55" s="1" t="s">
        <v>243</v>
      </c>
      <c r="B55">
        <v>1</v>
      </c>
      <c r="C55">
        <v>18.989999999999998</v>
      </c>
      <c r="D55">
        <v>18.989999999999998</v>
      </c>
      <c r="E55" s="1" t="s">
        <v>244</v>
      </c>
      <c r="F55" s="1" t="s">
        <v>40</v>
      </c>
      <c r="G55">
        <v>14</v>
      </c>
      <c r="H55" s="1" t="s">
        <v>58</v>
      </c>
      <c r="I55" s="1" t="s">
        <v>97</v>
      </c>
      <c r="J55">
        <v>6</v>
      </c>
      <c r="K55">
        <v>18.989999999999998</v>
      </c>
      <c r="L55" s="1" t="s">
        <v>60</v>
      </c>
      <c r="M55" s="1" t="s">
        <v>43</v>
      </c>
      <c r="N55" s="1" t="s">
        <v>44</v>
      </c>
      <c r="O55" s="1" t="s">
        <v>31</v>
      </c>
      <c r="P55" s="2">
        <v>45823</v>
      </c>
      <c r="Q55" s="1" t="s">
        <v>133</v>
      </c>
      <c r="R55" s="1" t="s">
        <v>134</v>
      </c>
      <c r="S55" s="1" t="s">
        <v>65</v>
      </c>
      <c r="T55" s="1" t="s">
        <v>35</v>
      </c>
      <c r="U55" s="1" t="s">
        <v>66</v>
      </c>
      <c r="V55" s="1" t="s">
        <v>100</v>
      </c>
      <c r="W55">
        <v>3.2</v>
      </c>
      <c r="X55" s="1" t="str">
        <f t="shared" si="0"/>
        <v>isabella.diaz18@mail.com</v>
      </c>
      <c r="Y55" s="1" t="str">
        <f>INDEX(V:V,MATCH(orders_desnormalizado_prueba3[[#This Row],[acquisition_channel]],U:U,0))</f>
        <v>AliDropship CN - envio 15-20 dias</v>
      </c>
      <c r="Z55" s="1" t="str">
        <f>INDEX(T:T,MATCH(orders_desnormalizado_prueba3[[#This Row],[shipping_cost]],W:W,0))</f>
        <v>Colombia</v>
      </c>
      <c r="AA55" s="1" t="str">
        <f t="shared" si="1"/>
        <v>Bogota</v>
      </c>
      <c r="AB55" s="1"/>
      <c r="AC55" s="1" t="str">
        <f t="shared" si="2"/>
        <v xml:space="preserve"> </v>
      </c>
    </row>
    <row r="56" spans="1:29" x14ac:dyDescent="0.3">
      <c r="A56" s="1" t="s">
        <v>245</v>
      </c>
      <c r="B56">
        <v>1</v>
      </c>
      <c r="C56">
        <v>21.99</v>
      </c>
      <c r="D56">
        <v>21.99</v>
      </c>
      <c r="E56" s="1" t="s">
        <v>246</v>
      </c>
      <c r="F56" s="1" t="s">
        <v>40</v>
      </c>
      <c r="G56">
        <v>2</v>
      </c>
      <c r="H56" s="1" t="s">
        <v>26</v>
      </c>
      <c r="I56" s="1" t="s">
        <v>27</v>
      </c>
      <c r="J56">
        <v>7</v>
      </c>
      <c r="K56">
        <v>21.99</v>
      </c>
      <c r="L56" s="1" t="s">
        <v>28</v>
      </c>
      <c r="M56" s="1" t="s">
        <v>29</v>
      </c>
      <c r="N56" s="1" t="s">
        <v>30</v>
      </c>
      <c r="O56" s="1" t="s">
        <v>31</v>
      </c>
      <c r="P56" s="2">
        <v>45778</v>
      </c>
      <c r="Q56" s="1" t="s">
        <v>234</v>
      </c>
      <c r="R56" s="1" t="s">
        <v>235</v>
      </c>
      <c r="S56" s="1" t="s">
        <v>105</v>
      </c>
      <c r="T56" s="1" t="s">
        <v>35</v>
      </c>
      <c r="U56" s="1" t="s">
        <v>48</v>
      </c>
      <c r="V56" s="1" t="s">
        <v>37</v>
      </c>
      <c r="W56">
        <v>2</v>
      </c>
      <c r="X56" s="1" t="str">
        <f t="shared" si="0"/>
        <v>david.sanchez5@mail.com</v>
      </c>
      <c r="Y56" s="1" t="str">
        <f>INDEX(V:V,MATCH(orders_desnormalizado_prueba3[[#This Row],[acquisition_channel]],U:U,0))</f>
        <v>Bodega Propia CO - envio 2-3 dias</v>
      </c>
      <c r="Z56" s="1" t="str">
        <f>INDEX(T:T,MATCH(orders_desnormalizado_prueba3[[#This Row],[shipping_cost]],W:W,0))</f>
        <v>Colombia</v>
      </c>
      <c r="AA56" s="1" t="str">
        <f t="shared" si="1"/>
        <v>Medellin</v>
      </c>
      <c r="AB56" s="1"/>
      <c r="AC56" s="1" t="str">
        <f t="shared" si="2"/>
        <v xml:space="preserve"> </v>
      </c>
    </row>
    <row r="57" spans="1:29" x14ac:dyDescent="0.3">
      <c r="A57" s="1" t="s">
        <v>247</v>
      </c>
      <c r="B57">
        <v>1</v>
      </c>
      <c r="C57">
        <v>34.99</v>
      </c>
      <c r="D57">
        <v>34.99</v>
      </c>
      <c r="E57" s="1" t="s">
        <v>248</v>
      </c>
      <c r="F57" s="1" t="s">
        <v>51</v>
      </c>
      <c r="G57">
        <v>0</v>
      </c>
      <c r="H57" s="1" t="s">
        <v>96</v>
      </c>
      <c r="I57" s="1" t="s">
        <v>85</v>
      </c>
      <c r="J57">
        <v>12.5</v>
      </c>
      <c r="K57">
        <v>34.99</v>
      </c>
      <c r="L57" s="1" t="s">
        <v>60</v>
      </c>
      <c r="M57" s="1" t="s">
        <v>29</v>
      </c>
      <c r="N57" s="1" t="s">
        <v>30</v>
      </c>
      <c r="O57" s="1" t="s">
        <v>31</v>
      </c>
      <c r="P57" s="2">
        <v>45778</v>
      </c>
      <c r="Q57" s="1" t="s">
        <v>249</v>
      </c>
      <c r="R57" s="1" t="s">
        <v>250</v>
      </c>
      <c r="S57" s="1" t="s">
        <v>47</v>
      </c>
      <c r="T57" s="1" t="s">
        <v>35</v>
      </c>
      <c r="U57" s="1" t="s">
        <v>82</v>
      </c>
      <c r="V57" s="1" t="s">
        <v>89</v>
      </c>
      <c r="W57">
        <v>2.4</v>
      </c>
      <c r="X57" s="1" t="str">
        <f t="shared" si="0"/>
        <v>diego.rodriguez176@mail.com</v>
      </c>
      <c r="Y57" s="1" t="str">
        <f>INDEX(V:V,MATCH(orders_desnormalizado_prueba3[[#This Row],[acquisition_channel]],U:U,0))</f>
        <v>Bodega Propia CO - envio 2-3 dias</v>
      </c>
      <c r="Z57" s="1" t="str">
        <f>INDEX(T:T,MATCH(orders_desnormalizado_prueba3[[#This Row],[shipping_cost]],W:W,0))</f>
        <v>Colombia</v>
      </c>
      <c r="AA57" s="1" t="str">
        <f t="shared" si="1"/>
        <v>Cartagena</v>
      </c>
      <c r="AB57" s="1"/>
      <c r="AC57" s="1" t="str">
        <f t="shared" si="2"/>
        <v xml:space="preserve"> </v>
      </c>
    </row>
    <row r="58" spans="1:29" x14ac:dyDescent="0.3">
      <c r="A58" s="1" t="s">
        <v>251</v>
      </c>
      <c r="B58">
        <v>1</v>
      </c>
      <c r="C58">
        <v>34.99</v>
      </c>
      <c r="D58">
        <v>34.99</v>
      </c>
      <c r="E58" s="1" t="s">
        <v>252</v>
      </c>
      <c r="F58" s="1" t="s">
        <v>40</v>
      </c>
      <c r="G58">
        <v>5</v>
      </c>
      <c r="H58" s="1" t="s">
        <v>41</v>
      </c>
      <c r="I58" s="1" t="s">
        <v>85</v>
      </c>
      <c r="J58">
        <v>12.5</v>
      </c>
      <c r="K58">
        <v>34.99</v>
      </c>
      <c r="L58" s="1" t="s">
        <v>60</v>
      </c>
      <c r="M58" s="1" t="s">
        <v>29</v>
      </c>
      <c r="N58" s="1" t="s">
        <v>30</v>
      </c>
      <c r="O58" s="1" t="s">
        <v>31</v>
      </c>
      <c r="P58" s="2">
        <v>45778</v>
      </c>
      <c r="Q58" s="1" t="s">
        <v>253</v>
      </c>
      <c r="R58" s="1" t="s">
        <v>254</v>
      </c>
      <c r="S58" s="1" t="s">
        <v>105</v>
      </c>
      <c r="T58" s="1" t="s">
        <v>35</v>
      </c>
      <c r="U58" s="1" t="s">
        <v>48</v>
      </c>
      <c r="V58" s="1" t="s">
        <v>89</v>
      </c>
      <c r="W58">
        <v>2.4</v>
      </c>
      <c r="X58" s="1" t="str">
        <f t="shared" si="0"/>
        <v>camila.sanchez81@mail.com</v>
      </c>
      <c r="Y58" s="1" t="str">
        <f>INDEX(V:V,MATCH(orders_desnormalizado_prueba3[[#This Row],[acquisition_channel]],U:U,0))</f>
        <v>Bodega Propia CO - envio 2-3 dias</v>
      </c>
      <c r="Z58" s="1" t="str">
        <f>INDEX(T:T,MATCH(orders_desnormalizado_prueba3[[#This Row],[shipping_cost]],W:W,0))</f>
        <v>Colombia</v>
      </c>
      <c r="AA58" s="1" t="str">
        <f t="shared" si="1"/>
        <v>Cali</v>
      </c>
      <c r="AB58" s="1"/>
      <c r="AC58" s="1" t="str">
        <f t="shared" si="2"/>
        <v xml:space="preserve"> </v>
      </c>
    </row>
    <row r="59" spans="1:29" x14ac:dyDescent="0.3">
      <c r="A59" s="1" t="s">
        <v>255</v>
      </c>
      <c r="B59">
        <v>2</v>
      </c>
      <c r="C59">
        <v>27.99</v>
      </c>
      <c r="D59">
        <v>48.38</v>
      </c>
      <c r="E59" s="1" t="s">
        <v>113</v>
      </c>
      <c r="F59" s="1" t="s">
        <v>40</v>
      </c>
      <c r="G59">
        <v>3</v>
      </c>
      <c r="H59" s="1" t="s">
        <v>26</v>
      </c>
      <c r="I59" s="1" t="s">
        <v>75</v>
      </c>
      <c r="J59">
        <v>9</v>
      </c>
      <c r="K59">
        <v>27.99</v>
      </c>
      <c r="L59" s="1" t="s">
        <v>28</v>
      </c>
      <c r="M59" s="1" t="s">
        <v>61</v>
      </c>
      <c r="N59" s="1" t="s">
        <v>62</v>
      </c>
      <c r="O59" s="1" t="s">
        <v>31</v>
      </c>
      <c r="P59" s="2">
        <v>45726</v>
      </c>
      <c r="Q59" s="1" t="s">
        <v>256</v>
      </c>
      <c r="R59" s="1" t="s">
        <v>257</v>
      </c>
      <c r="S59" s="1" t="s">
        <v>105</v>
      </c>
      <c r="T59" s="1" t="s">
        <v>35</v>
      </c>
      <c r="U59" s="1" t="s">
        <v>48</v>
      </c>
      <c r="V59" s="1" t="s">
        <v>37</v>
      </c>
      <c r="W59">
        <v>2</v>
      </c>
      <c r="X59" s="1" t="str">
        <f t="shared" si="0"/>
        <v>daniela.ramirez70@mail.com</v>
      </c>
      <c r="Y59" s="1" t="str">
        <f>INDEX(V:V,MATCH(orders_desnormalizado_prueba3[[#This Row],[acquisition_channel]],U:U,0))</f>
        <v>Bodega Propia CO - envio 2-3 dias</v>
      </c>
      <c r="Z59" s="1" t="str">
        <f>INDEX(T:T,MATCH(orders_desnormalizado_prueba3[[#This Row],[shipping_cost]],W:W,0))</f>
        <v>Colombia</v>
      </c>
      <c r="AA59" s="1" t="str">
        <f t="shared" si="1"/>
        <v>Barranquilla</v>
      </c>
      <c r="AB59" s="1"/>
      <c r="AC59" s="1" t="str">
        <f t="shared" si="2"/>
        <v xml:space="preserve"> </v>
      </c>
    </row>
    <row r="60" spans="1:29" x14ac:dyDescent="0.3">
      <c r="A60" s="1" t="s">
        <v>258</v>
      </c>
      <c r="B60">
        <v>1</v>
      </c>
      <c r="C60">
        <v>30.99</v>
      </c>
      <c r="D60">
        <v>30.99</v>
      </c>
      <c r="E60" s="1" t="s">
        <v>79</v>
      </c>
      <c r="F60" s="1" t="s">
        <v>40</v>
      </c>
      <c r="G60">
        <v>2</v>
      </c>
      <c r="H60" s="1" t="s">
        <v>26</v>
      </c>
      <c r="I60" s="1" t="s">
        <v>42</v>
      </c>
      <c r="J60">
        <v>10.5</v>
      </c>
      <c r="K60">
        <v>30.99</v>
      </c>
      <c r="L60" s="1" t="s">
        <v>28</v>
      </c>
      <c r="M60" s="1" t="s">
        <v>43</v>
      </c>
      <c r="N60" s="1" t="s">
        <v>44</v>
      </c>
      <c r="O60" s="1" t="s">
        <v>31</v>
      </c>
      <c r="P60" s="2">
        <v>45823</v>
      </c>
      <c r="Q60" s="1" t="s">
        <v>150</v>
      </c>
      <c r="R60" s="1" t="s">
        <v>151</v>
      </c>
      <c r="S60" s="1" t="s">
        <v>105</v>
      </c>
      <c r="T60" s="1" t="s">
        <v>35</v>
      </c>
      <c r="U60" s="1" t="s">
        <v>55</v>
      </c>
      <c r="V60" s="1" t="s">
        <v>37</v>
      </c>
      <c r="W60">
        <v>2</v>
      </c>
      <c r="X60" s="1" t="str">
        <f t="shared" si="0"/>
        <v>diego.sanchez111@mail.com</v>
      </c>
      <c r="Y60" s="1" t="str">
        <f>INDEX(V:V,MATCH(orders_desnormalizado_prueba3[[#This Row],[acquisition_channel]],U:U,0))</f>
        <v>Bodega Propia CO - envio 2-3 dias</v>
      </c>
      <c r="Z60" s="1" t="str">
        <f>INDEX(T:T,MATCH(orders_desnormalizado_prueba3[[#This Row],[shipping_cost]],W:W,0))</f>
        <v>Colombia</v>
      </c>
      <c r="AA60" s="1" t="str">
        <f t="shared" si="1"/>
        <v>Medellin</v>
      </c>
      <c r="AB60" s="1"/>
      <c r="AC60" s="1" t="str">
        <f t="shared" si="2"/>
        <v xml:space="preserve"> </v>
      </c>
    </row>
    <row r="61" spans="1:29" x14ac:dyDescent="0.3">
      <c r="A61" s="1" t="s">
        <v>259</v>
      </c>
      <c r="B61">
        <v>2</v>
      </c>
      <c r="C61">
        <v>34.99</v>
      </c>
      <c r="D61">
        <v>60.98</v>
      </c>
      <c r="E61" s="1" t="s">
        <v>260</v>
      </c>
      <c r="F61" s="1" t="s">
        <v>51</v>
      </c>
      <c r="G61">
        <v>0</v>
      </c>
      <c r="H61" s="1" t="s">
        <v>26</v>
      </c>
      <c r="I61" s="1" t="s">
        <v>85</v>
      </c>
      <c r="J61">
        <v>12.5</v>
      </c>
      <c r="K61">
        <v>34.99</v>
      </c>
      <c r="L61" s="1" t="s">
        <v>60</v>
      </c>
      <c r="M61" s="1" t="s">
        <v>29</v>
      </c>
      <c r="N61" s="1" t="s">
        <v>30</v>
      </c>
      <c r="O61" s="1" t="s">
        <v>31</v>
      </c>
      <c r="P61" s="2">
        <v>45778</v>
      </c>
      <c r="Q61" s="1" t="s">
        <v>194</v>
      </c>
      <c r="R61" s="1" t="s">
        <v>195</v>
      </c>
      <c r="S61" s="1" t="s">
        <v>88</v>
      </c>
      <c r="T61" s="1" t="s">
        <v>35</v>
      </c>
      <c r="U61" s="1" t="s">
        <v>48</v>
      </c>
      <c r="V61" s="1" t="s">
        <v>89</v>
      </c>
      <c r="W61">
        <v>2.4</v>
      </c>
      <c r="X61" s="1" t="str">
        <f t="shared" si="0"/>
        <v>mateo.torres90@mail.com</v>
      </c>
      <c r="Y61" s="1" t="str">
        <f>INDEX(V:V,MATCH(orders_desnormalizado_prueba3[[#This Row],[acquisition_channel]],U:U,0))</f>
        <v>Bodega Propia CO - envio 2-3 dias</v>
      </c>
      <c r="Z61" s="1" t="str">
        <f>INDEX(T:T,MATCH(orders_desnormalizado_prueba3[[#This Row],[shipping_cost]],W:W,0))</f>
        <v>Colombia</v>
      </c>
      <c r="AA61" s="1" t="str">
        <f t="shared" si="1"/>
        <v>Cartagena</v>
      </c>
      <c r="AB61" s="1"/>
      <c r="AC61" s="1" t="str">
        <f t="shared" si="2"/>
        <v xml:space="preserve"> </v>
      </c>
    </row>
    <row r="62" spans="1:29" x14ac:dyDescent="0.3">
      <c r="A62" s="1" t="s">
        <v>261</v>
      </c>
      <c r="B62">
        <v>1</v>
      </c>
      <c r="C62">
        <v>27.99</v>
      </c>
      <c r="D62">
        <v>27.99</v>
      </c>
      <c r="E62" s="1" t="s">
        <v>57</v>
      </c>
      <c r="F62" s="1" t="s">
        <v>40</v>
      </c>
      <c r="G62">
        <v>2</v>
      </c>
      <c r="H62" s="1" t="s">
        <v>26</v>
      </c>
      <c r="I62" s="1" t="s">
        <v>75</v>
      </c>
      <c r="J62">
        <v>9</v>
      </c>
      <c r="K62">
        <v>27.99</v>
      </c>
      <c r="L62" s="1" t="s">
        <v>28</v>
      </c>
      <c r="M62" s="1" t="s">
        <v>61</v>
      </c>
      <c r="N62" s="1" t="s">
        <v>62</v>
      </c>
      <c r="O62" s="1" t="s">
        <v>31</v>
      </c>
      <c r="P62" s="2">
        <v>45726</v>
      </c>
      <c r="Q62" s="1" t="s">
        <v>262</v>
      </c>
      <c r="R62" s="1" t="s">
        <v>263</v>
      </c>
      <c r="S62" s="1" t="s">
        <v>105</v>
      </c>
      <c r="T62" s="1" t="s">
        <v>35</v>
      </c>
      <c r="U62" s="1" t="s">
        <v>82</v>
      </c>
      <c r="V62" s="1" t="s">
        <v>37</v>
      </c>
      <c r="W62">
        <v>2</v>
      </c>
      <c r="X62" s="1" t="str">
        <f t="shared" si="0"/>
        <v>sebastian.torres8@mail.com</v>
      </c>
      <c r="Y62" s="1" t="str">
        <f>INDEX(V:V,MATCH(orders_desnormalizado_prueba3[[#This Row],[acquisition_channel]],U:U,0))</f>
        <v>Bodega Propia CO - envio 2-3 dias</v>
      </c>
      <c r="Z62" s="1" t="str">
        <f>INDEX(T:T,MATCH(orders_desnormalizado_prueba3[[#This Row],[shipping_cost]],W:W,0))</f>
        <v>Colombia</v>
      </c>
      <c r="AA62" s="1" t="str">
        <f t="shared" si="1"/>
        <v>Medellin</v>
      </c>
      <c r="AB62" s="1"/>
      <c r="AC62" s="1" t="str">
        <f t="shared" si="2"/>
        <v xml:space="preserve"> </v>
      </c>
    </row>
    <row r="63" spans="1:29" x14ac:dyDescent="0.3">
      <c r="A63" s="1" t="s">
        <v>264</v>
      </c>
      <c r="B63">
        <v>1</v>
      </c>
      <c r="C63">
        <v>34.99</v>
      </c>
      <c r="D63">
        <v>34.99</v>
      </c>
      <c r="E63" s="1" t="s">
        <v>57</v>
      </c>
      <c r="F63" s="1" t="s">
        <v>188</v>
      </c>
      <c r="G63">
        <v>0</v>
      </c>
      <c r="H63" s="1" t="s">
        <v>26</v>
      </c>
      <c r="I63" s="1" t="s">
        <v>85</v>
      </c>
      <c r="J63">
        <v>12.5</v>
      </c>
      <c r="K63">
        <v>34.99</v>
      </c>
      <c r="L63" s="1" t="s">
        <v>60</v>
      </c>
      <c r="M63" s="1" t="s">
        <v>29</v>
      </c>
      <c r="N63" s="1" t="s">
        <v>30</v>
      </c>
      <c r="O63" s="1" t="s">
        <v>31</v>
      </c>
      <c r="P63" s="2">
        <v>45778</v>
      </c>
      <c r="Q63" s="1" t="s">
        <v>165</v>
      </c>
      <c r="R63" s="1" t="s">
        <v>166</v>
      </c>
      <c r="S63" s="1" t="s">
        <v>88</v>
      </c>
      <c r="T63" s="1" t="s">
        <v>35</v>
      </c>
      <c r="U63" s="1" t="s">
        <v>66</v>
      </c>
      <c r="V63" s="1" t="s">
        <v>89</v>
      </c>
      <c r="W63">
        <v>2.4</v>
      </c>
      <c r="X63" s="1" t="str">
        <f t="shared" si="0"/>
        <v>paula.sanchez95@mail.com</v>
      </c>
      <c r="Y63" s="1" t="str">
        <f>INDEX(V:V,MATCH(orders_desnormalizado_prueba3[[#This Row],[acquisition_channel]],U:U,0))</f>
        <v>AliDropship CN - envio 15-20 dias</v>
      </c>
      <c r="Z63" s="1" t="str">
        <f>INDEX(T:T,MATCH(orders_desnormalizado_prueba3[[#This Row],[shipping_cost]],W:W,0))</f>
        <v>Colombia</v>
      </c>
      <c r="AA63" s="1" t="str">
        <f t="shared" si="1"/>
        <v>Cartagena</v>
      </c>
      <c r="AB63" s="1"/>
      <c r="AC63" s="1" t="str">
        <f t="shared" si="2"/>
        <v xml:space="preserve"> </v>
      </c>
    </row>
    <row r="64" spans="1:29" x14ac:dyDescent="0.3">
      <c r="A64" s="1" t="s">
        <v>265</v>
      </c>
      <c r="B64">
        <v>1</v>
      </c>
      <c r="C64">
        <v>30.99</v>
      </c>
      <c r="D64">
        <v>30.99</v>
      </c>
      <c r="E64" s="1" t="s">
        <v>79</v>
      </c>
      <c r="F64" s="1" t="s">
        <v>40</v>
      </c>
      <c r="G64">
        <v>4</v>
      </c>
      <c r="H64" s="1" t="s">
        <v>26</v>
      </c>
      <c r="I64" s="1" t="s">
        <v>42</v>
      </c>
      <c r="J64">
        <v>10.5</v>
      </c>
      <c r="K64">
        <v>30.99</v>
      </c>
      <c r="L64" s="1" t="s">
        <v>28</v>
      </c>
      <c r="M64" s="1" t="s">
        <v>43</v>
      </c>
      <c r="N64" s="1" t="s">
        <v>44</v>
      </c>
      <c r="O64" s="1" t="s">
        <v>31</v>
      </c>
      <c r="P64" s="2">
        <v>45823</v>
      </c>
      <c r="Q64" s="1" t="s">
        <v>266</v>
      </c>
      <c r="R64" s="1" t="s">
        <v>267</v>
      </c>
      <c r="S64" s="1" t="s">
        <v>47</v>
      </c>
      <c r="T64" s="1" t="s">
        <v>35</v>
      </c>
      <c r="U64" s="1" t="s">
        <v>36</v>
      </c>
      <c r="V64" s="1" t="s">
        <v>37</v>
      </c>
      <c r="W64">
        <v>2</v>
      </c>
      <c r="X64" s="1" t="str">
        <f t="shared" si="0"/>
        <v>alejandro.rodriguez7@mail.com</v>
      </c>
      <c r="Y64" s="1" t="str">
        <f>INDEX(V:V,MATCH(orders_desnormalizado_prueba3[[#This Row],[acquisition_channel]],U:U,0))</f>
        <v>Bodega Propia CO - envio 2-3 dias</v>
      </c>
      <c r="Z64" s="1" t="str">
        <f>INDEX(T:T,MATCH(orders_desnormalizado_prueba3[[#This Row],[shipping_cost]],W:W,0))</f>
        <v>Colombia</v>
      </c>
      <c r="AA64" s="1" t="str">
        <f t="shared" si="1"/>
        <v>Barranquilla</v>
      </c>
      <c r="AB64" s="1"/>
      <c r="AC64" s="1" t="str">
        <f t="shared" si="2"/>
        <v xml:space="preserve"> </v>
      </c>
    </row>
    <row r="65" spans="1:29" x14ac:dyDescent="0.3">
      <c r="A65" s="1" t="s">
        <v>268</v>
      </c>
      <c r="B65">
        <v>1</v>
      </c>
      <c r="C65">
        <v>27.99</v>
      </c>
      <c r="D65">
        <v>27.99</v>
      </c>
      <c r="E65" s="1" t="s">
        <v>102</v>
      </c>
      <c r="F65" s="1" t="s">
        <v>70</v>
      </c>
      <c r="G65">
        <v>0</v>
      </c>
      <c r="H65" s="1" t="s">
        <v>58</v>
      </c>
      <c r="I65" s="1" t="s">
        <v>75</v>
      </c>
      <c r="J65">
        <v>9</v>
      </c>
      <c r="K65">
        <v>27.99</v>
      </c>
      <c r="L65" s="1" t="s">
        <v>28</v>
      </c>
      <c r="M65" s="1" t="s">
        <v>61</v>
      </c>
      <c r="N65" s="1" t="s">
        <v>62</v>
      </c>
      <c r="O65" s="1" t="s">
        <v>31</v>
      </c>
      <c r="P65" s="2">
        <v>45726</v>
      </c>
      <c r="Q65" s="1" t="s">
        <v>269</v>
      </c>
      <c r="R65" s="1" t="s">
        <v>270</v>
      </c>
      <c r="S65" s="1" t="s">
        <v>88</v>
      </c>
      <c r="T65" s="1" t="s">
        <v>35</v>
      </c>
      <c r="U65" s="1" t="s">
        <v>55</v>
      </c>
      <c r="V65" s="1" t="s">
        <v>37</v>
      </c>
      <c r="W65">
        <v>2</v>
      </c>
      <c r="X65" s="1" t="str">
        <f t="shared" si="0"/>
        <v>camila.vargas52@mail.com</v>
      </c>
      <c r="Y65" s="1" t="str">
        <f>INDEX(V:V,MATCH(orders_desnormalizado_prueba3[[#This Row],[acquisition_channel]],U:U,0))</f>
        <v>Bodega Propia CO - envio 2-3 dias</v>
      </c>
      <c r="Z65" s="1" t="str">
        <f>INDEX(T:T,MATCH(orders_desnormalizado_prueba3[[#This Row],[shipping_cost]],W:W,0))</f>
        <v>Colombia</v>
      </c>
      <c r="AA65" s="1" t="str">
        <f t="shared" si="1"/>
        <v>Cartagena</v>
      </c>
      <c r="AB65" s="1"/>
      <c r="AC65" s="1" t="str">
        <f t="shared" si="2"/>
        <v xml:space="preserve"> </v>
      </c>
    </row>
    <row r="66" spans="1:29" x14ac:dyDescent="0.3">
      <c r="A66" s="1" t="s">
        <v>271</v>
      </c>
      <c r="B66">
        <v>1</v>
      </c>
      <c r="C66">
        <v>18.989999999999998</v>
      </c>
      <c r="D66">
        <v>18.989999999999998</v>
      </c>
      <c r="E66" s="1" t="s">
        <v>272</v>
      </c>
      <c r="F66" s="1" t="s">
        <v>40</v>
      </c>
      <c r="G66">
        <v>14</v>
      </c>
      <c r="H66" s="1" t="s">
        <v>58</v>
      </c>
      <c r="I66" s="1" t="s">
        <v>97</v>
      </c>
      <c r="J66">
        <v>6</v>
      </c>
      <c r="K66">
        <v>18.989999999999998</v>
      </c>
      <c r="L66" s="1" t="s">
        <v>60</v>
      </c>
      <c r="M66" s="1" t="s">
        <v>43</v>
      </c>
      <c r="N66" s="1" t="s">
        <v>44</v>
      </c>
      <c r="O66" s="1" t="s">
        <v>31</v>
      </c>
      <c r="P66" s="2">
        <v>45823</v>
      </c>
      <c r="Q66" s="1" t="s">
        <v>125</v>
      </c>
      <c r="R66" s="1" t="s">
        <v>126</v>
      </c>
      <c r="S66" s="1" t="s">
        <v>88</v>
      </c>
      <c r="T66" s="1" t="s">
        <v>35</v>
      </c>
      <c r="U66" s="1" t="s">
        <v>48</v>
      </c>
      <c r="V66" s="1" t="s">
        <v>100</v>
      </c>
      <c r="W66">
        <v>3.2</v>
      </c>
      <c r="X66" s="1" t="str">
        <f t="shared" ref="X66:X129" si="3">INDEX(R:R,MATCH(Q66,Q:Q,0))</f>
        <v>laura.diaz93@mail.com</v>
      </c>
      <c r="Y66" s="1" t="str">
        <f>INDEX(V:V,MATCH(orders_desnormalizado_prueba3[[#This Row],[acquisition_channel]],U:U,0))</f>
        <v>Bodega Propia CO - envio 2-3 dias</v>
      </c>
      <c r="Z66" s="1" t="str">
        <f>INDEX(T:T,MATCH(orders_desnormalizado_prueba3[[#This Row],[shipping_cost]],W:W,0))</f>
        <v>Colombia</v>
      </c>
      <c r="AA66" s="1" t="str">
        <f t="shared" ref="AA66:AA129" si="4">INDEX(S:S,MATCH(G66,G:G,0))</f>
        <v>Bogota</v>
      </c>
      <c r="AB66" s="1"/>
      <c r="AC66" s="1" t="str">
        <f t="shared" ref="AC66:AC129" si="5">IFERROR(INDEX($V:$V,MATCH(AB66,$R:$R,0)), " ")</f>
        <v xml:space="preserve"> </v>
      </c>
    </row>
    <row r="67" spans="1:29" x14ac:dyDescent="0.3">
      <c r="A67" s="1" t="s">
        <v>273</v>
      </c>
      <c r="B67">
        <v>1</v>
      </c>
      <c r="C67">
        <v>18.989999999999998</v>
      </c>
      <c r="D67">
        <v>18.989999999999998</v>
      </c>
      <c r="E67" s="1" t="s">
        <v>274</v>
      </c>
      <c r="F67" s="1" t="s">
        <v>40</v>
      </c>
      <c r="G67">
        <v>11</v>
      </c>
      <c r="H67" s="1" t="s">
        <v>58</v>
      </c>
      <c r="I67" s="1" t="s">
        <v>97</v>
      </c>
      <c r="J67">
        <v>6</v>
      </c>
      <c r="K67">
        <v>18.989999999999998</v>
      </c>
      <c r="L67" s="1" t="s">
        <v>60</v>
      </c>
      <c r="M67" s="1" t="s">
        <v>43</v>
      </c>
      <c r="N67" s="1" t="s">
        <v>44</v>
      </c>
      <c r="O67" s="1" t="s">
        <v>31</v>
      </c>
      <c r="P67" s="2">
        <v>45823</v>
      </c>
      <c r="Q67" s="1" t="s">
        <v>216</v>
      </c>
      <c r="R67" s="1" t="s">
        <v>275</v>
      </c>
      <c r="S67" s="1" t="s">
        <v>105</v>
      </c>
      <c r="T67" s="1" t="s">
        <v>35</v>
      </c>
      <c r="U67" s="1" t="s">
        <v>82</v>
      </c>
      <c r="V67" s="1" t="s">
        <v>100</v>
      </c>
      <c r="W67">
        <v>3.2</v>
      </c>
      <c r="X67" s="1" t="str">
        <f t="shared" si="3"/>
        <v>valentina.perez50@mail.com</v>
      </c>
      <c r="Y67" s="1" t="str">
        <f>INDEX(V:V,MATCH(orders_desnormalizado_prueba3[[#This Row],[acquisition_channel]],U:U,0))</f>
        <v>Bodega Propia CO - envio 2-3 dias</v>
      </c>
      <c r="Z67" s="1" t="str">
        <f>INDEX(T:T,MATCH(orders_desnormalizado_prueba3[[#This Row],[shipping_cost]],W:W,0))</f>
        <v>Colombia</v>
      </c>
      <c r="AA67" s="1" t="str">
        <f t="shared" si="4"/>
        <v>Cali</v>
      </c>
      <c r="AB67" s="1"/>
      <c r="AC67" s="1" t="str">
        <f t="shared" si="5"/>
        <v xml:space="preserve"> </v>
      </c>
    </row>
    <row r="68" spans="1:29" x14ac:dyDescent="0.3">
      <c r="A68" s="1" t="s">
        <v>276</v>
      </c>
      <c r="B68">
        <v>2</v>
      </c>
      <c r="C68">
        <v>21.99</v>
      </c>
      <c r="D68">
        <v>37.979999999999997</v>
      </c>
      <c r="E68" s="1" t="s">
        <v>109</v>
      </c>
      <c r="F68" s="1" t="s">
        <v>40</v>
      </c>
      <c r="G68">
        <v>3</v>
      </c>
      <c r="H68" s="1" t="s">
        <v>41</v>
      </c>
      <c r="I68" s="1" t="s">
        <v>27</v>
      </c>
      <c r="J68">
        <v>7</v>
      </c>
      <c r="K68">
        <v>21.99</v>
      </c>
      <c r="L68" s="1" t="s">
        <v>28</v>
      </c>
      <c r="M68" s="1" t="s">
        <v>29</v>
      </c>
      <c r="N68" s="1" t="s">
        <v>30</v>
      </c>
      <c r="O68" s="1" t="s">
        <v>31</v>
      </c>
      <c r="P68" s="2">
        <v>45778</v>
      </c>
      <c r="Q68" s="1" t="s">
        <v>140</v>
      </c>
      <c r="R68" s="1" t="s">
        <v>141</v>
      </c>
      <c r="S68" s="1" t="s">
        <v>54</v>
      </c>
      <c r="T68" s="1" t="s">
        <v>35</v>
      </c>
      <c r="U68" s="1" t="s">
        <v>55</v>
      </c>
      <c r="V68" s="1" t="s">
        <v>37</v>
      </c>
      <c r="W68">
        <v>2</v>
      </c>
      <c r="X68" s="1" t="str">
        <f t="shared" si="3"/>
        <v>david.rodriguez33@mail.com</v>
      </c>
      <c r="Y68" s="1" t="str">
        <f>INDEX(V:V,MATCH(orders_desnormalizado_prueba3[[#This Row],[acquisition_channel]],U:U,0))</f>
        <v>Bodega Propia CO - envio 2-3 dias</v>
      </c>
      <c r="Z68" s="1" t="str">
        <f>INDEX(T:T,MATCH(orders_desnormalizado_prueba3[[#This Row],[shipping_cost]],W:W,0))</f>
        <v>Colombia</v>
      </c>
      <c r="AA68" s="1" t="str">
        <f t="shared" si="4"/>
        <v>Barranquilla</v>
      </c>
      <c r="AB68" s="1"/>
      <c r="AC68" s="1" t="str">
        <f t="shared" si="5"/>
        <v xml:space="preserve"> </v>
      </c>
    </row>
    <row r="69" spans="1:29" x14ac:dyDescent="0.3">
      <c r="A69" s="1" t="s">
        <v>277</v>
      </c>
      <c r="B69">
        <v>1</v>
      </c>
      <c r="C69">
        <v>21.99</v>
      </c>
      <c r="D69">
        <v>21.99</v>
      </c>
      <c r="E69" s="1" t="s">
        <v>187</v>
      </c>
      <c r="F69" s="1" t="s">
        <v>40</v>
      </c>
      <c r="G69">
        <v>2</v>
      </c>
      <c r="H69" s="1" t="s">
        <v>26</v>
      </c>
      <c r="I69" s="1" t="s">
        <v>27</v>
      </c>
      <c r="J69">
        <v>7</v>
      </c>
      <c r="K69">
        <v>21.99</v>
      </c>
      <c r="L69" s="1" t="s">
        <v>28</v>
      </c>
      <c r="M69" s="1" t="s">
        <v>29</v>
      </c>
      <c r="N69" s="1" t="s">
        <v>30</v>
      </c>
      <c r="O69" s="1" t="s">
        <v>31</v>
      </c>
      <c r="P69" s="2">
        <v>45778</v>
      </c>
      <c r="Q69" s="1" t="s">
        <v>278</v>
      </c>
      <c r="R69" s="1" t="s">
        <v>279</v>
      </c>
      <c r="S69" s="1" t="s">
        <v>54</v>
      </c>
      <c r="T69" s="1" t="s">
        <v>35</v>
      </c>
      <c r="U69" s="1" t="s">
        <v>36</v>
      </c>
      <c r="V69" s="1" t="s">
        <v>37</v>
      </c>
      <c r="W69">
        <v>2</v>
      </c>
      <c r="X69" s="1" t="str">
        <f t="shared" si="3"/>
        <v>gabriela.diaz40@mail.com</v>
      </c>
      <c r="Y69" s="1" t="str">
        <f>INDEX(V:V,MATCH(orders_desnormalizado_prueba3[[#This Row],[acquisition_channel]],U:U,0))</f>
        <v>Bodega Propia CO - envio 2-3 dias</v>
      </c>
      <c r="Z69" s="1" t="str">
        <f>INDEX(T:T,MATCH(orders_desnormalizado_prueba3[[#This Row],[shipping_cost]],W:W,0))</f>
        <v>Colombia</v>
      </c>
      <c r="AA69" s="1" t="str">
        <f t="shared" si="4"/>
        <v>Medellin</v>
      </c>
      <c r="AB69" s="1"/>
      <c r="AC69" s="1" t="str">
        <f t="shared" si="5"/>
        <v xml:space="preserve"> </v>
      </c>
    </row>
    <row r="70" spans="1:29" x14ac:dyDescent="0.3">
      <c r="A70" s="1" t="s">
        <v>280</v>
      </c>
      <c r="B70">
        <v>3</v>
      </c>
      <c r="C70">
        <v>30.99</v>
      </c>
      <c r="D70">
        <v>74.53</v>
      </c>
      <c r="E70" s="1" t="s">
        <v>281</v>
      </c>
      <c r="F70" s="1" t="s">
        <v>40</v>
      </c>
      <c r="G70">
        <v>2</v>
      </c>
      <c r="H70" s="1" t="s">
        <v>41</v>
      </c>
      <c r="I70" s="1" t="s">
        <v>42</v>
      </c>
      <c r="J70">
        <v>10.5</v>
      </c>
      <c r="K70">
        <v>30.99</v>
      </c>
      <c r="L70" s="1" t="s">
        <v>28</v>
      </c>
      <c r="M70" s="1" t="s">
        <v>43</v>
      </c>
      <c r="N70" s="1" t="s">
        <v>44</v>
      </c>
      <c r="O70" s="1" t="s">
        <v>31</v>
      </c>
      <c r="P70" s="2">
        <v>45823</v>
      </c>
      <c r="Q70" s="1" t="s">
        <v>203</v>
      </c>
      <c r="R70" s="1" t="s">
        <v>204</v>
      </c>
      <c r="S70" s="1" t="s">
        <v>65</v>
      </c>
      <c r="T70" s="1" t="s">
        <v>35</v>
      </c>
      <c r="U70" s="1" t="s">
        <v>66</v>
      </c>
      <c r="V70" s="1" t="s">
        <v>37</v>
      </c>
      <c r="W70">
        <v>2</v>
      </c>
      <c r="X70" s="1" t="str">
        <f t="shared" si="3"/>
        <v>daniela.martinez158@mail.com</v>
      </c>
      <c r="Y70" s="1" t="str">
        <f>INDEX(V:V,MATCH(orders_desnormalizado_prueba3[[#This Row],[acquisition_channel]],U:U,0))</f>
        <v>AliDropship CN - envio 15-20 dias</v>
      </c>
      <c r="Z70" s="1" t="str">
        <f>INDEX(T:T,MATCH(orders_desnormalizado_prueba3[[#This Row],[shipping_cost]],W:W,0))</f>
        <v>Colombia</v>
      </c>
      <c r="AA70" s="1" t="str">
        <f t="shared" si="4"/>
        <v>Medellin</v>
      </c>
      <c r="AB70" s="1"/>
      <c r="AC70" s="1" t="str">
        <f t="shared" si="5"/>
        <v xml:space="preserve"> </v>
      </c>
    </row>
    <row r="71" spans="1:29" x14ac:dyDescent="0.3">
      <c r="A71" s="1" t="s">
        <v>282</v>
      </c>
      <c r="B71">
        <v>3</v>
      </c>
      <c r="C71">
        <v>27.99</v>
      </c>
      <c r="D71">
        <v>66.88</v>
      </c>
      <c r="E71" s="1" t="s">
        <v>192</v>
      </c>
      <c r="F71" s="1" t="s">
        <v>40</v>
      </c>
      <c r="G71">
        <v>2</v>
      </c>
      <c r="H71" s="1" t="s">
        <v>41</v>
      </c>
      <c r="I71" s="1" t="s">
        <v>75</v>
      </c>
      <c r="J71">
        <v>9</v>
      </c>
      <c r="K71">
        <v>27.99</v>
      </c>
      <c r="L71" s="1" t="s">
        <v>28</v>
      </c>
      <c r="M71" s="1" t="s">
        <v>61</v>
      </c>
      <c r="N71" s="1" t="s">
        <v>62</v>
      </c>
      <c r="O71" s="1" t="s">
        <v>31</v>
      </c>
      <c r="P71" s="2">
        <v>45726</v>
      </c>
      <c r="Q71" s="1" t="s">
        <v>283</v>
      </c>
      <c r="R71" s="1" t="s">
        <v>284</v>
      </c>
      <c r="S71" s="1" t="s">
        <v>105</v>
      </c>
      <c r="T71" s="1" t="s">
        <v>35</v>
      </c>
      <c r="U71" s="1" t="s">
        <v>55</v>
      </c>
      <c r="V71" s="1" t="s">
        <v>37</v>
      </c>
      <c r="W71">
        <v>2</v>
      </c>
      <c r="X71" s="1" t="str">
        <f t="shared" si="3"/>
        <v>mateo.sanchez11@mail.com</v>
      </c>
      <c r="Y71" s="1" t="str">
        <f>INDEX(V:V,MATCH(orders_desnormalizado_prueba3[[#This Row],[acquisition_channel]],U:U,0))</f>
        <v>Bodega Propia CO - envio 2-3 dias</v>
      </c>
      <c r="Z71" s="1" t="str">
        <f>INDEX(T:T,MATCH(orders_desnormalizado_prueba3[[#This Row],[shipping_cost]],W:W,0))</f>
        <v>Colombia</v>
      </c>
      <c r="AA71" s="1" t="str">
        <f t="shared" si="4"/>
        <v>Medellin</v>
      </c>
      <c r="AB71" s="1"/>
      <c r="AC71" s="1" t="str">
        <f t="shared" si="5"/>
        <v xml:space="preserve"> </v>
      </c>
    </row>
    <row r="72" spans="1:29" x14ac:dyDescent="0.3">
      <c r="A72" s="1" t="s">
        <v>285</v>
      </c>
      <c r="B72">
        <v>1</v>
      </c>
      <c r="C72">
        <v>18.989999999999998</v>
      </c>
      <c r="D72">
        <v>18.989999999999998</v>
      </c>
      <c r="E72" s="1" t="s">
        <v>143</v>
      </c>
      <c r="F72" s="1" t="s">
        <v>40</v>
      </c>
      <c r="G72">
        <v>13</v>
      </c>
      <c r="H72" s="1" t="s">
        <v>96</v>
      </c>
      <c r="I72" s="1" t="s">
        <v>97</v>
      </c>
      <c r="J72">
        <v>6</v>
      </c>
      <c r="K72">
        <v>18.989999999999998</v>
      </c>
      <c r="L72" s="1" t="s">
        <v>60</v>
      </c>
      <c r="M72" s="1" t="s">
        <v>43</v>
      </c>
      <c r="N72" s="1" t="s">
        <v>44</v>
      </c>
      <c r="O72" s="1" t="s">
        <v>31</v>
      </c>
      <c r="P72" s="2">
        <v>45823</v>
      </c>
      <c r="Q72" s="1" t="s">
        <v>182</v>
      </c>
      <c r="R72" s="1" t="s">
        <v>183</v>
      </c>
      <c r="S72" s="1" t="s">
        <v>47</v>
      </c>
      <c r="T72" s="1" t="s">
        <v>35</v>
      </c>
      <c r="U72" s="1" t="s">
        <v>48</v>
      </c>
      <c r="V72" s="1" t="s">
        <v>100</v>
      </c>
      <c r="W72">
        <v>3.2</v>
      </c>
      <c r="X72" s="1" t="str">
        <f t="shared" si="3"/>
        <v>daniela.gomez75@mail.com</v>
      </c>
      <c r="Y72" s="1" t="str">
        <f>INDEX(V:V,MATCH(orders_desnormalizado_prueba3[[#This Row],[acquisition_channel]],U:U,0))</f>
        <v>Bodega Propia CO - envio 2-3 dias</v>
      </c>
      <c r="Z72" s="1" t="str">
        <f>INDEX(T:T,MATCH(orders_desnormalizado_prueba3[[#This Row],[shipping_cost]],W:W,0))</f>
        <v>Colombia</v>
      </c>
      <c r="AA72" s="1" t="str">
        <f t="shared" si="4"/>
        <v>Barranquilla</v>
      </c>
      <c r="AB72" s="1"/>
      <c r="AC72" s="1" t="str">
        <f t="shared" si="5"/>
        <v xml:space="preserve"> </v>
      </c>
    </row>
    <row r="73" spans="1:29" x14ac:dyDescent="0.3">
      <c r="A73" s="1" t="s">
        <v>286</v>
      </c>
      <c r="B73">
        <v>2</v>
      </c>
      <c r="C73">
        <v>30.99</v>
      </c>
      <c r="D73">
        <v>53.78</v>
      </c>
      <c r="E73" s="1" t="s">
        <v>168</v>
      </c>
      <c r="F73" s="1" t="s">
        <v>40</v>
      </c>
      <c r="G73">
        <v>3</v>
      </c>
      <c r="H73" s="1" t="s">
        <v>58</v>
      </c>
      <c r="I73" s="1" t="s">
        <v>42</v>
      </c>
      <c r="J73">
        <v>10.5</v>
      </c>
      <c r="K73">
        <v>30.99</v>
      </c>
      <c r="L73" s="1" t="s">
        <v>28</v>
      </c>
      <c r="M73" s="1" t="s">
        <v>43</v>
      </c>
      <c r="N73" s="1" t="s">
        <v>44</v>
      </c>
      <c r="O73" s="1" t="s">
        <v>31</v>
      </c>
      <c r="P73" s="2">
        <v>45823</v>
      </c>
      <c r="Q73" s="1" t="s">
        <v>172</v>
      </c>
      <c r="R73" s="1" t="s">
        <v>173</v>
      </c>
      <c r="S73" s="1" t="s">
        <v>88</v>
      </c>
      <c r="T73" s="1" t="s">
        <v>35</v>
      </c>
      <c r="U73" s="1" t="s">
        <v>82</v>
      </c>
      <c r="V73" s="1" t="s">
        <v>37</v>
      </c>
      <c r="W73">
        <v>2</v>
      </c>
      <c r="X73" s="1" t="str">
        <f t="shared" si="3"/>
        <v>diego.castro88@mail.com</v>
      </c>
      <c r="Y73" s="1" t="str">
        <f>INDEX(V:V,MATCH(orders_desnormalizado_prueba3[[#This Row],[acquisition_channel]],U:U,0))</f>
        <v>Bodega Propia CO - envio 2-3 dias</v>
      </c>
      <c r="Z73" s="1" t="str">
        <f>INDEX(T:T,MATCH(orders_desnormalizado_prueba3[[#This Row],[shipping_cost]],W:W,0))</f>
        <v>Colombia</v>
      </c>
      <c r="AA73" s="1" t="str">
        <f t="shared" si="4"/>
        <v>Barranquilla</v>
      </c>
      <c r="AB73" s="1"/>
      <c r="AC73" s="1" t="str">
        <f t="shared" si="5"/>
        <v xml:space="preserve"> </v>
      </c>
    </row>
    <row r="74" spans="1:29" x14ac:dyDescent="0.3">
      <c r="A74" s="1" t="s">
        <v>287</v>
      </c>
      <c r="B74">
        <v>1</v>
      </c>
      <c r="C74">
        <v>16.989999999999998</v>
      </c>
      <c r="D74">
        <v>16.989999999999998</v>
      </c>
      <c r="E74" s="1" t="s">
        <v>288</v>
      </c>
      <c r="F74" s="1" t="s">
        <v>40</v>
      </c>
      <c r="G74">
        <v>20</v>
      </c>
      <c r="H74" s="1" t="s">
        <v>96</v>
      </c>
      <c r="I74" s="1" t="s">
        <v>59</v>
      </c>
      <c r="J74">
        <v>5</v>
      </c>
      <c r="K74">
        <v>16.989999999999998</v>
      </c>
      <c r="L74" s="1" t="s">
        <v>60</v>
      </c>
      <c r="M74" s="1" t="s">
        <v>61</v>
      </c>
      <c r="N74" s="1" t="s">
        <v>62</v>
      </c>
      <c r="O74" s="1" t="s">
        <v>31</v>
      </c>
      <c r="P74" s="2">
        <v>45726</v>
      </c>
      <c r="Q74" s="1" t="s">
        <v>231</v>
      </c>
      <c r="R74" s="1" t="s">
        <v>232</v>
      </c>
      <c r="S74" s="1" t="s">
        <v>105</v>
      </c>
      <c r="T74" s="1" t="s">
        <v>35</v>
      </c>
      <c r="U74" s="1" t="s">
        <v>36</v>
      </c>
      <c r="V74" s="1" t="s">
        <v>67</v>
      </c>
      <c r="W74">
        <v>3</v>
      </c>
      <c r="X74" s="1" t="str">
        <f t="shared" si="3"/>
        <v>miguel.ramirez82@mail.com</v>
      </c>
      <c r="Y74" s="1" t="str">
        <f>INDEX(V:V,MATCH(orders_desnormalizado_prueba3[[#This Row],[acquisition_channel]],U:U,0))</f>
        <v>Bodega Propia CO - envio 2-3 dias</v>
      </c>
      <c r="Z74" s="1" t="str">
        <f>INDEX(T:T,MATCH(orders_desnormalizado_prueba3[[#This Row],[shipping_cost]],W:W,0))</f>
        <v>Colombia</v>
      </c>
      <c r="AA74" s="1" t="str">
        <f t="shared" si="4"/>
        <v>Bucaramanga</v>
      </c>
      <c r="AB74" s="1"/>
      <c r="AC74" s="1" t="str">
        <f t="shared" si="5"/>
        <v xml:space="preserve"> </v>
      </c>
    </row>
    <row r="75" spans="1:29" x14ac:dyDescent="0.3">
      <c r="A75" s="1" t="s">
        <v>289</v>
      </c>
      <c r="B75">
        <v>1</v>
      </c>
      <c r="C75">
        <v>16.989999999999998</v>
      </c>
      <c r="D75">
        <v>16.989999999999998</v>
      </c>
      <c r="E75" s="1" t="s">
        <v>146</v>
      </c>
      <c r="F75" s="1" t="s">
        <v>25</v>
      </c>
      <c r="G75">
        <v>18</v>
      </c>
      <c r="H75" s="1" t="s">
        <v>58</v>
      </c>
      <c r="I75" s="1" t="s">
        <v>59</v>
      </c>
      <c r="J75">
        <v>5</v>
      </c>
      <c r="K75">
        <v>16.989999999999998</v>
      </c>
      <c r="L75" s="1" t="s">
        <v>60</v>
      </c>
      <c r="M75" s="1" t="s">
        <v>61</v>
      </c>
      <c r="N75" s="1" t="s">
        <v>62</v>
      </c>
      <c r="O75" s="1" t="s">
        <v>31</v>
      </c>
      <c r="P75" s="2">
        <v>45726</v>
      </c>
      <c r="Q75" s="1" t="s">
        <v>290</v>
      </c>
      <c r="R75" s="1" t="s">
        <v>291</v>
      </c>
      <c r="S75" s="1" t="s">
        <v>65</v>
      </c>
      <c r="T75" s="1" t="s">
        <v>35</v>
      </c>
      <c r="U75" s="1" t="s">
        <v>82</v>
      </c>
      <c r="V75" s="1" t="s">
        <v>67</v>
      </c>
      <c r="W75">
        <v>3</v>
      </c>
      <c r="X75" s="1" t="str">
        <f t="shared" si="3"/>
        <v>isabella.perez64@mail.com</v>
      </c>
      <c r="Y75" s="1" t="str">
        <f>INDEX(V:V,MATCH(orders_desnormalizado_prueba3[[#This Row],[acquisition_channel]],U:U,0))</f>
        <v>Bodega Propia CO - envio 2-3 dias</v>
      </c>
      <c r="Z75" s="1" t="str">
        <f>INDEX(T:T,MATCH(orders_desnormalizado_prueba3[[#This Row],[shipping_cost]],W:W,0))</f>
        <v>Colombia</v>
      </c>
      <c r="AA75" s="1" t="str">
        <f t="shared" si="4"/>
        <v>Medellin</v>
      </c>
      <c r="AB75" s="1"/>
      <c r="AC75" s="1" t="str">
        <f t="shared" si="5"/>
        <v xml:space="preserve"> </v>
      </c>
    </row>
    <row r="76" spans="1:29" x14ac:dyDescent="0.3">
      <c r="A76" s="1" t="s">
        <v>292</v>
      </c>
      <c r="B76">
        <v>2</v>
      </c>
      <c r="C76">
        <v>18.989999999999998</v>
      </c>
      <c r="D76">
        <v>32.78</v>
      </c>
      <c r="E76" s="1" t="s">
        <v>293</v>
      </c>
      <c r="F76" s="1" t="s">
        <v>40</v>
      </c>
      <c r="G76">
        <v>12</v>
      </c>
      <c r="H76" s="1" t="s">
        <v>58</v>
      </c>
      <c r="I76" s="1" t="s">
        <v>97</v>
      </c>
      <c r="J76">
        <v>6</v>
      </c>
      <c r="K76">
        <v>18.989999999999998</v>
      </c>
      <c r="L76" s="1" t="s">
        <v>60</v>
      </c>
      <c r="M76" s="1" t="s">
        <v>43</v>
      </c>
      <c r="N76" s="1" t="s">
        <v>44</v>
      </c>
      <c r="O76" s="1" t="s">
        <v>31</v>
      </c>
      <c r="P76" s="2">
        <v>45823</v>
      </c>
      <c r="Q76" s="1" t="s">
        <v>294</v>
      </c>
      <c r="R76" s="1" t="s">
        <v>295</v>
      </c>
      <c r="S76" s="1" t="s">
        <v>47</v>
      </c>
      <c r="T76" s="1" t="s">
        <v>35</v>
      </c>
      <c r="U76" s="1" t="s">
        <v>55</v>
      </c>
      <c r="V76" s="1" t="s">
        <v>100</v>
      </c>
      <c r="W76">
        <v>3.2</v>
      </c>
      <c r="X76" s="1" t="str">
        <f t="shared" si="3"/>
        <v>valentina.torres56@mail.com</v>
      </c>
      <c r="Y76" s="1" t="str">
        <f>INDEX(V:V,MATCH(orders_desnormalizado_prueba3[[#This Row],[acquisition_channel]],U:U,0))</f>
        <v>Bodega Propia CO - envio 2-3 dias</v>
      </c>
      <c r="Z76" s="1" t="str">
        <f>INDEX(T:T,MATCH(orders_desnormalizado_prueba3[[#This Row],[shipping_cost]],W:W,0))</f>
        <v>Colombia</v>
      </c>
      <c r="AA76" s="1" t="str">
        <f t="shared" si="4"/>
        <v>Cartagena</v>
      </c>
      <c r="AB76" s="1"/>
      <c r="AC76" s="1" t="str">
        <f t="shared" si="5"/>
        <v xml:space="preserve"> </v>
      </c>
    </row>
    <row r="77" spans="1:29" x14ac:dyDescent="0.3">
      <c r="A77" s="1" t="s">
        <v>296</v>
      </c>
      <c r="B77">
        <v>3</v>
      </c>
      <c r="C77">
        <v>34.99</v>
      </c>
      <c r="D77">
        <v>84.73</v>
      </c>
      <c r="E77" s="1" t="s">
        <v>297</v>
      </c>
      <c r="F77" s="1" t="s">
        <v>188</v>
      </c>
      <c r="G77">
        <v>0</v>
      </c>
      <c r="H77" s="1" t="s">
        <v>96</v>
      </c>
      <c r="I77" s="1" t="s">
        <v>85</v>
      </c>
      <c r="J77">
        <v>12.5</v>
      </c>
      <c r="K77">
        <v>34.99</v>
      </c>
      <c r="L77" s="1" t="s">
        <v>60</v>
      </c>
      <c r="M77" s="1" t="s">
        <v>29</v>
      </c>
      <c r="N77" s="1" t="s">
        <v>30</v>
      </c>
      <c r="O77" s="1" t="s">
        <v>31</v>
      </c>
      <c r="P77" s="2">
        <v>45778</v>
      </c>
      <c r="Q77" s="1" t="s">
        <v>298</v>
      </c>
      <c r="R77" s="1" t="s">
        <v>299</v>
      </c>
      <c r="S77" s="1" t="s">
        <v>65</v>
      </c>
      <c r="T77" s="1" t="s">
        <v>35</v>
      </c>
      <c r="U77" s="1" t="s">
        <v>82</v>
      </c>
      <c r="V77" s="1" t="s">
        <v>89</v>
      </c>
      <c r="W77">
        <v>2.4</v>
      </c>
      <c r="X77" s="1" t="str">
        <f t="shared" si="3"/>
        <v>sofia.torres35@mail.com</v>
      </c>
      <c r="Y77" s="1" t="str">
        <f>INDEX(V:V,MATCH(orders_desnormalizado_prueba3[[#This Row],[acquisition_channel]],U:U,0))</f>
        <v>Bodega Propia CO - envio 2-3 dias</v>
      </c>
      <c r="Z77" s="1" t="str">
        <f>INDEX(T:T,MATCH(orders_desnormalizado_prueba3[[#This Row],[shipping_cost]],W:W,0))</f>
        <v>Colombia</v>
      </c>
      <c r="AA77" s="1" t="str">
        <f t="shared" si="4"/>
        <v>Cartagena</v>
      </c>
      <c r="AB77" s="1"/>
      <c r="AC77" s="1" t="str">
        <f t="shared" si="5"/>
        <v xml:space="preserve"> </v>
      </c>
    </row>
    <row r="78" spans="1:29" x14ac:dyDescent="0.3">
      <c r="A78" s="1" t="s">
        <v>300</v>
      </c>
      <c r="B78">
        <v>1</v>
      </c>
      <c r="C78">
        <v>21.99</v>
      </c>
      <c r="D78">
        <v>21.99</v>
      </c>
      <c r="E78" s="1" t="s">
        <v>202</v>
      </c>
      <c r="F78" s="1" t="s">
        <v>40</v>
      </c>
      <c r="G78">
        <v>2</v>
      </c>
      <c r="H78" s="1" t="s">
        <v>96</v>
      </c>
      <c r="I78" s="1" t="s">
        <v>27</v>
      </c>
      <c r="J78">
        <v>7</v>
      </c>
      <c r="K78">
        <v>21.99</v>
      </c>
      <c r="L78" s="1" t="s">
        <v>28</v>
      </c>
      <c r="M78" s="1" t="s">
        <v>29</v>
      </c>
      <c r="N78" s="1" t="s">
        <v>30</v>
      </c>
      <c r="O78" s="1" t="s">
        <v>31</v>
      </c>
      <c r="P78" s="2">
        <v>45778</v>
      </c>
      <c r="Q78" s="1" t="s">
        <v>147</v>
      </c>
      <c r="R78" s="1" t="s">
        <v>148</v>
      </c>
      <c r="S78" s="1" t="s">
        <v>65</v>
      </c>
      <c r="T78" s="1" t="s">
        <v>35</v>
      </c>
      <c r="U78" s="1" t="s">
        <v>48</v>
      </c>
      <c r="V78" s="1" t="s">
        <v>37</v>
      </c>
      <c r="W78">
        <v>2</v>
      </c>
      <c r="X78" s="1" t="str">
        <f t="shared" si="3"/>
        <v>natalia.castro19@mail.com</v>
      </c>
      <c r="Y78" s="1" t="str">
        <f>INDEX(V:V,MATCH(orders_desnormalizado_prueba3[[#This Row],[acquisition_channel]],U:U,0))</f>
        <v>Bodega Propia CO - envio 2-3 dias</v>
      </c>
      <c r="Z78" s="1" t="str">
        <f>INDEX(T:T,MATCH(orders_desnormalizado_prueba3[[#This Row],[shipping_cost]],W:W,0))</f>
        <v>Colombia</v>
      </c>
      <c r="AA78" s="1" t="str">
        <f t="shared" si="4"/>
        <v>Medellin</v>
      </c>
      <c r="AB78" s="1"/>
      <c r="AC78" s="1" t="str">
        <f t="shared" si="5"/>
        <v xml:space="preserve"> </v>
      </c>
    </row>
    <row r="79" spans="1:29" x14ac:dyDescent="0.3">
      <c r="A79" s="1" t="s">
        <v>301</v>
      </c>
      <c r="B79">
        <v>1</v>
      </c>
      <c r="C79">
        <v>21.99</v>
      </c>
      <c r="D79">
        <v>21.99</v>
      </c>
      <c r="E79" s="1" t="s">
        <v>168</v>
      </c>
      <c r="F79" s="1" t="s">
        <v>40</v>
      </c>
      <c r="G79">
        <v>2</v>
      </c>
      <c r="H79" s="1" t="s">
        <v>96</v>
      </c>
      <c r="I79" s="1" t="s">
        <v>27</v>
      </c>
      <c r="J79">
        <v>7</v>
      </c>
      <c r="K79">
        <v>21.99</v>
      </c>
      <c r="L79" s="1" t="s">
        <v>28</v>
      </c>
      <c r="M79" s="1" t="s">
        <v>29</v>
      </c>
      <c r="N79" s="1" t="s">
        <v>30</v>
      </c>
      <c r="O79" s="1" t="s">
        <v>31</v>
      </c>
      <c r="P79" s="2">
        <v>45778</v>
      </c>
      <c r="Q79" s="1" t="s">
        <v>302</v>
      </c>
      <c r="R79" s="1" t="s">
        <v>303</v>
      </c>
      <c r="S79" s="1" t="s">
        <v>105</v>
      </c>
      <c r="T79" s="1" t="s">
        <v>35</v>
      </c>
      <c r="U79" s="1" t="s">
        <v>55</v>
      </c>
      <c r="V79" s="1" t="s">
        <v>37</v>
      </c>
      <c r="W79">
        <v>2</v>
      </c>
      <c r="X79" s="1" t="str">
        <f t="shared" si="3"/>
        <v>juan.martinez143@mail.com</v>
      </c>
      <c r="Y79" s="1" t="str">
        <f>INDEX(V:V,MATCH(orders_desnormalizado_prueba3[[#This Row],[acquisition_channel]],U:U,0))</f>
        <v>Bodega Propia CO - envio 2-3 dias</v>
      </c>
      <c r="Z79" s="1" t="str">
        <f>INDEX(T:T,MATCH(orders_desnormalizado_prueba3[[#This Row],[shipping_cost]],W:W,0))</f>
        <v>Colombia</v>
      </c>
      <c r="AA79" s="1" t="str">
        <f t="shared" si="4"/>
        <v>Medellin</v>
      </c>
      <c r="AB79" s="1"/>
      <c r="AC79" s="1" t="str">
        <f t="shared" si="5"/>
        <v xml:space="preserve"> </v>
      </c>
    </row>
    <row r="80" spans="1:29" x14ac:dyDescent="0.3">
      <c r="A80" s="1" t="s">
        <v>304</v>
      </c>
      <c r="B80">
        <v>1</v>
      </c>
      <c r="C80">
        <v>27.99</v>
      </c>
      <c r="D80">
        <v>27.99</v>
      </c>
      <c r="E80" s="1" t="s">
        <v>252</v>
      </c>
      <c r="F80" s="1" t="s">
        <v>40</v>
      </c>
      <c r="G80">
        <v>2</v>
      </c>
      <c r="H80" s="1" t="s">
        <v>26</v>
      </c>
      <c r="I80" s="1" t="s">
        <v>75</v>
      </c>
      <c r="J80">
        <v>9</v>
      </c>
      <c r="K80">
        <v>27.99</v>
      </c>
      <c r="L80" s="1" t="s">
        <v>28</v>
      </c>
      <c r="M80" s="1" t="s">
        <v>61</v>
      </c>
      <c r="N80" s="1" t="s">
        <v>62</v>
      </c>
      <c r="O80" s="1" t="s">
        <v>31</v>
      </c>
      <c r="P80" s="2">
        <v>45726</v>
      </c>
      <c r="Q80" s="1" t="s">
        <v>305</v>
      </c>
      <c r="R80" s="1" t="s">
        <v>306</v>
      </c>
      <c r="S80" s="1" t="s">
        <v>47</v>
      </c>
      <c r="T80" s="1" t="s">
        <v>35</v>
      </c>
      <c r="U80" s="1" t="s">
        <v>66</v>
      </c>
      <c r="V80" s="1" t="s">
        <v>37</v>
      </c>
      <c r="W80">
        <v>2</v>
      </c>
      <c r="X80" s="1" t="str">
        <f t="shared" si="3"/>
        <v>sebastian.sanchez117@mail.com</v>
      </c>
      <c r="Y80" s="1" t="str">
        <f>INDEX(V:V,MATCH(orders_desnormalizado_prueba3[[#This Row],[acquisition_channel]],U:U,0))</f>
        <v>AliDropship CN - envio 15-20 dias</v>
      </c>
      <c r="Z80" s="1" t="str">
        <f>INDEX(T:T,MATCH(orders_desnormalizado_prueba3[[#This Row],[shipping_cost]],W:W,0))</f>
        <v>Colombia</v>
      </c>
      <c r="AA80" s="1" t="str">
        <f t="shared" si="4"/>
        <v>Medellin</v>
      </c>
      <c r="AB80" s="1"/>
      <c r="AC80" s="1" t="str">
        <f t="shared" si="5"/>
        <v xml:space="preserve"> </v>
      </c>
    </row>
    <row r="81" spans="1:29" x14ac:dyDescent="0.3">
      <c r="A81" s="1" t="s">
        <v>307</v>
      </c>
      <c r="B81">
        <v>2</v>
      </c>
      <c r="C81">
        <v>16.989999999999998</v>
      </c>
      <c r="D81">
        <v>29.18</v>
      </c>
      <c r="E81" s="1" t="s">
        <v>113</v>
      </c>
      <c r="F81" s="1" t="s">
        <v>40</v>
      </c>
      <c r="G81">
        <v>20</v>
      </c>
      <c r="H81" s="1" t="s">
        <v>26</v>
      </c>
      <c r="I81" s="1" t="s">
        <v>59</v>
      </c>
      <c r="J81">
        <v>5</v>
      </c>
      <c r="K81">
        <v>16.989999999999998</v>
      </c>
      <c r="L81" s="1" t="s">
        <v>60</v>
      </c>
      <c r="M81" s="1" t="s">
        <v>61</v>
      </c>
      <c r="N81" s="1" t="s">
        <v>62</v>
      </c>
      <c r="O81" s="1" t="s">
        <v>31</v>
      </c>
      <c r="P81" s="2">
        <v>45726</v>
      </c>
      <c r="Q81" s="1" t="s">
        <v>308</v>
      </c>
      <c r="R81" s="1" t="s">
        <v>309</v>
      </c>
      <c r="S81" s="1" t="s">
        <v>47</v>
      </c>
      <c r="T81" s="1" t="s">
        <v>35</v>
      </c>
      <c r="U81" s="1" t="s">
        <v>82</v>
      </c>
      <c r="V81" s="1" t="s">
        <v>67</v>
      </c>
      <c r="W81">
        <v>3</v>
      </c>
      <c r="X81" s="1" t="str">
        <f t="shared" si="3"/>
        <v>valentina.vargas122@mail.com</v>
      </c>
      <c r="Y81" s="1" t="str">
        <f>INDEX(V:V,MATCH(orders_desnormalizado_prueba3[[#This Row],[acquisition_channel]],U:U,0))</f>
        <v>Bodega Propia CO - envio 2-3 dias</v>
      </c>
      <c r="Z81" s="1" t="str">
        <f>INDEX(T:T,MATCH(orders_desnormalizado_prueba3[[#This Row],[shipping_cost]],W:W,0))</f>
        <v>Colombia</v>
      </c>
      <c r="AA81" s="1" t="str">
        <f t="shared" si="4"/>
        <v>Bucaramanga</v>
      </c>
      <c r="AB81" s="1"/>
      <c r="AC81" s="1" t="str">
        <f t="shared" si="5"/>
        <v xml:space="preserve"> </v>
      </c>
    </row>
    <row r="82" spans="1:29" x14ac:dyDescent="0.3">
      <c r="A82" s="1" t="s">
        <v>310</v>
      </c>
      <c r="B82">
        <v>1</v>
      </c>
      <c r="C82">
        <v>21.99</v>
      </c>
      <c r="D82">
        <v>21.99</v>
      </c>
      <c r="E82" s="1" t="s">
        <v>187</v>
      </c>
      <c r="F82" s="1" t="s">
        <v>40</v>
      </c>
      <c r="G82">
        <v>2</v>
      </c>
      <c r="H82" s="1" t="s">
        <v>41</v>
      </c>
      <c r="I82" s="1" t="s">
        <v>27</v>
      </c>
      <c r="J82">
        <v>7</v>
      </c>
      <c r="K82">
        <v>21.99</v>
      </c>
      <c r="L82" s="1" t="s">
        <v>28</v>
      </c>
      <c r="M82" s="1" t="s">
        <v>29</v>
      </c>
      <c r="N82" s="1" t="s">
        <v>30</v>
      </c>
      <c r="O82" s="1" t="s">
        <v>31</v>
      </c>
      <c r="P82" s="2">
        <v>45778</v>
      </c>
      <c r="Q82" s="1" t="s">
        <v>114</v>
      </c>
      <c r="R82" s="1" t="s">
        <v>115</v>
      </c>
      <c r="S82" s="1" t="s">
        <v>54</v>
      </c>
      <c r="T82" s="1" t="s">
        <v>35</v>
      </c>
      <c r="U82" s="1" t="s">
        <v>82</v>
      </c>
      <c r="V82" s="1" t="s">
        <v>37</v>
      </c>
      <c r="W82">
        <v>2</v>
      </c>
      <c r="X82" s="1" t="str">
        <f t="shared" si="3"/>
        <v>paula.diaz150@mail.com</v>
      </c>
      <c r="Y82" s="1" t="str">
        <f>INDEX(V:V,MATCH(orders_desnormalizado_prueba3[[#This Row],[acquisition_channel]],U:U,0))</f>
        <v>Bodega Propia CO - envio 2-3 dias</v>
      </c>
      <c r="Z82" s="1" t="str">
        <f>INDEX(T:T,MATCH(orders_desnormalizado_prueba3[[#This Row],[shipping_cost]],W:W,0))</f>
        <v>Colombia</v>
      </c>
      <c r="AA82" s="1" t="str">
        <f t="shared" si="4"/>
        <v>Medellin</v>
      </c>
      <c r="AB82" s="1"/>
      <c r="AC82" s="1" t="str">
        <f t="shared" si="5"/>
        <v xml:space="preserve"> </v>
      </c>
    </row>
    <row r="83" spans="1:29" x14ac:dyDescent="0.3">
      <c r="A83" s="1" t="s">
        <v>311</v>
      </c>
      <c r="B83">
        <v>1</v>
      </c>
      <c r="C83">
        <v>34.99</v>
      </c>
      <c r="D83">
        <v>34.99</v>
      </c>
      <c r="E83" s="1" t="s">
        <v>121</v>
      </c>
      <c r="F83" s="1" t="s">
        <v>40</v>
      </c>
      <c r="G83">
        <v>10</v>
      </c>
      <c r="H83" s="1" t="s">
        <v>58</v>
      </c>
      <c r="I83" s="1" t="s">
        <v>85</v>
      </c>
      <c r="J83">
        <v>12.5</v>
      </c>
      <c r="K83">
        <v>34.99</v>
      </c>
      <c r="L83" s="1" t="s">
        <v>60</v>
      </c>
      <c r="M83" s="1" t="s">
        <v>29</v>
      </c>
      <c r="N83" s="1" t="s">
        <v>30</v>
      </c>
      <c r="O83" s="1" t="s">
        <v>31</v>
      </c>
      <c r="P83" s="2">
        <v>45778</v>
      </c>
      <c r="Q83" s="1" t="s">
        <v>253</v>
      </c>
      <c r="R83" s="1" t="s">
        <v>254</v>
      </c>
      <c r="S83" s="1" t="s">
        <v>105</v>
      </c>
      <c r="T83" s="1" t="s">
        <v>35</v>
      </c>
      <c r="U83" s="1" t="s">
        <v>48</v>
      </c>
      <c r="V83" s="1" t="s">
        <v>89</v>
      </c>
      <c r="W83">
        <v>2.4</v>
      </c>
      <c r="X83" s="1" t="str">
        <f t="shared" si="3"/>
        <v>camila.sanchez81@mail.com</v>
      </c>
      <c r="Y83" s="1" t="str">
        <f>INDEX(V:V,MATCH(orders_desnormalizado_prueba3[[#This Row],[acquisition_channel]],U:U,0))</f>
        <v>Bodega Propia CO - envio 2-3 dias</v>
      </c>
      <c r="Z83" s="1" t="str">
        <f>INDEX(T:T,MATCH(orders_desnormalizado_prueba3[[#This Row],[shipping_cost]],W:W,0))</f>
        <v>Colombia</v>
      </c>
      <c r="AA83" s="1" t="str">
        <f t="shared" si="4"/>
        <v>Bogota</v>
      </c>
      <c r="AB83" s="1"/>
      <c r="AC83" s="1" t="str">
        <f t="shared" si="5"/>
        <v xml:space="preserve"> </v>
      </c>
    </row>
    <row r="84" spans="1:29" x14ac:dyDescent="0.3">
      <c r="A84" s="1" t="s">
        <v>312</v>
      </c>
      <c r="B84">
        <v>1</v>
      </c>
      <c r="C84">
        <v>21.99</v>
      </c>
      <c r="D84">
        <v>21.99</v>
      </c>
      <c r="E84" s="1" t="s">
        <v>313</v>
      </c>
      <c r="F84" s="1" t="s">
        <v>25</v>
      </c>
      <c r="G84">
        <v>3</v>
      </c>
      <c r="H84" s="1" t="s">
        <v>26</v>
      </c>
      <c r="I84" s="1" t="s">
        <v>27</v>
      </c>
      <c r="J84">
        <v>7</v>
      </c>
      <c r="K84">
        <v>21.99</v>
      </c>
      <c r="L84" s="1" t="s">
        <v>28</v>
      </c>
      <c r="M84" s="1" t="s">
        <v>29</v>
      </c>
      <c r="N84" s="1" t="s">
        <v>30</v>
      </c>
      <c r="O84" s="1" t="s">
        <v>31</v>
      </c>
      <c r="P84" s="2">
        <v>45778</v>
      </c>
      <c r="Q84" s="1" t="s">
        <v>314</v>
      </c>
      <c r="R84" s="1" t="s">
        <v>315</v>
      </c>
      <c r="S84" s="1" t="s">
        <v>34</v>
      </c>
      <c r="T84" s="1" t="s">
        <v>35</v>
      </c>
      <c r="U84" s="1" t="s">
        <v>82</v>
      </c>
      <c r="V84" s="1" t="s">
        <v>37</v>
      </c>
      <c r="W84">
        <v>2</v>
      </c>
      <c r="X84" s="1" t="str">
        <f t="shared" si="3"/>
        <v>carlos.diaz135@mail.com</v>
      </c>
      <c r="Y84" s="1" t="str">
        <f>INDEX(V:V,MATCH(orders_desnormalizado_prueba3[[#This Row],[acquisition_channel]],U:U,0))</f>
        <v>Bodega Propia CO - envio 2-3 dias</v>
      </c>
      <c r="Z84" s="1" t="str">
        <f>INDEX(T:T,MATCH(orders_desnormalizado_prueba3[[#This Row],[shipping_cost]],W:W,0))</f>
        <v>Colombia</v>
      </c>
      <c r="AA84" s="1" t="str">
        <f t="shared" si="4"/>
        <v>Barranquilla</v>
      </c>
      <c r="AB84" s="1"/>
      <c r="AC84" s="1" t="str">
        <f t="shared" si="5"/>
        <v xml:space="preserve"> </v>
      </c>
    </row>
    <row r="85" spans="1:29" x14ac:dyDescent="0.3">
      <c r="A85" s="1" t="s">
        <v>316</v>
      </c>
      <c r="B85">
        <v>1</v>
      </c>
      <c r="C85">
        <v>34.99</v>
      </c>
      <c r="D85">
        <v>34.99</v>
      </c>
      <c r="E85" s="1" t="s">
        <v>317</v>
      </c>
      <c r="F85" s="1" t="s">
        <v>51</v>
      </c>
      <c r="G85">
        <v>0</v>
      </c>
      <c r="H85" s="1" t="s">
        <v>26</v>
      </c>
      <c r="I85" s="1" t="s">
        <v>85</v>
      </c>
      <c r="J85">
        <v>12.5</v>
      </c>
      <c r="K85">
        <v>34.99</v>
      </c>
      <c r="L85" s="1" t="s">
        <v>60</v>
      </c>
      <c r="M85" s="1" t="s">
        <v>29</v>
      </c>
      <c r="N85" s="1" t="s">
        <v>30</v>
      </c>
      <c r="O85" s="1" t="s">
        <v>31</v>
      </c>
      <c r="P85" s="2">
        <v>45778</v>
      </c>
      <c r="Q85" s="1" t="s">
        <v>318</v>
      </c>
      <c r="R85" s="1" t="s">
        <v>319</v>
      </c>
      <c r="S85" s="1" t="s">
        <v>54</v>
      </c>
      <c r="T85" s="1" t="s">
        <v>35</v>
      </c>
      <c r="U85" s="1" t="s">
        <v>55</v>
      </c>
      <c r="V85" s="1" t="s">
        <v>89</v>
      </c>
      <c r="W85">
        <v>2.4</v>
      </c>
      <c r="X85" s="1" t="str">
        <f t="shared" si="3"/>
        <v>paula.vargas58@mail.com</v>
      </c>
      <c r="Y85" s="1" t="str">
        <f>INDEX(V:V,MATCH(orders_desnormalizado_prueba3[[#This Row],[acquisition_channel]],U:U,0))</f>
        <v>Bodega Propia CO - envio 2-3 dias</v>
      </c>
      <c r="Z85" s="1" t="str">
        <f>INDEX(T:T,MATCH(orders_desnormalizado_prueba3[[#This Row],[shipping_cost]],W:W,0))</f>
        <v>Colombia</v>
      </c>
      <c r="AA85" s="1" t="str">
        <f t="shared" si="4"/>
        <v>Cartagena</v>
      </c>
      <c r="AB85" s="1"/>
      <c r="AC85" s="1" t="str">
        <f t="shared" si="5"/>
        <v xml:space="preserve"> </v>
      </c>
    </row>
    <row r="86" spans="1:29" x14ac:dyDescent="0.3">
      <c r="A86" s="1" t="s">
        <v>320</v>
      </c>
      <c r="B86">
        <v>1</v>
      </c>
      <c r="C86">
        <v>27.99</v>
      </c>
      <c r="D86">
        <v>27.99</v>
      </c>
      <c r="E86" s="1" t="s">
        <v>321</v>
      </c>
      <c r="F86" s="1" t="s">
        <v>40</v>
      </c>
      <c r="G86">
        <v>2</v>
      </c>
      <c r="H86" s="1" t="s">
        <v>26</v>
      </c>
      <c r="I86" s="1" t="s">
        <v>75</v>
      </c>
      <c r="J86">
        <v>9</v>
      </c>
      <c r="K86">
        <v>27.99</v>
      </c>
      <c r="L86" s="1" t="s">
        <v>28</v>
      </c>
      <c r="M86" s="1" t="s">
        <v>61</v>
      </c>
      <c r="N86" s="1" t="s">
        <v>62</v>
      </c>
      <c r="O86" s="1" t="s">
        <v>31</v>
      </c>
      <c r="P86" s="2">
        <v>45726</v>
      </c>
      <c r="Q86" s="1" t="s">
        <v>322</v>
      </c>
      <c r="R86" s="1" t="s">
        <v>323</v>
      </c>
      <c r="S86" s="1" t="s">
        <v>88</v>
      </c>
      <c r="T86" s="1" t="s">
        <v>35</v>
      </c>
      <c r="U86" s="1" t="s">
        <v>55</v>
      </c>
      <c r="V86" s="1" t="s">
        <v>37</v>
      </c>
      <c r="W86">
        <v>2</v>
      </c>
      <c r="X86" s="1" t="str">
        <f t="shared" si="3"/>
        <v>alejandro.torres89@mail.com</v>
      </c>
      <c r="Y86" s="1" t="str">
        <f>INDEX(V:V,MATCH(orders_desnormalizado_prueba3[[#This Row],[acquisition_channel]],U:U,0))</f>
        <v>Bodega Propia CO - envio 2-3 dias</v>
      </c>
      <c r="Z86" s="1" t="str">
        <f>INDEX(T:T,MATCH(orders_desnormalizado_prueba3[[#This Row],[shipping_cost]],W:W,0))</f>
        <v>Colombia</v>
      </c>
      <c r="AA86" s="1" t="str">
        <f t="shared" si="4"/>
        <v>Medellin</v>
      </c>
      <c r="AB86" s="1"/>
      <c r="AC86" s="1" t="str">
        <f t="shared" si="5"/>
        <v xml:space="preserve"> </v>
      </c>
    </row>
    <row r="87" spans="1:29" x14ac:dyDescent="0.3">
      <c r="A87" s="1" t="s">
        <v>324</v>
      </c>
      <c r="B87">
        <v>3</v>
      </c>
      <c r="C87">
        <v>16.989999999999998</v>
      </c>
      <c r="D87">
        <v>40.18</v>
      </c>
      <c r="E87" s="1" t="s">
        <v>325</v>
      </c>
      <c r="F87" s="1" t="s">
        <v>40</v>
      </c>
      <c r="G87">
        <v>20</v>
      </c>
      <c r="H87" s="1" t="s">
        <v>96</v>
      </c>
      <c r="I87" s="1" t="s">
        <v>59</v>
      </c>
      <c r="J87">
        <v>5</v>
      </c>
      <c r="K87">
        <v>16.989999999999998</v>
      </c>
      <c r="L87" s="1" t="s">
        <v>60</v>
      </c>
      <c r="M87" s="1" t="s">
        <v>61</v>
      </c>
      <c r="N87" s="1" t="s">
        <v>62</v>
      </c>
      <c r="O87" s="1" t="s">
        <v>31</v>
      </c>
      <c r="P87" s="2">
        <v>45726</v>
      </c>
      <c r="Q87" s="1" t="s">
        <v>118</v>
      </c>
      <c r="R87" s="1" t="s">
        <v>119</v>
      </c>
      <c r="S87" s="1" t="s">
        <v>105</v>
      </c>
      <c r="T87" s="1" t="s">
        <v>35</v>
      </c>
      <c r="U87" s="1" t="s">
        <v>66</v>
      </c>
      <c r="V87" s="1" t="s">
        <v>67</v>
      </c>
      <c r="W87">
        <v>3</v>
      </c>
      <c r="X87" s="1" t="str">
        <f t="shared" si="3"/>
        <v>camila.torres36@mail.com</v>
      </c>
      <c r="Y87" s="1" t="str">
        <f>INDEX(V:V,MATCH(orders_desnormalizado_prueba3[[#This Row],[acquisition_channel]],U:U,0))</f>
        <v>AliDropship CN - envio 15-20 dias</v>
      </c>
      <c r="Z87" s="1" t="str">
        <f>INDEX(T:T,MATCH(orders_desnormalizado_prueba3[[#This Row],[shipping_cost]],W:W,0))</f>
        <v>Colombia</v>
      </c>
      <c r="AA87" s="1" t="str">
        <f t="shared" si="4"/>
        <v>Bucaramanga</v>
      </c>
      <c r="AB87" s="1"/>
      <c r="AC87" s="1" t="str">
        <f t="shared" si="5"/>
        <v xml:space="preserve"> </v>
      </c>
    </row>
    <row r="88" spans="1:29" x14ac:dyDescent="0.3">
      <c r="A88" s="1" t="s">
        <v>326</v>
      </c>
      <c r="B88">
        <v>1</v>
      </c>
      <c r="C88">
        <v>16.989999999999998</v>
      </c>
      <c r="D88">
        <v>16.989999999999998</v>
      </c>
      <c r="E88" s="1" t="s">
        <v>327</v>
      </c>
      <c r="F88" s="1" t="s">
        <v>25</v>
      </c>
      <c r="G88">
        <v>19</v>
      </c>
      <c r="H88" s="1" t="s">
        <v>58</v>
      </c>
      <c r="I88" s="1" t="s">
        <v>59</v>
      </c>
      <c r="J88">
        <v>5</v>
      </c>
      <c r="K88">
        <v>16.989999999999998</v>
      </c>
      <c r="L88" s="1" t="s">
        <v>60</v>
      </c>
      <c r="M88" s="1" t="s">
        <v>61</v>
      </c>
      <c r="N88" s="1" t="s">
        <v>62</v>
      </c>
      <c r="O88" s="1" t="s">
        <v>31</v>
      </c>
      <c r="P88" s="2">
        <v>45726</v>
      </c>
      <c r="Q88" s="1" t="s">
        <v>328</v>
      </c>
      <c r="R88" s="1" t="s">
        <v>329</v>
      </c>
      <c r="S88" s="1" t="s">
        <v>47</v>
      </c>
      <c r="T88" s="1" t="s">
        <v>35</v>
      </c>
      <c r="U88" s="1" t="s">
        <v>48</v>
      </c>
      <c r="V88" s="1" t="s">
        <v>67</v>
      </c>
      <c r="W88">
        <v>3</v>
      </c>
      <c r="X88" s="1" t="str">
        <f t="shared" si="3"/>
        <v>andres.martinez175@mail.com</v>
      </c>
      <c r="Y88" s="1" t="str">
        <f>INDEX(V:V,MATCH(orders_desnormalizado_prueba3[[#This Row],[acquisition_channel]],U:U,0))</f>
        <v>Bodega Propia CO - envio 2-3 dias</v>
      </c>
      <c r="Z88" s="1" t="str">
        <f>INDEX(T:T,MATCH(orders_desnormalizado_prueba3[[#This Row],[shipping_cost]],W:W,0))</f>
        <v>Colombia</v>
      </c>
      <c r="AA88" s="1" t="str">
        <f t="shared" si="4"/>
        <v>Bogota</v>
      </c>
      <c r="AB88" s="1"/>
      <c r="AC88" s="1" t="str">
        <f t="shared" si="5"/>
        <v xml:space="preserve"> </v>
      </c>
    </row>
    <row r="89" spans="1:29" x14ac:dyDescent="0.3">
      <c r="A89" s="1" t="s">
        <v>330</v>
      </c>
      <c r="B89">
        <v>1</v>
      </c>
      <c r="C89">
        <v>18.989999999999998</v>
      </c>
      <c r="D89">
        <v>18.989999999999998</v>
      </c>
      <c r="E89" s="1" t="s">
        <v>331</v>
      </c>
      <c r="F89" s="1" t="s">
        <v>40</v>
      </c>
      <c r="G89">
        <v>10</v>
      </c>
      <c r="H89" s="1" t="s">
        <v>58</v>
      </c>
      <c r="I89" s="1" t="s">
        <v>97</v>
      </c>
      <c r="J89">
        <v>6</v>
      </c>
      <c r="K89">
        <v>18.989999999999998</v>
      </c>
      <c r="L89" s="1" t="s">
        <v>60</v>
      </c>
      <c r="M89" s="1" t="s">
        <v>43</v>
      </c>
      <c r="N89" s="1" t="s">
        <v>44</v>
      </c>
      <c r="O89" s="1" t="s">
        <v>31</v>
      </c>
      <c r="P89" s="2">
        <v>45823</v>
      </c>
      <c r="Q89" s="1" t="s">
        <v>71</v>
      </c>
      <c r="R89" s="1" t="s">
        <v>72</v>
      </c>
      <c r="S89" s="1" t="s">
        <v>47</v>
      </c>
      <c r="T89" s="1" t="s">
        <v>35</v>
      </c>
      <c r="U89" s="1" t="s">
        <v>36</v>
      </c>
      <c r="V89" s="1" t="s">
        <v>100</v>
      </c>
      <c r="W89">
        <v>3.2</v>
      </c>
      <c r="X89" s="1" t="str">
        <f t="shared" si="3"/>
        <v>diego.ramirez167@mail.com</v>
      </c>
      <c r="Y89" s="1" t="str">
        <f>INDEX(V:V,MATCH(orders_desnormalizado_prueba3[[#This Row],[acquisition_channel]],U:U,0))</f>
        <v>Bodega Propia CO - envio 2-3 dias</v>
      </c>
      <c r="Z89" s="1" t="str">
        <f>INDEX(T:T,MATCH(orders_desnormalizado_prueba3[[#This Row],[shipping_cost]],W:W,0))</f>
        <v>Colombia</v>
      </c>
      <c r="AA89" s="1" t="str">
        <f t="shared" si="4"/>
        <v>Bogota</v>
      </c>
      <c r="AB89" s="1"/>
      <c r="AC89" s="1" t="str">
        <f t="shared" si="5"/>
        <v xml:space="preserve"> </v>
      </c>
    </row>
    <row r="90" spans="1:29" x14ac:dyDescent="0.3">
      <c r="A90" s="1" t="s">
        <v>332</v>
      </c>
      <c r="B90">
        <v>1</v>
      </c>
      <c r="C90">
        <v>16.989999999999998</v>
      </c>
      <c r="D90">
        <v>16.989999999999998</v>
      </c>
      <c r="E90" s="1" t="s">
        <v>84</v>
      </c>
      <c r="F90" s="1" t="s">
        <v>40</v>
      </c>
      <c r="G90">
        <v>15</v>
      </c>
      <c r="H90" s="1" t="s">
        <v>26</v>
      </c>
      <c r="I90" s="1" t="s">
        <v>59</v>
      </c>
      <c r="J90">
        <v>5</v>
      </c>
      <c r="K90">
        <v>16.989999999999998</v>
      </c>
      <c r="L90" s="1" t="s">
        <v>60</v>
      </c>
      <c r="M90" s="1" t="s">
        <v>61</v>
      </c>
      <c r="N90" s="1" t="s">
        <v>62</v>
      </c>
      <c r="O90" s="1" t="s">
        <v>31</v>
      </c>
      <c r="P90" s="2">
        <v>45726</v>
      </c>
      <c r="Q90" s="1" t="s">
        <v>182</v>
      </c>
      <c r="R90" s="1" t="s">
        <v>183</v>
      </c>
      <c r="S90" s="1" t="s">
        <v>47</v>
      </c>
      <c r="T90" s="1" t="s">
        <v>35</v>
      </c>
      <c r="U90" s="1" t="s">
        <v>48</v>
      </c>
      <c r="V90" s="1" t="s">
        <v>67</v>
      </c>
      <c r="W90">
        <v>3</v>
      </c>
      <c r="X90" s="1" t="str">
        <f t="shared" si="3"/>
        <v>daniela.gomez75@mail.com</v>
      </c>
      <c r="Y90" s="1" t="str">
        <f>INDEX(V:V,MATCH(orders_desnormalizado_prueba3[[#This Row],[acquisition_channel]],U:U,0))</f>
        <v>Bodega Propia CO - envio 2-3 dias</v>
      </c>
      <c r="Z90" s="1" t="str">
        <f>INDEX(T:T,MATCH(orders_desnormalizado_prueba3[[#This Row],[shipping_cost]],W:W,0))</f>
        <v>Colombia</v>
      </c>
      <c r="AA90" s="1" t="str">
        <f t="shared" si="4"/>
        <v>Barranquilla</v>
      </c>
      <c r="AB90" s="1"/>
      <c r="AC90" s="1" t="str">
        <f t="shared" si="5"/>
        <v xml:space="preserve"> </v>
      </c>
    </row>
    <row r="91" spans="1:29" x14ac:dyDescent="0.3">
      <c r="A91" s="1" t="s">
        <v>333</v>
      </c>
      <c r="B91">
        <v>3</v>
      </c>
      <c r="C91">
        <v>34.99</v>
      </c>
      <c r="D91">
        <v>84.73</v>
      </c>
      <c r="E91" s="1" t="s">
        <v>334</v>
      </c>
      <c r="F91" s="1" t="s">
        <v>40</v>
      </c>
      <c r="G91">
        <v>5</v>
      </c>
      <c r="H91" s="1" t="s">
        <v>58</v>
      </c>
      <c r="I91" s="1" t="s">
        <v>85</v>
      </c>
      <c r="J91">
        <v>12.5</v>
      </c>
      <c r="K91">
        <v>34.99</v>
      </c>
      <c r="L91" s="1" t="s">
        <v>60</v>
      </c>
      <c r="M91" s="1" t="s">
        <v>29</v>
      </c>
      <c r="N91" s="1" t="s">
        <v>30</v>
      </c>
      <c r="O91" s="1" t="s">
        <v>31</v>
      </c>
      <c r="P91" s="2">
        <v>45778</v>
      </c>
      <c r="Q91" s="1" t="s">
        <v>335</v>
      </c>
      <c r="R91" s="1" t="s">
        <v>336</v>
      </c>
      <c r="S91" s="1" t="s">
        <v>34</v>
      </c>
      <c r="T91" s="1" t="s">
        <v>35</v>
      </c>
      <c r="U91" s="1" t="s">
        <v>48</v>
      </c>
      <c r="V91" s="1" t="s">
        <v>89</v>
      </c>
      <c r="W91">
        <v>2.4</v>
      </c>
      <c r="X91" s="1" t="str">
        <f t="shared" si="3"/>
        <v>daniela.castro130@mail.com</v>
      </c>
      <c r="Y91" s="1" t="str">
        <f>INDEX(V:V,MATCH(orders_desnormalizado_prueba3[[#This Row],[acquisition_channel]],U:U,0))</f>
        <v>Bodega Propia CO - envio 2-3 dias</v>
      </c>
      <c r="Z91" s="1" t="str">
        <f>INDEX(T:T,MATCH(orders_desnormalizado_prueba3[[#This Row],[shipping_cost]],W:W,0))</f>
        <v>Colombia</v>
      </c>
      <c r="AA91" s="1" t="str">
        <f t="shared" si="4"/>
        <v>Cali</v>
      </c>
      <c r="AB91" s="1"/>
      <c r="AC91" s="1" t="str">
        <f t="shared" si="5"/>
        <v xml:space="preserve"> </v>
      </c>
    </row>
    <row r="92" spans="1:29" x14ac:dyDescent="0.3">
      <c r="A92" s="1" t="s">
        <v>337</v>
      </c>
      <c r="B92">
        <v>2</v>
      </c>
      <c r="C92">
        <v>30.99</v>
      </c>
      <c r="D92">
        <v>53.78</v>
      </c>
      <c r="E92" s="1" t="s">
        <v>338</v>
      </c>
      <c r="F92" s="1" t="s">
        <v>188</v>
      </c>
      <c r="G92">
        <v>0</v>
      </c>
      <c r="H92" s="1" t="s">
        <v>58</v>
      </c>
      <c r="I92" s="1" t="s">
        <v>42</v>
      </c>
      <c r="J92">
        <v>10.5</v>
      </c>
      <c r="K92">
        <v>30.99</v>
      </c>
      <c r="L92" s="1" t="s">
        <v>28</v>
      </c>
      <c r="M92" s="1" t="s">
        <v>43</v>
      </c>
      <c r="N92" s="1" t="s">
        <v>44</v>
      </c>
      <c r="O92" s="1" t="s">
        <v>31</v>
      </c>
      <c r="P92" s="2">
        <v>45823</v>
      </c>
      <c r="Q92" s="1" t="s">
        <v>339</v>
      </c>
      <c r="R92" s="1" t="s">
        <v>340</v>
      </c>
      <c r="S92" s="1" t="s">
        <v>65</v>
      </c>
      <c r="T92" s="1" t="s">
        <v>35</v>
      </c>
      <c r="U92" s="1" t="s">
        <v>66</v>
      </c>
      <c r="V92" s="1" t="s">
        <v>37</v>
      </c>
      <c r="W92">
        <v>2</v>
      </c>
      <c r="X92" s="1" t="str">
        <f t="shared" si="3"/>
        <v>natalia.ramirez45@mail.com</v>
      </c>
      <c r="Y92" s="1" t="str">
        <f>INDEX(V:V,MATCH(orders_desnormalizado_prueba3[[#This Row],[acquisition_channel]],U:U,0))</f>
        <v>AliDropship CN - envio 15-20 dias</v>
      </c>
      <c r="Z92" s="1" t="str">
        <f>INDEX(T:T,MATCH(orders_desnormalizado_prueba3[[#This Row],[shipping_cost]],W:W,0))</f>
        <v>Colombia</v>
      </c>
      <c r="AA92" s="1" t="str">
        <f t="shared" si="4"/>
        <v>Cartagena</v>
      </c>
      <c r="AB92" s="1"/>
      <c r="AC92" s="1" t="str">
        <f t="shared" si="5"/>
        <v xml:space="preserve"> </v>
      </c>
    </row>
    <row r="93" spans="1:29" x14ac:dyDescent="0.3">
      <c r="A93" s="1" t="s">
        <v>341</v>
      </c>
      <c r="B93">
        <v>1</v>
      </c>
      <c r="C93">
        <v>34.99</v>
      </c>
      <c r="D93">
        <v>34.99</v>
      </c>
      <c r="E93" s="1" t="s">
        <v>334</v>
      </c>
      <c r="F93" s="1" t="s">
        <v>25</v>
      </c>
      <c r="G93">
        <v>6</v>
      </c>
      <c r="H93" s="1" t="s">
        <v>96</v>
      </c>
      <c r="I93" s="1" t="s">
        <v>85</v>
      </c>
      <c r="J93">
        <v>12.5</v>
      </c>
      <c r="K93">
        <v>34.99</v>
      </c>
      <c r="L93" s="1" t="s">
        <v>60</v>
      </c>
      <c r="M93" s="1" t="s">
        <v>29</v>
      </c>
      <c r="N93" s="1" t="s">
        <v>30</v>
      </c>
      <c r="O93" s="1" t="s">
        <v>31</v>
      </c>
      <c r="P93" s="2">
        <v>45778</v>
      </c>
      <c r="Q93" s="1" t="s">
        <v>342</v>
      </c>
      <c r="R93" s="1" t="s">
        <v>343</v>
      </c>
      <c r="S93" s="1" t="s">
        <v>34</v>
      </c>
      <c r="T93" s="1" t="s">
        <v>35</v>
      </c>
      <c r="U93" s="1" t="s">
        <v>66</v>
      </c>
      <c r="V93" s="1" t="s">
        <v>89</v>
      </c>
      <c r="W93">
        <v>2.4</v>
      </c>
      <c r="X93" s="1" t="str">
        <f t="shared" si="3"/>
        <v>isabella.torres61@mail.com</v>
      </c>
      <c r="Y93" s="1" t="str">
        <f>INDEX(V:V,MATCH(orders_desnormalizado_prueba3[[#This Row],[acquisition_channel]],U:U,0))</f>
        <v>AliDropship CN - envio 15-20 dias</v>
      </c>
      <c r="Z93" s="1" t="str">
        <f>INDEX(T:T,MATCH(orders_desnormalizado_prueba3[[#This Row],[shipping_cost]],W:W,0))</f>
        <v>Colombia</v>
      </c>
      <c r="AA93" s="1" t="str">
        <f t="shared" si="4"/>
        <v>Medellin</v>
      </c>
      <c r="AB93" s="1"/>
      <c r="AC93" s="1" t="str">
        <f t="shared" si="5"/>
        <v xml:space="preserve"> </v>
      </c>
    </row>
    <row r="94" spans="1:29" x14ac:dyDescent="0.3">
      <c r="A94" s="1" t="s">
        <v>344</v>
      </c>
      <c r="B94">
        <v>1</v>
      </c>
      <c r="C94">
        <v>16.989999999999998</v>
      </c>
      <c r="D94">
        <v>16.989999999999998</v>
      </c>
      <c r="E94" s="1" t="s">
        <v>288</v>
      </c>
      <c r="F94" s="1" t="s">
        <v>40</v>
      </c>
      <c r="G94">
        <v>19</v>
      </c>
      <c r="H94" s="1" t="s">
        <v>26</v>
      </c>
      <c r="I94" s="1" t="s">
        <v>59</v>
      </c>
      <c r="J94">
        <v>5</v>
      </c>
      <c r="K94">
        <v>16.989999999999998</v>
      </c>
      <c r="L94" s="1" t="s">
        <v>60</v>
      </c>
      <c r="M94" s="1" t="s">
        <v>61</v>
      </c>
      <c r="N94" s="1" t="s">
        <v>62</v>
      </c>
      <c r="O94" s="1" t="s">
        <v>31</v>
      </c>
      <c r="P94" s="2">
        <v>45726</v>
      </c>
      <c r="Q94" s="1" t="s">
        <v>269</v>
      </c>
      <c r="R94" s="1" t="s">
        <v>345</v>
      </c>
      <c r="S94" s="1" t="s">
        <v>47</v>
      </c>
      <c r="T94" s="1" t="s">
        <v>35</v>
      </c>
      <c r="U94" s="1" t="s">
        <v>36</v>
      </c>
      <c r="V94" s="1" t="s">
        <v>67</v>
      </c>
      <c r="W94">
        <v>3</v>
      </c>
      <c r="X94" s="1" t="str">
        <f t="shared" si="3"/>
        <v>camila.vargas52@mail.com</v>
      </c>
      <c r="Y94" s="1" t="str">
        <f>INDEX(V:V,MATCH(orders_desnormalizado_prueba3[[#This Row],[acquisition_channel]],U:U,0))</f>
        <v>Bodega Propia CO - envio 2-3 dias</v>
      </c>
      <c r="Z94" s="1" t="str">
        <f>INDEX(T:T,MATCH(orders_desnormalizado_prueba3[[#This Row],[shipping_cost]],W:W,0))</f>
        <v>Colombia</v>
      </c>
      <c r="AA94" s="1" t="str">
        <f t="shared" si="4"/>
        <v>Bogota</v>
      </c>
      <c r="AB94" s="1"/>
      <c r="AC94" s="1" t="str">
        <f t="shared" si="5"/>
        <v xml:space="preserve"> </v>
      </c>
    </row>
    <row r="95" spans="1:29" x14ac:dyDescent="0.3">
      <c r="A95" s="1" t="s">
        <v>346</v>
      </c>
      <c r="B95">
        <v>1</v>
      </c>
      <c r="C95">
        <v>21.99</v>
      </c>
      <c r="D95">
        <v>21.99</v>
      </c>
      <c r="E95" s="1" t="s">
        <v>113</v>
      </c>
      <c r="F95" s="1" t="s">
        <v>40</v>
      </c>
      <c r="G95">
        <v>2</v>
      </c>
      <c r="H95" s="1" t="s">
        <v>41</v>
      </c>
      <c r="I95" s="1" t="s">
        <v>27</v>
      </c>
      <c r="J95">
        <v>7</v>
      </c>
      <c r="K95">
        <v>21.99</v>
      </c>
      <c r="L95" s="1" t="s">
        <v>28</v>
      </c>
      <c r="M95" s="1" t="s">
        <v>29</v>
      </c>
      <c r="N95" s="1" t="s">
        <v>30</v>
      </c>
      <c r="O95" s="1" t="s">
        <v>31</v>
      </c>
      <c r="P95" s="2">
        <v>45778</v>
      </c>
      <c r="Q95" s="1" t="s">
        <v>278</v>
      </c>
      <c r="R95" s="1" t="s">
        <v>279</v>
      </c>
      <c r="S95" s="1" t="s">
        <v>54</v>
      </c>
      <c r="T95" s="1" t="s">
        <v>35</v>
      </c>
      <c r="U95" s="1" t="s">
        <v>36</v>
      </c>
      <c r="V95" s="1" t="s">
        <v>37</v>
      </c>
      <c r="W95">
        <v>2</v>
      </c>
      <c r="X95" s="1" t="str">
        <f t="shared" si="3"/>
        <v>gabriela.diaz40@mail.com</v>
      </c>
      <c r="Y95" s="1" t="str">
        <f>INDEX(V:V,MATCH(orders_desnormalizado_prueba3[[#This Row],[acquisition_channel]],U:U,0))</f>
        <v>Bodega Propia CO - envio 2-3 dias</v>
      </c>
      <c r="Z95" s="1" t="str">
        <f>INDEX(T:T,MATCH(orders_desnormalizado_prueba3[[#This Row],[shipping_cost]],W:W,0))</f>
        <v>Colombia</v>
      </c>
      <c r="AA95" s="1" t="str">
        <f t="shared" si="4"/>
        <v>Medellin</v>
      </c>
      <c r="AB95" s="1"/>
      <c r="AC95" s="1" t="str">
        <f t="shared" si="5"/>
        <v xml:space="preserve"> </v>
      </c>
    </row>
    <row r="96" spans="1:29" x14ac:dyDescent="0.3">
      <c r="A96" s="1" t="s">
        <v>347</v>
      </c>
      <c r="B96">
        <v>1</v>
      </c>
      <c r="C96">
        <v>16.989999999999998</v>
      </c>
      <c r="D96">
        <v>16.989999999999998</v>
      </c>
      <c r="E96" s="1" t="s">
        <v>348</v>
      </c>
      <c r="F96" s="1" t="s">
        <v>70</v>
      </c>
      <c r="G96">
        <v>0</v>
      </c>
      <c r="H96" s="1" t="s">
        <v>41</v>
      </c>
      <c r="I96" s="1" t="s">
        <v>59</v>
      </c>
      <c r="J96">
        <v>5</v>
      </c>
      <c r="K96">
        <v>16.989999999999998</v>
      </c>
      <c r="L96" s="1" t="s">
        <v>60</v>
      </c>
      <c r="M96" s="1" t="s">
        <v>61</v>
      </c>
      <c r="N96" s="1" t="s">
        <v>62</v>
      </c>
      <c r="O96" s="1" t="s">
        <v>31</v>
      </c>
      <c r="P96" s="2">
        <v>45726</v>
      </c>
      <c r="Q96" s="1" t="s">
        <v>349</v>
      </c>
      <c r="R96" s="1" t="s">
        <v>350</v>
      </c>
      <c r="S96" s="1" t="s">
        <v>47</v>
      </c>
      <c r="T96" s="1" t="s">
        <v>35</v>
      </c>
      <c r="U96" s="1" t="s">
        <v>55</v>
      </c>
      <c r="V96" s="1" t="s">
        <v>67</v>
      </c>
      <c r="W96">
        <v>3</v>
      </c>
      <c r="X96" s="1" t="str">
        <f t="shared" si="3"/>
        <v>diego.diaz29@mail.com</v>
      </c>
      <c r="Y96" s="1" t="str">
        <f>INDEX(V:V,MATCH(orders_desnormalizado_prueba3[[#This Row],[acquisition_channel]],U:U,0))</f>
        <v>Bodega Propia CO - envio 2-3 dias</v>
      </c>
      <c r="Z96" s="1" t="str">
        <f>INDEX(T:T,MATCH(orders_desnormalizado_prueba3[[#This Row],[shipping_cost]],W:W,0))</f>
        <v>Colombia</v>
      </c>
      <c r="AA96" s="1" t="str">
        <f t="shared" si="4"/>
        <v>Cartagena</v>
      </c>
      <c r="AB96" s="1"/>
      <c r="AC96" s="1" t="str">
        <f t="shared" si="5"/>
        <v xml:space="preserve"> </v>
      </c>
    </row>
    <row r="97" spans="1:29" x14ac:dyDescent="0.3">
      <c r="A97" s="1" t="s">
        <v>351</v>
      </c>
      <c r="B97">
        <v>3</v>
      </c>
      <c r="C97">
        <v>21.99</v>
      </c>
      <c r="D97">
        <v>52.48</v>
      </c>
      <c r="E97" s="1" t="s">
        <v>274</v>
      </c>
      <c r="F97" s="1" t="s">
        <v>70</v>
      </c>
      <c r="G97">
        <v>0</v>
      </c>
      <c r="H97" s="1" t="s">
        <v>96</v>
      </c>
      <c r="I97" s="1" t="s">
        <v>27</v>
      </c>
      <c r="J97">
        <v>7</v>
      </c>
      <c r="K97">
        <v>21.99</v>
      </c>
      <c r="L97" s="1" t="s">
        <v>28</v>
      </c>
      <c r="M97" s="1" t="s">
        <v>29</v>
      </c>
      <c r="N97" s="1" t="s">
        <v>30</v>
      </c>
      <c r="O97" s="1" t="s">
        <v>31</v>
      </c>
      <c r="P97" s="2">
        <v>45778</v>
      </c>
      <c r="Q97" s="1" t="s">
        <v>114</v>
      </c>
      <c r="R97" s="1" t="s">
        <v>115</v>
      </c>
      <c r="S97" s="1" t="s">
        <v>54</v>
      </c>
      <c r="T97" s="1" t="s">
        <v>35</v>
      </c>
      <c r="U97" s="1" t="s">
        <v>82</v>
      </c>
      <c r="V97" s="1" t="s">
        <v>37</v>
      </c>
      <c r="W97">
        <v>2</v>
      </c>
      <c r="X97" s="1" t="str">
        <f t="shared" si="3"/>
        <v>paula.diaz150@mail.com</v>
      </c>
      <c r="Y97" s="1" t="str">
        <f>INDEX(V:V,MATCH(orders_desnormalizado_prueba3[[#This Row],[acquisition_channel]],U:U,0))</f>
        <v>Bodega Propia CO - envio 2-3 dias</v>
      </c>
      <c r="Z97" s="1" t="str">
        <f>INDEX(T:T,MATCH(orders_desnormalizado_prueba3[[#This Row],[shipping_cost]],W:W,0))</f>
        <v>Colombia</v>
      </c>
      <c r="AA97" s="1" t="str">
        <f t="shared" si="4"/>
        <v>Cartagena</v>
      </c>
      <c r="AB97" s="1"/>
      <c r="AC97" s="1" t="str">
        <f t="shared" si="5"/>
        <v xml:space="preserve"> </v>
      </c>
    </row>
    <row r="98" spans="1:29" x14ac:dyDescent="0.3">
      <c r="A98" s="1" t="s">
        <v>352</v>
      </c>
      <c r="B98">
        <v>1</v>
      </c>
      <c r="C98">
        <v>34.99</v>
      </c>
      <c r="D98">
        <v>34.99</v>
      </c>
      <c r="E98" s="1" t="s">
        <v>160</v>
      </c>
      <c r="F98" s="1" t="s">
        <v>51</v>
      </c>
      <c r="G98">
        <v>0</v>
      </c>
      <c r="H98" s="1" t="s">
        <v>41</v>
      </c>
      <c r="I98" s="1" t="s">
        <v>85</v>
      </c>
      <c r="J98">
        <v>12.5</v>
      </c>
      <c r="K98">
        <v>34.99</v>
      </c>
      <c r="L98" s="1" t="s">
        <v>60</v>
      </c>
      <c r="M98" s="1" t="s">
        <v>29</v>
      </c>
      <c r="N98" s="1" t="s">
        <v>30</v>
      </c>
      <c r="O98" s="1" t="s">
        <v>31</v>
      </c>
      <c r="P98" s="2">
        <v>45778</v>
      </c>
      <c r="Q98" s="1" t="s">
        <v>176</v>
      </c>
      <c r="R98" s="1" t="s">
        <v>353</v>
      </c>
      <c r="S98" s="1" t="s">
        <v>105</v>
      </c>
      <c r="T98" s="1" t="s">
        <v>35</v>
      </c>
      <c r="U98" s="1" t="s">
        <v>82</v>
      </c>
      <c r="V98" s="1" t="s">
        <v>89</v>
      </c>
      <c r="W98">
        <v>2.4</v>
      </c>
      <c r="X98" s="1" t="str">
        <f t="shared" si="3"/>
        <v>camila.castro114@mail.com</v>
      </c>
      <c r="Y98" s="1" t="str">
        <f>INDEX(V:V,MATCH(orders_desnormalizado_prueba3[[#This Row],[acquisition_channel]],U:U,0))</f>
        <v>Bodega Propia CO - envio 2-3 dias</v>
      </c>
      <c r="Z98" s="1" t="str">
        <f>INDEX(T:T,MATCH(orders_desnormalizado_prueba3[[#This Row],[shipping_cost]],W:W,0))</f>
        <v>Colombia</v>
      </c>
      <c r="AA98" s="1" t="str">
        <f t="shared" si="4"/>
        <v>Cartagena</v>
      </c>
      <c r="AB98" s="1"/>
      <c r="AC98" s="1" t="str">
        <f t="shared" si="5"/>
        <v xml:space="preserve"> </v>
      </c>
    </row>
    <row r="99" spans="1:29" x14ac:dyDescent="0.3">
      <c r="A99" s="1" t="s">
        <v>354</v>
      </c>
      <c r="B99">
        <v>1</v>
      </c>
      <c r="C99">
        <v>16.989999999999998</v>
      </c>
      <c r="D99">
        <v>16.989999999999998</v>
      </c>
      <c r="E99" s="1" t="s">
        <v>246</v>
      </c>
      <c r="F99" s="1" t="s">
        <v>25</v>
      </c>
      <c r="G99">
        <v>16</v>
      </c>
      <c r="H99" s="1" t="s">
        <v>41</v>
      </c>
      <c r="I99" s="1" t="s">
        <v>59</v>
      </c>
      <c r="J99">
        <v>5</v>
      </c>
      <c r="K99">
        <v>16.989999999999998</v>
      </c>
      <c r="L99" s="1" t="s">
        <v>60</v>
      </c>
      <c r="M99" s="1" t="s">
        <v>61</v>
      </c>
      <c r="N99" s="1" t="s">
        <v>62</v>
      </c>
      <c r="O99" s="1" t="s">
        <v>31</v>
      </c>
      <c r="P99" s="2">
        <v>45726</v>
      </c>
      <c r="Q99" s="1" t="s">
        <v>355</v>
      </c>
      <c r="R99" s="1" t="s">
        <v>356</v>
      </c>
      <c r="S99" s="1" t="s">
        <v>34</v>
      </c>
      <c r="T99" s="1" t="s">
        <v>35</v>
      </c>
      <c r="U99" s="1" t="s">
        <v>48</v>
      </c>
      <c r="V99" s="1" t="s">
        <v>67</v>
      </c>
      <c r="W99">
        <v>3</v>
      </c>
      <c r="X99" s="1" t="str">
        <f t="shared" si="3"/>
        <v>sofia.perez139@mail.com</v>
      </c>
      <c r="Y99" s="1" t="str">
        <f>INDEX(V:V,MATCH(orders_desnormalizado_prueba3[[#This Row],[acquisition_channel]],U:U,0))</f>
        <v>Bodega Propia CO - envio 2-3 dias</v>
      </c>
      <c r="Z99" s="1" t="str">
        <f>INDEX(T:T,MATCH(orders_desnormalizado_prueba3[[#This Row],[shipping_cost]],W:W,0))</f>
        <v>Colombia</v>
      </c>
      <c r="AA99" s="1" t="str">
        <f t="shared" si="4"/>
        <v>Bogota</v>
      </c>
      <c r="AB99" s="1"/>
      <c r="AC99" s="1" t="str">
        <f t="shared" si="5"/>
        <v xml:space="preserve"> </v>
      </c>
    </row>
    <row r="100" spans="1:29" x14ac:dyDescent="0.3">
      <c r="A100" s="1" t="s">
        <v>357</v>
      </c>
      <c r="B100">
        <v>3</v>
      </c>
      <c r="C100">
        <v>27.99</v>
      </c>
      <c r="D100">
        <v>66.88</v>
      </c>
      <c r="E100" s="1" t="s">
        <v>244</v>
      </c>
      <c r="F100" s="1" t="s">
        <v>40</v>
      </c>
      <c r="G100">
        <v>2</v>
      </c>
      <c r="H100" s="1" t="s">
        <v>58</v>
      </c>
      <c r="I100" s="1" t="s">
        <v>75</v>
      </c>
      <c r="J100">
        <v>9</v>
      </c>
      <c r="K100">
        <v>27.99</v>
      </c>
      <c r="L100" s="1" t="s">
        <v>28</v>
      </c>
      <c r="M100" s="1" t="s">
        <v>61</v>
      </c>
      <c r="N100" s="1" t="s">
        <v>62</v>
      </c>
      <c r="O100" s="1" t="s">
        <v>31</v>
      </c>
      <c r="P100" s="2">
        <v>45726</v>
      </c>
      <c r="Q100" s="1" t="s">
        <v>358</v>
      </c>
      <c r="R100" s="1" t="s">
        <v>359</v>
      </c>
      <c r="S100" s="1" t="s">
        <v>34</v>
      </c>
      <c r="T100" s="1" t="s">
        <v>35</v>
      </c>
      <c r="U100" s="1" t="s">
        <v>66</v>
      </c>
      <c r="V100" s="1" t="s">
        <v>37</v>
      </c>
      <c r="W100">
        <v>2</v>
      </c>
      <c r="X100" s="1" t="str">
        <f t="shared" si="3"/>
        <v>valentina.sanchez97@mail.com</v>
      </c>
      <c r="Y100" s="1" t="str">
        <f>INDEX(V:V,MATCH(orders_desnormalizado_prueba3[[#This Row],[acquisition_channel]],U:U,0))</f>
        <v>AliDropship CN - envio 15-20 dias</v>
      </c>
      <c r="Z100" s="1" t="str">
        <f>INDEX(T:T,MATCH(orders_desnormalizado_prueba3[[#This Row],[shipping_cost]],W:W,0))</f>
        <v>Colombia</v>
      </c>
      <c r="AA100" s="1" t="str">
        <f t="shared" si="4"/>
        <v>Medellin</v>
      </c>
      <c r="AB100" s="1"/>
      <c r="AC100" s="1" t="str">
        <f t="shared" si="5"/>
        <v xml:space="preserve"> </v>
      </c>
    </row>
    <row r="101" spans="1:29" x14ac:dyDescent="0.3">
      <c r="A101" s="1" t="s">
        <v>360</v>
      </c>
      <c r="B101">
        <v>1</v>
      </c>
      <c r="C101">
        <v>21.99</v>
      </c>
      <c r="D101">
        <v>21.99</v>
      </c>
      <c r="E101" s="1" t="s">
        <v>244</v>
      </c>
      <c r="F101" s="1" t="s">
        <v>40</v>
      </c>
      <c r="G101">
        <v>2</v>
      </c>
      <c r="H101" s="1" t="s">
        <v>58</v>
      </c>
      <c r="I101" s="1" t="s">
        <v>27</v>
      </c>
      <c r="J101">
        <v>7</v>
      </c>
      <c r="K101">
        <v>21.99</v>
      </c>
      <c r="L101" s="1" t="s">
        <v>28</v>
      </c>
      <c r="M101" s="1" t="s">
        <v>29</v>
      </c>
      <c r="N101" s="1" t="s">
        <v>30</v>
      </c>
      <c r="O101" s="1" t="s">
        <v>31</v>
      </c>
      <c r="P101" s="2">
        <v>45778</v>
      </c>
      <c r="Q101" s="1" t="s">
        <v>231</v>
      </c>
      <c r="R101" s="1" t="s">
        <v>361</v>
      </c>
      <c r="S101" s="1" t="s">
        <v>47</v>
      </c>
      <c r="T101" s="1" t="s">
        <v>35</v>
      </c>
      <c r="U101" s="1" t="s">
        <v>66</v>
      </c>
      <c r="V101" s="1" t="s">
        <v>37</v>
      </c>
      <c r="W101">
        <v>2</v>
      </c>
      <c r="X101" s="1" t="str">
        <f t="shared" si="3"/>
        <v>miguel.ramirez82@mail.com</v>
      </c>
      <c r="Y101" s="1" t="str">
        <f>INDEX(V:V,MATCH(orders_desnormalizado_prueba3[[#This Row],[acquisition_channel]],U:U,0))</f>
        <v>AliDropship CN - envio 15-20 dias</v>
      </c>
      <c r="Z101" s="1" t="str">
        <f>INDEX(T:T,MATCH(orders_desnormalizado_prueba3[[#This Row],[shipping_cost]],W:W,0))</f>
        <v>Colombia</v>
      </c>
      <c r="AA101" s="1" t="str">
        <f t="shared" si="4"/>
        <v>Medellin</v>
      </c>
      <c r="AB101" s="1"/>
      <c r="AC101" s="1" t="str">
        <f t="shared" si="5"/>
        <v xml:space="preserve"> </v>
      </c>
    </row>
    <row r="102" spans="1:29" x14ac:dyDescent="0.3">
      <c r="A102" s="1" t="s">
        <v>362</v>
      </c>
      <c r="B102">
        <v>1</v>
      </c>
      <c r="C102">
        <v>30.99</v>
      </c>
      <c r="D102">
        <v>30.99</v>
      </c>
      <c r="E102" s="1" t="s">
        <v>107</v>
      </c>
      <c r="F102" s="1" t="s">
        <v>51</v>
      </c>
      <c r="G102">
        <v>0</v>
      </c>
      <c r="H102" s="1" t="s">
        <v>96</v>
      </c>
      <c r="I102" s="1" t="s">
        <v>42</v>
      </c>
      <c r="J102">
        <v>10.5</v>
      </c>
      <c r="K102">
        <v>30.99</v>
      </c>
      <c r="L102" s="1" t="s">
        <v>28</v>
      </c>
      <c r="M102" s="1" t="s">
        <v>43</v>
      </c>
      <c r="N102" s="1" t="s">
        <v>44</v>
      </c>
      <c r="O102" s="1" t="s">
        <v>31</v>
      </c>
      <c r="P102" s="2">
        <v>45823</v>
      </c>
      <c r="Q102" s="1" t="s">
        <v>363</v>
      </c>
      <c r="R102" s="1" t="s">
        <v>364</v>
      </c>
      <c r="S102" s="1" t="s">
        <v>54</v>
      </c>
      <c r="T102" s="1" t="s">
        <v>35</v>
      </c>
      <c r="U102" s="1" t="s">
        <v>55</v>
      </c>
      <c r="V102" s="1" t="s">
        <v>37</v>
      </c>
      <c r="W102">
        <v>2</v>
      </c>
      <c r="X102" s="1" t="str">
        <f t="shared" si="3"/>
        <v>miguel.diaz9@mail.com</v>
      </c>
      <c r="Y102" s="1" t="str">
        <f>INDEX(V:V,MATCH(orders_desnormalizado_prueba3[[#This Row],[acquisition_channel]],U:U,0))</f>
        <v>Bodega Propia CO - envio 2-3 dias</v>
      </c>
      <c r="Z102" s="1" t="str">
        <f>INDEX(T:T,MATCH(orders_desnormalizado_prueba3[[#This Row],[shipping_cost]],W:W,0))</f>
        <v>Colombia</v>
      </c>
      <c r="AA102" s="1" t="str">
        <f t="shared" si="4"/>
        <v>Cartagena</v>
      </c>
      <c r="AB102" s="1"/>
      <c r="AC102" s="1" t="str">
        <f t="shared" si="5"/>
        <v xml:space="preserve"> </v>
      </c>
    </row>
    <row r="103" spans="1:29" x14ac:dyDescent="0.3">
      <c r="A103" s="1" t="s">
        <v>365</v>
      </c>
      <c r="B103">
        <v>1</v>
      </c>
      <c r="C103">
        <v>18.989999999999998</v>
      </c>
      <c r="D103">
        <v>18.989999999999998</v>
      </c>
      <c r="E103" s="1" t="s">
        <v>260</v>
      </c>
      <c r="F103" s="1" t="s">
        <v>40</v>
      </c>
      <c r="G103">
        <v>11</v>
      </c>
      <c r="H103" s="1" t="s">
        <v>41</v>
      </c>
      <c r="I103" s="1" t="s">
        <v>97</v>
      </c>
      <c r="J103">
        <v>6</v>
      </c>
      <c r="K103">
        <v>18.989999999999998</v>
      </c>
      <c r="L103" s="1" t="s">
        <v>60</v>
      </c>
      <c r="M103" s="1" t="s">
        <v>43</v>
      </c>
      <c r="N103" s="1" t="s">
        <v>44</v>
      </c>
      <c r="O103" s="1" t="s">
        <v>31</v>
      </c>
      <c r="P103" s="2">
        <v>45823</v>
      </c>
      <c r="Q103" s="1" t="s">
        <v>366</v>
      </c>
      <c r="R103" s="1" t="s">
        <v>367</v>
      </c>
      <c r="S103" s="1" t="s">
        <v>105</v>
      </c>
      <c r="T103" s="1" t="s">
        <v>35</v>
      </c>
      <c r="U103" s="1" t="s">
        <v>48</v>
      </c>
      <c r="V103" s="1" t="s">
        <v>100</v>
      </c>
      <c r="W103">
        <v>3.2</v>
      </c>
      <c r="X103" s="1" t="str">
        <f t="shared" si="3"/>
        <v>carlos.vargas63@mail.com</v>
      </c>
      <c r="Y103" s="1" t="str">
        <f>INDEX(V:V,MATCH(orders_desnormalizado_prueba3[[#This Row],[acquisition_channel]],U:U,0))</f>
        <v>Bodega Propia CO - envio 2-3 dias</v>
      </c>
      <c r="Z103" s="1" t="str">
        <f>INDEX(T:T,MATCH(orders_desnormalizado_prueba3[[#This Row],[shipping_cost]],W:W,0))</f>
        <v>Colombia</v>
      </c>
      <c r="AA103" s="1" t="str">
        <f t="shared" si="4"/>
        <v>Cali</v>
      </c>
      <c r="AB103" s="1"/>
      <c r="AC103" s="1" t="str">
        <f t="shared" si="5"/>
        <v xml:space="preserve"> </v>
      </c>
    </row>
    <row r="104" spans="1:29" x14ac:dyDescent="0.3">
      <c r="A104" s="1" t="s">
        <v>368</v>
      </c>
      <c r="B104">
        <v>1</v>
      </c>
      <c r="C104">
        <v>30.99</v>
      </c>
      <c r="D104">
        <v>30.99</v>
      </c>
      <c r="E104" s="1" t="s">
        <v>146</v>
      </c>
      <c r="F104" s="1" t="s">
        <v>40</v>
      </c>
      <c r="G104">
        <v>3</v>
      </c>
      <c r="H104" s="1" t="s">
        <v>41</v>
      </c>
      <c r="I104" s="1" t="s">
        <v>42</v>
      </c>
      <c r="J104">
        <v>10.5</v>
      </c>
      <c r="K104">
        <v>30.99</v>
      </c>
      <c r="L104" s="1" t="s">
        <v>28</v>
      </c>
      <c r="M104" s="1" t="s">
        <v>43</v>
      </c>
      <c r="N104" s="1" t="s">
        <v>44</v>
      </c>
      <c r="O104" s="1" t="s">
        <v>31</v>
      </c>
      <c r="P104" s="2">
        <v>45823</v>
      </c>
      <c r="Q104" s="1" t="s">
        <v>231</v>
      </c>
      <c r="R104" s="1" t="s">
        <v>232</v>
      </c>
      <c r="S104" s="1" t="s">
        <v>105</v>
      </c>
      <c r="T104" s="1" t="s">
        <v>35</v>
      </c>
      <c r="U104" s="1" t="s">
        <v>36</v>
      </c>
      <c r="V104" s="1" t="s">
        <v>37</v>
      </c>
      <c r="W104">
        <v>2</v>
      </c>
      <c r="X104" s="1" t="str">
        <f t="shared" si="3"/>
        <v>miguel.ramirez82@mail.com</v>
      </c>
      <c r="Y104" s="1" t="str">
        <f>INDEX(V:V,MATCH(orders_desnormalizado_prueba3[[#This Row],[acquisition_channel]],U:U,0))</f>
        <v>Bodega Propia CO - envio 2-3 dias</v>
      </c>
      <c r="Z104" s="1" t="str">
        <f>INDEX(T:T,MATCH(orders_desnormalizado_prueba3[[#This Row],[shipping_cost]],W:W,0))</f>
        <v>Colombia</v>
      </c>
      <c r="AA104" s="1" t="str">
        <f t="shared" si="4"/>
        <v>Barranquilla</v>
      </c>
      <c r="AB104" s="1"/>
      <c r="AC104" s="1" t="str">
        <f t="shared" si="5"/>
        <v xml:space="preserve"> </v>
      </c>
    </row>
    <row r="105" spans="1:29" x14ac:dyDescent="0.3">
      <c r="A105" s="1" t="s">
        <v>369</v>
      </c>
      <c r="B105">
        <v>1</v>
      </c>
      <c r="C105">
        <v>30.99</v>
      </c>
      <c r="D105">
        <v>30.99</v>
      </c>
      <c r="E105" s="1" t="s">
        <v>175</v>
      </c>
      <c r="F105" s="1" t="s">
        <v>51</v>
      </c>
      <c r="G105">
        <v>0</v>
      </c>
      <c r="H105" s="1" t="s">
        <v>58</v>
      </c>
      <c r="I105" s="1" t="s">
        <v>42</v>
      </c>
      <c r="J105">
        <v>10.5</v>
      </c>
      <c r="K105">
        <v>30.99</v>
      </c>
      <c r="L105" s="1" t="s">
        <v>28</v>
      </c>
      <c r="M105" s="1" t="s">
        <v>43</v>
      </c>
      <c r="N105" s="1" t="s">
        <v>44</v>
      </c>
      <c r="O105" s="1" t="s">
        <v>31</v>
      </c>
      <c r="P105" s="2">
        <v>45823</v>
      </c>
      <c r="Q105" s="1" t="s">
        <v>339</v>
      </c>
      <c r="R105" s="1" t="s">
        <v>340</v>
      </c>
      <c r="S105" s="1" t="s">
        <v>65</v>
      </c>
      <c r="T105" s="1" t="s">
        <v>35</v>
      </c>
      <c r="U105" s="1" t="s">
        <v>66</v>
      </c>
      <c r="V105" s="1" t="s">
        <v>37</v>
      </c>
      <c r="W105">
        <v>2</v>
      </c>
      <c r="X105" s="1" t="str">
        <f t="shared" si="3"/>
        <v>natalia.ramirez45@mail.com</v>
      </c>
      <c r="Y105" s="1" t="str">
        <f>INDEX(V:V,MATCH(orders_desnormalizado_prueba3[[#This Row],[acquisition_channel]],U:U,0))</f>
        <v>AliDropship CN - envio 15-20 dias</v>
      </c>
      <c r="Z105" s="1" t="str">
        <f>INDEX(T:T,MATCH(orders_desnormalizado_prueba3[[#This Row],[shipping_cost]],W:W,0))</f>
        <v>Colombia</v>
      </c>
      <c r="AA105" s="1" t="str">
        <f t="shared" si="4"/>
        <v>Cartagena</v>
      </c>
      <c r="AB105" s="1"/>
      <c r="AC105" s="1" t="str">
        <f t="shared" si="5"/>
        <v xml:space="preserve"> </v>
      </c>
    </row>
    <row r="106" spans="1:29" x14ac:dyDescent="0.3">
      <c r="A106" s="1" t="s">
        <v>370</v>
      </c>
      <c r="B106">
        <v>1</v>
      </c>
      <c r="C106">
        <v>34.99</v>
      </c>
      <c r="D106">
        <v>34.99</v>
      </c>
      <c r="E106" s="1" t="s">
        <v>325</v>
      </c>
      <c r="F106" s="1" t="s">
        <v>188</v>
      </c>
      <c r="G106">
        <v>0</v>
      </c>
      <c r="H106" s="1" t="s">
        <v>41</v>
      </c>
      <c r="I106" s="1" t="s">
        <v>85</v>
      </c>
      <c r="J106">
        <v>12.5</v>
      </c>
      <c r="K106">
        <v>34.99</v>
      </c>
      <c r="L106" s="1" t="s">
        <v>60</v>
      </c>
      <c r="M106" s="1" t="s">
        <v>29</v>
      </c>
      <c r="N106" s="1" t="s">
        <v>30</v>
      </c>
      <c r="O106" s="1" t="s">
        <v>31</v>
      </c>
      <c r="P106" s="2">
        <v>45778</v>
      </c>
      <c r="Q106" s="1" t="s">
        <v>63</v>
      </c>
      <c r="R106" s="1" t="s">
        <v>371</v>
      </c>
      <c r="S106" s="1" t="s">
        <v>88</v>
      </c>
      <c r="T106" s="1" t="s">
        <v>35</v>
      </c>
      <c r="U106" s="1" t="s">
        <v>36</v>
      </c>
      <c r="V106" s="1" t="s">
        <v>89</v>
      </c>
      <c r="W106">
        <v>2.4</v>
      </c>
      <c r="X106" s="1" t="str">
        <f t="shared" si="3"/>
        <v>laura.rodriguez85@mail.com</v>
      </c>
      <c r="Y106" s="1" t="str">
        <f>INDEX(V:V,MATCH(orders_desnormalizado_prueba3[[#This Row],[acquisition_channel]],U:U,0))</f>
        <v>Bodega Propia CO - envio 2-3 dias</v>
      </c>
      <c r="Z106" s="1" t="str">
        <f>INDEX(T:T,MATCH(orders_desnormalizado_prueba3[[#This Row],[shipping_cost]],W:W,0))</f>
        <v>Colombia</v>
      </c>
      <c r="AA106" s="1" t="str">
        <f t="shared" si="4"/>
        <v>Cartagena</v>
      </c>
      <c r="AB106" s="1"/>
      <c r="AC106" s="1" t="str">
        <f t="shared" si="5"/>
        <v xml:space="preserve"> </v>
      </c>
    </row>
    <row r="107" spans="1:29" x14ac:dyDescent="0.3">
      <c r="A107" s="1" t="s">
        <v>372</v>
      </c>
      <c r="B107">
        <v>1</v>
      </c>
      <c r="C107">
        <v>27.99</v>
      </c>
      <c r="D107">
        <v>27.99</v>
      </c>
      <c r="E107" s="1" t="s">
        <v>91</v>
      </c>
      <c r="F107" s="1" t="s">
        <v>40</v>
      </c>
      <c r="G107">
        <v>3</v>
      </c>
      <c r="H107" s="1" t="s">
        <v>26</v>
      </c>
      <c r="I107" s="1" t="s">
        <v>75</v>
      </c>
      <c r="J107">
        <v>9</v>
      </c>
      <c r="K107">
        <v>27.99</v>
      </c>
      <c r="L107" s="1" t="s">
        <v>28</v>
      </c>
      <c r="M107" s="1" t="s">
        <v>61</v>
      </c>
      <c r="N107" s="1" t="s">
        <v>62</v>
      </c>
      <c r="O107" s="1" t="s">
        <v>31</v>
      </c>
      <c r="P107" s="2">
        <v>45726</v>
      </c>
      <c r="Q107" s="1" t="s">
        <v>373</v>
      </c>
      <c r="R107" s="1" t="s">
        <v>374</v>
      </c>
      <c r="S107" s="1" t="s">
        <v>65</v>
      </c>
      <c r="T107" s="1" t="s">
        <v>35</v>
      </c>
      <c r="U107" s="1" t="s">
        <v>82</v>
      </c>
      <c r="V107" s="1" t="s">
        <v>37</v>
      </c>
      <c r="W107">
        <v>2</v>
      </c>
      <c r="X107" s="1" t="str">
        <f t="shared" si="3"/>
        <v>david.diaz100@mail.com</v>
      </c>
      <c r="Y107" s="1" t="str">
        <f>INDEX(V:V,MATCH(orders_desnormalizado_prueba3[[#This Row],[acquisition_channel]],U:U,0))</f>
        <v>Bodega Propia CO - envio 2-3 dias</v>
      </c>
      <c r="Z107" s="1" t="str">
        <f>INDEX(T:T,MATCH(orders_desnormalizado_prueba3[[#This Row],[shipping_cost]],W:W,0))</f>
        <v>Colombia</v>
      </c>
      <c r="AA107" s="1" t="str">
        <f t="shared" si="4"/>
        <v>Barranquilla</v>
      </c>
      <c r="AB107" s="1"/>
      <c r="AC107" s="1" t="str">
        <f t="shared" si="5"/>
        <v xml:space="preserve"> </v>
      </c>
    </row>
    <row r="108" spans="1:29" x14ac:dyDescent="0.3">
      <c r="A108" s="1" t="s">
        <v>375</v>
      </c>
      <c r="B108">
        <v>1</v>
      </c>
      <c r="C108">
        <v>18.989999999999998</v>
      </c>
      <c r="D108">
        <v>18.989999999999998</v>
      </c>
      <c r="E108" s="1" t="s">
        <v>260</v>
      </c>
      <c r="F108" s="1" t="s">
        <v>70</v>
      </c>
      <c r="G108">
        <v>0</v>
      </c>
      <c r="H108" s="1" t="s">
        <v>41</v>
      </c>
      <c r="I108" s="1" t="s">
        <v>97</v>
      </c>
      <c r="J108">
        <v>6</v>
      </c>
      <c r="K108">
        <v>18.989999999999998</v>
      </c>
      <c r="L108" s="1" t="s">
        <v>60</v>
      </c>
      <c r="M108" s="1" t="s">
        <v>43</v>
      </c>
      <c r="N108" s="1" t="s">
        <v>44</v>
      </c>
      <c r="O108" s="1" t="s">
        <v>31</v>
      </c>
      <c r="P108" s="2">
        <v>45823</v>
      </c>
      <c r="Q108" s="1" t="s">
        <v>376</v>
      </c>
      <c r="R108" s="1" t="s">
        <v>377</v>
      </c>
      <c r="S108" s="1" t="s">
        <v>65</v>
      </c>
      <c r="T108" s="1" t="s">
        <v>35</v>
      </c>
      <c r="U108" s="1" t="s">
        <v>66</v>
      </c>
      <c r="V108" s="1" t="s">
        <v>100</v>
      </c>
      <c r="W108">
        <v>3.2</v>
      </c>
      <c r="X108" s="1" t="str">
        <f t="shared" si="3"/>
        <v>santiago.perez173@mail.com</v>
      </c>
      <c r="Y108" s="1" t="str">
        <f>INDEX(V:V,MATCH(orders_desnormalizado_prueba3[[#This Row],[acquisition_channel]],U:U,0))</f>
        <v>AliDropship CN - envio 15-20 dias</v>
      </c>
      <c r="Z108" s="1" t="str">
        <f>INDEX(T:T,MATCH(orders_desnormalizado_prueba3[[#This Row],[shipping_cost]],W:W,0))</f>
        <v>Colombia</v>
      </c>
      <c r="AA108" s="1" t="str">
        <f t="shared" si="4"/>
        <v>Cartagena</v>
      </c>
      <c r="AB108" s="1"/>
      <c r="AC108" s="1" t="str">
        <f t="shared" si="5"/>
        <v xml:space="preserve"> </v>
      </c>
    </row>
    <row r="109" spans="1:29" x14ac:dyDescent="0.3">
      <c r="A109" s="1" t="s">
        <v>378</v>
      </c>
      <c r="B109">
        <v>1</v>
      </c>
      <c r="C109">
        <v>27.99</v>
      </c>
      <c r="D109">
        <v>27.99</v>
      </c>
      <c r="E109" s="1" t="s">
        <v>181</v>
      </c>
      <c r="F109" s="1" t="s">
        <v>188</v>
      </c>
      <c r="G109">
        <v>0</v>
      </c>
      <c r="H109" s="1" t="s">
        <v>41</v>
      </c>
      <c r="I109" s="1" t="s">
        <v>75</v>
      </c>
      <c r="J109">
        <v>9</v>
      </c>
      <c r="K109">
        <v>27.99</v>
      </c>
      <c r="L109" s="1" t="s">
        <v>28</v>
      </c>
      <c r="M109" s="1" t="s">
        <v>61</v>
      </c>
      <c r="N109" s="1" t="s">
        <v>62</v>
      </c>
      <c r="O109" s="1" t="s">
        <v>31</v>
      </c>
      <c r="P109" s="2">
        <v>45726</v>
      </c>
      <c r="Q109" s="1" t="s">
        <v>379</v>
      </c>
      <c r="R109" s="1" t="s">
        <v>380</v>
      </c>
      <c r="S109" s="1" t="s">
        <v>34</v>
      </c>
      <c r="T109" s="1" t="s">
        <v>35</v>
      </c>
      <c r="U109" s="1" t="s">
        <v>55</v>
      </c>
      <c r="V109" s="1" t="s">
        <v>37</v>
      </c>
      <c r="W109">
        <v>2</v>
      </c>
      <c r="X109" s="1" t="str">
        <f t="shared" si="3"/>
        <v>sofia.sanchez55@mail.com</v>
      </c>
      <c r="Y109" s="1" t="str">
        <f>INDEX(V:V,MATCH(orders_desnormalizado_prueba3[[#This Row],[acquisition_channel]],U:U,0))</f>
        <v>Bodega Propia CO - envio 2-3 dias</v>
      </c>
      <c r="Z109" s="1" t="str">
        <f>INDEX(T:T,MATCH(orders_desnormalizado_prueba3[[#This Row],[shipping_cost]],W:W,0))</f>
        <v>Colombia</v>
      </c>
      <c r="AA109" s="1" t="str">
        <f t="shared" si="4"/>
        <v>Cartagena</v>
      </c>
      <c r="AB109" s="1"/>
      <c r="AC109" s="1" t="str">
        <f t="shared" si="5"/>
        <v xml:space="preserve"> </v>
      </c>
    </row>
    <row r="110" spans="1:29" x14ac:dyDescent="0.3">
      <c r="A110" s="1" t="s">
        <v>381</v>
      </c>
      <c r="B110">
        <v>1</v>
      </c>
      <c r="C110">
        <v>34.99</v>
      </c>
      <c r="D110">
        <v>34.99</v>
      </c>
      <c r="E110" s="1" t="s">
        <v>382</v>
      </c>
      <c r="F110" s="1" t="s">
        <v>51</v>
      </c>
      <c r="G110">
        <v>0</v>
      </c>
      <c r="H110" s="1" t="s">
        <v>58</v>
      </c>
      <c r="I110" s="1" t="s">
        <v>85</v>
      </c>
      <c r="J110">
        <v>12.5</v>
      </c>
      <c r="K110">
        <v>34.99</v>
      </c>
      <c r="L110" s="1" t="s">
        <v>60</v>
      </c>
      <c r="M110" s="1" t="s">
        <v>29</v>
      </c>
      <c r="N110" s="1" t="s">
        <v>30</v>
      </c>
      <c r="O110" s="1" t="s">
        <v>31</v>
      </c>
      <c r="P110" s="2">
        <v>45778</v>
      </c>
      <c r="Q110" s="1" t="s">
        <v>140</v>
      </c>
      <c r="R110" s="1" t="s">
        <v>383</v>
      </c>
      <c r="S110" s="1" t="s">
        <v>65</v>
      </c>
      <c r="T110" s="1" t="s">
        <v>35</v>
      </c>
      <c r="U110" s="1" t="s">
        <v>82</v>
      </c>
      <c r="V110" s="1" t="s">
        <v>89</v>
      </c>
      <c r="W110">
        <v>2.4</v>
      </c>
      <c r="X110" s="1" t="str">
        <f t="shared" si="3"/>
        <v>david.rodriguez33@mail.com</v>
      </c>
      <c r="Y110" s="1" t="str">
        <f>INDEX(V:V,MATCH(orders_desnormalizado_prueba3[[#This Row],[acquisition_channel]],U:U,0))</f>
        <v>Bodega Propia CO - envio 2-3 dias</v>
      </c>
      <c r="Z110" s="1" t="str">
        <f>INDEX(T:T,MATCH(orders_desnormalizado_prueba3[[#This Row],[shipping_cost]],W:W,0))</f>
        <v>Colombia</v>
      </c>
      <c r="AA110" s="1" t="str">
        <f t="shared" si="4"/>
        <v>Cartagena</v>
      </c>
      <c r="AB110" s="1"/>
      <c r="AC110" s="1" t="str">
        <f t="shared" si="5"/>
        <v xml:space="preserve"> </v>
      </c>
    </row>
    <row r="111" spans="1:29" x14ac:dyDescent="0.3">
      <c r="A111" s="1" t="s">
        <v>384</v>
      </c>
      <c r="B111">
        <v>1</v>
      </c>
      <c r="C111">
        <v>21.99</v>
      </c>
      <c r="D111">
        <v>21.99</v>
      </c>
      <c r="E111" s="1" t="s">
        <v>313</v>
      </c>
      <c r="F111" s="1" t="s">
        <v>40</v>
      </c>
      <c r="G111">
        <v>2</v>
      </c>
      <c r="H111" s="1" t="s">
        <v>41</v>
      </c>
      <c r="I111" s="1" t="s">
        <v>27</v>
      </c>
      <c r="J111">
        <v>7</v>
      </c>
      <c r="K111">
        <v>21.99</v>
      </c>
      <c r="L111" s="1" t="s">
        <v>28</v>
      </c>
      <c r="M111" s="1" t="s">
        <v>29</v>
      </c>
      <c r="N111" s="1" t="s">
        <v>30</v>
      </c>
      <c r="O111" s="1" t="s">
        <v>31</v>
      </c>
      <c r="P111" s="2">
        <v>45778</v>
      </c>
      <c r="Q111" s="1" t="s">
        <v>385</v>
      </c>
      <c r="R111" s="1" t="s">
        <v>386</v>
      </c>
      <c r="S111" s="1" t="s">
        <v>47</v>
      </c>
      <c r="T111" s="1" t="s">
        <v>35</v>
      </c>
      <c r="U111" s="1" t="s">
        <v>48</v>
      </c>
      <c r="V111" s="1" t="s">
        <v>37</v>
      </c>
      <c r="W111">
        <v>2</v>
      </c>
      <c r="X111" s="1" t="str">
        <f t="shared" si="3"/>
        <v>isabella.sanchez53@mail.com</v>
      </c>
      <c r="Y111" s="1" t="str">
        <f>INDEX(V:V,MATCH(orders_desnormalizado_prueba3[[#This Row],[acquisition_channel]],U:U,0))</f>
        <v>Bodega Propia CO - envio 2-3 dias</v>
      </c>
      <c r="Z111" s="1" t="str">
        <f>INDEX(T:T,MATCH(orders_desnormalizado_prueba3[[#This Row],[shipping_cost]],W:W,0))</f>
        <v>Colombia</v>
      </c>
      <c r="AA111" s="1" t="str">
        <f t="shared" si="4"/>
        <v>Medellin</v>
      </c>
      <c r="AB111" s="1"/>
      <c r="AC111" s="1" t="str">
        <f t="shared" si="5"/>
        <v xml:space="preserve"> </v>
      </c>
    </row>
    <row r="112" spans="1:29" x14ac:dyDescent="0.3">
      <c r="A112" s="1" t="s">
        <v>387</v>
      </c>
      <c r="B112">
        <v>1</v>
      </c>
      <c r="C112">
        <v>16.989999999999998</v>
      </c>
      <c r="D112">
        <v>16.989999999999998</v>
      </c>
      <c r="E112" s="1" t="s">
        <v>39</v>
      </c>
      <c r="F112" s="1" t="s">
        <v>51</v>
      </c>
      <c r="G112">
        <v>0</v>
      </c>
      <c r="H112" s="1" t="s">
        <v>26</v>
      </c>
      <c r="I112" s="1" t="s">
        <v>59</v>
      </c>
      <c r="J112">
        <v>5</v>
      </c>
      <c r="K112">
        <v>16.989999999999998</v>
      </c>
      <c r="L112" s="1" t="s">
        <v>60</v>
      </c>
      <c r="M112" s="1" t="s">
        <v>61</v>
      </c>
      <c r="N112" s="1" t="s">
        <v>62</v>
      </c>
      <c r="O112" s="1" t="s">
        <v>31</v>
      </c>
      <c r="P112" s="2">
        <v>45726</v>
      </c>
      <c r="Q112" s="1" t="s">
        <v>63</v>
      </c>
      <c r="R112" s="1" t="s">
        <v>64</v>
      </c>
      <c r="S112" s="1" t="s">
        <v>65</v>
      </c>
      <c r="T112" s="1" t="s">
        <v>35</v>
      </c>
      <c r="U112" s="1" t="s">
        <v>66</v>
      </c>
      <c r="V112" s="1" t="s">
        <v>67</v>
      </c>
      <c r="W112">
        <v>3</v>
      </c>
      <c r="X112" s="1" t="str">
        <f t="shared" si="3"/>
        <v>laura.rodriguez85@mail.com</v>
      </c>
      <c r="Y112" s="1" t="str">
        <f>INDEX(V:V,MATCH(orders_desnormalizado_prueba3[[#This Row],[acquisition_channel]],U:U,0))</f>
        <v>AliDropship CN - envio 15-20 dias</v>
      </c>
      <c r="Z112" s="1" t="str">
        <f>INDEX(T:T,MATCH(orders_desnormalizado_prueba3[[#This Row],[shipping_cost]],W:W,0))</f>
        <v>Colombia</v>
      </c>
      <c r="AA112" s="1" t="str">
        <f t="shared" si="4"/>
        <v>Cartagena</v>
      </c>
      <c r="AB112" s="1"/>
      <c r="AC112" s="1" t="str">
        <f t="shared" si="5"/>
        <v xml:space="preserve"> </v>
      </c>
    </row>
    <row r="113" spans="1:29" x14ac:dyDescent="0.3">
      <c r="A113" s="1" t="s">
        <v>388</v>
      </c>
      <c r="B113">
        <v>1</v>
      </c>
      <c r="C113">
        <v>27.99</v>
      </c>
      <c r="D113">
        <v>27.99</v>
      </c>
      <c r="E113" s="1" t="s">
        <v>389</v>
      </c>
      <c r="F113" s="1" t="s">
        <v>40</v>
      </c>
      <c r="G113">
        <v>3</v>
      </c>
      <c r="H113" s="1" t="s">
        <v>96</v>
      </c>
      <c r="I113" s="1" t="s">
        <v>75</v>
      </c>
      <c r="J113">
        <v>9</v>
      </c>
      <c r="K113">
        <v>27.99</v>
      </c>
      <c r="L113" s="1" t="s">
        <v>28</v>
      </c>
      <c r="M113" s="1" t="s">
        <v>61</v>
      </c>
      <c r="N113" s="1" t="s">
        <v>62</v>
      </c>
      <c r="O113" s="1" t="s">
        <v>31</v>
      </c>
      <c r="P113" s="2">
        <v>45726</v>
      </c>
      <c r="Q113" s="1" t="s">
        <v>86</v>
      </c>
      <c r="R113" s="1" t="s">
        <v>87</v>
      </c>
      <c r="S113" s="1" t="s">
        <v>88</v>
      </c>
      <c r="T113" s="1" t="s">
        <v>35</v>
      </c>
      <c r="U113" s="1" t="s">
        <v>36</v>
      </c>
      <c r="V113" s="1" t="s">
        <v>37</v>
      </c>
      <c r="W113">
        <v>2</v>
      </c>
      <c r="X113" s="1" t="str">
        <f t="shared" si="3"/>
        <v>gabriela.torres118@mail.com</v>
      </c>
      <c r="Y113" s="1" t="str">
        <f>INDEX(V:V,MATCH(orders_desnormalizado_prueba3[[#This Row],[acquisition_channel]],U:U,0))</f>
        <v>Bodega Propia CO - envio 2-3 dias</v>
      </c>
      <c r="Z113" s="1" t="str">
        <f>INDEX(T:T,MATCH(orders_desnormalizado_prueba3[[#This Row],[shipping_cost]],W:W,0))</f>
        <v>Colombia</v>
      </c>
      <c r="AA113" s="1" t="str">
        <f t="shared" si="4"/>
        <v>Barranquilla</v>
      </c>
      <c r="AB113" s="1"/>
      <c r="AC113" s="1" t="str">
        <f t="shared" si="5"/>
        <v xml:space="preserve"> </v>
      </c>
    </row>
    <row r="114" spans="1:29" x14ac:dyDescent="0.3">
      <c r="A114" s="1" t="s">
        <v>390</v>
      </c>
      <c r="B114">
        <v>2</v>
      </c>
      <c r="C114">
        <v>21.99</v>
      </c>
      <c r="D114">
        <v>37.979999999999997</v>
      </c>
      <c r="E114" s="1" t="s">
        <v>102</v>
      </c>
      <c r="F114" s="1" t="s">
        <v>188</v>
      </c>
      <c r="G114">
        <v>0</v>
      </c>
      <c r="H114" s="1" t="s">
        <v>41</v>
      </c>
      <c r="I114" s="1" t="s">
        <v>27</v>
      </c>
      <c r="J114">
        <v>7</v>
      </c>
      <c r="K114">
        <v>21.99</v>
      </c>
      <c r="L114" s="1" t="s">
        <v>28</v>
      </c>
      <c r="M114" s="1" t="s">
        <v>29</v>
      </c>
      <c r="N114" s="1" t="s">
        <v>30</v>
      </c>
      <c r="O114" s="1" t="s">
        <v>31</v>
      </c>
      <c r="P114" s="2">
        <v>45778</v>
      </c>
      <c r="Q114" s="1" t="s">
        <v>169</v>
      </c>
      <c r="R114" s="1" t="s">
        <v>170</v>
      </c>
      <c r="S114" s="1" t="s">
        <v>54</v>
      </c>
      <c r="T114" s="1" t="s">
        <v>35</v>
      </c>
      <c r="U114" s="1" t="s">
        <v>66</v>
      </c>
      <c r="V114" s="1" t="s">
        <v>37</v>
      </c>
      <c r="W114">
        <v>2</v>
      </c>
      <c r="X114" s="1" t="str">
        <f t="shared" si="3"/>
        <v>daniela.rodriguez2@mail.com</v>
      </c>
      <c r="Y114" s="1" t="str">
        <f>INDEX(V:V,MATCH(orders_desnormalizado_prueba3[[#This Row],[acquisition_channel]],U:U,0))</f>
        <v>AliDropship CN - envio 15-20 dias</v>
      </c>
      <c r="Z114" s="1" t="str">
        <f>INDEX(T:T,MATCH(orders_desnormalizado_prueba3[[#This Row],[shipping_cost]],W:W,0))</f>
        <v>Colombia</v>
      </c>
      <c r="AA114" s="1" t="str">
        <f t="shared" si="4"/>
        <v>Cartagena</v>
      </c>
      <c r="AB114" s="1"/>
      <c r="AC114" s="1" t="str">
        <f t="shared" si="5"/>
        <v xml:space="preserve"> </v>
      </c>
    </row>
    <row r="115" spans="1:29" x14ac:dyDescent="0.3">
      <c r="A115" s="1" t="s">
        <v>391</v>
      </c>
      <c r="B115">
        <v>3</v>
      </c>
      <c r="C115">
        <v>30.99</v>
      </c>
      <c r="D115">
        <v>74.53</v>
      </c>
      <c r="E115" s="1" t="s">
        <v>248</v>
      </c>
      <c r="F115" s="1" t="s">
        <v>51</v>
      </c>
      <c r="G115">
        <v>0</v>
      </c>
      <c r="H115" s="1" t="s">
        <v>58</v>
      </c>
      <c r="I115" s="1" t="s">
        <v>42</v>
      </c>
      <c r="J115">
        <v>10.5</v>
      </c>
      <c r="K115">
        <v>30.99</v>
      </c>
      <c r="L115" s="1" t="s">
        <v>28</v>
      </c>
      <c r="M115" s="1" t="s">
        <v>43</v>
      </c>
      <c r="N115" s="1" t="s">
        <v>44</v>
      </c>
      <c r="O115" s="1" t="s">
        <v>31</v>
      </c>
      <c r="P115" s="2">
        <v>45823</v>
      </c>
      <c r="Q115" s="1" t="s">
        <v>92</v>
      </c>
      <c r="R115" s="1" t="s">
        <v>93</v>
      </c>
      <c r="S115" s="1" t="s">
        <v>65</v>
      </c>
      <c r="T115" s="1" t="s">
        <v>35</v>
      </c>
      <c r="U115" s="1" t="s">
        <v>82</v>
      </c>
      <c r="V115" s="1" t="s">
        <v>37</v>
      </c>
      <c r="W115">
        <v>2</v>
      </c>
      <c r="X115" s="1" t="str">
        <f t="shared" si="3"/>
        <v>gabriela.gomez164@mail.com</v>
      </c>
      <c r="Y115" s="1" t="str">
        <f>INDEX(V:V,MATCH(orders_desnormalizado_prueba3[[#This Row],[acquisition_channel]],U:U,0))</f>
        <v>Bodega Propia CO - envio 2-3 dias</v>
      </c>
      <c r="Z115" s="1" t="str">
        <f>INDEX(T:T,MATCH(orders_desnormalizado_prueba3[[#This Row],[shipping_cost]],W:W,0))</f>
        <v>Colombia</v>
      </c>
      <c r="AA115" s="1" t="str">
        <f t="shared" si="4"/>
        <v>Cartagena</v>
      </c>
      <c r="AB115" s="1"/>
      <c r="AC115" s="1" t="str">
        <f t="shared" si="5"/>
        <v xml:space="preserve"> </v>
      </c>
    </row>
    <row r="116" spans="1:29" x14ac:dyDescent="0.3">
      <c r="A116" s="1" t="s">
        <v>392</v>
      </c>
      <c r="B116">
        <v>1</v>
      </c>
      <c r="C116">
        <v>18.989999999999998</v>
      </c>
      <c r="D116">
        <v>18.989999999999998</v>
      </c>
      <c r="E116" s="1" t="s">
        <v>393</v>
      </c>
      <c r="F116" s="1" t="s">
        <v>188</v>
      </c>
      <c r="G116">
        <v>0</v>
      </c>
      <c r="H116" s="1" t="s">
        <v>96</v>
      </c>
      <c r="I116" s="1" t="s">
        <v>97</v>
      </c>
      <c r="J116">
        <v>6</v>
      </c>
      <c r="K116">
        <v>18.989999999999998</v>
      </c>
      <c r="L116" s="1" t="s">
        <v>60</v>
      </c>
      <c r="M116" s="1" t="s">
        <v>43</v>
      </c>
      <c r="N116" s="1" t="s">
        <v>44</v>
      </c>
      <c r="O116" s="1" t="s">
        <v>31</v>
      </c>
      <c r="P116" s="2">
        <v>45823</v>
      </c>
      <c r="Q116" s="1" t="s">
        <v>234</v>
      </c>
      <c r="R116" s="1" t="s">
        <v>235</v>
      </c>
      <c r="S116" s="1" t="s">
        <v>105</v>
      </c>
      <c r="T116" s="1" t="s">
        <v>35</v>
      </c>
      <c r="U116" s="1" t="s">
        <v>48</v>
      </c>
      <c r="V116" s="1" t="s">
        <v>100</v>
      </c>
      <c r="W116">
        <v>3.2</v>
      </c>
      <c r="X116" s="1" t="str">
        <f t="shared" si="3"/>
        <v>david.sanchez5@mail.com</v>
      </c>
      <c r="Y116" s="1" t="str">
        <f>INDEX(V:V,MATCH(orders_desnormalizado_prueba3[[#This Row],[acquisition_channel]],U:U,0))</f>
        <v>Bodega Propia CO - envio 2-3 dias</v>
      </c>
      <c r="Z116" s="1" t="str">
        <f>INDEX(T:T,MATCH(orders_desnormalizado_prueba3[[#This Row],[shipping_cost]],W:W,0))</f>
        <v>Colombia</v>
      </c>
      <c r="AA116" s="1" t="str">
        <f t="shared" si="4"/>
        <v>Cartagena</v>
      </c>
      <c r="AB116" s="1"/>
      <c r="AC116" s="1" t="str">
        <f t="shared" si="5"/>
        <v xml:space="preserve"> </v>
      </c>
    </row>
    <row r="117" spans="1:29" x14ac:dyDescent="0.3">
      <c r="A117" s="1" t="s">
        <v>394</v>
      </c>
      <c r="B117">
        <v>1</v>
      </c>
      <c r="C117">
        <v>21.99</v>
      </c>
      <c r="D117">
        <v>21.99</v>
      </c>
      <c r="E117" s="1" t="s">
        <v>334</v>
      </c>
      <c r="F117" s="1" t="s">
        <v>188</v>
      </c>
      <c r="G117">
        <v>0</v>
      </c>
      <c r="H117" s="1" t="s">
        <v>58</v>
      </c>
      <c r="I117" s="1" t="s">
        <v>27</v>
      </c>
      <c r="J117">
        <v>7</v>
      </c>
      <c r="K117">
        <v>21.99</v>
      </c>
      <c r="L117" s="1" t="s">
        <v>28</v>
      </c>
      <c r="M117" s="1" t="s">
        <v>29</v>
      </c>
      <c r="N117" s="1" t="s">
        <v>30</v>
      </c>
      <c r="O117" s="1" t="s">
        <v>31</v>
      </c>
      <c r="P117" s="2">
        <v>45778</v>
      </c>
      <c r="Q117" s="1" t="s">
        <v>137</v>
      </c>
      <c r="R117" s="1" t="s">
        <v>138</v>
      </c>
      <c r="S117" s="1" t="s">
        <v>34</v>
      </c>
      <c r="T117" s="1" t="s">
        <v>35</v>
      </c>
      <c r="U117" s="1" t="s">
        <v>82</v>
      </c>
      <c r="V117" s="1" t="s">
        <v>37</v>
      </c>
      <c r="W117">
        <v>2</v>
      </c>
      <c r="X117" s="1" t="str">
        <f t="shared" si="3"/>
        <v>camila.martinez65@mail.com</v>
      </c>
      <c r="Y117" s="1" t="str">
        <f>INDEX(V:V,MATCH(orders_desnormalizado_prueba3[[#This Row],[acquisition_channel]],U:U,0))</f>
        <v>Bodega Propia CO - envio 2-3 dias</v>
      </c>
      <c r="Z117" s="1" t="str">
        <f>INDEX(T:T,MATCH(orders_desnormalizado_prueba3[[#This Row],[shipping_cost]],W:W,0))</f>
        <v>Colombia</v>
      </c>
      <c r="AA117" s="1" t="str">
        <f t="shared" si="4"/>
        <v>Cartagena</v>
      </c>
      <c r="AB117" s="1"/>
      <c r="AC117" s="1" t="str">
        <f t="shared" si="5"/>
        <v xml:space="preserve"> </v>
      </c>
    </row>
    <row r="118" spans="1:29" x14ac:dyDescent="0.3">
      <c r="A118" s="1" t="s">
        <v>395</v>
      </c>
      <c r="B118">
        <v>1</v>
      </c>
      <c r="C118">
        <v>30.99</v>
      </c>
      <c r="D118">
        <v>30.99</v>
      </c>
      <c r="E118" s="1" t="s">
        <v>117</v>
      </c>
      <c r="F118" s="1" t="s">
        <v>40</v>
      </c>
      <c r="G118">
        <v>3</v>
      </c>
      <c r="H118" s="1" t="s">
        <v>96</v>
      </c>
      <c r="I118" s="1" t="s">
        <v>42</v>
      </c>
      <c r="J118">
        <v>10.5</v>
      </c>
      <c r="K118">
        <v>30.99</v>
      </c>
      <c r="L118" s="1" t="s">
        <v>28</v>
      </c>
      <c r="M118" s="1" t="s">
        <v>43</v>
      </c>
      <c r="N118" s="1" t="s">
        <v>44</v>
      </c>
      <c r="O118" s="1" t="s">
        <v>31</v>
      </c>
      <c r="P118" s="2">
        <v>45823</v>
      </c>
      <c r="Q118" s="1" t="s">
        <v>396</v>
      </c>
      <c r="R118" s="1" t="s">
        <v>397</v>
      </c>
      <c r="S118" s="1" t="s">
        <v>34</v>
      </c>
      <c r="T118" s="1" t="s">
        <v>35</v>
      </c>
      <c r="U118" s="1" t="s">
        <v>82</v>
      </c>
      <c r="V118" s="1" t="s">
        <v>37</v>
      </c>
      <c r="W118">
        <v>2</v>
      </c>
      <c r="X118" s="1" t="str">
        <f t="shared" si="3"/>
        <v>laura.torres168@mail.com</v>
      </c>
      <c r="Y118" s="1" t="str">
        <f>INDEX(V:V,MATCH(orders_desnormalizado_prueba3[[#This Row],[acquisition_channel]],U:U,0))</f>
        <v>Bodega Propia CO - envio 2-3 dias</v>
      </c>
      <c r="Z118" s="1" t="str">
        <f>INDEX(T:T,MATCH(orders_desnormalizado_prueba3[[#This Row],[shipping_cost]],W:W,0))</f>
        <v>Colombia</v>
      </c>
      <c r="AA118" s="1" t="str">
        <f t="shared" si="4"/>
        <v>Barranquilla</v>
      </c>
      <c r="AB118" s="1"/>
      <c r="AC118" s="1" t="str">
        <f t="shared" si="5"/>
        <v xml:space="preserve"> </v>
      </c>
    </row>
    <row r="119" spans="1:29" x14ac:dyDescent="0.3">
      <c r="A119" s="1" t="s">
        <v>398</v>
      </c>
      <c r="B119">
        <v>1</v>
      </c>
      <c r="C119">
        <v>16.989999999999998</v>
      </c>
      <c r="D119">
        <v>16.989999999999998</v>
      </c>
      <c r="E119" s="1" t="s">
        <v>214</v>
      </c>
      <c r="F119" s="1" t="s">
        <v>70</v>
      </c>
      <c r="G119">
        <v>0</v>
      </c>
      <c r="H119" s="1" t="s">
        <v>58</v>
      </c>
      <c r="I119" s="1" t="s">
        <v>59</v>
      </c>
      <c r="J119">
        <v>5</v>
      </c>
      <c r="K119">
        <v>16.989999999999998</v>
      </c>
      <c r="L119" s="1" t="s">
        <v>60</v>
      </c>
      <c r="M119" s="1" t="s">
        <v>61</v>
      </c>
      <c r="N119" s="1" t="s">
        <v>62</v>
      </c>
      <c r="O119" s="1" t="s">
        <v>31</v>
      </c>
      <c r="P119" s="2">
        <v>45726</v>
      </c>
      <c r="Q119" s="1" t="s">
        <v>80</v>
      </c>
      <c r="R119" s="1" t="s">
        <v>81</v>
      </c>
      <c r="S119" s="1" t="s">
        <v>34</v>
      </c>
      <c r="T119" s="1" t="s">
        <v>35</v>
      </c>
      <c r="U119" s="1" t="s">
        <v>82</v>
      </c>
      <c r="V119" s="1" t="s">
        <v>67</v>
      </c>
      <c r="W119">
        <v>3</v>
      </c>
      <c r="X119" s="1" t="str">
        <f t="shared" si="3"/>
        <v>laura.martinez145@mail.com</v>
      </c>
      <c r="Y119" s="1" t="str">
        <f>INDEX(V:V,MATCH(orders_desnormalizado_prueba3[[#This Row],[acquisition_channel]],U:U,0))</f>
        <v>Bodega Propia CO - envio 2-3 dias</v>
      </c>
      <c r="Z119" s="1" t="str">
        <f>INDEX(T:T,MATCH(orders_desnormalizado_prueba3[[#This Row],[shipping_cost]],W:W,0))</f>
        <v>Colombia</v>
      </c>
      <c r="AA119" s="1" t="str">
        <f t="shared" si="4"/>
        <v>Cartagena</v>
      </c>
      <c r="AB119" s="1"/>
      <c r="AC119" s="1" t="str">
        <f t="shared" si="5"/>
        <v xml:space="preserve"> </v>
      </c>
    </row>
    <row r="120" spans="1:29" x14ac:dyDescent="0.3">
      <c r="A120" s="1" t="s">
        <v>399</v>
      </c>
      <c r="B120">
        <v>1</v>
      </c>
      <c r="C120">
        <v>30.99</v>
      </c>
      <c r="D120">
        <v>30.99</v>
      </c>
      <c r="E120" s="1" t="s">
        <v>117</v>
      </c>
      <c r="F120" s="1" t="s">
        <v>40</v>
      </c>
      <c r="G120">
        <v>3</v>
      </c>
      <c r="H120" s="1" t="s">
        <v>41</v>
      </c>
      <c r="I120" s="1" t="s">
        <v>42</v>
      </c>
      <c r="J120">
        <v>10.5</v>
      </c>
      <c r="K120">
        <v>30.99</v>
      </c>
      <c r="L120" s="1" t="s">
        <v>28</v>
      </c>
      <c r="M120" s="1" t="s">
        <v>43</v>
      </c>
      <c r="N120" s="1" t="s">
        <v>44</v>
      </c>
      <c r="O120" s="1" t="s">
        <v>31</v>
      </c>
      <c r="P120" s="2">
        <v>45823</v>
      </c>
      <c r="Q120" s="1" t="s">
        <v>147</v>
      </c>
      <c r="R120" s="1" t="s">
        <v>400</v>
      </c>
      <c r="S120" s="1" t="s">
        <v>47</v>
      </c>
      <c r="T120" s="1" t="s">
        <v>35</v>
      </c>
      <c r="U120" s="1" t="s">
        <v>36</v>
      </c>
      <c r="V120" s="1" t="s">
        <v>37</v>
      </c>
      <c r="W120">
        <v>2</v>
      </c>
      <c r="X120" s="1" t="str">
        <f t="shared" si="3"/>
        <v>natalia.castro19@mail.com</v>
      </c>
      <c r="Y120" s="1" t="str">
        <f>INDEX(V:V,MATCH(orders_desnormalizado_prueba3[[#This Row],[acquisition_channel]],U:U,0))</f>
        <v>Bodega Propia CO - envio 2-3 dias</v>
      </c>
      <c r="Z120" s="1" t="str">
        <f>INDEX(T:T,MATCH(orders_desnormalizado_prueba3[[#This Row],[shipping_cost]],W:W,0))</f>
        <v>Colombia</v>
      </c>
      <c r="AA120" s="1" t="str">
        <f t="shared" si="4"/>
        <v>Barranquilla</v>
      </c>
      <c r="AB120" s="1"/>
      <c r="AC120" s="1" t="str">
        <f t="shared" si="5"/>
        <v xml:space="preserve"> </v>
      </c>
    </row>
    <row r="121" spans="1:29" x14ac:dyDescent="0.3">
      <c r="A121" s="1" t="s">
        <v>401</v>
      </c>
      <c r="B121">
        <v>1</v>
      </c>
      <c r="C121">
        <v>30.99</v>
      </c>
      <c r="D121">
        <v>30.99</v>
      </c>
      <c r="E121" s="1" t="s">
        <v>69</v>
      </c>
      <c r="F121" s="1" t="s">
        <v>40</v>
      </c>
      <c r="G121">
        <v>2</v>
      </c>
      <c r="H121" s="1" t="s">
        <v>96</v>
      </c>
      <c r="I121" s="1" t="s">
        <v>42</v>
      </c>
      <c r="J121">
        <v>10.5</v>
      </c>
      <c r="K121">
        <v>30.99</v>
      </c>
      <c r="L121" s="1" t="s">
        <v>28</v>
      </c>
      <c r="M121" s="1" t="s">
        <v>43</v>
      </c>
      <c r="N121" s="1" t="s">
        <v>44</v>
      </c>
      <c r="O121" s="1" t="s">
        <v>31</v>
      </c>
      <c r="P121" s="2">
        <v>45823</v>
      </c>
      <c r="Q121" s="1" t="s">
        <v>114</v>
      </c>
      <c r="R121" s="1" t="s">
        <v>402</v>
      </c>
      <c r="S121" s="1" t="s">
        <v>88</v>
      </c>
      <c r="T121" s="1" t="s">
        <v>35</v>
      </c>
      <c r="U121" s="1" t="s">
        <v>48</v>
      </c>
      <c r="V121" s="1" t="s">
        <v>37</v>
      </c>
      <c r="W121">
        <v>2</v>
      </c>
      <c r="X121" s="1" t="str">
        <f t="shared" si="3"/>
        <v>paula.diaz150@mail.com</v>
      </c>
      <c r="Y121" s="1" t="str">
        <f>INDEX(V:V,MATCH(orders_desnormalizado_prueba3[[#This Row],[acquisition_channel]],U:U,0))</f>
        <v>Bodega Propia CO - envio 2-3 dias</v>
      </c>
      <c r="Z121" s="1" t="str">
        <f>INDEX(T:T,MATCH(orders_desnormalizado_prueba3[[#This Row],[shipping_cost]],W:W,0))</f>
        <v>Colombia</v>
      </c>
      <c r="AA121" s="1" t="str">
        <f t="shared" si="4"/>
        <v>Medellin</v>
      </c>
      <c r="AB121" s="1"/>
      <c r="AC121" s="1" t="str">
        <f t="shared" si="5"/>
        <v xml:space="preserve"> </v>
      </c>
    </row>
    <row r="122" spans="1:29" x14ac:dyDescent="0.3">
      <c r="A122" s="1" t="s">
        <v>403</v>
      </c>
      <c r="B122">
        <v>1</v>
      </c>
      <c r="C122">
        <v>27.99</v>
      </c>
      <c r="D122">
        <v>27.99</v>
      </c>
      <c r="E122" s="1" t="s">
        <v>24</v>
      </c>
      <c r="F122" s="1" t="s">
        <v>51</v>
      </c>
      <c r="G122">
        <v>0</v>
      </c>
      <c r="H122" s="1" t="s">
        <v>26</v>
      </c>
      <c r="I122" s="1" t="s">
        <v>75</v>
      </c>
      <c r="J122">
        <v>9</v>
      </c>
      <c r="K122">
        <v>27.99</v>
      </c>
      <c r="L122" s="1" t="s">
        <v>28</v>
      </c>
      <c r="M122" s="1" t="s">
        <v>61</v>
      </c>
      <c r="N122" s="1" t="s">
        <v>62</v>
      </c>
      <c r="O122" s="1" t="s">
        <v>31</v>
      </c>
      <c r="P122" s="2">
        <v>45726</v>
      </c>
      <c r="Q122" s="1" t="s">
        <v>76</v>
      </c>
      <c r="R122" s="1" t="s">
        <v>404</v>
      </c>
      <c r="S122" s="1" t="s">
        <v>54</v>
      </c>
      <c r="T122" s="1" t="s">
        <v>35</v>
      </c>
      <c r="U122" s="1" t="s">
        <v>48</v>
      </c>
      <c r="V122" s="1" t="s">
        <v>37</v>
      </c>
      <c r="W122">
        <v>2</v>
      </c>
      <c r="X122" s="1" t="str">
        <f t="shared" si="3"/>
        <v>david.gomez112@mail.com</v>
      </c>
      <c r="Y122" s="1" t="str">
        <f>INDEX(V:V,MATCH(orders_desnormalizado_prueba3[[#This Row],[acquisition_channel]],U:U,0))</f>
        <v>Bodega Propia CO - envio 2-3 dias</v>
      </c>
      <c r="Z122" s="1" t="str">
        <f>INDEX(T:T,MATCH(orders_desnormalizado_prueba3[[#This Row],[shipping_cost]],W:W,0))</f>
        <v>Colombia</v>
      </c>
      <c r="AA122" s="1" t="str">
        <f t="shared" si="4"/>
        <v>Cartagena</v>
      </c>
      <c r="AB122" s="1"/>
      <c r="AC122" s="1" t="str">
        <f t="shared" si="5"/>
        <v xml:space="preserve"> </v>
      </c>
    </row>
    <row r="123" spans="1:29" x14ac:dyDescent="0.3">
      <c r="A123" s="1" t="s">
        <v>405</v>
      </c>
      <c r="B123">
        <v>1</v>
      </c>
      <c r="C123">
        <v>16.989999999999998</v>
      </c>
      <c r="D123">
        <v>16.989999999999998</v>
      </c>
      <c r="E123" s="1" t="s">
        <v>389</v>
      </c>
      <c r="F123" s="1" t="s">
        <v>51</v>
      </c>
      <c r="G123">
        <v>0</v>
      </c>
      <c r="H123" s="1" t="s">
        <v>58</v>
      </c>
      <c r="I123" s="1" t="s">
        <v>59</v>
      </c>
      <c r="J123">
        <v>5</v>
      </c>
      <c r="K123">
        <v>16.989999999999998</v>
      </c>
      <c r="L123" s="1" t="s">
        <v>60</v>
      </c>
      <c r="M123" s="1" t="s">
        <v>61</v>
      </c>
      <c r="N123" s="1" t="s">
        <v>62</v>
      </c>
      <c r="O123" s="1" t="s">
        <v>31</v>
      </c>
      <c r="P123" s="2">
        <v>45726</v>
      </c>
      <c r="Q123" s="1" t="s">
        <v>406</v>
      </c>
      <c r="R123" s="1" t="s">
        <v>407</v>
      </c>
      <c r="S123" s="1" t="s">
        <v>65</v>
      </c>
      <c r="T123" s="1" t="s">
        <v>35</v>
      </c>
      <c r="U123" s="1" t="s">
        <v>55</v>
      </c>
      <c r="V123" s="1" t="s">
        <v>67</v>
      </c>
      <c r="W123">
        <v>3</v>
      </c>
      <c r="X123" s="1" t="str">
        <f t="shared" si="3"/>
        <v>gabriela.sanchez126@mail.com</v>
      </c>
      <c r="Y123" s="1" t="str">
        <f>INDEX(V:V,MATCH(orders_desnormalizado_prueba3[[#This Row],[acquisition_channel]],U:U,0))</f>
        <v>Bodega Propia CO - envio 2-3 dias</v>
      </c>
      <c r="Z123" s="1" t="str">
        <f>INDEX(T:T,MATCH(orders_desnormalizado_prueba3[[#This Row],[shipping_cost]],W:W,0))</f>
        <v>Colombia</v>
      </c>
      <c r="AA123" s="1" t="str">
        <f t="shared" si="4"/>
        <v>Cartagena</v>
      </c>
      <c r="AB123" s="1"/>
      <c r="AC123" s="1" t="str">
        <f t="shared" si="5"/>
        <v xml:space="preserve"> </v>
      </c>
    </row>
    <row r="124" spans="1:29" x14ac:dyDescent="0.3">
      <c r="A124" s="1" t="s">
        <v>408</v>
      </c>
      <c r="B124">
        <v>1</v>
      </c>
      <c r="C124">
        <v>21.99</v>
      </c>
      <c r="D124">
        <v>21.99</v>
      </c>
      <c r="E124" s="1" t="s">
        <v>121</v>
      </c>
      <c r="F124" s="1" t="s">
        <v>40</v>
      </c>
      <c r="G124">
        <v>7</v>
      </c>
      <c r="H124" s="1" t="s">
        <v>26</v>
      </c>
      <c r="I124" s="1" t="s">
        <v>27</v>
      </c>
      <c r="J124">
        <v>7</v>
      </c>
      <c r="K124">
        <v>21.99</v>
      </c>
      <c r="L124" s="1" t="s">
        <v>28</v>
      </c>
      <c r="M124" s="1" t="s">
        <v>29</v>
      </c>
      <c r="N124" s="1" t="s">
        <v>30</v>
      </c>
      <c r="O124" s="1" t="s">
        <v>31</v>
      </c>
      <c r="P124" s="2">
        <v>45778</v>
      </c>
      <c r="Q124" s="1" t="s">
        <v>409</v>
      </c>
      <c r="R124" s="1" t="s">
        <v>410</v>
      </c>
      <c r="S124" s="1" t="s">
        <v>411</v>
      </c>
      <c r="T124" s="1" t="s">
        <v>35</v>
      </c>
      <c r="U124" s="1" t="s">
        <v>48</v>
      </c>
      <c r="V124" s="1" t="s">
        <v>37</v>
      </c>
      <c r="W124">
        <v>2</v>
      </c>
      <c r="X124" s="1" t="str">
        <f t="shared" si="3"/>
        <v>valentina.ramirez22@mail.com</v>
      </c>
      <c r="Y124" s="1" t="str">
        <f>INDEX(V:V,MATCH(orders_desnormalizado_prueba3[[#This Row],[acquisition_channel]],U:U,0))</f>
        <v>Bodega Propia CO - envio 2-3 dias</v>
      </c>
      <c r="Z124" s="1" t="str">
        <f>INDEX(T:T,MATCH(orders_desnormalizado_prueba3[[#This Row],[shipping_cost]],W:W,0))</f>
        <v>Colombia</v>
      </c>
      <c r="AA124" s="1" t="str">
        <f t="shared" si="4"/>
        <v>Bogota</v>
      </c>
      <c r="AB124" s="1"/>
      <c r="AC124" s="1" t="str">
        <f t="shared" si="5"/>
        <v xml:space="preserve"> </v>
      </c>
    </row>
    <row r="125" spans="1:29" x14ac:dyDescent="0.3">
      <c r="A125" s="1" t="s">
        <v>412</v>
      </c>
      <c r="B125">
        <v>1</v>
      </c>
      <c r="C125">
        <v>34.99</v>
      </c>
      <c r="D125">
        <v>34.99</v>
      </c>
      <c r="E125" s="1" t="s">
        <v>334</v>
      </c>
      <c r="F125" s="1" t="s">
        <v>40</v>
      </c>
      <c r="G125">
        <v>5</v>
      </c>
      <c r="H125" s="1" t="s">
        <v>58</v>
      </c>
      <c r="I125" s="1" t="s">
        <v>85</v>
      </c>
      <c r="J125">
        <v>12.5</v>
      </c>
      <c r="K125">
        <v>34.99</v>
      </c>
      <c r="L125" s="1" t="s">
        <v>60</v>
      </c>
      <c r="M125" s="1" t="s">
        <v>29</v>
      </c>
      <c r="N125" s="1" t="s">
        <v>30</v>
      </c>
      <c r="O125" s="1" t="s">
        <v>31</v>
      </c>
      <c r="P125" s="2">
        <v>45778</v>
      </c>
      <c r="Q125" s="1" t="s">
        <v>176</v>
      </c>
      <c r="R125" s="1" t="s">
        <v>177</v>
      </c>
      <c r="S125" s="1" t="s">
        <v>65</v>
      </c>
      <c r="T125" s="1" t="s">
        <v>35</v>
      </c>
      <c r="U125" s="1" t="s">
        <v>82</v>
      </c>
      <c r="V125" s="1" t="s">
        <v>89</v>
      </c>
      <c r="W125">
        <v>2.4</v>
      </c>
      <c r="X125" s="1" t="str">
        <f t="shared" si="3"/>
        <v>camila.castro114@mail.com</v>
      </c>
      <c r="Y125" s="1" t="str">
        <f>INDEX(V:V,MATCH(orders_desnormalizado_prueba3[[#This Row],[acquisition_channel]],U:U,0))</f>
        <v>Bodega Propia CO - envio 2-3 dias</v>
      </c>
      <c r="Z125" s="1" t="str">
        <f>INDEX(T:T,MATCH(orders_desnormalizado_prueba3[[#This Row],[shipping_cost]],W:W,0))</f>
        <v>Colombia</v>
      </c>
      <c r="AA125" s="1" t="str">
        <f t="shared" si="4"/>
        <v>Cali</v>
      </c>
      <c r="AB125" s="1"/>
      <c r="AC125" s="1" t="str">
        <f t="shared" si="5"/>
        <v xml:space="preserve"> </v>
      </c>
    </row>
    <row r="126" spans="1:29" x14ac:dyDescent="0.3">
      <c r="A126" s="1" t="s">
        <v>413</v>
      </c>
      <c r="B126">
        <v>3</v>
      </c>
      <c r="C126">
        <v>30.99</v>
      </c>
      <c r="D126">
        <v>74.53</v>
      </c>
      <c r="E126" s="1" t="s">
        <v>414</v>
      </c>
      <c r="F126" s="1" t="s">
        <v>70</v>
      </c>
      <c r="G126">
        <v>0</v>
      </c>
      <c r="H126" s="1" t="s">
        <v>58</v>
      </c>
      <c r="I126" s="1" t="s">
        <v>42</v>
      </c>
      <c r="J126">
        <v>10.5</v>
      </c>
      <c r="K126">
        <v>30.99</v>
      </c>
      <c r="L126" s="1" t="s">
        <v>28</v>
      </c>
      <c r="M126" s="1" t="s">
        <v>43</v>
      </c>
      <c r="N126" s="1" t="s">
        <v>44</v>
      </c>
      <c r="O126" s="1" t="s">
        <v>31</v>
      </c>
      <c r="P126" s="2">
        <v>45823</v>
      </c>
      <c r="Q126" s="1" t="s">
        <v>328</v>
      </c>
      <c r="R126" s="1" t="s">
        <v>415</v>
      </c>
      <c r="S126" s="1" t="s">
        <v>65</v>
      </c>
      <c r="T126" s="1" t="s">
        <v>35</v>
      </c>
      <c r="U126" s="1" t="s">
        <v>55</v>
      </c>
      <c r="V126" s="1" t="s">
        <v>37</v>
      </c>
      <c r="W126">
        <v>2</v>
      </c>
      <c r="X126" s="1" t="str">
        <f t="shared" si="3"/>
        <v>andres.martinez175@mail.com</v>
      </c>
      <c r="Y126" s="1" t="str">
        <f>INDEX(V:V,MATCH(orders_desnormalizado_prueba3[[#This Row],[acquisition_channel]],U:U,0))</f>
        <v>Bodega Propia CO - envio 2-3 dias</v>
      </c>
      <c r="Z126" s="1" t="str">
        <f>INDEX(T:T,MATCH(orders_desnormalizado_prueba3[[#This Row],[shipping_cost]],W:W,0))</f>
        <v>Colombia</v>
      </c>
      <c r="AA126" s="1" t="str">
        <f t="shared" si="4"/>
        <v>Cartagena</v>
      </c>
      <c r="AB126" s="1"/>
      <c r="AC126" s="1" t="str">
        <f t="shared" si="5"/>
        <v xml:space="preserve"> </v>
      </c>
    </row>
    <row r="127" spans="1:29" x14ac:dyDescent="0.3">
      <c r="A127" s="1" t="s">
        <v>416</v>
      </c>
      <c r="B127">
        <v>1</v>
      </c>
      <c r="C127">
        <v>18.989999999999998</v>
      </c>
      <c r="D127">
        <v>18.989999999999998</v>
      </c>
      <c r="E127" s="1" t="s">
        <v>224</v>
      </c>
      <c r="F127" s="1" t="s">
        <v>40</v>
      </c>
      <c r="G127">
        <v>16</v>
      </c>
      <c r="H127" s="1" t="s">
        <v>26</v>
      </c>
      <c r="I127" s="1" t="s">
        <v>97</v>
      </c>
      <c r="J127">
        <v>6</v>
      </c>
      <c r="K127">
        <v>18.989999999999998</v>
      </c>
      <c r="L127" s="1" t="s">
        <v>60</v>
      </c>
      <c r="M127" s="1" t="s">
        <v>43</v>
      </c>
      <c r="N127" s="1" t="s">
        <v>44</v>
      </c>
      <c r="O127" s="1" t="s">
        <v>31</v>
      </c>
      <c r="P127" s="2">
        <v>45823</v>
      </c>
      <c r="Q127" s="1" t="s">
        <v>366</v>
      </c>
      <c r="R127" s="1" t="s">
        <v>367</v>
      </c>
      <c r="S127" s="1" t="s">
        <v>105</v>
      </c>
      <c r="T127" s="1" t="s">
        <v>35</v>
      </c>
      <c r="U127" s="1" t="s">
        <v>48</v>
      </c>
      <c r="V127" s="1" t="s">
        <v>100</v>
      </c>
      <c r="W127">
        <v>3.2</v>
      </c>
      <c r="X127" s="1" t="str">
        <f t="shared" si="3"/>
        <v>carlos.vargas63@mail.com</v>
      </c>
      <c r="Y127" s="1" t="str">
        <f>INDEX(V:V,MATCH(orders_desnormalizado_prueba3[[#This Row],[acquisition_channel]],U:U,0))</f>
        <v>Bodega Propia CO - envio 2-3 dias</v>
      </c>
      <c r="Z127" s="1" t="str">
        <f>INDEX(T:T,MATCH(orders_desnormalizado_prueba3[[#This Row],[shipping_cost]],W:W,0))</f>
        <v>Colombia</v>
      </c>
      <c r="AA127" s="1" t="str">
        <f t="shared" si="4"/>
        <v>Bogota</v>
      </c>
      <c r="AB127" s="1"/>
      <c r="AC127" s="1" t="str">
        <f t="shared" si="5"/>
        <v xml:space="preserve"> </v>
      </c>
    </row>
    <row r="128" spans="1:29" x14ac:dyDescent="0.3">
      <c r="A128" s="1" t="s">
        <v>417</v>
      </c>
      <c r="B128">
        <v>2</v>
      </c>
      <c r="C128">
        <v>34.99</v>
      </c>
      <c r="D128">
        <v>60.98</v>
      </c>
      <c r="E128" s="1" t="s">
        <v>143</v>
      </c>
      <c r="F128" s="1" t="s">
        <v>40</v>
      </c>
      <c r="G128">
        <v>7</v>
      </c>
      <c r="H128" s="1" t="s">
        <v>58</v>
      </c>
      <c r="I128" s="1" t="s">
        <v>85</v>
      </c>
      <c r="J128">
        <v>12.5</v>
      </c>
      <c r="K128">
        <v>34.99</v>
      </c>
      <c r="L128" s="1" t="s">
        <v>60</v>
      </c>
      <c r="M128" s="1" t="s">
        <v>29</v>
      </c>
      <c r="N128" s="1" t="s">
        <v>30</v>
      </c>
      <c r="O128" s="1" t="s">
        <v>31</v>
      </c>
      <c r="P128" s="2">
        <v>45778</v>
      </c>
      <c r="Q128" s="1" t="s">
        <v>32</v>
      </c>
      <c r="R128" s="1" t="s">
        <v>33</v>
      </c>
      <c r="S128" s="1" t="s">
        <v>34</v>
      </c>
      <c r="T128" s="1" t="s">
        <v>35</v>
      </c>
      <c r="U128" s="1" t="s">
        <v>36</v>
      </c>
      <c r="V128" s="1" t="s">
        <v>89</v>
      </c>
      <c r="W128">
        <v>2.4</v>
      </c>
      <c r="X128" s="1" t="str">
        <f t="shared" si="3"/>
        <v>laura.gomez71@mail.com</v>
      </c>
      <c r="Y128" s="1" t="str">
        <f>INDEX(V:V,MATCH(orders_desnormalizado_prueba3[[#This Row],[acquisition_channel]],U:U,0))</f>
        <v>Bodega Propia CO - envio 2-3 dias</v>
      </c>
      <c r="Z128" s="1" t="str">
        <f>INDEX(T:T,MATCH(orders_desnormalizado_prueba3[[#This Row],[shipping_cost]],W:W,0))</f>
        <v>Colombia</v>
      </c>
      <c r="AA128" s="1" t="str">
        <f t="shared" si="4"/>
        <v>Bogota</v>
      </c>
      <c r="AB128" s="1"/>
      <c r="AC128" s="1" t="str">
        <f t="shared" si="5"/>
        <v xml:space="preserve"> </v>
      </c>
    </row>
    <row r="129" spans="1:29" x14ac:dyDescent="0.3">
      <c r="A129" s="1" t="s">
        <v>418</v>
      </c>
      <c r="B129">
        <v>1</v>
      </c>
      <c r="C129">
        <v>27.99</v>
      </c>
      <c r="D129">
        <v>27.99</v>
      </c>
      <c r="E129" s="1" t="s">
        <v>419</v>
      </c>
      <c r="F129" s="1" t="s">
        <v>40</v>
      </c>
      <c r="G129">
        <v>8</v>
      </c>
      <c r="H129" s="1" t="s">
        <v>58</v>
      </c>
      <c r="I129" s="1" t="s">
        <v>75</v>
      </c>
      <c r="J129">
        <v>9</v>
      </c>
      <c r="K129">
        <v>27.99</v>
      </c>
      <c r="L129" s="1" t="s">
        <v>28</v>
      </c>
      <c r="M129" s="1" t="s">
        <v>61</v>
      </c>
      <c r="N129" s="1" t="s">
        <v>62</v>
      </c>
      <c r="O129" s="1" t="s">
        <v>31</v>
      </c>
      <c r="P129" s="2">
        <v>45726</v>
      </c>
      <c r="Q129" s="1" t="s">
        <v>420</v>
      </c>
      <c r="R129" s="1" t="s">
        <v>421</v>
      </c>
      <c r="S129" s="1" t="s">
        <v>34</v>
      </c>
      <c r="T129" s="1" t="s">
        <v>35</v>
      </c>
      <c r="U129" s="1" t="s">
        <v>82</v>
      </c>
      <c r="V129" s="1" t="s">
        <v>37</v>
      </c>
      <c r="W129">
        <v>2</v>
      </c>
      <c r="X129" s="1" t="str">
        <f t="shared" si="3"/>
        <v>natalia.sanchez78@mail.com</v>
      </c>
      <c r="Y129" s="1" t="str">
        <f>INDEX(V:V,MATCH(orders_desnormalizado_prueba3[[#This Row],[acquisition_channel]],U:U,0))</f>
        <v>Bodega Propia CO - envio 2-3 dias</v>
      </c>
      <c r="Z129" s="1" t="str">
        <f>INDEX(T:T,MATCH(orders_desnormalizado_prueba3[[#This Row],[shipping_cost]],W:W,0))</f>
        <v>Colombia</v>
      </c>
      <c r="AA129" s="1" t="str">
        <f t="shared" si="4"/>
        <v>Barranquilla</v>
      </c>
      <c r="AB129" s="1"/>
      <c r="AC129" s="1" t="str">
        <f t="shared" si="5"/>
        <v xml:space="preserve"> </v>
      </c>
    </row>
    <row r="130" spans="1:29" x14ac:dyDescent="0.3">
      <c r="A130" s="1" t="s">
        <v>422</v>
      </c>
      <c r="B130">
        <v>2</v>
      </c>
      <c r="C130">
        <v>16.989999999999998</v>
      </c>
      <c r="D130">
        <v>29.18</v>
      </c>
      <c r="E130" s="1" t="s">
        <v>248</v>
      </c>
      <c r="F130" s="1" t="s">
        <v>40</v>
      </c>
      <c r="G130">
        <v>24</v>
      </c>
      <c r="H130" s="1" t="s">
        <v>58</v>
      </c>
      <c r="I130" s="1" t="s">
        <v>59</v>
      </c>
      <c r="J130">
        <v>5</v>
      </c>
      <c r="K130">
        <v>16.989999999999998</v>
      </c>
      <c r="L130" s="1" t="s">
        <v>60</v>
      </c>
      <c r="M130" s="1" t="s">
        <v>61</v>
      </c>
      <c r="N130" s="1" t="s">
        <v>62</v>
      </c>
      <c r="O130" s="1" t="s">
        <v>31</v>
      </c>
      <c r="P130" s="2">
        <v>45726</v>
      </c>
      <c r="Q130" s="1" t="s">
        <v>420</v>
      </c>
      <c r="R130" s="1" t="s">
        <v>423</v>
      </c>
      <c r="S130" s="1" t="s">
        <v>105</v>
      </c>
      <c r="T130" s="1" t="s">
        <v>35</v>
      </c>
      <c r="U130" s="1" t="s">
        <v>82</v>
      </c>
      <c r="V130" s="1" t="s">
        <v>67</v>
      </c>
      <c r="W130">
        <v>3</v>
      </c>
      <c r="X130" s="1" t="str">
        <f t="shared" ref="X130:X193" si="6">INDEX(R:R,MATCH(Q130,Q:Q,0))</f>
        <v>natalia.sanchez78@mail.com</v>
      </c>
      <c r="Y130" s="1" t="str">
        <f>INDEX(V:V,MATCH(orders_desnormalizado_prueba3[[#This Row],[acquisition_channel]],U:U,0))</f>
        <v>Bodega Propia CO - envio 2-3 dias</v>
      </c>
      <c r="Z130" s="1" t="str">
        <f>INDEX(T:T,MATCH(orders_desnormalizado_prueba3[[#This Row],[shipping_cost]],W:W,0))</f>
        <v>Colombia</v>
      </c>
      <c r="AA130" s="1" t="str">
        <f t="shared" ref="AA130:AA193" si="7">INDEX(S:S,MATCH(G130,G:G,0))</f>
        <v>Cali</v>
      </c>
      <c r="AB130" s="1"/>
      <c r="AC130" s="1" t="str">
        <f t="shared" ref="AC130:AC193" si="8">IFERROR(INDEX($V:$V,MATCH(AB130,$R:$R,0)), " ")</f>
        <v xml:space="preserve"> </v>
      </c>
    </row>
    <row r="131" spans="1:29" x14ac:dyDescent="0.3">
      <c r="A131" s="1" t="s">
        <v>424</v>
      </c>
      <c r="B131">
        <v>2</v>
      </c>
      <c r="C131">
        <v>18.989999999999998</v>
      </c>
      <c r="D131">
        <v>32.78</v>
      </c>
      <c r="E131" s="1" t="s">
        <v>348</v>
      </c>
      <c r="F131" s="1" t="s">
        <v>40</v>
      </c>
      <c r="G131">
        <v>13</v>
      </c>
      <c r="H131" s="1" t="s">
        <v>58</v>
      </c>
      <c r="I131" s="1" t="s">
        <v>97</v>
      </c>
      <c r="J131">
        <v>6</v>
      </c>
      <c r="K131">
        <v>18.989999999999998</v>
      </c>
      <c r="L131" s="1" t="s">
        <v>60</v>
      </c>
      <c r="M131" s="1" t="s">
        <v>43</v>
      </c>
      <c r="N131" s="1" t="s">
        <v>44</v>
      </c>
      <c r="O131" s="1" t="s">
        <v>31</v>
      </c>
      <c r="P131" s="2">
        <v>45823</v>
      </c>
      <c r="Q131" s="1" t="s">
        <v>425</v>
      </c>
      <c r="R131" s="1" t="s">
        <v>426</v>
      </c>
      <c r="S131" s="1" t="s">
        <v>47</v>
      </c>
      <c r="T131" s="1" t="s">
        <v>35</v>
      </c>
      <c r="U131" s="1" t="s">
        <v>55</v>
      </c>
      <c r="V131" s="1" t="s">
        <v>100</v>
      </c>
      <c r="W131">
        <v>3.2</v>
      </c>
      <c r="X131" s="1" t="str">
        <f t="shared" si="6"/>
        <v>paula.ramirez47@mail.com</v>
      </c>
      <c r="Y131" s="1" t="str">
        <f>INDEX(V:V,MATCH(orders_desnormalizado_prueba3[[#This Row],[acquisition_channel]],U:U,0))</f>
        <v>Bodega Propia CO - envio 2-3 dias</v>
      </c>
      <c r="Z131" s="1" t="str">
        <f>INDEX(T:T,MATCH(orders_desnormalizado_prueba3[[#This Row],[shipping_cost]],W:W,0))</f>
        <v>Colombia</v>
      </c>
      <c r="AA131" s="1" t="str">
        <f t="shared" si="7"/>
        <v>Barranquilla</v>
      </c>
      <c r="AB131" s="1"/>
      <c r="AC131" s="1" t="str">
        <f t="shared" si="8"/>
        <v xml:space="preserve"> </v>
      </c>
    </row>
    <row r="132" spans="1:29" x14ac:dyDescent="0.3">
      <c r="A132" s="1" t="s">
        <v>427</v>
      </c>
      <c r="B132">
        <v>3</v>
      </c>
      <c r="C132">
        <v>34.99</v>
      </c>
      <c r="D132">
        <v>84.73</v>
      </c>
      <c r="E132" s="1" t="s">
        <v>325</v>
      </c>
      <c r="F132" s="1" t="s">
        <v>40</v>
      </c>
      <c r="G132">
        <v>6</v>
      </c>
      <c r="H132" s="1" t="s">
        <v>96</v>
      </c>
      <c r="I132" s="1" t="s">
        <v>85</v>
      </c>
      <c r="J132">
        <v>12.5</v>
      </c>
      <c r="K132">
        <v>34.99</v>
      </c>
      <c r="L132" s="1" t="s">
        <v>60</v>
      </c>
      <c r="M132" s="1" t="s">
        <v>29</v>
      </c>
      <c r="N132" s="1" t="s">
        <v>30</v>
      </c>
      <c r="O132" s="1" t="s">
        <v>31</v>
      </c>
      <c r="P132" s="2">
        <v>45778</v>
      </c>
      <c r="Q132" s="1" t="s">
        <v>428</v>
      </c>
      <c r="R132" s="1" t="s">
        <v>429</v>
      </c>
      <c r="S132" s="1" t="s">
        <v>47</v>
      </c>
      <c r="T132" s="1" t="s">
        <v>35</v>
      </c>
      <c r="U132" s="1" t="s">
        <v>66</v>
      </c>
      <c r="V132" s="1" t="s">
        <v>89</v>
      </c>
      <c r="W132">
        <v>2.4</v>
      </c>
      <c r="X132" s="1" t="str">
        <f t="shared" si="6"/>
        <v>andres.castro163@mail.com</v>
      </c>
      <c r="Y132" s="1" t="str">
        <f>INDEX(V:V,MATCH(orders_desnormalizado_prueba3[[#This Row],[acquisition_channel]],U:U,0))</f>
        <v>AliDropship CN - envio 15-20 dias</v>
      </c>
      <c r="Z132" s="1" t="str">
        <f>INDEX(T:T,MATCH(orders_desnormalizado_prueba3[[#This Row],[shipping_cost]],W:W,0))</f>
        <v>Colombia</v>
      </c>
      <c r="AA132" s="1" t="str">
        <f t="shared" si="7"/>
        <v>Medellin</v>
      </c>
      <c r="AB132" s="1"/>
      <c r="AC132" s="1" t="str">
        <f t="shared" si="8"/>
        <v xml:space="preserve"> </v>
      </c>
    </row>
    <row r="133" spans="1:29" x14ac:dyDescent="0.3">
      <c r="A133" s="1" t="s">
        <v>430</v>
      </c>
      <c r="B133">
        <v>2</v>
      </c>
      <c r="C133">
        <v>18.989999999999998</v>
      </c>
      <c r="D133">
        <v>32.78</v>
      </c>
      <c r="E133" s="1" t="s">
        <v>107</v>
      </c>
      <c r="F133" s="1" t="s">
        <v>40</v>
      </c>
      <c r="G133">
        <v>13</v>
      </c>
      <c r="H133" s="1" t="s">
        <v>96</v>
      </c>
      <c r="I133" s="1" t="s">
        <v>97</v>
      </c>
      <c r="J133">
        <v>6</v>
      </c>
      <c r="K133">
        <v>18.989999999999998</v>
      </c>
      <c r="L133" s="1" t="s">
        <v>60</v>
      </c>
      <c r="M133" s="1" t="s">
        <v>43</v>
      </c>
      <c r="N133" s="1" t="s">
        <v>44</v>
      </c>
      <c r="O133" s="1" t="s">
        <v>31</v>
      </c>
      <c r="P133" s="2">
        <v>45823</v>
      </c>
      <c r="Q133" s="1" t="s">
        <v>335</v>
      </c>
      <c r="R133" s="1" t="s">
        <v>336</v>
      </c>
      <c r="S133" s="1" t="s">
        <v>34</v>
      </c>
      <c r="T133" s="1" t="s">
        <v>35</v>
      </c>
      <c r="U133" s="1" t="s">
        <v>48</v>
      </c>
      <c r="V133" s="1" t="s">
        <v>100</v>
      </c>
      <c r="W133">
        <v>3.2</v>
      </c>
      <c r="X133" s="1" t="str">
        <f t="shared" si="6"/>
        <v>daniela.castro130@mail.com</v>
      </c>
      <c r="Y133" s="1" t="str">
        <f>INDEX(V:V,MATCH(orders_desnormalizado_prueba3[[#This Row],[acquisition_channel]],U:U,0))</f>
        <v>Bodega Propia CO - envio 2-3 dias</v>
      </c>
      <c r="Z133" s="1" t="str">
        <f>INDEX(T:T,MATCH(orders_desnormalizado_prueba3[[#This Row],[shipping_cost]],W:W,0))</f>
        <v>Colombia</v>
      </c>
      <c r="AA133" s="1" t="str">
        <f t="shared" si="7"/>
        <v>Barranquilla</v>
      </c>
      <c r="AB133" s="1"/>
      <c r="AC133" s="1" t="str">
        <f t="shared" si="8"/>
        <v xml:space="preserve"> </v>
      </c>
    </row>
    <row r="134" spans="1:29" x14ac:dyDescent="0.3">
      <c r="A134" s="1" t="s">
        <v>431</v>
      </c>
      <c r="B134">
        <v>2</v>
      </c>
      <c r="C134">
        <v>30.99</v>
      </c>
      <c r="D134">
        <v>53.78</v>
      </c>
      <c r="E134" s="1" t="s">
        <v>260</v>
      </c>
      <c r="F134" s="1" t="s">
        <v>51</v>
      </c>
      <c r="G134">
        <v>0</v>
      </c>
      <c r="H134" s="1" t="s">
        <v>26</v>
      </c>
      <c r="I134" s="1" t="s">
        <v>42</v>
      </c>
      <c r="J134">
        <v>10.5</v>
      </c>
      <c r="K134">
        <v>30.99</v>
      </c>
      <c r="L134" s="1" t="s">
        <v>28</v>
      </c>
      <c r="M134" s="1" t="s">
        <v>43</v>
      </c>
      <c r="N134" s="1" t="s">
        <v>44</v>
      </c>
      <c r="O134" s="1" t="s">
        <v>31</v>
      </c>
      <c r="P134" s="2">
        <v>45823</v>
      </c>
      <c r="Q134" s="1" t="s">
        <v>219</v>
      </c>
      <c r="R134" s="1" t="s">
        <v>220</v>
      </c>
      <c r="S134" s="1" t="s">
        <v>54</v>
      </c>
      <c r="T134" s="1" t="s">
        <v>35</v>
      </c>
      <c r="U134" s="1" t="s">
        <v>55</v>
      </c>
      <c r="V134" s="1" t="s">
        <v>37</v>
      </c>
      <c r="W134">
        <v>2</v>
      </c>
      <c r="X134" s="1" t="str">
        <f t="shared" si="6"/>
        <v>mateo.castro43@mail.com</v>
      </c>
      <c r="Y134" s="1" t="str">
        <f>INDEX(V:V,MATCH(orders_desnormalizado_prueba3[[#This Row],[acquisition_channel]],U:U,0))</f>
        <v>Bodega Propia CO - envio 2-3 dias</v>
      </c>
      <c r="Z134" s="1" t="str">
        <f>INDEX(T:T,MATCH(orders_desnormalizado_prueba3[[#This Row],[shipping_cost]],W:W,0))</f>
        <v>Colombia</v>
      </c>
      <c r="AA134" s="1" t="str">
        <f t="shared" si="7"/>
        <v>Cartagena</v>
      </c>
      <c r="AB134" s="1"/>
      <c r="AC134" s="1" t="str">
        <f t="shared" si="8"/>
        <v xml:space="preserve"> </v>
      </c>
    </row>
    <row r="135" spans="1:29" x14ac:dyDescent="0.3">
      <c r="A135" s="1" t="s">
        <v>432</v>
      </c>
      <c r="B135">
        <v>1</v>
      </c>
      <c r="C135">
        <v>21.99</v>
      </c>
      <c r="D135">
        <v>21.99</v>
      </c>
      <c r="E135" s="1" t="s">
        <v>113</v>
      </c>
      <c r="F135" s="1" t="s">
        <v>40</v>
      </c>
      <c r="G135">
        <v>3</v>
      </c>
      <c r="H135" s="1" t="s">
        <v>26</v>
      </c>
      <c r="I135" s="1" t="s">
        <v>27</v>
      </c>
      <c r="J135">
        <v>7</v>
      </c>
      <c r="K135">
        <v>21.99</v>
      </c>
      <c r="L135" s="1" t="s">
        <v>28</v>
      </c>
      <c r="M135" s="1" t="s">
        <v>29</v>
      </c>
      <c r="N135" s="1" t="s">
        <v>30</v>
      </c>
      <c r="O135" s="1" t="s">
        <v>31</v>
      </c>
      <c r="P135" s="2">
        <v>45778</v>
      </c>
      <c r="Q135" s="1" t="s">
        <v>80</v>
      </c>
      <c r="R135" s="1" t="s">
        <v>229</v>
      </c>
      <c r="S135" s="1" t="s">
        <v>34</v>
      </c>
      <c r="T135" s="1" t="s">
        <v>35</v>
      </c>
      <c r="U135" s="1" t="s">
        <v>36</v>
      </c>
      <c r="V135" s="1" t="s">
        <v>37</v>
      </c>
      <c r="W135">
        <v>2</v>
      </c>
      <c r="X135" s="1" t="str">
        <f t="shared" si="6"/>
        <v>laura.martinez145@mail.com</v>
      </c>
      <c r="Y135" s="1" t="str">
        <f>INDEX(V:V,MATCH(orders_desnormalizado_prueba3[[#This Row],[acquisition_channel]],U:U,0))</f>
        <v>Bodega Propia CO - envio 2-3 dias</v>
      </c>
      <c r="Z135" s="1" t="str">
        <f>INDEX(T:T,MATCH(orders_desnormalizado_prueba3[[#This Row],[shipping_cost]],W:W,0))</f>
        <v>Colombia</v>
      </c>
      <c r="AA135" s="1" t="str">
        <f t="shared" si="7"/>
        <v>Barranquilla</v>
      </c>
      <c r="AB135" s="1"/>
      <c r="AC135" s="1" t="str">
        <f t="shared" si="8"/>
        <v xml:space="preserve"> </v>
      </c>
    </row>
    <row r="136" spans="1:29" x14ac:dyDescent="0.3">
      <c r="A136" s="1" t="s">
        <v>433</v>
      </c>
      <c r="B136">
        <v>2</v>
      </c>
      <c r="C136">
        <v>27.99</v>
      </c>
      <c r="D136">
        <v>48.38</v>
      </c>
      <c r="E136" s="1" t="s">
        <v>224</v>
      </c>
      <c r="F136" s="1" t="s">
        <v>40</v>
      </c>
      <c r="G136">
        <v>3</v>
      </c>
      <c r="H136" s="1" t="s">
        <v>58</v>
      </c>
      <c r="I136" s="1" t="s">
        <v>75</v>
      </c>
      <c r="J136">
        <v>9</v>
      </c>
      <c r="K136">
        <v>27.99</v>
      </c>
      <c r="L136" s="1" t="s">
        <v>28</v>
      </c>
      <c r="M136" s="1" t="s">
        <v>61</v>
      </c>
      <c r="N136" s="1" t="s">
        <v>62</v>
      </c>
      <c r="O136" s="1" t="s">
        <v>31</v>
      </c>
      <c r="P136" s="2">
        <v>45726</v>
      </c>
      <c r="Q136" s="1" t="s">
        <v>305</v>
      </c>
      <c r="R136" s="1" t="s">
        <v>306</v>
      </c>
      <c r="S136" s="1" t="s">
        <v>47</v>
      </c>
      <c r="T136" s="1" t="s">
        <v>35</v>
      </c>
      <c r="U136" s="1" t="s">
        <v>66</v>
      </c>
      <c r="V136" s="1" t="s">
        <v>37</v>
      </c>
      <c r="W136">
        <v>2</v>
      </c>
      <c r="X136" s="1" t="str">
        <f t="shared" si="6"/>
        <v>sebastian.sanchez117@mail.com</v>
      </c>
      <c r="Y136" s="1" t="str">
        <f>INDEX(V:V,MATCH(orders_desnormalizado_prueba3[[#This Row],[acquisition_channel]],U:U,0))</f>
        <v>AliDropship CN - envio 15-20 dias</v>
      </c>
      <c r="Z136" s="1" t="str">
        <f>INDEX(T:T,MATCH(orders_desnormalizado_prueba3[[#This Row],[shipping_cost]],W:W,0))</f>
        <v>Colombia</v>
      </c>
      <c r="AA136" s="1" t="str">
        <f t="shared" si="7"/>
        <v>Barranquilla</v>
      </c>
      <c r="AB136" s="1"/>
      <c r="AC136" s="1" t="str">
        <f t="shared" si="8"/>
        <v xml:space="preserve"> </v>
      </c>
    </row>
    <row r="137" spans="1:29" x14ac:dyDescent="0.3">
      <c r="A137" s="1" t="s">
        <v>434</v>
      </c>
      <c r="B137">
        <v>1</v>
      </c>
      <c r="C137">
        <v>34.99</v>
      </c>
      <c r="D137">
        <v>34.99</v>
      </c>
      <c r="E137" s="1" t="s">
        <v>435</v>
      </c>
      <c r="F137" s="1" t="s">
        <v>51</v>
      </c>
      <c r="G137">
        <v>0</v>
      </c>
      <c r="H137" s="1" t="s">
        <v>41</v>
      </c>
      <c r="I137" s="1" t="s">
        <v>85</v>
      </c>
      <c r="J137">
        <v>12.5</v>
      </c>
      <c r="K137">
        <v>34.99</v>
      </c>
      <c r="L137" s="1" t="s">
        <v>60</v>
      </c>
      <c r="M137" s="1" t="s">
        <v>29</v>
      </c>
      <c r="N137" s="1" t="s">
        <v>30</v>
      </c>
      <c r="O137" s="1" t="s">
        <v>31</v>
      </c>
      <c r="P137" s="2">
        <v>45778</v>
      </c>
      <c r="Q137" s="1" t="s">
        <v>189</v>
      </c>
      <c r="R137" s="1" t="s">
        <v>190</v>
      </c>
      <c r="S137" s="1" t="s">
        <v>65</v>
      </c>
      <c r="T137" s="1" t="s">
        <v>35</v>
      </c>
      <c r="U137" s="1" t="s">
        <v>48</v>
      </c>
      <c r="V137" s="1" t="s">
        <v>89</v>
      </c>
      <c r="W137">
        <v>2.4</v>
      </c>
      <c r="X137" s="1" t="str">
        <f t="shared" si="6"/>
        <v>maria.ramirez6@mail.com</v>
      </c>
      <c r="Y137" s="1" t="str">
        <f>INDEX(V:V,MATCH(orders_desnormalizado_prueba3[[#This Row],[acquisition_channel]],U:U,0))</f>
        <v>Bodega Propia CO - envio 2-3 dias</v>
      </c>
      <c r="Z137" s="1" t="str">
        <f>INDEX(T:T,MATCH(orders_desnormalizado_prueba3[[#This Row],[shipping_cost]],W:W,0))</f>
        <v>Colombia</v>
      </c>
      <c r="AA137" s="1" t="str">
        <f t="shared" si="7"/>
        <v>Cartagena</v>
      </c>
      <c r="AB137" s="1"/>
      <c r="AC137" s="1" t="str">
        <f t="shared" si="8"/>
        <v xml:space="preserve"> </v>
      </c>
    </row>
    <row r="138" spans="1:29" x14ac:dyDescent="0.3">
      <c r="A138" s="1" t="s">
        <v>436</v>
      </c>
      <c r="B138">
        <v>1</v>
      </c>
      <c r="C138">
        <v>16.989999999999998</v>
      </c>
      <c r="D138">
        <v>16.989999999999998</v>
      </c>
      <c r="E138" s="1" t="s">
        <v>338</v>
      </c>
      <c r="F138" s="1" t="s">
        <v>51</v>
      </c>
      <c r="G138">
        <v>0</v>
      </c>
      <c r="H138" s="1" t="s">
        <v>58</v>
      </c>
      <c r="I138" s="1" t="s">
        <v>59</v>
      </c>
      <c r="J138">
        <v>5</v>
      </c>
      <c r="K138">
        <v>16.989999999999998</v>
      </c>
      <c r="L138" s="1" t="s">
        <v>60</v>
      </c>
      <c r="M138" s="1" t="s">
        <v>61</v>
      </c>
      <c r="N138" s="1" t="s">
        <v>62</v>
      </c>
      <c r="O138" s="1" t="s">
        <v>31</v>
      </c>
      <c r="P138" s="2">
        <v>45726</v>
      </c>
      <c r="Q138" s="1" t="s">
        <v>437</v>
      </c>
      <c r="R138" s="1" t="s">
        <v>438</v>
      </c>
      <c r="S138" s="1" t="s">
        <v>88</v>
      </c>
      <c r="T138" s="1" t="s">
        <v>35</v>
      </c>
      <c r="U138" s="1" t="s">
        <v>36</v>
      </c>
      <c r="V138" s="1" t="s">
        <v>67</v>
      </c>
      <c r="W138">
        <v>3</v>
      </c>
      <c r="X138" s="1" t="str">
        <f t="shared" si="6"/>
        <v>valentina.castro119@mail.com</v>
      </c>
      <c r="Y138" s="1" t="str">
        <f>INDEX(V:V,MATCH(orders_desnormalizado_prueba3[[#This Row],[acquisition_channel]],U:U,0))</f>
        <v>Bodega Propia CO - envio 2-3 dias</v>
      </c>
      <c r="Z138" s="1" t="str">
        <f>INDEX(T:T,MATCH(orders_desnormalizado_prueba3[[#This Row],[shipping_cost]],W:W,0))</f>
        <v>Colombia</v>
      </c>
      <c r="AA138" s="1" t="str">
        <f t="shared" si="7"/>
        <v>Cartagena</v>
      </c>
      <c r="AB138" s="1"/>
      <c r="AC138" s="1" t="str">
        <f t="shared" si="8"/>
        <v xml:space="preserve"> </v>
      </c>
    </row>
    <row r="139" spans="1:29" x14ac:dyDescent="0.3">
      <c r="A139" s="1" t="s">
        <v>439</v>
      </c>
      <c r="B139">
        <v>1</v>
      </c>
      <c r="C139">
        <v>27.99</v>
      </c>
      <c r="D139">
        <v>27.99</v>
      </c>
      <c r="E139" s="1" t="s">
        <v>128</v>
      </c>
      <c r="F139" s="1" t="s">
        <v>40</v>
      </c>
      <c r="G139">
        <v>3</v>
      </c>
      <c r="H139" s="1" t="s">
        <v>41</v>
      </c>
      <c r="I139" s="1" t="s">
        <v>75</v>
      </c>
      <c r="J139">
        <v>9</v>
      </c>
      <c r="K139">
        <v>27.99</v>
      </c>
      <c r="L139" s="1" t="s">
        <v>28</v>
      </c>
      <c r="M139" s="1" t="s">
        <v>61</v>
      </c>
      <c r="N139" s="1" t="s">
        <v>62</v>
      </c>
      <c r="O139" s="1" t="s">
        <v>31</v>
      </c>
      <c r="P139" s="2">
        <v>45726</v>
      </c>
      <c r="Q139" s="1" t="s">
        <v>373</v>
      </c>
      <c r="R139" s="1" t="s">
        <v>374</v>
      </c>
      <c r="S139" s="1" t="s">
        <v>65</v>
      </c>
      <c r="T139" s="1" t="s">
        <v>35</v>
      </c>
      <c r="U139" s="1" t="s">
        <v>82</v>
      </c>
      <c r="V139" s="1" t="s">
        <v>37</v>
      </c>
      <c r="W139">
        <v>2</v>
      </c>
      <c r="X139" s="1" t="str">
        <f t="shared" si="6"/>
        <v>david.diaz100@mail.com</v>
      </c>
      <c r="Y139" s="1" t="str">
        <f>INDEX(V:V,MATCH(orders_desnormalizado_prueba3[[#This Row],[acquisition_channel]],U:U,0))</f>
        <v>Bodega Propia CO - envio 2-3 dias</v>
      </c>
      <c r="Z139" s="1" t="str">
        <f>INDEX(T:T,MATCH(orders_desnormalizado_prueba3[[#This Row],[shipping_cost]],W:W,0))</f>
        <v>Colombia</v>
      </c>
      <c r="AA139" s="1" t="str">
        <f t="shared" si="7"/>
        <v>Barranquilla</v>
      </c>
      <c r="AB139" s="1"/>
      <c r="AC139" s="1" t="str">
        <f t="shared" si="8"/>
        <v xml:space="preserve"> </v>
      </c>
    </row>
    <row r="140" spans="1:29" x14ac:dyDescent="0.3">
      <c r="A140" s="1" t="s">
        <v>440</v>
      </c>
      <c r="B140">
        <v>3</v>
      </c>
      <c r="C140">
        <v>21.99</v>
      </c>
      <c r="D140">
        <v>52.48</v>
      </c>
      <c r="E140" s="1" t="s">
        <v>214</v>
      </c>
      <c r="F140" s="1" t="s">
        <v>25</v>
      </c>
      <c r="G140">
        <v>2</v>
      </c>
      <c r="H140" s="1" t="s">
        <v>58</v>
      </c>
      <c r="I140" s="1" t="s">
        <v>27</v>
      </c>
      <c r="J140">
        <v>7</v>
      </c>
      <c r="K140">
        <v>21.99</v>
      </c>
      <c r="L140" s="1" t="s">
        <v>28</v>
      </c>
      <c r="M140" s="1" t="s">
        <v>29</v>
      </c>
      <c r="N140" s="1" t="s">
        <v>30</v>
      </c>
      <c r="O140" s="1" t="s">
        <v>31</v>
      </c>
      <c r="P140" s="2">
        <v>45778</v>
      </c>
      <c r="Q140" s="1" t="s">
        <v>339</v>
      </c>
      <c r="R140" s="1" t="s">
        <v>441</v>
      </c>
      <c r="S140" s="1" t="s">
        <v>105</v>
      </c>
      <c r="T140" s="1" t="s">
        <v>35</v>
      </c>
      <c r="U140" s="1" t="s">
        <v>82</v>
      </c>
      <c r="V140" s="1" t="s">
        <v>37</v>
      </c>
      <c r="W140">
        <v>2</v>
      </c>
      <c r="X140" s="1" t="str">
        <f t="shared" si="6"/>
        <v>natalia.ramirez45@mail.com</v>
      </c>
      <c r="Y140" s="1" t="str">
        <f>INDEX(V:V,MATCH(orders_desnormalizado_prueba3[[#This Row],[acquisition_channel]],U:U,0))</f>
        <v>Bodega Propia CO - envio 2-3 dias</v>
      </c>
      <c r="Z140" s="1" t="str">
        <f>INDEX(T:T,MATCH(orders_desnormalizado_prueba3[[#This Row],[shipping_cost]],W:W,0))</f>
        <v>Colombia</v>
      </c>
      <c r="AA140" s="1" t="str">
        <f t="shared" si="7"/>
        <v>Medellin</v>
      </c>
      <c r="AB140" s="1"/>
      <c r="AC140" s="1" t="str">
        <f t="shared" si="8"/>
        <v xml:space="preserve"> </v>
      </c>
    </row>
    <row r="141" spans="1:29" x14ac:dyDescent="0.3">
      <c r="A141" s="1" t="s">
        <v>442</v>
      </c>
      <c r="B141">
        <v>1</v>
      </c>
      <c r="C141">
        <v>27.99</v>
      </c>
      <c r="D141">
        <v>27.99</v>
      </c>
      <c r="E141" s="1" t="s">
        <v>143</v>
      </c>
      <c r="F141" s="1" t="s">
        <v>70</v>
      </c>
      <c r="G141">
        <v>0</v>
      </c>
      <c r="H141" s="1" t="s">
        <v>41</v>
      </c>
      <c r="I141" s="1" t="s">
        <v>75</v>
      </c>
      <c r="J141">
        <v>9</v>
      </c>
      <c r="K141">
        <v>27.99</v>
      </c>
      <c r="L141" s="1" t="s">
        <v>28</v>
      </c>
      <c r="M141" s="1" t="s">
        <v>61</v>
      </c>
      <c r="N141" s="1" t="s">
        <v>62</v>
      </c>
      <c r="O141" s="1" t="s">
        <v>31</v>
      </c>
      <c r="P141" s="2">
        <v>45726</v>
      </c>
      <c r="Q141" s="1" t="s">
        <v>103</v>
      </c>
      <c r="R141" s="1" t="s">
        <v>104</v>
      </c>
      <c r="S141" s="1" t="s">
        <v>105</v>
      </c>
      <c r="T141" s="1" t="s">
        <v>35</v>
      </c>
      <c r="U141" s="1" t="s">
        <v>55</v>
      </c>
      <c r="V141" s="1" t="s">
        <v>37</v>
      </c>
      <c r="W141">
        <v>2</v>
      </c>
      <c r="X141" s="1" t="str">
        <f t="shared" si="6"/>
        <v>miguel.castro159@mail.com</v>
      </c>
      <c r="Y141" s="1" t="str">
        <f>INDEX(V:V,MATCH(orders_desnormalizado_prueba3[[#This Row],[acquisition_channel]],U:U,0))</f>
        <v>Bodega Propia CO - envio 2-3 dias</v>
      </c>
      <c r="Z141" s="1" t="str">
        <f>INDEX(T:T,MATCH(orders_desnormalizado_prueba3[[#This Row],[shipping_cost]],W:W,0))</f>
        <v>Colombia</v>
      </c>
      <c r="AA141" s="1" t="str">
        <f t="shared" si="7"/>
        <v>Cartagena</v>
      </c>
      <c r="AB141" s="1"/>
      <c r="AC141" s="1" t="str">
        <f t="shared" si="8"/>
        <v xml:space="preserve"> </v>
      </c>
    </row>
    <row r="142" spans="1:29" x14ac:dyDescent="0.3">
      <c r="A142" s="1" t="s">
        <v>443</v>
      </c>
      <c r="B142">
        <v>1</v>
      </c>
      <c r="C142">
        <v>30.99</v>
      </c>
      <c r="D142">
        <v>30.99</v>
      </c>
      <c r="E142" s="1" t="s">
        <v>168</v>
      </c>
      <c r="F142" s="1" t="s">
        <v>40</v>
      </c>
      <c r="G142">
        <v>3</v>
      </c>
      <c r="H142" s="1" t="s">
        <v>58</v>
      </c>
      <c r="I142" s="1" t="s">
        <v>42</v>
      </c>
      <c r="J142">
        <v>10.5</v>
      </c>
      <c r="K142">
        <v>30.99</v>
      </c>
      <c r="L142" s="1" t="s">
        <v>28</v>
      </c>
      <c r="M142" s="1" t="s">
        <v>43</v>
      </c>
      <c r="N142" s="1" t="s">
        <v>44</v>
      </c>
      <c r="O142" s="1" t="s">
        <v>31</v>
      </c>
      <c r="P142" s="2">
        <v>45823</v>
      </c>
      <c r="Q142" s="1" t="s">
        <v>157</v>
      </c>
      <c r="R142" s="1" t="s">
        <v>158</v>
      </c>
      <c r="S142" s="1" t="s">
        <v>34</v>
      </c>
      <c r="T142" s="1" t="s">
        <v>35</v>
      </c>
      <c r="U142" s="1" t="s">
        <v>82</v>
      </c>
      <c r="V142" s="1" t="s">
        <v>37</v>
      </c>
      <c r="W142">
        <v>2</v>
      </c>
      <c r="X142" s="1" t="str">
        <f t="shared" si="6"/>
        <v>natalia.diaz96@mail.com</v>
      </c>
      <c r="Y142" s="1" t="str">
        <f>INDEX(V:V,MATCH(orders_desnormalizado_prueba3[[#This Row],[acquisition_channel]],U:U,0))</f>
        <v>Bodega Propia CO - envio 2-3 dias</v>
      </c>
      <c r="Z142" s="1" t="str">
        <f>INDEX(T:T,MATCH(orders_desnormalizado_prueba3[[#This Row],[shipping_cost]],W:W,0))</f>
        <v>Colombia</v>
      </c>
      <c r="AA142" s="1" t="str">
        <f t="shared" si="7"/>
        <v>Barranquilla</v>
      </c>
      <c r="AB142" s="1"/>
      <c r="AC142" s="1" t="str">
        <f t="shared" si="8"/>
        <v xml:space="preserve"> </v>
      </c>
    </row>
    <row r="143" spans="1:29" x14ac:dyDescent="0.3">
      <c r="A143" s="1" t="s">
        <v>444</v>
      </c>
      <c r="B143">
        <v>1</v>
      </c>
      <c r="C143">
        <v>27.99</v>
      </c>
      <c r="D143">
        <v>27.99</v>
      </c>
      <c r="E143" s="1" t="s">
        <v>445</v>
      </c>
      <c r="F143" s="1" t="s">
        <v>40</v>
      </c>
      <c r="G143">
        <v>3</v>
      </c>
      <c r="H143" s="1" t="s">
        <v>96</v>
      </c>
      <c r="I143" s="1" t="s">
        <v>75</v>
      </c>
      <c r="J143">
        <v>9</v>
      </c>
      <c r="K143">
        <v>27.99</v>
      </c>
      <c r="L143" s="1" t="s">
        <v>28</v>
      </c>
      <c r="M143" s="1" t="s">
        <v>61</v>
      </c>
      <c r="N143" s="1" t="s">
        <v>62</v>
      </c>
      <c r="O143" s="1" t="s">
        <v>31</v>
      </c>
      <c r="P143" s="2">
        <v>45726</v>
      </c>
      <c r="Q143" s="1" t="s">
        <v>302</v>
      </c>
      <c r="R143" s="1" t="s">
        <v>303</v>
      </c>
      <c r="S143" s="1" t="s">
        <v>105</v>
      </c>
      <c r="T143" s="1" t="s">
        <v>35</v>
      </c>
      <c r="U143" s="1" t="s">
        <v>55</v>
      </c>
      <c r="V143" s="1" t="s">
        <v>37</v>
      </c>
      <c r="W143">
        <v>2</v>
      </c>
      <c r="X143" s="1" t="str">
        <f t="shared" si="6"/>
        <v>juan.martinez143@mail.com</v>
      </c>
      <c r="Y143" s="1" t="str">
        <f>INDEX(V:V,MATCH(orders_desnormalizado_prueba3[[#This Row],[acquisition_channel]],U:U,0))</f>
        <v>Bodega Propia CO - envio 2-3 dias</v>
      </c>
      <c r="Z143" s="1" t="str">
        <f>INDEX(T:T,MATCH(orders_desnormalizado_prueba3[[#This Row],[shipping_cost]],W:W,0))</f>
        <v>Colombia</v>
      </c>
      <c r="AA143" s="1" t="str">
        <f t="shared" si="7"/>
        <v>Barranquilla</v>
      </c>
      <c r="AB143" s="1"/>
      <c r="AC143" s="1" t="str">
        <f t="shared" si="8"/>
        <v xml:space="preserve"> </v>
      </c>
    </row>
    <row r="144" spans="1:29" x14ac:dyDescent="0.3">
      <c r="A144" s="1" t="s">
        <v>446</v>
      </c>
      <c r="B144">
        <v>1</v>
      </c>
      <c r="C144">
        <v>34.99</v>
      </c>
      <c r="D144">
        <v>34.99</v>
      </c>
      <c r="E144" s="1" t="s">
        <v>447</v>
      </c>
      <c r="F144" s="1" t="s">
        <v>51</v>
      </c>
      <c r="G144">
        <v>0</v>
      </c>
      <c r="H144" s="1" t="s">
        <v>58</v>
      </c>
      <c r="I144" s="1" t="s">
        <v>85</v>
      </c>
      <c r="J144">
        <v>12.5</v>
      </c>
      <c r="K144">
        <v>34.99</v>
      </c>
      <c r="L144" s="1" t="s">
        <v>60</v>
      </c>
      <c r="M144" s="1" t="s">
        <v>29</v>
      </c>
      <c r="N144" s="1" t="s">
        <v>30</v>
      </c>
      <c r="O144" s="1" t="s">
        <v>31</v>
      </c>
      <c r="P144" s="2">
        <v>45778</v>
      </c>
      <c r="Q144" s="1" t="s">
        <v>396</v>
      </c>
      <c r="R144" s="1" t="s">
        <v>397</v>
      </c>
      <c r="S144" s="1" t="s">
        <v>34</v>
      </c>
      <c r="T144" s="1" t="s">
        <v>35</v>
      </c>
      <c r="U144" s="1" t="s">
        <v>82</v>
      </c>
      <c r="V144" s="1" t="s">
        <v>89</v>
      </c>
      <c r="W144">
        <v>2.4</v>
      </c>
      <c r="X144" s="1" t="str">
        <f t="shared" si="6"/>
        <v>laura.torres168@mail.com</v>
      </c>
      <c r="Y144" s="1" t="str">
        <f>INDEX(V:V,MATCH(orders_desnormalizado_prueba3[[#This Row],[acquisition_channel]],U:U,0))</f>
        <v>Bodega Propia CO - envio 2-3 dias</v>
      </c>
      <c r="Z144" s="1" t="str">
        <f>INDEX(T:T,MATCH(orders_desnormalizado_prueba3[[#This Row],[shipping_cost]],W:W,0))</f>
        <v>Colombia</v>
      </c>
      <c r="AA144" s="1" t="str">
        <f t="shared" si="7"/>
        <v>Cartagena</v>
      </c>
      <c r="AB144" s="1"/>
      <c r="AC144" s="1" t="str">
        <f t="shared" si="8"/>
        <v xml:space="preserve"> </v>
      </c>
    </row>
    <row r="145" spans="1:29" x14ac:dyDescent="0.3">
      <c r="A145" s="1" t="s">
        <v>448</v>
      </c>
      <c r="B145">
        <v>1</v>
      </c>
      <c r="C145">
        <v>16.989999999999998</v>
      </c>
      <c r="D145">
        <v>16.989999999999998</v>
      </c>
      <c r="E145" s="1" t="s">
        <v>449</v>
      </c>
      <c r="F145" s="1" t="s">
        <v>40</v>
      </c>
      <c r="G145">
        <v>16</v>
      </c>
      <c r="H145" s="1" t="s">
        <v>58</v>
      </c>
      <c r="I145" s="1" t="s">
        <v>59</v>
      </c>
      <c r="J145">
        <v>5</v>
      </c>
      <c r="K145">
        <v>16.989999999999998</v>
      </c>
      <c r="L145" s="1" t="s">
        <v>60</v>
      </c>
      <c r="M145" s="1" t="s">
        <v>61</v>
      </c>
      <c r="N145" s="1" t="s">
        <v>62</v>
      </c>
      <c r="O145" s="1" t="s">
        <v>31</v>
      </c>
      <c r="P145" s="2">
        <v>45726</v>
      </c>
      <c r="Q145" s="1" t="s">
        <v>182</v>
      </c>
      <c r="R145" s="1" t="s">
        <v>183</v>
      </c>
      <c r="S145" s="1" t="s">
        <v>47</v>
      </c>
      <c r="T145" s="1" t="s">
        <v>35</v>
      </c>
      <c r="U145" s="1" t="s">
        <v>48</v>
      </c>
      <c r="V145" s="1" t="s">
        <v>67</v>
      </c>
      <c r="W145">
        <v>3</v>
      </c>
      <c r="X145" s="1" t="str">
        <f t="shared" si="6"/>
        <v>daniela.gomez75@mail.com</v>
      </c>
      <c r="Y145" s="1" t="str">
        <f>INDEX(V:V,MATCH(orders_desnormalizado_prueba3[[#This Row],[acquisition_channel]],U:U,0))</f>
        <v>Bodega Propia CO - envio 2-3 dias</v>
      </c>
      <c r="Z145" s="1" t="str">
        <f>INDEX(T:T,MATCH(orders_desnormalizado_prueba3[[#This Row],[shipping_cost]],W:W,0))</f>
        <v>Colombia</v>
      </c>
      <c r="AA145" s="1" t="str">
        <f t="shared" si="7"/>
        <v>Bogota</v>
      </c>
      <c r="AB145" s="1"/>
      <c r="AC145" s="1" t="str">
        <f t="shared" si="8"/>
        <v xml:space="preserve"> </v>
      </c>
    </row>
    <row r="146" spans="1:29" x14ac:dyDescent="0.3">
      <c r="A146" s="1" t="s">
        <v>450</v>
      </c>
      <c r="B146">
        <v>1</v>
      </c>
      <c r="C146">
        <v>34.99</v>
      </c>
      <c r="D146">
        <v>34.99</v>
      </c>
      <c r="E146" s="1" t="s">
        <v>244</v>
      </c>
      <c r="F146" s="1" t="s">
        <v>188</v>
      </c>
      <c r="G146">
        <v>0</v>
      </c>
      <c r="H146" s="1" t="s">
        <v>58</v>
      </c>
      <c r="I146" s="1" t="s">
        <v>85</v>
      </c>
      <c r="J146">
        <v>12.5</v>
      </c>
      <c r="K146">
        <v>34.99</v>
      </c>
      <c r="L146" s="1" t="s">
        <v>60</v>
      </c>
      <c r="M146" s="1" t="s">
        <v>29</v>
      </c>
      <c r="N146" s="1" t="s">
        <v>30</v>
      </c>
      <c r="O146" s="1" t="s">
        <v>31</v>
      </c>
      <c r="P146" s="2">
        <v>45778</v>
      </c>
      <c r="Q146" s="1" t="s">
        <v>147</v>
      </c>
      <c r="R146" s="1" t="s">
        <v>400</v>
      </c>
      <c r="S146" s="1" t="s">
        <v>47</v>
      </c>
      <c r="T146" s="1" t="s">
        <v>35</v>
      </c>
      <c r="U146" s="1" t="s">
        <v>36</v>
      </c>
      <c r="V146" s="1" t="s">
        <v>89</v>
      </c>
      <c r="W146">
        <v>2.4</v>
      </c>
      <c r="X146" s="1" t="str">
        <f t="shared" si="6"/>
        <v>natalia.castro19@mail.com</v>
      </c>
      <c r="Y146" s="1" t="str">
        <f>INDEX(V:V,MATCH(orders_desnormalizado_prueba3[[#This Row],[acquisition_channel]],U:U,0))</f>
        <v>Bodega Propia CO - envio 2-3 dias</v>
      </c>
      <c r="Z146" s="1" t="str">
        <f>INDEX(T:T,MATCH(orders_desnormalizado_prueba3[[#This Row],[shipping_cost]],W:W,0))</f>
        <v>Colombia</v>
      </c>
      <c r="AA146" s="1" t="str">
        <f t="shared" si="7"/>
        <v>Cartagena</v>
      </c>
      <c r="AB146" s="1"/>
      <c r="AC146" s="1" t="str">
        <f t="shared" si="8"/>
        <v xml:space="preserve"> </v>
      </c>
    </row>
    <row r="147" spans="1:29" x14ac:dyDescent="0.3">
      <c r="A147" s="1" t="s">
        <v>451</v>
      </c>
      <c r="B147">
        <v>1</v>
      </c>
      <c r="C147">
        <v>16.989999999999998</v>
      </c>
      <c r="D147">
        <v>16.989999999999998</v>
      </c>
      <c r="E147" s="1" t="s">
        <v>452</v>
      </c>
      <c r="F147" s="1" t="s">
        <v>40</v>
      </c>
      <c r="G147">
        <v>17</v>
      </c>
      <c r="H147" s="1" t="s">
        <v>41</v>
      </c>
      <c r="I147" s="1" t="s">
        <v>59</v>
      </c>
      <c r="J147">
        <v>5</v>
      </c>
      <c r="K147">
        <v>16.989999999999998</v>
      </c>
      <c r="L147" s="1" t="s">
        <v>60</v>
      </c>
      <c r="M147" s="1" t="s">
        <v>61</v>
      </c>
      <c r="N147" s="1" t="s">
        <v>62</v>
      </c>
      <c r="O147" s="1" t="s">
        <v>31</v>
      </c>
      <c r="P147" s="2">
        <v>45726</v>
      </c>
      <c r="Q147" s="1" t="s">
        <v>231</v>
      </c>
      <c r="R147" s="1" t="s">
        <v>361</v>
      </c>
      <c r="S147" s="1" t="s">
        <v>47</v>
      </c>
      <c r="T147" s="1" t="s">
        <v>35</v>
      </c>
      <c r="U147" s="1" t="s">
        <v>66</v>
      </c>
      <c r="V147" s="1" t="s">
        <v>67</v>
      </c>
      <c r="W147">
        <v>3</v>
      </c>
      <c r="X147" s="1" t="str">
        <f t="shared" si="6"/>
        <v>miguel.ramirez82@mail.com</v>
      </c>
      <c r="Y147" s="1" t="str">
        <f>INDEX(V:V,MATCH(orders_desnormalizado_prueba3[[#This Row],[acquisition_channel]],U:U,0))</f>
        <v>AliDropship CN - envio 15-20 dias</v>
      </c>
      <c r="Z147" s="1" t="str">
        <f>INDEX(T:T,MATCH(orders_desnormalizado_prueba3[[#This Row],[shipping_cost]],W:W,0))</f>
        <v>Colombia</v>
      </c>
      <c r="AA147" s="1" t="str">
        <f t="shared" si="7"/>
        <v>Barranquilla</v>
      </c>
      <c r="AB147" s="1"/>
      <c r="AC147" s="1" t="str">
        <f t="shared" si="8"/>
        <v xml:space="preserve"> </v>
      </c>
    </row>
    <row r="148" spans="1:29" x14ac:dyDescent="0.3">
      <c r="A148" s="1" t="s">
        <v>453</v>
      </c>
      <c r="B148">
        <v>1</v>
      </c>
      <c r="C148">
        <v>21.99</v>
      </c>
      <c r="D148">
        <v>21.99</v>
      </c>
      <c r="E148" s="1" t="s">
        <v>187</v>
      </c>
      <c r="F148" s="1" t="s">
        <v>51</v>
      </c>
      <c r="G148">
        <v>0</v>
      </c>
      <c r="H148" s="1" t="s">
        <v>26</v>
      </c>
      <c r="I148" s="1" t="s">
        <v>27</v>
      </c>
      <c r="J148">
        <v>7</v>
      </c>
      <c r="K148">
        <v>21.99</v>
      </c>
      <c r="L148" s="1" t="s">
        <v>28</v>
      </c>
      <c r="M148" s="1" t="s">
        <v>29</v>
      </c>
      <c r="N148" s="1" t="s">
        <v>30</v>
      </c>
      <c r="O148" s="1" t="s">
        <v>31</v>
      </c>
      <c r="P148" s="2">
        <v>45778</v>
      </c>
      <c r="Q148" s="1" t="s">
        <v>71</v>
      </c>
      <c r="R148" s="1" t="s">
        <v>454</v>
      </c>
      <c r="S148" s="1" t="s">
        <v>47</v>
      </c>
      <c r="T148" s="1" t="s">
        <v>35</v>
      </c>
      <c r="U148" s="1" t="s">
        <v>55</v>
      </c>
      <c r="V148" s="1" t="s">
        <v>37</v>
      </c>
      <c r="W148">
        <v>2</v>
      </c>
      <c r="X148" s="1" t="str">
        <f t="shared" si="6"/>
        <v>diego.ramirez167@mail.com</v>
      </c>
      <c r="Y148" s="1" t="str">
        <f>INDEX(V:V,MATCH(orders_desnormalizado_prueba3[[#This Row],[acquisition_channel]],U:U,0))</f>
        <v>Bodega Propia CO - envio 2-3 dias</v>
      </c>
      <c r="Z148" s="1" t="str">
        <f>INDEX(T:T,MATCH(orders_desnormalizado_prueba3[[#This Row],[shipping_cost]],W:W,0))</f>
        <v>Colombia</v>
      </c>
      <c r="AA148" s="1" t="str">
        <f t="shared" si="7"/>
        <v>Cartagena</v>
      </c>
      <c r="AB148" s="1"/>
      <c r="AC148" s="1" t="str">
        <f t="shared" si="8"/>
        <v xml:space="preserve"> </v>
      </c>
    </row>
    <row r="149" spans="1:29" x14ac:dyDescent="0.3">
      <c r="A149" s="1" t="s">
        <v>455</v>
      </c>
      <c r="B149">
        <v>1</v>
      </c>
      <c r="C149">
        <v>30.99</v>
      </c>
      <c r="D149">
        <v>30.99</v>
      </c>
      <c r="E149" s="1" t="s">
        <v>334</v>
      </c>
      <c r="F149" s="1" t="s">
        <v>25</v>
      </c>
      <c r="G149">
        <v>2</v>
      </c>
      <c r="H149" s="1" t="s">
        <v>96</v>
      </c>
      <c r="I149" s="1" t="s">
        <v>42</v>
      </c>
      <c r="J149">
        <v>10.5</v>
      </c>
      <c r="K149">
        <v>30.99</v>
      </c>
      <c r="L149" s="1" t="s">
        <v>28</v>
      </c>
      <c r="M149" s="1" t="s">
        <v>43</v>
      </c>
      <c r="N149" s="1" t="s">
        <v>44</v>
      </c>
      <c r="O149" s="1" t="s">
        <v>31</v>
      </c>
      <c r="P149" s="2">
        <v>45823</v>
      </c>
      <c r="Q149" s="1" t="s">
        <v>182</v>
      </c>
      <c r="R149" s="1" t="s">
        <v>183</v>
      </c>
      <c r="S149" s="1" t="s">
        <v>47</v>
      </c>
      <c r="T149" s="1" t="s">
        <v>35</v>
      </c>
      <c r="U149" s="1" t="s">
        <v>48</v>
      </c>
      <c r="V149" s="1" t="s">
        <v>37</v>
      </c>
      <c r="W149">
        <v>2</v>
      </c>
      <c r="X149" s="1" t="str">
        <f t="shared" si="6"/>
        <v>daniela.gomez75@mail.com</v>
      </c>
      <c r="Y149" s="1" t="str">
        <f>INDEX(V:V,MATCH(orders_desnormalizado_prueba3[[#This Row],[acquisition_channel]],U:U,0))</f>
        <v>Bodega Propia CO - envio 2-3 dias</v>
      </c>
      <c r="Z149" s="1" t="str">
        <f>INDEX(T:T,MATCH(orders_desnormalizado_prueba3[[#This Row],[shipping_cost]],W:W,0))</f>
        <v>Colombia</v>
      </c>
      <c r="AA149" s="1" t="str">
        <f t="shared" si="7"/>
        <v>Medellin</v>
      </c>
      <c r="AB149" s="1"/>
      <c r="AC149" s="1" t="str">
        <f t="shared" si="8"/>
        <v xml:space="preserve"> </v>
      </c>
    </row>
    <row r="150" spans="1:29" x14ac:dyDescent="0.3">
      <c r="A150" s="1" t="s">
        <v>456</v>
      </c>
      <c r="B150">
        <v>1</v>
      </c>
      <c r="C150">
        <v>16.989999999999998</v>
      </c>
      <c r="D150">
        <v>16.989999999999998</v>
      </c>
      <c r="E150" s="1" t="s">
        <v>457</v>
      </c>
      <c r="F150" s="1" t="s">
        <v>40</v>
      </c>
      <c r="G150">
        <v>16</v>
      </c>
      <c r="H150" s="1" t="s">
        <v>58</v>
      </c>
      <c r="I150" s="1" t="s">
        <v>59</v>
      </c>
      <c r="J150">
        <v>5</v>
      </c>
      <c r="K150">
        <v>16.989999999999998</v>
      </c>
      <c r="L150" s="1" t="s">
        <v>60</v>
      </c>
      <c r="M150" s="1" t="s">
        <v>61</v>
      </c>
      <c r="N150" s="1" t="s">
        <v>62</v>
      </c>
      <c r="O150" s="1" t="s">
        <v>31</v>
      </c>
      <c r="P150" s="2">
        <v>45726</v>
      </c>
      <c r="Q150" s="1" t="s">
        <v>396</v>
      </c>
      <c r="R150" s="1" t="s">
        <v>397</v>
      </c>
      <c r="S150" s="1" t="s">
        <v>34</v>
      </c>
      <c r="T150" s="1" t="s">
        <v>35</v>
      </c>
      <c r="U150" s="1" t="s">
        <v>82</v>
      </c>
      <c r="V150" s="1" t="s">
        <v>67</v>
      </c>
      <c r="W150">
        <v>3</v>
      </c>
      <c r="X150" s="1" t="str">
        <f t="shared" si="6"/>
        <v>laura.torres168@mail.com</v>
      </c>
      <c r="Y150" s="1" t="str">
        <f>INDEX(V:V,MATCH(orders_desnormalizado_prueba3[[#This Row],[acquisition_channel]],U:U,0))</f>
        <v>Bodega Propia CO - envio 2-3 dias</v>
      </c>
      <c r="Z150" s="1" t="str">
        <f>INDEX(T:T,MATCH(orders_desnormalizado_prueba3[[#This Row],[shipping_cost]],W:W,0))</f>
        <v>Colombia</v>
      </c>
      <c r="AA150" s="1" t="str">
        <f t="shared" si="7"/>
        <v>Bogota</v>
      </c>
      <c r="AB150" s="1"/>
      <c r="AC150" s="1" t="str">
        <f t="shared" si="8"/>
        <v xml:space="preserve"> </v>
      </c>
    </row>
    <row r="151" spans="1:29" x14ac:dyDescent="0.3">
      <c r="A151" s="1" t="s">
        <v>458</v>
      </c>
      <c r="B151">
        <v>1</v>
      </c>
      <c r="C151">
        <v>16.989999999999998</v>
      </c>
      <c r="D151">
        <v>16.989999999999998</v>
      </c>
      <c r="E151" s="1" t="s">
        <v>281</v>
      </c>
      <c r="F151" s="1" t="s">
        <v>40</v>
      </c>
      <c r="G151">
        <v>20</v>
      </c>
      <c r="H151" s="1" t="s">
        <v>58</v>
      </c>
      <c r="I151" s="1" t="s">
        <v>59</v>
      </c>
      <c r="J151">
        <v>5</v>
      </c>
      <c r="K151">
        <v>16.989999999999998</v>
      </c>
      <c r="L151" s="1" t="s">
        <v>60</v>
      </c>
      <c r="M151" s="1" t="s">
        <v>61</v>
      </c>
      <c r="N151" s="1" t="s">
        <v>62</v>
      </c>
      <c r="O151" s="1" t="s">
        <v>31</v>
      </c>
      <c r="P151" s="2">
        <v>45726</v>
      </c>
      <c r="Q151" s="1" t="s">
        <v>459</v>
      </c>
      <c r="R151" s="1" t="s">
        <v>460</v>
      </c>
      <c r="S151" s="1" t="s">
        <v>88</v>
      </c>
      <c r="T151" s="1" t="s">
        <v>35</v>
      </c>
      <c r="U151" s="1" t="s">
        <v>55</v>
      </c>
      <c r="V151" s="1" t="s">
        <v>67</v>
      </c>
      <c r="W151">
        <v>3</v>
      </c>
      <c r="X151" s="1" t="str">
        <f t="shared" si="6"/>
        <v>carlos.martinez116@mail.com</v>
      </c>
      <c r="Y151" s="1" t="str">
        <f>INDEX(V:V,MATCH(orders_desnormalizado_prueba3[[#This Row],[acquisition_channel]],U:U,0))</f>
        <v>Bodega Propia CO - envio 2-3 dias</v>
      </c>
      <c r="Z151" s="1" t="str">
        <f>INDEX(T:T,MATCH(orders_desnormalizado_prueba3[[#This Row],[shipping_cost]],W:W,0))</f>
        <v>Colombia</v>
      </c>
      <c r="AA151" s="1" t="str">
        <f t="shared" si="7"/>
        <v>Bucaramanga</v>
      </c>
      <c r="AB151" s="1"/>
      <c r="AC151" s="1" t="str">
        <f t="shared" si="8"/>
        <v xml:space="preserve"> </v>
      </c>
    </row>
    <row r="152" spans="1:29" x14ac:dyDescent="0.3">
      <c r="A152" s="1" t="s">
        <v>461</v>
      </c>
      <c r="B152">
        <v>1</v>
      </c>
      <c r="C152">
        <v>18.989999999999998</v>
      </c>
      <c r="D152">
        <v>18.989999999999998</v>
      </c>
      <c r="E152" s="1" t="s">
        <v>419</v>
      </c>
      <c r="F152" s="1" t="s">
        <v>40</v>
      </c>
      <c r="G152">
        <v>13</v>
      </c>
      <c r="H152" s="1" t="s">
        <v>26</v>
      </c>
      <c r="I152" s="1" t="s">
        <v>97</v>
      </c>
      <c r="J152">
        <v>6</v>
      </c>
      <c r="K152">
        <v>18.989999999999998</v>
      </c>
      <c r="L152" s="1" t="s">
        <v>60</v>
      </c>
      <c r="M152" s="1" t="s">
        <v>43</v>
      </c>
      <c r="N152" s="1" t="s">
        <v>44</v>
      </c>
      <c r="O152" s="1" t="s">
        <v>31</v>
      </c>
      <c r="P152" s="2">
        <v>45823</v>
      </c>
      <c r="Q152" s="1" t="s">
        <v>462</v>
      </c>
      <c r="R152" s="1" t="s">
        <v>463</v>
      </c>
      <c r="S152" s="1" t="s">
        <v>54</v>
      </c>
      <c r="T152" s="1" t="s">
        <v>35</v>
      </c>
      <c r="U152" s="1" t="s">
        <v>36</v>
      </c>
      <c r="V152" s="1" t="s">
        <v>100</v>
      </c>
      <c r="W152">
        <v>3.2</v>
      </c>
      <c r="X152" s="1" t="str">
        <f t="shared" si="6"/>
        <v>valentina.diaz17@mail.com</v>
      </c>
      <c r="Y152" s="1" t="str">
        <f>INDEX(V:V,MATCH(orders_desnormalizado_prueba3[[#This Row],[acquisition_channel]],U:U,0))</f>
        <v>Bodega Propia CO - envio 2-3 dias</v>
      </c>
      <c r="Z152" s="1" t="str">
        <f>INDEX(T:T,MATCH(orders_desnormalizado_prueba3[[#This Row],[shipping_cost]],W:W,0))</f>
        <v>Colombia</v>
      </c>
      <c r="AA152" s="1" t="str">
        <f t="shared" si="7"/>
        <v>Barranquilla</v>
      </c>
      <c r="AB152" s="1"/>
      <c r="AC152" s="1" t="str">
        <f t="shared" si="8"/>
        <v xml:space="preserve"> </v>
      </c>
    </row>
    <row r="153" spans="1:29" x14ac:dyDescent="0.3">
      <c r="A153" s="1" t="s">
        <v>464</v>
      </c>
      <c r="B153">
        <v>1</v>
      </c>
      <c r="C153">
        <v>18.989999999999998</v>
      </c>
      <c r="D153">
        <v>18.989999999999998</v>
      </c>
      <c r="E153" s="1" t="s">
        <v>445</v>
      </c>
      <c r="F153" s="1" t="s">
        <v>188</v>
      </c>
      <c r="G153">
        <v>0</v>
      </c>
      <c r="H153" s="1" t="s">
        <v>96</v>
      </c>
      <c r="I153" s="1" t="s">
        <v>97</v>
      </c>
      <c r="J153">
        <v>6</v>
      </c>
      <c r="K153">
        <v>18.989999999999998</v>
      </c>
      <c r="L153" s="1" t="s">
        <v>60</v>
      </c>
      <c r="M153" s="1" t="s">
        <v>43</v>
      </c>
      <c r="N153" s="1" t="s">
        <v>44</v>
      </c>
      <c r="O153" s="1" t="s">
        <v>31</v>
      </c>
      <c r="P153" s="2">
        <v>45823</v>
      </c>
      <c r="Q153" s="1" t="s">
        <v>216</v>
      </c>
      <c r="R153" s="1" t="s">
        <v>275</v>
      </c>
      <c r="S153" s="1" t="s">
        <v>105</v>
      </c>
      <c r="T153" s="1" t="s">
        <v>35</v>
      </c>
      <c r="U153" s="1" t="s">
        <v>82</v>
      </c>
      <c r="V153" s="1" t="s">
        <v>100</v>
      </c>
      <c r="W153">
        <v>3.2</v>
      </c>
      <c r="X153" s="1" t="str">
        <f t="shared" si="6"/>
        <v>valentina.perez50@mail.com</v>
      </c>
      <c r="Y153" s="1" t="str">
        <f>INDEX(V:V,MATCH(orders_desnormalizado_prueba3[[#This Row],[acquisition_channel]],U:U,0))</f>
        <v>Bodega Propia CO - envio 2-3 dias</v>
      </c>
      <c r="Z153" s="1" t="str">
        <f>INDEX(T:T,MATCH(orders_desnormalizado_prueba3[[#This Row],[shipping_cost]],W:W,0))</f>
        <v>Colombia</v>
      </c>
      <c r="AA153" s="1" t="str">
        <f t="shared" si="7"/>
        <v>Cartagena</v>
      </c>
      <c r="AB153" s="1"/>
      <c r="AC153" s="1" t="str">
        <f t="shared" si="8"/>
        <v xml:space="preserve"> </v>
      </c>
    </row>
    <row r="154" spans="1:29" x14ac:dyDescent="0.3">
      <c r="A154" s="1" t="s">
        <v>465</v>
      </c>
      <c r="B154">
        <v>1</v>
      </c>
      <c r="C154">
        <v>34.99</v>
      </c>
      <c r="D154">
        <v>34.99</v>
      </c>
      <c r="E154" s="1" t="s">
        <v>327</v>
      </c>
      <c r="F154" s="1" t="s">
        <v>25</v>
      </c>
      <c r="G154">
        <v>8</v>
      </c>
      <c r="H154" s="1" t="s">
        <v>41</v>
      </c>
      <c r="I154" s="1" t="s">
        <v>85</v>
      </c>
      <c r="J154">
        <v>12.5</v>
      </c>
      <c r="K154">
        <v>34.99</v>
      </c>
      <c r="L154" s="1" t="s">
        <v>60</v>
      </c>
      <c r="M154" s="1" t="s">
        <v>29</v>
      </c>
      <c r="N154" s="1" t="s">
        <v>30</v>
      </c>
      <c r="O154" s="1" t="s">
        <v>31</v>
      </c>
      <c r="P154" s="2">
        <v>45778</v>
      </c>
      <c r="Q154" s="1" t="s">
        <v>466</v>
      </c>
      <c r="R154" s="1" t="s">
        <v>467</v>
      </c>
      <c r="S154" s="1" t="s">
        <v>65</v>
      </c>
      <c r="T154" s="1" t="s">
        <v>35</v>
      </c>
      <c r="U154" s="1" t="s">
        <v>36</v>
      </c>
      <c r="V154" s="1" t="s">
        <v>89</v>
      </c>
      <c r="W154">
        <v>2.4</v>
      </c>
      <c r="X154" s="1" t="str">
        <f t="shared" si="6"/>
        <v>valentina.gomez113@mail.com</v>
      </c>
      <c r="Y154" s="1" t="str">
        <f>INDEX(V:V,MATCH(orders_desnormalizado_prueba3[[#This Row],[acquisition_channel]],U:U,0))</f>
        <v>Bodega Propia CO - envio 2-3 dias</v>
      </c>
      <c r="Z154" s="1" t="str">
        <f>INDEX(T:T,MATCH(orders_desnormalizado_prueba3[[#This Row],[shipping_cost]],W:W,0))</f>
        <v>Colombia</v>
      </c>
      <c r="AA154" s="1" t="str">
        <f t="shared" si="7"/>
        <v>Barranquilla</v>
      </c>
      <c r="AB154" s="1"/>
      <c r="AC154" s="1" t="str">
        <f t="shared" si="8"/>
        <v xml:space="preserve"> </v>
      </c>
    </row>
    <row r="155" spans="1:29" x14ac:dyDescent="0.3">
      <c r="A155" s="1" t="s">
        <v>468</v>
      </c>
      <c r="B155">
        <v>3</v>
      </c>
      <c r="C155">
        <v>16.989999999999998</v>
      </c>
      <c r="D155">
        <v>40.18</v>
      </c>
      <c r="E155" s="1" t="s">
        <v>113</v>
      </c>
      <c r="F155" s="1" t="s">
        <v>51</v>
      </c>
      <c r="G155">
        <v>0</v>
      </c>
      <c r="H155" s="1" t="s">
        <v>26</v>
      </c>
      <c r="I155" s="1" t="s">
        <v>59</v>
      </c>
      <c r="J155">
        <v>5</v>
      </c>
      <c r="K155">
        <v>16.989999999999998</v>
      </c>
      <c r="L155" s="1" t="s">
        <v>60</v>
      </c>
      <c r="M155" s="1" t="s">
        <v>61</v>
      </c>
      <c r="N155" s="1" t="s">
        <v>62</v>
      </c>
      <c r="O155" s="1" t="s">
        <v>31</v>
      </c>
      <c r="P155" s="2">
        <v>45726</v>
      </c>
      <c r="Q155" s="1" t="s">
        <v>137</v>
      </c>
      <c r="R155" s="1" t="s">
        <v>138</v>
      </c>
      <c r="S155" s="1" t="s">
        <v>34</v>
      </c>
      <c r="T155" s="1" t="s">
        <v>35</v>
      </c>
      <c r="U155" s="1" t="s">
        <v>82</v>
      </c>
      <c r="V155" s="1" t="s">
        <v>67</v>
      </c>
      <c r="W155">
        <v>3</v>
      </c>
      <c r="X155" s="1" t="str">
        <f t="shared" si="6"/>
        <v>camila.martinez65@mail.com</v>
      </c>
      <c r="Y155" s="1" t="str">
        <f>INDEX(V:V,MATCH(orders_desnormalizado_prueba3[[#This Row],[acquisition_channel]],U:U,0))</f>
        <v>Bodega Propia CO - envio 2-3 dias</v>
      </c>
      <c r="Z155" s="1" t="str">
        <f>INDEX(T:T,MATCH(orders_desnormalizado_prueba3[[#This Row],[shipping_cost]],W:W,0))</f>
        <v>Colombia</v>
      </c>
      <c r="AA155" s="1" t="str">
        <f t="shared" si="7"/>
        <v>Cartagena</v>
      </c>
      <c r="AB155" s="1"/>
      <c r="AC155" s="1" t="str">
        <f t="shared" si="8"/>
        <v xml:space="preserve"> </v>
      </c>
    </row>
    <row r="156" spans="1:29" x14ac:dyDescent="0.3">
      <c r="A156" s="1" t="s">
        <v>469</v>
      </c>
      <c r="B156">
        <v>3</v>
      </c>
      <c r="C156">
        <v>27.99</v>
      </c>
      <c r="D156">
        <v>66.88</v>
      </c>
      <c r="E156" s="1" t="s">
        <v>272</v>
      </c>
      <c r="F156" s="1" t="s">
        <v>40</v>
      </c>
      <c r="G156">
        <v>7</v>
      </c>
      <c r="H156" s="1" t="s">
        <v>26</v>
      </c>
      <c r="I156" s="1" t="s">
        <v>75</v>
      </c>
      <c r="J156">
        <v>9</v>
      </c>
      <c r="K156">
        <v>27.99</v>
      </c>
      <c r="L156" s="1" t="s">
        <v>28</v>
      </c>
      <c r="M156" s="1" t="s">
        <v>61</v>
      </c>
      <c r="N156" s="1" t="s">
        <v>62</v>
      </c>
      <c r="O156" s="1" t="s">
        <v>31</v>
      </c>
      <c r="P156" s="2">
        <v>45726</v>
      </c>
      <c r="Q156" s="1" t="s">
        <v>379</v>
      </c>
      <c r="R156" s="1" t="s">
        <v>470</v>
      </c>
      <c r="S156" s="1" t="s">
        <v>88</v>
      </c>
      <c r="T156" s="1" t="s">
        <v>35</v>
      </c>
      <c r="U156" s="1" t="s">
        <v>66</v>
      </c>
      <c r="V156" s="1" t="s">
        <v>37</v>
      </c>
      <c r="W156">
        <v>2</v>
      </c>
      <c r="X156" s="1" t="str">
        <f t="shared" si="6"/>
        <v>sofia.sanchez55@mail.com</v>
      </c>
      <c r="Y156" s="1" t="str">
        <f>INDEX(V:V,MATCH(orders_desnormalizado_prueba3[[#This Row],[acquisition_channel]],U:U,0))</f>
        <v>AliDropship CN - envio 15-20 dias</v>
      </c>
      <c r="Z156" s="1" t="str">
        <f>INDEX(T:T,MATCH(orders_desnormalizado_prueba3[[#This Row],[shipping_cost]],W:W,0))</f>
        <v>Colombia</v>
      </c>
      <c r="AA156" s="1" t="str">
        <f t="shared" si="7"/>
        <v>Bogota</v>
      </c>
      <c r="AB156" s="1"/>
      <c r="AC156" s="1" t="str">
        <f t="shared" si="8"/>
        <v xml:space="preserve"> </v>
      </c>
    </row>
    <row r="157" spans="1:29" x14ac:dyDescent="0.3">
      <c r="A157" s="1" t="s">
        <v>471</v>
      </c>
      <c r="B157">
        <v>1</v>
      </c>
      <c r="C157">
        <v>27.99</v>
      </c>
      <c r="D157">
        <v>27.99</v>
      </c>
      <c r="E157" s="1" t="s">
        <v>313</v>
      </c>
      <c r="F157" s="1" t="s">
        <v>40</v>
      </c>
      <c r="G157">
        <v>2</v>
      </c>
      <c r="H157" s="1" t="s">
        <v>41</v>
      </c>
      <c r="I157" s="1" t="s">
        <v>75</v>
      </c>
      <c r="J157">
        <v>9</v>
      </c>
      <c r="K157">
        <v>27.99</v>
      </c>
      <c r="L157" s="1" t="s">
        <v>28</v>
      </c>
      <c r="M157" s="1" t="s">
        <v>61</v>
      </c>
      <c r="N157" s="1" t="s">
        <v>62</v>
      </c>
      <c r="O157" s="1" t="s">
        <v>31</v>
      </c>
      <c r="P157" s="2">
        <v>45726</v>
      </c>
      <c r="Q157" s="1" t="s">
        <v>225</v>
      </c>
      <c r="R157" s="1" t="s">
        <v>226</v>
      </c>
      <c r="S157" s="1" t="s">
        <v>105</v>
      </c>
      <c r="T157" s="1" t="s">
        <v>35</v>
      </c>
      <c r="U157" s="1" t="s">
        <v>36</v>
      </c>
      <c r="V157" s="1" t="s">
        <v>37</v>
      </c>
      <c r="W157">
        <v>2</v>
      </c>
      <c r="X157" s="1" t="str">
        <f t="shared" si="6"/>
        <v>alejandro.perez27@mail.com</v>
      </c>
      <c r="Y157" s="1" t="str">
        <f>INDEX(V:V,MATCH(orders_desnormalizado_prueba3[[#This Row],[acquisition_channel]],U:U,0))</f>
        <v>Bodega Propia CO - envio 2-3 dias</v>
      </c>
      <c r="Z157" s="1" t="str">
        <f>INDEX(T:T,MATCH(orders_desnormalizado_prueba3[[#This Row],[shipping_cost]],W:W,0))</f>
        <v>Colombia</v>
      </c>
      <c r="AA157" s="1" t="str">
        <f t="shared" si="7"/>
        <v>Medellin</v>
      </c>
      <c r="AB157" s="1"/>
      <c r="AC157" s="1" t="str">
        <f t="shared" si="8"/>
        <v xml:space="preserve"> </v>
      </c>
    </row>
    <row r="158" spans="1:29" x14ac:dyDescent="0.3">
      <c r="A158" s="1" t="s">
        <v>472</v>
      </c>
      <c r="B158">
        <v>1</v>
      </c>
      <c r="C158">
        <v>34.99</v>
      </c>
      <c r="D158">
        <v>34.99</v>
      </c>
      <c r="E158" s="1" t="s">
        <v>128</v>
      </c>
      <c r="F158" s="1" t="s">
        <v>51</v>
      </c>
      <c r="G158">
        <v>0</v>
      </c>
      <c r="H158" s="1" t="s">
        <v>58</v>
      </c>
      <c r="I158" s="1" t="s">
        <v>85</v>
      </c>
      <c r="J158">
        <v>12.5</v>
      </c>
      <c r="K158">
        <v>34.99</v>
      </c>
      <c r="L158" s="1" t="s">
        <v>60</v>
      </c>
      <c r="M158" s="1" t="s">
        <v>29</v>
      </c>
      <c r="N158" s="1" t="s">
        <v>30</v>
      </c>
      <c r="O158" s="1" t="s">
        <v>31</v>
      </c>
      <c r="P158" s="2">
        <v>45778</v>
      </c>
      <c r="Q158" s="1" t="s">
        <v>466</v>
      </c>
      <c r="R158" s="1" t="s">
        <v>467</v>
      </c>
      <c r="S158" s="1" t="s">
        <v>65</v>
      </c>
      <c r="T158" s="1" t="s">
        <v>35</v>
      </c>
      <c r="U158" s="1" t="s">
        <v>36</v>
      </c>
      <c r="V158" s="1" t="s">
        <v>89</v>
      </c>
      <c r="W158">
        <v>2.4</v>
      </c>
      <c r="X158" s="1" t="str">
        <f t="shared" si="6"/>
        <v>valentina.gomez113@mail.com</v>
      </c>
      <c r="Y158" s="1" t="str">
        <f>INDEX(V:V,MATCH(orders_desnormalizado_prueba3[[#This Row],[acquisition_channel]],U:U,0))</f>
        <v>Bodega Propia CO - envio 2-3 dias</v>
      </c>
      <c r="Z158" s="1" t="str">
        <f>INDEX(T:T,MATCH(orders_desnormalizado_prueba3[[#This Row],[shipping_cost]],W:W,0))</f>
        <v>Colombia</v>
      </c>
      <c r="AA158" s="1" t="str">
        <f t="shared" si="7"/>
        <v>Cartagena</v>
      </c>
      <c r="AB158" s="1"/>
      <c r="AC158" s="1" t="str">
        <f t="shared" si="8"/>
        <v xml:space="preserve"> </v>
      </c>
    </row>
    <row r="159" spans="1:29" x14ac:dyDescent="0.3">
      <c r="A159" s="1" t="s">
        <v>473</v>
      </c>
      <c r="B159">
        <v>1</v>
      </c>
      <c r="C159">
        <v>34.99</v>
      </c>
      <c r="D159">
        <v>34.99</v>
      </c>
      <c r="E159" s="1" t="s">
        <v>313</v>
      </c>
      <c r="F159" s="1" t="s">
        <v>188</v>
      </c>
      <c r="G159">
        <v>0</v>
      </c>
      <c r="H159" s="1" t="s">
        <v>96</v>
      </c>
      <c r="I159" s="1" t="s">
        <v>85</v>
      </c>
      <c r="J159">
        <v>12.5</v>
      </c>
      <c r="K159">
        <v>34.99</v>
      </c>
      <c r="L159" s="1" t="s">
        <v>60</v>
      </c>
      <c r="M159" s="1" t="s">
        <v>29</v>
      </c>
      <c r="N159" s="1" t="s">
        <v>30</v>
      </c>
      <c r="O159" s="1" t="s">
        <v>31</v>
      </c>
      <c r="P159" s="2">
        <v>45778</v>
      </c>
      <c r="Q159" s="1" t="s">
        <v>194</v>
      </c>
      <c r="R159" s="1" t="s">
        <v>195</v>
      </c>
      <c r="S159" s="1" t="s">
        <v>88</v>
      </c>
      <c r="T159" s="1" t="s">
        <v>35</v>
      </c>
      <c r="U159" s="1" t="s">
        <v>48</v>
      </c>
      <c r="V159" s="1" t="s">
        <v>89</v>
      </c>
      <c r="W159">
        <v>2.4</v>
      </c>
      <c r="X159" s="1" t="str">
        <f t="shared" si="6"/>
        <v>mateo.torres90@mail.com</v>
      </c>
      <c r="Y159" s="1" t="str">
        <f>INDEX(V:V,MATCH(orders_desnormalizado_prueba3[[#This Row],[acquisition_channel]],U:U,0))</f>
        <v>Bodega Propia CO - envio 2-3 dias</v>
      </c>
      <c r="Z159" s="1" t="str">
        <f>INDEX(T:T,MATCH(orders_desnormalizado_prueba3[[#This Row],[shipping_cost]],W:W,0))</f>
        <v>Colombia</v>
      </c>
      <c r="AA159" s="1" t="str">
        <f t="shared" si="7"/>
        <v>Cartagena</v>
      </c>
      <c r="AB159" s="1"/>
      <c r="AC159" s="1" t="str">
        <f t="shared" si="8"/>
        <v xml:space="preserve"> </v>
      </c>
    </row>
    <row r="160" spans="1:29" x14ac:dyDescent="0.3">
      <c r="A160" s="1" t="s">
        <v>474</v>
      </c>
      <c r="B160">
        <v>2</v>
      </c>
      <c r="C160">
        <v>34.99</v>
      </c>
      <c r="D160">
        <v>60.98</v>
      </c>
      <c r="E160" s="1" t="s">
        <v>132</v>
      </c>
      <c r="F160" s="1" t="s">
        <v>40</v>
      </c>
      <c r="G160">
        <v>12</v>
      </c>
      <c r="H160" s="1" t="s">
        <v>26</v>
      </c>
      <c r="I160" s="1" t="s">
        <v>85</v>
      </c>
      <c r="J160">
        <v>12.5</v>
      </c>
      <c r="K160">
        <v>34.99</v>
      </c>
      <c r="L160" s="1" t="s">
        <v>60</v>
      </c>
      <c r="M160" s="1" t="s">
        <v>29</v>
      </c>
      <c r="N160" s="1" t="s">
        <v>30</v>
      </c>
      <c r="O160" s="1" t="s">
        <v>31</v>
      </c>
      <c r="P160" s="2">
        <v>45778</v>
      </c>
      <c r="Q160" s="1" t="s">
        <v>76</v>
      </c>
      <c r="R160" s="1" t="s">
        <v>144</v>
      </c>
      <c r="S160" s="1" t="s">
        <v>34</v>
      </c>
      <c r="T160" s="1" t="s">
        <v>35</v>
      </c>
      <c r="U160" s="1" t="s">
        <v>66</v>
      </c>
      <c r="V160" s="1" t="s">
        <v>89</v>
      </c>
      <c r="W160">
        <v>2.4</v>
      </c>
      <c r="X160" s="1" t="str">
        <f t="shared" si="6"/>
        <v>david.gomez112@mail.com</v>
      </c>
      <c r="Y160" s="1" t="str">
        <f>INDEX(V:V,MATCH(orders_desnormalizado_prueba3[[#This Row],[acquisition_channel]],U:U,0))</f>
        <v>AliDropship CN - envio 15-20 dias</v>
      </c>
      <c r="Z160" s="1" t="str">
        <f>INDEX(T:T,MATCH(orders_desnormalizado_prueba3[[#This Row],[shipping_cost]],W:W,0))</f>
        <v>Colombia</v>
      </c>
      <c r="AA160" s="1" t="str">
        <f t="shared" si="7"/>
        <v>Cartagena</v>
      </c>
      <c r="AB160" s="1"/>
      <c r="AC160" s="1" t="str">
        <f t="shared" si="8"/>
        <v xml:space="preserve"> </v>
      </c>
    </row>
    <row r="161" spans="1:29" x14ac:dyDescent="0.3">
      <c r="A161" s="1" t="s">
        <v>475</v>
      </c>
      <c r="B161">
        <v>1</v>
      </c>
      <c r="C161">
        <v>18.989999999999998</v>
      </c>
      <c r="D161">
        <v>18.989999999999998</v>
      </c>
      <c r="E161" s="1" t="s">
        <v>84</v>
      </c>
      <c r="F161" s="1" t="s">
        <v>25</v>
      </c>
      <c r="G161">
        <v>11</v>
      </c>
      <c r="H161" s="1" t="s">
        <v>58</v>
      </c>
      <c r="I161" s="1" t="s">
        <v>97</v>
      </c>
      <c r="J161">
        <v>6</v>
      </c>
      <c r="K161">
        <v>18.989999999999998</v>
      </c>
      <c r="L161" s="1" t="s">
        <v>60</v>
      </c>
      <c r="M161" s="1" t="s">
        <v>43</v>
      </c>
      <c r="N161" s="1" t="s">
        <v>44</v>
      </c>
      <c r="O161" s="1" t="s">
        <v>31</v>
      </c>
      <c r="P161" s="2">
        <v>45823</v>
      </c>
      <c r="Q161" s="1" t="s">
        <v>147</v>
      </c>
      <c r="R161" s="1" t="s">
        <v>148</v>
      </c>
      <c r="S161" s="1" t="s">
        <v>65</v>
      </c>
      <c r="T161" s="1" t="s">
        <v>35</v>
      </c>
      <c r="U161" s="1" t="s">
        <v>48</v>
      </c>
      <c r="V161" s="1" t="s">
        <v>100</v>
      </c>
      <c r="W161">
        <v>3.2</v>
      </c>
      <c r="X161" s="1" t="str">
        <f t="shared" si="6"/>
        <v>natalia.castro19@mail.com</v>
      </c>
      <c r="Y161" s="1" t="str">
        <f>INDEX(V:V,MATCH(orders_desnormalizado_prueba3[[#This Row],[acquisition_channel]],U:U,0))</f>
        <v>Bodega Propia CO - envio 2-3 dias</v>
      </c>
      <c r="Z161" s="1" t="str">
        <f>INDEX(T:T,MATCH(orders_desnormalizado_prueba3[[#This Row],[shipping_cost]],W:W,0))</f>
        <v>Colombia</v>
      </c>
      <c r="AA161" s="1" t="str">
        <f t="shared" si="7"/>
        <v>Cali</v>
      </c>
      <c r="AB161" s="1"/>
      <c r="AC161" s="1" t="str">
        <f t="shared" si="8"/>
        <v xml:space="preserve"> </v>
      </c>
    </row>
    <row r="162" spans="1:29" x14ac:dyDescent="0.3">
      <c r="A162" s="1" t="s">
        <v>476</v>
      </c>
      <c r="B162">
        <v>3</v>
      </c>
      <c r="C162">
        <v>30.99</v>
      </c>
      <c r="D162">
        <v>74.53</v>
      </c>
      <c r="E162" s="1" t="s">
        <v>246</v>
      </c>
      <c r="F162" s="1" t="s">
        <v>40</v>
      </c>
      <c r="G162">
        <v>3</v>
      </c>
      <c r="H162" s="1" t="s">
        <v>58</v>
      </c>
      <c r="I162" s="1" t="s">
        <v>42</v>
      </c>
      <c r="J162">
        <v>10.5</v>
      </c>
      <c r="K162">
        <v>30.99</v>
      </c>
      <c r="L162" s="1" t="s">
        <v>28</v>
      </c>
      <c r="M162" s="1" t="s">
        <v>43</v>
      </c>
      <c r="N162" s="1" t="s">
        <v>44</v>
      </c>
      <c r="O162" s="1" t="s">
        <v>31</v>
      </c>
      <c r="P162" s="2">
        <v>45823</v>
      </c>
      <c r="Q162" s="1" t="s">
        <v>234</v>
      </c>
      <c r="R162" s="1" t="s">
        <v>235</v>
      </c>
      <c r="S162" s="1" t="s">
        <v>105</v>
      </c>
      <c r="T162" s="1" t="s">
        <v>35</v>
      </c>
      <c r="U162" s="1" t="s">
        <v>48</v>
      </c>
      <c r="V162" s="1" t="s">
        <v>37</v>
      </c>
      <c r="W162">
        <v>2</v>
      </c>
      <c r="X162" s="1" t="str">
        <f t="shared" si="6"/>
        <v>david.sanchez5@mail.com</v>
      </c>
      <c r="Y162" s="1" t="str">
        <f>INDEX(V:V,MATCH(orders_desnormalizado_prueba3[[#This Row],[acquisition_channel]],U:U,0))</f>
        <v>Bodega Propia CO - envio 2-3 dias</v>
      </c>
      <c r="Z162" s="1" t="str">
        <f>INDEX(T:T,MATCH(orders_desnormalizado_prueba3[[#This Row],[shipping_cost]],W:W,0))</f>
        <v>Colombia</v>
      </c>
      <c r="AA162" s="1" t="str">
        <f t="shared" si="7"/>
        <v>Barranquilla</v>
      </c>
      <c r="AB162" s="1"/>
      <c r="AC162" s="1" t="str">
        <f t="shared" si="8"/>
        <v xml:space="preserve"> </v>
      </c>
    </row>
    <row r="163" spans="1:29" x14ac:dyDescent="0.3">
      <c r="A163" s="1" t="s">
        <v>477</v>
      </c>
      <c r="B163">
        <v>1</v>
      </c>
      <c r="C163">
        <v>30.99</v>
      </c>
      <c r="D163">
        <v>30.99</v>
      </c>
      <c r="E163" s="1" t="s">
        <v>382</v>
      </c>
      <c r="F163" s="1" t="s">
        <v>40</v>
      </c>
      <c r="G163">
        <v>8</v>
      </c>
      <c r="H163" s="1" t="s">
        <v>96</v>
      </c>
      <c r="I163" s="1" t="s">
        <v>42</v>
      </c>
      <c r="J163">
        <v>10.5</v>
      </c>
      <c r="K163">
        <v>30.99</v>
      </c>
      <c r="L163" s="1" t="s">
        <v>28</v>
      </c>
      <c r="M163" s="1" t="s">
        <v>43</v>
      </c>
      <c r="N163" s="1" t="s">
        <v>44</v>
      </c>
      <c r="O163" s="1" t="s">
        <v>31</v>
      </c>
      <c r="P163" s="2">
        <v>45823</v>
      </c>
      <c r="Q163" s="1" t="s">
        <v>409</v>
      </c>
      <c r="R163" s="1" t="s">
        <v>410</v>
      </c>
      <c r="S163" s="1" t="s">
        <v>411</v>
      </c>
      <c r="T163" s="1" t="s">
        <v>35</v>
      </c>
      <c r="U163" s="1" t="s">
        <v>48</v>
      </c>
      <c r="V163" s="1" t="s">
        <v>37</v>
      </c>
      <c r="W163">
        <v>2</v>
      </c>
      <c r="X163" s="1" t="str">
        <f t="shared" si="6"/>
        <v>valentina.ramirez22@mail.com</v>
      </c>
      <c r="Y163" s="1" t="str">
        <f>INDEX(V:V,MATCH(orders_desnormalizado_prueba3[[#This Row],[acquisition_channel]],U:U,0))</f>
        <v>Bodega Propia CO - envio 2-3 dias</v>
      </c>
      <c r="Z163" s="1" t="str">
        <f>INDEX(T:T,MATCH(orders_desnormalizado_prueba3[[#This Row],[shipping_cost]],W:W,0))</f>
        <v>Colombia</v>
      </c>
      <c r="AA163" s="1" t="str">
        <f t="shared" si="7"/>
        <v>Barranquilla</v>
      </c>
      <c r="AB163" s="1"/>
      <c r="AC163" s="1" t="str">
        <f t="shared" si="8"/>
        <v xml:space="preserve"> </v>
      </c>
    </row>
    <row r="164" spans="1:29" x14ac:dyDescent="0.3">
      <c r="A164" s="1" t="s">
        <v>478</v>
      </c>
      <c r="B164">
        <v>1</v>
      </c>
      <c r="C164">
        <v>21.99</v>
      </c>
      <c r="D164">
        <v>21.99</v>
      </c>
      <c r="E164" s="1" t="s">
        <v>419</v>
      </c>
      <c r="F164" s="1" t="s">
        <v>51</v>
      </c>
      <c r="G164">
        <v>0</v>
      </c>
      <c r="H164" s="1" t="s">
        <v>26</v>
      </c>
      <c r="I164" s="1" t="s">
        <v>27</v>
      </c>
      <c r="J164">
        <v>7</v>
      </c>
      <c r="K164">
        <v>21.99</v>
      </c>
      <c r="L164" s="1" t="s">
        <v>28</v>
      </c>
      <c r="M164" s="1" t="s">
        <v>29</v>
      </c>
      <c r="N164" s="1" t="s">
        <v>30</v>
      </c>
      <c r="O164" s="1" t="s">
        <v>31</v>
      </c>
      <c r="P164" s="2">
        <v>45778</v>
      </c>
      <c r="Q164" s="1" t="s">
        <v>63</v>
      </c>
      <c r="R164" s="1" t="s">
        <v>371</v>
      </c>
      <c r="S164" s="1" t="s">
        <v>88</v>
      </c>
      <c r="T164" s="1" t="s">
        <v>35</v>
      </c>
      <c r="U164" s="1" t="s">
        <v>36</v>
      </c>
      <c r="V164" s="1" t="s">
        <v>37</v>
      </c>
      <c r="W164">
        <v>2</v>
      </c>
      <c r="X164" s="1" t="str">
        <f t="shared" si="6"/>
        <v>laura.rodriguez85@mail.com</v>
      </c>
      <c r="Y164" s="1" t="str">
        <f>INDEX(V:V,MATCH(orders_desnormalizado_prueba3[[#This Row],[acquisition_channel]],U:U,0))</f>
        <v>Bodega Propia CO - envio 2-3 dias</v>
      </c>
      <c r="Z164" s="1" t="str">
        <f>INDEX(T:T,MATCH(orders_desnormalizado_prueba3[[#This Row],[shipping_cost]],W:W,0))</f>
        <v>Colombia</v>
      </c>
      <c r="AA164" s="1" t="str">
        <f t="shared" si="7"/>
        <v>Cartagena</v>
      </c>
      <c r="AB164" s="1"/>
      <c r="AC164" s="1" t="str">
        <f t="shared" si="8"/>
        <v xml:space="preserve"> </v>
      </c>
    </row>
    <row r="165" spans="1:29" x14ac:dyDescent="0.3">
      <c r="A165" s="1" t="s">
        <v>479</v>
      </c>
      <c r="B165">
        <v>1</v>
      </c>
      <c r="C165">
        <v>27.99</v>
      </c>
      <c r="D165">
        <v>27.99</v>
      </c>
      <c r="E165" s="1" t="s">
        <v>480</v>
      </c>
      <c r="F165" s="1" t="s">
        <v>51</v>
      </c>
      <c r="G165">
        <v>0</v>
      </c>
      <c r="H165" s="1" t="s">
        <v>41</v>
      </c>
      <c r="I165" s="1" t="s">
        <v>75</v>
      </c>
      <c r="J165">
        <v>9</v>
      </c>
      <c r="K165">
        <v>27.99</v>
      </c>
      <c r="L165" s="1" t="s">
        <v>28</v>
      </c>
      <c r="M165" s="1" t="s">
        <v>61</v>
      </c>
      <c r="N165" s="1" t="s">
        <v>62</v>
      </c>
      <c r="O165" s="1" t="s">
        <v>31</v>
      </c>
      <c r="P165" s="2">
        <v>45726</v>
      </c>
      <c r="Q165" s="1" t="s">
        <v>216</v>
      </c>
      <c r="R165" s="1" t="s">
        <v>481</v>
      </c>
      <c r="S165" s="1" t="s">
        <v>88</v>
      </c>
      <c r="T165" s="1" t="s">
        <v>35</v>
      </c>
      <c r="U165" s="1" t="s">
        <v>48</v>
      </c>
      <c r="V165" s="1" t="s">
        <v>37</v>
      </c>
      <c r="W165">
        <v>2</v>
      </c>
      <c r="X165" s="1" t="str">
        <f t="shared" si="6"/>
        <v>valentina.perez50@mail.com</v>
      </c>
      <c r="Y165" s="1" t="str">
        <f>INDEX(V:V,MATCH(orders_desnormalizado_prueba3[[#This Row],[acquisition_channel]],U:U,0))</f>
        <v>Bodega Propia CO - envio 2-3 dias</v>
      </c>
      <c r="Z165" s="1" t="str">
        <f>INDEX(T:T,MATCH(orders_desnormalizado_prueba3[[#This Row],[shipping_cost]],W:W,0))</f>
        <v>Colombia</v>
      </c>
      <c r="AA165" s="1" t="str">
        <f t="shared" si="7"/>
        <v>Cartagena</v>
      </c>
      <c r="AB165" s="1"/>
      <c r="AC165" s="1" t="str">
        <f t="shared" si="8"/>
        <v xml:space="preserve"> </v>
      </c>
    </row>
    <row r="166" spans="1:29" x14ac:dyDescent="0.3">
      <c r="A166" s="1" t="s">
        <v>482</v>
      </c>
      <c r="B166">
        <v>3</v>
      </c>
      <c r="C166">
        <v>21.99</v>
      </c>
      <c r="D166">
        <v>52.48</v>
      </c>
      <c r="E166" s="1" t="s">
        <v>457</v>
      </c>
      <c r="F166" s="1" t="s">
        <v>188</v>
      </c>
      <c r="G166">
        <v>0</v>
      </c>
      <c r="H166" s="1" t="s">
        <v>96</v>
      </c>
      <c r="I166" s="1" t="s">
        <v>27</v>
      </c>
      <c r="J166">
        <v>7</v>
      </c>
      <c r="K166">
        <v>21.99</v>
      </c>
      <c r="L166" s="1" t="s">
        <v>28</v>
      </c>
      <c r="M166" s="1" t="s">
        <v>29</v>
      </c>
      <c r="N166" s="1" t="s">
        <v>30</v>
      </c>
      <c r="O166" s="1" t="s">
        <v>31</v>
      </c>
      <c r="P166" s="2">
        <v>45778</v>
      </c>
      <c r="Q166" s="1" t="s">
        <v>219</v>
      </c>
      <c r="R166" s="1" t="s">
        <v>220</v>
      </c>
      <c r="S166" s="1" t="s">
        <v>54</v>
      </c>
      <c r="T166" s="1" t="s">
        <v>35</v>
      </c>
      <c r="U166" s="1" t="s">
        <v>55</v>
      </c>
      <c r="V166" s="1" t="s">
        <v>37</v>
      </c>
      <c r="W166">
        <v>2</v>
      </c>
      <c r="X166" s="1" t="str">
        <f t="shared" si="6"/>
        <v>mateo.castro43@mail.com</v>
      </c>
      <c r="Y166" s="1" t="str">
        <f>INDEX(V:V,MATCH(orders_desnormalizado_prueba3[[#This Row],[acquisition_channel]],U:U,0))</f>
        <v>Bodega Propia CO - envio 2-3 dias</v>
      </c>
      <c r="Z166" s="1" t="str">
        <f>INDEX(T:T,MATCH(orders_desnormalizado_prueba3[[#This Row],[shipping_cost]],W:W,0))</f>
        <v>Colombia</v>
      </c>
      <c r="AA166" s="1" t="str">
        <f t="shared" si="7"/>
        <v>Cartagena</v>
      </c>
      <c r="AB166" s="1"/>
      <c r="AC166" s="1" t="str">
        <f t="shared" si="8"/>
        <v xml:space="preserve"> </v>
      </c>
    </row>
    <row r="167" spans="1:29" x14ac:dyDescent="0.3">
      <c r="A167" s="1" t="s">
        <v>483</v>
      </c>
      <c r="B167">
        <v>1</v>
      </c>
      <c r="C167">
        <v>18.989999999999998</v>
      </c>
      <c r="D167">
        <v>18.989999999999998</v>
      </c>
      <c r="E167" s="1" t="s">
        <v>109</v>
      </c>
      <c r="F167" s="1" t="s">
        <v>40</v>
      </c>
      <c r="G167">
        <v>11</v>
      </c>
      <c r="H167" s="1" t="s">
        <v>41</v>
      </c>
      <c r="I167" s="1" t="s">
        <v>97</v>
      </c>
      <c r="J167">
        <v>6</v>
      </c>
      <c r="K167">
        <v>18.989999999999998</v>
      </c>
      <c r="L167" s="1" t="s">
        <v>60</v>
      </c>
      <c r="M167" s="1" t="s">
        <v>43</v>
      </c>
      <c r="N167" s="1" t="s">
        <v>44</v>
      </c>
      <c r="O167" s="1" t="s">
        <v>31</v>
      </c>
      <c r="P167" s="2">
        <v>45823</v>
      </c>
      <c r="Q167" s="1" t="s">
        <v>216</v>
      </c>
      <c r="R167" s="1" t="s">
        <v>484</v>
      </c>
      <c r="S167" s="1" t="s">
        <v>105</v>
      </c>
      <c r="T167" s="1" t="s">
        <v>35</v>
      </c>
      <c r="U167" s="1" t="s">
        <v>48</v>
      </c>
      <c r="V167" s="1" t="s">
        <v>100</v>
      </c>
      <c r="W167">
        <v>3.2</v>
      </c>
      <c r="X167" s="1" t="str">
        <f t="shared" si="6"/>
        <v>valentina.perez50@mail.com</v>
      </c>
      <c r="Y167" s="1" t="str">
        <f>INDEX(V:V,MATCH(orders_desnormalizado_prueba3[[#This Row],[acquisition_channel]],U:U,0))</f>
        <v>Bodega Propia CO - envio 2-3 dias</v>
      </c>
      <c r="Z167" s="1" t="str">
        <f>INDEX(T:T,MATCH(orders_desnormalizado_prueba3[[#This Row],[shipping_cost]],W:W,0))</f>
        <v>Colombia</v>
      </c>
      <c r="AA167" s="1" t="str">
        <f t="shared" si="7"/>
        <v>Cali</v>
      </c>
      <c r="AB167" s="1"/>
      <c r="AC167" s="1" t="str">
        <f t="shared" si="8"/>
        <v xml:space="preserve"> </v>
      </c>
    </row>
    <row r="168" spans="1:29" x14ac:dyDescent="0.3">
      <c r="A168" s="1" t="s">
        <v>485</v>
      </c>
      <c r="B168">
        <v>1</v>
      </c>
      <c r="C168">
        <v>30.99</v>
      </c>
      <c r="D168">
        <v>30.99</v>
      </c>
      <c r="E168" s="1" t="s">
        <v>136</v>
      </c>
      <c r="F168" s="1" t="s">
        <v>40</v>
      </c>
      <c r="G168">
        <v>3</v>
      </c>
      <c r="H168" s="1" t="s">
        <v>41</v>
      </c>
      <c r="I168" s="1" t="s">
        <v>42</v>
      </c>
      <c r="J168">
        <v>10.5</v>
      </c>
      <c r="K168">
        <v>30.99</v>
      </c>
      <c r="L168" s="1" t="s">
        <v>28</v>
      </c>
      <c r="M168" s="1" t="s">
        <v>43</v>
      </c>
      <c r="N168" s="1" t="s">
        <v>44</v>
      </c>
      <c r="O168" s="1" t="s">
        <v>31</v>
      </c>
      <c r="P168" s="2">
        <v>45823</v>
      </c>
      <c r="Q168" s="1" t="s">
        <v>376</v>
      </c>
      <c r="R168" s="1" t="s">
        <v>377</v>
      </c>
      <c r="S168" s="1" t="s">
        <v>65</v>
      </c>
      <c r="T168" s="1" t="s">
        <v>35</v>
      </c>
      <c r="U168" s="1" t="s">
        <v>66</v>
      </c>
      <c r="V168" s="1" t="s">
        <v>37</v>
      </c>
      <c r="W168">
        <v>2</v>
      </c>
      <c r="X168" s="1" t="str">
        <f t="shared" si="6"/>
        <v>santiago.perez173@mail.com</v>
      </c>
      <c r="Y168" s="1" t="str">
        <f>INDEX(V:V,MATCH(orders_desnormalizado_prueba3[[#This Row],[acquisition_channel]],U:U,0))</f>
        <v>AliDropship CN - envio 15-20 dias</v>
      </c>
      <c r="Z168" s="1" t="str">
        <f>INDEX(T:T,MATCH(orders_desnormalizado_prueba3[[#This Row],[shipping_cost]],W:W,0))</f>
        <v>Colombia</v>
      </c>
      <c r="AA168" s="1" t="str">
        <f t="shared" si="7"/>
        <v>Barranquilla</v>
      </c>
      <c r="AB168" s="1"/>
      <c r="AC168" s="1" t="str">
        <f t="shared" si="8"/>
        <v xml:space="preserve"> </v>
      </c>
    </row>
    <row r="169" spans="1:29" x14ac:dyDescent="0.3">
      <c r="A169" s="1" t="s">
        <v>486</v>
      </c>
      <c r="B169">
        <v>3</v>
      </c>
      <c r="C169">
        <v>16.989999999999998</v>
      </c>
      <c r="D169">
        <v>40.18</v>
      </c>
      <c r="E169" s="1" t="s">
        <v>348</v>
      </c>
      <c r="F169" s="1" t="s">
        <v>188</v>
      </c>
      <c r="G169">
        <v>0</v>
      </c>
      <c r="H169" s="1" t="s">
        <v>58</v>
      </c>
      <c r="I169" s="1" t="s">
        <v>59</v>
      </c>
      <c r="J169">
        <v>5</v>
      </c>
      <c r="K169">
        <v>16.989999999999998</v>
      </c>
      <c r="L169" s="1" t="s">
        <v>60</v>
      </c>
      <c r="M169" s="1" t="s">
        <v>61</v>
      </c>
      <c r="N169" s="1" t="s">
        <v>62</v>
      </c>
      <c r="O169" s="1" t="s">
        <v>31</v>
      </c>
      <c r="P169" s="2">
        <v>45726</v>
      </c>
      <c r="Q169" s="1" t="s">
        <v>487</v>
      </c>
      <c r="R169" s="1" t="s">
        <v>488</v>
      </c>
      <c r="S169" s="1" t="s">
        <v>88</v>
      </c>
      <c r="T169" s="1" t="s">
        <v>35</v>
      </c>
      <c r="U169" s="1" t="s">
        <v>66</v>
      </c>
      <c r="V169" s="1" t="s">
        <v>67</v>
      </c>
      <c r="W169">
        <v>3</v>
      </c>
      <c r="X169" s="1" t="str">
        <f t="shared" si="6"/>
        <v>andres.sanchez46@mail.com</v>
      </c>
      <c r="Y169" s="1" t="str">
        <f>INDEX(V:V,MATCH(orders_desnormalizado_prueba3[[#This Row],[acquisition_channel]],U:U,0))</f>
        <v>AliDropship CN - envio 15-20 dias</v>
      </c>
      <c r="Z169" s="1" t="str">
        <f>INDEX(T:T,MATCH(orders_desnormalizado_prueba3[[#This Row],[shipping_cost]],W:W,0))</f>
        <v>Colombia</v>
      </c>
      <c r="AA169" s="1" t="str">
        <f t="shared" si="7"/>
        <v>Cartagena</v>
      </c>
      <c r="AB169" s="1"/>
      <c r="AC169" s="1" t="str">
        <f t="shared" si="8"/>
        <v xml:space="preserve"> </v>
      </c>
    </row>
    <row r="170" spans="1:29" x14ac:dyDescent="0.3">
      <c r="A170" s="1" t="s">
        <v>489</v>
      </c>
      <c r="B170">
        <v>1</v>
      </c>
      <c r="C170">
        <v>16.989999999999998</v>
      </c>
      <c r="D170">
        <v>16.989999999999998</v>
      </c>
      <c r="E170" s="1" t="s">
        <v>222</v>
      </c>
      <c r="F170" s="1" t="s">
        <v>40</v>
      </c>
      <c r="G170">
        <v>18</v>
      </c>
      <c r="H170" s="1" t="s">
        <v>41</v>
      </c>
      <c r="I170" s="1" t="s">
        <v>59</v>
      </c>
      <c r="J170">
        <v>5</v>
      </c>
      <c r="K170">
        <v>16.989999999999998</v>
      </c>
      <c r="L170" s="1" t="s">
        <v>60</v>
      </c>
      <c r="M170" s="1" t="s">
        <v>61</v>
      </c>
      <c r="N170" s="1" t="s">
        <v>62</v>
      </c>
      <c r="O170" s="1" t="s">
        <v>31</v>
      </c>
      <c r="P170" s="2">
        <v>45726</v>
      </c>
      <c r="Q170" s="1" t="s">
        <v>256</v>
      </c>
      <c r="R170" s="1" t="s">
        <v>257</v>
      </c>
      <c r="S170" s="1" t="s">
        <v>105</v>
      </c>
      <c r="T170" s="1" t="s">
        <v>35</v>
      </c>
      <c r="U170" s="1" t="s">
        <v>48</v>
      </c>
      <c r="V170" s="1" t="s">
        <v>67</v>
      </c>
      <c r="W170">
        <v>3</v>
      </c>
      <c r="X170" s="1" t="str">
        <f t="shared" si="6"/>
        <v>daniela.ramirez70@mail.com</v>
      </c>
      <c r="Y170" s="1" t="str">
        <f>INDEX(V:V,MATCH(orders_desnormalizado_prueba3[[#This Row],[acquisition_channel]],U:U,0))</f>
        <v>Bodega Propia CO - envio 2-3 dias</v>
      </c>
      <c r="Z170" s="1" t="str">
        <f>INDEX(T:T,MATCH(orders_desnormalizado_prueba3[[#This Row],[shipping_cost]],W:W,0))</f>
        <v>Colombia</v>
      </c>
      <c r="AA170" s="1" t="str">
        <f t="shared" si="7"/>
        <v>Medellin</v>
      </c>
      <c r="AB170" s="1"/>
      <c r="AC170" s="1" t="str">
        <f t="shared" si="8"/>
        <v xml:space="preserve"> </v>
      </c>
    </row>
    <row r="171" spans="1:29" x14ac:dyDescent="0.3">
      <c r="A171" s="1" t="s">
        <v>490</v>
      </c>
      <c r="B171">
        <v>1</v>
      </c>
      <c r="C171">
        <v>34.99</v>
      </c>
      <c r="D171">
        <v>34.99</v>
      </c>
      <c r="E171" s="1" t="s">
        <v>160</v>
      </c>
      <c r="F171" s="1" t="s">
        <v>40</v>
      </c>
      <c r="G171">
        <v>8</v>
      </c>
      <c r="H171" s="1" t="s">
        <v>41</v>
      </c>
      <c r="I171" s="1" t="s">
        <v>85</v>
      </c>
      <c r="J171">
        <v>12.5</v>
      </c>
      <c r="K171">
        <v>34.99</v>
      </c>
      <c r="L171" s="1" t="s">
        <v>60</v>
      </c>
      <c r="M171" s="1" t="s">
        <v>29</v>
      </c>
      <c r="N171" s="1" t="s">
        <v>30</v>
      </c>
      <c r="O171" s="1" t="s">
        <v>31</v>
      </c>
      <c r="P171" s="2">
        <v>45778</v>
      </c>
      <c r="Q171" s="1" t="s">
        <v>283</v>
      </c>
      <c r="R171" s="1" t="s">
        <v>491</v>
      </c>
      <c r="S171" s="1" t="s">
        <v>54</v>
      </c>
      <c r="T171" s="1" t="s">
        <v>35</v>
      </c>
      <c r="U171" s="1" t="s">
        <v>55</v>
      </c>
      <c r="V171" s="1" t="s">
        <v>89</v>
      </c>
      <c r="W171">
        <v>2.4</v>
      </c>
      <c r="X171" s="1" t="str">
        <f t="shared" si="6"/>
        <v>mateo.sanchez11@mail.com</v>
      </c>
      <c r="Y171" s="1" t="str">
        <f>INDEX(V:V,MATCH(orders_desnormalizado_prueba3[[#This Row],[acquisition_channel]],U:U,0))</f>
        <v>Bodega Propia CO - envio 2-3 dias</v>
      </c>
      <c r="Z171" s="1" t="str">
        <f>INDEX(T:T,MATCH(orders_desnormalizado_prueba3[[#This Row],[shipping_cost]],W:W,0))</f>
        <v>Colombia</v>
      </c>
      <c r="AA171" s="1" t="str">
        <f t="shared" si="7"/>
        <v>Barranquilla</v>
      </c>
      <c r="AB171" s="1"/>
      <c r="AC171" s="1" t="str">
        <f t="shared" si="8"/>
        <v xml:space="preserve"> </v>
      </c>
    </row>
    <row r="172" spans="1:29" x14ac:dyDescent="0.3">
      <c r="A172" s="1" t="s">
        <v>492</v>
      </c>
      <c r="B172">
        <v>1</v>
      </c>
      <c r="C172">
        <v>34.99</v>
      </c>
      <c r="D172">
        <v>34.99</v>
      </c>
      <c r="E172" s="1" t="s">
        <v>493</v>
      </c>
      <c r="F172" s="1" t="s">
        <v>25</v>
      </c>
      <c r="G172">
        <v>8</v>
      </c>
      <c r="H172" s="1" t="s">
        <v>41</v>
      </c>
      <c r="I172" s="1" t="s">
        <v>85</v>
      </c>
      <c r="J172">
        <v>12.5</v>
      </c>
      <c r="K172">
        <v>34.99</v>
      </c>
      <c r="L172" s="1" t="s">
        <v>60</v>
      </c>
      <c r="M172" s="1" t="s">
        <v>29</v>
      </c>
      <c r="N172" s="1" t="s">
        <v>30</v>
      </c>
      <c r="O172" s="1" t="s">
        <v>31</v>
      </c>
      <c r="P172" s="2">
        <v>45778</v>
      </c>
      <c r="Q172" s="1" t="s">
        <v>437</v>
      </c>
      <c r="R172" s="1" t="s">
        <v>438</v>
      </c>
      <c r="S172" s="1" t="s">
        <v>88</v>
      </c>
      <c r="T172" s="1" t="s">
        <v>35</v>
      </c>
      <c r="U172" s="1" t="s">
        <v>36</v>
      </c>
      <c r="V172" s="1" t="s">
        <v>89</v>
      </c>
      <c r="W172">
        <v>2.4</v>
      </c>
      <c r="X172" s="1" t="str">
        <f t="shared" si="6"/>
        <v>valentina.castro119@mail.com</v>
      </c>
      <c r="Y172" s="1" t="str">
        <f>INDEX(V:V,MATCH(orders_desnormalizado_prueba3[[#This Row],[acquisition_channel]],U:U,0))</f>
        <v>Bodega Propia CO - envio 2-3 dias</v>
      </c>
      <c r="Z172" s="1" t="str">
        <f>INDEX(T:T,MATCH(orders_desnormalizado_prueba3[[#This Row],[shipping_cost]],W:W,0))</f>
        <v>Colombia</v>
      </c>
      <c r="AA172" s="1" t="str">
        <f t="shared" si="7"/>
        <v>Barranquilla</v>
      </c>
      <c r="AB172" s="1"/>
      <c r="AC172" s="1" t="str">
        <f t="shared" si="8"/>
        <v xml:space="preserve"> </v>
      </c>
    </row>
    <row r="173" spans="1:29" x14ac:dyDescent="0.3">
      <c r="A173" s="1" t="s">
        <v>494</v>
      </c>
      <c r="B173">
        <v>3</v>
      </c>
      <c r="C173">
        <v>30.99</v>
      </c>
      <c r="D173">
        <v>74.53</v>
      </c>
      <c r="E173" s="1" t="s">
        <v>84</v>
      </c>
      <c r="F173" s="1" t="s">
        <v>25</v>
      </c>
      <c r="G173">
        <v>3</v>
      </c>
      <c r="H173" s="1" t="s">
        <v>26</v>
      </c>
      <c r="I173" s="1" t="s">
        <v>42</v>
      </c>
      <c r="J173">
        <v>10.5</v>
      </c>
      <c r="K173">
        <v>30.99</v>
      </c>
      <c r="L173" s="1" t="s">
        <v>28</v>
      </c>
      <c r="M173" s="1" t="s">
        <v>43</v>
      </c>
      <c r="N173" s="1" t="s">
        <v>44</v>
      </c>
      <c r="O173" s="1" t="s">
        <v>31</v>
      </c>
      <c r="P173" s="2">
        <v>45823</v>
      </c>
      <c r="Q173" s="1" t="s">
        <v>322</v>
      </c>
      <c r="R173" s="1" t="s">
        <v>323</v>
      </c>
      <c r="S173" s="1" t="s">
        <v>88</v>
      </c>
      <c r="T173" s="1" t="s">
        <v>35</v>
      </c>
      <c r="U173" s="1" t="s">
        <v>55</v>
      </c>
      <c r="V173" s="1" t="s">
        <v>37</v>
      </c>
      <c r="W173">
        <v>2</v>
      </c>
      <c r="X173" s="1" t="str">
        <f t="shared" si="6"/>
        <v>alejandro.torres89@mail.com</v>
      </c>
      <c r="Y173" s="1" t="str">
        <f>INDEX(V:V,MATCH(orders_desnormalizado_prueba3[[#This Row],[acquisition_channel]],U:U,0))</f>
        <v>Bodega Propia CO - envio 2-3 dias</v>
      </c>
      <c r="Z173" s="1" t="str">
        <f>INDEX(T:T,MATCH(orders_desnormalizado_prueba3[[#This Row],[shipping_cost]],W:W,0))</f>
        <v>Colombia</v>
      </c>
      <c r="AA173" s="1" t="str">
        <f t="shared" si="7"/>
        <v>Barranquilla</v>
      </c>
      <c r="AB173" s="1"/>
      <c r="AC173" s="1" t="str">
        <f t="shared" si="8"/>
        <v xml:space="preserve"> </v>
      </c>
    </row>
    <row r="174" spans="1:29" x14ac:dyDescent="0.3">
      <c r="A174" s="1" t="s">
        <v>495</v>
      </c>
      <c r="B174">
        <v>1</v>
      </c>
      <c r="C174">
        <v>18.989999999999998</v>
      </c>
      <c r="D174">
        <v>18.989999999999998</v>
      </c>
      <c r="E174" s="1" t="s">
        <v>449</v>
      </c>
      <c r="F174" s="1" t="s">
        <v>40</v>
      </c>
      <c r="G174">
        <v>13</v>
      </c>
      <c r="H174" s="1" t="s">
        <v>58</v>
      </c>
      <c r="I174" s="1" t="s">
        <v>97</v>
      </c>
      <c r="J174">
        <v>6</v>
      </c>
      <c r="K174">
        <v>18.989999999999998</v>
      </c>
      <c r="L174" s="1" t="s">
        <v>60</v>
      </c>
      <c r="M174" s="1" t="s">
        <v>43</v>
      </c>
      <c r="N174" s="1" t="s">
        <v>44</v>
      </c>
      <c r="O174" s="1" t="s">
        <v>31</v>
      </c>
      <c r="P174" s="2">
        <v>45823</v>
      </c>
      <c r="Q174" s="1" t="s">
        <v>496</v>
      </c>
      <c r="R174" s="1" t="s">
        <v>497</v>
      </c>
      <c r="S174" s="1" t="s">
        <v>105</v>
      </c>
      <c r="T174" s="1" t="s">
        <v>35</v>
      </c>
      <c r="U174" s="1" t="s">
        <v>36</v>
      </c>
      <c r="V174" s="1" t="s">
        <v>100</v>
      </c>
      <c r="W174">
        <v>3.2</v>
      </c>
      <c r="X174" s="1" t="str">
        <f t="shared" si="6"/>
        <v>diego.vargas37@mail.com</v>
      </c>
      <c r="Y174" s="1" t="str">
        <f>INDEX(V:V,MATCH(orders_desnormalizado_prueba3[[#This Row],[acquisition_channel]],U:U,0))</f>
        <v>Bodega Propia CO - envio 2-3 dias</v>
      </c>
      <c r="Z174" s="1" t="str">
        <f>INDEX(T:T,MATCH(orders_desnormalizado_prueba3[[#This Row],[shipping_cost]],W:W,0))</f>
        <v>Colombia</v>
      </c>
      <c r="AA174" s="1" t="str">
        <f t="shared" si="7"/>
        <v>Barranquilla</v>
      </c>
      <c r="AB174" s="1"/>
      <c r="AC174" s="1" t="str">
        <f t="shared" si="8"/>
        <v xml:space="preserve"> </v>
      </c>
    </row>
    <row r="175" spans="1:29" x14ac:dyDescent="0.3">
      <c r="A175" s="1" t="s">
        <v>498</v>
      </c>
      <c r="B175">
        <v>2</v>
      </c>
      <c r="C175">
        <v>18.989999999999998</v>
      </c>
      <c r="D175">
        <v>32.78</v>
      </c>
      <c r="E175" s="1" t="s">
        <v>419</v>
      </c>
      <c r="F175" s="1" t="s">
        <v>40</v>
      </c>
      <c r="G175">
        <v>15</v>
      </c>
      <c r="H175" s="1" t="s">
        <v>41</v>
      </c>
      <c r="I175" s="1" t="s">
        <v>97</v>
      </c>
      <c r="J175">
        <v>6</v>
      </c>
      <c r="K175">
        <v>18.989999999999998</v>
      </c>
      <c r="L175" s="1" t="s">
        <v>60</v>
      </c>
      <c r="M175" s="1" t="s">
        <v>43</v>
      </c>
      <c r="N175" s="1" t="s">
        <v>44</v>
      </c>
      <c r="O175" s="1" t="s">
        <v>31</v>
      </c>
      <c r="P175" s="2">
        <v>45823</v>
      </c>
      <c r="Q175" s="1" t="s">
        <v>298</v>
      </c>
      <c r="R175" s="1" t="s">
        <v>299</v>
      </c>
      <c r="S175" s="1" t="s">
        <v>65</v>
      </c>
      <c r="T175" s="1" t="s">
        <v>35</v>
      </c>
      <c r="U175" s="1" t="s">
        <v>82</v>
      </c>
      <c r="V175" s="1" t="s">
        <v>100</v>
      </c>
      <c r="W175">
        <v>3.2</v>
      </c>
      <c r="X175" s="1" t="str">
        <f t="shared" si="6"/>
        <v>sofia.torres35@mail.com</v>
      </c>
      <c r="Y175" s="1" t="str">
        <f>INDEX(V:V,MATCH(orders_desnormalizado_prueba3[[#This Row],[acquisition_channel]],U:U,0))</f>
        <v>Bodega Propia CO - envio 2-3 dias</v>
      </c>
      <c r="Z175" s="1" t="str">
        <f>INDEX(T:T,MATCH(orders_desnormalizado_prueba3[[#This Row],[shipping_cost]],W:W,0))</f>
        <v>Colombia</v>
      </c>
      <c r="AA175" s="1" t="str">
        <f t="shared" si="7"/>
        <v>Barranquilla</v>
      </c>
      <c r="AB175" s="1"/>
      <c r="AC175" s="1" t="str">
        <f t="shared" si="8"/>
        <v xml:space="preserve"> </v>
      </c>
    </row>
    <row r="176" spans="1:29" x14ac:dyDescent="0.3">
      <c r="A176" s="1" t="s">
        <v>499</v>
      </c>
      <c r="B176">
        <v>1</v>
      </c>
      <c r="C176">
        <v>18.989999999999998</v>
      </c>
      <c r="D176">
        <v>18.989999999999998</v>
      </c>
      <c r="E176" s="1" t="s">
        <v>146</v>
      </c>
      <c r="F176" s="1" t="s">
        <v>40</v>
      </c>
      <c r="G176">
        <v>11</v>
      </c>
      <c r="H176" s="1" t="s">
        <v>41</v>
      </c>
      <c r="I176" s="1" t="s">
        <v>97</v>
      </c>
      <c r="J176">
        <v>6</v>
      </c>
      <c r="K176">
        <v>18.989999999999998</v>
      </c>
      <c r="L176" s="1" t="s">
        <v>60</v>
      </c>
      <c r="M176" s="1" t="s">
        <v>43</v>
      </c>
      <c r="N176" s="1" t="s">
        <v>44</v>
      </c>
      <c r="O176" s="1" t="s">
        <v>31</v>
      </c>
      <c r="P176" s="2">
        <v>45823</v>
      </c>
      <c r="Q176" s="1" t="s">
        <v>161</v>
      </c>
      <c r="R176" s="1" t="s">
        <v>500</v>
      </c>
      <c r="S176" s="1" t="s">
        <v>65</v>
      </c>
      <c r="T176" s="1" t="s">
        <v>35</v>
      </c>
      <c r="U176" s="1" t="s">
        <v>55</v>
      </c>
      <c r="V176" s="1" t="s">
        <v>100</v>
      </c>
      <c r="W176">
        <v>3.2</v>
      </c>
      <c r="X176" s="1" t="str">
        <f t="shared" si="6"/>
        <v>miguel.vargas74@mail.com</v>
      </c>
      <c r="Y176" s="1" t="str">
        <f>INDEX(V:V,MATCH(orders_desnormalizado_prueba3[[#This Row],[acquisition_channel]],U:U,0))</f>
        <v>Bodega Propia CO - envio 2-3 dias</v>
      </c>
      <c r="Z176" s="1" t="str">
        <f>INDEX(T:T,MATCH(orders_desnormalizado_prueba3[[#This Row],[shipping_cost]],W:W,0))</f>
        <v>Colombia</v>
      </c>
      <c r="AA176" s="1" t="str">
        <f t="shared" si="7"/>
        <v>Cali</v>
      </c>
      <c r="AB176" s="1"/>
      <c r="AC176" s="1" t="str">
        <f t="shared" si="8"/>
        <v xml:space="preserve"> </v>
      </c>
    </row>
    <row r="177" spans="1:29" x14ac:dyDescent="0.3">
      <c r="A177" s="1" t="s">
        <v>501</v>
      </c>
      <c r="B177">
        <v>3</v>
      </c>
      <c r="C177">
        <v>18.989999999999998</v>
      </c>
      <c r="D177">
        <v>45.28</v>
      </c>
      <c r="E177" s="1" t="s">
        <v>293</v>
      </c>
      <c r="F177" s="1" t="s">
        <v>25</v>
      </c>
      <c r="G177">
        <v>12</v>
      </c>
      <c r="H177" s="1" t="s">
        <v>26</v>
      </c>
      <c r="I177" s="1" t="s">
        <v>97</v>
      </c>
      <c r="J177">
        <v>6</v>
      </c>
      <c r="K177">
        <v>18.989999999999998</v>
      </c>
      <c r="L177" s="1" t="s">
        <v>60</v>
      </c>
      <c r="M177" s="1" t="s">
        <v>43</v>
      </c>
      <c r="N177" s="1" t="s">
        <v>44</v>
      </c>
      <c r="O177" s="1" t="s">
        <v>31</v>
      </c>
      <c r="P177" s="2">
        <v>45823</v>
      </c>
      <c r="Q177" s="1" t="s">
        <v>355</v>
      </c>
      <c r="R177" s="1" t="s">
        <v>502</v>
      </c>
      <c r="S177" s="1" t="s">
        <v>65</v>
      </c>
      <c r="T177" s="1" t="s">
        <v>35</v>
      </c>
      <c r="U177" s="1" t="s">
        <v>82</v>
      </c>
      <c r="V177" s="1" t="s">
        <v>100</v>
      </c>
      <c r="W177">
        <v>3.2</v>
      </c>
      <c r="X177" s="1" t="str">
        <f t="shared" si="6"/>
        <v>sofia.perez139@mail.com</v>
      </c>
      <c r="Y177" s="1" t="str">
        <f>INDEX(V:V,MATCH(orders_desnormalizado_prueba3[[#This Row],[acquisition_channel]],U:U,0))</f>
        <v>Bodega Propia CO - envio 2-3 dias</v>
      </c>
      <c r="Z177" s="1" t="str">
        <f>INDEX(T:T,MATCH(orders_desnormalizado_prueba3[[#This Row],[shipping_cost]],W:W,0))</f>
        <v>Colombia</v>
      </c>
      <c r="AA177" s="1" t="str">
        <f t="shared" si="7"/>
        <v>Cartagena</v>
      </c>
      <c r="AB177" s="1"/>
      <c r="AC177" s="1" t="str">
        <f t="shared" si="8"/>
        <v xml:space="preserve"> </v>
      </c>
    </row>
    <row r="178" spans="1:29" x14ac:dyDescent="0.3">
      <c r="A178" s="1" t="s">
        <v>503</v>
      </c>
      <c r="B178">
        <v>3</v>
      </c>
      <c r="C178">
        <v>27.99</v>
      </c>
      <c r="D178">
        <v>66.88</v>
      </c>
      <c r="E178" s="1" t="s">
        <v>146</v>
      </c>
      <c r="F178" s="1" t="s">
        <v>40</v>
      </c>
      <c r="G178">
        <v>3</v>
      </c>
      <c r="H178" s="1" t="s">
        <v>96</v>
      </c>
      <c r="I178" s="1" t="s">
        <v>75</v>
      </c>
      <c r="J178">
        <v>9</v>
      </c>
      <c r="K178">
        <v>27.99</v>
      </c>
      <c r="L178" s="1" t="s">
        <v>28</v>
      </c>
      <c r="M178" s="1" t="s">
        <v>61</v>
      </c>
      <c r="N178" s="1" t="s">
        <v>62</v>
      </c>
      <c r="O178" s="1" t="s">
        <v>31</v>
      </c>
      <c r="P178" s="2">
        <v>45726</v>
      </c>
      <c r="Q178" s="1" t="s">
        <v>283</v>
      </c>
      <c r="R178" s="1" t="s">
        <v>284</v>
      </c>
      <c r="S178" s="1" t="s">
        <v>105</v>
      </c>
      <c r="T178" s="1" t="s">
        <v>35</v>
      </c>
      <c r="U178" s="1" t="s">
        <v>55</v>
      </c>
      <c r="V178" s="1" t="s">
        <v>37</v>
      </c>
      <c r="W178">
        <v>2</v>
      </c>
      <c r="X178" s="1" t="str">
        <f t="shared" si="6"/>
        <v>mateo.sanchez11@mail.com</v>
      </c>
      <c r="Y178" s="1" t="str">
        <f>INDEX(V:V,MATCH(orders_desnormalizado_prueba3[[#This Row],[acquisition_channel]],U:U,0))</f>
        <v>Bodega Propia CO - envio 2-3 dias</v>
      </c>
      <c r="Z178" s="1" t="str">
        <f>INDEX(T:T,MATCH(orders_desnormalizado_prueba3[[#This Row],[shipping_cost]],W:W,0))</f>
        <v>Colombia</v>
      </c>
      <c r="AA178" s="1" t="str">
        <f t="shared" si="7"/>
        <v>Barranquilla</v>
      </c>
      <c r="AB178" s="1"/>
      <c r="AC178" s="1" t="str">
        <f t="shared" si="8"/>
        <v xml:space="preserve"> </v>
      </c>
    </row>
    <row r="179" spans="1:29" x14ac:dyDescent="0.3">
      <c r="A179" s="1" t="s">
        <v>504</v>
      </c>
      <c r="B179">
        <v>1</v>
      </c>
      <c r="C179">
        <v>18.989999999999998</v>
      </c>
      <c r="D179">
        <v>18.989999999999998</v>
      </c>
      <c r="E179" s="1" t="s">
        <v>348</v>
      </c>
      <c r="F179" s="1" t="s">
        <v>40</v>
      </c>
      <c r="G179">
        <v>11</v>
      </c>
      <c r="H179" s="1" t="s">
        <v>96</v>
      </c>
      <c r="I179" s="1" t="s">
        <v>97</v>
      </c>
      <c r="J179">
        <v>6</v>
      </c>
      <c r="K179">
        <v>18.989999999999998</v>
      </c>
      <c r="L179" s="1" t="s">
        <v>60</v>
      </c>
      <c r="M179" s="1" t="s">
        <v>43</v>
      </c>
      <c r="N179" s="1" t="s">
        <v>44</v>
      </c>
      <c r="O179" s="1" t="s">
        <v>31</v>
      </c>
      <c r="P179" s="2">
        <v>45823</v>
      </c>
      <c r="Q179" s="1" t="s">
        <v>302</v>
      </c>
      <c r="R179" s="1" t="s">
        <v>303</v>
      </c>
      <c r="S179" s="1" t="s">
        <v>105</v>
      </c>
      <c r="T179" s="1" t="s">
        <v>35</v>
      </c>
      <c r="U179" s="1" t="s">
        <v>55</v>
      </c>
      <c r="V179" s="1" t="s">
        <v>100</v>
      </c>
      <c r="W179">
        <v>3.2</v>
      </c>
      <c r="X179" s="1" t="str">
        <f t="shared" si="6"/>
        <v>juan.martinez143@mail.com</v>
      </c>
      <c r="Y179" s="1" t="str">
        <f>INDEX(V:V,MATCH(orders_desnormalizado_prueba3[[#This Row],[acquisition_channel]],U:U,0))</f>
        <v>Bodega Propia CO - envio 2-3 dias</v>
      </c>
      <c r="Z179" s="1" t="str">
        <f>INDEX(T:T,MATCH(orders_desnormalizado_prueba3[[#This Row],[shipping_cost]],W:W,0))</f>
        <v>Colombia</v>
      </c>
      <c r="AA179" s="1" t="str">
        <f t="shared" si="7"/>
        <v>Cali</v>
      </c>
      <c r="AB179" s="1"/>
      <c r="AC179" s="1" t="str">
        <f t="shared" si="8"/>
        <v xml:space="preserve"> </v>
      </c>
    </row>
    <row r="180" spans="1:29" x14ac:dyDescent="0.3">
      <c r="A180" s="1" t="s">
        <v>505</v>
      </c>
      <c r="B180">
        <v>2</v>
      </c>
      <c r="C180">
        <v>30.99</v>
      </c>
      <c r="D180">
        <v>53.78</v>
      </c>
      <c r="E180" s="1" t="s">
        <v>192</v>
      </c>
      <c r="F180" s="1" t="s">
        <v>51</v>
      </c>
      <c r="G180">
        <v>0</v>
      </c>
      <c r="H180" s="1" t="s">
        <v>96</v>
      </c>
      <c r="I180" s="1" t="s">
        <v>42</v>
      </c>
      <c r="J180">
        <v>10.5</v>
      </c>
      <c r="K180">
        <v>30.99</v>
      </c>
      <c r="L180" s="1" t="s">
        <v>28</v>
      </c>
      <c r="M180" s="1" t="s">
        <v>43</v>
      </c>
      <c r="N180" s="1" t="s">
        <v>44</v>
      </c>
      <c r="O180" s="1" t="s">
        <v>31</v>
      </c>
      <c r="P180" s="2">
        <v>45823</v>
      </c>
      <c r="Q180" s="1" t="s">
        <v>157</v>
      </c>
      <c r="R180" s="1" t="s">
        <v>158</v>
      </c>
      <c r="S180" s="1" t="s">
        <v>34</v>
      </c>
      <c r="T180" s="1" t="s">
        <v>35</v>
      </c>
      <c r="U180" s="1" t="s">
        <v>82</v>
      </c>
      <c r="V180" s="1" t="s">
        <v>37</v>
      </c>
      <c r="W180">
        <v>2</v>
      </c>
      <c r="X180" s="1" t="str">
        <f t="shared" si="6"/>
        <v>natalia.diaz96@mail.com</v>
      </c>
      <c r="Y180" s="1" t="str">
        <f>INDEX(V:V,MATCH(orders_desnormalizado_prueba3[[#This Row],[acquisition_channel]],U:U,0))</f>
        <v>Bodega Propia CO - envio 2-3 dias</v>
      </c>
      <c r="Z180" s="1" t="str">
        <f>INDEX(T:T,MATCH(orders_desnormalizado_prueba3[[#This Row],[shipping_cost]],W:W,0))</f>
        <v>Colombia</v>
      </c>
      <c r="AA180" s="1" t="str">
        <f t="shared" si="7"/>
        <v>Cartagena</v>
      </c>
      <c r="AB180" s="1"/>
      <c r="AC180" s="1" t="str">
        <f t="shared" si="8"/>
        <v xml:space="preserve"> </v>
      </c>
    </row>
    <row r="181" spans="1:29" x14ac:dyDescent="0.3">
      <c r="A181" s="1" t="s">
        <v>506</v>
      </c>
      <c r="B181">
        <v>3</v>
      </c>
      <c r="C181">
        <v>16.989999999999998</v>
      </c>
      <c r="D181">
        <v>40.18</v>
      </c>
      <c r="E181" s="1" t="s">
        <v>222</v>
      </c>
      <c r="F181" s="1" t="s">
        <v>40</v>
      </c>
      <c r="G181">
        <v>18</v>
      </c>
      <c r="H181" s="1" t="s">
        <v>58</v>
      </c>
      <c r="I181" s="1" t="s">
        <v>59</v>
      </c>
      <c r="J181">
        <v>5</v>
      </c>
      <c r="K181">
        <v>16.989999999999998</v>
      </c>
      <c r="L181" s="1" t="s">
        <v>60</v>
      </c>
      <c r="M181" s="1" t="s">
        <v>61</v>
      </c>
      <c r="N181" s="1" t="s">
        <v>62</v>
      </c>
      <c r="O181" s="1" t="s">
        <v>31</v>
      </c>
      <c r="P181" s="2">
        <v>45726</v>
      </c>
      <c r="Q181" s="1" t="s">
        <v>238</v>
      </c>
      <c r="R181" s="1" t="s">
        <v>239</v>
      </c>
      <c r="S181" s="1" t="s">
        <v>65</v>
      </c>
      <c r="T181" s="1" t="s">
        <v>35</v>
      </c>
      <c r="U181" s="1" t="s">
        <v>66</v>
      </c>
      <c r="V181" s="1" t="s">
        <v>67</v>
      </c>
      <c r="W181">
        <v>3</v>
      </c>
      <c r="X181" s="1" t="str">
        <f t="shared" si="6"/>
        <v>juan.vargas13@mail.com</v>
      </c>
      <c r="Y181" s="1" t="str">
        <f>INDEX(V:V,MATCH(orders_desnormalizado_prueba3[[#This Row],[acquisition_channel]],U:U,0))</f>
        <v>AliDropship CN - envio 15-20 dias</v>
      </c>
      <c r="Z181" s="1" t="str">
        <f>INDEX(T:T,MATCH(orders_desnormalizado_prueba3[[#This Row],[shipping_cost]],W:W,0))</f>
        <v>Colombia</v>
      </c>
      <c r="AA181" s="1" t="str">
        <f t="shared" si="7"/>
        <v>Medellin</v>
      </c>
      <c r="AB181" s="1"/>
      <c r="AC181" s="1" t="str">
        <f t="shared" si="8"/>
        <v xml:space="preserve"> </v>
      </c>
    </row>
    <row r="182" spans="1:29" x14ac:dyDescent="0.3">
      <c r="A182" s="1" t="s">
        <v>507</v>
      </c>
      <c r="B182">
        <v>2</v>
      </c>
      <c r="C182">
        <v>21.99</v>
      </c>
      <c r="D182">
        <v>37.979999999999997</v>
      </c>
      <c r="E182" s="1" t="s">
        <v>121</v>
      </c>
      <c r="F182" s="1" t="s">
        <v>40</v>
      </c>
      <c r="G182">
        <v>2</v>
      </c>
      <c r="H182" s="1" t="s">
        <v>26</v>
      </c>
      <c r="I182" s="1" t="s">
        <v>27</v>
      </c>
      <c r="J182">
        <v>7</v>
      </c>
      <c r="K182">
        <v>21.99</v>
      </c>
      <c r="L182" s="1" t="s">
        <v>28</v>
      </c>
      <c r="M182" s="1" t="s">
        <v>29</v>
      </c>
      <c r="N182" s="1" t="s">
        <v>30</v>
      </c>
      <c r="O182" s="1" t="s">
        <v>31</v>
      </c>
      <c r="P182" s="2">
        <v>45778</v>
      </c>
      <c r="Q182" s="1" t="s">
        <v>406</v>
      </c>
      <c r="R182" s="1" t="s">
        <v>508</v>
      </c>
      <c r="S182" s="1" t="s">
        <v>411</v>
      </c>
      <c r="T182" s="1" t="s">
        <v>35</v>
      </c>
      <c r="U182" s="1" t="s">
        <v>48</v>
      </c>
      <c r="V182" s="1" t="s">
        <v>37</v>
      </c>
      <c r="W182">
        <v>2</v>
      </c>
      <c r="X182" s="1" t="str">
        <f t="shared" si="6"/>
        <v>gabriela.sanchez126@mail.com</v>
      </c>
      <c r="Y182" s="1" t="str">
        <f>INDEX(V:V,MATCH(orders_desnormalizado_prueba3[[#This Row],[acquisition_channel]],U:U,0))</f>
        <v>Bodega Propia CO - envio 2-3 dias</v>
      </c>
      <c r="Z182" s="1" t="str">
        <f>INDEX(T:T,MATCH(orders_desnormalizado_prueba3[[#This Row],[shipping_cost]],W:W,0))</f>
        <v>Colombia</v>
      </c>
      <c r="AA182" s="1" t="str">
        <f t="shared" si="7"/>
        <v>Medellin</v>
      </c>
      <c r="AB182" s="1"/>
      <c r="AC182" s="1" t="str">
        <f t="shared" si="8"/>
        <v xml:space="preserve"> </v>
      </c>
    </row>
    <row r="183" spans="1:29" x14ac:dyDescent="0.3">
      <c r="A183" s="1" t="s">
        <v>509</v>
      </c>
      <c r="B183">
        <v>1</v>
      </c>
      <c r="C183">
        <v>27.99</v>
      </c>
      <c r="D183">
        <v>27.99</v>
      </c>
      <c r="E183" s="1" t="s">
        <v>107</v>
      </c>
      <c r="F183" s="1" t="s">
        <v>40</v>
      </c>
      <c r="G183">
        <v>6</v>
      </c>
      <c r="H183" s="1" t="s">
        <v>96</v>
      </c>
      <c r="I183" s="1" t="s">
        <v>75</v>
      </c>
      <c r="J183">
        <v>9</v>
      </c>
      <c r="K183">
        <v>27.99</v>
      </c>
      <c r="L183" s="1" t="s">
        <v>28</v>
      </c>
      <c r="M183" s="1" t="s">
        <v>61</v>
      </c>
      <c r="N183" s="1" t="s">
        <v>62</v>
      </c>
      <c r="O183" s="1" t="s">
        <v>31</v>
      </c>
      <c r="P183" s="2">
        <v>45726</v>
      </c>
      <c r="Q183" s="1" t="s">
        <v>290</v>
      </c>
      <c r="R183" s="1" t="s">
        <v>510</v>
      </c>
      <c r="S183" s="1" t="s">
        <v>105</v>
      </c>
      <c r="T183" s="1" t="s">
        <v>35</v>
      </c>
      <c r="U183" s="1" t="s">
        <v>66</v>
      </c>
      <c r="V183" s="1" t="s">
        <v>37</v>
      </c>
      <c r="W183">
        <v>2</v>
      </c>
      <c r="X183" s="1" t="str">
        <f t="shared" si="6"/>
        <v>isabella.perez64@mail.com</v>
      </c>
      <c r="Y183" s="1" t="str">
        <f>INDEX(V:V,MATCH(orders_desnormalizado_prueba3[[#This Row],[acquisition_channel]],U:U,0))</f>
        <v>AliDropship CN - envio 15-20 dias</v>
      </c>
      <c r="Z183" s="1" t="str">
        <f>INDEX(T:T,MATCH(orders_desnormalizado_prueba3[[#This Row],[shipping_cost]],W:W,0))</f>
        <v>Colombia</v>
      </c>
      <c r="AA183" s="1" t="str">
        <f t="shared" si="7"/>
        <v>Medellin</v>
      </c>
      <c r="AB183" s="1"/>
      <c r="AC183" s="1" t="str">
        <f t="shared" si="8"/>
        <v xml:space="preserve"> </v>
      </c>
    </row>
    <row r="184" spans="1:29" x14ac:dyDescent="0.3">
      <c r="A184" s="1" t="s">
        <v>511</v>
      </c>
      <c r="B184">
        <v>1</v>
      </c>
      <c r="C184">
        <v>16.989999999999998</v>
      </c>
      <c r="D184">
        <v>16.989999999999998</v>
      </c>
      <c r="E184" s="1" t="s">
        <v>313</v>
      </c>
      <c r="F184" s="1" t="s">
        <v>51</v>
      </c>
      <c r="G184">
        <v>0</v>
      </c>
      <c r="H184" s="1" t="s">
        <v>96</v>
      </c>
      <c r="I184" s="1" t="s">
        <v>59</v>
      </c>
      <c r="J184">
        <v>5</v>
      </c>
      <c r="K184">
        <v>16.989999999999998</v>
      </c>
      <c r="L184" s="1" t="s">
        <v>60</v>
      </c>
      <c r="M184" s="1" t="s">
        <v>61</v>
      </c>
      <c r="N184" s="1" t="s">
        <v>62</v>
      </c>
      <c r="O184" s="1" t="s">
        <v>31</v>
      </c>
      <c r="P184" s="2">
        <v>45726</v>
      </c>
      <c r="Q184" s="1" t="s">
        <v>425</v>
      </c>
      <c r="R184" s="1" t="s">
        <v>426</v>
      </c>
      <c r="S184" s="1" t="s">
        <v>47</v>
      </c>
      <c r="T184" s="1" t="s">
        <v>35</v>
      </c>
      <c r="U184" s="1" t="s">
        <v>55</v>
      </c>
      <c r="V184" s="1" t="s">
        <v>67</v>
      </c>
      <c r="W184">
        <v>3</v>
      </c>
      <c r="X184" s="1" t="str">
        <f t="shared" si="6"/>
        <v>paula.ramirez47@mail.com</v>
      </c>
      <c r="Y184" s="1" t="str">
        <f>INDEX(V:V,MATCH(orders_desnormalizado_prueba3[[#This Row],[acquisition_channel]],U:U,0))</f>
        <v>Bodega Propia CO - envio 2-3 dias</v>
      </c>
      <c r="Z184" s="1" t="str">
        <f>INDEX(T:T,MATCH(orders_desnormalizado_prueba3[[#This Row],[shipping_cost]],W:W,0))</f>
        <v>Colombia</v>
      </c>
      <c r="AA184" s="1" t="str">
        <f t="shared" si="7"/>
        <v>Cartagena</v>
      </c>
      <c r="AB184" s="1"/>
      <c r="AC184" s="1" t="str">
        <f t="shared" si="8"/>
        <v xml:space="preserve"> </v>
      </c>
    </row>
    <row r="185" spans="1:29" x14ac:dyDescent="0.3">
      <c r="A185" s="1" t="s">
        <v>512</v>
      </c>
      <c r="B185">
        <v>1</v>
      </c>
      <c r="C185">
        <v>27.99</v>
      </c>
      <c r="D185">
        <v>27.99</v>
      </c>
      <c r="E185" s="1" t="s">
        <v>325</v>
      </c>
      <c r="F185" s="1" t="s">
        <v>40</v>
      </c>
      <c r="G185">
        <v>2</v>
      </c>
      <c r="H185" s="1" t="s">
        <v>58</v>
      </c>
      <c r="I185" s="1" t="s">
        <v>75</v>
      </c>
      <c r="J185">
        <v>9</v>
      </c>
      <c r="K185">
        <v>27.99</v>
      </c>
      <c r="L185" s="1" t="s">
        <v>28</v>
      </c>
      <c r="M185" s="1" t="s">
        <v>61</v>
      </c>
      <c r="N185" s="1" t="s">
        <v>62</v>
      </c>
      <c r="O185" s="1" t="s">
        <v>31</v>
      </c>
      <c r="P185" s="2">
        <v>45726</v>
      </c>
      <c r="Q185" s="1" t="s">
        <v>45</v>
      </c>
      <c r="R185" s="1" t="s">
        <v>513</v>
      </c>
      <c r="S185" s="1" t="s">
        <v>54</v>
      </c>
      <c r="T185" s="1" t="s">
        <v>35</v>
      </c>
      <c r="U185" s="1" t="s">
        <v>48</v>
      </c>
      <c r="V185" s="1" t="s">
        <v>37</v>
      </c>
      <c r="W185">
        <v>2</v>
      </c>
      <c r="X185" s="1" t="str">
        <f t="shared" si="6"/>
        <v>david.martinez142@mail.com</v>
      </c>
      <c r="Y185" s="1" t="str">
        <f>INDEX(V:V,MATCH(orders_desnormalizado_prueba3[[#This Row],[acquisition_channel]],U:U,0))</f>
        <v>Bodega Propia CO - envio 2-3 dias</v>
      </c>
      <c r="Z185" s="1" t="str">
        <f>INDEX(T:T,MATCH(orders_desnormalizado_prueba3[[#This Row],[shipping_cost]],W:W,0))</f>
        <v>Colombia</v>
      </c>
      <c r="AA185" s="1" t="str">
        <f t="shared" si="7"/>
        <v>Medellin</v>
      </c>
      <c r="AB185" s="1"/>
      <c r="AC185" s="1" t="str">
        <f t="shared" si="8"/>
        <v xml:space="preserve"> </v>
      </c>
    </row>
    <row r="186" spans="1:29" x14ac:dyDescent="0.3">
      <c r="A186" s="1" t="s">
        <v>514</v>
      </c>
      <c r="B186">
        <v>1</v>
      </c>
      <c r="C186">
        <v>18.989999999999998</v>
      </c>
      <c r="D186">
        <v>18.989999999999998</v>
      </c>
      <c r="E186" s="1" t="s">
        <v>389</v>
      </c>
      <c r="F186" s="1" t="s">
        <v>70</v>
      </c>
      <c r="G186">
        <v>0</v>
      </c>
      <c r="H186" s="1" t="s">
        <v>26</v>
      </c>
      <c r="I186" s="1" t="s">
        <v>97</v>
      </c>
      <c r="J186">
        <v>6</v>
      </c>
      <c r="K186">
        <v>18.989999999999998</v>
      </c>
      <c r="L186" s="1" t="s">
        <v>60</v>
      </c>
      <c r="M186" s="1" t="s">
        <v>43</v>
      </c>
      <c r="N186" s="1" t="s">
        <v>44</v>
      </c>
      <c r="O186" s="1" t="s">
        <v>31</v>
      </c>
      <c r="P186" s="2">
        <v>45823</v>
      </c>
      <c r="Q186" s="1" t="s">
        <v>231</v>
      </c>
      <c r="R186" s="1" t="s">
        <v>232</v>
      </c>
      <c r="S186" s="1" t="s">
        <v>105</v>
      </c>
      <c r="T186" s="1" t="s">
        <v>35</v>
      </c>
      <c r="U186" s="1" t="s">
        <v>36</v>
      </c>
      <c r="V186" s="1" t="s">
        <v>100</v>
      </c>
      <c r="W186">
        <v>3.2</v>
      </c>
      <c r="X186" s="1" t="str">
        <f t="shared" si="6"/>
        <v>miguel.ramirez82@mail.com</v>
      </c>
      <c r="Y186" s="1" t="str">
        <f>INDEX(V:V,MATCH(orders_desnormalizado_prueba3[[#This Row],[acquisition_channel]],U:U,0))</f>
        <v>Bodega Propia CO - envio 2-3 dias</v>
      </c>
      <c r="Z186" s="1" t="str">
        <f>INDEX(T:T,MATCH(orders_desnormalizado_prueba3[[#This Row],[shipping_cost]],W:W,0))</f>
        <v>Colombia</v>
      </c>
      <c r="AA186" s="1" t="str">
        <f t="shared" si="7"/>
        <v>Cartagena</v>
      </c>
      <c r="AB186" s="1"/>
      <c r="AC186" s="1" t="str">
        <f t="shared" si="8"/>
        <v xml:space="preserve"> </v>
      </c>
    </row>
    <row r="187" spans="1:29" x14ac:dyDescent="0.3">
      <c r="A187" s="1" t="s">
        <v>515</v>
      </c>
      <c r="B187">
        <v>1</v>
      </c>
      <c r="C187">
        <v>27.99</v>
      </c>
      <c r="D187">
        <v>27.99</v>
      </c>
      <c r="E187" s="1" t="s">
        <v>272</v>
      </c>
      <c r="F187" s="1" t="s">
        <v>40</v>
      </c>
      <c r="G187">
        <v>2</v>
      </c>
      <c r="H187" s="1" t="s">
        <v>41</v>
      </c>
      <c r="I187" s="1" t="s">
        <v>75</v>
      </c>
      <c r="J187">
        <v>9</v>
      </c>
      <c r="K187">
        <v>27.99</v>
      </c>
      <c r="L187" s="1" t="s">
        <v>28</v>
      </c>
      <c r="M187" s="1" t="s">
        <v>61</v>
      </c>
      <c r="N187" s="1" t="s">
        <v>62</v>
      </c>
      <c r="O187" s="1" t="s">
        <v>31</v>
      </c>
      <c r="P187" s="2">
        <v>45726</v>
      </c>
      <c r="Q187" s="1" t="s">
        <v>231</v>
      </c>
      <c r="R187" s="1" t="s">
        <v>516</v>
      </c>
      <c r="S187" s="1" t="s">
        <v>47</v>
      </c>
      <c r="T187" s="1" t="s">
        <v>35</v>
      </c>
      <c r="U187" s="1" t="s">
        <v>66</v>
      </c>
      <c r="V187" s="1" t="s">
        <v>37</v>
      </c>
      <c r="W187">
        <v>2</v>
      </c>
      <c r="X187" s="1" t="str">
        <f t="shared" si="6"/>
        <v>miguel.ramirez82@mail.com</v>
      </c>
      <c r="Y187" s="1" t="str">
        <f>INDEX(V:V,MATCH(orders_desnormalizado_prueba3[[#This Row],[acquisition_channel]],U:U,0))</f>
        <v>AliDropship CN - envio 15-20 dias</v>
      </c>
      <c r="Z187" s="1" t="str">
        <f>INDEX(T:T,MATCH(orders_desnormalizado_prueba3[[#This Row],[shipping_cost]],W:W,0))</f>
        <v>Colombia</v>
      </c>
      <c r="AA187" s="1" t="str">
        <f t="shared" si="7"/>
        <v>Medellin</v>
      </c>
      <c r="AB187" s="1"/>
      <c r="AC187" s="1" t="str">
        <f t="shared" si="8"/>
        <v xml:space="preserve"> </v>
      </c>
    </row>
    <row r="188" spans="1:29" x14ac:dyDescent="0.3">
      <c r="A188" s="1" t="s">
        <v>517</v>
      </c>
      <c r="B188">
        <v>1</v>
      </c>
      <c r="C188">
        <v>18.989999999999998</v>
      </c>
      <c r="D188">
        <v>18.989999999999998</v>
      </c>
      <c r="E188" s="1" t="s">
        <v>168</v>
      </c>
      <c r="F188" s="1" t="s">
        <v>188</v>
      </c>
      <c r="G188">
        <v>0</v>
      </c>
      <c r="H188" s="1" t="s">
        <v>96</v>
      </c>
      <c r="I188" s="1" t="s">
        <v>97</v>
      </c>
      <c r="J188">
        <v>6</v>
      </c>
      <c r="K188">
        <v>18.989999999999998</v>
      </c>
      <c r="L188" s="1" t="s">
        <v>60</v>
      </c>
      <c r="M188" s="1" t="s">
        <v>43</v>
      </c>
      <c r="N188" s="1" t="s">
        <v>44</v>
      </c>
      <c r="O188" s="1" t="s">
        <v>31</v>
      </c>
      <c r="P188" s="2">
        <v>45823</v>
      </c>
      <c r="Q188" s="1" t="s">
        <v>518</v>
      </c>
      <c r="R188" s="1" t="s">
        <v>519</v>
      </c>
      <c r="S188" s="1" t="s">
        <v>54</v>
      </c>
      <c r="T188" s="1" t="s">
        <v>35</v>
      </c>
      <c r="U188" s="1" t="s">
        <v>55</v>
      </c>
      <c r="V188" s="1" t="s">
        <v>100</v>
      </c>
      <c r="W188">
        <v>3.2</v>
      </c>
      <c r="X188" s="1" t="str">
        <f t="shared" si="6"/>
        <v>juan.castro151@mail.com</v>
      </c>
      <c r="Y188" s="1" t="str">
        <f>INDEX(V:V,MATCH(orders_desnormalizado_prueba3[[#This Row],[acquisition_channel]],U:U,0))</f>
        <v>Bodega Propia CO - envio 2-3 dias</v>
      </c>
      <c r="Z188" s="1" t="str">
        <f>INDEX(T:T,MATCH(orders_desnormalizado_prueba3[[#This Row],[shipping_cost]],W:W,0))</f>
        <v>Colombia</v>
      </c>
      <c r="AA188" s="1" t="str">
        <f t="shared" si="7"/>
        <v>Cartagena</v>
      </c>
      <c r="AB188" s="1"/>
      <c r="AC188" s="1" t="str">
        <f t="shared" si="8"/>
        <v xml:space="preserve"> </v>
      </c>
    </row>
    <row r="189" spans="1:29" x14ac:dyDescent="0.3">
      <c r="A189" s="1" t="s">
        <v>520</v>
      </c>
      <c r="B189">
        <v>1</v>
      </c>
      <c r="C189">
        <v>21.99</v>
      </c>
      <c r="D189">
        <v>21.99</v>
      </c>
      <c r="E189" s="1" t="s">
        <v>102</v>
      </c>
      <c r="F189" s="1" t="s">
        <v>25</v>
      </c>
      <c r="G189">
        <v>2</v>
      </c>
      <c r="H189" s="1" t="s">
        <v>26</v>
      </c>
      <c r="I189" s="1" t="s">
        <v>27</v>
      </c>
      <c r="J189">
        <v>7</v>
      </c>
      <c r="K189">
        <v>21.99</v>
      </c>
      <c r="L189" s="1" t="s">
        <v>28</v>
      </c>
      <c r="M189" s="1" t="s">
        <v>29</v>
      </c>
      <c r="N189" s="1" t="s">
        <v>30</v>
      </c>
      <c r="O189" s="1" t="s">
        <v>31</v>
      </c>
      <c r="P189" s="2">
        <v>45778</v>
      </c>
      <c r="Q189" s="1" t="s">
        <v>420</v>
      </c>
      <c r="R189" s="1" t="s">
        <v>421</v>
      </c>
      <c r="S189" s="1" t="s">
        <v>34</v>
      </c>
      <c r="T189" s="1" t="s">
        <v>35</v>
      </c>
      <c r="U189" s="1" t="s">
        <v>82</v>
      </c>
      <c r="V189" s="1" t="s">
        <v>37</v>
      </c>
      <c r="W189">
        <v>2</v>
      </c>
      <c r="X189" s="1" t="str">
        <f t="shared" si="6"/>
        <v>natalia.sanchez78@mail.com</v>
      </c>
      <c r="Y189" s="1" t="str">
        <f>INDEX(V:V,MATCH(orders_desnormalizado_prueba3[[#This Row],[acquisition_channel]],U:U,0))</f>
        <v>Bodega Propia CO - envio 2-3 dias</v>
      </c>
      <c r="Z189" s="1" t="str">
        <f>INDEX(T:T,MATCH(orders_desnormalizado_prueba3[[#This Row],[shipping_cost]],W:W,0))</f>
        <v>Colombia</v>
      </c>
      <c r="AA189" s="1" t="str">
        <f t="shared" si="7"/>
        <v>Medellin</v>
      </c>
      <c r="AB189" s="1"/>
      <c r="AC189" s="1" t="str">
        <f t="shared" si="8"/>
        <v xml:space="preserve"> </v>
      </c>
    </row>
    <row r="190" spans="1:29" x14ac:dyDescent="0.3">
      <c r="A190" s="1" t="s">
        <v>521</v>
      </c>
      <c r="B190">
        <v>1</v>
      </c>
      <c r="C190">
        <v>34.99</v>
      </c>
      <c r="D190">
        <v>34.99</v>
      </c>
      <c r="E190" s="1" t="s">
        <v>160</v>
      </c>
      <c r="F190" s="1" t="s">
        <v>188</v>
      </c>
      <c r="G190">
        <v>0</v>
      </c>
      <c r="H190" s="1" t="s">
        <v>96</v>
      </c>
      <c r="I190" s="1" t="s">
        <v>85</v>
      </c>
      <c r="J190">
        <v>12.5</v>
      </c>
      <c r="K190">
        <v>34.99</v>
      </c>
      <c r="L190" s="1" t="s">
        <v>60</v>
      </c>
      <c r="M190" s="1" t="s">
        <v>29</v>
      </c>
      <c r="N190" s="1" t="s">
        <v>30</v>
      </c>
      <c r="O190" s="1" t="s">
        <v>31</v>
      </c>
      <c r="P190" s="2">
        <v>45778</v>
      </c>
      <c r="Q190" s="1" t="s">
        <v>339</v>
      </c>
      <c r="R190" s="1" t="s">
        <v>340</v>
      </c>
      <c r="S190" s="1" t="s">
        <v>65</v>
      </c>
      <c r="T190" s="1" t="s">
        <v>35</v>
      </c>
      <c r="U190" s="1" t="s">
        <v>66</v>
      </c>
      <c r="V190" s="1" t="s">
        <v>89</v>
      </c>
      <c r="W190">
        <v>2.4</v>
      </c>
      <c r="X190" s="1" t="str">
        <f t="shared" si="6"/>
        <v>natalia.ramirez45@mail.com</v>
      </c>
      <c r="Y190" s="1" t="str">
        <f>INDEX(V:V,MATCH(orders_desnormalizado_prueba3[[#This Row],[acquisition_channel]],U:U,0))</f>
        <v>AliDropship CN - envio 15-20 dias</v>
      </c>
      <c r="Z190" s="1" t="str">
        <f>INDEX(T:T,MATCH(orders_desnormalizado_prueba3[[#This Row],[shipping_cost]],W:W,0))</f>
        <v>Colombia</v>
      </c>
      <c r="AA190" s="1" t="str">
        <f t="shared" si="7"/>
        <v>Cartagena</v>
      </c>
      <c r="AB190" s="1"/>
      <c r="AC190" s="1" t="str">
        <f t="shared" si="8"/>
        <v xml:space="preserve"> </v>
      </c>
    </row>
    <row r="191" spans="1:29" x14ac:dyDescent="0.3">
      <c r="A191" s="1" t="s">
        <v>522</v>
      </c>
      <c r="B191">
        <v>1</v>
      </c>
      <c r="C191">
        <v>21.99</v>
      </c>
      <c r="D191">
        <v>21.99</v>
      </c>
      <c r="E191" s="1" t="s">
        <v>168</v>
      </c>
      <c r="F191" s="1" t="s">
        <v>40</v>
      </c>
      <c r="G191">
        <v>3</v>
      </c>
      <c r="H191" s="1" t="s">
        <v>41</v>
      </c>
      <c r="I191" s="1" t="s">
        <v>27</v>
      </c>
      <c r="J191">
        <v>7</v>
      </c>
      <c r="K191">
        <v>21.99</v>
      </c>
      <c r="L191" s="1" t="s">
        <v>28</v>
      </c>
      <c r="M191" s="1" t="s">
        <v>29</v>
      </c>
      <c r="N191" s="1" t="s">
        <v>30</v>
      </c>
      <c r="O191" s="1" t="s">
        <v>31</v>
      </c>
      <c r="P191" s="2">
        <v>45778</v>
      </c>
      <c r="Q191" s="1" t="s">
        <v>225</v>
      </c>
      <c r="R191" s="1" t="s">
        <v>226</v>
      </c>
      <c r="S191" s="1" t="s">
        <v>105</v>
      </c>
      <c r="T191" s="1" t="s">
        <v>35</v>
      </c>
      <c r="U191" s="1" t="s">
        <v>36</v>
      </c>
      <c r="V191" s="1" t="s">
        <v>37</v>
      </c>
      <c r="W191">
        <v>2</v>
      </c>
      <c r="X191" s="1" t="str">
        <f t="shared" si="6"/>
        <v>alejandro.perez27@mail.com</v>
      </c>
      <c r="Y191" s="1" t="str">
        <f>INDEX(V:V,MATCH(orders_desnormalizado_prueba3[[#This Row],[acquisition_channel]],U:U,0))</f>
        <v>Bodega Propia CO - envio 2-3 dias</v>
      </c>
      <c r="Z191" s="1" t="str">
        <f>INDEX(T:T,MATCH(orders_desnormalizado_prueba3[[#This Row],[shipping_cost]],W:W,0))</f>
        <v>Colombia</v>
      </c>
      <c r="AA191" s="1" t="str">
        <f t="shared" si="7"/>
        <v>Barranquilla</v>
      </c>
      <c r="AB191" s="1"/>
      <c r="AC191" s="1" t="str">
        <f t="shared" si="8"/>
        <v xml:space="preserve"> </v>
      </c>
    </row>
    <row r="192" spans="1:29" x14ac:dyDescent="0.3">
      <c r="A192" s="1" t="s">
        <v>523</v>
      </c>
      <c r="B192">
        <v>3</v>
      </c>
      <c r="C192">
        <v>27.99</v>
      </c>
      <c r="D192">
        <v>66.88</v>
      </c>
      <c r="E192" s="1" t="s">
        <v>246</v>
      </c>
      <c r="F192" s="1" t="s">
        <v>40</v>
      </c>
      <c r="G192">
        <v>3</v>
      </c>
      <c r="H192" s="1" t="s">
        <v>58</v>
      </c>
      <c r="I192" s="1" t="s">
        <v>75</v>
      </c>
      <c r="J192">
        <v>9</v>
      </c>
      <c r="K192">
        <v>27.99</v>
      </c>
      <c r="L192" s="1" t="s">
        <v>28</v>
      </c>
      <c r="M192" s="1" t="s">
        <v>61</v>
      </c>
      <c r="N192" s="1" t="s">
        <v>62</v>
      </c>
      <c r="O192" s="1" t="s">
        <v>31</v>
      </c>
      <c r="P192" s="2">
        <v>45726</v>
      </c>
      <c r="Q192" s="1" t="s">
        <v>385</v>
      </c>
      <c r="R192" s="1" t="s">
        <v>524</v>
      </c>
      <c r="S192" s="1" t="s">
        <v>65</v>
      </c>
      <c r="T192" s="1" t="s">
        <v>35</v>
      </c>
      <c r="U192" s="1" t="s">
        <v>66</v>
      </c>
      <c r="V192" s="1" t="s">
        <v>37</v>
      </c>
      <c r="W192">
        <v>2</v>
      </c>
      <c r="X192" s="1" t="str">
        <f t="shared" si="6"/>
        <v>isabella.sanchez53@mail.com</v>
      </c>
      <c r="Y192" s="1" t="str">
        <f>INDEX(V:V,MATCH(orders_desnormalizado_prueba3[[#This Row],[acquisition_channel]],U:U,0))</f>
        <v>AliDropship CN - envio 15-20 dias</v>
      </c>
      <c r="Z192" s="1" t="str">
        <f>INDEX(T:T,MATCH(orders_desnormalizado_prueba3[[#This Row],[shipping_cost]],W:W,0))</f>
        <v>Colombia</v>
      </c>
      <c r="AA192" s="1" t="str">
        <f t="shared" si="7"/>
        <v>Barranquilla</v>
      </c>
      <c r="AB192" s="1"/>
      <c r="AC192" s="1" t="str">
        <f t="shared" si="8"/>
        <v xml:space="preserve"> </v>
      </c>
    </row>
    <row r="193" spans="1:29" x14ac:dyDescent="0.3">
      <c r="A193" s="1" t="s">
        <v>525</v>
      </c>
      <c r="B193">
        <v>3</v>
      </c>
      <c r="C193">
        <v>21.99</v>
      </c>
      <c r="D193">
        <v>52.48</v>
      </c>
      <c r="E193" s="1" t="s">
        <v>228</v>
      </c>
      <c r="F193" s="1" t="s">
        <v>40</v>
      </c>
      <c r="G193">
        <v>3</v>
      </c>
      <c r="H193" s="1" t="s">
        <v>41</v>
      </c>
      <c r="I193" s="1" t="s">
        <v>27</v>
      </c>
      <c r="J193">
        <v>7</v>
      </c>
      <c r="K193">
        <v>21.99</v>
      </c>
      <c r="L193" s="1" t="s">
        <v>28</v>
      </c>
      <c r="M193" s="1" t="s">
        <v>29</v>
      </c>
      <c r="N193" s="1" t="s">
        <v>30</v>
      </c>
      <c r="O193" s="1" t="s">
        <v>31</v>
      </c>
      <c r="P193" s="2">
        <v>45778</v>
      </c>
      <c r="Q193" s="1" t="s">
        <v>526</v>
      </c>
      <c r="R193" s="1" t="s">
        <v>527</v>
      </c>
      <c r="S193" s="1" t="s">
        <v>105</v>
      </c>
      <c r="T193" s="1" t="s">
        <v>35</v>
      </c>
      <c r="U193" s="1" t="s">
        <v>48</v>
      </c>
      <c r="V193" s="1" t="s">
        <v>37</v>
      </c>
      <c r="W193">
        <v>2</v>
      </c>
      <c r="X193" s="1" t="str">
        <f t="shared" si="6"/>
        <v>daniela.diaz127@mail.com</v>
      </c>
      <c r="Y193" s="1" t="str">
        <f>INDEX(V:V,MATCH(orders_desnormalizado_prueba3[[#This Row],[acquisition_channel]],U:U,0))</f>
        <v>Bodega Propia CO - envio 2-3 dias</v>
      </c>
      <c r="Z193" s="1" t="str">
        <f>INDEX(T:T,MATCH(orders_desnormalizado_prueba3[[#This Row],[shipping_cost]],W:W,0))</f>
        <v>Colombia</v>
      </c>
      <c r="AA193" s="1" t="str">
        <f t="shared" si="7"/>
        <v>Barranquilla</v>
      </c>
      <c r="AB193" s="1"/>
      <c r="AC193" s="1" t="str">
        <f t="shared" si="8"/>
        <v xml:space="preserve"> </v>
      </c>
    </row>
    <row r="194" spans="1:29" x14ac:dyDescent="0.3">
      <c r="A194" s="1" t="s">
        <v>528</v>
      </c>
      <c r="B194">
        <v>1</v>
      </c>
      <c r="C194">
        <v>27.99</v>
      </c>
      <c r="D194">
        <v>27.99</v>
      </c>
      <c r="E194" s="1" t="s">
        <v>313</v>
      </c>
      <c r="F194" s="1" t="s">
        <v>40</v>
      </c>
      <c r="G194">
        <v>3</v>
      </c>
      <c r="H194" s="1" t="s">
        <v>58</v>
      </c>
      <c r="I194" s="1" t="s">
        <v>75</v>
      </c>
      <c r="J194">
        <v>9</v>
      </c>
      <c r="K194">
        <v>27.99</v>
      </c>
      <c r="L194" s="1" t="s">
        <v>28</v>
      </c>
      <c r="M194" s="1" t="s">
        <v>61</v>
      </c>
      <c r="N194" s="1" t="s">
        <v>62</v>
      </c>
      <c r="O194" s="1" t="s">
        <v>31</v>
      </c>
      <c r="P194" s="2">
        <v>45726</v>
      </c>
      <c r="Q194" s="1" t="s">
        <v>98</v>
      </c>
      <c r="R194" s="1" t="s">
        <v>99</v>
      </c>
      <c r="S194" s="1" t="s">
        <v>47</v>
      </c>
      <c r="T194" s="1" t="s">
        <v>35</v>
      </c>
      <c r="U194" s="1" t="s">
        <v>66</v>
      </c>
      <c r="V194" s="1" t="s">
        <v>37</v>
      </c>
      <c r="W194">
        <v>2</v>
      </c>
      <c r="X194" s="1" t="str">
        <f t="shared" ref="X194:X257" si="9">INDEX(R:R,MATCH(Q194,Q:Q,0))</f>
        <v>david.perez76@mail.com</v>
      </c>
      <c r="Y194" s="1" t="str">
        <f>INDEX(V:V,MATCH(orders_desnormalizado_prueba3[[#This Row],[acquisition_channel]],U:U,0))</f>
        <v>AliDropship CN - envio 15-20 dias</v>
      </c>
      <c r="Z194" s="1" t="str">
        <f>INDEX(T:T,MATCH(orders_desnormalizado_prueba3[[#This Row],[shipping_cost]],W:W,0))</f>
        <v>Colombia</v>
      </c>
      <c r="AA194" s="1" t="str">
        <f t="shared" ref="AA194:AA257" si="10">INDEX(S:S,MATCH(G194,G:G,0))</f>
        <v>Barranquilla</v>
      </c>
      <c r="AB194" s="1"/>
      <c r="AC194" s="1" t="str">
        <f t="shared" ref="AC194:AC257" si="11">IFERROR(INDEX($V:$V,MATCH(AB194,$R:$R,0)), " ")</f>
        <v xml:space="preserve"> </v>
      </c>
    </row>
    <row r="195" spans="1:29" x14ac:dyDescent="0.3">
      <c r="A195" s="1" t="s">
        <v>529</v>
      </c>
      <c r="B195">
        <v>1</v>
      </c>
      <c r="C195">
        <v>18.989999999999998</v>
      </c>
      <c r="D195">
        <v>18.989999999999998</v>
      </c>
      <c r="E195" s="1" t="s">
        <v>248</v>
      </c>
      <c r="F195" s="1" t="s">
        <v>51</v>
      </c>
      <c r="G195">
        <v>0</v>
      </c>
      <c r="H195" s="1" t="s">
        <v>58</v>
      </c>
      <c r="I195" s="1" t="s">
        <v>97</v>
      </c>
      <c r="J195">
        <v>6</v>
      </c>
      <c r="K195">
        <v>18.989999999999998</v>
      </c>
      <c r="L195" s="1" t="s">
        <v>60</v>
      </c>
      <c r="M195" s="1" t="s">
        <v>43</v>
      </c>
      <c r="N195" s="1" t="s">
        <v>44</v>
      </c>
      <c r="O195" s="1" t="s">
        <v>31</v>
      </c>
      <c r="P195" s="2">
        <v>45823</v>
      </c>
      <c r="Q195" s="1" t="s">
        <v>530</v>
      </c>
      <c r="R195" s="1" t="s">
        <v>531</v>
      </c>
      <c r="S195" s="1" t="s">
        <v>47</v>
      </c>
      <c r="T195" s="1" t="s">
        <v>35</v>
      </c>
      <c r="U195" s="1" t="s">
        <v>82</v>
      </c>
      <c r="V195" s="1" t="s">
        <v>100</v>
      </c>
      <c r="W195">
        <v>3.2</v>
      </c>
      <c r="X195" s="1" t="str">
        <f t="shared" si="9"/>
        <v>alejandro.castro87@mail.com</v>
      </c>
      <c r="Y195" s="1" t="str">
        <f>INDEX(V:V,MATCH(orders_desnormalizado_prueba3[[#This Row],[acquisition_channel]],U:U,0))</f>
        <v>Bodega Propia CO - envio 2-3 dias</v>
      </c>
      <c r="Z195" s="1" t="str">
        <f>INDEX(T:T,MATCH(orders_desnormalizado_prueba3[[#This Row],[shipping_cost]],W:W,0))</f>
        <v>Colombia</v>
      </c>
      <c r="AA195" s="1" t="str">
        <f t="shared" si="10"/>
        <v>Cartagena</v>
      </c>
      <c r="AB195" s="1"/>
      <c r="AC195" s="1" t="str">
        <f t="shared" si="11"/>
        <v xml:space="preserve"> </v>
      </c>
    </row>
    <row r="196" spans="1:29" x14ac:dyDescent="0.3">
      <c r="A196" s="1" t="s">
        <v>532</v>
      </c>
      <c r="B196">
        <v>2</v>
      </c>
      <c r="C196">
        <v>30.99</v>
      </c>
      <c r="D196">
        <v>53.78</v>
      </c>
      <c r="E196" s="1" t="s">
        <v>348</v>
      </c>
      <c r="F196" s="1" t="s">
        <v>51</v>
      </c>
      <c r="G196">
        <v>0</v>
      </c>
      <c r="H196" s="1" t="s">
        <v>26</v>
      </c>
      <c r="I196" s="1" t="s">
        <v>42</v>
      </c>
      <c r="J196">
        <v>10.5</v>
      </c>
      <c r="K196">
        <v>30.99</v>
      </c>
      <c r="L196" s="1" t="s">
        <v>28</v>
      </c>
      <c r="M196" s="1" t="s">
        <v>43</v>
      </c>
      <c r="N196" s="1" t="s">
        <v>44</v>
      </c>
      <c r="O196" s="1" t="s">
        <v>31</v>
      </c>
      <c r="P196" s="2">
        <v>45823</v>
      </c>
      <c r="Q196" s="1" t="s">
        <v>533</v>
      </c>
      <c r="R196" s="1" t="s">
        <v>534</v>
      </c>
      <c r="S196" s="1" t="s">
        <v>105</v>
      </c>
      <c r="T196" s="1" t="s">
        <v>35</v>
      </c>
      <c r="U196" s="1" t="s">
        <v>66</v>
      </c>
      <c r="V196" s="1" t="s">
        <v>37</v>
      </c>
      <c r="W196">
        <v>2</v>
      </c>
      <c r="X196" s="1" t="str">
        <f t="shared" si="9"/>
        <v>daniela.torres105@mail.com</v>
      </c>
      <c r="Y196" s="1" t="str">
        <f>INDEX(V:V,MATCH(orders_desnormalizado_prueba3[[#This Row],[acquisition_channel]],U:U,0))</f>
        <v>AliDropship CN - envio 15-20 dias</v>
      </c>
      <c r="Z196" s="1" t="str">
        <f>INDEX(T:T,MATCH(orders_desnormalizado_prueba3[[#This Row],[shipping_cost]],W:W,0))</f>
        <v>Colombia</v>
      </c>
      <c r="AA196" s="1" t="str">
        <f t="shared" si="10"/>
        <v>Cartagena</v>
      </c>
      <c r="AB196" s="1"/>
      <c r="AC196" s="1" t="str">
        <f t="shared" si="11"/>
        <v xml:space="preserve"> </v>
      </c>
    </row>
    <row r="197" spans="1:29" x14ac:dyDescent="0.3">
      <c r="A197" s="1" t="s">
        <v>535</v>
      </c>
      <c r="B197">
        <v>1</v>
      </c>
      <c r="C197">
        <v>16.989999999999998</v>
      </c>
      <c r="D197">
        <v>16.989999999999998</v>
      </c>
      <c r="E197" s="1" t="s">
        <v>536</v>
      </c>
      <c r="F197" s="1" t="s">
        <v>40</v>
      </c>
      <c r="G197">
        <v>15</v>
      </c>
      <c r="H197" s="1" t="s">
        <v>58</v>
      </c>
      <c r="I197" s="1" t="s">
        <v>59</v>
      </c>
      <c r="J197">
        <v>5</v>
      </c>
      <c r="K197">
        <v>16.989999999999998</v>
      </c>
      <c r="L197" s="1" t="s">
        <v>60</v>
      </c>
      <c r="M197" s="1" t="s">
        <v>61</v>
      </c>
      <c r="N197" s="1" t="s">
        <v>62</v>
      </c>
      <c r="O197" s="1" t="s">
        <v>31</v>
      </c>
      <c r="P197" s="2">
        <v>45726</v>
      </c>
      <c r="Q197" s="1" t="s">
        <v>406</v>
      </c>
      <c r="R197" s="1" t="s">
        <v>407</v>
      </c>
      <c r="S197" s="1" t="s">
        <v>65</v>
      </c>
      <c r="T197" s="1" t="s">
        <v>35</v>
      </c>
      <c r="U197" s="1" t="s">
        <v>55</v>
      </c>
      <c r="V197" s="1" t="s">
        <v>67</v>
      </c>
      <c r="W197">
        <v>3</v>
      </c>
      <c r="X197" s="1" t="str">
        <f t="shared" si="9"/>
        <v>gabriela.sanchez126@mail.com</v>
      </c>
      <c r="Y197" s="1" t="str">
        <f>INDEX(V:V,MATCH(orders_desnormalizado_prueba3[[#This Row],[acquisition_channel]],U:U,0))</f>
        <v>Bodega Propia CO - envio 2-3 dias</v>
      </c>
      <c r="Z197" s="1" t="str">
        <f>INDEX(T:T,MATCH(orders_desnormalizado_prueba3[[#This Row],[shipping_cost]],W:W,0))</f>
        <v>Colombia</v>
      </c>
      <c r="AA197" s="1" t="str">
        <f t="shared" si="10"/>
        <v>Barranquilla</v>
      </c>
      <c r="AB197" s="1"/>
      <c r="AC197" s="1" t="str">
        <f t="shared" si="11"/>
        <v xml:space="preserve"> </v>
      </c>
    </row>
    <row r="198" spans="1:29" x14ac:dyDescent="0.3">
      <c r="A198" s="1" t="s">
        <v>537</v>
      </c>
      <c r="B198">
        <v>1</v>
      </c>
      <c r="C198">
        <v>34.99</v>
      </c>
      <c r="D198">
        <v>34.99</v>
      </c>
      <c r="E198" s="1" t="s">
        <v>136</v>
      </c>
      <c r="F198" s="1" t="s">
        <v>40</v>
      </c>
      <c r="G198">
        <v>5</v>
      </c>
      <c r="H198" s="1" t="s">
        <v>26</v>
      </c>
      <c r="I198" s="1" t="s">
        <v>85</v>
      </c>
      <c r="J198">
        <v>12.5</v>
      </c>
      <c r="K198">
        <v>34.99</v>
      </c>
      <c r="L198" s="1" t="s">
        <v>60</v>
      </c>
      <c r="M198" s="1" t="s">
        <v>29</v>
      </c>
      <c r="N198" s="1" t="s">
        <v>30</v>
      </c>
      <c r="O198" s="1" t="s">
        <v>31</v>
      </c>
      <c r="P198" s="2">
        <v>45778</v>
      </c>
      <c r="Q198" s="1" t="s">
        <v>318</v>
      </c>
      <c r="R198" s="1" t="s">
        <v>538</v>
      </c>
      <c r="S198" s="1" t="s">
        <v>65</v>
      </c>
      <c r="T198" s="1" t="s">
        <v>35</v>
      </c>
      <c r="U198" s="1" t="s">
        <v>36</v>
      </c>
      <c r="V198" s="1" t="s">
        <v>89</v>
      </c>
      <c r="W198">
        <v>2.4</v>
      </c>
      <c r="X198" s="1" t="str">
        <f t="shared" si="9"/>
        <v>paula.vargas58@mail.com</v>
      </c>
      <c r="Y198" s="1" t="str">
        <f>INDEX(V:V,MATCH(orders_desnormalizado_prueba3[[#This Row],[acquisition_channel]],U:U,0))</f>
        <v>Bodega Propia CO - envio 2-3 dias</v>
      </c>
      <c r="Z198" s="1" t="str">
        <f>INDEX(T:T,MATCH(orders_desnormalizado_prueba3[[#This Row],[shipping_cost]],W:W,0))</f>
        <v>Colombia</v>
      </c>
      <c r="AA198" s="1" t="str">
        <f t="shared" si="10"/>
        <v>Cali</v>
      </c>
      <c r="AB198" s="1"/>
      <c r="AC198" s="1" t="str">
        <f t="shared" si="11"/>
        <v xml:space="preserve"> </v>
      </c>
    </row>
    <row r="199" spans="1:29" x14ac:dyDescent="0.3">
      <c r="A199" s="1" t="s">
        <v>539</v>
      </c>
      <c r="B199">
        <v>1</v>
      </c>
      <c r="C199">
        <v>16.989999999999998</v>
      </c>
      <c r="D199">
        <v>16.989999999999998</v>
      </c>
      <c r="E199" s="1" t="s">
        <v>452</v>
      </c>
      <c r="F199" s="1" t="s">
        <v>40</v>
      </c>
      <c r="G199">
        <v>22</v>
      </c>
      <c r="H199" s="1" t="s">
        <v>26</v>
      </c>
      <c r="I199" s="1" t="s">
        <v>59</v>
      </c>
      <c r="J199">
        <v>5</v>
      </c>
      <c r="K199">
        <v>16.989999999999998</v>
      </c>
      <c r="L199" s="1" t="s">
        <v>60</v>
      </c>
      <c r="M199" s="1" t="s">
        <v>61</v>
      </c>
      <c r="N199" s="1" t="s">
        <v>62</v>
      </c>
      <c r="O199" s="1" t="s">
        <v>31</v>
      </c>
      <c r="P199" s="2">
        <v>45726</v>
      </c>
      <c r="Q199" s="1" t="s">
        <v>165</v>
      </c>
      <c r="R199" s="1" t="s">
        <v>166</v>
      </c>
      <c r="S199" s="1" t="s">
        <v>88</v>
      </c>
      <c r="T199" s="1" t="s">
        <v>35</v>
      </c>
      <c r="U199" s="1" t="s">
        <v>66</v>
      </c>
      <c r="V199" s="1" t="s">
        <v>67</v>
      </c>
      <c r="W199">
        <v>3</v>
      </c>
      <c r="X199" s="1" t="str">
        <f t="shared" si="9"/>
        <v>paula.sanchez95@mail.com</v>
      </c>
      <c r="Y199" s="1" t="str">
        <f>INDEX(V:V,MATCH(orders_desnormalizado_prueba3[[#This Row],[acquisition_channel]],U:U,0))</f>
        <v>AliDropship CN - envio 15-20 dias</v>
      </c>
      <c r="Z199" s="1" t="str">
        <f>INDEX(T:T,MATCH(orders_desnormalizado_prueba3[[#This Row],[shipping_cost]],W:W,0))</f>
        <v>Colombia</v>
      </c>
      <c r="AA199" s="1" t="str">
        <f t="shared" si="10"/>
        <v>Bucaramanga</v>
      </c>
      <c r="AB199" s="1"/>
      <c r="AC199" s="1" t="str">
        <f t="shared" si="11"/>
        <v xml:space="preserve"> </v>
      </c>
    </row>
    <row r="200" spans="1:29" x14ac:dyDescent="0.3">
      <c r="A200" s="1" t="s">
        <v>540</v>
      </c>
      <c r="B200">
        <v>1</v>
      </c>
      <c r="C200">
        <v>18.989999999999998</v>
      </c>
      <c r="D200">
        <v>18.989999999999998</v>
      </c>
      <c r="E200" s="1" t="s">
        <v>228</v>
      </c>
      <c r="F200" s="1" t="s">
        <v>188</v>
      </c>
      <c r="G200">
        <v>0</v>
      </c>
      <c r="H200" s="1" t="s">
        <v>41</v>
      </c>
      <c r="I200" s="1" t="s">
        <v>97</v>
      </c>
      <c r="J200">
        <v>6</v>
      </c>
      <c r="K200">
        <v>18.989999999999998</v>
      </c>
      <c r="L200" s="1" t="s">
        <v>60</v>
      </c>
      <c r="M200" s="1" t="s">
        <v>43</v>
      </c>
      <c r="N200" s="1" t="s">
        <v>44</v>
      </c>
      <c r="O200" s="1" t="s">
        <v>31</v>
      </c>
      <c r="P200" s="2">
        <v>45823</v>
      </c>
      <c r="Q200" s="1" t="s">
        <v>409</v>
      </c>
      <c r="R200" s="1" t="s">
        <v>410</v>
      </c>
      <c r="S200" s="1" t="s">
        <v>411</v>
      </c>
      <c r="T200" s="1" t="s">
        <v>35</v>
      </c>
      <c r="U200" s="1" t="s">
        <v>48</v>
      </c>
      <c r="V200" s="1" t="s">
        <v>100</v>
      </c>
      <c r="W200">
        <v>3.2</v>
      </c>
      <c r="X200" s="1" t="str">
        <f t="shared" si="9"/>
        <v>valentina.ramirez22@mail.com</v>
      </c>
      <c r="Y200" s="1" t="str">
        <f>INDEX(V:V,MATCH(orders_desnormalizado_prueba3[[#This Row],[acquisition_channel]],U:U,0))</f>
        <v>Bodega Propia CO - envio 2-3 dias</v>
      </c>
      <c r="Z200" s="1" t="str">
        <f>INDEX(T:T,MATCH(orders_desnormalizado_prueba3[[#This Row],[shipping_cost]],W:W,0))</f>
        <v>Colombia</v>
      </c>
      <c r="AA200" s="1" t="str">
        <f t="shared" si="10"/>
        <v>Cartagena</v>
      </c>
      <c r="AB200" s="1"/>
      <c r="AC200" s="1" t="str">
        <f t="shared" si="11"/>
        <v xml:space="preserve"> </v>
      </c>
    </row>
    <row r="201" spans="1:29" x14ac:dyDescent="0.3">
      <c r="A201" s="1" t="s">
        <v>541</v>
      </c>
      <c r="B201">
        <v>1</v>
      </c>
      <c r="C201">
        <v>30.99</v>
      </c>
      <c r="D201">
        <v>30.99</v>
      </c>
      <c r="E201" s="1" t="s">
        <v>50</v>
      </c>
      <c r="F201" s="1" t="s">
        <v>51</v>
      </c>
      <c r="G201">
        <v>0</v>
      </c>
      <c r="H201" s="1" t="s">
        <v>58</v>
      </c>
      <c r="I201" s="1" t="s">
        <v>42</v>
      </c>
      <c r="J201">
        <v>10.5</v>
      </c>
      <c r="K201">
        <v>30.99</v>
      </c>
      <c r="L201" s="1" t="s">
        <v>28</v>
      </c>
      <c r="M201" s="1" t="s">
        <v>43</v>
      </c>
      <c r="N201" s="1" t="s">
        <v>44</v>
      </c>
      <c r="O201" s="1" t="s">
        <v>31</v>
      </c>
      <c r="P201" s="2">
        <v>45823</v>
      </c>
      <c r="Q201" s="1" t="s">
        <v>63</v>
      </c>
      <c r="R201" s="1" t="s">
        <v>371</v>
      </c>
      <c r="S201" s="1" t="s">
        <v>88</v>
      </c>
      <c r="T201" s="1" t="s">
        <v>35</v>
      </c>
      <c r="U201" s="1" t="s">
        <v>36</v>
      </c>
      <c r="V201" s="1" t="s">
        <v>37</v>
      </c>
      <c r="W201">
        <v>2</v>
      </c>
      <c r="X201" s="1" t="str">
        <f t="shared" si="9"/>
        <v>laura.rodriguez85@mail.com</v>
      </c>
      <c r="Y201" s="1" t="str">
        <f>INDEX(V:V,MATCH(orders_desnormalizado_prueba3[[#This Row],[acquisition_channel]],U:U,0))</f>
        <v>Bodega Propia CO - envio 2-3 dias</v>
      </c>
      <c r="Z201" s="1" t="str">
        <f>INDEX(T:T,MATCH(orders_desnormalizado_prueba3[[#This Row],[shipping_cost]],W:W,0))</f>
        <v>Colombia</v>
      </c>
      <c r="AA201" s="1" t="str">
        <f t="shared" si="10"/>
        <v>Cartagena</v>
      </c>
      <c r="AB201" s="1"/>
      <c r="AC201" s="1" t="str">
        <f t="shared" si="11"/>
        <v xml:space="preserve"> </v>
      </c>
    </row>
    <row r="202" spans="1:29" x14ac:dyDescent="0.3">
      <c r="A202" s="1" t="s">
        <v>542</v>
      </c>
      <c r="B202">
        <v>2</v>
      </c>
      <c r="C202">
        <v>16.989999999999998</v>
      </c>
      <c r="D202">
        <v>29.18</v>
      </c>
      <c r="E202" s="1" t="s">
        <v>128</v>
      </c>
      <c r="F202" s="1" t="s">
        <v>188</v>
      </c>
      <c r="G202">
        <v>0</v>
      </c>
      <c r="H202" s="1" t="s">
        <v>96</v>
      </c>
      <c r="I202" s="1" t="s">
        <v>59</v>
      </c>
      <c r="J202">
        <v>5</v>
      </c>
      <c r="K202">
        <v>16.989999999999998</v>
      </c>
      <c r="L202" s="1" t="s">
        <v>60</v>
      </c>
      <c r="M202" s="1" t="s">
        <v>61</v>
      </c>
      <c r="N202" s="1" t="s">
        <v>62</v>
      </c>
      <c r="O202" s="1" t="s">
        <v>31</v>
      </c>
      <c r="P202" s="2">
        <v>45726</v>
      </c>
      <c r="Q202" s="1" t="s">
        <v>339</v>
      </c>
      <c r="R202" s="1" t="s">
        <v>340</v>
      </c>
      <c r="S202" s="1" t="s">
        <v>65</v>
      </c>
      <c r="T202" s="1" t="s">
        <v>35</v>
      </c>
      <c r="U202" s="1" t="s">
        <v>66</v>
      </c>
      <c r="V202" s="1" t="s">
        <v>67</v>
      </c>
      <c r="W202">
        <v>3</v>
      </c>
      <c r="X202" s="1" t="str">
        <f t="shared" si="9"/>
        <v>natalia.ramirez45@mail.com</v>
      </c>
      <c r="Y202" s="1" t="str">
        <f>INDEX(V:V,MATCH(orders_desnormalizado_prueba3[[#This Row],[acquisition_channel]],U:U,0))</f>
        <v>AliDropship CN - envio 15-20 dias</v>
      </c>
      <c r="Z202" s="1" t="str">
        <f>INDEX(T:T,MATCH(orders_desnormalizado_prueba3[[#This Row],[shipping_cost]],W:W,0))</f>
        <v>Colombia</v>
      </c>
      <c r="AA202" s="1" t="str">
        <f t="shared" si="10"/>
        <v>Cartagena</v>
      </c>
      <c r="AB202" s="1"/>
      <c r="AC202" s="1" t="str">
        <f t="shared" si="11"/>
        <v xml:space="preserve"> </v>
      </c>
    </row>
    <row r="203" spans="1:29" x14ac:dyDescent="0.3">
      <c r="A203" s="1" t="s">
        <v>543</v>
      </c>
      <c r="B203">
        <v>1</v>
      </c>
      <c r="C203">
        <v>18.989999999999998</v>
      </c>
      <c r="D203">
        <v>18.989999999999998</v>
      </c>
      <c r="E203" s="1" t="s">
        <v>146</v>
      </c>
      <c r="F203" s="1" t="s">
        <v>70</v>
      </c>
      <c r="G203">
        <v>0</v>
      </c>
      <c r="H203" s="1" t="s">
        <v>96</v>
      </c>
      <c r="I203" s="1" t="s">
        <v>97</v>
      </c>
      <c r="J203">
        <v>6</v>
      </c>
      <c r="K203">
        <v>18.989999999999998</v>
      </c>
      <c r="L203" s="1" t="s">
        <v>60</v>
      </c>
      <c r="M203" s="1" t="s">
        <v>43</v>
      </c>
      <c r="N203" s="1" t="s">
        <v>44</v>
      </c>
      <c r="O203" s="1" t="s">
        <v>31</v>
      </c>
      <c r="P203" s="2">
        <v>45823</v>
      </c>
      <c r="Q203" s="1" t="s">
        <v>544</v>
      </c>
      <c r="R203" s="1" t="s">
        <v>545</v>
      </c>
      <c r="S203" s="1" t="s">
        <v>411</v>
      </c>
      <c r="T203" s="1" t="s">
        <v>35</v>
      </c>
      <c r="U203" s="1" t="s">
        <v>66</v>
      </c>
      <c r="V203" s="1" t="s">
        <v>100</v>
      </c>
      <c r="W203">
        <v>3.2</v>
      </c>
      <c r="X203" s="1" t="str">
        <f t="shared" si="9"/>
        <v>maria.diaz102@mail.com</v>
      </c>
      <c r="Y203" s="1" t="str">
        <f>INDEX(V:V,MATCH(orders_desnormalizado_prueba3[[#This Row],[acquisition_channel]],U:U,0))</f>
        <v>AliDropship CN - envio 15-20 dias</v>
      </c>
      <c r="Z203" s="1" t="str">
        <f>INDEX(T:T,MATCH(orders_desnormalizado_prueba3[[#This Row],[shipping_cost]],W:W,0))</f>
        <v>Colombia</v>
      </c>
      <c r="AA203" s="1" t="str">
        <f t="shared" si="10"/>
        <v>Cartagena</v>
      </c>
      <c r="AB203" s="1"/>
      <c r="AC203" s="1" t="str">
        <f t="shared" si="11"/>
        <v xml:space="preserve"> </v>
      </c>
    </row>
    <row r="204" spans="1:29" x14ac:dyDescent="0.3">
      <c r="A204" s="1" t="s">
        <v>546</v>
      </c>
      <c r="B204">
        <v>1</v>
      </c>
      <c r="C204">
        <v>16.989999999999998</v>
      </c>
      <c r="D204">
        <v>16.989999999999998</v>
      </c>
      <c r="E204" s="1" t="s">
        <v>197</v>
      </c>
      <c r="F204" s="1" t="s">
        <v>188</v>
      </c>
      <c r="G204">
        <v>0</v>
      </c>
      <c r="H204" s="1" t="s">
        <v>26</v>
      </c>
      <c r="I204" s="1" t="s">
        <v>59</v>
      </c>
      <c r="J204">
        <v>5</v>
      </c>
      <c r="K204">
        <v>16.989999999999998</v>
      </c>
      <c r="L204" s="1" t="s">
        <v>60</v>
      </c>
      <c r="M204" s="1" t="s">
        <v>61</v>
      </c>
      <c r="N204" s="1" t="s">
        <v>62</v>
      </c>
      <c r="O204" s="1" t="s">
        <v>31</v>
      </c>
      <c r="P204" s="2">
        <v>45726</v>
      </c>
      <c r="Q204" s="1" t="s">
        <v>45</v>
      </c>
      <c r="R204" s="1" t="s">
        <v>513</v>
      </c>
      <c r="S204" s="1" t="s">
        <v>54</v>
      </c>
      <c r="T204" s="1" t="s">
        <v>35</v>
      </c>
      <c r="U204" s="1" t="s">
        <v>48</v>
      </c>
      <c r="V204" s="1" t="s">
        <v>67</v>
      </c>
      <c r="W204">
        <v>3</v>
      </c>
      <c r="X204" s="1" t="str">
        <f t="shared" si="9"/>
        <v>david.martinez142@mail.com</v>
      </c>
      <c r="Y204" s="1" t="str">
        <f>INDEX(V:V,MATCH(orders_desnormalizado_prueba3[[#This Row],[acquisition_channel]],U:U,0))</f>
        <v>Bodega Propia CO - envio 2-3 dias</v>
      </c>
      <c r="Z204" s="1" t="str">
        <f>INDEX(T:T,MATCH(orders_desnormalizado_prueba3[[#This Row],[shipping_cost]],W:W,0))</f>
        <v>Colombia</v>
      </c>
      <c r="AA204" s="1" t="str">
        <f t="shared" si="10"/>
        <v>Cartagena</v>
      </c>
      <c r="AB204" s="1"/>
      <c r="AC204" s="1" t="str">
        <f t="shared" si="11"/>
        <v xml:space="preserve"> </v>
      </c>
    </row>
    <row r="205" spans="1:29" x14ac:dyDescent="0.3">
      <c r="A205" s="1" t="s">
        <v>547</v>
      </c>
      <c r="B205">
        <v>2</v>
      </c>
      <c r="C205">
        <v>34.99</v>
      </c>
      <c r="D205">
        <v>60.98</v>
      </c>
      <c r="E205" s="1" t="s">
        <v>338</v>
      </c>
      <c r="F205" s="1" t="s">
        <v>40</v>
      </c>
      <c r="G205">
        <v>8</v>
      </c>
      <c r="H205" s="1" t="s">
        <v>96</v>
      </c>
      <c r="I205" s="1" t="s">
        <v>85</v>
      </c>
      <c r="J205">
        <v>12.5</v>
      </c>
      <c r="K205">
        <v>34.99</v>
      </c>
      <c r="L205" s="1" t="s">
        <v>60</v>
      </c>
      <c r="M205" s="1" t="s">
        <v>29</v>
      </c>
      <c r="N205" s="1" t="s">
        <v>30</v>
      </c>
      <c r="O205" s="1" t="s">
        <v>31</v>
      </c>
      <c r="P205" s="2">
        <v>45778</v>
      </c>
      <c r="Q205" s="1" t="s">
        <v>339</v>
      </c>
      <c r="R205" s="1" t="s">
        <v>340</v>
      </c>
      <c r="S205" s="1" t="s">
        <v>65</v>
      </c>
      <c r="T205" s="1" t="s">
        <v>35</v>
      </c>
      <c r="U205" s="1" t="s">
        <v>66</v>
      </c>
      <c r="V205" s="1" t="s">
        <v>89</v>
      </c>
      <c r="W205">
        <v>2.4</v>
      </c>
      <c r="X205" s="1" t="str">
        <f t="shared" si="9"/>
        <v>natalia.ramirez45@mail.com</v>
      </c>
      <c r="Y205" s="1" t="str">
        <f>INDEX(V:V,MATCH(orders_desnormalizado_prueba3[[#This Row],[acquisition_channel]],U:U,0))</f>
        <v>AliDropship CN - envio 15-20 dias</v>
      </c>
      <c r="Z205" s="1" t="str">
        <f>INDEX(T:T,MATCH(orders_desnormalizado_prueba3[[#This Row],[shipping_cost]],W:W,0))</f>
        <v>Colombia</v>
      </c>
      <c r="AA205" s="1" t="str">
        <f t="shared" si="10"/>
        <v>Barranquilla</v>
      </c>
      <c r="AB205" s="1"/>
      <c r="AC205" s="1" t="str">
        <f t="shared" si="11"/>
        <v xml:space="preserve"> </v>
      </c>
    </row>
    <row r="206" spans="1:29" x14ac:dyDescent="0.3">
      <c r="A206" s="1" t="s">
        <v>548</v>
      </c>
      <c r="B206">
        <v>2</v>
      </c>
      <c r="C206">
        <v>34.99</v>
      </c>
      <c r="D206">
        <v>60.98</v>
      </c>
      <c r="E206" s="1" t="s">
        <v>549</v>
      </c>
      <c r="F206" s="1" t="s">
        <v>40</v>
      </c>
      <c r="G206">
        <v>8</v>
      </c>
      <c r="H206" s="1" t="s">
        <v>96</v>
      </c>
      <c r="I206" s="1" t="s">
        <v>85</v>
      </c>
      <c r="J206">
        <v>12.5</v>
      </c>
      <c r="K206">
        <v>34.99</v>
      </c>
      <c r="L206" s="1" t="s">
        <v>60</v>
      </c>
      <c r="M206" s="1" t="s">
        <v>29</v>
      </c>
      <c r="N206" s="1" t="s">
        <v>30</v>
      </c>
      <c r="O206" s="1" t="s">
        <v>31</v>
      </c>
      <c r="P206" s="2">
        <v>45778</v>
      </c>
      <c r="Q206" s="1" t="s">
        <v>308</v>
      </c>
      <c r="R206" s="1" t="s">
        <v>309</v>
      </c>
      <c r="S206" s="1" t="s">
        <v>47</v>
      </c>
      <c r="T206" s="1" t="s">
        <v>35</v>
      </c>
      <c r="U206" s="1" t="s">
        <v>82</v>
      </c>
      <c r="V206" s="1" t="s">
        <v>89</v>
      </c>
      <c r="W206">
        <v>2.4</v>
      </c>
      <c r="X206" s="1" t="str">
        <f t="shared" si="9"/>
        <v>valentina.vargas122@mail.com</v>
      </c>
      <c r="Y206" s="1" t="str">
        <f>INDEX(V:V,MATCH(orders_desnormalizado_prueba3[[#This Row],[acquisition_channel]],U:U,0))</f>
        <v>Bodega Propia CO - envio 2-3 dias</v>
      </c>
      <c r="Z206" s="1" t="str">
        <f>INDEX(T:T,MATCH(orders_desnormalizado_prueba3[[#This Row],[shipping_cost]],W:W,0))</f>
        <v>Colombia</v>
      </c>
      <c r="AA206" s="1" t="str">
        <f t="shared" si="10"/>
        <v>Barranquilla</v>
      </c>
      <c r="AB206" s="1"/>
      <c r="AC206" s="1" t="str">
        <f t="shared" si="11"/>
        <v xml:space="preserve"> </v>
      </c>
    </row>
    <row r="207" spans="1:29" x14ac:dyDescent="0.3">
      <c r="A207" s="1" t="s">
        <v>550</v>
      </c>
      <c r="B207">
        <v>1</v>
      </c>
      <c r="C207">
        <v>18.989999999999998</v>
      </c>
      <c r="D207">
        <v>18.989999999999998</v>
      </c>
      <c r="E207" s="1" t="s">
        <v>274</v>
      </c>
      <c r="F207" s="1" t="s">
        <v>40</v>
      </c>
      <c r="G207">
        <v>11</v>
      </c>
      <c r="H207" s="1" t="s">
        <v>58</v>
      </c>
      <c r="I207" s="1" t="s">
        <v>97</v>
      </c>
      <c r="J207">
        <v>6</v>
      </c>
      <c r="K207">
        <v>18.989999999999998</v>
      </c>
      <c r="L207" s="1" t="s">
        <v>60</v>
      </c>
      <c r="M207" s="1" t="s">
        <v>43</v>
      </c>
      <c r="N207" s="1" t="s">
        <v>44</v>
      </c>
      <c r="O207" s="1" t="s">
        <v>31</v>
      </c>
      <c r="P207" s="2">
        <v>45823</v>
      </c>
      <c r="Q207" s="1" t="s">
        <v>376</v>
      </c>
      <c r="R207" s="1" t="s">
        <v>551</v>
      </c>
      <c r="S207" s="1" t="s">
        <v>34</v>
      </c>
      <c r="T207" s="1" t="s">
        <v>35</v>
      </c>
      <c r="U207" s="1" t="s">
        <v>82</v>
      </c>
      <c r="V207" s="1" t="s">
        <v>100</v>
      </c>
      <c r="W207">
        <v>3.2</v>
      </c>
      <c r="X207" s="1" t="str">
        <f t="shared" si="9"/>
        <v>santiago.perez173@mail.com</v>
      </c>
      <c r="Y207" s="1" t="str">
        <f>INDEX(V:V,MATCH(orders_desnormalizado_prueba3[[#This Row],[acquisition_channel]],U:U,0))</f>
        <v>Bodega Propia CO - envio 2-3 dias</v>
      </c>
      <c r="Z207" s="1" t="str">
        <f>INDEX(T:T,MATCH(orders_desnormalizado_prueba3[[#This Row],[shipping_cost]],W:W,0))</f>
        <v>Colombia</v>
      </c>
      <c r="AA207" s="1" t="str">
        <f t="shared" si="10"/>
        <v>Cali</v>
      </c>
      <c r="AB207" s="1"/>
      <c r="AC207" s="1" t="str">
        <f t="shared" si="11"/>
        <v xml:space="preserve"> </v>
      </c>
    </row>
    <row r="208" spans="1:29" x14ac:dyDescent="0.3">
      <c r="A208" s="1" t="s">
        <v>552</v>
      </c>
      <c r="B208">
        <v>1</v>
      </c>
      <c r="C208">
        <v>27.99</v>
      </c>
      <c r="D208">
        <v>27.99</v>
      </c>
      <c r="E208" s="1" t="s">
        <v>214</v>
      </c>
      <c r="F208" s="1" t="s">
        <v>70</v>
      </c>
      <c r="G208">
        <v>0</v>
      </c>
      <c r="H208" s="1" t="s">
        <v>41</v>
      </c>
      <c r="I208" s="1" t="s">
        <v>75</v>
      </c>
      <c r="J208">
        <v>9</v>
      </c>
      <c r="K208">
        <v>27.99</v>
      </c>
      <c r="L208" s="1" t="s">
        <v>28</v>
      </c>
      <c r="M208" s="1" t="s">
        <v>61</v>
      </c>
      <c r="N208" s="1" t="s">
        <v>62</v>
      </c>
      <c r="O208" s="1" t="s">
        <v>31</v>
      </c>
      <c r="P208" s="2">
        <v>45726</v>
      </c>
      <c r="Q208" s="1" t="s">
        <v>553</v>
      </c>
      <c r="R208" s="1" t="s">
        <v>554</v>
      </c>
      <c r="S208" s="1" t="s">
        <v>105</v>
      </c>
      <c r="T208" s="1" t="s">
        <v>35</v>
      </c>
      <c r="U208" s="1" t="s">
        <v>36</v>
      </c>
      <c r="V208" s="1" t="s">
        <v>37</v>
      </c>
      <c r="W208">
        <v>2</v>
      </c>
      <c r="X208" s="1" t="str">
        <f t="shared" si="9"/>
        <v>david.castro104@mail.com</v>
      </c>
      <c r="Y208" s="1" t="str">
        <f>INDEX(V:V,MATCH(orders_desnormalizado_prueba3[[#This Row],[acquisition_channel]],U:U,0))</f>
        <v>Bodega Propia CO - envio 2-3 dias</v>
      </c>
      <c r="Z208" s="1" t="str">
        <f>INDEX(T:T,MATCH(orders_desnormalizado_prueba3[[#This Row],[shipping_cost]],W:W,0))</f>
        <v>Colombia</v>
      </c>
      <c r="AA208" s="1" t="str">
        <f t="shared" si="10"/>
        <v>Cartagena</v>
      </c>
      <c r="AB208" s="1"/>
      <c r="AC208" s="1" t="str">
        <f t="shared" si="11"/>
        <v xml:space="preserve"> </v>
      </c>
    </row>
    <row r="209" spans="1:29" x14ac:dyDescent="0.3">
      <c r="A209" s="1" t="s">
        <v>555</v>
      </c>
      <c r="B209">
        <v>1</v>
      </c>
      <c r="C209">
        <v>21.99</v>
      </c>
      <c r="D209">
        <v>21.99</v>
      </c>
      <c r="E209" s="1" t="s">
        <v>113</v>
      </c>
      <c r="F209" s="1" t="s">
        <v>188</v>
      </c>
      <c r="G209">
        <v>0</v>
      </c>
      <c r="H209" s="1" t="s">
        <v>96</v>
      </c>
      <c r="I209" s="1" t="s">
        <v>27</v>
      </c>
      <c r="J209">
        <v>7</v>
      </c>
      <c r="K209">
        <v>21.99</v>
      </c>
      <c r="L209" s="1" t="s">
        <v>28</v>
      </c>
      <c r="M209" s="1" t="s">
        <v>29</v>
      </c>
      <c r="N209" s="1" t="s">
        <v>30</v>
      </c>
      <c r="O209" s="1" t="s">
        <v>31</v>
      </c>
      <c r="P209" s="2">
        <v>45778</v>
      </c>
      <c r="Q209" s="1" t="s">
        <v>234</v>
      </c>
      <c r="R209" s="1" t="s">
        <v>556</v>
      </c>
      <c r="S209" s="1" t="s">
        <v>88</v>
      </c>
      <c r="T209" s="1" t="s">
        <v>35</v>
      </c>
      <c r="U209" s="1" t="s">
        <v>48</v>
      </c>
      <c r="V209" s="1" t="s">
        <v>37</v>
      </c>
      <c r="W209">
        <v>2</v>
      </c>
      <c r="X209" s="1" t="str">
        <f t="shared" si="9"/>
        <v>david.sanchez5@mail.com</v>
      </c>
      <c r="Y209" s="1" t="str">
        <f>INDEX(V:V,MATCH(orders_desnormalizado_prueba3[[#This Row],[acquisition_channel]],U:U,0))</f>
        <v>Bodega Propia CO - envio 2-3 dias</v>
      </c>
      <c r="Z209" s="1" t="str">
        <f>INDEX(T:T,MATCH(orders_desnormalizado_prueba3[[#This Row],[shipping_cost]],W:W,0))</f>
        <v>Colombia</v>
      </c>
      <c r="AA209" s="1" t="str">
        <f t="shared" si="10"/>
        <v>Cartagena</v>
      </c>
      <c r="AB209" s="1"/>
      <c r="AC209" s="1" t="str">
        <f t="shared" si="11"/>
        <v xml:space="preserve"> </v>
      </c>
    </row>
    <row r="210" spans="1:29" x14ac:dyDescent="0.3">
      <c r="A210" s="1" t="s">
        <v>557</v>
      </c>
      <c r="B210">
        <v>1</v>
      </c>
      <c r="C210">
        <v>18.989999999999998</v>
      </c>
      <c r="D210">
        <v>18.989999999999998</v>
      </c>
      <c r="E210" s="1" t="s">
        <v>228</v>
      </c>
      <c r="F210" s="1" t="s">
        <v>40</v>
      </c>
      <c r="G210">
        <v>10</v>
      </c>
      <c r="H210" s="1" t="s">
        <v>96</v>
      </c>
      <c r="I210" s="1" t="s">
        <v>97</v>
      </c>
      <c r="J210">
        <v>6</v>
      </c>
      <c r="K210">
        <v>18.989999999999998</v>
      </c>
      <c r="L210" s="1" t="s">
        <v>60</v>
      </c>
      <c r="M210" s="1" t="s">
        <v>43</v>
      </c>
      <c r="N210" s="1" t="s">
        <v>44</v>
      </c>
      <c r="O210" s="1" t="s">
        <v>31</v>
      </c>
      <c r="P210" s="2">
        <v>45823</v>
      </c>
      <c r="Q210" s="1" t="s">
        <v>518</v>
      </c>
      <c r="R210" s="1" t="s">
        <v>519</v>
      </c>
      <c r="S210" s="1" t="s">
        <v>54</v>
      </c>
      <c r="T210" s="1" t="s">
        <v>35</v>
      </c>
      <c r="U210" s="1" t="s">
        <v>55</v>
      </c>
      <c r="V210" s="1" t="s">
        <v>100</v>
      </c>
      <c r="W210">
        <v>3.2</v>
      </c>
      <c r="X210" s="1" t="str">
        <f t="shared" si="9"/>
        <v>juan.castro151@mail.com</v>
      </c>
      <c r="Y210" s="1" t="str">
        <f>INDEX(V:V,MATCH(orders_desnormalizado_prueba3[[#This Row],[acquisition_channel]],U:U,0))</f>
        <v>Bodega Propia CO - envio 2-3 dias</v>
      </c>
      <c r="Z210" s="1" t="str">
        <f>INDEX(T:T,MATCH(orders_desnormalizado_prueba3[[#This Row],[shipping_cost]],W:W,0))</f>
        <v>Colombia</v>
      </c>
      <c r="AA210" s="1" t="str">
        <f t="shared" si="10"/>
        <v>Bogota</v>
      </c>
      <c r="AB210" s="1"/>
      <c r="AC210" s="1" t="str">
        <f t="shared" si="11"/>
        <v xml:space="preserve"> </v>
      </c>
    </row>
    <row r="211" spans="1:29" x14ac:dyDescent="0.3">
      <c r="A211" s="1" t="s">
        <v>558</v>
      </c>
      <c r="B211">
        <v>1</v>
      </c>
      <c r="C211">
        <v>27.99</v>
      </c>
      <c r="D211">
        <v>27.99</v>
      </c>
      <c r="E211" s="1" t="s">
        <v>272</v>
      </c>
      <c r="F211" s="1" t="s">
        <v>51</v>
      </c>
      <c r="G211">
        <v>0</v>
      </c>
      <c r="H211" s="1" t="s">
        <v>96</v>
      </c>
      <c r="I211" s="1" t="s">
        <v>75</v>
      </c>
      <c r="J211">
        <v>9</v>
      </c>
      <c r="K211">
        <v>27.99</v>
      </c>
      <c r="L211" s="1" t="s">
        <v>28</v>
      </c>
      <c r="M211" s="1" t="s">
        <v>61</v>
      </c>
      <c r="N211" s="1" t="s">
        <v>62</v>
      </c>
      <c r="O211" s="1" t="s">
        <v>31</v>
      </c>
      <c r="P211" s="2">
        <v>45726</v>
      </c>
      <c r="Q211" s="1" t="s">
        <v>379</v>
      </c>
      <c r="R211" s="1" t="s">
        <v>380</v>
      </c>
      <c r="S211" s="1" t="s">
        <v>34</v>
      </c>
      <c r="T211" s="1" t="s">
        <v>35</v>
      </c>
      <c r="U211" s="1" t="s">
        <v>55</v>
      </c>
      <c r="V211" s="1" t="s">
        <v>37</v>
      </c>
      <c r="W211">
        <v>2</v>
      </c>
      <c r="X211" s="1" t="str">
        <f t="shared" si="9"/>
        <v>sofia.sanchez55@mail.com</v>
      </c>
      <c r="Y211" s="1" t="str">
        <f>INDEX(V:V,MATCH(orders_desnormalizado_prueba3[[#This Row],[acquisition_channel]],U:U,0))</f>
        <v>Bodega Propia CO - envio 2-3 dias</v>
      </c>
      <c r="Z211" s="1" t="str">
        <f>INDEX(T:T,MATCH(orders_desnormalizado_prueba3[[#This Row],[shipping_cost]],W:W,0))</f>
        <v>Colombia</v>
      </c>
      <c r="AA211" s="1" t="str">
        <f t="shared" si="10"/>
        <v>Cartagena</v>
      </c>
      <c r="AB211" s="1"/>
      <c r="AC211" s="1" t="str">
        <f t="shared" si="11"/>
        <v xml:space="preserve"> </v>
      </c>
    </row>
    <row r="212" spans="1:29" x14ac:dyDescent="0.3">
      <c r="A212" s="1" t="s">
        <v>559</v>
      </c>
      <c r="B212">
        <v>3</v>
      </c>
      <c r="C212">
        <v>21.99</v>
      </c>
      <c r="D212">
        <v>52.48</v>
      </c>
      <c r="E212" s="1" t="s">
        <v>160</v>
      </c>
      <c r="F212" s="1" t="s">
        <v>51</v>
      </c>
      <c r="G212">
        <v>0</v>
      </c>
      <c r="H212" s="1" t="s">
        <v>26</v>
      </c>
      <c r="I212" s="1" t="s">
        <v>27</v>
      </c>
      <c r="J212">
        <v>7</v>
      </c>
      <c r="K212">
        <v>21.99</v>
      </c>
      <c r="L212" s="1" t="s">
        <v>28</v>
      </c>
      <c r="M212" s="1" t="s">
        <v>29</v>
      </c>
      <c r="N212" s="1" t="s">
        <v>30</v>
      </c>
      <c r="O212" s="1" t="s">
        <v>31</v>
      </c>
      <c r="P212" s="2">
        <v>45778</v>
      </c>
      <c r="Q212" s="1" t="s">
        <v>318</v>
      </c>
      <c r="R212" s="1" t="s">
        <v>319</v>
      </c>
      <c r="S212" s="1" t="s">
        <v>54</v>
      </c>
      <c r="T212" s="1" t="s">
        <v>35</v>
      </c>
      <c r="U212" s="1" t="s">
        <v>55</v>
      </c>
      <c r="V212" s="1" t="s">
        <v>37</v>
      </c>
      <c r="W212">
        <v>2</v>
      </c>
      <c r="X212" s="1" t="str">
        <f t="shared" si="9"/>
        <v>paula.vargas58@mail.com</v>
      </c>
      <c r="Y212" s="1" t="str">
        <f>INDEX(V:V,MATCH(orders_desnormalizado_prueba3[[#This Row],[acquisition_channel]],U:U,0))</f>
        <v>Bodega Propia CO - envio 2-3 dias</v>
      </c>
      <c r="Z212" s="1" t="str">
        <f>INDEX(T:T,MATCH(orders_desnormalizado_prueba3[[#This Row],[shipping_cost]],W:W,0))</f>
        <v>Colombia</v>
      </c>
      <c r="AA212" s="1" t="str">
        <f t="shared" si="10"/>
        <v>Cartagena</v>
      </c>
      <c r="AB212" s="1"/>
      <c r="AC212" s="1" t="str">
        <f t="shared" si="11"/>
        <v xml:space="preserve"> </v>
      </c>
    </row>
    <row r="213" spans="1:29" x14ac:dyDescent="0.3">
      <c r="A213" s="1" t="s">
        <v>560</v>
      </c>
      <c r="B213">
        <v>1</v>
      </c>
      <c r="C213">
        <v>34.99</v>
      </c>
      <c r="D213">
        <v>34.99</v>
      </c>
      <c r="E213" s="1" t="s">
        <v>561</v>
      </c>
      <c r="F213" s="1" t="s">
        <v>40</v>
      </c>
      <c r="G213">
        <v>5</v>
      </c>
      <c r="H213" s="1" t="s">
        <v>26</v>
      </c>
      <c r="I213" s="1" t="s">
        <v>85</v>
      </c>
      <c r="J213">
        <v>12.5</v>
      </c>
      <c r="K213">
        <v>34.99</v>
      </c>
      <c r="L213" s="1" t="s">
        <v>60</v>
      </c>
      <c r="M213" s="1" t="s">
        <v>29</v>
      </c>
      <c r="N213" s="1" t="s">
        <v>30</v>
      </c>
      <c r="O213" s="1" t="s">
        <v>31</v>
      </c>
      <c r="P213" s="2">
        <v>45778</v>
      </c>
      <c r="Q213" s="1" t="s">
        <v>165</v>
      </c>
      <c r="R213" s="1" t="s">
        <v>562</v>
      </c>
      <c r="S213" s="1" t="s">
        <v>34</v>
      </c>
      <c r="T213" s="1" t="s">
        <v>35</v>
      </c>
      <c r="U213" s="1" t="s">
        <v>48</v>
      </c>
      <c r="V213" s="1" t="s">
        <v>89</v>
      </c>
      <c r="W213">
        <v>2.4</v>
      </c>
      <c r="X213" s="1" t="str">
        <f t="shared" si="9"/>
        <v>paula.sanchez95@mail.com</v>
      </c>
      <c r="Y213" s="1" t="str">
        <f>INDEX(V:V,MATCH(orders_desnormalizado_prueba3[[#This Row],[acquisition_channel]],U:U,0))</f>
        <v>Bodega Propia CO - envio 2-3 dias</v>
      </c>
      <c r="Z213" s="1" t="str">
        <f>INDEX(T:T,MATCH(orders_desnormalizado_prueba3[[#This Row],[shipping_cost]],W:W,0))</f>
        <v>Colombia</v>
      </c>
      <c r="AA213" s="1" t="str">
        <f t="shared" si="10"/>
        <v>Cali</v>
      </c>
      <c r="AB213" s="1"/>
      <c r="AC213" s="1" t="str">
        <f t="shared" si="11"/>
        <v xml:space="preserve"> </v>
      </c>
    </row>
    <row r="214" spans="1:29" x14ac:dyDescent="0.3">
      <c r="A214" s="1" t="s">
        <v>563</v>
      </c>
      <c r="B214">
        <v>1</v>
      </c>
      <c r="C214">
        <v>30.99</v>
      </c>
      <c r="D214">
        <v>30.99</v>
      </c>
      <c r="E214" s="1" t="s">
        <v>146</v>
      </c>
      <c r="F214" s="1" t="s">
        <v>70</v>
      </c>
      <c r="G214">
        <v>0</v>
      </c>
      <c r="H214" s="1" t="s">
        <v>26</v>
      </c>
      <c r="I214" s="1" t="s">
        <v>42</v>
      </c>
      <c r="J214">
        <v>10.5</v>
      </c>
      <c r="K214">
        <v>30.99</v>
      </c>
      <c r="L214" s="1" t="s">
        <v>28</v>
      </c>
      <c r="M214" s="1" t="s">
        <v>43</v>
      </c>
      <c r="N214" s="1" t="s">
        <v>44</v>
      </c>
      <c r="O214" s="1" t="s">
        <v>31</v>
      </c>
      <c r="P214" s="2">
        <v>45823</v>
      </c>
      <c r="Q214" s="1" t="s">
        <v>32</v>
      </c>
      <c r="R214" s="1" t="s">
        <v>33</v>
      </c>
      <c r="S214" s="1" t="s">
        <v>34</v>
      </c>
      <c r="T214" s="1" t="s">
        <v>35</v>
      </c>
      <c r="U214" s="1" t="s">
        <v>36</v>
      </c>
      <c r="V214" s="1" t="s">
        <v>37</v>
      </c>
      <c r="W214">
        <v>2</v>
      </c>
      <c r="X214" s="1" t="str">
        <f t="shared" si="9"/>
        <v>laura.gomez71@mail.com</v>
      </c>
      <c r="Y214" s="1" t="str">
        <f>INDEX(V:V,MATCH(orders_desnormalizado_prueba3[[#This Row],[acquisition_channel]],U:U,0))</f>
        <v>Bodega Propia CO - envio 2-3 dias</v>
      </c>
      <c r="Z214" s="1" t="str">
        <f>INDEX(T:T,MATCH(orders_desnormalizado_prueba3[[#This Row],[shipping_cost]],W:W,0))</f>
        <v>Colombia</v>
      </c>
      <c r="AA214" s="1" t="str">
        <f t="shared" si="10"/>
        <v>Cartagena</v>
      </c>
      <c r="AB214" s="1"/>
      <c r="AC214" s="1" t="str">
        <f t="shared" si="11"/>
        <v xml:space="preserve"> </v>
      </c>
    </row>
    <row r="215" spans="1:29" x14ac:dyDescent="0.3">
      <c r="A215" s="1" t="s">
        <v>564</v>
      </c>
      <c r="B215">
        <v>2</v>
      </c>
      <c r="C215">
        <v>18.989999999999998</v>
      </c>
      <c r="D215">
        <v>32.78</v>
      </c>
      <c r="E215" s="1" t="s">
        <v>313</v>
      </c>
      <c r="F215" s="1" t="s">
        <v>51</v>
      </c>
      <c r="G215">
        <v>0</v>
      </c>
      <c r="H215" s="1" t="s">
        <v>26</v>
      </c>
      <c r="I215" s="1" t="s">
        <v>97</v>
      </c>
      <c r="J215">
        <v>6</v>
      </c>
      <c r="K215">
        <v>18.989999999999998</v>
      </c>
      <c r="L215" s="1" t="s">
        <v>60</v>
      </c>
      <c r="M215" s="1" t="s">
        <v>43</v>
      </c>
      <c r="N215" s="1" t="s">
        <v>44</v>
      </c>
      <c r="O215" s="1" t="s">
        <v>31</v>
      </c>
      <c r="P215" s="2">
        <v>45823</v>
      </c>
      <c r="Q215" s="1" t="s">
        <v>553</v>
      </c>
      <c r="R215" s="1" t="s">
        <v>554</v>
      </c>
      <c r="S215" s="1" t="s">
        <v>105</v>
      </c>
      <c r="T215" s="1" t="s">
        <v>35</v>
      </c>
      <c r="U215" s="1" t="s">
        <v>36</v>
      </c>
      <c r="V215" s="1" t="s">
        <v>100</v>
      </c>
      <c r="W215">
        <v>3.2</v>
      </c>
      <c r="X215" s="1" t="str">
        <f t="shared" si="9"/>
        <v>david.castro104@mail.com</v>
      </c>
      <c r="Y215" s="1" t="str">
        <f>INDEX(V:V,MATCH(orders_desnormalizado_prueba3[[#This Row],[acquisition_channel]],U:U,0))</f>
        <v>Bodega Propia CO - envio 2-3 dias</v>
      </c>
      <c r="Z215" s="1" t="str">
        <f>INDEX(T:T,MATCH(orders_desnormalizado_prueba3[[#This Row],[shipping_cost]],W:W,0))</f>
        <v>Colombia</v>
      </c>
      <c r="AA215" s="1" t="str">
        <f t="shared" si="10"/>
        <v>Cartagena</v>
      </c>
      <c r="AB215" s="1"/>
      <c r="AC215" s="1" t="str">
        <f t="shared" si="11"/>
        <v xml:space="preserve"> </v>
      </c>
    </row>
    <row r="216" spans="1:29" x14ac:dyDescent="0.3">
      <c r="A216" s="1" t="s">
        <v>565</v>
      </c>
      <c r="B216">
        <v>1</v>
      </c>
      <c r="C216">
        <v>30.99</v>
      </c>
      <c r="D216">
        <v>30.99</v>
      </c>
      <c r="E216" s="1" t="s">
        <v>50</v>
      </c>
      <c r="F216" s="1" t="s">
        <v>70</v>
      </c>
      <c r="G216">
        <v>0</v>
      </c>
      <c r="H216" s="1" t="s">
        <v>26</v>
      </c>
      <c r="I216" s="1" t="s">
        <v>42</v>
      </c>
      <c r="J216">
        <v>10.5</v>
      </c>
      <c r="K216">
        <v>30.99</v>
      </c>
      <c r="L216" s="1" t="s">
        <v>28</v>
      </c>
      <c r="M216" s="1" t="s">
        <v>43</v>
      </c>
      <c r="N216" s="1" t="s">
        <v>44</v>
      </c>
      <c r="O216" s="1" t="s">
        <v>31</v>
      </c>
      <c r="P216" s="2">
        <v>45823</v>
      </c>
      <c r="Q216" s="1" t="s">
        <v>249</v>
      </c>
      <c r="R216" s="1" t="s">
        <v>250</v>
      </c>
      <c r="S216" s="1" t="s">
        <v>47</v>
      </c>
      <c r="T216" s="1" t="s">
        <v>35</v>
      </c>
      <c r="U216" s="1" t="s">
        <v>82</v>
      </c>
      <c r="V216" s="1" t="s">
        <v>37</v>
      </c>
      <c r="W216">
        <v>2</v>
      </c>
      <c r="X216" s="1" t="str">
        <f t="shared" si="9"/>
        <v>diego.rodriguez176@mail.com</v>
      </c>
      <c r="Y216" s="1" t="str">
        <f>INDEX(V:V,MATCH(orders_desnormalizado_prueba3[[#This Row],[acquisition_channel]],U:U,0))</f>
        <v>Bodega Propia CO - envio 2-3 dias</v>
      </c>
      <c r="Z216" s="1" t="str">
        <f>INDEX(T:T,MATCH(orders_desnormalizado_prueba3[[#This Row],[shipping_cost]],W:W,0))</f>
        <v>Colombia</v>
      </c>
      <c r="AA216" s="1" t="str">
        <f t="shared" si="10"/>
        <v>Cartagena</v>
      </c>
      <c r="AB216" s="1"/>
      <c r="AC216" s="1" t="str">
        <f t="shared" si="11"/>
        <v xml:space="preserve"> </v>
      </c>
    </row>
    <row r="217" spans="1:29" x14ac:dyDescent="0.3">
      <c r="A217" s="1" t="s">
        <v>566</v>
      </c>
      <c r="B217">
        <v>3</v>
      </c>
      <c r="C217">
        <v>30.99</v>
      </c>
      <c r="D217">
        <v>74.53</v>
      </c>
      <c r="E217" s="1" t="s">
        <v>69</v>
      </c>
      <c r="F217" s="1" t="s">
        <v>51</v>
      </c>
      <c r="G217">
        <v>0</v>
      </c>
      <c r="H217" s="1" t="s">
        <v>26</v>
      </c>
      <c r="I217" s="1" t="s">
        <v>42</v>
      </c>
      <c r="J217">
        <v>10.5</v>
      </c>
      <c r="K217">
        <v>30.99</v>
      </c>
      <c r="L217" s="1" t="s">
        <v>28</v>
      </c>
      <c r="M217" s="1" t="s">
        <v>43</v>
      </c>
      <c r="N217" s="1" t="s">
        <v>44</v>
      </c>
      <c r="O217" s="1" t="s">
        <v>31</v>
      </c>
      <c r="P217" s="2">
        <v>45823</v>
      </c>
      <c r="Q217" s="1" t="s">
        <v>425</v>
      </c>
      <c r="R217" s="1" t="s">
        <v>426</v>
      </c>
      <c r="S217" s="1" t="s">
        <v>47</v>
      </c>
      <c r="T217" s="1" t="s">
        <v>35</v>
      </c>
      <c r="U217" s="1" t="s">
        <v>55</v>
      </c>
      <c r="V217" s="1" t="s">
        <v>37</v>
      </c>
      <c r="W217">
        <v>2</v>
      </c>
      <c r="X217" s="1" t="str">
        <f t="shared" si="9"/>
        <v>paula.ramirez47@mail.com</v>
      </c>
      <c r="Y217" s="1" t="str">
        <f>INDEX(V:V,MATCH(orders_desnormalizado_prueba3[[#This Row],[acquisition_channel]],U:U,0))</f>
        <v>Bodega Propia CO - envio 2-3 dias</v>
      </c>
      <c r="Z217" s="1" t="str">
        <f>INDEX(T:T,MATCH(orders_desnormalizado_prueba3[[#This Row],[shipping_cost]],W:W,0))</f>
        <v>Colombia</v>
      </c>
      <c r="AA217" s="1" t="str">
        <f t="shared" si="10"/>
        <v>Cartagena</v>
      </c>
      <c r="AB217" s="1"/>
      <c r="AC217" s="1" t="str">
        <f t="shared" si="11"/>
        <v xml:space="preserve"> </v>
      </c>
    </row>
    <row r="218" spans="1:29" x14ac:dyDescent="0.3">
      <c r="A218" s="1" t="s">
        <v>567</v>
      </c>
      <c r="B218">
        <v>3</v>
      </c>
      <c r="C218">
        <v>21.99</v>
      </c>
      <c r="D218">
        <v>52.48</v>
      </c>
      <c r="E218" s="1" t="s">
        <v>181</v>
      </c>
      <c r="F218" s="1" t="s">
        <v>40</v>
      </c>
      <c r="G218">
        <v>3</v>
      </c>
      <c r="H218" s="1" t="s">
        <v>96</v>
      </c>
      <c r="I218" s="1" t="s">
        <v>27</v>
      </c>
      <c r="J218">
        <v>7</v>
      </c>
      <c r="K218">
        <v>21.99</v>
      </c>
      <c r="L218" s="1" t="s">
        <v>28</v>
      </c>
      <c r="M218" s="1" t="s">
        <v>29</v>
      </c>
      <c r="N218" s="1" t="s">
        <v>30</v>
      </c>
      <c r="O218" s="1" t="s">
        <v>31</v>
      </c>
      <c r="P218" s="2">
        <v>45778</v>
      </c>
      <c r="Q218" s="1" t="s">
        <v>98</v>
      </c>
      <c r="R218" s="1" t="s">
        <v>99</v>
      </c>
      <c r="S218" s="1" t="s">
        <v>47</v>
      </c>
      <c r="T218" s="1" t="s">
        <v>35</v>
      </c>
      <c r="U218" s="1" t="s">
        <v>66</v>
      </c>
      <c r="V218" s="1" t="s">
        <v>37</v>
      </c>
      <c r="W218">
        <v>2</v>
      </c>
      <c r="X218" s="1" t="str">
        <f t="shared" si="9"/>
        <v>david.perez76@mail.com</v>
      </c>
      <c r="Y218" s="1" t="str">
        <f>INDEX(V:V,MATCH(orders_desnormalizado_prueba3[[#This Row],[acquisition_channel]],U:U,0))</f>
        <v>AliDropship CN - envio 15-20 dias</v>
      </c>
      <c r="Z218" s="1" t="str">
        <f>INDEX(T:T,MATCH(orders_desnormalizado_prueba3[[#This Row],[shipping_cost]],W:W,0))</f>
        <v>Colombia</v>
      </c>
      <c r="AA218" s="1" t="str">
        <f t="shared" si="10"/>
        <v>Barranquilla</v>
      </c>
      <c r="AB218" s="1"/>
      <c r="AC218" s="1" t="str">
        <f t="shared" si="11"/>
        <v xml:space="preserve"> </v>
      </c>
    </row>
    <row r="219" spans="1:29" x14ac:dyDescent="0.3">
      <c r="A219" s="1" t="s">
        <v>568</v>
      </c>
      <c r="B219">
        <v>1</v>
      </c>
      <c r="C219">
        <v>34.99</v>
      </c>
      <c r="D219">
        <v>34.99</v>
      </c>
      <c r="E219" s="1" t="s">
        <v>447</v>
      </c>
      <c r="F219" s="1" t="s">
        <v>40</v>
      </c>
      <c r="G219">
        <v>8</v>
      </c>
      <c r="H219" s="1" t="s">
        <v>26</v>
      </c>
      <c r="I219" s="1" t="s">
        <v>85</v>
      </c>
      <c r="J219">
        <v>12.5</v>
      </c>
      <c r="K219">
        <v>34.99</v>
      </c>
      <c r="L219" s="1" t="s">
        <v>60</v>
      </c>
      <c r="M219" s="1" t="s">
        <v>29</v>
      </c>
      <c r="N219" s="1" t="s">
        <v>30</v>
      </c>
      <c r="O219" s="1" t="s">
        <v>31</v>
      </c>
      <c r="P219" s="2">
        <v>45778</v>
      </c>
      <c r="Q219" s="1" t="s">
        <v>569</v>
      </c>
      <c r="R219" s="1" t="s">
        <v>570</v>
      </c>
      <c r="S219" s="1" t="s">
        <v>105</v>
      </c>
      <c r="T219" s="1" t="s">
        <v>35</v>
      </c>
      <c r="U219" s="1" t="s">
        <v>66</v>
      </c>
      <c r="V219" s="1" t="s">
        <v>89</v>
      </c>
      <c r="W219">
        <v>2.4</v>
      </c>
      <c r="X219" s="1" t="str">
        <f t="shared" si="9"/>
        <v>david.ramirez136@mail.com</v>
      </c>
      <c r="Y219" s="1" t="str">
        <f>INDEX(V:V,MATCH(orders_desnormalizado_prueba3[[#This Row],[acquisition_channel]],U:U,0))</f>
        <v>AliDropship CN - envio 15-20 dias</v>
      </c>
      <c r="Z219" s="1" t="str">
        <f>INDEX(T:T,MATCH(orders_desnormalizado_prueba3[[#This Row],[shipping_cost]],W:W,0))</f>
        <v>Colombia</v>
      </c>
      <c r="AA219" s="1" t="str">
        <f t="shared" si="10"/>
        <v>Barranquilla</v>
      </c>
      <c r="AB219" s="1"/>
      <c r="AC219" s="1" t="str">
        <f t="shared" si="11"/>
        <v xml:space="preserve"> </v>
      </c>
    </row>
    <row r="220" spans="1:29" x14ac:dyDescent="0.3">
      <c r="A220" s="1" t="s">
        <v>571</v>
      </c>
      <c r="B220">
        <v>1</v>
      </c>
      <c r="C220">
        <v>34.99</v>
      </c>
      <c r="D220">
        <v>34.99</v>
      </c>
      <c r="E220" s="1" t="s">
        <v>69</v>
      </c>
      <c r="F220" s="1" t="s">
        <v>51</v>
      </c>
      <c r="G220">
        <v>0</v>
      </c>
      <c r="H220" s="1" t="s">
        <v>96</v>
      </c>
      <c r="I220" s="1" t="s">
        <v>85</v>
      </c>
      <c r="J220">
        <v>12.5</v>
      </c>
      <c r="K220">
        <v>34.99</v>
      </c>
      <c r="L220" s="1" t="s">
        <v>60</v>
      </c>
      <c r="M220" s="1" t="s">
        <v>29</v>
      </c>
      <c r="N220" s="1" t="s">
        <v>30</v>
      </c>
      <c r="O220" s="1" t="s">
        <v>31</v>
      </c>
      <c r="P220" s="2">
        <v>45778</v>
      </c>
      <c r="Q220" s="1" t="s">
        <v>318</v>
      </c>
      <c r="R220" s="1" t="s">
        <v>538</v>
      </c>
      <c r="S220" s="1" t="s">
        <v>65</v>
      </c>
      <c r="T220" s="1" t="s">
        <v>35</v>
      </c>
      <c r="U220" s="1" t="s">
        <v>36</v>
      </c>
      <c r="V220" s="1" t="s">
        <v>89</v>
      </c>
      <c r="W220">
        <v>2.4</v>
      </c>
      <c r="X220" s="1" t="str">
        <f t="shared" si="9"/>
        <v>paula.vargas58@mail.com</v>
      </c>
      <c r="Y220" s="1" t="str">
        <f>INDEX(V:V,MATCH(orders_desnormalizado_prueba3[[#This Row],[acquisition_channel]],U:U,0))</f>
        <v>Bodega Propia CO - envio 2-3 dias</v>
      </c>
      <c r="Z220" s="1" t="str">
        <f>INDEX(T:T,MATCH(orders_desnormalizado_prueba3[[#This Row],[shipping_cost]],W:W,0))</f>
        <v>Colombia</v>
      </c>
      <c r="AA220" s="1" t="str">
        <f t="shared" si="10"/>
        <v>Cartagena</v>
      </c>
      <c r="AB220" s="1"/>
      <c r="AC220" s="1" t="str">
        <f t="shared" si="11"/>
        <v xml:space="preserve"> </v>
      </c>
    </row>
    <row r="221" spans="1:29" x14ac:dyDescent="0.3">
      <c r="A221" s="1" t="s">
        <v>572</v>
      </c>
      <c r="B221">
        <v>2</v>
      </c>
      <c r="C221">
        <v>16.989999999999998</v>
      </c>
      <c r="D221">
        <v>29.18</v>
      </c>
      <c r="E221" s="1" t="s">
        <v>445</v>
      </c>
      <c r="F221" s="1" t="s">
        <v>188</v>
      </c>
      <c r="G221">
        <v>0</v>
      </c>
      <c r="H221" s="1" t="s">
        <v>58</v>
      </c>
      <c r="I221" s="1" t="s">
        <v>59</v>
      </c>
      <c r="J221">
        <v>5</v>
      </c>
      <c r="K221">
        <v>16.989999999999998</v>
      </c>
      <c r="L221" s="1" t="s">
        <v>60</v>
      </c>
      <c r="M221" s="1" t="s">
        <v>61</v>
      </c>
      <c r="N221" s="1" t="s">
        <v>62</v>
      </c>
      <c r="O221" s="1" t="s">
        <v>31</v>
      </c>
      <c r="P221" s="2">
        <v>45726</v>
      </c>
      <c r="Q221" s="1" t="s">
        <v>216</v>
      </c>
      <c r="R221" s="1" t="s">
        <v>484</v>
      </c>
      <c r="S221" s="1" t="s">
        <v>105</v>
      </c>
      <c r="T221" s="1" t="s">
        <v>35</v>
      </c>
      <c r="U221" s="1" t="s">
        <v>48</v>
      </c>
      <c r="V221" s="1" t="s">
        <v>67</v>
      </c>
      <c r="W221">
        <v>3</v>
      </c>
      <c r="X221" s="1" t="str">
        <f t="shared" si="9"/>
        <v>valentina.perez50@mail.com</v>
      </c>
      <c r="Y221" s="1" t="str">
        <f>INDEX(V:V,MATCH(orders_desnormalizado_prueba3[[#This Row],[acquisition_channel]],U:U,0))</f>
        <v>Bodega Propia CO - envio 2-3 dias</v>
      </c>
      <c r="Z221" s="1" t="str">
        <f>INDEX(T:T,MATCH(orders_desnormalizado_prueba3[[#This Row],[shipping_cost]],W:W,0))</f>
        <v>Colombia</v>
      </c>
      <c r="AA221" s="1" t="str">
        <f t="shared" si="10"/>
        <v>Cartagena</v>
      </c>
      <c r="AB221" s="1"/>
      <c r="AC221" s="1" t="str">
        <f t="shared" si="11"/>
        <v xml:space="preserve"> </v>
      </c>
    </row>
    <row r="222" spans="1:29" x14ac:dyDescent="0.3">
      <c r="A222" s="1" t="s">
        <v>573</v>
      </c>
      <c r="B222">
        <v>2</v>
      </c>
      <c r="C222">
        <v>18.989999999999998</v>
      </c>
      <c r="D222">
        <v>32.78</v>
      </c>
      <c r="E222" s="1" t="s">
        <v>113</v>
      </c>
      <c r="F222" s="1" t="s">
        <v>25</v>
      </c>
      <c r="G222">
        <v>10</v>
      </c>
      <c r="H222" s="1" t="s">
        <v>41</v>
      </c>
      <c r="I222" s="1" t="s">
        <v>97</v>
      </c>
      <c r="J222">
        <v>6</v>
      </c>
      <c r="K222">
        <v>18.989999999999998</v>
      </c>
      <c r="L222" s="1" t="s">
        <v>60</v>
      </c>
      <c r="M222" s="1" t="s">
        <v>43</v>
      </c>
      <c r="N222" s="1" t="s">
        <v>44</v>
      </c>
      <c r="O222" s="1" t="s">
        <v>31</v>
      </c>
      <c r="P222" s="2">
        <v>45823</v>
      </c>
      <c r="Q222" s="1" t="s">
        <v>269</v>
      </c>
      <c r="R222" s="1" t="s">
        <v>270</v>
      </c>
      <c r="S222" s="1" t="s">
        <v>88</v>
      </c>
      <c r="T222" s="1" t="s">
        <v>35</v>
      </c>
      <c r="U222" s="1" t="s">
        <v>55</v>
      </c>
      <c r="V222" s="1" t="s">
        <v>100</v>
      </c>
      <c r="W222">
        <v>3.2</v>
      </c>
      <c r="X222" s="1" t="str">
        <f t="shared" si="9"/>
        <v>camila.vargas52@mail.com</v>
      </c>
      <c r="Y222" s="1" t="str">
        <f>INDEX(V:V,MATCH(orders_desnormalizado_prueba3[[#This Row],[acquisition_channel]],U:U,0))</f>
        <v>Bodega Propia CO - envio 2-3 dias</v>
      </c>
      <c r="Z222" s="1" t="str">
        <f>INDEX(T:T,MATCH(orders_desnormalizado_prueba3[[#This Row],[shipping_cost]],W:W,0))</f>
        <v>Colombia</v>
      </c>
      <c r="AA222" s="1" t="str">
        <f t="shared" si="10"/>
        <v>Bogota</v>
      </c>
      <c r="AB222" s="1"/>
      <c r="AC222" s="1" t="str">
        <f t="shared" si="11"/>
        <v xml:space="preserve"> </v>
      </c>
    </row>
    <row r="223" spans="1:29" x14ac:dyDescent="0.3">
      <c r="A223" s="1" t="s">
        <v>574</v>
      </c>
      <c r="B223">
        <v>3</v>
      </c>
      <c r="C223">
        <v>30.99</v>
      </c>
      <c r="D223">
        <v>74.53</v>
      </c>
      <c r="E223" s="1" t="s">
        <v>228</v>
      </c>
      <c r="F223" s="1" t="s">
        <v>40</v>
      </c>
      <c r="G223">
        <v>2</v>
      </c>
      <c r="H223" s="1" t="s">
        <v>26</v>
      </c>
      <c r="I223" s="1" t="s">
        <v>42</v>
      </c>
      <c r="J223">
        <v>10.5</v>
      </c>
      <c r="K223">
        <v>30.99</v>
      </c>
      <c r="L223" s="1" t="s">
        <v>28</v>
      </c>
      <c r="M223" s="1" t="s">
        <v>43</v>
      </c>
      <c r="N223" s="1" t="s">
        <v>44</v>
      </c>
      <c r="O223" s="1" t="s">
        <v>31</v>
      </c>
      <c r="P223" s="2">
        <v>45823</v>
      </c>
      <c r="Q223" s="1" t="s">
        <v>318</v>
      </c>
      <c r="R223" s="1" t="s">
        <v>319</v>
      </c>
      <c r="S223" s="1" t="s">
        <v>54</v>
      </c>
      <c r="T223" s="1" t="s">
        <v>35</v>
      </c>
      <c r="U223" s="1" t="s">
        <v>55</v>
      </c>
      <c r="V223" s="1" t="s">
        <v>37</v>
      </c>
      <c r="W223">
        <v>2</v>
      </c>
      <c r="X223" s="1" t="str">
        <f t="shared" si="9"/>
        <v>paula.vargas58@mail.com</v>
      </c>
      <c r="Y223" s="1" t="str">
        <f>INDEX(V:V,MATCH(orders_desnormalizado_prueba3[[#This Row],[acquisition_channel]],U:U,0))</f>
        <v>Bodega Propia CO - envio 2-3 dias</v>
      </c>
      <c r="Z223" s="1" t="str">
        <f>INDEX(T:T,MATCH(orders_desnormalizado_prueba3[[#This Row],[shipping_cost]],W:W,0))</f>
        <v>Colombia</v>
      </c>
      <c r="AA223" s="1" t="str">
        <f t="shared" si="10"/>
        <v>Medellin</v>
      </c>
      <c r="AB223" s="1"/>
      <c r="AC223" s="1" t="str">
        <f t="shared" si="11"/>
        <v xml:space="preserve"> </v>
      </c>
    </row>
    <row r="224" spans="1:29" x14ac:dyDescent="0.3">
      <c r="A224" s="1" t="s">
        <v>575</v>
      </c>
      <c r="B224">
        <v>1</v>
      </c>
      <c r="C224">
        <v>18.989999999999998</v>
      </c>
      <c r="D224">
        <v>18.989999999999998</v>
      </c>
      <c r="E224" s="1" t="s">
        <v>224</v>
      </c>
      <c r="F224" s="1" t="s">
        <v>51</v>
      </c>
      <c r="G224">
        <v>0</v>
      </c>
      <c r="H224" s="1" t="s">
        <v>41</v>
      </c>
      <c r="I224" s="1" t="s">
        <v>97</v>
      </c>
      <c r="J224">
        <v>6</v>
      </c>
      <c r="K224">
        <v>18.989999999999998</v>
      </c>
      <c r="L224" s="1" t="s">
        <v>60</v>
      </c>
      <c r="M224" s="1" t="s">
        <v>43</v>
      </c>
      <c r="N224" s="1" t="s">
        <v>44</v>
      </c>
      <c r="O224" s="1" t="s">
        <v>31</v>
      </c>
      <c r="P224" s="2">
        <v>45823</v>
      </c>
      <c r="Q224" s="1" t="s">
        <v>305</v>
      </c>
      <c r="R224" s="1" t="s">
        <v>306</v>
      </c>
      <c r="S224" s="1" t="s">
        <v>47</v>
      </c>
      <c r="T224" s="1" t="s">
        <v>35</v>
      </c>
      <c r="U224" s="1" t="s">
        <v>66</v>
      </c>
      <c r="V224" s="1" t="s">
        <v>100</v>
      </c>
      <c r="W224">
        <v>3.2</v>
      </c>
      <c r="X224" s="1" t="str">
        <f t="shared" si="9"/>
        <v>sebastian.sanchez117@mail.com</v>
      </c>
      <c r="Y224" s="1" t="str">
        <f>INDEX(V:V,MATCH(orders_desnormalizado_prueba3[[#This Row],[acquisition_channel]],U:U,0))</f>
        <v>AliDropship CN - envio 15-20 dias</v>
      </c>
      <c r="Z224" s="1" t="str">
        <f>INDEX(T:T,MATCH(orders_desnormalizado_prueba3[[#This Row],[shipping_cost]],W:W,0))</f>
        <v>Colombia</v>
      </c>
      <c r="AA224" s="1" t="str">
        <f t="shared" si="10"/>
        <v>Cartagena</v>
      </c>
      <c r="AB224" s="1"/>
      <c r="AC224" s="1" t="str">
        <f t="shared" si="11"/>
        <v xml:space="preserve"> </v>
      </c>
    </row>
    <row r="225" spans="1:29" x14ac:dyDescent="0.3">
      <c r="A225" s="1" t="s">
        <v>576</v>
      </c>
      <c r="B225">
        <v>3</v>
      </c>
      <c r="C225">
        <v>21.99</v>
      </c>
      <c r="D225">
        <v>52.48</v>
      </c>
      <c r="E225" s="1" t="s">
        <v>577</v>
      </c>
      <c r="F225" s="1" t="s">
        <v>40</v>
      </c>
      <c r="G225">
        <v>2</v>
      </c>
      <c r="H225" s="1" t="s">
        <v>41</v>
      </c>
      <c r="I225" s="1" t="s">
        <v>27</v>
      </c>
      <c r="J225">
        <v>7</v>
      </c>
      <c r="K225">
        <v>21.99</v>
      </c>
      <c r="L225" s="1" t="s">
        <v>28</v>
      </c>
      <c r="M225" s="1" t="s">
        <v>29</v>
      </c>
      <c r="N225" s="1" t="s">
        <v>30</v>
      </c>
      <c r="O225" s="1" t="s">
        <v>31</v>
      </c>
      <c r="P225" s="2">
        <v>45778</v>
      </c>
      <c r="Q225" s="1" t="s">
        <v>219</v>
      </c>
      <c r="R225" s="1" t="s">
        <v>220</v>
      </c>
      <c r="S225" s="1" t="s">
        <v>54</v>
      </c>
      <c r="T225" s="1" t="s">
        <v>35</v>
      </c>
      <c r="U225" s="1" t="s">
        <v>55</v>
      </c>
      <c r="V225" s="1" t="s">
        <v>37</v>
      </c>
      <c r="W225">
        <v>2</v>
      </c>
      <c r="X225" s="1" t="str">
        <f t="shared" si="9"/>
        <v>mateo.castro43@mail.com</v>
      </c>
      <c r="Y225" s="1" t="str">
        <f>INDEX(V:V,MATCH(orders_desnormalizado_prueba3[[#This Row],[acquisition_channel]],U:U,0))</f>
        <v>Bodega Propia CO - envio 2-3 dias</v>
      </c>
      <c r="Z225" s="1" t="str">
        <f>INDEX(T:T,MATCH(orders_desnormalizado_prueba3[[#This Row],[shipping_cost]],W:W,0))</f>
        <v>Colombia</v>
      </c>
      <c r="AA225" s="1" t="str">
        <f t="shared" si="10"/>
        <v>Medellin</v>
      </c>
      <c r="AB225" s="1"/>
      <c r="AC225" s="1" t="str">
        <f t="shared" si="11"/>
        <v xml:space="preserve"> </v>
      </c>
    </row>
    <row r="226" spans="1:29" x14ac:dyDescent="0.3">
      <c r="A226" s="1" t="s">
        <v>578</v>
      </c>
      <c r="B226">
        <v>1</v>
      </c>
      <c r="C226">
        <v>30.99</v>
      </c>
      <c r="D226">
        <v>30.99</v>
      </c>
      <c r="E226" s="1" t="s">
        <v>536</v>
      </c>
      <c r="F226" s="1" t="s">
        <v>51</v>
      </c>
      <c r="G226">
        <v>0</v>
      </c>
      <c r="H226" s="1" t="s">
        <v>96</v>
      </c>
      <c r="I226" s="1" t="s">
        <v>42</v>
      </c>
      <c r="J226">
        <v>10.5</v>
      </c>
      <c r="K226">
        <v>30.99</v>
      </c>
      <c r="L226" s="1" t="s">
        <v>28</v>
      </c>
      <c r="M226" s="1" t="s">
        <v>43</v>
      </c>
      <c r="N226" s="1" t="s">
        <v>44</v>
      </c>
      <c r="O226" s="1" t="s">
        <v>31</v>
      </c>
      <c r="P226" s="2">
        <v>45823</v>
      </c>
      <c r="Q226" s="1" t="s">
        <v>579</v>
      </c>
      <c r="R226" s="1" t="s">
        <v>580</v>
      </c>
      <c r="S226" s="1" t="s">
        <v>88</v>
      </c>
      <c r="T226" s="1" t="s">
        <v>35</v>
      </c>
      <c r="U226" s="1" t="s">
        <v>36</v>
      </c>
      <c r="V226" s="1" t="s">
        <v>37</v>
      </c>
      <c r="W226">
        <v>2</v>
      </c>
      <c r="X226" s="1" t="str">
        <f t="shared" si="9"/>
        <v>juan.sanchez137@mail.com</v>
      </c>
      <c r="Y226" s="1" t="str">
        <f>INDEX(V:V,MATCH(orders_desnormalizado_prueba3[[#This Row],[acquisition_channel]],U:U,0))</f>
        <v>Bodega Propia CO - envio 2-3 dias</v>
      </c>
      <c r="Z226" s="1" t="str">
        <f>INDEX(T:T,MATCH(orders_desnormalizado_prueba3[[#This Row],[shipping_cost]],W:W,0))</f>
        <v>Colombia</v>
      </c>
      <c r="AA226" s="1" t="str">
        <f t="shared" si="10"/>
        <v>Cartagena</v>
      </c>
      <c r="AB226" s="1"/>
      <c r="AC226" s="1" t="str">
        <f t="shared" si="11"/>
        <v xml:space="preserve"> </v>
      </c>
    </row>
    <row r="227" spans="1:29" x14ac:dyDescent="0.3">
      <c r="A227" s="1" t="s">
        <v>581</v>
      </c>
      <c r="B227">
        <v>1</v>
      </c>
      <c r="C227">
        <v>18.989999999999998</v>
      </c>
      <c r="D227">
        <v>18.989999999999998</v>
      </c>
      <c r="E227" s="1" t="s">
        <v>91</v>
      </c>
      <c r="F227" s="1" t="s">
        <v>40</v>
      </c>
      <c r="G227">
        <v>13</v>
      </c>
      <c r="H227" s="1" t="s">
        <v>96</v>
      </c>
      <c r="I227" s="1" t="s">
        <v>97</v>
      </c>
      <c r="J227">
        <v>6</v>
      </c>
      <c r="K227">
        <v>18.989999999999998</v>
      </c>
      <c r="L227" s="1" t="s">
        <v>60</v>
      </c>
      <c r="M227" s="1" t="s">
        <v>43</v>
      </c>
      <c r="N227" s="1" t="s">
        <v>44</v>
      </c>
      <c r="O227" s="1" t="s">
        <v>31</v>
      </c>
      <c r="P227" s="2">
        <v>45823</v>
      </c>
      <c r="Q227" s="1" t="s">
        <v>305</v>
      </c>
      <c r="R227" s="1" t="s">
        <v>582</v>
      </c>
      <c r="S227" s="1" t="s">
        <v>47</v>
      </c>
      <c r="T227" s="1" t="s">
        <v>35</v>
      </c>
      <c r="U227" s="1" t="s">
        <v>82</v>
      </c>
      <c r="V227" s="1" t="s">
        <v>100</v>
      </c>
      <c r="W227">
        <v>3.2</v>
      </c>
      <c r="X227" s="1" t="str">
        <f t="shared" si="9"/>
        <v>sebastian.sanchez117@mail.com</v>
      </c>
      <c r="Y227" s="1" t="str">
        <f>INDEX(V:V,MATCH(orders_desnormalizado_prueba3[[#This Row],[acquisition_channel]],U:U,0))</f>
        <v>Bodega Propia CO - envio 2-3 dias</v>
      </c>
      <c r="Z227" s="1" t="str">
        <f>INDEX(T:T,MATCH(orders_desnormalizado_prueba3[[#This Row],[shipping_cost]],W:W,0))</f>
        <v>Colombia</v>
      </c>
      <c r="AA227" s="1" t="str">
        <f t="shared" si="10"/>
        <v>Barranquilla</v>
      </c>
      <c r="AB227" s="1"/>
      <c r="AC227" s="1" t="str">
        <f t="shared" si="11"/>
        <v xml:space="preserve"> </v>
      </c>
    </row>
    <row r="228" spans="1:29" x14ac:dyDescent="0.3">
      <c r="A228" s="1" t="s">
        <v>583</v>
      </c>
      <c r="B228">
        <v>1</v>
      </c>
      <c r="C228">
        <v>18.989999999999998</v>
      </c>
      <c r="D228">
        <v>18.989999999999998</v>
      </c>
      <c r="E228" s="1" t="s">
        <v>584</v>
      </c>
      <c r="F228" s="1" t="s">
        <v>40</v>
      </c>
      <c r="G228">
        <v>18</v>
      </c>
      <c r="H228" s="1" t="s">
        <v>96</v>
      </c>
      <c r="I228" s="1" t="s">
        <v>97</v>
      </c>
      <c r="J228">
        <v>6</v>
      </c>
      <c r="K228">
        <v>18.989999999999998</v>
      </c>
      <c r="L228" s="1" t="s">
        <v>60</v>
      </c>
      <c r="M228" s="1" t="s">
        <v>43</v>
      </c>
      <c r="N228" s="1" t="s">
        <v>44</v>
      </c>
      <c r="O228" s="1" t="s">
        <v>31</v>
      </c>
      <c r="P228" s="2">
        <v>45823</v>
      </c>
      <c r="Q228" s="1" t="s">
        <v>165</v>
      </c>
      <c r="R228" s="1" t="s">
        <v>562</v>
      </c>
      <c r="S228" s="1" t="s">
        <v>34</v>
      </c>
      <c r="T228" s="1" t="s">
        <v>35</v>
      </c>
      <c r="U228" s="1" t="s">
        <v>48</v>
      </c>
      <c r="V228" s="1" t="s">
        <v>100</v>
      </c>
      <c r="W228">
        <v>3.2</v>
      </c>
      <c r="X228" s="1" t="str">
        <f t="shared" si="9"/>
        <v>paula.sanchez95@mail.com</v>
      </c>
      <c r="Y228" s="1" t="str">
        <f>INDEX(V:V,MATCH(orders_desnormalizado_prueba3[[#This Row],[acquisition_channel]],U:U,0))</f>
        <v>Bodega Propia CO - envio 2-3 dias</v>
      </c>
      <c r="Z228" s="1" t="str">
        <f>INDEX(T:T,MATCH(orders_desnormalizado_prueba3[[#This Row],[shipping_cost]],W:W,0))</f>
        <v>Colombia</v>
      </c>
      <c r="AA228" s="1" t="str">
        <f t="shared" si="10"/>
        <v>Medellin</v>
      </c>
      <c r="AB228" s="1"/>
      <c r="AC228" s="1" t="str">
        <f t="shared" si="11"/>
        <v xml:space="preserve"> </v>
      </c>
    </row>
    <row r="229" spans="1:29" x14ac:dyDescent="0.3">
      <c r="A229" s="1" t="s">
        <v>585</v>
      </c>
      <c r="B229">
        <v>1</v>
      </c>
      <c r="C229">
        <v>21.99</v>
      </c>
      <c r="D229">
        <v>21.99</v>
      </c>
      <c r="E229" s="1" t="s">
        <v>224</v>
      </c>
      <c r="F229" s="1" t="s">
        <v>25</v>
      </c>
      <c r="G229">
        <v>3</v>
      </c>
      <c r="H229" s="1" t="s">
        <v>41</v>
      </c>
      <c r="I229" s="1" t="s">
        <v>27</v>
      </c>
      <c r="J229">
        <v>7</v>
      </c>
      <c r="K229">
        <v>21.99</v>
      </c>
      <c r="L229" s="1" t="s">
        <v>28</v>
      </c>
      <c r="M229" s="1" t="s">
        <v>29</v>
      </c>
      <c r="N229" s="1" t="s">
        <v>30</v>
      </c>
      <c r="O229" s="1" t="s">
        <v>31</v>
      </c>
      <c r="P229" s="2">
        <v>45778</v>
      </c>
      <c r="Q229" s="1" t="s">
        <v>269</v>
      </c>
      <c r="R229" s="1" t="s">
        <v>270</v>
      </c>
      <c r="S229" s="1" t="s">
        <v>88</v>
      </c>
      <c r="T229" s="1" t="s">
        <v>35</v>
      </c>
      <c r="U229" s="1" t="s">
        <v>55</v>
      </c>
      <c r="V229" s="1" t="s">
        <v>37</v>
      </c>
      <c r="W229">
        <v>2</v>
      </c>
      <c r="X229" s="1" t="str">
        <f t="shared" si="9"/>
        <v>camila.vargas52@mail.com</v>
      </c>
      <c r="Y229" s="1" t="str">
        <f>INDEX(V:V,MATCH(orders_desnormalizado_prueba3[[#This Row],[acquisition_channel]],U:U,0))</f>
        <v>Bodega Propia CO - envio 2-3 dias</v>
      </c>
      <c r="Z229" s="1" t="str">
        <f>INDEX(T:T,MATCH(orders_desnormalizado_prueba3[[#This Row],[shipping_cost]],W:W,0))</f>
        <v>Colombia</v>
      </c>
      <c r="AA229" s="1" t="str">
        <f t="shared" si="10"/>
        <v>Barranquilla</v>
      </c>
      <c r="AB229" s="1"/>
      <c r="AC229" s="1" t="str">
        <f t="shared" si="11"/>
        <v xml:space="preserve"> </v>
      </c>
    </row>
    <row r="230" spans="1:29" x14ac:dyDescent="0.3">
      <c r="A230" s="1" t="s">
        <v>586</v>
      </c>
      <c r="B230">
        <v>1</v>
      </c>
      <c r="C230">
        <v>27.99</v>
      </c>
      <c r="D230">
        <v>27.99</v>
      </c>
      <c r="E230" s="1" t="s">
        <v>327</v>
      </c>
      <c r="F230" s="1" t="s">
        <v>40</v>
      </c>
      <c r="G230">
        <v>2</v>
      </c>
      <c r="H230" s="1" t="s">
        <v>58</v>
      </c>
      <c r="I230" s="1" t="s">
        <v>75</v>
      </c>
      <c r="J230">
        <v>9</v>
      </c>
      <c r="K230">
        <v>27.99</v>
      </c>
      <c r="L230" s="1" t="s">
        <v>28</v>
      </c>
      <c r="M230" s="1" t="s">
        <v>61</v>
      </c>
      <c r="N230" s="1" t="s">
        <v>62</v>
      </c>
      <c r="O230" s="1" t="s">
        <v>31</v>
      </c>
      <c r="P230" s="2">
        <v>45726</v>
      </c>
      <c r="Q230" s="1" t="s">
        <v>63</v>
      </c>
      <c r="R230" s="1" t="s">
        <v>64</v>
      </c>
      <c r="S230" s="1" t="s">
        <v>65</v>
      </c>
      <c r="T230" s="1" t="s">
        <v>35</v>
      </c>
      <c r="U230" s="1" t="s">
        <v>66</v>
      </c>
      <c r="V230" s="1" t="s">
        <v>37</v>
      </c>
      <c r="W230">
        <v>2</v>
      </c>
      <c r="X230" s="1" t="str">
        <f t="shared" si="9"/>
        <v>laura.rodriguez85@mail.com</v>
      </c>
      <c r="Y230" s="1" t="str">
        <f>INDEX(V:V,MATCH(orders_desnormalizado_prueba3[[#This Row],[acquisition_channel]],U:U,0))</f>
        <v>AliDropship CN - envio 15-20 dias</v>
      </c>
      <c r="Z230" s="1" t="str">
        <f>INDEX(T:T,MATCH(orders_desnormalizado_prueba3[[#This Row],[shipping_cost]],W:W,0))</f>
        <v>Colombia</v>
      </c>
      <c r="AA230" s="1" t="str">
        <f t="shared" si="10"/>
        <v>Medellin</v>
      </c>
      <c r="AB230" s="1"/>
      <c r="AC230" s="1" t="str">
        <f t="shared" si="11"/>
        <v xml:space="preserve"> </v>
      </c>
    </row>
    <row r="231" spans="1:29" x14ac:dyDescent="0.3">
      <c r="A231" s="1" t="s">
        <v>587</v>
      </c>
      <c r="B231">
        <v>1</v>
      </c>
      <c r="C231">
        <v>21.99</v>
      </c>
      <c r="D231">
        <v>21.99</v>
      </c>
      <c r="E231" s="1" t="s">
        <v>331</v>
      </c>
      <c r="F231" s="1" t="s">
        <v>40</v>
      </c>
      <c r="G231">
        <v>2</v>
      </c>
      <c r="H231" s="1" t="s">
        <v>96</v>
      </c>
      <c r="I231" s="1" t="s">
        <v>27</v>
      </c>
      <c r="J231">
        <v>7</v>
      </c>
      <c r="K231">
        <v>21.99</v>
      </c>
      <c r="L231" s="1" t="s">
        <v>28</v>
      </c>
      <c r="M231" s="1" t="s">
        <v>29</v>
      </c>
      <c r="N231" s="1" t="s">
        <v>30</v>
      </c>
      <c r="O231" s="1" t="s">
        <v>31</v>
      </c>
      <c r="P231" s="2">
        <v>45778</v>
      </c>
      <c r="Q231" s="1" t="s">
        <v>45</v>
      </c>
      <c r="R231" s="1" t="s">
        <v>513</v>
      </c>
      <c r="S231" s="1" t="s">
        <v>54</v>
      </c>
      <c r="T231" s="1" t="s">
        <v>35</v>
      </c>
      <c r="U231" s="1" t="s">
        <v>48</v>
      </c>
      <c r="V231" s="1" t="s">
        <v>37</v>
      </c>
      <c r="W231">
        <v>2</v>
      </c>
      <c r="X231" s="1" t="str">
        <f t="shared" si="9"/>
        <v>david.martinez142@mail.com</v>
      </c>
      <c r="Y231" s="1" t="str">
        <f>INDEX(V:V,MATCH(orders_desnormalizado_prueba3[[#This Row],[acquisition_channel]],U:U,0))</f>
        <v>Bodega Propia CO - envio 2-3 dias</v>
      </c>
      <c r="Z231" s="1" t="str">
        <f>INDEX(T:T,MATCH(orders_desnormalizado_prueba3[[#This Row],[shipping_cost]],W:W,0))</f>
        <v>Colombia</v>
      </c>
      <c r="AA231" s="1" t="str">
        <f t="shared" si="10"/>
        <v>Medellin</v>
      </c>
      <c r="AB231" s="1"/>
      <c r="AC231" s="1" t="str">
        <f t="shared" si="11"/>
        <v xml:space="preserve"> </v>
      </c>
    </row>
    <row r="232" spans="1:29" x14ac:dyDescent="0.3">
      <c r="A232" s="1" t="s">
        <v>588</v>
      </c>
      <c r="B232">
        <v>3</v>
      </c>
      <c r="C232">
        <v>27.99</v>
      </c>
      <c r="D232">
        <v>66.88</v>
      </c>
      <c r="E232" s="1" t="s">
        <v>84</v>
      </c>
      <c r="F232" s="1" t="s">
        <v>70</v>
      </c>
      <c r="G232">
        <v>0</v>
      </c>
      <c r="H232" s="1" t="s">
        <v>41</v>
      </c>
      <c r="I232" s="1" t="s">
        <v>75</v>
      </c>
      <c r="J232">
        <v>9</v>
      </c>
      <c r="K232">
        <v>27.99</v>
      </c>
      <c r="L232" s="1" t="s">
        <v>28</v>
      </c>
      <c r="M232" s="1" t="s">
        <v>61</v>
      </c>
      <c r="N232" s="1" t="s">
        <v>62</v>
      </c>
      <c r="O232" s="1" t="s">
        <v>31</v>
      </c>
      <c r="P232" s="2">
        <v>45726</v>
      </c>
      <c r="Q232" s="1" t="s">
        <v>589</v>
      </c>
      <c r="R232" s="1" t="s">
        <v>590</v>
      </c>
      <c r="S232" s="1" t="s">
        <v>105</v>
      </c>
      <c r="T232" s="1" t="s">
        <v>35</v>
      </c>
      <c r="U232" s="1" t="s">
        <v>36</v>
      </c>
      <c r="V232" s="1" t="s">
        <v>37</v>
      </c>
      <c r="W232">
        <v>2</v>
      </c>
      <c r="X232" s="1" t="str">
        <f t="shared" si="9"/>
        <v>natalia.perez25@mail.com</v>
      </c>
      <c r="Y232" s="1" t="str">
        <f>INDEX(V:V,MATCH(orders_desnormalizado_prueba3[[#This Row],[acquisition_channel]],U:U,0))</f>
        <v>Bodega Propia CO - envio 2-3 dias</v>
      </c>
      <c r="Z232" s="1" t="str">
        <f>INDEX(T:T,MATCH(orders_desnormalizado_prueba3[[#This Row],[shipping_cost]],W:W,0))</f>
        <v>Colombia</v>
      </c>
      <c r="AA232" s="1" t="str">
        <f t="shared" si="10"/>
        <v>Cartagena</v>
      </c>
      <c r="AB232" s="1"/>
      <c r="AC232" s="1" t="str">
        <f t="shared" si="11"/>
        <v xml:space="preserve"> </v>
      </c>
    </row>
    <row r="233" spans="1:29" x14ac:dyDescent="0.3">
      <c r="A233" s="1" t="s">
        <v>591</v>
      </c>
      <c r="B233">
        <v>1</v>
      </c>
      <c r="C233">
        <v>21.99</v>
      </c>
      <c r="D233">
        <v>21.99</v>
      </c>
      <c r="E233" s="1" t="s">
        <v>24</v>
      </c>
      <c r="F233" s="1" t="s">
        <v>40</v>
      </c>
      <c r="G233">
        <v>3</v>
      </c>
      <c r="H233" s="1" t="s">
        <v>26</v>
      </c>
      <c r="I233" s="1" t="s">
        <v>27</v>
      </c>
      <c r="J233">
        <v>7</v>
      </c>
      <c r="K233">
        <v>21.99</v>
      </c>
      <c r="L233" s="1" t="s">
        <v>28</v>
      </c>
      <c r="M233" s="1" t="s">
        <v>29</v>
      </c>
      <c r="N233" s="1" t="s">
        <v>30</v>
      </c>
      <c r="O233" s="1" t="s">
        <v>31</v>
      </c>
      <c r="P233" s="2">
        <v>45778</v>
      </c>
      <c r="Q233" s="1" t="s">
        <v>129</v>
      </c>
      <c r="R233" s="1" t="s">
        <v>130</v>
      </c>
      <c r="S233" s="1" t="s">
        <v>34</v>
      </c>
      <c r="T233" s="1" t="s">
        <v>35</v>
      </c>
      <c r="U233" s="1" t="s">
        <v>55</v>
      </c>
      <c r="V233" s="1" t="s">
        <v>37</v>
      </c>
      <c r="W233">
        <v>2</v>
      </c>
      <c r="X233" s="1" t="str">
        <f t="shared" si="9"/>
        <v>andres.rodriguez24@mail.com</v>
      </c>
      <c r="Y233" s="1" t="str">
        <f>INDEX(V:V,MATCH(orders_desnormalizado_prueba3[[#This Row],[acquisition_channel]],U:U,0))</f>
        <v>Bodega Propia CO - envio 2-3 dias</v>
      </c>
      <c r="Z233" s="1" t="str">
        <f>INDEX(T:T,MATCH(orders_desnormalizado_prueba3[[#This Row],[shipping_cost]],W:W,0))</f>
        <v>Colombia</v>
      </c>
      <c r="AA233" s="1" t="str">
        <f t="shared" si="10"/>
        <v>Barranquilla</v>
      </c>
      <c r="AB233" s="1"/>
      <c r="AC233" s="1" t="str">
        <f t="shared" si="11"/>
        <v xml:space="preserve"> </v>
      </c>
    </row>
    <row r="234" spans="1:29" x14ac:dyDescent="0.3">
      <c r="A234" s="1" t="s">
        <v>592</v>
      </c>
      <c r="B234">
        <v>1</v>
      </c>
      <c r="C234">
        <v>16.989999999999998</v>
      </c>
      <c r="D234">
        <v>16.989999999999998</v>
      </c>
      <c r="E234" s="1" t="s">
        <v>107</v>
      </c>
      <c r="F234" s="1" t="s">
        <v>70</v>
      </c>
      <c r="G234">
        <v>0</v>
      </c>
      <c r="H234" s="1" t="s">
        <v>58</v>
      </c>
      <c r="I234" s="1" t="s">
        <v>59</v>
      </c>
      <c r="J234">
        <v>5</v>
      </c>
      <c r="K234">
        <v>16.989999999999998</v>
      </c>
      <c r="L234" s="1" t="s">
        <v>60</v>
      </c>
      <c r="M234" s="1" t="s">
        <v>61</v>
      </c>
      <c r="N234" s="1" t="s">
        <v>62</v>
      </c>
      <c r="O234" s="1" t="s">
        <v>31</v>
      </c>
      <c r="P234" s="2">
        <v>45726</v>
      </c>
      <c r="Q234" s="1" t="s">
        <v>593</v>
      </c>
      <c r="R234" s="1" t="s">
        <v>594</v>
      </c>
      <c r="S234" s="1" t="s">
        <v>65</v>
      </c>
      <c r="T234" s="1" t="s">
        <v>35</v>
      </c>
      <c r="U234" s="1" t="s">
        <v>55</v>
      </c>
      <c r="V234" s="1" t="s">
        <v>67</v>
      </c>
      <c r="W234">
        <v>3</v>
      </c>
      <c r="X234" s="1" t="str">
        <f t="shared" si="9"/>
        <v>santiago.vargas41@mail.com</v>
      </c>
      <c r="Y234" s="1" t="str">
        <f>INDEX(V:V,MATCH(orders_desnormalizado_prueba3[[#This Row],[acquisition_channel]],U:U,0))</f>
        <v>Bodega Propia CO - envio 2-3 dias</v>
      </c>
      <c r="Z234" s="1" t="str">
        <f>INDEX(T:T,MATCH(orders_desnormalizado_prueba3[[#This Row],[shipping_cost]],W:W,0))</f>
        <v>Colombia</v>
      </c>
      <c r="AA234" s="1" t="str">
        <f t="shared" si="10"/>
        <v>Cartagena</v>
      </c>
      <c r="AB234" s="1"/>
      <c r="AC234" s="1" t="str">
        <f t="shared" si="11"/>
        <v xml:space="preserve"> </v>
      </c>
    </row>
    <row r="235" spans="1:29" x14ac:dyDescent="0.3">
      <c r="A235" s="1" t="s">
        <v>595</v>
      </c>
      <c r="B235">
        <v>1</v>
      </c>
      <c r="C235">
        <v>18.989999999999998</v>
      </c>
      <c r="D235">
        <v>18.989999999999998</v>
      </c>
      <c r="E235" s="1" t="s">
        <v>457</v>
      </c>
      <c r="F235" s="1" t="s">
        <v>40</v>
      </c>
      <c r="G235">
        <v>19</v>
      </c>
      <c r="H235" s="1" t="s">
        <v>58</v>
      </c>
      <c r="I235" s="1" t="s">
        <v>97</v>
      </c>
      <c r="J235">
        <v>6</v>
      </c>
      <c r="K235">
        <v>18.989999999999998</v>
      </c>
      <c r="L235" s="1" t="s">
        <v>60</v>
      </c>
      <c r="M235" s="1" t="s">
        <v>43</v>
      </c>
      <c r="N235" s="1" t="s">
        <v>44</v>
      </c>
      <c r="O235" s="1" t="s">
        <v>31</v>
      </c>
      <c r="P235" s="2">
        <v>45823</v>
      </c>
      <c r="Q235" s="1" t="s">
        <v>262</v>
      </c>
      <c r="R235" s="1" t="s">
        <v>263</v>
      </c>
      <c r="S235" s="1" t="s">
        <v>105</v>
      </c>
      <c r="T235" s="1" t="s">
        <v>35</v>
      </c>
      <c r="U235" s="1" t="s">
        <v>82</v>
      </c>
      <c r="V235" s="1" t="s">
        <v>100</v>
      </c>
      <c r="W235">
        <v>3.2</v>
      </c>
      <c r="X235" s="1" t="str">
        <f t="shared" si="9"/>
        <v>sebastian.torres8@mail.com</v>
      </c>
      <c r="Y235" s="1" t="str">
        <f>INDEX(V:V,MATCH(orders_desnormalizado_prueba3[[#This Row],[acquisition_channel]],U:U,0))</f>
        <v>Bodega Propia CO - envio 2-3 dias</v>
      </c>
      <c r="Z235" s="1" t="str">
        <f>INDEX(T:T,MATCH(orders_desnormalizado_prueba3[[#This Row],[shipping_cost]],W:W,0))</f>
        <v>Colombia</v>
      </c>
      <c r="AA235" s="1" t="str">
        <f t="shared" si="10"/>
        <v>Bogota</v>
      </c>
      <c r="AB235" s="1"/>
      <c r="AC235" s="1" t="str">
        <f t="shared" si="11"/>
        <v xml:space="preserve"> </v>
      </c>
    </row>
    <row r="236" spans="1:29" x14ac:dyDescent="0.3">
      <c r="A236" s="1" t="s">
        <v>596</v>
      </c>
      <c r="B236">
        <v>1</v>
      </c>
      <c r="C236">
        <v>30.99</v>
      </c>
      <c r="D236">
        <v>30.99</v>
      </c>
      <c r="E236" s="1" t="s">
        <v>222</v>
      </c>
      <c r="F236" s="1" t="s">
        <v>51</v>
      </c>
      <c r="G236">
        <v>0</v>
      </c>
      <c r="H236" s="1" t="s">
        <v>26</v>
      </c>
      <c r="I236" s="1" t="s">
        <v>42</v>
      </c>
      <c r="J236">
        <v>10.5</v>
      </c>
      <c r="K236">
        <v>30.99</v>
      </c>
      <c r="L236" s="1" t="s">
        <v>28</v>
      </c>
      <c r="M236" s="1" t="s">
        <v>43</v>
      </c>
      <c r="N236" s="1" t="s">
        <v>44</v>
      </c>
      <c r="O236" s="1" t="s">
        <v>31</v>
      </c>
      <c r="P236" s="2">
        <v>45823</v>
      </c>
      <c r="Q236" s="1" t="s">
        <v>114</v>
      </c>
      <c r="R236" s="1" t="s">
        <v>402</v>
      </c>
      <c r="S236" s="1" t="s">
        <v>88</v>
      </c>
      <c r="T236" s="1" t="s">
        <v>35</v>
      </c>
      <c r="U236" s="1" t="s">
        <v>48</v>
      </c>
      <c r="V236" s="1" t="s">
        <v>37</v>
      </c>
      <c r="W236">
        <v>2</v>
      </c>
      <c r="X236" s="1" t="str">
        <f t="shared" si="9"/>
        <v>paula.diaz150@mail.com</v>
      </c>
      <c r="Y236" s="1" t="str">
        <f>INDEX(V:V,MATCH(orders_desnormalizado_prueba3[[#This Row],[acquisition_channel]],U:U,0))</f>
        <v>Bodega Propia CO - envio 2-3 dias</v>
      </c>
      <c r="Z236" s="1" t="str">
        <f>INDEX(T:T,MATCH(orders_desnormalizado_prueba3[[#This Row],[shipping_cost]],W:W,0))</f>
        <v>Colombia</v>
      </c>
      <c r="AA236" s="1" t="str">
        <f t="shared" si="10"/>
        <v>Cartagena</v>
      </c>
      <c r="AB236" s="1"/>
      <c r="AC236" s="1" t="str">
        <f t="shared" si="11"/>
        <v xml:space="preserve"> </v>
      </c>
    </row>
    <row r="237" spans="1:29" x14ac:dyDescent="0.3">
      <c r="A237" s="1" t="s">
        <v>597</v>
      </c>
      <c r="B237">
        <v>3</v>
      </c>
      <c r="C237">
        <v>34.99</v>
      </c>
      <c r="D237">
        <v>84.73</v>
      </c>
      <c r="E237" s="1" t="s">
        <v>598</v>
      </c>
      <c r="F237" s="1" t="s">
        <v>40</v>
      </c>
      <c r="G237">
        <v>6</v>
      </c>
      <c r="H237" s="1" t="s">
        <v>96</v>
      </c>
      <c r="I237" s="1" t="s">
        <v>85</v>
      </c>
      <c r="J237">
        <v>12.5</v>
      </c>
      <c r="K237">
        <v>34.99</v>
      </c>
      <c r="L237" s="1" t="s">
        <v>60</v>
      </c>
      <c r="M237" s="1" t="s">
        <v>29</v>
      </c>
      <c r="N237" s="1" t="s">
        <v>30</v>
      </c>
      <c r="O237" s="1" t="s">
        <v>31</v>
      </c>
      <c r="P237" s="2">
        <v>45778</v>
      </c>
      <c r="Q237" s="1" t="s">
        <v>342</v>
      </c>
      <c r="R237" s="1" t="s">
        <v>599</v>
      </c>
      <c r="S237" s="1" t="s">
        <v>54</v>
      </c>
      <c r="T237" s="1" t="s">
        <v>35</v>
      </c>
      <c r="U237" s="1" t="s">
        <v>66</v>
      </c>
      <c r="V237" s="1" t="s">
        <v>89</v>
      </c>
      <c r="W237">
        <v>2.4</v>
      </c>
      <c r="X237" s="1" t="str">
        <f t="shared" si="9"/>
        <v>isabella.torres61@mail.com</v>
      </c>
      <c r="Y237" s="1" t="str">
        <f>INDEX(V:V,MATCH(orders_desnormalizado_prueba3[[#This Row],[acquisition_channel]],U:U,0))</f>
        <v>AliDropship CN - envio 15-20 dias</v>
      </c>
      <c r="Z237" s="1" t="str">
        <f>INDEX(T:T,MATCH(orders_desnormalizado_prueba3[[#This Row],[shipping_cost]],W:W,0))</f>
        <v>Colombia</v>
      </c>
      <c r="AA237" s="1" t="str">
        <f t="shared" si="10"/>
        <v>Medellin</v>
      </c>
      <c r="AB237" s="1"/>
      <c r="AC237" s="1" t="str">
        <f t="shared" si="11"/>
        <v xml:space="preserve"> </v>
      </c>
    </row>
    <row r="238" spans="1:29" x14ac:dyDescent="0.3">
      <c r="A238" s="1" t="s">
        <v>600</v>
      </c>
      <c r="B238">
        <v>2</v>
      </c>
      <c r="C238">
        <v>16.989999999999998</v>
      </c>
      <c r="D238">
        <v>29.18</v>
      </c>
      <c r="E238" s="1" t="s">
        <v>109</v>
      </c>
      <c r="F238" s="1" t="s">
        <v>188</v>
      </c>
      <c r="G238">
        <v>0</v>
      </c>
      <c r="H238" s="1" t="s">
        <v>26</v>
      </c>
      <c r="I238" s="1" t="s">
        <v>59</v>
      </c>
      <c r="J238">
        <v>5</v>
      </c>
      <c r="K238">
        <v>16.989999999999998</v>
      </c>
      <c r="L238" s="1" t="s">
        <v>60</v>
      </c>
      <c r="M238" s="1" t="s">
        <v>61</v>
      </c>
      <c r="N238" s="1" t="s">
        <v>62</v>
      </c>
      <c r="O238" s="1" t="s">
        <v>31</v>
      </c>
      <c r="P238" s="2">
        <v>45726</v>
      </c>
      <c r="Q238" s="1" t="s">
        <v>526</v>
      </c>
      <c r="R238" s="1" t="s">
        <v>527</v>
      </c>
      <c r="S238" s="1" t="s">
        <v>105</v>
      </c>
      <c r="T238" s="1" t="s">
        <v>35</v>
      </c>
      <c r="U238" s="1" t="s">
        <v>48</v>
      </c>
      <c r="V238" s="1" t="s">
        <v>67</v>
      </c>
      <c r="W238">
        <v>3</v>
      </c>
      <c r="X238" s="1" t="str">
        <f t="shared" si="9"/>
        <v>daniela.diaz127@mail.com</v>
      </c>
      <c r="Y238" s="1" t="str">
        <f>INDEX(V:V,MATCH(orders_desnormalizado_prueba3[[#This Row],[acquisition_channel]],U:U,0))</f>
        <v>Bodega Propia CO - envio 2-3 dias</v>
      </c>
      <c r="Z238" s="1" t="str">
        <f>INDEX(T:T,MATCH(orders_desnormalizado_prueba3[[#This Row],[shipping_cost]],W:W,0))</f>
        <v>Colombia</v>
      </c>
      <c r="AA238" s="1" t="str">
        <f t="shared" si="10"/>
        <v>Cartagena</v>
      </c>
      <c r="AB238" s="1"/>
      <c r="AC238" s="1" t="str">
        <f t="shared" si="11"/>
        <v xml:space="preserve"> </v>
      </c>
    </row>
    <row r="239" spans="1:29" x14ac:dyDescent="0.3">
      <c r="A239" s="1" t="s">
        <v>601</v>
      </c>
      <c r="B239">
        <v>1</v>
      </c>
      <c r="C239">
        <v>27.99</v>
      </c>
      <c r="D239">
        <v>27.99</v>
      </c>
      <c r="E239" s="1" t="s">
        <v>192</v>
      </c>
      <c r="F239" s="1" t="s">
        <v>40</v>
      </c>
      <c r="G239">
        <v>3</v>
      </c>
      <c r="H239" s="1" t="s">
        <v>58</v>
      </c>
      <c r="I239" s="1" t="s">
        <v>75</v>
      </c>
      <c r="J239">
        <v>9</v>
      </c>
      <c r="K239">
        <v>27.99</v>
      </c>
      <c r="L239" s="1" t="s">
        <v>28</v>
      </c>
      <c r="M239" s="1" t="s">
        <v>61</v>
      </c>
      <c r="N239" s="1" t="s">
        <v>62</v>
      </c>
      <c r="O239" s="1" t="s">
        <v>31</v>
      </c>
      <c r="P239" s="2">
        <v>45726</v>
      </c>
      <c r="Q239" s="1" t="s">
        <v>553</v>
      </c>
      <c r="R239" s="1" t="s">
        <v>554</v>
      </c>
      <c r="S239" s="1" t="s">
        <v>105</v>
      </c>
      <c r="T239" s="1" t="s">
        <v>35</v>
      </c>
      <c r="U239" s="1" t="s">
        <v>36</v>
      </c>
      <c r="V239" s="1" t="s">
        <v>37</v>
      </c>
      <c r="W239">
        <v>2</v>
      </c>
      <c r="X239" s="1" t="str">
        <f t="shared" si="9"/>
        <v>david.castro104@mail.com</v>
      </c>
      <c r="Y239" s="1" t="str">
        <f>INDEX(V:V,MATCH(orders_desnormalizado_prueba3[[#This Row],[acquisition_channel]],U:U,0))</f>
        <v>Bodega Propia CO - envio 2-3 dias</v>
      </c>
      <c r="Z239" s="1" t="str">
        <f>INDEX(T:T,MATCH(orders_desnormalizado_prueba3[[#This Row],[shipping_cost]],W:W,0))</f>
        <v>Colombia</v>
      </c>
      <c r="AA239" s="1" t="str">
        <f t="shared" si="10"/>
        <v>Barranquilla</v>
      </c>
      <c r="AB239" s="1"/>
      <c r="AC239" s="1" t="str">
        <f t="shared" si="11"/>
        <v xml:space="preserve"> </v>
      </c>
    </row>
    <row r="240" spans="1:29" x14ac:dyDescent="0.3">
      <c r="A240" s="1" t="s">
        <v>602</v>
      </c>
      <c r="B240">
        <v>3</v>
      </c>
      <c r="C240">
        <v>34.99</v>
      </c>
      <c r="D240">
        <v>84.73</v>
      </c>
      <c r="E240" s="1" t="s">
        <v>603</v>
      </c>
      <c r="F240" s="1" t="s">
        <v>40</v>
      </c>
      <c r="G240">
        <v>8</v>
      </c>
      <c r="H240" s="1" t="s">
        <v>26</v>
      </c>
      <c r="I240" s="1" t="s">
        <v>85</v>
      </c>
      <c r="J240">
        <v>12.5</v>
      </c>
      <c r="K240">
        <v>34.99</v>
      </c>
      <c r="L240" s="1" t="s">
        <v>60</v>
      </c>
      <c r="M240" s="1" t="s">
        <v>29</v>
      </c>
      <c r="N240" s="1" t="s">
        <v>30</v>
      </c>
      <c r="O240" s="1" t="s">
        <v>31</v>
      </c>
      <c r="P240" s="2">
        <v>45778</v>
      </c>
      <c r="Q240" s="1" t="s">
        <v>225</v>
      </c>
      <c r="R240" s="1" t="s">
        <v>226</v>
      </c>
      <c r="S240" s="1" t="s">
        <v>105</v>
      </c>
      <c r="T240" s="1" t="s">
        <v>35</v>
      </c>
      <c r="U240" s="1" t="s">
        <v>36</v>
      </c>
      <c r="V240" s="1" t="s">
        <v>89</v>
      </c>
      <c r="W240">
        <v>2.4</v>
      </c>
      <c r="X240" s="1" t="str">
        <f t="shared" si="9"/>
        <v>alejandro.perez27@mail.com</v>
      </c>
      <c r="Y240" s="1" t="str">
        <f>INDEX(V:V,MATCH(orders_desnormalizado_prueba3[[#This Row],[acquisition_channel]],U:U,0))</f>
        <v>Bodega Propia CO - envio 2-3 dias</v>
      </c>
      <c r="Z240" s="1" t="str">
        <f>INDEX(T:T,MATCH(orders_desnormalizado_prueba3[[#This Row],[shipping_cost]],W:W,0))</f>
        <v>Colombia</v>
      </c>
      <c r="AA240" s="1" t="str">
        <f t="shared" si="10"/>
        <v>Barranquilla</v>
      </c>
      <c r="AB240" s="1"/>
      <c r="AC240" s="1" t="str">
        <f t="shared" si="11"/>
        <v xml:space="preserve"> </v>
      </c>
    </row>
    <row r="241" spans="1:29" x14ac:dyDescent="0.3">
      <c r="A241" s="1" t="s">
        <v>604</v>
      </c>
      <c r="B241">
        <v>3</v>
      </c>
      <c r="C241">
        <v>34.99</v>
      </c>
      <c r="D241">
        <v>84.73</v>
      </c>
      <c r="E241" s="1" t="s">
        <v>69</v>
      </c>
      <c r="F241" s="1" t="s">
        <v>51</v>
      </c>
      <c r="G241">
        <v>0</v>
      </c>
      <c r="H241" s="1" t="s">
        <v>26</v>
      </c>
      <c r="I241" s="1" t="s">
        <v>85</v>
      </c>
      <c r="J241">
        <v>12.5</v>
      </c>
      <c r="K241">
        <v>34.99</v>
      </c>
      <c r="L241" s="1" t="s">
        <v>60</v>
      </c>
      <c r="M241" s="1" t="s">
        <v>29</v>
      </c>
      <c r="N241" s="1" t="s">
        <v>30</v>
      </c>
      <c r="O241" s="1" t="s">
        <v>31</v>
      </c>
      <c r="P241" s="2">
        <v>45778</v>
      </c>
      <c r="Q241" s="1" t="s">
        <v>318</v>
      </c>
      <c r="R241" s="1" t="s">
        <v>319</v>
      </c>
      <c r="S241" s="1" t="s">
        <v>54</v>
      </c>
      <c r="T241" s="1" t="s">
        <v>35</v>
      </c>
      <c r="U241" s="1" t="s">
        <v>55</v>
      </c>
      <c r="V241" s="1" t="s">
        <v>89</v>
      </c>
      <c r="W241">
        <v>2.4</v>
      </c>
      <c r="X241" s="1" t="str">
        <f t="shared" si="9"/>
        <v>paula.vargas58@mail.com</v>
      </c>
      <c r="Y241" s="1" t="str">
        <f>INDEX(V:V,MATCH(orders_desnormalizado_prueba3[[#This Row],[acquisition_channel]],U:U,0))</f>
        <v>Bodega Propia CO - envio 2-3 dias</v>
      </c>
      <c r="Z241" s="1" t="str">
        <f>INDEX(T:T,MATCH(orders_desnormalizado_prueba3[[#This Row],[shipping_cost]],W:W,0))</f>
        <v>Colombia</v>
      </c>
      <c r="AA241" s="1" t="str">
        <f t="shared" si="10"/>
        <v>Cartagena</v>
      </c>
      <c r="AB241" s="1"/>
      <c r="AC241" s="1" t="str">
        <f t="shared" si="11"/>
        <v xml:space="preserve"> </v>
      </c>
    </row>
    <row r="242" spans="1:29" x14ac:dyDescent="0.3">
      <c r="A242" s="1" t="s">
        <v>605</v>
      </c>
      <c r="B242">
        <v>1</v>
      </c>
      <c r="C242">
        <v>34.99</v>
      </c>
      <c r="D242">
        <v>34.99</v>
      </c>
      <c r="E242" s="1" t="s">
        <v>348</v>
      </c>
      <c r="F242" s="1" t="s">
        <v>40</v>
      </c>
      <c r="G242">
        <v>10</v>
      </c>
      <c r="H242" s="1" t="s">
        <v>58</v>
      </c>
      <c r="I242" s="1" t="s">
        <v>85</v>
      </c>
      <c r="J242">
        <v>12.5</v>
      </c>
      <c r="K242">
        <v>34.99</v>
      </c>
      <c r="L242" s="1" t="s">
        <v>60</v>
      </c>
      <c r="M242" s="1" t="s">
        <v>29</v>
      </c>
      <c r="N242" s="1" t="s">
        <v>30</v>
      </c>
      <c r="O242" s="1" t="s">
        <v>31</v>
      </c>
      <c r="P242" s="2">
        <v>45778</v>
      </c>
      <c r="Q242" s="1" t="s">
        <v>428</v>
      </c>
      <c r="R242" s="1" t="s">
        <v>429</v>
      </c>
      <c r="S242" s="1" t="s">
        <v>47</v>
      </c>
      <c r="T242" s="1" t="s">
        <v>35</v>
      </c>
      <c r="U242" s="1" t="s">
        <v>66</v>
      </c>
      <c r="V242" s="1" t="s">
        <v>89</v>
      </c>
      <c r="W242">
        <v>2.4</v>
      </c>
      <c r="X242" s="1" t="str">
        <f t="shared" si="9"/>
        <v>andres.castro163@mail.com</v>
      </c>
      <c r="Y242" s="1" t="str">
        <f>INDEX(V:V,MATCH(orders_desnormalizado_prueba3[[#This Row],[acquisition_channel]],U:U,0))</f>
        <v>AliDropship CN - envio 15-20 dias</v>
      </c>
      <c r="Z242" s="1" t="str">
        <f>INDEX(T:T,MATCH(orders_desnormalizado_prueba3[[#This Row],[shipping_cost]],W:W,0))</f>
        <v>Colombia</v>
      </c>
      <c r="AA242" s="1" t="str">
        <f t="shared" si="10"/>
        <v>Bogota</v>
      </c>
      <c r="AB242" s="1"/>
      <c r="AC242" s="1" t="str">
        <f t="shared" si="11"/>
        <v xml:space="preserve"> </v>
      </c>
    </row>
    <row r="243" spans="1:29" x14ac:dyDescent="0.3">
      <c r="A243" s="1" t="s">
        <v>606</v>
      </c>
      <c r="B243">
        <v>3</v>
      </c>
      <c r="C243">
        <v>27.99</v>
      </c>
      <c r="D243">
        <v>66.88</v>
      </c>
      <c r="E243" s="1" t="s">
        <v>181</v>
      </c>
      <c r="F243" s="1" t="s">
        <v>25</v>
      </c>
      <c r="G243">
        <v>3</v>
      </c>
      <c r="H243" s="1" t="s">
        <v>26</v>
      </c>
      <c r="I243" s="1" t="s">
        <v>75</v>
      </c>
      <c r="J243">
        <v>9</v>
      </c>
      <c r="K243">
        <v>27.99</v>
      </c>
      <c r="L243" s="1" t="s">
        <v>28</v>
      </c>
      <c r="M243" s="1" t="s">
        <v>61</v>
      </c>
      <c r="N243" s="1" t="s">
        <v>62</v>
      </c>
      <c r="O243" s="1" t="s">
        <v>31</v>
      </c>
      <c r="P243" s="2">
        <v>45726</v>
      </c>
      <c r="Q243" s="1" t="s">
        <v>234</v>
      </c>
      <c r="R243" s="1" t="s">
        <v>556</v>
      </c>
      <c r="S243" s="1" t="s">
        <v>88</v>
      </c>
      <c r="T243" s="1" t="s">
        <v>35</v>
      </c>
      <c r="U243" s="1" t="s">
        <v>48</v>
      </c>
      <c r="V243" s="1" t="s">
        <v>37</v>
      </c>
      <c r="W243">
        <v>2</v>
      </c>
      <c r="X243" s="1" t="str">
        <f t="shared" si="9"/>
        <v>david.sanchez5@mail.com</v>
      </c>
      <c r="Y243" s="1" t="str">
        <f>INDEX(V:V,MATCH(orders_desnormalizado_prueba3[[#This Row],[acquisition_channel]],U:U,0))</f>
        <v>Bodega Propia CO - envio 2-3 dias</v>
      </c>
      <c r="Z243" s="1" t="str">
        <f>INDEX(T:T,MATCH(orders_desnormalizado_prueba3[[#This Row],[shipping_cost]],W:W,0))</f>
        <v>Colombia</v>
      </c>
      <c r="AA243" s="1" t="str">
        <f t="shared" si="10"/>
        <v>Barranquilla</v>
      </c>
      <c r="AB243" s="1"/>
      <c r="AC243" s="1" t="str">
        <f t="shared" si="11"/>
        <v xml:space="preserve"> </v>
      </c>
    </row>
    <row r="244" spans="1:29" x14ac:dyDescent="0.3">
      <c r="A244" s="1" t="s">
        <v>607</v>
      </c>
      <c r="B244">
        <v>1</v>
      </c>
      <c r="C244">
        <v>21.99</v>
      </c>
      <c r="D244">
        <v>21.99</v>
      </c>
      <c r="E244" s="1" t="s">
        <v>185</v>
      </c>
      <c r="F244" s="1" t="s">
        <v>51</v>
      </c>
      <c r="G244">
        <v>0</v>
      </c>
      <c r="H244" s="1" t="s">
        <v>96</v>
      </c>
      <c r="I244" s="1" t="s">
        <v>27</v>
      </c>
      <c r="J244">
        <v>7</v>
      </c>
      <c r="K244">
        <v>21.99</v>
      </c>
      <c r="L244" s="1" t="s">
        <v>28</v>
      </c>
      <c r="M244" s="1" t="s">
        <v>29</v>
      </c>
      <c r="N244" s="1" t="s">
        <v>30</v>
      </c>
      <c r="O244" s="1" t="s">
        <v>31</v>
      </c>
      <c r="P244" s="2">
        <v>45778</v>
      </c>
      <c r="Q244" s="1" t="s">
        <v>305</v>
      </c>
      <c r="R244" s="1" t="s">
        <v>582</v>
      </c>
      <c r="S244" s="1" t="s">
        <v>47</v>
      </c>
      <c r="T244" s="1" t="s">
        <v>35</v>
      </c>
      <c r="U244" s="1" t="s">
        <v>82</v>
      </c>
      <c r="V244" s="1" t="s">
        <v>37</v>
      </c>
      <c r="W244">
        <v>2</v>
      </c>
      <c r="X244" s="1" t="str">
        <f t="shared" si="9"/>
        <v>sebastian.sanchez117@mail.com</v>
      </c>
      <c r="Y244" s="1" t="str">
        <f>INDEX(V:V,MATCH(orders_desnormalizado_prueba3[[#This Row],[acquisition_channel]],U:U,0))</f>
        <v>Bodega Propia CO - envio 2-3 dias</v>
      </c>
      <c r="Z244" s="1" t="str">
        <f>INDEX(T:T,MATCH(orders_desnormalizado_prueba3[[#This Row],[shipping_cost]],W:W,0))</f>
        <v>Colombia</v>
      </c>
      <c r="AA244" s="1" t="str">
        <f t="shared" si="10"/>
        <v>Cartagena</v>
      </c>
      <c r="AB244" s="1"/>
      <c r="AC244" s="1" t="str">
        <f t="shared" si="11"/>
        <v xml:space="preserve"> </v>
      </c>
    </row>
    <row r="245" spans="1:29" x14ac:dyDescent="0.3">
      <c r="A245" s="1" t="s">
        <v>608</v>
      </c>
      <c r="B245">
        <v>2</v>
      </c>
      <c r="C245">
        <v>34.99</v>
      </c>
      <c r="D245">
        <v>60.98</v>
      </c>
      <c r="E245" s="1" t="s">
        <v>252</v>
      </c>
      <c r="F245" s="1" t="s">
        <v>188</v>
      </c>
      <c r="G245">
        <v>0</v>
      </c>
      <c r="H245" s="1" t="s">
        <v>41</v>
      </c>
      <c r="I245" s="1" t="s">
        <v>85</v>
      </c>
      <c r="J245">
        <v>12.5</v>
      </c>
      <c r="K245">
        <v>34.99</v>
      </c>
      <c r="L245" s="1" t="s">
        <v>60</v>
      </c>
      <c r="M245" s="1" t="s">
        <v>29</v>
      </c>
      <c r="N245" s="1" t="s">
        <v>30</v>
      </c>
      <c r="O245" s="1" t="s">
        <v>31</v>
      </c>
      <c r="P245" s="2">
        <v>45778</v>
      </c>
      <c r="Q245" s="1" t="s">
        <v>114</v>
      </c>
      <c r="R245" s="1" t="s">
        <v>115</v>
      </c>
      <c r="S245" s="1" t="s">
        <v>54</v>
      </c>
      <c r="T245" s="1" t="s">
        <v>35</v>
      </c>
      <c r="U245" s="1" t="s">
        <v>82</v>
      </c>
      <c r="V245" s="1" t="s">
        <v>89</v>
      </c>
      <c r="W245">
        <v>2.4</v>
      </c>
      <c r="X245" s="1" t="str">
        <f t="shared" si="9"/>
        <v>paula.diaz150@mail.com</v>
      </c>
      <c r="Y245" s="1" t="str">
        <f>INDEX(V:V,MATCH(orders_desnormalizado_prueba3[[#This Row],[acquisition_channel]],U:U,0))</f>
        <v>Bodega Propia CO - envio 2-3 dias</v>
      </c>
      <c r="Z245" s="1" t="str">
        <f>INDEX(T:T,MATCH(orders_desnormalizado_prueba3[[#This Row],[shipping_cost]],W:W,0))</f>
        <v>Colombia</v>
      </c>
      <c r="AA245" s="1" t="str">
        <f t="shared" si="10"/>
        <v>Cartagena</v>
      </c>
      <c r="AB245" s="1"/>
      <c r="AC245" s="1" t="str">
        <f t="shared" si="11"/>
        <v xml:space="preserve"> </v>
      </c>
    </row>
    <row r="246" spans="1:29" x14ac:dyDescent="0.3">
      <c r="A246" s="1" t="s">
        <v>609</v>
      </c>
      <c r="B246">
        <v>1</v>
      </c>
      <c r="C246">
        <v>21.99</v>
      </c>
      <c r="D246">
        <v>21.99</v>
      </c>
      <c r="E246" s="1" t="s">
        <v>107</v>
      </c>
      <c r="F246" s="1" t="s">
        <v>25</v>
      </c>
      <c r="G246">
        <v>2</v>
      </c>
      <c r="H246" s="1" t="s">
        <v>26</v>
      </c>
      <c r="I246" s="1" t="s">
        <v>27</v>
      </c>
      <c r="J246">
        <v>7</v>
      </c>
      <c r="K246">
        <v>21.99</v>
      </c>
      <c r="L246" s="1" t="s">
        <v>28</v>
      </c>
      <c r="M246" s="1" t="s">
        <v>29</v>
      </c>
      <c r="N246" s="1" t="s">
        <v>30</v>
      </c>
      <c r="O246" s="1" t="s">
        <v>31</v>
      </c>
      <c r="P246" s="2">
        <v>45778</v>
      </c>
      <c r="Q246" s="1" t="s">
        <v>335</v>
      </c>
      <c r="R246" s="1" t="s">
        <v>336</v>
      </c>
      <c r="S246" s="1" t="s">
        <v>34</v>
      </c>
      <c r="T246" s="1" t="s">
        <v>35</v>
      </c>
      <c r="U246" s="1" t="s">
        <v>48</v>
      </c>
      <c r="V246" s="1" t="s">
        <v>37</v>
      </c>
      <c r="W246">
        <v>2</v>
      </c>
      <c r="X246" s="1" t="str">
        <f t="shared" si="9"/>
        <v>daniela.castro130@mail.com</v>
      </c>
      <c r="Y246" s="1" t="str">
        <f>INDEX(V:V,MATCH(orders_desnormalizado_prueba3[[#This Row],[acquisition_channel]],U:U,0))</f>
        <v>Bodega Propia CO - envio 2-3 dias</v>
      </c>
      <c r="Z246" s="1" t="str">
        <f>INDEX(T:T,MATCH(orders_desnormalizado_prueba3[[#This Row],[shipping_cost]],W:W,0))</f>
        <v>Colombia</v>
      </c>
      <c r="AA246" s="1" t="str">
        <f t="shared" si="10"/>
        <v>Medellin</v>
      </c>
      <c r="AB246" s="1"/>
      <c r="AC246" s="1" t="str">
        <f t="shared" si="11"/>
        <v xml:space="preserve"> </v>
      </c>
    </row>
    <row r="247" spans="1:29" x14ac:dyDescent="0.3">
      <c r="A247" s="1" t="s">
        <v>610</v>
      </c>
      <c r="B247">
        <v>1</v>
      </c>
      <c r="C247">
        <v>18.989999999999998</v>
      </c>
      <c r="D247">
        <v>18.989999999999998</v>
      </c>
      <c r="E247" s="1" t="s">
        <v>252</v>
      </c>
      <c r="F247" s="1" t="s">
        <v>40</v>
      </c>
      <c r="G247">
        <v>17</v>
      </c>
      <c r="H247" s="1" t="s">
        <v>41</v>
      </c>
      <c r="I247" s="1" t="s">
        <v>97</v>
      </c>
      <c r="J247">
        <v>6</v>
      </c>
      <c r="K247">
        <v>18.989999999999998</v>
      </c>
      <c r="L247" s="1" t="s">
        <v>60</v>
      </c>
      <c r="M247" s="1" t="s">
        <v>43</v>
      </c>
      <c r="N247" s="1" t="s">
        <v>44</v>
      </c>
      <c r="O247" s="1" t="s">
        <v>31</v>
      </c>
      <c r="P247" s="2">
        <v>45823</v>
      </c>
      <c r="Q247" s="1" t="s">
        <v>161</v>
      </c>
      <c r="R247" s="1" t="s">
        <v>500</v>
      </c>
      <c r="S247" s="1" t="s">
        <v>65</v>
      </c>
      <c r="T247" s="1" t="s">
        <v>35</v>
      </c>
      <c r="U247" s="1" t="s">
        <v>55</v>
      </c>
      <c r="V247" s="1" t="s">
        <v>100</v>
      </c>
      <c r="W247">
        <v>3.2</v>
      </c>
      <c r="X247" s="1" t="str">
        <f t="shared" si="9"/>
        <v>miguel.vargas74@mail.com</v>
      </c>
      <c r="Y247" s="1" t="str">
        <f>INDEX(V:V,MATCH(orders_desnormalizado_prueba3[[#This Row],[acquisition_channel]],U:U,0))</f>
        <v>Bodega Propia CO - envio 2-3 dias</v>
      </c>
      <c r="Z247" s="1" t="str">
        <f>INDEX(T:T,MATCH(orders_desnormalizado_prueba3[[#This Row],[shipping_cost]],W:W,0))</f>
        <v>Colombia</v>
      </c>
      <c r="AA247" s="1" t="str">
        <f t="shared" si="10"/>
        <v>Barranquilla</v>
      </c>
      <c r="AB247" s="1"/>
      <c r="AC247" s="1" t="str">
        <f t="shared" si="11"/>
        <v xml:space="preserve"> </v>
      </c>
    </row>
    <row r="248" spans="1:29" x14ac:dyDescent="0.3">
      <c r="A248" s="1" t="s">
        <v>611</v>
      </c>
      <c r="B248">
        <v>1</v>
      </c>
      <c r="C248">
        <v>27.99</v>
      </c>
      <c r="D248">
        <v>27.99</v>
      </c>
      <c r="E248" s="1" t="s">
        <v>202</v>
      </c>
      <c r="F248" s="1" t="s">
        <v>40</v>
      </c>
      <c r="G248">
        <v>3</v>
      </c>
      <c r="H248" s="1" t="s">
        <v>26</v>
      </c>
      <c r="I248" s="1" t="s">
        <v>75</v>
      </c>
      <c r="J248">
        <v>9</v>
      </c>
      <c r="K248">
        <v>27.99</v>
      </c>
      <c r="L248" s="1" t="s">
        <v>28</v>
      </c>
      <c r="M248" s="1" t="s">
        <v>61</v>
      </c>
      <c r="N248" s="1" t="s">
        <v>62</v>
      </c>
      <c r="O248" s="1" t="s">
        <v>31</v>
      </c>
      <c r="P248" s="2">
        <v>45726</v>
      </c>
      <c r="Q248" s="1" t="s">
        <v>71</v>
      </c>
      <c r="R248" s="1" t="s">
        <v>72</v>
      </c>
      <c r="S248" s="1" t="s">
        <v>47</v>
      </c>
      <c r="T248" s="1" t="s">
        <v>35</v>
      </c>
      <c r="U248" s="1" t="s">
        <v>36</v>
      </c>
      <c r="V248" s="1" t="s">
        <v>37</v>
      </c>
      <c r="W248">
        <v>2</v>
      </c>
      <c r="X248" s="1" t="str">
        <f t="shared" si="9"/>
        <v>diego.ramirez167@mail.com</v>
      </c>
      <c r="Y248" s="1" t="str">
        <f>INDEX(V:V,MATCH(orders_desnormalizado_prueba3[[#This Row],[acquisition_channel]],U:U,0))</f>
        <v>Bodega Propia CO - envio 2-3 dias</v>
      </c>
      <c r="Z248" s="1" t="str">
        <f>INDEX(T:T,MATCH(orders_desnormalizado_prueba3[[#This Row],[shipping_cost]],W:W,0))</f>
        <v>Colombia</v>
      </c>
      <c r="AA248" s="1" t="str">
        <f t="shared" si="10"/>
        <v>Barranquilla</v>
      </c>
      <c r="AB248" s="1"/>
      <c r="AC248" s="1" t="str">
        <f t="shared" si="11"/>
        <v xml:space="preserve"> </v>
      </c>
    </row>
    <row r="249" spans="1:29" x14ac:dyDescent="0.3">
      <c r="A249" s="1" t="s">
        <v>612</v>
      </c>
      <c r="B249">
        <v>2</v>
      </c>
      <c r="C249">
        <v>21.99</v>
      </c>
      <c r="D249">
        <v>37.979999999999997</v>
      </c>
      <c r="E249" s="1" t="s">
        <v>84</v>
      </c>
      <c r="F249" s="1" t="s">
        <v>40</v>
      </c>
      <c r="G249">
        <v>3</v>
      </c>
      <c r="H249" s="1" t="s">
        <v>96</v>
      </c>
      <c r="I249" s="1" t="s">
        <v>27</v>
      </c>
      <c r="J249">
        <v>7</v>
      </c>
      <c r="K249">
        <v>21.99</v>
      </c>
      <c r="L249" s="1" t="s">
        <v>28</v>
      </c>
      <c r="M249" s="1" t="s">
        <v>29</v>
      </c>
      <c r="N249" s="1" t="s">
        <v>30</v>
      </c>
      <c r="O249" s="1" t="s">
        <v>31</v>
      </c>
      <c r="P249" s="2">
        <v>45778</v>
      </c>
      <c r="Q249" s="1" t="s">
        <v>161</v>
      </c>
      <c r="R249" s="1" t="s">
        <v>162</v>
      </c>
      <c r="S249" s="1" t="s">
        <v>54</v>
      </c>
      <c r="T249" s="1" t="s">
        <v>35</v>
      </c>
      <c r="U249" s="1" t="s">
        <v>36</v>
      </c>
      <c r="V249" s="1" t="s">
        <v>37</v>
      </c>
      <c r="W249">
        <v>2</v>
      </c>
      <c r="X249" s="1" t="str">
        <f t="shared" si="9"/>
        <v>miguel.vargas74@mail.com</v>
      </c>
      <c r="Y249" s="1" t="str">
        <f>INDEX(V:V,MATCH(orders_desnormalizado_prueba3[[#This Row],[acquisition_channel]],U:U,0))</f>
        <v>Bodega Propia CO - envio 2-3 dias</v>
      </c>
      <c r="Z249" s="1" t="str">
        <f>INDEX(T:T,MATCH(orders_desnormalizado_prueba3[[#This Row],[shipping_cost]],W:W,0))</f>
        <v>Colombia</v>
      </c>
      <c r="AA249" s="1" t="str">
        <f t="shared" si="10"/>
        <v>Barranquilla</v>
      </c>
      <c r="AB249" s="1"/>
      <c r="AC249" s="1" t="str">
        <f t="shared" si="11"/>
        <v xml:space="preserve"> </v>
      </c>
    </row>
    <row r="250" spans="1:29" x14ac:dyDescent="0.3">
      <c r="A250" s="1" t="s">
        <v>613</v>
      </c>
      <c r="B250">
        <v>1</v>
      </c>
      <c r="C250">
        <v>16.989999999999998</v>
      </c>
      <c r="D250">
        <v>16.989999999999998</v>
      </c>
      <c r="E250" s="1" t="s">
        <v>95</v>
      </c>
      <c r="F250" s="1" t="s">
        <v>40</v>
      </c>
      <c r="G250">
        <v>17</v>
      </c>
      <c r="H250" s="1" t="s">
        <v>96</v>
      </c>
      <c r="I250" s="1" t="s">
        <v>59</v>
      </c>
      <c r="J250">
        <v>5</v>
      </c>
      <c r="K250">
        <v>16.989999999999998</v>
      </c>
      <c r="L250" s="1" t="s">
        <v>60</v>
      </c>
      <c r="M250" s="1" t="s">
        <v>61</v>
      </c>
      <c r="N250" s="1" t="s">
        <v>62</v>
      </c>
      <c r="O250" s="1" t="s">
        <v>31</v>
      </c>
      <c r="P250" s="2">
        <v>45726</v>
      </c>
      <c r="Q250" s="1" t="s">
        <v>379</v>
      </c>
      <c r="R250" s="1" t="s">
        <v>614</v>
      </c>
      <c r="S250" s="1" t="s">
        <v>47</v>
      </c>
      <c r="T250" s="1" t="s">
        <v>35</v>
      </c>
      <c r="U250" s="1" t="s">
        <v>48</v>
      </c>
      <c r="V250" s="1" t="s">
        <v>67</v>
      </c>
      <c r="W250">
        <v>3</v>
      </c>
      <c r="X250" s="1" t="str">
        <f t="shared" si="9"/>
        <v>sofia.sanchez55@mail.com</v>
      </c>
      <c r="Y250" s="1" t="str">
        <f>INDEX(V:V,MATCH(orders_desnormalizado_prueba3[[#This Row],[acquisition_channel]],U:U,0))</f>
        <v>Bodega Propia CO - envio 2-3 dias</v>
      </c>
      <c r="Z250" s="1" t="str">
        <f>INDEX(T:T,MATCH(orders_desnormalizado_prueba3[[#This Row],[shipping_cost]],W:W,0))</f>
        <v>Colombia</v>
      </c>
      <c r="AA250" s="1" t="str">
        <f t="shared" si="10"/>
        <v>Barranquilla</v>
      </c>
      <c r="AB250" s="1"/>
      <c r="AC250" s="1" t="str">
        <f t="shared" si="11"/>
        <v xml:space="preserve"> </v>
      </c>
    </row>
    <row r="251" spans="1:29" x14ac:dyDescent="0.3">
      <c r="A251" s="1" t="s">
        <v>615</v>
      </c>
      <c r="B251">
        <v>1</v>
      </c>
      <c r="C251">
        <v>18.989999999999998</v>
      </c>
      <c r="D251">
        <v>18.989999999999998</v>
      </c>
      <c r="E251" s="1" t="s">
        <v>536</v>
      </c>
      <c r="F251" s="1" t="s">
        <v>70</v>
      </c>
      <c r="G251">
        <v>0</v>
      </c>
      <c r="H251" s="1" t="s">
        <v>26</v>
      </c>
      <c r="I251" s="1" t="s">
        <v>97</v>
      </c>
      <c r="J251">
        <v>6</v>
      </c>
      <c r="K251">
        <v>18.989999999999998</v>
      </c>
      <c r="L251" s="1" t="s">
        <v>60</v>
      </c>
      <c r="M251" s="1" t="s">
        <v>43</v>
      </c>
      <c r="N251" s="1" t="s">
        <v>44</v>
      </c>
      <c r="O251" s="1" t="s">
        <v>31</v>
      </c>
      <c r="P251" s="2">
        <v>45823</v>
      </c>
      <c r="Q251" s="1" t="s">
        <v>420</v>
      </c>
      <c r="R251" s="1" t="s">
        <v>423</v>
      </c>
      <c r="S251" s="1" t="s">
        <v>105</v>
      </c>
      <c r="T251" s="1" t="s">
        <v>35</v>
      </c>
      <c r="U251" s="1" t="s">
        <v>82</v>
      </c>
      <c r="V251" s="1" t="s">
        <v>100</v>
      </c>
      <c r="W251">
        <v>3.2</v>
      </c>
      <c r="X251" s="1" t="str">
        <f t="shared" si="9"/>
        <v>natalia.sanchez78@mail.com</v>
      </c>
      <c r="Y251" s="1" t="str">
        <f>INDEX(V:V,MATCH(orders_desnormalizado_prueba3[[#This Row],[acquisition_channel]],U:U,0))</f>
        <v>Bodega Propia CO - envio 2-3 dias</v>
      </c>
      <c r="Z251" s="1" t="str">
        <f>INDEX(T:T,MATCH(orders_desnormalizado_prueba3[[#This Row],[shipping_cost]],W:W,0))</f>
        <v>Colombia</v>
      </c>
      <c r="AA251" s="1" t="str">
        <f t="shared" si="10"/>
        <v>Cartagena</v>
      </c>
      <c r="AB251" s="1"/>
      <c r="AC251" s="1" t="str">
        <f t="shared" si="11"/>
        <v xml:space="preserve"> </v>
      </c>
    </row>
    <row r="252" spans="1:29" x14ac:dyDescent="0.3">
      <c r="A252" s="1" t="s">
        <v>616</v>
      </c>
      <c r="B252">
        <v>1</v>
      </c>
      <c r="C252">
        <v>18.989999999999998</v>
      </c>
      <c r="D252">
        <v>18.989999999999998</v>
      </c>
      <c r="E252" s="1" t="s">
        <v>617</v>
      </c>
      <c r="F252" s="1" t="s">
        <v>188</v>
      </c>
      <c r="G252">
        <v>0</v>
      </c>
      <c r="H252" s="1" t="s">
        <v>58</v>
      </c>
      <c r="I252" s="1" t="s">
        <v>97</v>
      </c>
      <c r="J252">
        <v>6</v>
      </c>
      <c r="K252">
        <v>18.989999999999998</v>
      </c>
      <c r="L252" s="1" t="s">
        <v>60</v>
      </c>
      <c r="M252" s="1" t="s">
        <v>43</v>
      </c>
      <c r="N252" s="1" t="s">
        <v>44</v>
      </c>
      <c r="O252" s="1" t="s">
        <v>31</v>
      </c>
      <c r="P252" s="2">
        <v>45823</v>
      </c>
      <c r="Q252" s="1" t="s">
        <v>518</v>
      </c>
      <c r="R252" s="1" t="s">
        <v>519</v>
      </c>
      <c r="S252" s="1" t="s">
        <v>54</v>
      </c>
      <c r="T252" s="1" t="s">
        <v>35</v>
      </c>
      <c r="U252" s="1" t="s">
        <v>55</v>
      </c>
      <c r="V252" s="1" t="s">
        <v>100</v>
      </c>
      <c r="W252">
        <v>3.2</v>
      </c>
      <c r="X252" s="1" t="str">
        <f t="shared" si="9"/>
        <v>juan.castro151@mail.com</v>
      </c>
      <c r="Y252" s="1" t="str">
        <f>INDEX(V:V,MATCH(orders_desnormalizado_prueba3[[#This Row],[acquisition_channel]],U:U,0))</f>
        <v>Bodega Propia CO - envio 2-3 dias</v>
      </c>
      <c r="Z252" s="1" t="str">
        <f>INDEX(T:T,MATCH(orders_desnormalizado_prueba3[[#This Row],[shipping_cost]],W:W,0))</f>
        <v>Colombia</v>
      </c>
      <c r="AA252" s="1" t="str">
        <f t="shared" si="10"/>
        <v>Cartagena</v>
      </c>
      <c r="AB252" s="1"/>
      <c r="AC252" s="1" t="str">
        <f t="shared" si="11"/>
        <v xml:space="preserve"> </v>
      </c>
    </row>
    <row r="253" spans="1:29" x14ac:dyDescent="0.3">
      <c r="A253" s="1" t="s">
        <v>618</v>
      </c>
      <c r="B253">
        <v>3</v>
      </c>
      <c r="C253">
        <v>16.989999999999998</v>
      </c>
      <c r="D253">
        <v>40.18</v>
      </c>
      <c r="E253" s="1" t="s">
        <v>39</v>
      </c>
      <c r="F253" s="1" t="s">
        <v>40</v>
      </c>
      <c r="G253">
        <v>19</v>
      </c>
      <c r="H253" s="1" t="s">
        <v>41</v>
      </c>
      <c r="I253" s="1" t="s">
        <v>59</v>
      </c>
      <c r="J253">
        <v>5</v>
      </c>
      <c r="K253">
        <v>16.989999999999998</v>
      </c>
      <c r="L253" s="1" t="s">
        <v>60</v>
      </c>
      <c r="M253" s="1" t="s">
        <v>61</v>
      </c>
      <c r="N253" s="1" t="s">
        <v>62</v>
      </c>
      <c r="O253" s="1" t="s">
        <v>31</v>
      </c>
      <c r="P253" s="2">
        <v>45726</v>
      </c>
      <c r="Q253" s="1" t="s">
        <v>349</v>
      </c>
      <c r="R253" s="1" t="s">
        <v>619</v>
      </c>
      <c r="S253" s="1" t="s">
        <v>65</v>
      </c>
      <c r="T253" s="1" t="s">
        <v>35</v>
      </c>
      <c r="U253" s="1" t="s">
        <v>82</v>
      </c>
      <c r="V253" s="1" t="s">
        <v>67</v>
      </c>
      <c r="W253">
        <v>3</v>
      </c>
      <c r="X253" s="1" t="str">
        <f t="shared" si="9"/>
        <v>diego.diaz29@mail.com</v>
      </c>
      <c r="Y253" s="1" t="str">
        <f>INDEX(V:V,MATCH(orders_desnormalizado_prueba3[[#This Row],[acquisition_channel]],U:U,0))</f>
        <v>Bodega Propia CO - envio 2-3 dias</v>
      </c>
      <c r="Z253" s="1" t="str">
        <f>INDEX(T:T,MATCH(orders_desnormalizado_prueba3[[#This Row],[shipping_cost]],W:W,0))</f>
        <v>Colombia</v>
      </c>
      <c r="AA253" s="1" t="str">
        <f t="shared" si="10"/>
        <v>Bogota</v>
      </c>
      <c r="AB253" s="1"/>
      <c r="AC253" s="1" t="str">
        <f t="shared" si="11"/>
        <v xml:space="preserve"> </v>
      </c>
    </row>
    <row r="254" spans="1:29" x14ac:dyDescent="0.3">
      <c r="A254" s="1" t="s">
        <v>620</v>
      </c>
      <c r="B254">
        <v>1</v>
      </c>
      <c r="C254">
        <v>16.989999999999998</v>
      </c>
      <c r="D254">
        <v>16.989999999999998</v>
      </c>
      <c r="E254" s="1" t="s">
        <v>121</v>
      </c>
      <c r="F254" s="1" t="s">
        <v>70</v>
      </c>
      <c r="G254">
        <v>0</v>
      </c>
      <c r="H254" s="1" t="s">
        <v>26</v>
      </c>
      <c r="I254" s="1" t="s">
        <v>59</v>
      </c>
      <c r="J254">
        <v>5</v>
      </c>
      <c r="K254">
        <v>16.989999999999998</v>
      </c>
      <c r="L254" s="1" t="s">
        <v>60</v>
      </c>
      <c r="M254" s="1" t="s">
        <v>61</v>
      </c>
      <c r="N254" s="1" t="s">
        <v>62</v>
      </c>
      <c r="O254" s="1" t="s">
        <v>31</v>
      </c>
      <c r="P254" s="2">
        <v>45726</v>
      </c>
      <c r="Q254" s="1" t="s">
        <v>278</v>
      </c>
      <c r="R254" s="1" t="s">
        <v>279</v>
      </c>
      <c r="S254" s="1" t="s">
        <v>54</v>
      </c>
      <c r="T254" s="1" t="s">
        <v>35</v>
      </c>
      <c r="U254" s="1" t="s">
        <v>36</v>
      </c>
      <c r="V254" s="1" t="s">
        <v>67</v>
      </c>
      <c r="W254">
        <v>3</v>
      </c>
      <c r="X254" s="1" t="str">
        <f t="shared" si="9"/>
        <v>gabriela.diaz40@mail.com</v>
      </c>
      <c r="Y254" s="1" t="str">
        <f>INDEX(V:V,MATCH(orders_desnormalizado_prueba3[[#This Row],[acquisition_channel]],U:U,0))</f>
        <v>Bodega Propia CO - envio 2-3 dias</v>
      </c>
      <c r="Z254" s="1" t="str">
        <f>INDEX(T:T,MATCH(orders_desnormalizado_prueba3[[#This Row],[shipping_cost]],W:W,0))</f>
        <v>Colombia</v>
      </c>
      <c r="AA254" s="1" t="str">
        <f t="shared" si="10"/>
        <v>Cartagena</v>
      </c>
      <c r="AB254" s="1"/>
      <c r="AC254" s="1" t="str">
        <f t="shared" si="11"/>
        <v xml:space="preserve"> </v>
      </c>
    </row>
    <row r="255" spans="1:29" x14ac:dyDescent="0.3">
      <c r="A255" s="1" t="s">
        <v>621</v>
      </c>
      <c r="B255">
        <v>3</v>
      </c>
      <c r="C255">
        <v>16.989999999999998</v>
      </c>
      <c r="D255">
        <v>40.18</v>
      </c>
      <c r="E255" s="1" t="s">
        <v>79</v>
      </c>
      <c r="F255" s="1" t="s">
        <v>40</v>
      </c>
      <c r="G255">
        <v>19</v>
      </c>
      <c r="H255" s="1" t="s">
        <v>58</v>
      </c>
      <c r="I255" s="1" t="s">
        <v>59</v>
      </c>
      <c r="J255">
        <v>5</v>
      </c>
      <c r="K255">
        <v>16.989999999999998</v>
      </c>
      <c r="L255" s="1" t="s">
        <v>60</v>
      </c>
      <c r="M255" s="1" t="s">
        <v>61</v>
      </c>
      <c r="N255" s="1" t="s">
        <v>62</v>
      </c>
      <c r="O255" s="1" t="s">
        <v>31</v>
      </c>
      <c r="P255" s="2">
        <v>45726</v>
      </c>
      <c r="Q255" s="1" t="s">
        <v>314</v>
      </c>
      <c r="R255" s="1" t="s">
        <v>315</v>
      </c>
      <c r="S255" s="1" t="s">
        <v>34</v>
      </c>
      <c r="T255" s="1" t="s">
        <v>35</v>
      </c>
      <c r="U255" s="1" t="s">
        <v>82</v>
      </c>
      <c r="V255" s="1" t="s">
        <v>67</v>
      </c>
      <c r="W255">
        <v>3</v>
      </c>
      <c r="X255" s="1" t="str">
        <f t="shared" si="9"/>
        <v>carlos.diaz135@mail.com</v>
      </c>
      <c r="Y255" s="1" t="str">
        <f>INDEX(V:V,MATCH(orders_desnormalizado_prueba3[[#This Row],[acquisition_channel]],U:U,0))</f>
        <v>Bodega Propia CO - envio 2-3 dias</v>
      </c>
      <c r="Z255" s="1" t="str">
        <f>INDEX(T:T,MATCH(orders_desnormalizado_prueba3[[#This Row],[shipping_cost]],W:W,0))</f>
        <v>Colombia</v>
      </c>
      <c r="AA255" s="1" t="str">
        <f t="shared" si="10"/>
        <v>Bogota</v>
      </c>
      <c r="AB255" s="1"/>
      <c r="AC255" s="1" t="str">
        <f t="shared" si="11"/>
        <v xml:space="preserve"> </v>
      </c>
    </row>
    <row r="256" spans="1:29" x14ac:dyDescent="0.3">
      <c r="A256" s="1" t="s">
        <v>622</v>
      </c>
      <c r="B256">
        <v>1</v>
      </c>
      <c r="C256">
        <v>34.99</v>
      </c>
      <c r="D256">
        <v>34.99</v>
      </c>
      <c r="E256" s="1" t="s">
        <v>95</v>
      </c>
      <c r="F256" s="1" t="s">
        <v>40</v>
      </c>
      <c r="G256">
        <v>9</v>
      </c>
      <c r="H256" s="1" t="s">
        <v>96</v>
      </c>
      <c r="I256" s="1" t="s">
        <v>85</v>
      </c>
      <c r="J256">
        <v>12.5</v>
      </c>
      <c r="K256">
        <v>34.99</v>
      </c>
      <c r="L256" s="1" t="s">
        <v>60</v>
      </c>
      <c r="M256" s="1" t="s">
        <v>29</v>
      </c>
      <c r="N256" s="1" t="s">
        <v>30</v>
      </c>
      <c r="O256" s="1" t="s">
        <v>31</v>
      </c>
      <c r="P256" s="2">
        <v>45778</v>
      </c>
      <c r="Q256" s="1" t="s">
        <v>63</v>
      </c>
      <c r="R256" s="1" t="s">
        <v>64</v>
      </c>
      <c r="S256" s="1" t="s">
        <v>65</v>
      </c>
      <c r="T256" s="1" t="s">
        <v>35</v>
      </c>
      <c r="U256" s="1" t="s">
        <v>66</v>
      </c>
      <c r="V256" s="1" t="s">
        <v>89</v>
      </c>
      <c r="W256">
        <v>2.4</v>
      </c>
      <c r="X256" s="1" t="str">
        <f t="shared" si="9"/>
        <v>laura.rodriguez85@mail.com</v>
      </c>
      <c r="Y256" s="1" t="str">
        <f>INDEX(V:V,MATCH(orders_desnormalizado_prueba3[[#This Row],[acquisition_channel]],U:U,0))</f>
        <v>AliDropship CN - envio 15-20 dias</v>
      </c>
      <c r="Z256" s="1" t="str">
        <f>INDEX(T:T,MATCH(orders_desnormalizado_prueba3[[#This Row],[shipping_cost]],W:W,0))</f>
        <v>Colombia</v>
      </c>
      <c r="AA256" s="1" t="str">
        <f t="shared" si="10"/>
        <v>Bogota</v>
      </c>
      <c r="AB256" s="1"/>
      <c r="AC256" s="1" t="str">
        <f t="shared" si="11"/>
        <v xml:space="preserve"> </v>
      </c>
    </row>
    <row r="257" spans="1:29" x14ac:dyDescent="0.3">
      <c r="A257" s="1" t="s">
        <v>623</v>
      </c>
      <c r="B257">
        <v>1</v>
      </c>
      <c r="C257">
        <v>27.99</v>
      </c>
      <c r="D257">
        <v>27.99</v>
      </c>
      <c r="E257" s="1" t="s">
        <v>260</v>
      </c>
      <c r="F257" s="1" t="s">
        <v>51</v>
      </c>
      <c r="G257">
        <v>0</v>
      </c>
      <c r="H257" s="1" t="s">
        <v>58</v>
      </c>
      <c r="I257" s="1" t="s">
        <v>75</v>
      </c>
      <c r="J257">
        <v>9</v>
      </c>
      <c r="K257">
        <v>27.99</v>
      </c>
      <c r="L257" s="1" t="s">
        <v>624</v>
      </c>
      <c r="M257" s="1" t="s">
        <v>61</v>
      </c>
      <c r="N257" s="1" t="s">
        <v>62</v>
      </c>
      <c r="O257" s="1" t="s">
        <v>31</v>
      </c>
      <c r="P257" s="2">
        <v>45726</v>
      </c>
      <c r="Q257" s="1" t="s">
        <v>165</v>
      </c>
      <c r="R257" s="1" t="s">
        <v>562</v>
      </c>
      <c r="S257" s="1" t="s">
        <v>34</v>
      </c>
      <c r="T257" s="1" t="s">
        <v>35</v>
      </c>
      <c r="U257" s="1" t="s">
        <v>48</v>
      </c>
      <c r="V257" s="1" t="s">
        <v>37</v>
      </c>
      <c r="W257">
        <v>2</v>
      </c>
      <c r="X257" s="1" t="str">
        <f t="shared" si="9"/>
        <v>paula.sanchez95@mail.com</v>
      </c>
      <c r="Y257" s="1" t="str">
        <f>INDEX(V:V,MATCH(orders_desnormalizado_prueba3[[#This Row],[acquisition_channel]],U:U,0))</f>
        <v>Bodega Propia CO - envio 2-3 dias</v>
      </c>
      <c r="Z257" s="1" t="str">
        <f>INDEX(T:T,MATCH(orders_desnormalizado_prueba3[[#This Row],[shipping_cost]],W:W,0))</f>
        <v>Colombia</v>
      </c>
      <c r="AA257" s="1" t="str">
        <f t="shared" si="10"/>
        <v>Cartagena</v>
      </c>
      <c r="AB257" s="1"/>
      <c r="AC257" s="1" t="str">
        <f t="shared" si="11"/>
        <v xml:space="preserve"> </v>
      </c>
    </row>
    <row r="258" spans="1:29" x14ac:dyDescent="0.3">
      <c r="A258" s="1" t="s">
        <v>625</v>
      </c>
      <c r="B258">
        <v>1</v>
      </c>
      <c r="C258">
        <v>30.99</v>
      </c>
      <c r="D258">
        <v>30.99</v>
      </c>
      <c r="E258" s="1" t="s">
        <v>252</v>
      </c>
      <c r="F258" s="1" t="s">
        <v>40</v>
      </c>
      <c r="G258">
        <v>2</v>
      </c>
      <c r="H258" s="1" t="s">
        <v>41</v>
      </c>
      <c r="I258" s="1" t="s">
        <v>42</v>
      </c>
      <c r="J258">
        <v>10.5</v>
      </c>
      <c r="K258">
        <v>30.99</v>
      </c>
      <c r="L258" s="1" t="s">
        <v>28</v>
      </c>
      <c r="M258" s="1" t="s">
        <v>43</v>
      </c>
      <c r="N258" s="1" t="s">
        <v>44</v>
      </c>
      <c r="O258" s="1" t="s">
        <v>31</v>
      </c>
      <c r="P258" s="2">
        <v>45823</v>
      </c>
      <c r="Q258" s="1" t="s">
        <v>157</v>
      </c>
      <c r="R258" s="1" t="s">
        <v>158</v>
      </c>
      <c r="S258" s="1" t="s">
        <v>34</v>
      </c>
      <c r="T258" s="1" t="s">
        <v>35</v>
      </c>
      <c r="U258" s="1" t="s">
        <v>82</v>
      </c>
      <c r="V258" s="1" t="s">
        <v>37</v>
      </c>
      <c r="W258">
        <v>2</v>
      </c>
      <c r="X258" s="1" t="str">
        <f t="shared" ref="X258:X321" si="12">INDEX(R:R,MATCH(Q258,Q:Q,0))</f>
        <v>natalia.diaz96@mail.com</v>
      </c>
      <c r="Y258" s="1" t="str">
        <f>INDEX(V:V,MATCH(orders_desnormalizado_prueba3[[#This Row],[acquisition_channel]],U:U,0))</f>
        <v>Bodega Propia CO - envio 2-3 dias</v>
      </c>
      <c r="Z258" s="1" t="str">
        <f>INDEX(T:T,MATCH(orders_desnormalizado_prueba3[[#This Row],[shipping_cost]],W:W,0))</f>
        <v>Colombia</v>
      </c>
      <c r="AA258" s="1" t="str">
        <f t="shared" ref="AA258:AA321" si="13">INDEX(S:S,MATCH(G258,G:G,0))</f>
        <v>Medellin</v>
      </c>
      <c r="AB258" s="1"/>
      <c r="AC258" s="1" t="str">
        <f t="shared" ref="AC258:AC321" si="14">IFERROR(INDEX($V:$V,MATCH(AB258,$R:$R,0)), " ")</f>
        <v xml:space="preserve"> </v>
      </c>
    </row>
    <row r="259" spans="1:29" x14ac:dyDescent="0.3">
      <c r="A259" s="1" t="s">
        <v>626</v>
      </c>
      <c r="B259">
        <v>1</v>
      </c>
      <c r="C259">
        <v>30.99</v>
      </c>
      <c r="D259">
        <v>30.99</v>
      </c>
      <c r="E259" s="1" t="s">
        <v>327</v>
      </c>
      <c r="F259" s="1" t="s">
        <v>51</v>
      </c>
      <c r="G259">
        <v>0</v>
      </c>
      <c r="H259" s="1" t="s">
        <v>58</v>
      </c>
      <c r="I259" s="1" t="s">
        <v>42</v>
      </c>
      <c r="J259">
        <v>10.5</v>
      </c>
      <c r="K259">
        <v>30.99</v>
      </c>
      <c r="L259" s="1" t="s">
        <v>28</v>
      </c>
      <c r="M259" s="1" t="s">
        <v>43</v>
      </c>
      <c r="N259" s="1" t="s">
        <v>44</v>
      </c>
      <c r="O259" s="1" t="s">
        <v>31</v>
      </c>
      <c r="P259" s="2">
        <v>45823</v>
      </c>
      <c r="Q259" s="1" t="s">
        <v>63</v>
      </c>
      <c r="R259" s="1" t="s">
        <v>371</v>
      </c>
      <c r="S259" s="1" t="s">
        <v>88</v>
      </c>
      <c r="T259" s="1" t="s">
        <v>35</v>
      </c>
      <c r="U259" s="1" t="s">
        <v>36</v>
      </c>
      <c r="V259" s="1" t="s">
        <v>37</v>
      </c>
      <c r="W259">
        <v>2</v>
      </c>
      <c r="X259" s="1" t="str">
        <f t="shared" si="12"/>
        <v>laura.rodriguez85@mail.com</v>
      </c>
      <c r="Y259" s="1" t="str">
        <f>INDEX(V:V,MATCH(orders_desnormalizado_prueba3[[#This Row],[acquisition_channel]],U:U,0))</f>
        <v>Bodega Propia CO - envio 2-3 dias</v>
      </c>
      <c r="Z259" s="1" t="str">
        <f>INDEX(T:T,MATCH(orders_desnormalizado_prueba3[[#This Row],[shipping_cost]],W:W,0))</f>
        <v>Colombia</v>
      </c>
      <c r="AA259" s="1" t="str">
        <f t="shared" si="13"/>
        <v>Cartagena</v>
      </c>
      <c r="AB259" s="1"/>
      <c r="AC259" s="1" t="str">
        <f t="shared" si="14"/>
        <v xml:space="preserve"> </v>
      </c>
    </row>
    <row r="260" spans="1:29" x14ac:dyDescent="0.3">
      <c r="A260" s="1" t="s">
        <v>627</v>
      </c>
      <c r="B260">
        <v>1</v>
      </c>
      <c r="C260">
        <v>27.99</v>
      </c>
      <c r="D260">
        <v>27.99</v>
      </c>
      <c r="E260" s="1" t="s">
        <v>628</v>
      </c>
      <c r="F260" s="1" t="s">
        <v>40</v>
      </c>
      <c r="G260">
        <v>3</v>
      </c>
      <c r="H260" s="1" t="s">
        <v>96</v>
      </c>
      <c r="I260" s="1" t="s">
        <v>75</v>
      </c>
      <c r="J260">
        <v>9</v>
      </c>
      <c r="K260">
        <v>27.99</v>
      </c>
      <c r="L260" s="1" t="s">
        <v>28</v>
      </c>
      <c r="M260" s="1" t="s">
        <v>61</v>
      </c>
      <c r="N260" s="1" t="s">
        <v>62</v>
      </c>
      <c r="O260" s="1" t="s">
        <v>31</v>
      </c>
      <c r="P260" s="2">
        <v>45726</v>
      </c>
      <c r="Q260" s="1" t="s">
        <v>249</v>
      </c>
      <c r="R260" s="1" t="s">
        <v>250</v>
      </c>
      <c r="S260" s="1" t="s">
        <v>47</v>
      </c>
      <c r="T260" s="1" t="s">
        <v>35</v>
      </c>
      <c r="U260" s="1" t="s">
        <v>82</v>
      </c>
      <c r="V260" s="1" t="s">
        <v>37</v>
      </c>
      <c r="W260">
        <v>2</v>
      </c>
      <c r="X260" s="1" t="str">
        <f t="shared" si="12"/>
        <v>diego.rodriguez176@mail.com</v>
      </c>
      <c r="Y260" s="1" t="str">
        <f>INDEX(V:V,MATCH(orders_desnormalizado_prueba3[[#This Row],[acquisition_channel]],U:U,0))</f>
        <v>Bodega Propia CO - envio 2-3 dias</v>
      </c>
      <c r="Z260" s="1" t="str">
        <f>INDEX(T:T,MATCH(orders_desnormalizado_prueba3[[#This Row],[shipping_cost]],W:W,0))</f>
        <v>Colombia</v>
      </c>
      <c r="AA260" s="1" t="str">
        <f t="shared" si="13"/>
        <v>Barranquilla</v>
      </c>
      <c r="AB260" s="1"/>
      <c r="AC260" s="1" t="str">
        <f t="shared" si="14"/>
        <v xml:space="preserve"> </v>
      </c>
    </row>
    <row r="261" spans="1:29" x14ac:dyDescent="0.3">
      <c r="A261" s="1" t="s">
        <v>629</v>
      </c>
      <c r="B261">
        <v>3</v>
      </c>
      <c r="C261">
        <v>34.99</v>
      </c>
      <c r="D261">
        <v>84.73</v>
      </c>
      <c r="E261" s="1" t="s">
        <v>447</v>
      </c>
      <c r="F261" s="1" t="s">
        <v>40</v>
      </c>
      <c r="G261">
        <v>6</v>
      </c>
      <c r="H261" s="1" t="s">
        <v>96</v>
      </c>
      <c r="I261" s="1" t="s">
        <v>85</v>
      </c>
      <c r="J261">
        <v>12.5</v>
      </c>
      <c r="K261">
        <v>34.99</v>
      </c>
      <c r="L261" s="1" t="s">
        <v>60</v>
      </c>
      <c r="M261" s="1" t="s">
        <v>29</v>
      </c>
      <c r="N261" s="1" t="s">
        <v>30</v>
      </c>
      <c r="O261" s="1" t="s">
        <v>31</v>
      </c>
      <c r="P261" s="2">
        <v>45778</v>
      </c>
      <c r="Q261" s="1" t="s">
        <v>630</v>
      </c>
      <c r="R261" s="1" t="s">
        <v>631</v>
      </c>
      <c r="S261" s="1" t="s">
        <v>88</v>
      </c>
      <c r="T261" s="1" t="s">
        <v>35</v>
      </c>
      <c r="U261" s="1" t="s">
        <v>36</v>
      </c>
      <c r="V261" s="1" t="s">
        <v>89</v>
      </c>
      <c r="W261">
        <v>2.4</v>
      </c>
      <c r="X261" s="1" t="str">
        <f t="shared" si="12"/>
        <v>mateo.rodriguez59@mail.com</v>
      </c>
      <c r="Y261" s="1" t="str">
        <f>INDEX(V:V,MATCH(orders_desnormalizado_prueba3[[#This Row],[acquisition_channel]],U:U,0))</f>
        <v>Bodega Propia CO - envio 2-3 dias</v>
      </c>
      <c r="Z261" s="1" t="str">
        <f>INDEX(T:T,MATCH(orders_desnormalizado_prueba3[[#This Row],[shipping_cost]],W:W,0))</f>
        <v>Colombia</v>
      </c>
      <c r="AA261" s="1" t="str">
        <f t="shared" si="13"/>
        <v>Medellin</v>
      </c>
      <c r="AB261" s="1"/>
      <c r="AC261" s="1" t="str">
        <f t="shared" si="14"/>
        <v xml:space="preserve"> </v>
      </c>
    </row>
    <row r="262" spans="1:29" x14ac:dyDescent="0.3">
      <c r="A262" s="1" t="s">
        <v>632</v>
      </c>
      <c r="B262">
        <v>1</v>
      </c>
      <c r="C262">
        <v>18.989999999999998</v>
      </c>
      <c r="D262">
        <v>18.989999999999998</v>
      </c>
      <c r="E262" s="1" t="s">
        <v>561</v>
      </c>
      <c r="F262" s="1" t="s">
        <v>40</v>
      </c>
      <c r="G262">
        <v>13</v>
      </c>
      <c r="H262" s="1" t="s">
        <v>96</v>
      </c>
      <c r="I262" s="1" t="s">
        <v>97</v>
      </c>
      <c r="J262">
        <v>6</v>
      </c>
      <c r="K262">
        <v>18.989999999999998</v>
      </c>
      <c r="L262" s="1" t="s">
        <v>60</v>
      </c>
      <c r="M262" s="1" t="s">
        <v>43</v>
      </c>
      <c r="N262" s="1" t="s">
        <v>44</v>
      </c>
      <c r="O262" s="1" t="s">
        <v>31</v>
      </c>
      <c r="P262" s="2">
        <v>45823</v>
      </c>
      <c r="Q262" s="1" t="s">
        <v>462</v>
      </c>
      <c r="R262" s="1" t="s">
        <v>463</v>
      </c>
      <c r="S262" s="1" t="s">
        <v>54</v>
      </c>
      <c r="T262" s="1" t="s">
        <v>35</v>
      </c>
      <c r="U262" s="1" t="s">
        <v>36</v>
      </c>
      <c r="V262" s="1" t="s">
        <v>100</v>
      </c>
      <c r="W262">
        <v>3.2</v>
      </c>
      <c r="X262" s="1" t="str">
        <f t="shared" si="12"/>
        <v>valentina.diaz17@mail.com</v>
      </c>
      <c r="Y262" s="1" t="str">
        <f>INDEX(V:V,MATCH(orders_desnormalizado_prueba3[[#This Row],[acquisition_channel]],U:U,0))</f>
        <v>Bodega Propia CO - envio 2-3 dias</v>
      </c>
      <c r="Z262" s="1" t="str">
        <f>INDEX(T:T,MATCH(orders_desnormalizado_prueba3[[#This Row],[shipping_cost]],W:W,0))</f>
        <v>Colombia</v>
      </c>
      <c r="AA262" s="1" t="str">
        <f t="shared" si="13"/>
        <v>Barranquilla</v>
      </c>
      <c r="AB262" s="1"/>
      <c r="AC262" s="1" t="str">
        <f t="shared" si="14"/>
        <v xml:space="preserve"> </v>
      </c>
    </row>
    <row r="263" spans="1:29" x14ac:dyDescent="0.3">
      <c r="A263" s="1" t="s">
        <v>633</v>
      </c>
      <c r="B263">
        <v>3</v>
      </c>
      <c r="C263">
        <v>21.99</v>
      </c>
      <c r="D263">
        <v>52.48</v>
      </c>
      <c r="E263" s="1" t="s">
        <v>419</v>
      </c>
      <c r="F263" s="1" t="s">
        <v>188</v>
      </c>
      <c r="G263">
        <v>0</v>
      </c>
      <c r="H263" s="1" t="s">
        <v>41</v>
      </c>
      <c r="I263" s="1" t="s">
        <v>27</v>
      </c>
      <c r="J263">
        <v>7</v>
      </c>
      <c r="K263">
        <v>21.99</v>
      </c>
      <c r="L263" s="1" t="s">
        <v>28</v>
      </c>
      <c r="M263" s="1" t="s">
        <v>29</v>
      </c>
      <c r="N263" s="1" t="s">
        <v>30</v>
      </c>
      <c r="O263" s="1" t="s">
        <v>31</v>
      </c>
      <c r="P263" s="2">
        <v>45778</v>
      </c>
      <c r="Q263" s="1" t="s">
        <v>466</v>
      </c>
      <c r="R263" s="1" t="s">
        <v>467</v>
      </c>
      <c r="S263" s="1" t="s">
        <v>65</v>
      </c>
      <c r="T263" s="1" t="s">
        <v>35</v>
      </c>
      <c r="U263" s="1" t="s">
        <v>36</v>
      </c>
      <c r="V263" s="1" t="s">
        <v>37</v>
      </c>
      <c r="W263">
        <v>2</v>
      </c>
      <c r="X263" s="1" t="str">
        <f t="shared" si="12"/>
        <v>valentina.gomez113@mail.com</v>
      </c>
      <c r="Y263" s="1" t="str">
        <f>INDEX(V:V,MATCH(orders_desnormalizado_prueba3[[#This Row],[acquisition_channel]],U:U,0))</f>
        <v>Bodega Propia CO - envio 2-3 dias</v>
      </c>
      <c r="Z263" s="1" t="str">
        <f>INDEX(T:T,MATCH(orders_desnormalizado_prueba3[[#This Row],[shipping_cost]],W:W,0))</f>
        <v>Colombia</v>
      </c>
      <c r="AA263" s="1" t="str">
        <f t="shared" si="13"/>
        <v>Cartagena</v>
      </c>
      <c r="AB263" s="1"/>
      <c r="AC263" s="1" t="str">
        <f t="shared" si="14"/>
        <v xml:space="preserve"> </v>
      </c>
    </row>
    <row r="264" spans="1:29" x14ac:dyDescent="0.3">
      <c r="A264" s="1" t="s">
        <v>634</v>
      </c>
      <c r="B264">
        <v>1</v>
      </c>
      <c r="C264">
        <v>18.989999999999998</v>
      </c>
      <c r="D264">
        <v>18.989999999999998</v>
      </c>
      <c r="E264" s="1" t="s">
        <v>168</v>
      </c>
      <c r="F264" s="1" t="s">
        <v>40</v>
      </c>
      <c r="G264">
        <v>13</v>
      </c>
      <c r="H264" s="1" t="s">
        <v>41</v>
      </c>
      <c r="I264" s="1" t="s">
        <v>97</v>
      </c>
      <c r="J264">
        <v>6</v>
      </c>
      <c r="K264">
        <v>18.989999999999998</v>
      </c>
      <c r="L264" s="1" t="s">
        <v>60</v>
      </c>
      <c r="M264" s="1" t="s">
        <v>43</v>
      </c>
      <c r="N264" s="1" t="s">
        <v>44</v>
      </c>
      <c r="O264" s="1" t="s">
        <v>31</v>
      </c>
      <c r="P264" s="2">
        <v>45823</v>
      </c>
      <c r="Q264" s="1" t="s">
        <v>98</v>
      </c>
      <c r="R264" s="1" t="s">
        <v>99</v>
      </c>
      <c r="S264" s="1" t="s">
        <v>47</v>
      </c>
      <c r="T264" s="1" t="s">
        <v>35</v>
      </c>
      <c r="U264" s="1" t="s">
        <v>66</v>
      </c>
      <c r="V264" s="1" t="s">
        <v>100</v>
      </c>
      <c r="W264">
        <v>3.2</v>
      </c>
      <c r="X264" s="1" t="str">
        <f t="shared" si="12"/>
        <v>david.perez76@mail.com</v>
      </c>
      <c r="Y264" s="1" t="str">
        <f>INDEX(V:V,MATCH(orders_desnormalizado_prueba3[[#This Row],[acquisition_channel]],U:U,0))</f>
        <v>AliDropship CN - envio 15-20 dias</v>
      </c>
      <c r="Z264" s="1" t="str">
        <f>INDEX(T:T,MATCH(orders_desnormalizado_prueba3[[#This Row],[shipping_cost]],W:W,0))</f>
        <v>Colombia</v>
      </c>
      <c r="AA264" s="1" t="str">
        <f t="shared" si="13"/>
        <v>Barranquilla</v>
      </c>
      <c r="AB264" s="1"/>
      <c r="AC264" s="1" t="str">
        <f t="shared" si="14"/>
        <v xml:space="preserve"> </v>
      </c>
    </row>
    <row r="265" spans="1:29" x14ac:dyDescent="0.3">
      <c r="A265" s="1" t="s">
        <v>635</v>
      </c>
      <c r="B265">
        <v>2</v>
      </c>
      <c r="C265">
        <v>18.989999999999998</v>
      </c>
      <c r="D265">
        <v>32.78</v>
      </c>
      <c r="E265" s="1" t="s">
        <v>192</v>
      </c>
      <c r="F265" s="1" t="s">
        <v>40</v>
      </c>
      <c r="G265">
        <v>13</v>
      </c>
      <c r="H265" s="1" t="s">
        <v>41</v>
      </c>
      <c r="I265" s="1" t="s">
        <v>97</v>
      </c>
      <c r="J265">
        <v>6</v>
      </c>
      <c r="K265">
        <v>18.989999999999998</v>
      </c>
      <c r="L265" s="1" t="s">
        <v>60</v>
      </c>
      <c r="M265" s="1" t="s">
        <v>43</v>
      </c>
      <c r="N265" s="1" t="s">
        <v>44</v>
      </c>
      <c r="O265" s="1" t="s">
        <v>31</v>
      </c>
      <c r="P265" s="2">
        <v>45823</v>
      </c>
      <c r="Q265" s="1" t="s">
        <v>63</v>
      </c>
      <c r="R265" s="1" t="s">
        <v>371</v>
      </c>
      <c r="S265" s="1" t="s">
        <v>88</v>
      </c>
      <c r="T265" s="1" t="s">
        <v>35</v>
      </c>
      <c r="U265" s="1" t="s">
        <v>36</v>
      </c>
      <c r="V265" s="1" t="s">
        <v>100</v>
      </c>
      <c r="W265">
        <v>3.2</v>
      </c>
      <c r="X265" s="1" t="str">
        <f t="shared" si="12"/>
        <v>laura.rodriguez85@mail.com</v>
      </c>
      <c r="Y265" s="1" t="str">
        <f>INDEX(V:V,MATCH(orders_desnormalizado_prueba3[[#This Row],[acquisition_channel]],U:U,0))</f>
        <v>Bodega Propia CO - envio 2-3 dias</v>
      </c>
      <c r="Z265" s="1" t="str">
        <f>INDEX(T:T,MATCH(orders_desnormalizado_prueba3[[#This Row],[shipping_cost]],W:W,0))</f>
        <v>Colombia</v>
      </c>
      <c r="AA265" s="1" t="str">
        <f t="shared" si="13"/>
        <v>Barranquilla</v>
      </c>
      <c r="AB265" s="1"/>
      <c r="AC265" s="1" t="str">
        <f t="shared" si="14"/>
        <v xml:space="preserve"> </v>
      </c>
    </row>
    <row r="266" spans="1:29" x14ac:dyDescent="0.3">
      <c r="A266" s="1" t="s">
        <v>636</v>
      </c>
      <c r="B266">
        <v>2</v>
      </c>
      <c r="C266">
        <v>27.99</v>
      </c>
      <c r="D266">
        <v>48.38</v>
      </c>
      <c r="E266" s="1" t="s">
        <v>79</v>
      </c>
      <c r="F266" s="1" t="s">
        <v>51</v>
      </c>
      <c r="G266">
        <v>0</v>
      </c>
      <c r="H266" s="1" t="s">
        <v>58</v>
      </c>
      <c r="I266" s="1" t="s">
        <v>75</v>
      </c>
      <c r="J266">
        <v>9</v>
      </c>
      <c r="K266">
        <v>27.99</v>
      </c>
      <c r="L266" s="1" t="s">
        <v>28</v>
      </c>
      <c r="M266" s="1" t="s">
        <v>61</v>
      </c>
      <c r="N266" s="1" t="s">
        <v>62</v>
      </c>
      <c r="O266" s="1" t="s">
        <v>31</v>
      </c>
      <c r="P266" s="2">
        <v>45726</v>
      </c>
      <c r="Q266" s="1" t="s">
        <v>216</v>
      </c>
      <c r="R266" s="1" t="s">
        <v>217</v>
      </c>
      <c r="S266" s="1" t="s">
        <v>65</v>
      </c>
      <c r="T266" s="1" t="s">
        <v>35</v>
      </c>
      <c r="U266" s="1" t="s">
        <v>82</v>
      </c>
      <c r="V266" s="1" t="s">
        <v>37</v>
      </c>
      <c r="W266">
        <v>2</v>
      </c>
      <c r="X266" s="1" t="str">
        <f t="shared" si="12"/>
        <v>valentina.perez50@mail.com</v>
      </c>
      <c r="Y266" s="1" t="str">
        <f>INDEX(V:V,MATCH(orders_desnormalizado_prueba3[[#This Row],[acquisition_channel]],U:U,0))</f>
        <v>Bodega Propia CO - envio 2-3 dias</v>
      </c>
      <c r="Z266" s="1" t="str">
        <f>INDEX(T:T,MATCH(orders_desnormalizado_prueba3[[#This Row],[shipping_cost]],W:W,0))</f>
        <v>Colombia</v>
      </c>
      <c r="AA266" s="1" t="str">
        <f t="shared" si="13"/>
        <v>Cartagena</v>
      </c>
      <c r="AB266" s="1"/>
      <c r="AC266" s="1" t="str">
        <f t="shared" si="14"/>
        <v xml:space="preserve"> </v>
      </c>
    </row>
    <row r="267" spans="1:29" x14ac:dyDescent="0.3">
      <c r="A267" s="1" t="s">
        <v>637</v>
      </c>
      <c r="B267">
        <v>2</v>
      </c>
      <c r="C267">
        <v>21.99</v>
      </c>
      <c r="D267">
        <v>37.979999999999997</v>
      </c>
      <c r="E267" s="1" t="s">
        <v>389</v>
      </c>
      <c r="F267" s="1" t="s">
        <v>40</v>
      </c>
      <c r="G267">
        <v>3</v>
      </c>
      <c r="H267" s="1" t="s">
        <v>96</v>
      </c>
      <c r="I267" s="1" t="s">
        <v>27</v>
      </c>
      <c r="J267">
        <v>7</v>
      </c>
      <c r="K267">
        <v>21.99</v>
      </c>
      <c r="L267" s="1" t="s">
        <v>28</v>
      </c>
      <c r="M267" s="1" t="s">
        <v>29</v>
      </c>
      <c r="N267" s="1" t="s">
        <v>30</v>
      </c>
      <c r="O267" s="1" t="s">
        <v>31</v>
      </c>
      <c r="P267" s="2">
        <v>45778</v>
      </c>
      <c r="Q267" s="1" t="s">
        <v>161</v>
      </c>
      <c r="R267" s="1" t="s">
        <v>179</v>
      </c>
      <c r="S267" s="1" t="s">
        <v>105</v>
      </c>
      <c r="T267" s="1" t="s">
        <v>35</v>
      </c>
      <c r="U267" s="1" t="s">
        <v>82</v>
      </c>
      <c r="V267" s="1" t="s">
        <v>37</v>
      </c>
      <c r="W267">
        <v>2</v>
      </c>
      <c r="X267" s="1" t="str">
        <f t="shared" si="12"/>
        <v>miguel.vargas74@mail.com</v>
      </c>
      <c r="Y267" s="1" t="str">
        <f>INDEX(V:V,MATCH(orders_desnormalizado_prueba3[[#This Row],[acquisition_channel]],U:U,0))</f>
        <v>Bodega Propia CO - envio 2-3 dias</v>
      </c>
      <c r="Z267" s="1" t="str">
        <f>INDEX(T:T,MATCH(orders_desnormalizado_prueba3[[#This Row],[shipping_cost]],W:W,0))</f>
        <v>Colombia</v>
      </c>
      <c r="AA267" s="1" t="str">
        <f t="shared" si="13"/>
        <v>Barranquilla</v>
      </c>
      <c r="AB267" s="1"/>
      <c r="AC267" s="1" t="str">
        <f t="shared" si="14"/>
        <v xml:space="preserve"> </v>
      </c>
    </row>
    <row r="268" spans="1:29" x14ac:dyDescent="0.3">
      <c r="A268" s="1" t="s">
        <v>638</v>
      </c>
      <c r="B268">
        <v>1</v>
      </c>
      <c r="C268">
        <v>34.99</v>
      </c>
      <c r="D268">
        <v>34.99</v>
      </c>
      <c r="E268" s="1" t="s">
        <v>187</v>
      </c>
      <c r="F268" s="1" t="s">
        <v>40</v>
      </c>
      <c r="G268">
        <v>6</v>
      </c>
      <c r="H268" s="1" t="s">
        <v>58</v>
      </c>
      <c r="I268" s="1" t="s">
        <v>85</v>
      </c>
      <c r="J268">
        <v>12.5</v>
      </c>
      <c r="K268">
        <v>34.99</v>
      </c>
      <c r="L268" s="1" t="s">
        <v>60</v>
      </c>
      <c r="M268" s="1" t="s">
        <v>29</v>
      </c>
      <c r="N268" s="1" t="s">
        <v>30</v>
      </c>
      <c r="O268" s="1" t="s">
        <v>31</v>
      </c>
      <c r="P268" s="2">
        <v>45778</v>
      </c>
      <c r="Q268" s="1" t="s">
        <v>253</v>
      </c>
      <c r="R268" s="1" t="s">
        <v>254</v>
      </c>
      <c r="S268" s="1" t="s">
        <v>105</v>
      </c>
      <c r="T268" s="1" t="s">
        <v>35</v>
      </c>
      <c r="U268" s="1" t="s">
        <v>48</v>
      </c>
      <c r="V268" s="1" t="s">
        <v>89</v>
      </c>
      <c r="W268">
        <v>2.4</v>
      </c>
      <c r="X268" s="1" t="str">
        <f t="shared" si="12"/>
        <v>camila.sanchez81@mail.com</v>
      </c>
      <c r="Y268" s="1" t="str">
        <f>INDEX(V:V,MATCH(orders_desnormalizado_prueba3[[#This Row],[acquisition_channel]],U:U,0))</f>
        <v>Bodega Propia CO - envio 2-3 dias</v>
      </c>
      <c r="Z268" s="1" t="str">
        <f>INDEX(T:T,MATCH(orders_desnormalizado_prueba3[[#This Row],[shipping_cost]],W:W,0))</f>
        <v>Colombia</v>
      </c>
      <c r="AA268" s="1" t="str">
        <f t="shared" si="13"/>
        <v>Medellin</v>
      </c>
      <c r="AB268" s="1"/>
      <c r="AC268" s="1" t="str">
        <f t="shared" si="14"/>
        <v xml:space="preserve"> </v>
      </c>
    </row>
    <row r="269" spans="1:29" x14ac:dyDescent="0.3">
      <c r="A269" s="1" t="s">
        <v>639</v>
      </c>
      <c r="B269">
        <v>2</v>
      </c>
      <c r="C269">
        <v>34.99</v>
      </c>
      <c r="D269">
        <v>60.98</v>
      </c>
      <c r="E269" s="1" t="s">
        <v>452</v>
      </c>
      <c r="F269" s="1" t="s">
        <v>40</v>
      </c>
      <c r="G269">
        <v>8</v>
      </c>
      <c r="H269" s="1" t="s">
        <v>41</v>
      </c>
      <c r="I269" s="1" t="s">
        <v>85</v>
      </c>
      <c r="J269">
        <v>12.5</v>
      </c>
      <c r="K269">
        <v>34.99</v>
      </c>
      <c r="L269" s="1" t="s">
        <v>60</v>
      </c>
      <c r="M269" s="1" t="s">
        <v>29</v>
      </c>
      <c r="N269" s="1" t="s">
        <v>30</v>
      </c>
      <c r="O269" s="1" t="s">
        <v>31</v>
      </c>
      <c r="P269" s="2">
        <v>45778</v>
      </c>
      <c r="Q269" s="1" t="s">
        <v>266</v>
      </c>
      <c r="R269" s="1" t="s">
        <v>640</v>
      </c>
      <c r="S269" s="1" t="s">
        <v>34</v>
      </c>
      <c r="T269" s="1" t="s">
        <v>35</v>
      </c>
      <c r="U269" s="1" t="s">
        <v>82</v>
      </c>
      <c r="V269" s="1" t="s">
        <v>89</v>
      </c>
      <c r="W269">
        <v>2.4</v>
      </c>
      <c r="X269" s="1" t="str">
        <f t="shared" si="12"/>
        <v>alejandro.rodriguez7@mail.com</v>
      </c>
      <c r="Y269" s="1" t="str">
        <f>INDEX(V:V,MATCH(orders_desnormalizado_prueba3[[#This Row],[acquisition_channel]],U:U,0))</f>
        <v>Bodega Propia CO - envio 2-3 dias</v>
      </c>
      <c r="Z269" s="1" t="str">
        <f>INDEX(T:T,MATCH(orders_desnormalizado_prueba3[[#This Row],[shipping_cost]],W:W,0))</f>
        <v>Colombia</v>
      </c>
      <c r="AA269" s="1" t="str">
        <f t="shared" si="13"/>
        <v>Barranquilla</v>
      </c>
      <c r="AB269" s="1"/>
      <c r="AC269" s="1" t="str">
        <f t="shared" si="14"/>
        <v xml:space="preserve"> </v>
      </c>
    </row>
    <row r="270" spans="1:29" x14ac:dyDescent="0.3">
      <c r="A270" s="1" t="s">
        <v>641</v>
      </c>
      <c r="B270">
        <v>1</v>
      </c>
      <c r="C270">
        <v>18.989999999999998</v>
      </c>
      <c r="D270">
        <v>18.989999999999998</v>
      </c>
      <c r="E270" s="1" t="s">
        <v>109</v>
      </c>
      <c r="F270" s="1" t="s">
        <v>51</v>
      </c>
      <c r="G270">
        <v>0</v>
      </c>
      <c r="H270" s="1" t="s">
        <v>96</v>
      </c>
      <c r="I270" s="1" t="s">
        <v>97</v>
      </c>
      <c r="J270">
        <v>6</v>
      </c>
      <c r="K270">
        <v>18.989999999999998</v>
      </c>
      <c r="L270" s="1" t="s">
        <v>60</v>
      </c>
      <c r="M270" s="1" t="s">
        <v>43</v>
      </c>
      <c r="N270" s="1" t="s">
        <v>44</v>
      </c>
      <c r="O270" s="1" t="s">
        <v>31</v>
      </c>
      <c r="P270" s="2">
        <v>45823</v>
      </c>
      <c r="Q270" s="1" t="s">
        <v>425</v>
      </c>
      <c r="R270" s="1" t="s">
        <v>642</v>
      </c>
      <c r="S270" s="1" t="s">
        <v>65</v>
      </c>
      <c r="T270" s="1" t="s">
        <v>35</v>
      </c>
      <c r="U270" s="1" t="s">
        <v>36</v>
      </c>
      <c r="V270" s="1" t="s">
        <v>100</v>
      </c>
      <c r="W270">
        <v>3.2</v>
      </c>
      <c r="X270" s="1" t="str">
        <f t="shared" si="12"/>
        <v>paula.ramirez47@mail.com</v>
      </c>
      <c r="Y270" s="1" t="str">
        <f>INDEX(V:V,MATCH(orders_desnormalizado_prueba3[[#This Row],[acquisition_channel]],U:U,0))</f>
        <v>Bodega Propia CO - envio 2-3 dias</v>
      </c>
      <c r="Z270" s="1" t="str">
        <f>INDEX(T:T,MATCH(orders_desnormalizado_prueba3[[#This Row],[shipping_cost]],W:W,0))</f>
        <v>Colombia</v>
      </c>
      <c r="AA270" s="1" t="str">
        <f t="shared" si="13"/>
        <v>Cartagena</v>
      </c>
      <c r="AB270" s="1"/>
      <c r="AC270" s="1" t="str">
        <f t="shared" si="14"/>
        <v xml:space="preserve"> </v>
      </c>
    </row>
    <row r="271" spans="1:29" x14ac:dyDescent="0.3">
      <c r="A271" s="1" t="s">
        <v>643</v>
      </c>
      <c r="B271">
        <v>1</v>
      </c>
      <c r="C271">
        <v>34.99</v>
      </c>
      <c r="D271">
        <v>34.99</v>
      </c>
      <c r="E271" s="1" t="s">
        <v>644</v>
      </c>
      <c r="F271" s="1" t="s">
        <v>40</v>
      </c>
      <c r="G271">
        <v>5</v>
      </c>
      <c r="H271" s="1" t="s">
        <v>26</v>
      </c>
      <c r="I271" s="1" t="s">
        <v>85</v>
      </c>
      <c r="J271">
        <v>12.5</v>
      </c>
      <c r="K271">
        <v>34.99</v>
      </c>
      <c r="L271" s="1" t="s">
        <v>60</v>
      </c>
      <c r="M271" s="1" t="s">
        <v>29</v>
      </c>
      <c r="N271" s="1" t="s">
        <v>30</v>
      </c>
      <c r="O271" s="1" t="s">
        <v>31</v>
      </c>
      <c r="P271" s="2">
        <v>45778</v>
      </c>
      <c r="Q271" s="1" t="s">
        <v>355</v>
      </c>
      <c r="R271" s="1" t="s">
        <v>356</v>
      </c>
      <c r="S271" s="1" t="s">
        <v>34</v>
      </c>
      <c r="T271" s="1" t="s">
        <v>35</v>
      </c>
      <c r="U271" s="1" t="s">
        <v>48</v>
      </c>
      <c r="V271" s="1" t="s">
        <v>89</v>
      </c>
      <c r="W271">
        <v>2.4</v>
      </c>
      <c r="X271" s="1" t="str">
        <f t="shared" si="12"/>
        <v>sofia.perez139@mail.com</v>
      </c>
      <c r="Y271" s="1" t="str">
        <f>INDEX(V:V,MATCH(orders_desnormalizado_prueba3[[#This Row],[acquisition_channel]],U:U,0))</f>
        <v>Bodega Propia CO - envio 2-3 dias</v>
      </c>
      <c r="Z271" s="1" t="str">
        <f>INDEX(T:T,MATCH(orders_desnormalizado_prueba3[[#This Row],[shipping_cost]],W:W,0))</f>
        <v>Colombia</v>
      </c>
      <c r="AA271" s="1" t="str">
        <f t="shared" si="13"/>
        <v>Cali</v>
      </c>
      <c r="AB271" s="1"/>
      <c r="AC271" s="1" t="str">
        <f t="shared" si="14"/>
        <v xml:space="preserve"> </v>
      </c>
    </row>
    <row r="272" spans="1:29" x14ac:dyDescent="0.3">
      <c r="A272" s="1" t="s">
        <v>645</v>
      </c>
      <c r="B272">
        <v>1</v>
      </c>
      <c r="C272">
        <v>30.99</v>
      </c>
      <c r="D272">
        <v>30.99</v>
      </c>
      <c r="E272" s="1" t="s">
        <v>646</v>
      </c>
      <c r="F272" s="1" t="s">
        <v>188</v>
      </c>
      <c r="G272">
        <v>0</v>
      </c>
      <c r="H272" s="1" t="s">
        <v>41</v>
      </c>
      <c r="I272" s="1" t="s">
        <v>42</v>
      </c>
      <c r="J272">
        <v>10.5</v>
      </c>
      <c r="K272">
        <v>30.99</v>
      </c>
      <c r="L272" s="1" t="s">
        <v>28</v>
      </c>
      <c r="M272" s="1" t="s">
        <v>43</v>
      </c>
      <c r="N272" s="1" t="s">
        <v>44</v>
      </c>
      <c r="O272" s="1" t="s">
        <v>31</v>
      </c>
      <c r="P272" s="2">
        <v>45823</v>
      </c>
      <c r="Q272" s="1" t="s">
        <v>647</v>
      </c>
      <c r="R272" s="1" t="s">
        <v>648</v>
      </c>
      <c r="S272" s="1" t="s">
        <v>88</v>
      </c>
      <c r="T272" s="1" t="s">
        <v>35</v>
      </c>
      <c r="U272" s="1" t="s">
        <v>82</v>
      </c>
      <c r="V272" s="1" t="s">
        <v>37</v>
      </c>
      <c r="W272">
        <v>2</v>
      </c>
      <c r="X272" s="1" t="str">
        <f t="shared" si="12"/>
        <v>sofia.diaz3@mail.com</v>
      </c>
      <c r="Y272" s="1" t="str">
        <f>INDEX(V:V,MATCH(orders_desnormalizado_prueba3[[#This Row],[acquisition_channel]],U:U,0))</f>
        <v>Bodega Propia CO - envio 2-3 dias</v>
      </c>
      <c r="Z272" s="1" t="str">
        <f>INDEX(T:T,MATCH(orders_desnormalizado_prueba3[[#This Row],[shipping_cost]],W:W,0))</f>
        <v>Colombia</v>
      </c>
      <c r="AA272" s="1" t="str">
        <f t="shared" si="13"/>
        <v>Cartagena</v>
      </c>
      <c r="AB272" s="1"/>
      <c r="AC272" s="1" t="str">
        <f t="shared" si="14"/>
        <v xml:space="preserve"> </v>
      </c>
    </row>
    <row r="273" spans="1:29" x14ac:dyDescent="0.3">
      <c r="A273" s="1" t="s">
        <v>649</v>
      </c>
      <c r="B273">
        <v>1</v>
      </c>
      <c r="C273">
        <v>34.99</v>
      </c>
      <c r="D273">
        <v>34.99</v>
      </c>
      <c r="E273" s="1" t="s">
        <v>260</v>
      </c>
      <c r="F273" s="1" t="s">
        <v>40</v>
      </c>
      <c r="G273">
        <v>7</v>
      </c>
      <c r="H273" s="1" t="s">
        <v>26</v>
      </c>
      <c r="I273" s="1" t="s">
        <v>85</v>
      </c>
      <c r="J273">
        <v>12.5</v>
      </c>
      <c r="K273">
        <v>34.99</v>
      </c>
      <c r="L273" s="1" t="s">
        <v>60</v>
      </c>
      <c r="M273" s="1" t="s">
        <v>29</v>
      </c>
      <c r="N273" s="1" t="s">
        <v>30</v>
      </c>
      <c r="O273" s="1" t="s">
        <v>31</v>
      </c>
      <c r="P273" s="2">
        <v>45778</v>
      </c>
      <c r="Q273" s="1" t="s">
        <v>342</v>
      </c>
      <c r="R273" s="1" t="s">
        <v>599</v>
      </c>
      <c r="S273" s="1" t="s">
        <v>54</v>
      </c>
      <c r="T273" s="1" t="s">
        <v>35</v>
      </c>
      <c r="U273" s="1" t="s">
        <v>66</v>
      </c>
      <c r="V273" s="1" t="s">
        <v>89</v>
      </c>
      <c r="W273">
        <v>2.4</v>
      </c>
      <c r="X273" s="1" t="str">
        <f t="shared" si="12"/>
        <v>isabella.torres61@mail.com</v>
      </c>
      <c r="Y273" s="1" t="str">
        <f>INDEX(V:V,MATCH(orders_desnormalizado_prueba3[[#This Row],[acquisition_channel]],U:U,0))</f>
        <v>AliDropship CN - envio 15-20 dias</v>
      </c>
      <c r="Z273" s="1" t="str">
        <f>INDEX(T:T,MATCH(orders_desnormalizado_prueba3[[#This Row],[shipping_cost]],W:W,0))</f>
        <v>Colombia</v>
      </c>
      <c r="AA273" s="1" t="str">
        <f t="shared" si="13"/>
        <v>Bogota</v>
      </c>
      <c r="AB273" s="1"/>
      <c r="AC273" s="1" t="str">
        <f t="shared" si="14"/>
        <v xml:space="preserve"> </v>
      </c>
    </row>
    <row r="274" spans="1:29" x14ac:dyDescent="0.3">
      <c r="A274" s="1" t="s">
        <v>650</v>
      </c>
      <c r="B274">
        <v>3</v>
      </c>
      <c r="C274">
        <v>34.99</v>
      </c>
      <c r="D274">
        <v>84.73</v>
      </c>
      <c r="E274" s="1" t="s">
        <v>651</v>
      </c>
      <c r="F274" s="1" t="s">
        <v>70</v>
      </c>
      <c r="G274">
        <v>0</v>
      </c>
      <c r="H274" s="1" t="s">
        <v>26</v>
      </c>
      <c r="I274" s="1" t="s">
        <v>85</v>
      </c>
      <c r="J274">
        <v>12.5</v>
      </c>
      <c r="K274">
        <v>34.99</v>
      </c>
      <c r="L274" s="1" t="s">
        <v>60</v>
      </c>
      <c r="M274" s="1" t="s">
        <v>29</v>
      </c>
      <c r="N274" s="1" t="s">
        <v>30</v>
      </c>
      <c r="O274" s="1" t="s">
        <v>31</v>
      </c>
      <c r="P274" s="2">
        <v>45778</v>
      </c>
      <c r="Q274" s="1" t="s">
        <v>373</v>
      </c>
      <c r="R274" s="1" t="s">
        <v>374</v>
      </c>
      <c r="S274" s="1" t="s">
        <v>65</v>
      </c>
      <c r="T274" s="1" t="s">
        <v>35</v>
      </c>
      <c r="U274" s="1" t="s">
        <v>82</v>
      </c>
      <c r="V274" s="1" t="s">
        <v>89</v>
      </c>
      <c r="W274">
        <v>2.4</v>
      </c>
      <c r="X274" s="1" t="str">
        <f t="shared" si="12"/>
        <v>david.diaz100@mail.com</v>
      </c>
      <c r="Y274" s="1" t="str">
        <f>INDEX(V:V,MATCH(orders_desnormalizado_prueba3[[#This Row],[acquisition_channel]],U:U,0))</f>
        <v>Bodega Propia CO - envio 2-3 dias</v>
      </c>
      <c r="Z274" s="1" t="str">
        <f>INDEX(T:T,MATCH(orders_desnormalizado_prueba3[[#This Row],[shipping_cost]],W:W,0))</f>
        <v>Colombia</v>
      </c>
      <c r="AA274" s="1" t="str">
        <f t="shared" si="13"/>
        <v>Cartagena</v>
      </c>
      <c r="AB274" s="1"/>
      <c r="AC274" s="1" t="str">
        <f t="shared" si="14"/>
        <v xml:space="preserve"> </v>
      </c>
    </row>
    <row r="275" spans="1:29" x14ac:dyDescent="0.3">
      <c r="A275" s="1" t="s">
        <v>652</v>
      </c>
      <c r="B275">
        <v>1</v>
      </c>
      <c r="C275">
        <v>30.99</v>
      </c>
      <c r="D275">
        <v>30.99</v>
      </c>
      <c r="E275" s="1" t="s">
        <v>197</v>
      </c>
      <c r="F275" s="1" t="s">
        <v>40</v>
      </c>
      <c r="G275">
        <v>3</v>
      </c>
      <c r="H275" s="1" t="s">
        <v>96</v>
      </c>
      <c r="I275" s="1" t="s">
        <v>42</v>
      </c>
      <c r="J275">
        <v>10.5</v>
      </c>
      <c r="K275">
        <v>30.99</v>
      </c>
      <c r="L275" s="1" t="s">
        <v>28</v>
      </c>
      <c r="M275" s="1" t="s">
        <v>43</v>
      </c>
      <c r="N275" s="1" t="s">
        <v>44</v>
      </c>
      <c r="O275" s="1" t="s">
        <v>31</v>
      </c>
      <c r="P275" s="2">
        <v>45823</v>
      </c>
      <c r="Q275" s="1" t="s">
        <v>103</v>
      </c>
      <c r="R275" s="1" t="s">
        <v>198</v>
      </c>
      <c r="S275" s="1" t="s">
        <v>54</v>
      </c>
      <c r="T275" s="1" t="s">
        <v>35</v>
      </c>
      <c r="U275" s="1" t="s">
        <v>82</v>
      </c>
      <c r="V275" s="1" t="s">
        <v>37</v>
      </c>
      <c r="W275">
        <v>2</v>
      </c>
      <c r="X275" s="1" t="str">
        <f t="shared" si="12"/>
        <v>miguel.castro159@mail.com</v>
      </c>
      <c r="Y275" s="1" t="str">
        <f>INDEX(V:V,MATCH(orders_desnormalizado_prueba3[[#This Row],[acquisition_channel]],U:U,0))</f>
        <v>Bodega Propia CO - envio 2-3 dias</v>
      </c>
      <c r="Z275" s="1" t="str">
        <f>INDEX(T:T,MATCH(orders_desnormalizado_prueba3[[#This Row],[shipping_cost]],W:W,0))</f>
        <v>Colombia</v>
      </c>
      <c r="AA275" s="1" t="str">
        <f t="shared" si="13"/>
        <v>Barranquilla</v>
      </c>
      <c r="AB275" s="1"/>
      <c r="AC275" s="1" t="str">
        <f t="shared" si="14"/>
        <v xml:space="preserve"> </v>
      </c>
    </row>
    <row r="276" spans="1:29" x14ac:dyDescent="0.3">
      <c r="A276" s="1" t="s">
        <v>653</v>
      </c>
      <c r="B276">
        <v>3</v>
      </c>
      <c r="C276">
        <v>34.99</v>
      </c>
      <c r="D276">
        <v>84.73</v>
      </c>
      <c r="E276" s="1" t="s">
        <v>389</v>
      </c>
      <c r="F276" s="1" t="s">
        <v>188</v>
      </c>
      <c r="G276">
        <v>0</v>
      </c>
      <c r="H276" s="1" t="s">
        <v>96</v>
      </c>
      <c r="I276" s="1" t="s">
        <v>85</v>
      </c>
      <c r="J276">
        <v>12.5</v>
      </c>
      <c r="K276">
        <v>34.99</v>
      </c>
      <c r="L276" s="1" t="s">
        <v>60</v>
      </c>
      <c r="M276" s="1" t="s">
        <v>29</v>
      </c>
      <c r="N276" s="1" t="s">
        <v>30</v>
      </c>
      <c r="O276" s="1" t="s">
        <v>31</v>
      </c>
      <c r="P276" s="2">
        <v>45778</v>
      </c>
      <c r="Q276" s="1" t="s">
        <v>654</v>
      </c>
      <c r="R276" s="1" t="s">
        <v>655</v>
      </c>
      <c r="S276" s="1" t="s">
        <v>47</v>
      </c>
      <c r="T276" s="1" t="s">
        <v>35</v>
      </c>
      <c r="U276" s="1" t="s">
        <v>66</v>
      </c>
      <c r="V276" s="1" t="s">
        <v>89</v>
      </c>
      <c r="W276">
        <v>2.4</v>
      </c>
      <c r="X276" s="1" t="str">
        <f t="shared" si="12"/>
        <v>alejandro.diaz133@mail.com</v>
      </c>
      <c r="Y276" s="1" t="str">
        <f>INDEX(V:V,MATCH(orders_desnormalizado_prueba3[[#This Row],[acquisition_channel]],U:U,0))</f>
        <v>AliDropship CN - envio 15-20 dias</v>
      </c>
      <c r="Z276" s="1" t="str">
        <f>INDEX(T:T,MATCH(orders_desnormalizado_prueba3[[#This Row],[shipping_cost]],W:W,0))</f>
        <v>Colombia</v>
      </c>
      <c r="AA276" s="1" t="str">
        <f t="shared" si="13"/>
        <v>Cartagena</v>
      </c>
      <c r="AB276" s="1"/>
      <c r="AC276" s="1" t="str">
        <f t="shared" si="14"/>
        <v xml:space="preserve"> </v>
      </c>
    </row>
    <row r="277" spans="1:29" x14ac:dyDescent="0.3">
      <c r="A277" s="1" t="s">
        <v>656</v>
      </c>
      <c r="B277">
        <v>1</v>
      </c>
      <c r="C277">
        <v>30.99</v>
      </c>
      <c r="D277">
        <v>30.99</v>
      </c>
      <c r="E277" s="1" t="s">
        <v>449</v>
      </c>
      <c r="F277" s="1" t="s">
        <v>40</v>
      </c>
      <c r="G277">
        <v>3</v>
      </c>
      <c r="H277" s="1" t="s">
        <v>96</v>
      </c>
      <c r="I277" s="1" t="s">
        <v>42</v>
      </c>
      <c r="J277">
        <v>10.5</v>
      </c>
      <c r="K277">
        <v>30.99</v>
      </c>
      <c r="L277" s="1" t="s">
        <v>28</v>
      </c>
      <c r="M277" s="1" t="s">
        <v>43</v>
      </c>
      <c r="N277" s="1" t="s">
        <v>44</v>
      </c>
      <c r="O277" s="1" t="s">
        <v>31</v>
      </c>
      <c r="P277" s="2">
        <v>45823</v>
      </c>
      <c r="Q277" s="1" t="s">
        <v>379</v>
      </c>
      <c r="R277" s="1" t="s">
        <v>470</v>
      </c>
      <c r="S277" s="1" t="s">
        <v>88</v>
      </c>
      <c r="T277" s="1" t="s">
        <v>35</v>
      </c>
      <c r="U277" s="1" t="s">
        <v>66</v>
      </c>
      <c r="V277" s="1" t="s">
        <v>37</v>
      </c>
      <c r="W277">
        <v>2</v>
      </c>
      <c r="X277" s="1" t="str">
        <f t="shared" si="12"/>
        <v>sofia.sanchez55@mail.com</v>
      </c>
      <c r="Y277" s="1" t="str">
        <f>INDEX(V:V,MATCH(orders_desnormalizado_prueba3[[#This Row],[acquisition_channel]],U:U,0))</f>
        <v>AliDropship CN - envio 15-20 dias</v>
      </c>
      <c r="Z277" s="1" t="str">
        <f>INDEX(T:T,MATCH(orders_desnormalizado_prueba3[[#This Row],[shipping_cost]],W:W,0))</f>
        <v>Colombia</v>
      </c>
      <c r="AA277" s="1" t="str">
        <f t="shared" si="13"/>
        <v>Barranquilla</v>
      </c>
      <c r="AB277" s="1"/>
      <c r="AC277" s="1" t="str">
        <f t="shared" si="14"/>
        <v xml:space="preserve"> </v>
      </c>
    </row>
    <row r="278" spans="1:29" x14ac:dyDescent="0.3">
      <c r="A278" s="1" t="s">
        <v>657</v>
      </c>
      <c r="B278">
        <v>2</v>
      </c>
      <c r="C278">
        <v>16.989999999999998</v>
      </c>
      <c r="D278">
        <v>29.18</v>
      </c>
      <c r="E278" s="1" t="s">
        <v>209</v>
      </c>
      <c r="F278" s="1" t="s">
        <v>51</v>
      </c>
      <c r="G278">
        <v>0</v>
      </c>
      <c r="H278" s="1" t="s">
        <v>41</v>
      </c>
      <c r="I278" s="1" t="s">
        <v>59</v>
      </c>
      <c r="J278">
        <v>5</v>
      </c>
      <c r="K278">
        <v>16.989999999999998</v>
      </c>
      <c r="L278" s="1" t="s">
        <v>60</v>
      </c>
      <c r="M278" s="1" t="s">
        <v>61</v>
      </c>
      <c r="N278" s="1" t="s">
        <v>62</v>
      </c>
      <c r="O278" s="1" t="s">
        <v>31</v>
      </c>
      <c r="P278" s="2">
        <v>45726</v>
      </c>
      <c r="Q278" s="1" t="s">
        <v>266</v>
      </c>
      <c r="R278" s="1" t="s">
        <v>640</v>
      </c>
      <c r="S278" s="1" t="s">
        <v>34</v>
      </c>
      <c r="T278" s="1" t="s">
        <v>35</v>
      </c>
      <c r="U278" s="1" t="s">
        <v>82</v>
      </c>
      <c r="V278" s="1" t="s">
        <v>67</v>
      </c>
      <c r="W278">
        <v>3</v>
      </c>
      <c r="X278" s="1" t="str">
        <f t="shared" si="12"/>
        <v>alejandro.rodriguez7@mail.com</v>
      </c>
      <c r="Y278" s="1" t="str">
        <f>INDEX(V:V,MATCH(orders_desnormalizado_prueba3[[#This Row],[acquisition_channel]],U:U,0))</f>
        <v>Bodega Propia CO - envio 2-3 dias</v>
      </c>
      <c r="Z278" s="1" t="str">
        <f>INDEX(T:T,MATCH(orders_desnormalizado_prueba3[[#This Row],[shipping_cost]],W:W,0))</f>
        <v>Colombia</v>
      </c>
      <c r="AA278" s="1" t="str">
        <f t="shared" si="13"/>
        <v>Cartagena</v>
      </c>
      <c r="AB278" s="1"/>
      <c r="AC278" s="1" t="str">
        <f t="shared" si="14"/>
        <v xml:space="preserve"> </v>
      </c>
    </row>
    <row r="279" spans="1:29" x14ac:dyDescent="0.3">
      <c r="A279" s="1" t="s">
        <v>658</v>
      </c>
      <c r="B279">
        <v>1</v>
      </c>
      <c r="C279">
        <v>18.989999999999998</v>
      </c>
      <c r="D279">
        <v>18.989999999999998</v>
      </c>
      <c r="E279" s="1" t="s">
        <v>168</v>
      </c>
      <c r="F279" s="1" t="s">
        <v>40</v>
      </c>
      <c r="G279">
        <v>11</v>
      </c>
      <c r="H279" s="1" t="s">
        <v>58</v>
      </c>
      <c r="I279" s="1" t="s">
        <v>97</v>
      </c>
      <c r="J279">
        <v>6</v>
      </c>
      <c r="K279">
        <v>18.989999999999998</v>
      </c>
      <c r="L279" s="1" t="s">
        <v>60</v>
      </c>
      <c r="M279" s="1" t="s">
        <v>43</v>
      </c>
      <c r="N279" s="1" t="s">
        <v>44</v>
      </c>
      <c r="O279" s="1" t="s">
        <v>31</v>
      </c>
      <c r="P279" s="2">
        <v>45823</v>
      </c>
      <c r="Q279" s="1" t="s">
        <v>283</v>
      </c>
      <c r="R279" s="1" t="s">
        <v>284</v>
      </c>
      <c r="S279" s="1" t="s">
        <v>105</v>
      </c>
      <c r="T279" s="1" t="s">
        <v>35</v>
      </c>
      <c r="U279" s="1" t="s">
        <v>55</v>
      </c>
      <c r="V279" s="1" t="s">
        <v>100</v>
      </c>
      <c r="W279">
        <v>3.2</v>
      </c>
      <c r="X279" s="1" t="str">
        <f t="shared" si="12"/>
        <v>mateo.sanchez11@mail.com</v>
      </c>
      <c r="Y279" s="1" t="str">
        <f>INDEX(V:V,MATCH(orders_desnormalizado_prueba3[[#This Row],[acquisition_channel]],U:U,0))</f>
        <v>Bodega Propia CO - envio 2-3 dias</v>
      </c>
      <c r="Z279" s="1" t="str">
        <f>INDEX(T:T,MATCH(orders_desnormalizado_prueba3[[#This Row],[shipping_cost]],W:W,0))</f>
        <v>Colombia</v>
      </c>
      <c r="AA279" s="1" t="str">
        <f t="shared" si="13"/>
        <v>Cali</v>
      </c>
      <c r="AB279" s="1"/>
      <c r="AC279" s="1" t="str">
        <f t="shared" si="14"/>
        <v xml:space="preserve"> </v>
      </c>
    </row>
    <row r="280" spans="1:29" x14ac:dyDescent="0.3">
      <c r="A280" s="1" t="s">
        <v>659</v>
      </c>
      <c r="B280">
        <v>1</v>
      </c>
      <c r="C280">
        <v>16.989999999999998</v>
      </c>
      <c r="D280">
        <v>16.989999999999998</v>
      </c>
      <c r="E280" s="1" t="s">
        <v>452</v>
      </c>
      <c r="F280" s="1" t="s">
        <v>51</v>
      </c>
      <c r="G280">
        <v>0</v>
      </c>
      <c r="H280" s="1" t="s">
        <v>41</v>
      </c>
      <c r="I280" s="1" t="s">
        <v>59</v>
      </c>
      <c r="J280">
        <v>5</v>
      </c>
      <c r="K280">
        <v>16.989999999999998</v>
      </c>
      <c r="L280" s="1" t="s">
        <v>60</v>
      </c>
      <c r="M280" s="1" t="s">
        <v>61</v>
      </c>
      <c r="N280" s="1" t="s">
        <v>62</v>
      </c>
      <c r="O280" s="1" t="s">
        <v>31</v>
      </c>
      <c r="P280" s="2">
        <v>45726</v>
      </c>
      <c r="Q280" s="1" t="s">
        <v>409</v>
      </c>
      <c r="R280" s="1" t="s">
        <v>410</v>
      </c>
      <c r="S280" s="1" t="s">
        <v>411</v>
      </c>
      <c r="T280" s="1" t="s">
        <v>35</v>
      </c>
      <c r="U280" s="1" t="s">
        <v>48</v>
      </c>
      <c r="V280" s="1" t="s">
        <v>67</v>
      </c>
      <c r="W280">
        <v>3</v>
      </c>
      <c r="X280" s="1" t="str">
        <f t="shared" si="12"/>
        <v>valentina.ramirez22@mail.com</v>
      </c>
      <c r="Y280" s="1" t="str">
        <f>INDEX(V:V,MATCH(orders_desnormalizado_prueba3[[#This Row],[acquisition_channel]],U:U,0))</f>
        <v>Bodega Propia CO - envio 2-3 dias</v>
      </c>
      <c r="Z280" s="1" t="str">
        <f>INDEX(T:T,MATCH(orders_desnormalizado_prueba3[[#This Row],[shipping_cost]],W:W,0))</f>
        <v>Colombia</v>
      </c>
      <c r="AA280" s="1" t="str">
        <f t="shared" si="13"/>
        <v>Cartagena</v>
      </c>
      <c r="AB280" s="1"/>
      <c r="AC280" s="1" t="str">
        <f t="shared" si="14"/>
        <v xml:space="preserve"> </v>
      </c>
    </row>
    <row r="281" spans="1:29" x14ac:dyDescent="0.3">
      <c r="A281" s="1" t="s">
        <v>660</v>
      </c>
      <c r="B281">
        <v>2</v>
      </c>
      <c r="C281">
        <v>27.99</v>
      </c>
      <c r="D281">
        <v>48.38</v>
      </c>
      <c r="E281" s="1" t="s">
        <v>24</v>
      </c>
      <c r="F281" s="1" t="s">
        <v>70</v>
      </c>
      <c r="G281">
        <v>0</v>
      </c>
      <c r="H281" s="1" t="s">
        <v>96</v>
      </c>
      <c r="I281" s="1" t="s">
        <v>75</v>
      </c>
      <c r="J281">
        <v>9</v>
      </c>
      <c r="K281">
        <v>27.99</v>
      </c>
      <c r="L281" s="1" t="s">
        <v>28</v>
      </c>
      <c r="M281" s="1" t="s">
        <v>61</v>
      </c>
      <c r="N281" s="1" t="s">
        <v>62</v>
      </c>
      <c r="O281" s="1" t="s">
        <v>31</v>
      </c>
      <c r="P281" s="2">
        <v>45726</v>
      </c>
      <c r="Q281" s="1" t="s">
        <v>425</v>
      </c>
      <c r="R281" s="1" t="s">
        <v>642</v>
      </c>
      <c r="S281" s="1" t="s">
        <v>65</v>
      </c>
      <c r="T281" s="1" t="s">
        <v>35</v>
      </c>
      <c r="U281" s="1" t="s">
        <v>36</v>
      </c>
      <c r="V281" s="1" t="s">
        <v>37</v>
      </c>
      <c r="W281">
        <v>2</v>
      </c>
      <c r="X281" s="1" t="str">
        <f t="shared" si="12"/>
        <v>paula.ramirez47@mail.com</v>
      </c>
      <c r="Y281" s="1" t="str">
        <f>INDEX(V:V,MATCH(orders_desnormalizado_prueba3[[#This Row],[acquisition_channel]],U:U,0))</f>
        <v>Bodega Propia CO - envio 2-3 dias</v>
      </c>
      <c r="Z281" s="1" t="str">
        <f>INDEX(T:T,MATCH(orders_desnormalizado_prueba3[[#This Row],[shipping_cost]],W:W,0))</f>
        <v>Colombia</v>
      </c>
      <c r="AA281" s="1" t="str">
        <f t="shared" si="13"/>
        <v>Cartagena</v>
      </c>
      <c r="AB281" s="1"/>
      <c r="AC281" s="1" t="str">
        <f t="shared" si="14"/>
        <v xml:space="preserve"> </v>
      </c>
    </row>
    <row r="282" spans="1:29" x14ac:dyDescent="0.3">
      <c r="A282" s="1" t="s">
        <v>661</v>
      </c>
      <c r="B282">
        <v>2</v>
      </c>
      <c r="C282">
        <v>30.99</v>
      </c>
      <c r="D282">
        <v>53.78</v>
      </c>
      <c r="E282" s="1" t="s">
        <v>662</v>
      </c>
      <c r="F282" s="1" t="s">
        <v>51</v>
      </c>
      <c r="G282">
        <v>0</v>
      </c>
      <c r="H282" s="1" t="s">
        <v>58</v>
      </c>
      <c r="I282" s="1" t="s">
        <v>42</v>
      </c>
      <c r="J282">
        <v>10.5</v>
      </c>
      <c r="K282">
        <v>30.99</v>
      </c>
      <c r="L282" s="1" t="s">
        <v>28</v>
      </c>
      <c r="M282" s="1" t="s">
        <v>43</v>
      </c>
      <c r="N282" s="1" t="s">
        <v>44</v>
      </c>
      <c r="O282" s="1" t="s">
        <v>31</v>
      </c>
      <c r="P282" s="2">
        <v>45823</v>
      </c>
      <c r="Q282" s="1" t="s">
        <v>269</v>
      </c>
      <c r="R282" s="1" t="s">
        <v>270</v>
      </c>
      <c r="S282" s="1" t="s">
        <v>88</v>
      </c>
      <c r="T282" s="1" t="s">
        <v>35</v>
      </c>
      <c r="U282" s="1" t="s">
        <v>55</v>
      </c>
      <c r="V282" s="1" t="s">
        <v>37</v>
      </c>
      <c r="W282">
        <v>2</v>
      </c>
      <c r="X282" s="1" t="str">
        <f t="shared" si="12"/>
        <v>camila.vargas52@mail.com</v>
      </c>
      <c r="Y282" s="1" t="str">
        <f>INDEX(V:V,MATCH(orders_desnormalizado_prueba3[[#This Row],[acquisition_channel]],U:U,0))</f>
        <v>Bodega Propia CO - envio 2-3 dias</v>
      </c>
      <c r="Z282" s="1" t="str">
        <f>INDEX(T:T,MATCH(orders_desnormalizado_prueba3[[#This Row],[shipping_cost]],W:W,0))</f>
        <v>Colombia</v>
      </c>
      <c r="AA282" s="1" t="str">
        <f t="shared" si="13"/>
        <v>Cartagena</v>
      </c>
      <c r="AB282" s="1"/>
      <c r="AC282" s="1" t="str">
        <f t="shared" si="14"/>
        <v xml:space="preserve"> </v>
      </c>
    </row>
    <row r="283" spans="1:29" x14ac:dyDescent="0.3">
      <c r="A283" s="1" t="s">
        <v>663</v>
      </c>
      <c r="B283">
        <v>1</v>
      </c>
      <c r="C283">
        <v>18.989999999999998</v>
      </c>
      <c r="D283">
        <v>18.989999999999998</v>
      </c>
      <c r="E283" s="1" t="s">
        <v>393</v>
      </c>
      <c r="F283" s="1" t="s">
        <v>40</v>
      </c>
      <c r="G283">
        <v>15</v>
      </c>
      <c r="H283" s="1" t="s">
        <v>58</v>
      </c>
      <c r="I283" s="1" t="s">
        <v>97</v>
      </c>
      <c r="J283">
        <v>6</v>
      </c>
      <c r="K283">
        <v>18.989999999999998</v>
      </c>
      <c r="L283" s="1" t="s">
        <v>60</v>
      </c>
      <c r="M283" s="1" t="s">
        <v>43</v>
      </c>
      <c r="N283" s="1" t="s">
        <v>44</v>
      </c>
      <c r="O283" s="1" t="s">
        <v>31</v>
      </c>
      <c r="P283" s="2">
        <v>45823</v>
      </c>
      <c r="Q283" s="1" t="s">
        <v>376</v>
      </c>
      <c r="R283" s="1" t="s">
        <v>664</v>
      </c>
      <c r="S283" s="1" t="s">
        <v>34</v>
      </c>
      <c r="T283" s="1" t="s">
        <v>35</v>
      </c>
      <c r="U283" s="1" t="s">
        <v>82</v>
      </c>
      <c r="V283" s="1" t="s">
        <v>100</v>
      </c>
      <c r="W283">
        <v>3.2</v>
      </c>
      <c r="X283" s="1" t="str">
        <f t="shared" si="12"/>
        <v>santiago.perez173@mail.com</v>
      </c>
      <c r="Y283" s="1" t="str">
        <f>INDEX(V:V,MATCH(orders_desnormalizado_prueba3[[#This Row],[acquisition_channel]],U:U,0))</f>
        <v>Bodega Propia CO - envio 2-3 dias</v>
      </c>
      <c r="Z283" s="1" t="str">
        <f>INDEX(T:T,MATCH(orders_desnormalizado_prueba3[[#This Row],[shipping_cost]],W:W,0))</f>
        <v>Colombia</v>
      </c>
      <c r="AA283" s="1" t="str">
        <f t="shared" si="13"/>
        <v>Barranquilla</v>
      </c>
      <c r="AB283" s="1"/>
      <c r="AC283" s="1" t="str">
        <f t="shared" si="14"/>
        <v xml:space="preserve"> </v>
      </c>
    </row>
    <row r="284" spans="1:29" x14ac:dyDescent="0.3">
      <c r="A284" s="1" t="s">
        <v>665</v>
      </c>
      <c r="B284">
        <v>1</v>
      </c>
      <c r="C284">
        <v>30.99</v>
      </c>
      <c r="D284">
        <v>30.99</v>
      </c>
      <c r="E284" s="1" t="s">
        <v>222</v>
      </c>
      <c r="F284" s="1" t="s">
        <v>40</v>
      </c>
      <c r="G284">
        <v>2</v>
      </c>
      <c r="H284" s="1" t="s">
        <v>96</v>
      </c>
      <c r="I284" s="1" t="s">
        <v>42</v>
      </c>
      <c r="J284">
        <v>10.5</v>
      </c>
      <c r="K284">
        <v>30.99</v>
      </c>
      <c r="L284" s="1" t="s">
        <v>28</v>
      </c>
      <c r="M284" s="1" t="s">
        <v>43</v>
      </c>
      <c r="N284" s="1" t="s">
        <v>44</v>
      </c>
      <c r="O284" s="1" t="s">
        <v>31</v>
      </c>
      <c r="P284" s="2">
        <v>45823</v>
      </c>
      <c r="Q284" s="1" t="s">
        <v>194</v>
      </c>
      <c r="R284" s="1" t="s">
        <v>195</v>
      </c>
      <c r="S284" s="1" t="s">
        <v>88</v>
      </c>
      <c r="T284" s="1" t="s">
        <v>35</v>
      </c>
      <c r="U284" s="1" t="s">
        <v>48</v>
      </c>
      <c r="V284" s="1" t="s">
        <v>37</v>
      </c>
      <c r="W284">
        <v>2</v>
      </c>
      <c r="X284" s="1" t="str">
        <f t="shared" si="12"/>
        <v>mateo.torres90@mail.com</v>
      </c>
      <c r="Y284" s="1" t="str">
        <f>INDEX(V:V,MATCH(orders_desnormalizado_prueba3[[#This Row],[acquisition_channel]],U:U,0))</f>
        <v>Bodega Propia CO - envio 2-3 dias</v>
      </c>
      <c r="Z284" s="1" t="str">
        <f>INDEX(T:T,MATCH(orders_desnormalizado_prueba3[[#This Row],[shipping_cost]],W:W,0))</f>
        <v>Colombia</v>
      </c>
      <c r="AA284" s="1" t="str">
        <f t="shared" si="13"/>
        <v>Medellin</v>
      </c>
      <c r="AB284" s="1"/>
      <c r="AC284" s="1" t="str">
        <f t="shared" si="14"/>
        <v xml:space="preserve"> </v>
      </c>
    </row>
    <row r="285" spans="1:29" x14ac:dyDescent="0.3">
      <c r="A285" s="1" t="s">
        <v>666</v>
      </c>
      <c r="B285">
        <v>1</v>
      </c>
      <c r="C285">
        <v>30.99</v>
      </c>
      <c r="D285">
        <v>30.99</v>
      </c>
      <c r="E285" s="1" t="s">
        <v>224</v>
      </c>
      <c r="F285" s="1" t="s">
        <v>40</v>
      </c>
      <c r="G285">
        <v>3</v>
      </c>
      <c r="H285" s="1" t="s">
        <v>26</v>
      </c>
      <c r="I285" s="1" t="s">
        <v>42</v>
      </c>
      <c r="J285">
        <v>10.5</v>
      </c>
      <c r="K285">
        <v>30.99</v>
      </c>
      <c r="L285" s="1" t="s">
        <v>28</v>
      </c>
      <c r="M285" s="1" t="s">
        <v>43</v>
      </c>
      <c r="N285" s="1" t="s">
        <v>44</v>
      </c>
      <c r="O285" s="1" t="s">
        <v>31</v>
      </c>
      <c r="P285" s="2">
        <v>45823</v>
      </c>
      <c r="Q285" s="1" t="s">
        <v>169</v>
      </c>
      <c r="R285" s="1" t="s">
        <v>170</v>
      </c>
      <c r="S285" s="1" t="s">
        <v>54</v>
      </c>
      <c r="T285" s="1" t="s">
        <v>35</v>
      </c>
      <c r="U285" s="1" t="s">
        <v>66</v>
      </c>
      <c r="V285" s="1" t="s">
        <v>37</v>
      </c>
      <c r="W285">
        <v>2</v>
      </c>
      <c r="X285" s="1" t="str">
        <f t="shared" si="12"/>
        <v>daniela.rodriguez2@mail.com</v>
      </c>
      <c r="Y285" s="1" t="str">
        <f>INDEX(V:V,MATCH(orders_desnormalizado_prueba3[[#This Row],[acquisition_channel]],U:U,0))</f>
        <v>AliDropship CN - envio 15-20 dias</v>
      </c>
      <c r="Z285" s="1" t="str">
        <f>INDEX(T:T,MATCH(orders_desnormalizado_prueba3[[#This Row],[shipping_cost]],W:W,0))</f>
        <v>Colombia</v>
      </c>
      <c r="AA285" s="1" t="str">
        <f t="shared" si="13"/>
        <v>Barranquilla</v>
      </c>
      <c r="AB285" s="1"/>
      <c r="AC285" s="1" t="str">
        <f t="shared" si="14"/>
        <v xml:space="preserve"> </v>
      </c>
    </row>
    <row r="286" spans="1:29" x14ac:dyDescent="0.3">
      <c r="A286" s="1" t="s">
        <v>667</v>
      </c>
      <c r="B286">
        <v>1</v>
      </c>
      <c r="C286">
        <v>21.99</v>
      </c>
      <c r="D286">
        <v>21.99</v>
      </c>
      <c r="E286" s="1" t="s">
        <v>382</v>
      </c>
      <c r="F286" s="1" t="s">
        <v>40</v>
      </c>
      <c r="G286">
        <v>3</v>
      </c>
      <c r="H286" s="1" t="s">
        <v>58</v>
      </c>
      <c r="I286" s="1" t="s">
        <v>27</v>
      </c>
      <c r="J286">
        <v>7</v>
      </c>
      <c r="K286">
        <v>21.99</v>
      </c>
      <c r="L286" s="1" t="s">
        <v>28</v>
      </c>
      <c r="M286" s="1" t="s">
        <v>29</v>
      </c>
      <c r="N286" s="1" t="s">
        <v>30</v>
      </c>
      <c r="O286" s="1" t="s">
        <v>31</v>
      </c>
      <c r="P286" s="2">
        <v>45778</v>
      </c>
      <c r="Q286" s="1" t="s">
        <v>137</v>
      </c>
      <c r="R286" s="1" t="s">
        <v>138</v>
      </c>
      <c r="S286" s="1" t="s">
        <v>34</v>
      </c>
      <c r="T286" s="1" t="s">
        <v>35</v>
      </c>
      <c r="U286" s="1" t="s">
        <v>82</v>
      </c>
      <c r="V286" s="1" t="s">
        <v>37</v>
      </c>
      <c r="W286">
        <v>2</v>
      </c>
      <c r="X286" s="1" t="str">
        <f t="shared" si="12"/>
        <v>camila.martinez65@mail.com</v>
      </c>
      <c r="Y286" s="1" t="str">
        <f>INDEX(V:V,MATCH(orders_desnormalizado_prueba3[[#This Row],[acquisition_channel]],U:U,0))</f>
        <v>Bodega Propia CO - envio 2-3 dias</v>
      </c>
      <c r="Z286" s="1" t="str">
        <f>INDEX(T:T,MATCH(orders_desnormalizado_prueba3[[#This Row],[shipping_cost]],W:W,0))</f>
        <v>Colombia</v>
      </c>
      <c r="AA286" s="1" t="str">
        <f t="shared" si="13"/>
        <v>Barranquilla</v>
      </c>
      <c r="AB286" s="1"/>
      <c r="AC286" s="1" t="str">
        <f t="shared" si="14"/>
        <v xml:space="preserve"> </v>
      </c>
    </row>
    <row r="287" spans="1:29" x14ac:dyDescent="0.3">
      <c r="A287" s="1" t="s">
        <v>668</v>
      </c>
      <c r="B287">
        <v>3</v>
      </c>
      <c r="C287">
        <v>34.99</v>
      </c>
      <c r="D287">
        <v>84.73</v>
      </c>
      <c r="E287" s="1" t="s">
        <v>91</v>
      </c>
      <c r="F287" s="1" t="s">
        <v>25</v>
      </c>
      <c r="G287">
        <v>7</v>
      </c>
      <c r="H287" s="1" t="s">
        <v>58</v>
      </c>
      <c r="I287" s="1" t="s">
        <v>85</v>
      </c>
      <c r="J287">
        <v>12.5</v>
      </c>
      <c r="K287">
        <v>34.99</v>
      </c>
      <c r="L287" s="1" t="s">
        <v>60</v>
      </c>
      <c r="M287" s="1" t="s">
        <v>29</v>
      </c>
      <c r="N287" s="1" t="s">
        <v>30</v>
      </c>
      <c r="O287" s="1" t="s">
        <v>31</v>
      </c>
      <c r="P287" s="2">
        <v>45778</v>
      </c>
      <c r="Q287" s="1" t="s">
        <v>302</v>
      </c>
      <c r="R287" s="1" t="s">
        <v>303</v>
      </c>
      <c r="S287" s="1" t="s">
        <v>105</v>
      </c>
      <c r="T287" s="1" t="s">
        <v>35</v>
      </c>
      <c r="U287" s="1" t="s">
        <v>55</v>
      </c>
      <c r="V287" s="1" t="s">
        <v>89</v>
      </c>
      <c r="W287">
        <v>2.4</v>
      </c>
      <c r="X287" s="1" t="str">
        <f t="shared" si="12"/>
        <v>juan.martinez143@mail.com</v>
      </c>
      <c r="Y287" s="1" t="str">
        <f>INDEX(V:V,MATCH(orders_desnormalizado_prueba3[[#This Row],[acquisition_channel]],U:U,0))</f>
        <v>Bodega Propia CO - envio 2-3 dias</v>
      </c>
      <c r="Z287" s="1" t="str">
        <f>INDEX(T:T,MATCH(orders_desnormalizado_prueba3[[#This Row],[shipping_cost]],W:W,0))</f>
        <v>Colombia</v>
      </c>
      <c r="AA287" s="1" t="str">
        <f t="shared" si="13"/>
        <v>Bogota</v>
      </c>
      <c r="AB287" s="1"/>
      <c r="AC287" s="1" t="str">
        <f t="shared" si="14"/>
        <v xml:space="preserve"> </v>
      </c>
    </row>
    <row r="288" spans="1:29" x14ac:dyDescent="0.3">
      <c r="A288" s="1" t="s">
        <v>669</v>
      </c>
      <c r="B288">
        <v>3</v>
      </c>
      <c r="C288">
        <v>34.99</v>
      </c>
      <c r="D288">
        <v>84.73</v>
      </c>
      <c r="E288" s="1" t="s">
        <v>670</v>
      </c>
      <c r="F288" s="1" t="s">
        <v>51</v>
      </c>
      <c r="G288">
        <v>0</v>
      </c>
      <c r="H288" s="1" t="s">
        <v>96</v>
      </c>
      <c r="I288" s="1" t="s">
        <v>85</v>
      </c>
      <c r="J288">
        <v>12.5</v>
      </c>
      <c r="K288">
        <v>34.99</v>
      </c>
      <c r="L288" s="1" t="s">
        <v>60</v>
      </c>
      <c r="M288" s="1" t="s">
        <v>29</v>
      </c>
      <c r="N288" s="1" t="s">
        <v>30</v>
      </c>
      <c r="O288" s="1" t="s">
        <v>31</v>
      </c>
      <c r="P288" s="2">
        <v>45778</v>
      </c>
      <c r="Q288" s="1" t="s">
        <v>153</v>
      </c>
      <c r="R288" s="1" t="s">
        <v>154</v>
      </c>
      <c r="S288" s="1" t="s">
        <v>105</v>
      </c>
      <c r="T288" s="1" t="s">
        <v>35</v>
      </c>
      <c r="U288" s="1" t="s">
        <v>48</v>
      </c>
      <c r="V288" s="1" t="s">
        <v>89</v>
      </c>
      <c r="W288">
        <v>2.4</v>
      </c>
      <c r="X288" s="1" t="str">
        <f t="shared" si="12"/>
        <v>juan.torres103@mail.com</v>
      </c>
      <c r="Y288" s="1" t="str">
        <f>INDEX(V:V,MATCH(orders_desnormalizado_prueba3[[#This Row],[acquisition_channel]],U:U,0))</f>
        <v>Bodega Propia CO - envio 2-3 dias</v>
      </c>
      <c r="Z288" s="1" t="str">
        <f>INDEX(T:T,MATCH(orders_desnormalizado_prueba3[[#This Row],[shipping_cost]],W:W,0))</f>
        <v>Colombia</v>
      </c>
      <c r="AA288" s="1" t="str">
        <f t="shared" si="13"/>
        <v>Cartagena</v>
      </c>
      <c r="AB288" s="1"/>
      <c r="AC288" s="1" t="str">
        <f t="shared" si="14"/>
        <v xml:space="preserve"> </v>
      </c>
    </row>
    <row r="289" spans="1:29" x14ac:dyDescent="0.3">
      <c r="A289" s="1" t="s">
        <v>671</v>
      </c>
      <c r="B289">
        <v>1</v>
      </c>
      <c r="C289">
        <v>34.99</v>
      </c>
      <c r="D289">
        <v>34.99</v>
      </c>
      <c r="E289" s="1" t="s">
        <v>192</v>
      </c>
      <c r="F289" s="1" t="s">
        <v>51</v>
      </c>
      <c r="G289">
        <v>0</v>
      </c>
      <c r="H289" s="1" t="s">
        <v>26</v>
      </c>
      <c r="I289" s="1" t="s">
        <v>85</v>
      </c>
      <c r="J289">
        <v>12.5</v>
      </c>
      <c r="K289">
        <v>34.99</v>
      </c>
      <c r="L289" s="1" t="s">
        <v>60</v>
      </c>
      <c r="M289" s="1" t="s">
        <v>29</v>
      </c>
      <c r="N289" s="1" t="s">
        <v>30</v>
      </c>
      <c r="O289" s="1" t="s">
        <v>31</v>
      </c>
      <c r="P289" s="2">
        <v>45778</v>
      </c>
      <c r="Q289" s="1" t="s">
        <v>80</v>
      </c>
      <c r="R289" s="1" t="s">
        <v>229</v>
      </c>
      <c r="S289" s="1" t="s">
        <v>34</v>
      </c>
      <c r="T289" s="1" t="s">
        <v>35</v>
      </c>
      <c r="U289" s="1" t="s">
        <v>36</v>
      </c>
      <c r="V289" s="1" t="s">
        <v>89</v>
      </c>
      <c r="W289">
        <v>2.4</v>
      </c>
      <c r="X289" s="1" t="str">
        <f t="shared" si="12"/>
        <v>laura.martinez145@mail.com</v>
      </c>
      <c r="Y289" s="1" t="str">
        <f>INDEX(V:V,MATCH(orders_desnormalizado_prueba3[[#This Row],[acquisition_channel]],U:U,0))</f>
        <v>Bodega Propia CO - envio 2-3 dias</v>
      </c>
      <c r="Z289" s="1" t="str">
        <f>INDEX(T:T,MATCH(orders_desnormalizado_prueba3[[#This Row],[shipping_cost]],W:W,0))</f>
        <v>Colombia</v>
      </c>
      <c r="AA289" s="1" t="str">
        <f t="shared" si="13"/>
        <v>Cartagena</v>
      </c>
      <c r="AB289" s="1"/>
      <c r="AC289" s="1" t="str">
        <f t="shared" si="14"/>
        <v xml:space="preserve"> </v>
      </c>
    </row>
    <row r="290" spans="1:29" x14ac:dyDescent="0.3">
      <c r="A290" s="1" t="s">
        <v>672</v>
      </c>
      <c r="B290">
        <v>1</v>
      </c>
      <c r="C290">
        <v>18.989999999999998</v>
      </c>
      <c r="D290">
        <v>18.989999999999998</v>
      </c>
      <c r="E290" s="1" t="s">
        <v>317</v>
      </c>
      <c r="F290" s="1" t="s">
        <v>40</v>
      </c>
      <c r="G290">
        <v>12</v>
      </c>
      <c r="H290" s="1" t="s">
        <v>41</v>
      </c>
      <c r="I290" s="1" t="s">
        <v>97</v>
      </c>
      <c r="J290">
        <v>6</v>
      </c>
      <c r="K290">
        <v>18.989999999999998</v>
      </c>
      <c r="L290" s="1" t="s">
        <v>60</v>
      </c>
      <c r="M290" s="1" t="s">
        <v>43</v>
      </c>
      <c r="N290" s="1" t="s">
        <v>44</v>
      </c>
      <c r="O290" s="1" t="s">
        <v>31</v>
      </c>
      <c r="P290" s="2">
        <v>45823</v>
      </c>
      <c r="Q290" s="1" t="s">
        <v>76</v>
      </c>
      <c r="R290" s="1" t="s">
        <v>144</v>
      </c>
      <c r="S290" s="1" t="s">
        <v>34</v>
      </c>
      <c r="T290" s="1" t="s">
        <v>35</v>
      </c>
      <c r="U290" s="1" t="s">
        <v>66</v>
      </c>
      <c r="V290" s="1" t="s">
        <v>100</v>
      </c>
      <c r="W290">
        <v>3.2</v>
      </c>
      <c r="X290" s="1" t="str">
        <f t="shared" si="12"/>
        <v>david.gomez112@mail.com</v>
      </c>
      <c r="Y290" s="1" t="str">
        <f>INDEX(V:V,MATCH(orders_desnormalizado_prueba3[[#This Row],[acquisition_channel]],U:U,0))</f>
        <v>AliDropship CN - envio 15-20 dias</v>
      </c>
      <c r="Z290" s="1" t="str">
        <f>INDEX(T:T,MATCH(orders_desnormalizado_prueba3[[#This Row],[shipping_cost]],W:W,0))</f>
        <v>Colombia</v>
      </c>
      <c r="AA290" s="1" t="str">
        <f t="shared" si="13"/>
        <v>Cartagena</v>
      </c>
      <c r="AB290" s="1"/>
      <c r="AC290" s="1" t="str">
        <f t="shared" si="14"/>
        <v xml:space="preserve"> </v>
      </c>
    </row>
    <row r="291" spans="1:29" x14ac:dyDescent="0.3">
      <c r="A291" s="1" t="s">
        <v>673</v>
      </c>
      <c r="B291">
        <v>1</v>
      </c>
      <c r="C291">
        <v>21.99</v>
      </c>
      <c r="D291">
        <v>21.99</v>
      </c>
      <c r="E291" s="1" t="s">
        <v>389</v>
      </c>
      <c r="F291" s="1" t="s">
        <v>51</v>
      </c>
      <c r="G291">
        <v>0</v>
      </c>
      <c r="H291" s="1" t="s">
        <v>96</v>
      </c>
      <c r="I291" s="1" t="s">
        <v>27</v>
      </c>
      <c r="J291">
        <v>7</v>
      </c>
      <c r="K291">
        <v>21.99</v>
      </c>
      <c r="L291" s="1" t="s">
        <v>28</v>
      </c>
      <c r="M291" s="1" t="s">
        <v>29</v>
      </c>
      <c r="N291" s="1" t="s">
        <v>30</v>
      </c>
      <c r="O291" s="1" t="s">
        <v>31</v>
      </c>
      <c r="P291" s="2">
        <v>45778</v>
      </c>
      <c r="Q291" s="1" t="s">
        <v>32</v>
      </c>
      <c r="R291" s="1" t="s">
        <v>33</v>
      </c>
      <c r="S291" s="1" t="s">
        <v>34</v>
      </c>
      <c r="T291" s="1" t="s">
        <v>35</v>
      </c>
      <c r="U291" s="1" t="s">
        <v>36</v>
      </c>
      <c r="V291" s="1" t="s">
        <v>37</v>
      </c>
      <c r="W291">
        <v>2</v>
      </c>
      <c r="X291" s="1" t="str">
        <f t="shared" si="12"/>
        <v>laura.gomez71@mail.com</v>
      </c>
      <c r="Y291" s="1" t="str">
        <f>INDEX(V:V,MATCH(orders_desnormalizado_prueba3[[#This Row],[acquisition_channel]],U:U,0))</f>
        <v>Bodega Propia CO - envio 2-3 dias</v>
      </c>
      <c r="Z291" s="1" t="str">
        <f>INDEX(T:T,MATCH(orders_desnormalizado_prueba3[[#This Row],[shipping_cost]],W:W,0))</f>
        <v>Colombia</v>
      </c>
      <c r="AA291" s="1" t="str">
        <f t="shared" si="13"/>
        <v>Cartagena</v>
      </c>
      <c r="AB291" s="1"/>
      <c r="AC291" s="1" t="str">
        <f t="shared" si="14"/>
        <v xml:space="preserve"> </v>
      </c>
    </row>
    <row r="292" spans="1:29" x14ac:dyDescent="0.3">
      <c r="A292" s="1" t="s">
        <v>674</v>
      </c>
      <c r="B292">
        <v>2</v>
      </c>
      <c r="C292">
        <v>34.99</v>
      </c>
      <c r="D292">
        <v>60.98</v>
      </c>
      <c r="E292" s="1" t="s">
        <v>272</v>
      </c>
      <c r="F292" s="1" t="s">
        <v>51</v>
      </c>
      <c r="G292">
        <v>0</v>
      </c>
      <c r="H292" s="1" t="s">
        <v>96</v>
      </c>
      <c r="I292" s="1" t="s">
        <v>85</v>
      </c>
      <c r="J292">
        <v>12.5</v>
      </c>
      <c r="K292">
        <v>34.99</v>
      </c>
      <c r="L292" s="1" t="s">
        <v>60</v>
      </c>
      <c r="M292" s="1" t="s">
        <v>29</v>
      </c>
      <c r="N292" s="1" t="s">
        <v>30</v>
      </c>
      <c r="O292" s="1" t="s">
        <v>31</v>
      </c>
      <c r="P292" s="2">
        <v>45778</v>
      </c>
      <c r="Q292" s="1" t="s">
        <v>322</v>
      </c>
      <c r="R292" s="1" t="s">
        <v>323</v>
      </c>
      <c r="S292" s="1" t="s">
        <v>88</v>
      </c>
      <c r="T292" s="1" t="s">
        <v>35</v>
      </c>
      <c r="U292" s="1" t="s">
        <v>55</v>
      </c>
      <c r="V292" s="1" t="s">
        <v>89</v>
      </c>
      <c r="W292">
        <v>2.4</v>
      </c>
      <c r="X292" s="1" t="str">
        <f t="shared" si="12"/>
        <v>alejandro.torres89@mail.com</v>
      </c>
      <c r="Y292" s="1" t="str">
        <f>INDEX(V:V,MATCH(orders_desnormalizado_prueba3[[#This Row],[acquisition_channel]],U:U,0))</f>
        <v>Bodega Propia CO - envio 2-3 dias</v>
      </c>
      <c r="Z292" s="1" t="str">
        <f>INDEX(T:T,MATCH(orders_desnormalizado_prueba3[[#This Row],[shipping_cost]],W:W,0))</f>
        <v>Colombia</v>
      </c>
      <c r="AA292" s="1" t="str">
        <f t="shared" si="13"/>
        <v>Cartagena</v>
      </c>
      <c r="AB292" s="1"/>
      <c r="AC292" s="1" t="str">
        <f t="shared" si="14"/>
        <v xml:space="preserve"> </v>
      </c>
    </row>
    <row r="293" spans="1:29" x14ac:dyDescent="0.3">
      <c r="A293" s="1" t="s">
        <v>675</v>
      </c>
      <c r="B293">
        <v>1</v>
      </c>
      <c r="C293">
        <v>30.99</v>
      </c>
      <c r="D293">
        <v>30.99</v>
      </c>
      <c r="E293" s="1" t="s">
        <v>321</v>
      </c>
      <c r="F293" s="1" t="s">
        <v>40</v>
      </c>
      <c r="G293">
        <v>5</v>
      </c>
      <c r="H293" s="1" t="s">
        <v>26</v>
      </c>
      <c r="I293" s="1" t="s">
        <v>42</v>
      </c>
      <c r="J293">
        <v>10.5</v>
      </c>
      <c r="K293">
        <v>30.99</v>
      </c>
      <c r="L293" s="1" t="s">
        <v>28</v>
      </c>
      <c r="M293" s="1" t="s">
        <v>43</v>
      </c>
      <c r="N293" s="1" t="s">
        <v>44</v>
      </c>
      <c r="O293" s="1" t="s">
        <v>31</v>
      </c>
      <c r="P293" s="2">
        <v>45823</v>
      </c>
      <c r="Q293" s="1" t="s">
        <v>147</v>
      </c>
      <c r="R293" s="1" t="s">
        <v>148</v>
      </c>
      <c r="S293" s="1" t="s">
        <v>65</v>
      </c>
      <c r="T293" s="1" t="s">
        <v>35</v>
      </c>
      <c r="U293" s="1" t="s">
        <v>48</v>
      </c>
      <c r="V293" s="1" t="s">
        <v>37</v>
      </c>
      <c r="W293">
        <v>2</v>
      </c>
      <c r="X293" s="1" t="str">
        <f t="shared" si="12"/>
        <v>natalia.castro19@mail.com</v>
      </c>
      <c r="Y293" s="1" t="str">
        <f>INDEX(V:V,MATCH(orders_desnormalizado_prueba3[[#This Row],[acquisition_channel]],U:U,0))</f>
        <v>Bodega Propia CO - envio 2-3 dias</v>
      </c>
      <c r="Z293" s="1" t="str">
        <f>INDEX(T:T,MATCH(orders_desnormalizado_prueba3[[#This Row],[shipping_cost]],W:W,0))</f>
        <v>Colombia</v>
      </c>
      <c r="AA293" s="1" t="str">
        <f t="shared" si="13"/>
        <v>Cali</v>
      </c>
      <c r="AB293" s="1"/>
      <c r="AC293" s="1" t="str">
        <f t="shared" si="14"/>
        <v xml:space="preserve"> </v>
      </c>
    </row>
    <row r="294" spans="1:29" x14ac:dyDescent="0.3">
      <c r="A294" s="1" t="s">
        <v>676</v>
      </c>
      <c r="B294">
        <v>2</v>
      </c>
      <c r="C294">
        <v>21.99</v>
      </c>
      <c r="D294">
        <v>37.979999999999997</v>
      </c>
      <c r="E294" s="1" t="s">
        <v>628</v>
      </c>
      <c r="F294" s="1" t="s">
        <v>40</v>
      </c>
      <c r="G294">
        <v>2</v>
      </c>
      <c r="H294" s="1" t="s">
        <v>41</v>
      </c>
      <c r="I294" s="1" t="s">
        <v>27</v>
      </c>
      <c r="J294">
        <v>7</v>
      </c>
      <c r="K294">
        <v>21.99</v>
      </c>
      <c r="L294" s="1" t="s">
        <v>28</v>
      </c>
      <c r="M294" s="1" t="s">
        <v>29</v>
      </c>
      <c r="N294" s="1" t="s">
        <v>30</v>
      </c>
      <c r="O294" s="1" t="s">
        <v>31</v>
      </c>
      <c r="P294" s="2">
        <v>45778</v>
      </c>
      <c r="Q294" s="1" t="s">
        <v>328</v>
      </c>
      <c r="R294" s="1" t="s">
        <v>329</v>
      </c>
      <c r="S294" s="1" t="s">
        <v>47</v>
      </c>
      <c r="T294" s="1" t="s">
        <v>35</v>
      </c>
      <c r="U294" s="1" t="s">
        <v>48</v>
      </c>
      <c r="V294" s="1" t="s">
        <v>37</v>
      </c>
      <c r="W294">
        <v>2</v>
      </c>
      <c r="X294" s="1" t="str">
        <f t="shared" si="12"/>
        <v>andres.martinez175@mail.com</v>
      </c>
      <c r="Y294" s="1" t="str">
        <f>INDEX(V:V,MATCH(orders_desnormalizado_prueba3[[#This Row],[acquisition_channel]],U:U,0))</f>
        <v>Bodega Propia CO - envio 2-3 dias</v>
      </c>
      <c r="Z294" s="1" t="str">
        <f>INDEX(T:T,MATCH(orders_desnormalizado_prueba3[[#This Row],[shipping_cost]],W:W,0))</f>
        <v>Colombia</v>
      </c>
      <c r="AA294" s="1" t="str">
        <f t="shared" si="13"/>
        <v>Medellin</v>
      </c>
      <c r="AB294" s="1"/>
      <c r="AC294" s="1" t="str">
        <f t="shared" si="14"/>
        <v xml:space="preserve"> </v>
      </c>
    </row>
    <row r="295" spans="1:29" x14ac:dyDescent="0.3">
      <c r="A295" s="1" t="s">
        <v>677</v>
      </c>
      <c r="B295">
        <v>1</v>
      </c>
      <c r="C295">
        <v>34.99</v>
      </c>
      <c r="D295">
        <v>34.99</v>
      </c>
      <c r="E295" s="1" t="s">
        <v>678</v>
      </c>
      <c r="F295" s="1" t="s">
        <v>40</v>
      </c>
      <c r="G295">
        <v>7</v>
      </c>
      <c r="H295" s="1" t="s">
        <v>96</v>
      </c>
      <c r="I295" s="1" t="s">
        <v>85</v>
      </c>
      <c r="J295">
        <v>12.5</v>
      </c>
      <c r="K295">
        <v>34.99</v>
      </c>
      <c r="L295" s="1" t="s">
        <v>60</v>
      </c>
      <c r="M295" s="1" t="s">
        <v>29</v>
      </c>
      <c r="N295" s="1" t="s">
        <v>30</v>
      </c>
      <c r="O295" s="1" t="s">
        <v>31</v>
      </c>
      <c r="P295" s="2">
        <v>45778</v>
      </c>
      <c r="Q295" s="1" t="s">
        <v>161</v>
      </c>
      <c r="R295" s="1" t="s">
        <v>500</v>
      </c>
      <c r="S295" s="1" t="s">
        <v>65</v>
      </c>
      <c r="T295" s="1" t="s">
        <v>35</v>
      </c>
      <c r="U295" s="1" t="s">
        <v>55</v>
      </c>
      <c r="V295" s="1" t="s">
        <v>89</v>
      </c>
      <c r="W295">
        <v>2.4</v>
      </c>
      <c r="X295" s="1" t="str">
        <f t="shared" si="12"/>
        <v>miguel.vargas74@mail.com</v>
      </c>
      <c r="Y295" s="1" t="str">
        <f>INDEX(V:V,MATCH(orders_desnormalizado_prueba3[[#This Row],[acquisition_channel]],U:U,0))</f>
        <v>Bodega Propia CO - envio 2-3 dias</v>
      </c>
      <c r="Z295" s="1" t="str">
        <f>INDEX(T:T,MATCH(orders_desnormalizado_prueba3[[#This Row],[shipping_cost]],W:W,0))</f>
        <v>Colombia</v>
      </c>
      <c r="AA295" s="1" t="str">
        <f t="shared" si="13"/>
        <v>Bogota</v>
      </c>
      <c r="AB295" s="1"/>
      <c r="AC295" s="1" t="str">
        <f t="shared" si="14"/>
        <v xml:space="preserve"> </v>
      </c>
    </row>
    <row r="296" spans="1:29" x14ac:dyDescent="0.3">
      <c r="A296" s="1" t="s">
        <v>679</v>
      </c>
      <c r="B296">
        <v>1</v>
      </c>
      <c r="C296">
        <v>18.989999999999998</v>
      </c>
      <c r="D296">
        <v>18.989999999999998</v>
      </c>
      <c r="E296" s="1" t="s">
        <v>334</v>
      </c>
      <c r="F296" s="1" t="s">
        <v>40</v>
      </c>
      <c r="G296">
        <v>15</v>
      </c>
      <c r="H296" s="1" t="s">
        <v>41</v>
      </c>
      <c r="I296" s="1" t="s">
        <v>97</v>
      </c>
      <c r="J296">
        <v>6</v>
      </c>
      <c r="K296">
        <v>18.989999999999998</v>
      </c>
      <c r="L296" s="1" t="s">
        <v>60</v>
      </c>
      <c r="M296" s="1" t="s">
        <v>43</v>
      </c>
      <c r="N296" s="1" t="s">
        <v>44</v>
      </c>
      <c r="O296" s="1" t="s">
        <v>31</v>
      </c>
      <c r="P296" s="2">
        <v>45823</v>
      </c>
      <c r="Q296" s="1" t="s">
        <v>294</v>
      </c>
      <c r="R296" s="1" t="s">
        <v>295</v>
      </c>
      <c r="S296" s="1" t="s">
        <v>47</v>
      </c>
      <c r="T296" s="1" t="s">
        <v>35</v>
      </c>
      <c r="U296" s="1" t="s">
        <v>55</v>
      </c>
      <c r="V296" s="1" t="s">
        <v>100</v>
      </c>
      <c r="W296">
        <v>3.2</v>
      </c>
      <c r="X296" s="1" t="str">
        <f t="shared" si="12"/>
        <v>valentina.torres56@mail.com</v>
      </c>
      <c r="Y296" s="1" t="str">
        <f>INDEX(V:V,MATCH(orders_desnormalizado_prueba3[[#This Row],[acquisition_channel]],U:U,0))</f>
        <v>Bodega Propia CO - envio 2-3 dias</v>
      </c>
      <c r="Z296" s="1" t="str">
        <f>INDEX(T:T,MATCH(orders_desnormalizado_prueba3[[#This Row],[shipping_cost]],W:W,0))</f>
        <v>Colombia</v>
      </c>
      <c r="AA296" s="1" t="str">
        <f t="shared" si="13"/>
        <v>Barranquilla</v>
      </c>
      <c r="AB296" s="1"/>
      <c r="AC296" s="1" t="str">
        <f t="shared" si="14"/>
        <v xml:space="preserve"> </v>
      </c>
    </row>
    <row r="297" spans="1:29" x14ac:dyDescent="0.3">
      <c r="A297" s="1" t="s">
        <v>680</v>
      </c>
      <c r="B297">
        <v>1</v>
      </c>
      <c r="C297">
        <v>16.989999999999998</v>
      </c>
      <c r="D297">
        <v>16.989999999999998</v>
      </c>
      <c r="E297" s="1" t="s">
        <v>181</v>
      </c>
      <c r="F297" s="1" t="s">
        <v>70</v>
      </c>
      <c r="G297">
        <v>0</v>
      </c>
      <c r="H297" s="1" t="s">
        <v>58</v>
      </c>
      <c r="I297" s="1" t="s">
        <v>59</v>
      </c>
      <c r="J297">
        <v>5</v>
      </c>
      <c r="K297">
        <v>16.989999999999998</v>
      </c>
      <c r="L297" s="1" t="s">
        <v>60</v>
      </c>
      <c r="M297" s="1" t="s">
        <v>61</v>
      </c>
      <c r="N297" s="1" t="s">
        <v>62</v>
      </c>
      <c r="O297" s="1" t="s">
        <v>31</v>
      </c>
      <c r="P297" s="2">
        <v>45726</v>
      </c>
      <c r="Q297" s="1" t="s">
        <v>278</v>
      </c>
      <c r="R297" s="1" t="s">
        <v>279</v>
      </c>
      <c r="S297" s="1" t="s">
        <v>54</v>
      </c>
      <c r="T297" s="1" t="s">
        <v>35</v>
      </c>
      <c r="U297" s="1" t="s">
        <v>36</v>
      </c>
      <c r="V297" s="1" t="s">
        <v>67</v>
      </c>
      <c r="W297">
        <v>3</v>
      </c>
      <c r="X297" s="1" t="str">
        <f t="shared" si="12"/>
        <v>gabriela.diaz40@mail.com</v>
      </c>
      <c r="Y297" s="1" t="str">
        <f>INDEX(V:V,MATCH(orders_desnormalizado_prueba3[[#This Row],[acquisition_channel]],U:U,0))</f>
        <v>Bodega Propia CO - envio 2-3 dias</v>
      </c>
      <c r="Z297" s="1" t="str">
        <f>INDEX(T:T,MATCH(orders_desnormalizado_prueba3[[#This Row],[shipping_cost]],W:W,0))</f>
        <v>Colombia</v>
      </c>
      <c r="AA297" s="1" t="str">
        <f t="shared" si="13"/>
        <v>Cartagena</v>
      </c>
      <c r="AB297" s="1"/>
      <c r="AC297" s="1" t="str">
        <f t="shared" si="14"/>
        <v xml:space="preserve"> </v>
      </c>
    </row>
    <row r="298" spans="1:29" x14ac:dyDescent="0.3">
      <c r="A298" s="1" t="s">
        <v>681</v>
      </c>
      <c r="B298">
        <v>3</v>
      </c>
      <c r="C298">
        <v>34.99</v>
      </c>
      <c r="D298">
        <v>84.73</v>
      </c>
      <c r="E298" s="1" t="s">
        <v>79</v>
      </c>
      <c r="F298" s="1" t="s">
        <v>25</v>
      </c>
      <c r="G298">
        <v>5</v>
      </c>
      <c r="H298" s="1" t="s">
        <v>41</v>
      </c>
      <c r="I298" s="1" t="s">
        <v>85</v>
      </c>
      <c r="J298">
        <v>12.5</v>
      </c>
      <c r="K298">
        <v>34.99</v>
      </c>
      <c r="L298" s="1" t="s">
        <v>60</v>
      </c>
      <c r="M298" s="1" t="s">
        <v>29</v>
      </c>
      <c r="N298" s="1" t="s">
        <v>30</v>
      </c>
      <c r="O298" s="1" t="s">
        <v>31</v>
      </c>
      <c r="P298" s="2">
        <v>45778</v>
      </c>
      <c r="Q298" s="1" t="s">
        <v>32</v>
      </c>
      <c r="R298" s="1" t="s">
        <v>33</v>
      </c>
      <c r="S298" s="1" t="s">
        <v>34</v>
      </c>
      <c r="T298" s="1" t="s">
        <v>35</v>
      </c>
      <c r="U298" s="1" t="s">
        <v>36</v>
      </c>
      <c r="V298" s="1" t="s">
        <v>89</v>
      </c>
      <c r="W298">
        <v>2.4</v>
      </c>
      <c r="X298" s="1" t="str">
        <f t="shared" si="12"/>
        <v>laura.gomez71@mail.com</v>
      </c>
      <c r="Y298" s="1" t="str">
        <f>INDEX(V:V,MATCH(orders_desnormalizado_prueba3[[#This Row],[acquisition_channel]],U:U,0))</f>
        <v>Bodega Propia CO - envio 2-3 dias</v>
      </c>
      <c r="Z298" s="1" t="str">
        <f>INDEX(T:T,MATCH(orders_desnormalizado_prueba3[[#This Row],[shipping_cost]],W:W,0))</f>
        <v>Colombia</v>
      </c>
      <c r="AA298" s="1" t="str">
        <f t="shared" si="13"/>
        <v>Cali</v>
      </c>
      <c r="AB298" s="1"/>
      <c r="AC298" s="1" t="str">
        <f t="shared" si="14"/>
        <v xml:space="preserve"> </v>
      </c>
    </row>
    <row r="299" spans="1:29" x14ac:dyDescent="0.3">
      <c r="A299" s="1" t="s">
        <v>682</v>
      </c>
      <c r="B299">
        <v>1</v>
      </c>
      <c r="C299">
        <v>18.989999999999998</v>
      </c>
      <c r="D299">
        <v>18.989999999999998</v>
      </c>
      <c r="E299" s="1" t="s">
        <v>228</v>
      </c>
      <c r="F299" s="1" t="s">
        <v>40</v>
      </c>
      <c r="G299">
        <v>10</v>
      </c>
      <c r="H299" s="1" t="s">
        <v>58</v>
      </c>
      <c r="I299" s="1" t="s">
        <v>97</v>
      </c>
      <c r="J299">
        <v>6</v>
      </c>
      <c r="K299">
        <v>18.989999999999998</v>
      </c>
      <c r="L299" s="1" t="s">
        <v>60</v>
      </c>
      <c r="M299" s="1" t="s">
        <v>43</v>
      </c>
      <c r="N299" s="1" t="s">
        <v>44</v>
      </c>
      <c r="O299" s="1" t="s">
        <v>31</v>
      </c>
      <c r="P299" s="2">
        <v>45823</v>
      </c>
      <c r="Q299" s="1" t="s">
        <v>363</v>
      </c>
      <c r="R299" s="1" t="s">
        <v>364</v>
      </c>
      <c r="S299" s="1" t="s">
        <v>54</v>
      </c>
      <c r="T299" s="1" t="s">
        <v>35</v>
      </c>
      <c r="U299" s="1" t="s">
        <v>55</v>
      </c>
      <c r="V299" s="1" t="s">
        <v>100</v>
      </c>
      <c r="W299">
        <v>3.2</v>
      </c>
      <c r="X299" s="1" t="str">
        <f t="shared" si="12"/>
        <v>miguel.diaz9@mail.com</v>
      </c>
      <c r="Y299" s="1" t="str">
        <f>INDEX(V:V,MATCH(orders_desnormalizado_prueba3[[#This Row],[acquisition_channel]],U:U,0))</f>
        <v>Bodega Propia CO - envio 2-3 dias</v>
      </c>
      <c r="Z299" s="1" t="str">
        <f>INDEX(T:T,MATCH(orders_desnormalizado_prueba3[[#This Row],[shipping_cost]],W:W,0))</f>
        <v>Colombia</v>
      </c>
      <c r="AA299" s="1" t="str">
        <f t="shared" si="13"/>
        <v>Bogota</v>
      </c>
      <c r="AB299" s="1"/>
      <c r="AC299" s="1" t="str">
        <f t="shared" si="14"/>
        <v xml:space="preserve"> </v>
      </c>
    </row>
    <row r="300" spans="1:29" x14ac:dyDescent="0.3">
      <c r="A300" s="1" t="s">
        <v>683</v>
      </c>
      <c r="B300">
        <v>1</v>
      </c>
      <c r="C300">
        <v>30.99</v>
      </c>
      <c r="D300">
        <v>30.99</v>
      </c>
      <c r="E300" s="1" t="s">
        <v>74</v>
      </c>
      <c r="F300" s="1" t="s">
        <v>40</v>
      </c>
      <c r="G300">
        <v>2</v>
      </c>
      <c r="H300" s="1" t="s">
        <v>26</v>
      </c>
      <c r="I300" s="1" t="s">
        <v>42</v>
      </c>
      <c r="J300">
        <v>10.5</v>
      </c>
      <c r="K300">
        <v>30.99</v>
      </c>
      <c r="L300" s="1" t="s">
        <v>28</v>
      </c>
      <c r="M300" s="1" t="s">
        <v>43</v>
      </c>
      <c r="N300" s="1" t="s">
        <v>44</v>
      </c>
      <c r="O300" s="1" t="s">
        <v>31</v>
      </c>
      <c r="P300" s="2">
        <v>45823</v>
      </c>
      <c r="Q300" s="1" t="s">
        <v>140</v>
      </c>
      <c r="R300" s="1" t="s">
        <v>383</v>
      </c>
      <c r="S300" s="1" t="s">
        <v>65</v>
      </c>
      <c r="T300" s="1" t="s">
        <v>35</v>
      </c>
      <c r="U300" s="1" t="s">
        <v>82</v>
      </c>
      <c r="V300" s="1" t="s">
        <v>37</v>
      </c>
      <c r="W300">
        <v>2</v>
      </c>
      <c r="X300" s="1" t="str">
        <f t="shared" si="12"/>
        <v>david.rodriguez33@mail.com</v>
      </c>
      <c r="Y300" s="1" t="str">
        <f>INDEX(V:V,MATCH(orders_desnormalizado_prueba3[[#This Row],[acquisition_channel]],U:U,0))</f>
        <v>Bodega Propia CO - envio 2-3 dias</v>
      </c>
      <c r="Z300" s="1" t="str">
        <f>INDEX(T:T,MATCH(orders_desnormalizado_prueba3[[#This Row],[shipping_cost]],W:W,0))</f>
        <v>Colombia</v>
      </c>
      <c r="AA300" s="1" t="str">
        <f t="shared" si="13"/>
        <v>Medellin</v>
      </c>
      <c r="AB300" s="1"/>
      <c r="AC300" s="1" t="str">
        <f t="shared" si="14"/>
        <v xml:space="preserve"> </v>
      </c>
    </row>
    <row r="301" spans="1:29" x14ac:dyDescent="0.3">
      <c r="A301" s="1" t="s">
        <v>684</v>
      </c>
      <c r="B301">
        <v>1</v>
      </c>
      <c r="C301">
        <v>16.989999999999998</v>
      </c>
      <c r="D301">
        <v>16.989999999999998</v>
      </c>
      <c r="E301" s="1" t="s">
        <v>493</v>
      </c>
      <c r="F301" s="1" t="s">
        <v>40</v>
      </c>
      <c r="G301">
        <v>19</v>
      </c>
      <c r="H301" s="1" t="s">
        <v>26</v>
      </c>
      <c r="I301" s="1" t="s">
        <v>59</v>
      </c>
      <c r="J301">
        <v>5</v>
      </c>
      <c r="K301">
        <v>16.989999999999998</v>
      </c>
      <c r="L301" s="1" t="s">
        <v>60</v>
      </c>
      <c r="M301" s="1" t="s">
        <v>61</v>
      </c>
      <c r="N301" s="1" t="s">
        <v>62</v>
      </c>
      <c r="O301" s="1" t="s">
        <v>31</v>
      </c>
      <c r="P301" s="2">
        <v>45726</v>
      </c>
      <c r="Q301" s="1" t="s">
        <v>496</v>
      </c>
      <c r="R301" s="1" t="s">
        <v>685</v>
      </c>
      <c r="S301" s="1" t="s">
        <v>65</v>
      </c>
      <c r="T301" s="1" t="s">
        <v>35</v>
      </c>
      <c r="U301" s="1" t="s">
        <v>82</v>
      </c>
      <c r="V301" s="1" t="s">
        <v>67</v>
      </c>
      <c r="W301">
        <v>3</v>
      </c>
      <c r="X301" s="1" t="str">
        <f t="shared" si="12"/>
        <v>diego.vargas37@mail.com</v>
      </c>
      <c r="Y301" s="1" t="str">
        <f>INDEX(V:V,MATCH(orders_desnormalizado_prueba3[[#This Row],[acquisition_channel]],U:U,0))</f>
        <v>Bodega Propia CO - envio 2-3 dias</v>
      </c>
      <c r="Z301" s="1" t="str">
        <f>INDEX(T:T,MATCH(orders_desnormalizado_prueba3[[#This Row],[shipping_cost]],W:W,0))</f>
        <v>Colombia</v>
      </c>
      <c r="AA301" s="1" t="str">
        <f t="shared" si="13"/>
        <v>Bogota</v>
      </c>
      <c r="AB301" s="1"/>
      <c r="AC301" s="1" t="str">
        <f t="shared" si="14"/>
        <v xml:space="preserve"> </v>
      </c>
    </row>
    <row r="302" spans="1:29" x14ac:dyDescent="0.3">
      <c r="A302" s="1" t="s">
        <v>686</v>
      </c>
      <c r="B302">
        <v>1</v>
      </c>
      <c r="C302">
        <v>18.989999999999998</v>
      </c>
      <c r="D302">
        <v>18.989999999999998</v>
      </c>
      <c r="E302" s="1" t="s">
        <v>334</v>
      </c>
      <c r="F302" s="1" t="s">
        <v>188</v>
      </c>
      <c r="G302">
        <v>0</v>
      </c>
      <c r="H302" s="1" t="s">
        <v>41</v>
      </c>
      <c r="I302" s="1" t="s">
        <v>97</v>
      </c>
      <c r="J302">
        <v>6</v>
      </c>
      <c r="K302">
        <v>18.989999999999998</v>
      </c>
      <c r="L302" s="1" t="s">
        <v>60</v>
      </c>
      <c r="M302" s="1" t="s">
        <v>43</v>
      </c>
      <c r="N302" s="1" t="s">
        <v>44</v>
      </c>
      <c r="O302" s="1" t="s">
        <v>31</v>
      </c>
      <c r="P302" s="2">
        <v>45823</v>
      </c>
      <c r="Q302" s="1" t="s">
        <v>45</v>
      </c>
      <c r="R302" s="1" t="s">
        <v>513</v>
      </c>
      <c r="S302" s="1" t="s">
        <v>54</v>
      </c>
      <c r="T302" s="1" t="s">
        <v>35</v>
      </c>
      <c r="U302" s="1" t="s">
        <v>48</v>
      </c>
      <c r="V302" s="1" t="s">
        <v>100</v>
      </c>
      <c r="W302">
        <v>3.2</v>
      </c>
      <c r="X302" s="1" t="str">
        <f t="shared" si="12"/>
        <v>david.martinez142@mail.com</v>
      </c>
      <c r="Y302" s="1" t="str">
        <f>INDEX(V:V,MATCH(orders_desnormalizado_prueba3[[#This Row],[acquisition_channel]],U:U,0))</f>
        <v>Bodega Propia CO - envio 2-3 dias</v>
      </c>
      <c r="Z302" s="1" t="str">
        <f>INDEX(T:T,MATCH(orders_desnormalizado_prueba3[[#This Row],[shipping_cost]],W:W,0))</f>
        <v>Colombia</v>
      </c>
      <c r="AA302" s="1" t="str">
        <f t="shared" si="13"/>
        <v>Cartagena</v>
      </c>
      <c r="AB302" s="1"/>
      <c r="AC302" s="1" t="str">
        <f t="shared" si="14"/>
        <v xml:space="preserve"> </v>
      </c>
    </row>
    <row r="303" spans="1:29" x14ac:dyDescent="0.3">
      <c r="A303" s="1" t="s">
        <v>687</v>
      </c>
      <c r="B303">
        <v>3</v>
      </c>
      <c r="C303">
        <v>34.99</v>
      </c>
      <c r="D303">
        <v>84.73</v>
      </c>
      <c r="E303" s="1" t="s">
        <v>493</v>
      </c>
      <c r="F303" s="1" t="s">
        <v>40</v>
      </c>
      <c r="G303">
        <v>7</v>
      </c>
      <c r="H303" s="1" t="s">
        <v>26</v>
      </c>
      <c r="I303" s="1" t="s">
        <v>85</v>
      </c>
      <c r="J303">
        <v>12.5</v>
      </c>
      <c r="K303">
        <v>34.99</v>
      </c>
      <c r="L303" s="1" t="s">
        <v>60</v>
      </c>
      <c r="M303" s="1" t="s">
        <v>29</v>
      </c>
      <c r="N303" s="1" t="s">
        <v>30</v>
      </c>
      <c r="O303" s="1" t="s">
        <v>31</v>
      </c>
      <c r="P303" s="2">
        <v>45778</v>
      </c>
      <c r="Q303" s="1" t="s">
        <v>487</v>
      </c>
      <c r="R303" s="1" t="s">
        <v>488</v>
      </c>
      <c r="S303" s="1" t="s">
        <v>88</v>
      </c>
      <c r="T303" s="1" t="s">
        <v>35</v>
      </c>
      <c r="U303" s="1" t="s">
        <v>66</v>
      </c>
      <c r="V303" s="1" t="s">
        <v>89</v>
      </c>
      <c r="W303">
        <v>2.4</v>
      </c>
      <c r="X303" s="1" t="str">
        <f t="shared" si="12"/>
        <v>andres.sanchez46@mail.com</v>
      </c>
      <c r="Y303" s="1" t="str">
        <f>INDEX(V:V,MATCH(orders_desnormalizado_prueba3[[#This Row],[acquisition_channel]],U:U,0))</f>
        <v>AliDropship CN - envio 15-20 dias</v>
      </c>
      <c r="Z303" s="1" t="str">
        <f>INDEX(T:T,MATCH(orders_desnormalizado_prueba3[[#This Row],[shipping_cost]],W:W,0))</f>
        <v>Colombia</v>
      </c>
      <c r="AA303" s="1" t="str">
        <f t="shared" si="13"/>
        <v>Bogota</v>
      </c>
      <c r="AB303" s="1"/>
      <c r="AC303" s="1" t="str">
        <f t="shared" si="14"/>
        <v xml:space="preserve"> </v>
      </c>
    </row>
    <row r="304" spans="1:29" x14ac:dyDescent="0.3">
      <c r="A304" s="1" t="s">
        <v>688</v>
      </c>
      <c r="B304">
        <v>1</v>
      </c>
      <c r="C304">
        <v>27.99</v>
      </c>
      <c r="D304">
        <v>27.99</v>
      </c>
      <c r="E304" s="1" t="s">
        <v>200</v>
      </c>
      <c r="F304" s="1" t="s">
        <v>40</v>
      </c>
      <c r="G304">
        <v>2</v>
      </c>
      <c r="H304" s="1" t="s">
        <v>96</v>
      </c>
      <c r="I304" s="1" t="s">
        <v>75</v>
      </c>
      <c r="J304">
        <v>9</v>
      </c>
      <c r="K304">
        <v>27.99</v>
      </c>
      <c r="L304" s="1" t="s">
        <v>28</v>
      </c>
      <c r="M304" s="1" t="s">
        <v>61</v>
      </c>
      <c r="N304" s="1" t="s">
        <v>62</v>
      </c>
      <c r="O304" s="1" t="s">
        <v>31</v>
      </c>
      <c r="P304" s="2">
        <v>45726</v>
      </c>
      <c r="Q304" s="1" t="s">
        <v>689</v>
      </c>
      <c r="R304" s="1" t="s">
        <v>690</v>
      </c>
      <c r="S304" s="1" t="s">
        <v>88</v>
      </c>
      <c r="T304" s="1" t="s">
        <v>35</v>
      </c>
      <c r="U304" s="1" t="s">
        <v>66</v>
      </c>
      <c r="V304" s="1" t="s">
        <v>37</v>
      </c>
      <c r="W304">
        <v>2</v>
      </c>
      <c r="X304" s="1" t="str">
        <f t="shared" si="12"/>
        <v>mateo.martinez177@mail.com</v>
      </c>
      <c r="Y304" s="1" t="str">
        <f>INDEX(V:V,MATCH(orders_desnormalizado_prueba3[[#This Row],[acquisition_channel]],U:U,0))</f>
        <v>AliDropship CN - envio 15-20 dias</v>
      </c>
      <c r="Z304" s="1" t="str">
        <f>INDEX(T:T,MATCH(orders_desnormalizado_prueba3[[#This Row],[shipping_cost]],W:W,0))</f>
        <v>Colombia</v>
      </c>
      <c r="AA304" s="1" t="str">
        <f t="shared" si="13"/>
        <v>Medellin</v>
      </c>
      <c r="AB304" s="1"/>
      <c r="AC304" s="1" t="str">
        <f t="shared" si="14"/>
        <v xml:space="preserve"> </v>
      </c>
    </row>
    <row r="305" spans="1:29" x14ac:dyDescent="0.3">
      <c r="A305" s="1" t="s">
        <v>691</v>
      </c>
      <c r="B305">
        <v>1</v>
      </c>
      <c r="C305">
        <v>30.99</v>
      </c>
      <c r="D305">
        <v>30.99</v>
      </c>
      <c r="E305" s="1" t="s">
        <v>91</v>
      </c>
      <c r="F305" s="1" t="s">
        <v>40</v>
      </c>
      <c r="G305">
        <v>2</v>
      </c>
      <c r="H305" s="1" t="s">
        <v>41</v>
      </c>
      <c r="I305" s="1" t="s">
        <v>42</v>
      </c>
      <c r="J305">
        <v>10.5</v>
      </c>
      <c r="K305">
        <v>30.99</v>
      </c>
      <c r="L305" s="1" t="s">
        <v>28</v>
      </c>
      <c r="M305" s="1" t="s">
        <v>43</v>
      </c>
      <c r="N305" s="1" t="s">
        <v>44</v>
      </c>
      <c r="O305" s="1" t="s">
        <v>31</v>
      </c>
      <c r="P305" s="2">
        <v>45823</v>
      </c>
      <c r="Q305" s="1" t="s">
        <v>176</v>
      </c>
      <c r="R305" s="1" t="s">
        <v>353</v>
      </c>
      <c r="S305" s="1" t="s">
        <v>105</v>
      </c>
      <c r="T305" s="1" t="s">
        <v>35</v>
      </c>
      <c r="U305" s="1" t="s">
        <v>82</v>
      </c>
      <c r="V305" s="1" t="s">
        <v>37</v>
      </c>
      <c r="W305">
        <v>2</v>
      </c>
      <c r="X305" s="1" t="str">
        <f t="shared" si="12"/>
        <v>camila.castro114@mail.com</v>
      </c>
      <c r="Y305" s="1" t="str">
        <f>INDEX(V:V,MATCH(orders_desnormalizado_prueba3[[#This Row],[acquisition_channel]],U:U,0))</f>
        <v>Bodega Propia CO - envio 2-3 dias</v>
      </c>
      <c r="Z305" s="1" t="str">
        <f>INDEX(T:T,MATCH(orders_desnormalizado_prueba3[[#This Row],[shipping_cost]],W:W,0))</f>
        <v>Colombia</v>
      </c>
      <c r="AA305" s="1" t="str">
        <f t="shared" si="13"/>
        <v>Medellin</v>
      </c>
      <c r="AB305" s="1"/>
      <c r="AC305" s="1" t="str">
        <f t="shared" si="14"/>
        <v xml:space="preserve"> </v>
      </c>
    </row>
    <row r="306" spans="1:29" x14ac:dyDescent="0.3">
      <c r="A306" s="1" t="s">
        <v>692</v>
      </c>
      <c r="B306">
        <v>1</v>
      </c>
      <c r="C306">
        <v>21.99</v>
      </c>
      <c r="D306">
        <v>21.99</v>
      </c>
      <c r="E306" s="1" t="s">
        <v>252</v>
      </c>
      <c r="F306" s="1" t="s">
        <v>40</v>
      </c>
      <c r="G306">
        <v>3</v>
      </c>
      <c r="H306" s="1" t="s">
        <v>26</v>
      </c>
      <c r="I306" s="1" t="s">
        <v>27</v>
      </c>
      <c r="J306">
        <v>7</v>
      </c>
      <c r="K306">
        <v>21.99</v>
      </c>
      <c r="L306" s="1" t="s">
        <v>28</v>
      </c>
      <c r="M306" s="1" t="s">
        <v>29</v>
      </c>
      <c r="N306" s="1" t="s">
        <v>30</v>
      </c>
      <c r="O306" s="1" t="s">
        <v>31</v>
      </c>
      <c r="P306" s="2">
        <v>45778</v>
      </c>
      <c r="Q306" s="1" t="s">
        <v>693</v>
      </c>
      <c r="R306" s="1" t="s">
        <v>694</v>
      </c>
      <c r="S306" s="1" t="s">
        <v>47</v>
      </c>
      <c r="T306" s="1" t="s">
        <v>35</v>
      </c>
      <c r="U306" s="1" t="s">
        <v>82</v>
      </c>
      <c r="V306" s="1" t="s">
        <v>37</v>
      </c>
      <c r="W306">
        <v>2</v>
      </c>
      <c r="X306" s="1" t="str">
        <f t="shared" si="12"/>
        <v>paula.gomez91@mail.com</v>
      </c>
      <c r="Y306" s="1" t="str">
        <f>INDEX(V:V,MATCH(orders_desnormalizado_prueba3[[#This Row],[acquisition_channel]],U:U,0))</f>
        <v>Bodega Propia CO - envio 2-3 dias</v>
      </c>
      <c r="Z306" s="1" t="str">
        <f>INDEX(T:T,MATCH(orders_desnormalizado_prueba3[[#This Row],[shipping_cost]],W:W,0))</f>
        <v>Colombia</v>
      </c>
      <c r="AA306" s="1" t="str">
        <f t="shared" si="13"/>
        <v>Barranquilla</v>
      </c>
      <c r="AB306" s="1"/>
      <c r="AC306" s="1" t="str">
        <f t="shared" si="14"/>
        <v xml:space="preserve"> </v>
      </c>
    </row>
    <row r="307" spans="1:29" x14ac:dyDescent="0.3">
      <c r="A307" s="1" t="s">
        <v>695</v>
      </c>
      <c r="B307">
        <v>1</v>
      </c>
      <c r="C307">
        <v>30.99</v>
      </c>
      <c r="D307">
        <v>30.99</v>
      </c>
      <c r="E307" s="1" t="s">
        <v>222</v>
      </c>
      <c r="F307" s="1" t="s">
        <v>40</v>
      </c>
      <c r="G307">
        <v>3</v>
      </c>
      <c r="H307" s="1" t="s">
        <v>41</v>
      </c>
      <c r="I307" s="1" t="s">
        <v>42</v>
      </c>
      <c r="J307">
        <v>10.5</v>
      </c>
      <c r="K307">
        <v>30.99</v>
      </c>
      <c r="L307" s="1" t="s">
        <v>28</v>
      </c>
      <c r="M307" s="1" t="s">
        <v>43</v>
      </c>
      <c r="N307" s="1" t="s">
        <v>44</v>
      </c>
      <c r="O307" s="1" t="s">
        <v>31</v>
      </c>
      <c r="P307" s="2">
        <v>45823</v>
      </c>
      <c r="Q307" s="1" t="s">
        <v>122</v>
      </c>
      <c r="R307" s="1" t="s">
        <v>123</v>
      </c>
      <c r="S307" s="1" t="s">
        <v>65</v>
      </c>
      <c r="T307" s="1" t="s">
        <v>35</v>
      </c>
      <c r="U307" s="1" t="s">
        <v>82</v>
      </c>
      <c r="V307" s="1" t="s">
        <v>37</v>
      </c>
      <c r="W307">
        <v>2</v>
      </c>
      <c r="X307" s="1" t="str">
        <f t="shared" si="12"/>
        <v>camila.rodriguez108@mail.com</v>
      </c>
      <c r="Y307" s="1" t="str">
        <f>INDEX(V:V,MATCH(orders_desnormalizado_prueba3[[#This Row],[acquisition_channel]],U:U,0))</f>
        <v>Bodega Propia CO - envio 2-3 dias</v>
      </c>
      <c r="Z307" s="1" t="str">
        <f>INDEX(T:T,MATCH(orders_desnormalizado_prueba3[[#This Row],[shipping_cost]],W:W,0))</f>
        <v>Colombia</v>
      </c>
      <c r="AA307" s="1" t="str">
        <f t="shared" si="13"/>
        <v>Barranquilla</v>
      </c>
      <c r="AB307" s="1"/>
      <c r="AC307" s="1" t="str">
        <f t="shared" si="14"/>
        <v xml:space="preserve"> </v>
      </c>
    </row>
    <row r="308" spans="1:29" x14ac:dyDescent="0.3">
      <c r="A308" s="1" t="s">
        <v>696</v>
      </c>
      <c r="B308">
        <v>1</v>
      </c>
      <c r="C308">
        <v>21.99</v>
      </c>
      <c r="D308">
        <v>21.99</v>
      </c>
      <c r="E308" s="1" t="s">
        <v>334</v>
      </c>
      <c r="F308" s="1" t="s">
        <v>70</v>
      </c>
      <c r="G308">
        <v>0</v>
      </c>
      <c r="H308" s="1" t="s">
        <v>26</v>
      </c>
      <c r="I308" s="1" t="s">
        <v>27</v>
      </c>
      <c r="J308">
        <v>7</v>
      </c>
      <c r="K308">
        <v>21.99</v>
      </c>
      <c r="L308" s="1" t="s">
        <v>28</v>
      </c>
      <c r="M308" s="1" t="s">
        <v>29</v>
      </c>
      <c r="N308" s="1" t="s">
        <v>30</v>
      </c>
      <c r="O308" s="1" t="s">
        <v>31</v>
      </c>
      <c r="P308" s="2">
        <v>45778</v>
      </c>
      <c r="Q308" s="1" t="s">
        <v>349</v>
      </c>
      <c r="R308" s="1" t="s">
        <v>697</v>
      </c>
      <c r="S308" s="1" t="s">
        <v>105</v>
      </c>
      <c r="T308" s="1" t="s">
        <v>35</v>
      </c>
      <c r="U308" s="1" t="s">
        <v>66</v>
      </c>
      <c r="V308" s="1" t="s">
        <v>37</v>
      </c>
      <c r="W308">
        <v>2</v>
      </c>
      <c r="X308" s="1" t="str">
        <f t="shared" si="12"/>
        <v>diego.diaz29@mail.com</v>
      </c>
      <c r="Y308" s="1" t="str">
        <f>INDEX(V:V,MATCH(orders_desnormalizado_prueba3[[#This Row],[acquisition_channel]],U:U,0))</f>
        <v>AliDropship CN - envio 15-20 dias</v>
      </c>
      <c r="Z308" s="1" t="str">
        <f>INDEX(T:T,MATCH(orders_desnormalizado_prueba3[[#This Row],[shipping_cost]],W:W,0))</f>
        <v>Colombia</v>
      </c>
      <c r="AA308" s="1" t="str">
        <f t="shared" si="13"/>
        <v>Cartagena</v>
      </c>
      <c r="AB308" s="1"/>
      <c r="AC308" s="1" t="str">
        <f t="shared" si="14"/>
        <v xml:space="preserve"> </v>
      </c>
    </row>
    <row r="309" spans="1:29" x14ac:dyDescent="0.3">
      <c r="A309" s="1" t="s">
        <v>698</v>
      </c>
      <c r="B309">
        <v>1</v>
      </c>
      <c r="C309">
        <v>21.99</v>
      </c>
      <c r="D309">
        <v>21.99</v>
      </c>
      <c r="E309" s="1" t="s">
        <v>192</v>
      </c>
      <c r="F309" s="1" t="s">
        <v>40</v>
      </c>
      <c r="G309">
        <v>5</v>
      </c>
      <c r="H309" s="1" t="s">
        <v>58</v>
      </c>
      <c r="I309" s="1" t="s">
        <v>27</v>
      </c>
      <c r="J309">
        <v>7</v>
      </c>
      <c r="K309">
        <v>21.99</v>
      </c>
      <c r="L309" s="1" t="s">
        <v>28</v>
      </c>
      <c r="M309" s="1" t="s">
        <v>29</v>
      </c>
      <c r="N309" s="1" t="s">
        <v>30</v>
      </c>
      <c r="O309" s="1" t="s">
        <v>31</v>
      </c>
      <c r="P309" s="2">
        <v>45778</v>
      </c>
      <c r="Q309" s="1" t="s">
        <v>63</v>
      </c>
      <c r="R309" s="1" t="s">
        <v>699</v>
      </c>
      <c r="S309" s="1" t="s">
        <v>105</v>
      </c>
      <c r="T309" s="1" t="s">
        <v>35</v>
      </c>
      <c r="U309" s="1" t="s">
        <v>48</v>
      </c>
      <c r="V309" s="1" t="s">
        <v>37</v>
      </c>
      <c r="W309">
        <v>2</v>
      </c>
      <c r="X309" s="1" t="str">
        <f t="shared" si="12"/>
        <v>laura.rodriguez85@mail.com</v>
      </c>
      <c r="Y309" s="1" t="str">
        <f>INDEX(V:V,MATCH(orders_desnormalizado_prueba3[[#This Row],[acquisition_channel]],U:U,0))</f>
        <v>Bodega Propia CO - envio 2-3 dias</v>
      </c>
      <c r="Z309" s="1" t="str">
        <f>INDEX(T:T,MATCH(orders_desnormalizado_prueba3[[#This Row],[shipping_cost]],W:W,0))</f>
        <v>Colombia</v>
      </c>
      <c r="AA309" s="1" t="str">
        <f t="shared" si="13"/>
        <v>Cali</v>
      </c>
      <c r="AB309" s="1"/>
      <c r="AC309" s="1" t="str">
        <f t="shared" si="14"/>
        <v xml:space="preserve"> </v>
      </c>
    </row>
    <row r="310" spans="1:29" x14ac:dyDescent="0.3">
      <c r="A310" s="1" t="s">
        <v>700</v>
      </c>
      <c r="B310">
        <v>1</v>
      </c>
      <c r="C310">
        <v>27.99</v>
      </c>
      <c r="D310">
        <v>27.99</v>
      </c>
      <c r="E310" s="1" t="s">
        <v>701</v>
      </c>
      <c r="F310" s="1" t="s">
        <v>51</v>
      </c>
      <c r="G310">
        <v>0</v>
      </c>
      <c r="H310" s="1" t="s">
        <v>26</v>
      </c>
      <c r="I310" s="1" t="s">
        <v>75</v>
      </c>
      <c r="J310">
        <v>9</v>
      </c>
      <c r="K310">
        <v>27.99</v>
      </c>
      <c r="L310" s="1" t="s">
        <v>28</v>
      </c>
      <c r="M310" s="1" t="s">
        <v>61</v>
      </c>
      <c r="N310" s="1" t="s">
        <v>62</v>
      </c>
      <c r="O310" s="1" t="s">
        <v>31</v>
      </c>
      <c r="P310" s="2">
        <v>45726</v>
      </c>
      <c r="Q310" s="1" t="s">
        <v>409</v>
      </c>
      <c r="R310" s="1" t="s">
        <v>410</v>
      </c>
      <c r="S310" s="1" t="s">
        <v>411</v>
      </c>
      <c r="T310" s="1" t="s">
        <v>35</v>
      </c>
      <c r="U310" s="1" t="s">
        <v>48</v>
      </c>
      <c r="V310" s="1" t="s">
        <v>37</v>
      </c>
      <c r="W310">
        <v>2</v>
      </c>
      <c r="X310" s="1" t="str">
        <f t="shared" si="12"/>
        <v>valentina.ramirez22@mail.com</v>
      </c>
      <c r="Y310" s="1" t="str">
        <f>INDEX(V:V,MATCH(orders_desnormalizado_prueba3[[#This Row],[acquisition_channel]],U:U,0))</f>
        <v>Bodega Propia CO - envio 2-3 dias</v>
      </c>
      <c r="Z310" s="1" t="str">
        <f>INDEX(T:T,MATCH(orders_desnormalizado_prueba3[[#This Row],[shipping_cost]],W:W,0))</f>
        <v>Colombia</v>
      </c>
      <c r="AA310" s="1" t="str">
        <f t="shared" si="13"/>
        <v>Cartagena</v>
      </c>
      <c r="AB310" s="1"/>
      <c r="AC310" s="1" t="str">
        <f t="shared" si="14"/>
        <v xml:space="preserve"> </v>
      </c>
    </row>
    <row r="311" spans="1:29" x14ac:dyDescent="0.3">
      <c r="A311" s="1" t="s">
        <v>702</v>
      </c>
      <c r="B311">
        <v>1</v>
      </c>
      <c r="C311">
        <v>18.989999999999998</v>
      </c>
      <c r="D311">
        <v>18.989999999999998</v>
      </c>
      <c r="E311" s="1" t="s">
        <v>187</v>
      </c>
      <c r="F311" s="1" t="s">
        <v>40</v>
      </c>
      <c r="G311">
        <v>15</v>
      </c>
      <c r="H311" s="1" t="s">
        <v>58</v>
      </c>
      <c r="I311" s="1" t="s">
        <v>97</v>
      </c>
      <c r="J311">
        <v>6</v>
      </c>
      <c r="K311">
        <v>18.989999999999998</v>
      </c>
      <c r="L311" s="1" t="s">
        <v>60</v>
      </c>
      <c r="M311" s="1" t="s">
        <v>43</v>
      </c>
      <c r="N311" s="1" t="s">
        <v>44</v>
      </c>
      <c r="O311" s="1" t="s">
        <v>31</v>
      </c>
      <c r="P311" s="2">
        <v>45823</v>
      </c>
      <c r="Q311" s="1" t="s">
        <v>216</v>
      </c>
      <c r="R311" s="1" t="s">
        <v>275</v>
      </c>
      <c r="S311" s="1" t="s">
        <v>105</v>
      </c>
      <c r="T311" s="1" t="s">
        <v>35</v>
      </c>
      <c r="U311" s="1" t="s">
        <v>82</v>
      </c>
      <c r="V311" s="1" t="s">
        <v>100</v>
      </c>
      <c r="W311">
        <v>3.2</v>
      </c>
      <c r="X311" s="1" t="str">
        <f t="shared" si="12"/>
        <v>valentina.perez50@mail.com</v>
      </c>
      <c r="Y311" s="1" t="str">
        <f>INDEX(V:V,MATCH(orders_desnormalizado_prueba3[[#This Row],[acquisition_channel]],U:U,0))</f>
        <v>Bodega Propia CO - envio 2-3 dias</v>
      </c>
      <c r="Z311" s="1" t="str">
        <f>INDEX(T:T,MATCH(orders_desnormalizado_prueba3[[#This Row],[shipping_cost]],W:W,0))</f>
        <v>Colombia</v>
      </c>
      <c r="AA311" s="1" t="str">
        <f t="shared" si="13"/>
        <v>Barranquilla</v>
      </c>
      <c r="AB311" s="1"/>
      <c r="AC311" s="1" t="str">
        <f t="shared" si="14"/>
        <v xml:space="preserve"> </v>
      </c>
    </row>
    <row r="312" spans="1:29" x14ac:dyDescent="0.3">
      <c r="A312" s="1" t="s">
        <v>703</v>
      </c>
      <c r="B312">
        <v>1</v>
      </c>
      <c r="C312">
        <v>30.99</v>
      </c>
      <c r="D312">
        <v>30.99</v>
      </c>
      <c r="E312" s="1" t="s">
        <v>704</v>
      </c>
      <c r="F312" s="1" t="s">
        <v>51</v>
      </c>
      <c r="G312">
        <v>0</v>
      </c>
      <c r="H312" s="1" t="s">
        <v>58</v>
      </c>
      <c r="I312" s="1" t="s">
        <v>42</v>
      </c>
      <c r="J312">
        <v>10.5</v>
      </c>
      <c r="K312">
        <v>30.99</v>
      </c>
      <c r="L312" s="1" t="s">
        <v>28</v>
      </c>
      <c r="M312" s="1" t="s">
        <v>43</v>
      </c>
      <c r="N312" s="1" t="s">
        <v>44</v>
      </c>
      <c r="O312" s="1" t="s">
        <v>31</v>
      </c>
      <c r="P312" s="2">
        <v>45823</v>
      </c>
      <c r="Q312" s="1" t="s">
        <v>705</v>
      </c>
      <c r="R312" s="1" t="s">
        <v>706</v>
      </c>
      <c r="S312" s="1" t="s">
        <v>105</v>
      </c>
      <c r="T312" s="1" t="s">
        <v>35</v>
      </c>
      <c r="U312" s="1" t="s">
        <v>36</v>
      </c>
      <c r="V312" s="1" t="s">
        <v>37</v>
      </c>
      <c r="W312">
        <v>2</v>
      </c>
      <c r="X312" s="1" t="str">
        <f t="shared" si="12"/>
        <v>andres.diaz179@mail.com</v>
      </c>
      <c r="Y312" s="1" t="str">
        <f>INDEX(V:V,MATCH(orders_desnormalizado_prueba3[[#This Row],[acquisition_channel]],U:U,0))</f>
        <v>Bodega Propia CO - envio 2-3 dias</v>
      </c>
      <c r="Z312" s="1" t="str">
        <f>INDEX(T:T,MATCH(orders_desnormalizado_prueba3[[#This Row],[shipping_cost]],W:W,0))</f>
        <v>Colombia</v>
      </c>
      <c r="AA312" s="1" t="str">
        <f t="shared" si="13"/>
        <v>Cartagena</v>
      </c>
      <c r="AB312" s="1"/>
      <c r="AC312" s="1" t="str">
        <f t="shared" si="14"/>
        <v xml:space="preserve"> </v>
      </c>
    </row>
    <row r="313" spans="1:29" x14ac:dyDescent="0.3">
      <c r="A313" s="1" t="s">
        <v>707</v>
      </c>
      <c r="B313">
        <v>1</v>
      </c>
      <c r="C313">
        <v>16.989999999999998</v>
      </c>
      <c r="D313">
        <v>16.989999999999998</v>
      </c>
      <c r="E313" s="1" t="s">
        <v>274</v>
      </c>
      <c r="F313" s="1" t="s">
        <v>40</v>
      </c>
      <c r="G313">
        <v>17</v>
      </c>
      <c r="H313" s="1" t="s">
        <v>26</v>
      </c>
      <c r="I313" s="1" t="s">
        <v>59</v>
      </c>
      <c r="J313">
        <v>5</v>
      </c>
      <c r="K313">
        <v>16.989999999999998</v>
      </c>
      <c r="L313" s="1" t="s">
        <v>60</v>
      </c>
      <c r="M313" s="1" t="s">
        <v>61</v>
      </c>
      <c r="N313" s="1" t="s">
        <v>62</v>
      </c>
      <c r="O313" s="1" t="s">
        <v>31</v>
      </c>
      <c r="P313" s="2">
        <v>45726</v>
      </c>
      <c r="Q313" s="1" t="s">
        <v>355</v>
      </c>
      <c r="R313" s="1" t="s">
        <v>356</v>
      </c>
      <c r="S313" s="1" t="s">
        <v>34</v>
      </c>
      <c r="T313" s="1" t="s">
        <v>35</v>
      </c>
      <c r="U313" s="1" t="s">
        <v>48</v>
      </c>
      <c r="V313" s="1" t="s">
        <v>67</v>
      </c>
      <c r="W313">
        <v>3</v>
      </c>
      <c r="X313" s="1" t="str">
        <f t="shared" si="12"/>
        <v>sofia.perez139@mail.com</v>
      </c>
      <c r="Y313" s="1" t="str">
        <f>INDEX(V:V,MATCH(orders_desnormalizado_prueba3[[#This Row],[acquisition_channel]],U:U,0))</f>
        <v>Bodega Propia CO - envio 2-3 dias</v>
      </c>
      <c r="Z313" s="1" t="str">
        <f>INDEX(T:T,MATCH(orders_desnormalizado_prueba3[[#This Row],[shipping_cost]],W:W,0))</f>
        <v>Colombia</v>
      </c>
      <c r="AA313" s="1" t="str">
        <f t="shared" si="13"/>
        <v>Barranquilla</v>
      </c>
      <c r="AB313" s="1"/>
      <c r="AC313" s="1" t="str">
        <f t="shared" si="14"/>
        <v xml:space="preserve"> </v>
      </c>
    </row>
    <row r="314" spans="1:29" x14ac:dyDescent="0.3">
      <c r="A314" s="1" t="s">
        <v>708</v>
      </c>
      <c r="B314">
        <v>1</v>
      </c>
      <c r="C314">
        <v>16.989999999999998</v>
      </c>
      <c r="D314">
        <v>16.989999999999998</v>
      </c>
      <c r="E314" s="1" t="s">
        <v>445</v>
      </c>
      <c r="F314" s="1" t="s">
        <v>25</v>
      </c>
      <c r="G314">
        <v>19</v>
      </c>
      <c r="H314" s="1" t="s">
        <v>26</v>
      </c>
      <c r="I314" s="1" t="s">
        <v>59</v>
      </c>
      <c r="J314">
        <v>5</v>
      </c>
      <c r="K314">
        <v>16.989999999999998</v>
      </c>
      <c r="L314" s="1" t="s">
        <v>60</v>
      </c>
      <c r="M314" s="1" t="s">
        <v>61</v>
      </c>
      <c r="N314" s="1" t="s">
        <v>62</v>
      </c>
      <c r="O314" s="1" t="s">
        <v>31</v>
      </c>
      <c r="P314" s="2">
        <v>45726</v>
      </c>
      <c r="Q314" s="1" t="s">
        <v>579</v>
      </c>
      <c r="R314" s="1" t="s">
        <v>580</v>
      </c>
      <c r="S314" s="1" t="s">
        <v>88</v>
      </c>
      <c r="T314" s="1" t="s">
        <v>35</v>
      </c>
      <c r="U314" s="1" t="s">
        <v>36</v>
      </c>
      <c r="V314" s="1" t="s">
        <v>67</v>
      </c>
      <c r="W314">
        <v>3</v>
      </c>
      <c r="X314" s="1" t="str">
        <f t="shared" si="12"/>
        <v>juan.sanchez137@mail.com</v>
      </c>
      <c r="Y314" s="1" t="str">
        <f>INDEX(V:V,MATCH(orders_desnormalizado_prueba3[[#This Row],[acquisition_channel]],U:U,0))</f>
        <v>Bodega Propia CO - envio 2-3 dias</v>
      </c>
      <c r="Z314" s="1" t="str">
        <f>INDEX(T:T,MATCH(orders_desnormalizado_prueba3[[#This Row],[shipping_cost]],W:W,0))</f>
        <v>Colombia</v>
      </c>
      <c r="AA314" s="1" t="str">
        <f t="shared" si="13"/>
        <v>Bogota</v>
      </c>
      <c r="AB314" s="1"/>
      <c r="AC314" s="1" t="str">
        <f t="shared" si="14"/>
        <v xml:space="preserve"> </v>
      </c>
    </row>
    <row r="315" spans="1:29" x14ac:dyDescent="0.3">
      <c r="A315" s="1" t="s">
        <v>709</v>
      </c>
      <c r="B315">
        <v>1</v>
      </c>
      <c r="C315">
        <v>18.989999999999998</v>
      </c>
      <c r="D315">
        <v>18.989999999999998</v>
      </c>
      <c r="E315" s="1" t="s">
        <v>393</v>
      </c>
      <c r="F315" s="1" t="s">
        <v>40</v>
      </c>
      <c r="G315">
        <v>13</v>
      </c>
      <c r="H315" s="1" t="s">
        <v>58</v>
      </c>
      <c r="I315" s="1" t="s">
        <v>97</v>
      </c>
      <c r="J315">
        <v>6</v>
      </c>
      <c r="K315">
        <v>18.989999999999998</v>
      </c>
      <c r="L315" s="1" t="s">
        <v>60</v>
      </c>
      <c r="M315" s="1" t="s">
        <v>43</v>
      </c>
      <c r="N315" s="1" t="s">
        <v>44</v>
      </c>
      <c r="O315" s="1" t="s">
        <v>31</v>
      </c>
      <c r="P315" s="2">
        <v>45823</v>
      </c>
      <c r="Q315" s="1" t="s">
        <v>710</v>
      </c>
      <c r="R315" s="1" t="s">
        <v>711</v>
      </c>
      <c r="S315" s="1" t="s">
        <v>65</v>
      </c>
      <c r="T315" s="1" t="s">
        <v>35</v>
      </c>
      <c r="U315" s="1" t="s">
        <v>48</v>
      </c>
      <c r="V315" s="1" t="s">
        <v>100</v>
      </c>
      <c r="W315">
        <v>3.2</v>
      </c>
      <c r="X315" s="1" t="str">
        <f t="shared" si="12"/>
        <v>maria.martinez106@mail.com</v>
      </c>
      <c r="Y315" s="1" t="str">
        <f>INDEX(V:V,MATCH(orders_desnormalizado_prueba3[[#This Row],[acquisition_channel]],U:U,0))</f>
        <v>Bodega Propia CO - envio 2-3 dias</v>
      </c>
      <c r="Z315" s="1" t="str">
        <f>INDEX(T:T,MATCH(orders_desnormalizado_prueba3[[#This Row],[shipping_cost]],W:W,0))</f>
        <v>Colombia</v>
      </c>
      <c r="AA315" s="1" t="str">
        <f t="shared" si="13"/>
        <v>Barranquilla</v>
      </c>
      <c r="AB315" s="1"/>
      <c r="AC315" s="1" t="str">
        <f t="shared" si="14"/>
        <v xml:space="preserve"> </v>
      </c>
    </row>
    <row r="316" spans="1:29" x14ac:dyDescent="0.3">
      <c r="A316" s="1" t="s">
        <v>712</v>
      </c>
      <c r="B316">
        <v>1</v>
      </c>
      <c r="C316">
        <v>18.989999999999998</v>
      </c>
      <c r="D316">
        <v>18.989999999999998</v>
      </c>
      <c r="E316" s="1" t="s">
        <v>334</v>
      </c>
      <c r="F316" s="1" t="s">
        <v>40</v>
      </c>
      <c r="G316">
        <v>10</v>
      </c>
      <c r="H316" s="1" t="s">
        <v>41</v>
      </c>
      <c r="I316" s="1" t="s">
        <v>97</v>
      </c>
      <c r="J316">
        <v>6</v>
      </c>
      <c r="K316">
        <v>18.989999999999998</v>
      </c>
      <c r="L316" s="1" t="s">
        <v>60</v>
      </c>
      <c r="M316" s="1" t="s">
        <v>43</v>
      </c>
      <c r="N316" s="1" t="s">
        <v>44</v>
      </c>
      <c r="O316" s="1" t="s">
        <v>31</v>
      </c>
      <c r="P316" s="2">
        <v>45823</v>
      </c>
      <c r="Q316" s="1" t="s">
        <v>420</v>
      </c>
      <c r="R316" s="1" t="s">
        <v>423</v>
      </c>
      <c r="S316" s="1" t="s">
        <v>105</v>
      </c>
      <c r="T316" s="1" t="s">
        <v>35</v>
      </c>
      <c r="U316" s="1" t="s">
        <v>82</v>
      </c>
      <c r="V316" s="1" t="s">
        <v>100</v>
      </c>
      <c r="W316">
        <v>3.2</v>
      </c>
      <c r="X316" s="1" t="str">
        <f t="shared" si="12"/>
        <v>natalia.sanchez78@mail.com</v>
      </c>
      <c r="Y316" s="1" t="str">
        <f>INDEX(V:V,MATCH(orders_desnormalizado_prueba3[[#This Row],[acquisition_channel]],U:U,0))</f>
        <v>Bodega Propia CO - envio 2-3 dias</v>
      </c>
      <c r="Z316" s="1" t="str">
        <f>INDEX(T:T,MATCH(orders_desnormalizado_prueba3[[#This Row],[shipping_cost]],W:W,0))</f>
        <v>Colombia</v>
      </c>
      <c r="AA316" s="1" t="str">
        <f t="shared" si="13"/>
        <v>Bogota</v>
      </c>
      <c r="AB316" s="1"/>
      <c r="AC316" s="1" t="str">
        <f t="shared" si="14"/>
        <v xml:space="preserve"> </v>
      </c>
    </row>
    <row r="317" spans="1:29" x14ac:dyDescent="0.3">
      <c r="A317" s="1" t="s">
        <v>713</v>
      </c>
      <c r="B317">
        <v>1</v>
      </c>
      <c r="C317">
        <v>18.989999999999998</v>
      </c>
      <c r="D317">
        <v>18.989999999999998</v>
      </c>
      <c r="E317" s="1" t="s">
        <v>445</v>
      </c>
      <c r="F317" s="1" t="s">
        <v>40</v>
      </c>
      <c r="G317">
        <v>15</v>
      </c>
      <c r="H317" s="1" t="s">
        <v>96</v>
      </c>
      <c r="I317" s="1" t="s">
        <v>97</v>
      </c>
      <c r="J317">
        <v>6</v>
      </c>
      <c r="K317">
        <v>18.989999999999998</v>
      </c>
      <c r="L317" s="1" t="s">
        <v>60</v>
      </c>
      <c r="M317" s="1" t="s">
        <v>43</v>
      </c>
      <c r="N317" s="1" t="s">
        <v>44</v>
      </c>
      <c r="O317" s="1" t="s">
        <v>31</v>
      </c>
      <c r="P317" s="2">
        <v>45823</v>
      </c>
      <c r="Q317" s="1" t="s">
        <v>161</v>
      </c>
      <c r="R317" s="1" t="s">
        <v>500</v>
      </c>
      <c r="S317" s="1" t="s">
        <v>65</v>
      </c>
      <c r="T317" s="1" t="s">
        <v>35</v>
      </c>
      <c r="U317" s="1" t="s">
        <v>55</v>
      </c>
      <c r="V317" s="1" t="s">
        <v>100</v>
      </c>
      <c r="W317">
        <v>3.2</v>
      </c>
      <c r="X317" s="1" t="str">
        <f t="shared" si="12"/>
        <v>miguel.vargas74@mail.com</v>
      </c>
      <c r="Y317" s="1" t="str">
        <f>INDEX(V:V,MATCH(orders_desnormalizado_prueba3[[#This Row],[acquisition_channel]],U:U,0))</f>
        <v>Bodega Propia CO - envio 2-3 dias</v>
      </c>
      <c r="Z317" s="1" t="str">
        <f>INDEX(T:T,MATCH(orders_desnormalizado_prueba3[[#This Row],[shipping_cost]],W:W,0))</f>
        <v>Colombia</v>
      </c>
      <c r="AA317" s="1" t="str">
        <f t="shared" si="13"/>
        <v>Barranquilla</v>
      </c>
      <c r="AB317" s="1"/>
      <c r="AC317" s="1" t="str">
        <f t="shared" si="14"/>
        <v xml:space="preserve"> </v>
      </c>
    </row>
    <row r="318" spans="1:29" x14ac:dyDescent="0.3">
      <c r="A318" s="1" t="s">
        <v>714</v>
      </c>
      <c r="B318">
        <v>1</v>
      </c>
      <c r="C318">
        <v>18.989999999999998</v>
      </c>
      <c r="D318">
        <v>18.989999999999998</v>
      </c>
      <c r="E318" s="1" t="s">
        <v>84</v>
      </c>
      <c r="F318" s="1" t="s">
        <v>40</v>
      </c>
      <c r="G318">
        <v>10</v>
      </c>
      <c r="H318" s="1" t="s">
        <v>26</v>
      </c>
      <c r="I318" s="1" t="s">
        <v>97</v>
      </c>
      <c r="J318">
        <v>6</v>
      </c>
      <c r="K318">
        <v>18.989999999999998</v>
      </c>
      <c r="L318" s="1" t="s">
        <v>60</v>
      </c>
      <c r="M318" s="1" t="s">
        <v>43</v>
      </c>
      <c r="N318" s="1" t="s">
        <v>44</v>
      </c>
      <c r="O318" s="1" t="s">
        <v>31</v>
      </c>
      <c r="P318" s="2">
        <v>45823</v>
      </c>
      <c r="Q318" s="1" t="s">
        <v>466</v>
      </c>
      <c r="R318" s="1" t="s">
        <v>467</v>
      </c>
      <c r="S318" s="1" t="s">
        <v>65</v>
      </c>
      <c r="T318" s="1" t="s">
        <v>35</v>
      </c>
      <c r="U318" s="1" t="s">
        <v>36</v>
      </c>
      <c r="V318" s="1" t="s">
        <v>100</v>
      </c>
      <c r="W318">
        <v>3.2</v>
      </c>
      <c r="X318" s="1" t="str">
        <f t="shared" si="12"/>
        <v>valentina.gomez113@mail.com</v>
      </c>
      <c r="Y318" s="1" t="str">
        <f>INDEX(V:V,MATCH(orders_desnormalizado_prueba3[[#This Row],[acquisition_channel]],U:U,0))</f>
        <v>Bodega Propia CO - envio 2-3 dias</v>
      </c>
      <c r="Z318" s="1" t="str">
        <f>INDEX(T:T,MATCH(orders_desnormalizado_prueba3[[#This Row],[shipping_cost]],W:W,0))</f>
        <v>Colombia</v>
      </c>
      <c r="AA318" s="1" t="str">
        <f t="shared" si="13"/>
        <v>Bogota</v>
      </c>
      <c r="AB318" s="1"/>
      <c r="AC318" s="1" t="str">
        <f t="shared" si="14"/>
        <v xml:space="preserve"> </v>
      </c>
    </row>
    <row r="319" spans="1:29" x14ac:dyDescent="0.3">
      <c r="A319" s="1" t="s">
        <v>715</v>
      </c>
      <c r="B319">
        <v>1</v>
      </c>
      <c r="C319">
        <v>16.989999999999998</v>
      </c>
      <c r="D319">
        <v>16.989999999999998</v>
      </c>
      <c r="E319" s="1" t="s">
        <v>69</v>
      </c>
      <c r="F319" s="1" t="s">
        <v>40</v>
      </c>
      <c r="G319">
        <v>17</v>
      </c>
      <c r="H319" s="1" t="s">
        <v>96</v>
      </c>
      <c r="I319" s="1" t="s">
        <v>59</v>
      </c>
      <c r="J319">
        <v>5</v>
      </c>
      <c r="K319">
        <v>16.989999999999998</v>
      </c>
      <c r="L319" s="1" t="s">
        <v>60</v>
      </c>
      <c r="M319" s="1" t="s">
        <v>61</v>
      </c>
      <c r="N319" s="1" t="s">
        <v>62</v>
      </c>
      <c r="O319" s="1" t="s">
        <v>31</v>
      </c>
      <c r="P319" s="2">
        <v>45726</v>
      </c>
      <c r="Q319" s="1" t="s">
        <v>705</v>
      </c>
      <c r="R319" s="1" t="s">
        <v>706</v>
      </c>
      <c r="S319" s="1" t="s">
        <v>105</v>
      </c>
      <c r="T319" s="1" t="s">
        <v>35</v>
      </c>
      <c r="U319" s="1" t="s">
        <v>36</v>
      </c>
      <c r="V319" s="1" t="s">
        <v>67</v>
      </c>
      <c r="W319">
        <v>3</v>
      </c>
      <c r="X319" s="1" t="str">
        <f t="shared" si="12"/>
        <v>andres.diaz179@mail.com</v>
      </c>
      <c r="Y319" s="1" t="str">
        <f>INDEX(V:V,MATCH(orders_desnormalizado_prueba3[[#This Row],[acquisition_channel]],U:U,0))</f>
        <v>Bodega Propia CO - envio 2-3 dias</v>
      </c>
      <c r="Z319" s="1" t="str">
        <f>INDEX(T:T,MATCH(orders_desnormalizado_prueba3[[#This Row],[shipping_cost]],W:W,0))</f>
        <v>Colombia</v>
      </c>
      <c r="AA319" s="1" t="str">
        <f t="shared" si="13"/>
        <v>Barranquilla</v>
      </c>
      <c r="AB319" s="1"/>
      <c r="AC319" s="1" t="str">
        <f t="shared" si="14"/>
        <v xml:space="preserve"> </v>
      </c>
    </row>
    <row r="320" spans="1:29" x14ac:dyDescent="0.3">
      <c r="A320" s="1" t="s">
        <v>716</v>
      </c>
      <c r="B320">
        <v>1</v>
      </c>
      <c r="C320">
        <v>16.989999999999998</v>
      </c>
      <c r="D320">
        <v>16.989999999999998</v>
      </c>
      <c r="E320" s="1" t="s">
        <v>181</v>
      </c>
      <c r="F320" s="1" t="s">
        <v>25</v>
      </c>
      <c r="G320">
        <v>18</v>
      </c>
      <c r="H320" s="1" t="s">
        <v>41</v>
      </c>
      <c r="I320" s="1" t="s">
        <v>59</v>
      </c>
      <c r="J320">
        <v>5</v>
      </c>
      <c r="K320">
        <v>16.989999999999998</v>
      </c>
      <c r="L320" s="1" t="s">
        <v>60</v>
      </c>
      <c r="M320" s="1" t="s">
        <v>61</v>
      </c>
      <c r="N320" s="1" t="s">
        <v>62</v>
      </c>
      <c r="O320" s="1" t="s">
        <v>31</v>
      </c>
      <c r="P320" s="2">
        <v>45726</v>
      </c>
      <c r="Q320" s="1" t="s">
        <v>140</v>
      </c>
      <c r="R320" s="1" t="s">
        <v>383</v>
      </c>
      <c r="S320" s="1" t="s">
        <v>65</v>
      </c>
      <c r="T320" s="1" t="s">
        <v>35</v>
      </c>
      <c r="U320" s="1" t="s">
        <v>82</v>
      </c>
      <c r="V320" s="1" t="s">
        <v>67</v>
      </c>
      <c r="W320">
        <v>3</v>
      </c>
      <c r="X320" s="1" t="str">
        <f t="shared" si="12"/>
        <v>david.rodriguez33@mail.com</v>
      </c>
      <c r="Y320" s="1" t="str">
        <f>INDEX(V:V,MATCH(orders_desnormalizado_prueba3[[#This Row],[acquisition_channel]],U:U,0))</f>
        <v>Bodega Propia CO - envio 2-3 dias</v>
      </c>
      <c r="Z320" s="1" t="str">
        <f>INDEX(T:T,MATCH(orders_desnormalizado_prueba3[[#This Row],[shipping_cost]],W:W,0))</f>
        <v>Colombia</v>
      </c>
      <c r="AA320" s="1" t="str">
        <f t="shared" si="13"/>
        <v>Medellin</v>
      </c>
      <c r="AB320" s="1"/>
      <c r="AC320" s="1" t="str">
        <f t="shared" si="14"/>
        <v xml:space="preserve"> </v>
      </c>
    </row>
    <row r="321" spans="1:29" x14ac:dyDescent="0.3">
      <c r="A321" s="1" t="s">
        <v>717</v>
      </c>
      <c r="B321">
        <v>1</v>
      </c>
      <c r="C321">
        <v>34.99</v>
      </c>
      <c r="D321">
        <v>34.99</v>
      </c>
      <c r="E321" s="1" t="s">
        <v>160</v>
      </c>
      <c r="F321" s="1" t="s">
        <v>25</v>
      </c>
      <c r="G321">
        <v>6</v>
      </c>
      <c r="H321" s="1" t="s">
        <v>96</v>
      </c>
      <c r="I321" s="1" t="s">
        <v>85</v>
      </c>
      <c r="J321">
        <v>12.5</v>
      </c>
      <c r="K321">
        <v>34.99</v>
      </c>
      <c r="L321" s="1" t="s">
        <v>60</v>
      </c>
      <c r="M321" s="1" t="s">
        <v>29</v>
      </c>
      <c r="N321" s="1" t="s">
        <v>30</v>
      </c>
      <c r="O321" s="1" t="s">
        <v>31</v>
      </c>
      <c r="P321" s="2">
        <v>45778</v>
      </c>
      <c r="Q321" s="1" t="s">
        <v>308</v>
      </c>
      <c r="R321" s="1" t="s">
        <v>309</v>
      </c>
      <c r="S321" s="1" t="s">
        <v>47</v>
      </c>
      <c r="T321" s="1" t="s">
        <v>35</v>
      </c>
      <c r="U321" s="1" t="s">
        <v>82</v>
      </c>
      <c r="V321" s="1" t="s">
        <v>89</v>
      </c>
      <c r="W321">
        <v>2.4</v>
      </c>
      <c r="X321" s="1" t="str">
        <f t="shared" si="12"/>
        <v>valentina.vargas122@mail.com</v>
      </c>
      <c r="Y321" s="1" t="str">
        <f>INDEX(V:V,MATCH(orders_desnormalizado_prueba3[[#This Row],[acquisition_channel]],U:U,0))</f>
        <v>Bodega Propia CO - envio 2-3 dias</v>
      </c>
      <c r="Z321" s="1" t="str">
        <f>INDEX(T:T,MATCH(orders_desnormalizado_prueba3[[#This Row],[shipping_cost]],W:W,0))</f>
        <v>Colombia</v>
      </c>
      <c r="AA321" s="1" t="str">
        <f t="shared" si="13"/>
        <v>Medellin</v>
      </c>
      <c r="AB321" s="1"/>
      <c r="AC321" s="1" t="str">
        <f t="shared" si="14"/>
        <v xml:space="preserve"> </v>
      </c>
    </row>
    <row r="322" spans="1:29" x14ac:dyDescent="0.3">
      <c r="A322" s="1" t="s">
        <v>718</v>
      </c>
      <c r="B322">
        <v>2</v>
      </c>
      <c r="C322">
        <v>21.99</v>
      </c>
      <c r="D322">
        <v>38.130000000000003</v>
      </c>
      <c r="E322" s="1" t="s">
        <v>719</v>
      </c>
      <c r="F322" s="1" t="s">
        <v>40</v>
      </c>
      <c r="G322">
        <v>2</v>
      </c>
      <c r="H322" s="1" t="s">
        <v>26</v>
      </c>
      <c r="I322" s="1" t="s">
        <v>27</v>
      </c>
      <c r="J322">
        <v>7</v>
      </c>
      <c r="K322">
        <v>21.99</v>
      </c>
      <c r="L322" s="1" t="s">
        <v>28</v>
      </c>
      <c r="M322" s="1" t="s">
        <v>29</v>
      </c>
      <c r="N322" s="1" t="s">
        <v>30</v>
      </c>
      <c r="O322" s="1" t="s">
        <v>31</v>
      </c>
      <c r="P322" s="2">
        <v>45778</v>
      </c>
      <c r="Q322" s="1" t="s">
        <v>720</v>
      </c>
      <c r="R322" s="1" t="s">
        <v>721</v>
      </c>
      <c r="S322" s="1" t="s">
        <v>54</v>
      </c>
      <c r="T322" s="1" t="s">
        <v>35</v>
      </c>
      <c r="U322" s="1" t="s">
        <v>82</v>
      </c>
      <c r="V322" s="1" t="s">
        <v>37</v>
      </c>
      <c r="W322">
        <v>2</v>
      </c>
      <c r="X322" s="1" t="str">
        <f t="shared" ref="X322:X385" si="15">INDEX(R:R,MATCH(Q322,Q:Q,0))</f>
        <v>natalia.ortiz107@mail.com</v>
      </c>
      <c r="Y322" s="1" t="str">
        <f>INDEX(V:V,MATCH(orders_desnormalizado_prueba3[[#This Row],[acquisition_channel]],U:U,0))</f>
        <v>Bodega Propia CO - envio 2-3 dias</v>
      </c>
      <c r="Z322" s="1" t="str">
        <f>INDEX(T:T,MATCH(orders_desnormalizado_prueba3[[#This Row],[shipping_cost]],W:W,0))</f>
        <v>Colombia</v>
      </c>
      <c r="AA322" s="1" t="str">
        <f t="shared" ref="AA322:AA385" si="16">INDEX(S:S,MATCH(G322,G:G,0))</f>
        <v>Medellin</v>
      </c>
      <c r="AB322" s="1"/>
      <c r="AC322" s="1" t="str">
        <f t="shared" ref="AC322:AC385" si="17">IFERROR(INDEX($V:$V,MATCH(AB322,$R:$R,0)), " ")</f>
        <v xml:space="preserve"> </v>
      </c>
    </row>
    <row r="323" spans="1:29" x14ac:dyDescent="0.3">
      <c r="A323" s="1" t="s">
        <v>722</v>
      </c>
      <c r="B323">
        <v>3</v>
      </c>
      <c r="C323">
        <v>16.989999999999998</v>
      </c>
      <c r="D323">
        <v>40.049999999999997</v>
      </c>
      <c r="E323" s="1" t="s">
        <v>723</v>
      </c>
      <c r="F323" s="1" t="s">
        <v>40</v>
      </c>
      <c r="G323">
        <v>16</v>
      </c>
      <c r="H323" s="1" t="s">
        <v>41</v>
      </c>
      <c r="I323" s="1" t="s">
        <v>59</v>
      </c>
      <c r="J323">
        <v>5</v>
      </c>
      <c r="K323">
        <v>16.989999999999998</v>
      </c>
      <c r="L323" s="1" t="s">
        <v>60</v>
      </c>
      <c r="M323" s="1" t="s">
        <v>61</v>
      </c>
      <c r="N323" s="1" t="s">
        <v>62</v>
      </c>
      <c r="O323" s="1" t="s">
        <v>31</v>
      </c>
      <c r="P323" s="2">
        <v>45726</v>
      </c>
      <c r="Q323" s="1" t="s">
        <v>724</v>
      </c>
      <c r="R323" s="1" t="s">
        <v>725</v>
      </c>
      <c r="S323" s="1" t="s">
        <v>65</v>
      </c>
      <c r="T323" s="1" t="s">
        <v>35</v>
      </c>
      <c r="U323" s="1" t="s">
        <v>66</v>
      </c>
      <c r="V323" s="1" t="s">
        <v>67</v>
      </c>
      <c r="W323">
        <v>3</v>
      </c>
      <c r="X323" s="1" t="str">
        <f t="shared" si="15"/>
        <v>fernanda.lopez19@mail.com</v>
      </c>
      <c r="Y323" s="1" t="str">
        <f>INDEX(V:V,MATCH(orders_desnormalizado_prueba3[[#This Row],[acquisition_channel]],U:U,0))</f>
        <v>AliDropship CN - envio 15-20 dias</v>
      </c>
      <c r="Z323" s="1" t="str">
        <f>INDEX(T:T,MATCH(orders_desnormalizado_prueba3[[#This Row],[shipping_cost]],W:W,0))</f>
        <v>Colombia</v>
      </c>
      <c r="AA323" s="1" t="str">
        <f t="shared" si="16"/>
        <v>Bogota</v>
      </c>
      <c r="AB323" s="1"/>
      <c r="AC323" s="1" t="str">
        <f t="shared" si="17"/>
        <v xml:space="preserve"> </v>
      </c>
    </row>
    <row r="324" spans="1:29" x14ac:dyDescent="0.3">
      <c r="A324" s="1" t="s">
        <v>726</v>
      </c>
      <c r="B324">
        <v>1</v>
      </c>
      <c r="C324">
        <v>21.99</v>
      </c>
      <c r="D324">
        <v>21.99</v>
      </c>
      <c r="E324" s="1" t="s">
        <v>727</v>
      </c>
      <c r="F324" s="1" t="s">
        <v>40</v>
      </c>
      <c r="G324">
        <v>3</v>
      </c>
      <c r="H324" s="1" t="s">
        <v>96</v>
      </c>
      <c r="I324" s="1" t="s">
        <v>27</v>
      </c>
      <c r="J324">
        <v>7</v>
      </c>
      <c r="K324">
        <v>21.99</v>
      </c>
      <c r="L324" s="1" t="s">
        <v>28</v>
      </c>
      <c r="M324" s="1" t="s">
        <v>29</v>
      </c>
      <c r="N324" s="1" t="s">
        <v>30</v>
      </c>
      <c r="O324" s="1" t="s">
        <v>31</v>
      </c>
      <c r="P324" s="2">
        <v>45778</v>
      </c>
      <c r="Q324" s="1" t="s">
        <v>728</v>
      </c>
      <c r="R324" s="1" t="s">
        <v>729</v>
      </c>
      <c r="S324" s="1" t="s">
        <v>88</v>
      </c>
      <c r="T324" s="1" t="s">
        <v>35</v>
      </c>
      <c r="U324" s="1" t="s">
        <v>55</v>
      </c>
      <c r="V324" s="1" t="s">
        <v>37</v>
      </c>
      <c r="W324">
        <v>2</v>
      </c>
      <c r="X324" s="1" t="str">
        <f t="shared" si="15"/>
        <v>sebastian.gomez15@mail.com</v>
      </c>
      <c r="Y324" s="1" t="str">
        <f>INDEX(V:V,MATCH(orders_desnormalizado_prueba3[[#This Row],[acquisition_channel]],U:U,0))</f>
        <v>Bodega Propia CO - envio 2-3 dias</v>
      </c>
      <c r="Z324" s="1" t="str">
        <f>INDEX(T:T,MATCH(orders_desnormalizado_prueba3[[#This Row],[shipping_cost]],W:W,0))</f>
        <v>Colombia</v>
      </c>
      <c r="AA324" s="1" t="str">
        <f t="shared" si="16"/>
        <v>Barranquilla</v>
      </c>
      <c r="AB324" s="1"/>
      <c r="AC324" s="1" t="str">
        <f t="shared" si="17"/>
        <v xml:space="preserve"> </v>
      </c>
    </row>
    <row r="325" spans="1:29" x14ac:dyDescent="0.3">
      <c r="A325" s="1" t="s">
        <v>730</v>
      </c>
      <c r="B325">
        <v>2</v>
      </c>
      <c r="C325">
        <v>27.99</v>
      </c>
      <c r="D325">
        <v>48.81</v>
      </c>
      <c r="E325" s="1" t="s">
        <v>731</v>
      </c>
      <c r="F325" s="1" t="s">
        <v>40</v>
      </c>
      <c r="G325">
        <v>2</v>
      </c>
      <c r="H325" s="1" t="s">
        <v>26</v>
      </c>
      <c r="I325" s="1" t="s">
        <v>75</v>
      </c>
      <c r="J325">
        <v>9</v>
      </c>
      <c r="K325">
        <v>27.99</v>
      </c>
      <c r="L325" s="1" t="s">
        <v>28</v>
      </c>
      <c r="M325" s="1" t="s">
        <v>61</v>
      </c>
      <c r="N325" s="1" t="s">
        <v>62</v>
      </c>
      <c r="O325" s="1" t="s">
        <v>31</v>
      </c>
      <c r="P325" s="2">
        <v>45726</v>
      </c>
      <c r="Q325" s="1" t="s">
        <v>732</v>
      </c>
      <c r="R325" s="1" t="s">
        <v>733</v>
      </c>
      <c r="S325" s="1" t="s">
        <v>65</v>
      </c>
      <c r="T325" s="1" t="s">
        <v>35</v>
      </c>
      <c r="U325" s="1" t="s">
        <v>48</v>
      </c>
      <c r="V325" s="1" t="s">
        <v>37</v>
      </c>
      <c r="W325">
        <v>2</v>
      </c>
      <c r="X325" s="1" t="str">
        <f t="shared" si="15"/>
        <v>ximena.martinez177@mail.com</v>
      </c>
      <c r="Y325" s="1" t="str">
        <f>INDEX(V:V,MATCH(orders_desnormalizado_prueba3[[#This Row],[acquisition_channel]],U:U,0))</f>
        <v>Bodega Propia CO - envio 2-3 dias</v>
      </c>
      <c r="Z325" s="1" t="str">
        <f>INDEX(T:T,MATCH(orders_desnormalizado_prueba3[[#This Row],[shipping_cost]],W:W,0))</f>
        <v>Colombia</v>
      </c>
      <c r="AA325" s="1" t="str">
        <f t="shared" si="16"/>
        <v>Medellin</v>
      </c>
      <c r="AB325" s="1"/>
      <c r="AC325" s="1" t="str">
        <f t="shared" si="17"/>
        <v xml:space="preserve"> </v>
      </c>
    </row>
    <row r="326" spans="1:29" x14ac:dyDescent="0.3">
      <c r="A326" s="1" t="s">
        <v>734</v>
      </c>
      <c r="B326">
        <v>1</v>
      </c>
      <c r="C326">
        <v>30.99</v>
      </c>
      <c r="D326">
        <v>30.99</v>
      </c>
      <c r="E326" s="1" t="s">
        <v>735</v>
      </c>
      <c r="F326" s="1" t="s">
        <v>25</v>
      </c>
      <c r="G326">
        <v>2</v>
      </c>
      <c r="H326" s="1" t="s">
        <v>58</v>
      </c>
      <c r="I326" s="1" t="s">
        <v>42</v>
      </c>
      <c r="J326">
        <v>10.5</v>
      </c>
      <c r="K326">
        <v>30.99</v>
      </c>
      <c r="L326" s="1" t="s">
        <v>28</v>
      </c>
      <c r="M326" s="1" t="s">
        <v>43</v>
      </c>
      <c r="N326" s="1" t="s">
        <v>44</v>
      </c>
      <c r="O326" s="1" t="s">
        <v>31</v>
      </c>
      <c r="P326" s="2">
        <v>45823</v>
      </c>
      <c r="Q326" s="1" t="s">
        <v>63</v>
      </c>
      <c r="R326" s="1" t="s">
        <v>736</v>
      </c>
      <c r="S326" s="1" t="s">
        <v>47</v>
      </c>
      <c r="T326" s="1" t="s">
        <v>35</v>
      </c>
      <c r="U326" s="1" t="s">
        <v>66</v>
      </c>
      <c r="V326" s="1" t="s">
        <v>37</v>
      </c>
      <c r="W326">
        <v>2</v>
      </c>
      <c r="X326" s="1" t="str">
        <f t="shared" si="15"/>
        <v>laura.rodriguez85@mail.com</v>
      </c>
      <c r="Y326" s="1" t="str">
        <f>INDEX(V:V,MATCH(orders_desnormalizado_prueba3[[#This Row],[acquisition_channel]],U:U,0))</f>
        <v>AliDropship CN - envio 15-20 dias</v>
      </c>
      <c r="Z326" s="1" t="str">
        <f>INDEX(T:T,MATCH(orders_desnormalizado_prueba3[[#This Row],[shipping_cost]],W:W,0))</f>
        <v>Colombia</v>
      </c>
      <c r="AA326" s="1" t="str">
        <f t="shared" si="16"/>
        <v>Medellin</v>
      </c>
      <c r="AB326" s="1"/>
      <c r="AC326" s="1" t="str">
        <f t="shared" si="17"/>
        <v xml:space="preserve"> </v>
      </c>
    </row>
    <row r="327" spans="1:29" x14ac:dyDescent="0.3">
      <c r="A327" s="1" t="s">
        <v>737</v>
      </c>
      <c r="B327">
        <v>1</v>
      </c>
      <c r="C327">
        <v>18.989999999999998</v>
      </c>
      <c r="D327">
        <v>18.989999999999998</v>
      </c>
      <c r="E327" s="1" t="s">
        <v>246</v>
      </c>
      <c r="F327" s="1" t="s">
        <v>188</v>
      </c>
      <c r="G327">
        <v>0</v>
      </c>
      <c r="H327" s="1" t="s">
        <v>58</v>
      </c>
      <c r="I327" s="1" t="s">
        <v>97</v>
      </c>
      <c r="J327">
        <v>6</v>
      </c>
      <c r="K327">
        <v>18.989999999999998</v>
      </c>
      <c r="L327" s="1" t="s">
        <v>60</v>
      </c>
      <c r="M327" s="1" t="s">
        <v>43</v>
      </c>
      <c r="N327" s="1" t="s">
        <v>44</v>
      </c>
      <c r="O327" s="1" t="s">
        <v>31</v>
      </c>
      <c r="P327" s="2">
        <v>45823</v>
      </c>
      <c r="Q327" s="1" t="s">
        <v>738</v>
      </c>
      <c r="R327" s="1" t="s">
        <v>739</v>
      </c>
      <c r="S327" s="1" t="s">
        <v>34</v>
      </c>
      <c r="T327" s="1" t="s">
        <v>35</v>
      </c>
      <c r="U327" s="1" t="s">
        <v>82</v>
      </c>
      <c r="V327" s="1" t="s">
        <v>100</v>
      </c>
      <c r="W327">
        <v>3.2</v>
      </c>
      <c r="X327" s="1" t="str">
        <f t="shared" si="15"/>
        <v>esteban.moreno150@mail.com</v>
      </c>
      <c r="Y327" s="1" t="str">
        <f>INDEX(V:V,MATCH(orders_desnormalizado_prueba3[[#This Row],[acquisition_channel]],U:U,0))</f>
        <v>Bodega Propia CO - envio 2-3 dias</v>
      </c>
      <c r="Z327" s="1" t="str">
        <f>INDEX(T:T,MATCH(orders_desnormalizado_prueba3[[#This Row],[shipping_cost]],W:W,0))</f>
        <v>Colombia</v>
      </c>
      <c r="AA327" s="1" t="str">
        <f t="shared" si="16"/>
        <v>Cartagena</v>
      </c>
      <c r="AB327" s="1"/>
      <c r="AC327" s="1" t="str">
        <f t="shared" si="17"/>
        <v xml:space="preserve"> </v>
      </c>
    </row>
    <row r="328" spans="1:29" x14ac:dyDescent="0.3">
      <c r="A328" s="1" t="s">
        <v>740</v>
      </c>
      <c r="B328">
        <v>3</v>
      </c>
      <c r="C328">
        <v>27.99</v>
      </c>
      <c r="D328">
        <v>66.599999999999994</v>
      </c>
      <c r="E328" s="1" t="s">
        <v>651</v>
      </c>
      <c r="F328" s="1" t="s">
        <v>51</v>
      </c>
      <c r="G328">
        <v>0</v>
      </c>
      <c r="H328" s="1" t="s">
        <v>96</v>
      </c>
      <c r="I328" s="1" t="s">
        <v>75</v>
      </c>
      <c r="J328">
        <v>9</v>
      </c>
      <c r="K328">
        <v>27.99</v>
      </c>
      <c r="L328" s="1" t="s">
        <v>28</v>
      </c>
      <c r="M328" s="1" t="s">
        <v>61</v>
      </c>
      <c r="N328" s="1" t="s">
        <v>62</v>
      </c>
      <c r="O328" s="1" t="s">
        <v>31</v>
      </c>
      <c r="P328" s="2">
        <v>45726</v>
      </c>
      <c r="Q328" s="1" t="s">
        <v>741</v>
      </c>
      <c r="R328" s="1" t="s">
        <v>742</v>
      </c>
      <c r="S328" s="1" t="s">
        <v>47</v>
      </c>
      <c r="T328" s="1" t="s">
        <v>35</v>
      </c>
      <c r="U328" s="1" t="s">
        <v>48</v>
      </c>
      <c r="V328" s="1" t="s">
        <v>37</v>
      </c>
      <c r="W328">
        <v>2</v>
      </c>
      <c r="X328" s="1" t="str">
        <f t="shared" si="15"/>
        <v>maria.hernandez83@mail.com</v>
      </c>
      <c r="Y328" s="1" t="str">
        <f>INDEX(V:V,MATCH(orders_desnormalizado_prueba3[[#This Row],[acquisition_channel]],U:U,0))</f>
        <v>Bodega Propia CO - envio 2-3 dias</v>
      </c>
      <c r="Z328" s="1" t="str">
        <f>INDEX(T:T,MATCH(orders_desnormalizado_prueba3[[#This Row],[shipping_cost]],W:W,0))</f>
        <v>Colombia</v>
      </c>
      <c r="AA328" s="1" t="str">
        <f t="shared" si="16"/>
        <v>Cartagena</v>
      </c>
      <c r="AB328" s="1"/>
      <c r="AC328" s="1" t="str">
        <f t="shared" si="17"/>
        <v xml:space="preserve"> </v>
      </c>
    </row>
    <row r="329" spans="1:29" x14ac:dyDescent="0.3">
      <c r="A329" s="1" t="s">
        <v>743</v>
      </c>
      <c r="B329">
        <v>3</v>
      </c>
      <c r="C329">
        <v>16.989999999999998</v>
      </c>
      <c r="D329">
        <v>40.950000000000003</v>
      </c>
      <c r="E329" s="1" t="s">
        <v>744</v>
      </c>
      <c r="F329" s="1" t="s">
        <v>40</v>
      </c>
      <c r="G329">
        <v>15</v>
      </c>
      <c r="H329" s="1" t="s">
        <v>58</v>
      </c>
      <c r="I329" s="1" t="s">
        <v>59</v>
      </c>
      <c r="J329">
        <v>5</v>
      </c>
      <c r="K329">
        <v>16.989999999999998</v>
      </c>
      <c r="L329" s="1" t="s">
        <v>60</v>
      </c>
      <c r="M329" s="1" t="s">
        <v>61</v>
      </c>
      <c r="N329" s="1" t="s">
        <v>62</v>
      </c>
      <c r="O329" s="1" t="s">
        <v>31</v>
      </c>
      <c r="P329" s="2">
        <v>45726</v>
      </c>
      <c r="Q329" s="1" t="s">
        <v>745</v>
      </c>
      <c r="R329" s="1" t="s">
        <v>746</v>
      </c>
      <c r="S329" s="1" t="s">
        <v>105</v>
      </c>
      <c r="T329" s="1" t="s">
        <v>35</v>
      </c>
      <c r="U329" s="1" t="s">
        <v>48</v>
      </c>
      <c r="V329" s="1" t="s">
        <v>67</v>
      </c>
      <c r="W329">
        <v>3</v>
      </c>
      <c r="X329" s="1" t="str">
        <f t="shared" si="15"/>
        <v>david.jimenez192@mail.com</v>
      </c>
      <c r="Y329" s="1" t="str">
        <f>INDEX(V:V,MATCH(orders_desnormalizado_prueba3[[#This Row],[acquisition_channel]],U:U,0))</f>
        <v>Bodega Propia CO - envio 2-3 dias</v>
      </c>
      <c r="Z329" s="1" t="str">
        <f>INDEX(T:T,MATCH(orders_desnormalizado_prueba3[[#This Row],[shipping_cost]],W:W,0))</f>
        <v>Colombia</v>
      </c>
      <c r="AA329" s="1" t="str">
        <f t="shared" si="16"/>
        <v>Barranquilla</v>
      </c>
      <c r="AB329" s="1"/>
      <c r="AC329" s="1" t="str">
        <f t="shared" si="17"/>
        <v xml:space="preserve"> </v>
      </c>
    </row>
    <row r="330" spans="1:29" x14ac:dyDescent="0.3">
      <c r="A330" s="1" t="s">
        <v>747</v>
      </c>
      <c r="B330">
        <v>1</v>
      </c>
      <c r="C330">
        <v>34.99</v>
      </c>
      <c r="D330">
        <v>34.99</v>
      </c>
      <c r="E330" s="1" t="s">
        <v>338</v>
      </c>
      <c r="F330" s="1" t="s">
        <v>70</v>
      </c>
      <c r="G330">
        <v>0</v>
      </c>
      <c r="H330" s="1" t="s">
        <v>96</v>
      </c>
      <c r="I330" s="1" t="s">
        <v>85</v>
      </c>
      <c r="J330">
        <v>12.5</v>
      </c>
      <c r="K330">
        <v>34.99</v>
      </c>
      <c r="L330" s="1" t="s">
        <v>60</v>
      </c>
      <c r="M330" s="1" t="s">
        <v>29</v>
      </c>
      <c r="N330" s="1" t="s">
        <v>30</v>
      </c>
      <c r="O330" s="1" t="s">
        <v>31</v>
      </c>
      <c r="P330" s="2">
        <v>45778</v>
      </c>
      <c r="Q330" s="1" t="s">
        <v>748</v>
      </c>
      <c r="R330" s="1" t="s">
        <v>749</v>
      </c>
      <c r="S330" s="1" t="s">
        <v>88</v>
      </c>
      <c r="T330" s="1" t="s">
        <v>35</v>
      </c>
      <c r="U330" s="1" t="s">
        <v>48</v>
      </c>
      <c r="V330" s="1" t="s">
        <v>89</v>
      </c>
      <c r="W330">
        <v>2.4</v>
      </c>
      <c r="X330" s="1" t="str">
        <f t="shared" si="15"/>
        <v>manuela.gomez88@mail.com</v>
      </c>
      <c r="Y330" s="1" t="str">
        <f>INDEX(V:V,MATCH(orders_desnormalizado_prueba3[[#This Row],[acquisition_channel]],U:U,0))</f>
        <v>Bodega Propia CO - envio 2-3 dias</v>
      </c>
      <c r="Z330" s="1" t="str">
        <f>INDEX(T:T,MATCH(orders_desnormalizado_prueba3[[#This Row],[shipping_cost]],W:W,0))</f>
        <v>Colombia</v>
      </c>
      <c r="AA330" s="1" t="str">
        <f t="shared" si="16"/>
        <v>Cartagena</v>
      </c>
      <c r="AB330" s="1"/>
      <c r="AC330" s="1" t="str">
        <f t="shared" si="17"/>
        <v xml:space="preserve"> </v>
      </c>
    </row>
    <row r="331" spans="1:29" x14ac:dyDescent="0.3">
      <c r="A331" s="1" t="s">
        <v>750</v>
      </c>
      <c r="B331">
        <v>3</v>
      </c>
      <c r="C331">
        <v>30.99</v>
      </c>
      <c r="D331">
        <v>74.900000000000006</v>
      </c>
      <c r="E331" s="1" t="s">
        <v>246</v>
      </c>
      <c r="F331" s="1" t="s">
        <v>40</v>
      </c>
      <c r="G331">
        <v>3</v>
      </c>
      <c r="H331" s="1" t="s">
        <v>96</v>
      </c>
      <c r="I331" s="1" t="s">
        <v>42</v>
      </c>
      <c r="J331">
        <v>10.5</v>
      </c>
      <c r="K331">
        <v>30.99</v>
      </c>
      <c r="L331" s="1" t="s">
        <v>28</v>
      </c>
      <c r="M331" s="1" t="s">
        <v>43</v>
      </c>
      <c r="N331" s="1" t="s">
        <v>44</v>
      </c>
      <c r="O331" s="1" t="s">
        <v>31</v>
      </c>
      <c r="P331" s="2">
        <v>45823</v>
      </c>
      <c r="Q331" s="1" t="s">
        <v>118</v>
      </c>
      <c r="R331" s="1" t="s">
        <v>751</v>
      </c>
      <c r="S331" s="1" t="s">
        <v>65</v>
      </c>
      <c r="T331" s="1" t="s">
        <v>35</v>
      </c>
      <c r="U331" s="1" t="s">
        <v>82</v>
      </c>
      <c r="V331" s="1" t="s">
        <v>37</v>
      </c>
      <c r="W331">
        <v>2</v>
      </c>
      <c r="X331" s="1" t="str">
        <f t="shared" si="15"/>
        <v>camila.torres36@mail.com</v>
      </c>
      <c r="Y331" s="1" t="str">
        <f>INDEX(V:V,MATCH(orders_desnormalizado_prueba3[[#This Row],[acquisition_channel]],U:U,0))</f>
        <v>Bodega Propia CO - envio 2-3 dias</v>
      </c>
      <c r="Z331" s="1" t="str">
        <f>INDEX(T:T,MATCH(orders_desnormalizado_prueba3[[#This Row],[shipping_cost]],W:W,0))</f>
        <v>Colombia</v>
      </c>
      <c r="AA331" s="1" t="str">
        <f t="shared" si="16"/>
        <v>Barranquilla</v>
      </c>
      <c r="AB331" s="1"/>
      <c r="AC331" s="1" t="str">
        <f t="shared" si="17"/>
        <v xml:space="preserve"> </v>
      </c>
    </row>
    <row r="332" spans="1:29" x14ac:dyDescent="0.3">
      <c r="A332" s="1" t="s">
        <v>752</v>
      </c>
      <c r="B332">
        <v>1</v>
      </c>
      <c r="C332">
        <v>18.989999999999998</v>
      </c>
      <c r="D332">
        <v>18.989999999999998</v>
      </c>
      <c r="E332" s="1" t="s">
        <v>753</v>
      </c>
      <c r="F332" s="1" t="s">
        <v>40</v>
      </c>
      <c r="G332">
        <v>11</v>
      </c>
      <c r="H332" s="1" t="s">
        <v>26</v>
      </c>
      <c r="I332" s="1" t="s">
        <v>97</v>
      </c>
      <c r="J332">
        <v>6</v>
      </c>
      <c r="K332">
        <v>18.989999999999998</v>
      </c>
      <c r="L332" s="1" t="s">
        <v>60</v>
      </c>
      <c r="M332" s="1" t="s">
        <v>43</v>
      </c>
      <c r="N332" s="1" t="s">
        <v>44</v>
      </c>
      <c r="O332" s="1" t="s">
        <v>31</v>
      </c>
      <c r="P332" s="2">
        <v>45823</v>
      </c>
      <c r="Q332" s="1" t="s">
        <v>182</v>
      </c>
      <c r="R332" s="1" t="s">
        <v>754</v>
      </c>
      <c r="S332" s="1" t="s">
        <v>65</v>
      </c>
      <c r="T332" s="1" t="s">
        <v>35</v>
      </c>
      <c r="U332" s="1" t="s">
        <v>36</v>
      </c>
      <c r="V332" s="1" t="s">
        <v>100</v>
      </c>
      <c r="W332">
        <v>3.2</v>
      </c>
      <c r="X332" s="1" t="str">
        <f t="shared" si="15"/>
        <v>daniela.gomez75@mail.com</v>
      </c>
      <c r="Y332" s="1" t="str">
        <f>INDEX(V:V,MATCH(orders_desnormalizado_prueba3[[#This Row],[acquisition_channel]],U:U,0))</f>
        <v>Bodega Propia CO - envio 2-3 dias</v>
      </c>
      <c r="Z332" s="1" t="str">
        <f>INDEX(T:T,MATCH(orders_desnormalizado_prueba3[[#This Row],[shipping_cost]],W:W,0))</f>
        <v>Colombia</v>
      </c>
      <c r="AA332" s="1" t="str">
        <f t="shared" si="16"/>
        <v>Cali</v>
      </c>
      <c r="AB332" s="1"/>
      <c r="AC332" s="1" t="str">
        <f t="shared" si="17"/>
        <v xml:space="preserve"> </v>
      </c>
    </row>
    <row r="333" spans="1:29" x14ac:dyDescent="0.3">
      <c r="A333" s="1" t="s">
        <v>755</v>
      </c>
      <c r="B333">
        <v>3</v>
      </c>
      <c r="C333">
        <v>30.99</v>
      </c>
      <c r="D333">
        <v>73.91</v>
      </c>
      <c r="E333" s="1" t="s">
        <v>756</v>
      </c>
      <c r="F333" s="1" t="s">
        <v>40</v>
      </c>
      <c r="G333">
        <v>8</v>
      </c>
      <c r="H333" s="1" t="s">
        <v>41</v>
      </c>
      <c r="I333" s="1" t="s">
        <v>42</v>
      </c>
      <c r="J333">
        <v>10.5</v>
      </c>
      <c r="K333">
        <v>30.99</v>
      </c>
      <c r="L333" s="1" t="s">
        <v>28</v>
      </c>
      <c r="M333" s="1" t="s">
        <v>43</v>
      </c>
      <c r="N333" s="1" t="s">
        <v>44</v>
      </c>
      <c r="O333" s="1" t="s">
        <v>31</v>
      </c>
      <c r="P333" s="2">
        <v>45823</v>
      </c>
      <c r="Q333" s="1" t="s">
        <v>147</v>
      </c>
      <c r="R333" s="1" t="s">
        <v>757</v>
      </c>
      <c r="S333" s="1" t="s">
        <v>47</v>
      </c>
      <c r="T333" s="1" t="s">
        <v>35</v>
      </c>
      <c r="U333" s="1" t="s">
        <v>48</v>
      </c>
      <c r="V333" s="1" t="s">
        <v>37</v>
      </c>
      <c r="W333">
        <v>2</v>
      </c>
      <c r="X333" s="1" t="str">
        <f t="shared" si="15"/>
        <v>natalia.castro19@mail.com</v>
      </c>
      <c r="Y333" s="1" t="str">
        <f>INDEX(V:V,MATCH(orders_desnormalizado_prueba3[[#This Row],[acquisition_channel]],U:U,0))</f>
        <v>Bodega Propia CO - envio 2-3 dias</v>
      </c>
      <c r="Z333" s="1" t="str">
        <f>INDEX(T:T,MATCH(orders_desnormalizado_prueba3[[#This Row],[shipping_cost]],W:W,0))</f>
        <v>Colombia</v>
      </c>
      <c r="AA333" s="1" t="str">
        <f t="shared" si="16"/>
        <v>Barranquilla</v>
      </c>
      <c r="AB333" s="1"/>
      <c r="AC333" s="1" t="str">
        <f t="shared" si="17"/>
        <v xml:space="preserve"> </v>
      </c>
    </row>
    <row r="334" spans="1:29" x14ac:dyDescent="0.3">
      <c r="A334" s="1" t="s">
        <v>758</v>
      </c>
      <c r="B334">
        <v>1</v>
      </c>
      <c r="C334">
        <v>21.99</v>
      </c>
      <c r="D334">
        <v>21.99</v>
      </c>
      <c r="E334" s="1" t="s">
        <v>759</v>
      </c>
      <c r="F334" s="1" t="s">
        <v>51</v>
      </c>
      <c r="G334">
        <v>0</v>
      </c>
      <c r="H334" s="1" t="s">
        <v>58</v>
      </c>
      <c r="I334" s="1" t="s">
        <v>27</v>
      </c>
      <c r="J334">
        <v>7</v>
      </c>
      <c r="K334">
        <v>21.99</v>
      </c>
      <c r="L334" s="1" t="s">
        <v>28</v>
      </c>
      <c r="M334" s="1" t="s">
        <v>29</v>
      </c>
      <c r="N334" s="1" t="s">
        <v>30</v>
      </c>
      <c r="O334" s="1" t="s">
        <v>31</v>
      </c>
      <c r="P334" s="2">
        <v>45778</v>
      </c>
      <c r="Q334" s="1" t="s">
        <v>760</v>
      </c>
      <c r="R334" s="1" t="s">
        <v>761</v>
      </c>
      <c r="S334" s="1" t="s">
        <v>65</v>
      </c>
      <c r="T334" s="1" t="s">
        <v>35</v>
      </c>
      <c r="U334" s="1" t="s">
        <v>36</v>
      </c>
      <c r="V334" s="1" t="s">
        <v>37</v>
      </c>
      <c r="W334">
        <v>2</v>
      </c>
      <c r="X334" s="1" t="str">
        <f t="shared" si="15"/>
        <v>alejandro.gomez26@mail.com</v>
      </c>
      <c r="Y334" s="1" t="str">
        <f>INDEX(V:V,MATCH(orders_desnormalizado_prueba3[[#This Row],[acquisition_channel]],U:U,0))</f>
        <v>Bodega Propia CO - envio 2-3 dias</v>
      </c>
      <c r="Z334" s="1" t="str">
        <f>INDEX(T:T,MATCH(orders_desnormalizado_prueba3[[#This Row],[shipping_cost]],W:W,0))</f>
        <v>Colombia</v>
      </c>
      <c r="AA334" s="1" t="str">
        <f t="shared" si="16"/>
        <v>Cartagena</v>
      </c>
      <c r="AB334" s="1"/>
      <c r="AC334" s="1" t="str">
        <f t="shared" si="17"/>
        <v xml:space="preserve"> </v>
      </c>
    </row>
    <row r="335" spans="1:29" x14ac:dyDescent="0.3">
      <c r="A335" s="1" t="s">
        <v>762</v>
      </c>
      <c r="B335">
        <v>2</v>
      </c>
      <c r="C335">
        <v>21.99</v>
      </c>
      <c r="D335">
        <v>37.68</v>
      </c>
      <c r="E335" s="1" t="s">
        <v>763</v>
      </c>
      <c r="F335" s="1" t="s">
        <v>40</v>
      </c>
      <c r="G335">
        <v>3</v>
      </c>
      <c r="H335" s="1" t="s">
        <v>96</v>
      </c>
      <c r="I335" s="1" t="s">
        <v>27</v>
      </c>
      <c r="J335">
        <v>7</v>
      </c>
      <c r="K335">
        <v>21.99</v>
      </c>
      <c r="L335" s="1" t="s">
        <v>28</v>
      </c>
      <c r="M335" s="1" t="s">
        <v>29</v>
      </c>
      <c r="N335" s="1" t="s">
        <v>30</v>
      </c>
      <c r="O335" s="1" t="s">
        <v>31</v>
      </c>
      <c r="P335" s="2">
        <v>45778</v>
      </c>
      <c r="Q335" s="1" t="s">
        <v>266</v>
      </c>
      <c r="R335" s="1" t="s">
        <v>764</v>
      </c>
      <c r="S335" s="1" t="s">
        <v>105</v>
      </c>
      <c r="T335" s="1" t="s">
        <v>35</v>
      </c>
      <c r="U335" s="1" t="s">
        <v>36</v>
      </c>
      <c r="V335" s="1" t="s">
        <v>37</v>
      </c>
      <c r="W335">
        <v>2</v>
      </c>
      <c r="X335" s="1" t="str">
        <f t="shared" si="15"/>
        <v>alejandro.rodriguez7@mail.com</v>
      </c>
      <c r="Y335" s="1" t="str">
        <f>INDEX(V:V,MATCH(orders_desnormalizado_prueba3[[#This Row],[acquisition_channel]],U:U,0))</f>
        <v>Bodega Propia CO - envio 2-3 dias</v>
      </c>
      <c r="Z335" s="1" t="str">
        <f>INDEX(T:T,MATCH(orders_desnormalizado_prueba3[[#This Row],[shipping_cost]],W:W,0))</f>
        <v>Colombia</v>
      </c>
      <c r="AA335" s="1" t="str">
        <f t="shared" si="16"/>
        <v>Barranquilla</v>
      </c>
      <c r="AB335" s="1"/>
      <c r="AC335" s="1" t="str">
        <f t="shared" si="17"/>
        <v xml:space="preserve"> </v>
      </c>
    </row>
    <row r="336" spans="1:29" x14ac:dyDescent="0.3">
      <c r="A336" s="1" t="s">
        <v>765</v>
      </c>
      <c r="B336">
        <v>1</v>
      </c>
      <c r="C336">
        <v>16.989999999999998</v>
      </c>
      <c r="D336">
        <v>16.989999999999998</v>
      </c>
      <c r="E336" s="1" t="s">
        <v>577</v>
      </c>
      <c r="F336" s="1" t="s">
        <v>188</v>
      </c>
      <c r="G336">
        <v>0</v>
      </c>
      <c r="H336" s="1" t="s">
        <v>58</v>
      </c>
      <c r="I336" s="1" t="s">
        <v>59</v>
      </c>
      <c r="J336">
        <v>5</v>
      </c>
      <c r="K336">
        <v>16.989999999999998</v>
      </c>
      <c r="L336" s="1" t="s">
        <v>60</v>
      </c>
      <c r="M336" s="1" t="s">
        <v>61</v>
      </c>
      <c r="N336" s="1" t="s">
        <v>62</v>
      </c>
      <c r="O336" s="1" t="s">
        <v>31</v>
      </c>
      <c r="P336" s="2">
        <v>45726</v>
      </c>
      <c r="Q336" s="1" t="s">
        <v>689</v>
      </c>
      <c r="R336" s="1" t="s">
        <v>766</v>
      </c>
      <c r="S336" s="1" t="s">
        <v>105</v>
      </c>
      <c r="T336" s="1" t="s">
        <v>35</v>
      </c>
      <c r="U336" s="1" t="s">
        <v>48</v>
      </c>
      <c r="V336" s="1" t="s">
        <v>67</v>
      </c>
      <c r="W336">
        <v>3</v>
      </c>
      <c r="X336" s="1" t="str">
        <f t="shared" si="15"/>
        <v>mateo.martinez177@mail.com</v>
      </c>
      <c r="Y336" s="1" t="str">
        <f>INDEX(V:V,MATCH(orders_desnormalizado_prueba3[[#This Row],[acquisition_channel]],U:U,0))</f>
        <v>Bodega Propia CO - envio 2-3 dias</v>
      </c>
      <c r="Z336" s="1" t="str">
        <f>INDEX(T:T,MATCH(orders_desnormalizado_prueba3[[#This Row],[shipping_cost]],W:W,0))</f>
        <v>Colombia</v>
      </c>
      <c r="AA336" s="1" t="str">
        <f t="shared" si="16"/>
        <v>Cartagena</v>
      </c>
      <c r="AB336" s="1"/>
      <c r="AC336" s="1" t="str">
        <f t="shared" si="17"/>
        <v xml:space="preserve"> </v>
      </c>
    </row>
    <row r="337" spans="1:29" x14ac:dyDescent="0.3">
      <c r="A337" s="1" t="s">
        <v>767</v>
      </c>
      <c r="B337">
        <v>1</v>
      </c>
      <c r="C337">
        <v>21.99</v>
      </c>
      <c r="D337">
        <v>21.99</v>
      </c>
      <c r="E337" s="1" t="s">
        <v>202</v>
      </c>
      <c r="F337" s="1" t="s">
        <v>51</v>
      </c>
      <c r="G337">
        <v>0</v>
      </c>
      <c r="H337" s="1" t="s">
        <v>96</v>
      </c>
      <c r="I337" s="1" t="s">
        <v>27</v>
      </c>
      <c r="J337">
        <v>7</v>
      </c>
      <c r="K337">
        <v>21.99</v>
      </c>
      <c r="L337" s="1" t="s">
        <v>28</v>
      </c>
      <c r="M337" s="1" t="s">
        <v>29</v>
      </c>
      <c r="N337" s="1" t="s">
        <v>30</v>
      </c>
      <c r="O337" s="1" t="s">
        <v>31</v>
      </c>
      <c r="P337" s="2">
        <v>45778</v>
      </c>
      <c r="Q337" s="1" t="s">
        <v>768</v>
      </c>
      <c r="R337" s="1" t="s">
        <v>769</v>
      </c>
      <c r="S337" s="1" t="s">
        <v>54</v>
      </c>
      <c r="T337" s="1" t="s">
        <v>35</v>
      </c>
      <c r="U337" s="1" t="s">
        <v>36</v>
      </c>
      <c r="V337" s="1" t="s">
        <v>37</v>
      </c>
      <c r="W337">
        <v>2</v>
      </c>
      <c r="X337" s="1" t="str">
        <f t="shared" si="15"/>
        <v>isabella.martinez177@mail.com</v>
      </c>
      <c r="Y337" s="1" t="str">
        <f>INDEX(V:V,MATCH(orders_desnormalizado_prueba3[[#This Row],[acquisition_channel]],U:U,0))</f>
        <v>Bodega Propia CO - envio 2-3 dias</v>
      </c>
      <c r="Z337" s="1" t="str">
        <f>INDEX(T:T,MATCH(orders_desnormalizado_prueba3[[#This Row],[shipping_cost]],W:W,0))</f>
        <v>Colombia</v>
      </c>
      <c r="AA337" s="1" t="str">
        <f t="shared" si="16"/>
        <v>Cartagena</v>
      </c>
      <c r="AB337" s="1"/>
      <c r="AC337" s="1" t="str">
        <f t="shared" si="17"/>
        <v xml:space="preserve"> </v>
      </c>
    </row>
    <row r="338" spans="1:29" x14ac:dyDescent="0.3">
      <c r="A338" s="1" t="s">
        <v>770</v>
      </c>
      <c r="B338">
        <v>2</v>
      </c>
      <c r="C338">
        <v>30.99</v>
      </c>
      <c r="D338">
        <v>53.13</v>
      </c>
      <c r="E338" s="1" t="s">
        <v>771</v>
      </c>
      <c r="F338" s="1" t="s">
        <v>51</v>
      </c>
      <c r="G338">
        <v>0</v>
      </c>
      <c r="H338" s="1" t="s">
        <v>58</v>
      </c>
      <c r="I338" s="1" t="s">
        <v>42</v>
      </c>
      <c r="J338">
        <v>10.5</v>
      </c>
      <c r="K338">
        <v>30.99</v>
      </c>
      <c r="L338" s="1" t="s">
        <v>28</v>
      </c>
      <c r="M338" s="1" t="s">
        <v>43</v>
      </c>
      <c r="N338" s="1" t="s">
        <v>44</v>
      </c>
      <c r="O338" s="1" t="s">
        <v>31</v>
      </c>
      <c r="P338" s="2">
        <v>45823</v>
      </c>
      <c r="Q338" s="1" t="s">
        <v>772</v>
      </c>
      <c r="R338" s="1" t="s">
        <v>773</v>
      </c>
      <c r="S338" s="1" t="s">
        <v>65</v>
      </c>
      <c r="T338" s="1" t="s">
        <v>35</v>
      </c>
      <c r="U338" s="1" t="s">
        <v>36</v>
      </c>
      <c r="V338" s="1" t="s">
        <v>37</v>
      </c>
      <c r="W338">
        <v>2</v>
      </c>
      <c r="X338" s="1" t="str">
        <f t="shared" si="15"/>
        <v>santiago.martinez167@mail.com</v>
      </c>
      <c r="Y338" s="1" t="str">
        <f>INDEX(V:V,MATCH(orders_desnormalizado_prueba3[[#This Row],[acquisition_channel]],U:U,0))</f>
        <v>Bodega Propia CO - envio 2-3 dias</v>
      </c>
      <c r="Z338" s="1" t="str">
        <f>INDEX(T:T,MATCH(orders_desnormalizado_prueba3[[#This Row],[shipping_cost]],W:W,0))</f>
        <v>Colombia</v>
      </c>
      <c r="AA338" s="1" t="str">
        <f t="shared" si="16"/>
        <v>Cartagena</v>
      </c>
      <c r="AB338" s="1"/>
      <c r="AC338" s="1" t="str">
        <f t="shared" si="17"/>
        <v xml:space="preserve"> </v>
      </c>
    </row>
    <row r="339" spans="1:29" x14ac:dyDescent="0.3">
      <c r="A339" s="1" t="s">
        <v>774</v>
      </c>
      <c r="B339">
        <v>1</v>
      </c>
      <c r="C339">
        <v>16.989999999999998</v>
      </c>
      <c r="D339">
        <v>16.989999999999998</v>
      </c>
      <c r="E339" s="1" t="s">
        <v>775</v>
      </c>
      <c r="F339" s="1" t="s">
        <v>51</v>
      </c>
      <c r="G339">
        <v>0</v>
      </c>
      <c r="H339" s="1" t="s">
        <v>41</v>
      </c>
      <c r="I339" s="1" t="s">
        <v>59</v>
      </c>
      <c r="J339">
        <v>5</v>
      </c>
      <c r="K339">
        <v>16.989999999999998</v>
      </c>
      <c r="L339" s="1" t="s">
        <v>60</v>
      </c>
      <c r="M339" s="1" t="s">
        <v>61</v>
      </c>
      <c r="N339" s="1" t="s">
        <v>62</v>
      </c>
      <c r="O339" s="1" t="s">
        <v>31</v>
      </c>
      <c r="P339" s="2">
        <v>45726</v>
      </c>
      <c r="Q339" s="1" t="s">
        <v>133</v>
      </c>
      <c r="R339" s="1" t="s">
        <v>776</v>
      </c>
      <c r="S339" s="1" t="s">
        <v>88</v>
      </c>
      <c r="T339" s="1" t="s">
        <v>35</v>
      </c>
      <c r="U339" s="1" t="s">
        <v>48</v>
      </c>
      <c r="V339" s="1" t="s">
        <v>67</v>
      </c>
      <c r="W339">
        <v>3</v>
      </c>
      <c r="X339" s="1" t="str">
        <f t="shared" si="15"/>
        <v>isabella.diaz18@mail.com</v>
      </c>
      <c r="Y339" s="1" t="str">
        <f>INDEX(V:V,MATCH(orders_desnormalizado_prueba3[[#This Row],[acquisition_channel]],U:U,0))</f>
        <v>Bodega Propia CO - envio 2-3 dias</v>
      </c>
      <c r="Z339" s="1" t="str">
        <f>INDEX(T:T,MATCH(orders_desnormalizado_prueba3[[#This Row],[shipping_cost]],W:W,0))</f>
        <v>Colombia</v>
      </c>
      <c r="AA339" s="1" t="str">
        <f t="shared" si="16"/>
        <v>Cartagena</v>
      </c>
      <c r="AB339" s="1"/>
      <c r="AC339" s="1" t="str">
        <f t="shared" si="17"/>
        <v xml:space="preserve"> </v>
      </c>
    </row>
    <row r="340" spans="1:29" x14ac:dyDescent="0.3">
      <c r="A340" s="1" t="s">
        <v>777</v>
      </c>
      <c r="B340">
        <v>1</v>
      </c>
      <c r="C340">
        <v>34.99</v>
      </c>
      <c r="D340">
        <v>34.99</v>
      </c>
      <c r="E340" s="1" t="s">
        <v>778</v>
      </c>
      <c r="F340" s="1" t="s">
        <v>40</v>
      </c>
      <c r="G340">
        <v>6</v>
      </c>
      <c r="H340" s="1" t="s">
        <v>58</v>
      </c>
      <c r="I340" s="1" t="s">
        <v>85</v>
      </c>
      <c r="J340">
        <v>12.5</v>
      </c>
      <c r="K340">
        <v>34.99</v>
      </c>
      <c r="L340" s="1" t="s">
        <v>60</v>
      </c>
      <c r="M340" s="1" t="s">
        <v>29</v>
      </c>
      <c r="N340" s="1" t="s">
        <v>30</v>
      </c>
      <c r="O340" s="1" t="s">
        <v>31</v>
      </c>
      <c r="P340" s="2">
        <v>45778</v>
      </c>
      <c r="Q340" s="1" t="s">
        <v>779</v>
      </c>
      <c r="R340" s="1" t="s">
        <v>780</v>
      </c>
      <c r="S340" s="1" t="s">
        <v>88</v>
      </c>
      <c r="T340" s="1" t="s">
        <v>35</v>
      </c>
      <c r="U340" s="1" t="s">
        <v>48</v>
      </c>
      <c r="V340" s="1" t="s">
        <v>89</v>
      </c>
      <c r="W340">
        <v>2.4</v>
      </c>
      <c r="X340" s="1" t="str">
        <f t="shared" si="15"/>
        <v>alejandro.lopez109@mail.com</v>
      </c>
      <c r="Y340" s="1" t="str">
        <f>INDEX(V:V,MATCH(orders_desnormalizado_prueba3[[#This Row],[acquisition_channel]],U:U,0))</f>
        <v>Bodega Propia CO - envio 2-3 dias</v>
      </c>
      <c r="Z340" s="1" t="str">
        <f>INDEX(T:T,MATCH(orders_desnormalizado_prueba3[[#This Row],[shipping_cost]],W:W,0))</f>
        <v>Colombia</v>
      </c>
      <c r="AA340" s="1" t="str">
        <f t="shared" si="16"/>
        <v>Medellin</v>
      </c>
      <c r="AB340" s="1"/>
      <c r="AC340" s="1" t="str">
        <f t="shared" si="17"/>
        <v xml:space="preserve"> </v>
      </c>
    </row>
    <row r="341" spans="1:29" x14ac:dyDescent="0.3">
      <c r="A341" s="1" t="s">
        <v>781</v>
      </c>
      <c r="B341">
        <v>3</v>
      </c>
      <c r="C341">
        <v>27.99</v>
      </c>
      <c r="D341">
        <v>67.510000000000005</v>
      </c>
      <c r="E341" s="1" t="s">
        <v>782</v>
      </c>
      <c r="F341" s="1" t="s">
        <v>25</v>
      </c>
      <c r="G341">
        <v>2</v>
      </c>
      <c r="H341" s="1" t="s">
        <v>26</v>
      </c>
      <c r="I341" s="1" t="s">
        <v>75</v>
      </c>
      <c r="J341">
        <v>9</v>
      </c>
      <c r="K341">
        <v>27.99</v>
      </c>
      <c r="L341" s="1" t="s">
        <v>28</v>
      </c>
      <c r="M341" s="1" t="s">
        <v>61</v>
      </c>
      <c r="N341" s="1" t="s">
        <v>62</v>
      </c>
      <c r="O341" s="1" t="s">
        <v>31</v>
      </c>
      <c r="P341" s="2">
        <v>45726</v>
      </c>
      <c r="Q341" s="1" t="s">
        <v>783</v>
      </c>
      <c r="R341" s="1" t="s">
        <v>784</v>
      </c>
      <c r="S341" s="1" t="s">
        <v>34</v>
      </c>
      <c r="T341" s="1" t="s">
        <v>35</v>
      </c>
      <c r="U341" s="1" t="s">
        <v>55</v>
      </c>
      <c r="V341" s="1" t="s">
        <v>37</v>
      </c>
      <c r="W341">
        <v>2</v>
      </c>
      <c r="X341" s="1" t="str">
        <f t="shared" si="15"/>
        <v>santiago.castro71@mail.com</v>
      </c>
      <c r="Y341" s="1" t="str">
        <f>INDEX(V:V,MATCH(orders_desnormalizado_prueba3[[#This Row],[acquisition_channel]],U:U,0))</f>
        <v>Bodega Propia CO - envio 2-3 dias</v>
      </c>
      <c r="Z341" s="1" t="str">
        <f>INDEX(T:T,MATCH(orders_desnormalizado_prueba3[[#This Row],[shipping_cost]],W:W,0))</f>
        <v>Colombia</v>
      </c>
      <c r="AA341" s="1" t="str">
        <f t="shared" si="16"/>
        <v>Medellin</v>
      </c>
      <c r="AB341" s="1"/>
      <c r="AC341" s="1" t="str">
        <f t="shared" si="17"/>
        <v xml:space="preserve"> </v>
      </c>
    </row>
    <row r="342" spans="1:29" x14ac:dyDescent="0.3">
      <c r="A342" s="1" t="s">
        <v>785</v>
      </c>
      <c r="B342">
        <v>1</v>
      </c>
      <c r="C342">
        <v>30.99</v>
      </c>
      <c r="D342">
        <v>30.99</v>
      </c>
      <c r="E342" s="1" t="s">
        <v>786</v>
      </c>
      <c r="F342" s="1" t="s">
        <v>25</v>
      </c>
      <c r="G342">
        <v>2</v>
      </c>
      <c r="H342" s="1" t="s">
        <v>26</v>
      </c>
      <c r="I342" s="1" t="s">
        <v>42</v>
      </c>
      <c r="J342">
        <v>10.5</v>
      </c>
      <c r="K342">
        <v>30.99</v>
      </c>
      <c r="L342" s="1" t="s">
        <v>28</v>
      </c>
      <c r="M342" s="1" t="s">
        <v>43</v>
      </c>
      <c r="N342" s="1" t="s">
        <v>44</v>
      </c>
      <c r="O342" s="1" t="s">
        <v>31</v>
      </c>
      <c r="P342" s="2">
        <v>45823</v>
      </c>
      <c r="Q342" s="1" t="s">
        <v>787</v>
      </c>
      <c r="R342" s="1" t="s">
        <v>788</v>
      </c>
      <c r="S342" s="1" t="s">
        <v>105</v>
      </c>
      <c r="T342" s="1" t="s">
        <v>35</v>
      </c>
      <c r="U342" s="1" t="s">
        <v>82</v>
      </c>
      <c r="V342" s="1" t="s">
        <v>37</v>
      </c>
      <c r="W342">
        <v>2</v>
      </c>
      <c r="X342" s="1" t="str">
        <f t="shared" si="15"/>
        <v>julian.moreno101@mail.com</v>
      </c>
      <c r="Y342" s="1" t="str">
        <f>INDEX(V:V,MATCH(orders_desnormalizado_prueba3[[#This Row],[acquisition_channel]],U:U,0))</f>
        <v>Bodega Propia CO - envio 2-3 dias</v>
      </c>
      <c r="Z342" s="1" t="str">
        <f>INDEX(T:T,MATCH(orders_desnormalizado_prueba3[[#This Row],[shipping_cost]],W:W,0))</f>
        <v>Colombia</v>
      </c>
      <c r="AA342" s="1" t="str">
        <f t="shared" si="16"/>
        <v>Medellin</v>
      </c>
      <c r="AB342" s="1"/>
      <c r="AC342" s="1" t="str">
        <f t="shared" si="17"/>
        <v xml:space="preserve"> </v>
      </c>
    </row>
    <row r="343" spans="1:29" x14ac:dyDescent="0.3">
      <c r="A343" s="1" t="s">
        <v>789</v>
      </c>
      <c r="B343">
        <v>1</v>
      </c>
      <c r="C343">
        <v>34.99</v>
      </c>
      <c r="D343">
        <v>34.99</v>
      </c>
      <c r="E343" s="1" t="s">
        <v>577</v>
      </c>
      <c r="F343" s="1" t="s">
        <v>40</v>
      </c>
      <c r="G343">
        <v>7</v>
      </c>
      <c r="H343" s="1" t="s">
        <v>26</v>
      </c>
      <c r="I343" s="1" t="s">
        <v>85</v>
      </c>
      <c r="J343">
        <v>12.5</v>
      </c>
      <c r="K343">
        <v>34.99</v>
      </c>
      <c r="L343" s="1" t="s">
        <v>60</v>
      </c>
      <c r="M343" s="1" t="s">
        <v>29</v>
      </c>
      <c r="N343" s="1" t="s">
        <v>30</v>
      </c>
      <c r="O343" s="1" t="s">
        <v>31</v>
      </c>
      <c r="P343" s="2">
        <v>45778</v>
      </c>
      <c r="Q343" s="1" t="s">
        <v>790</v>
      </c>
      <c r="R343" s="1" t="s">
        <v>791</v>
      </c>
      <c r="S343" s="1" t="s">
        <v>47</v>
      </c>
      <c r="T343" s="1" t="s">
        <v>35</v>
      </c>
      <c r="U343" s="1" t="s">
        <v>55</v>
      </c>
      <c r="V343" s="1" t="s">
        <v>89</v>
      </c>
      <c r="W343">
        <v>2.4</v>
      </c>
      <c r="X343" s="1" t="str">
        <f t="shared" si="15"/>
        <v>maria.lopez133@mail.com</v>
      </c>
      <c r="Y343" s="1" t="str">
        <f>INDEX(V:V,MATCH(orders_desnormalizado_prueba3[[#This Row],[acquisition_channel]],U:U,0))</f>
        <v>Bodega Propia CO - envio 2-3 dias</v>
      </c>
      <c r="Z343" s="1" t="str">
        <f>INDEX(T:T,MATCH(orders_desnormalizado_prueba3[[#This Row],[shipping_cost]],W:W,0))</f>
        <v>Colombia</v>
      </c>
      <c r="AA343" s="1" t="str">
        <f t="shared" si="16"/>
        <v>Bogota</v>
      </c>
      <c r="AB343" s="1"/>
      <c r="AC343" s="1" t="str">
        <f t="shared" si="17"/>
        <v xml:space="preserve"> </v>
      </c>
    </row>
    <row r="344" spans="1:29" x14ac:dyDescent="0.3">
      <c r="A344" s="1" t="s">
        <v>792</v>
      </c>
      <c r="B344">
        <v>1</v>
      </c>
      <c r="C344">
        <v>21.99</v>
      </c>
      <c r="D344">
        <v>21.99</v>
      </c>
      <c r="E344" s="1" t="s">
        <v>202</v>
      </c>
      <c r="F344" s="1" t="s">
        <v>40</v>
      </c>
      <c r="G344">
        <v>2</v>
      </c>
      <c r="H344" s="1" t="s">
        <v>58</v>
      </c>
      <c r="I344" s="1" t="s">
        <v>27</v>
      </c>
      <c r="J344">
        <v>7</v>
      </c>
      <c r="K344">
        <v>21.99</v>
      </c>
      <c r="L344" s="1" t="s">
        <v>28</v>
      </c>
      <c r="M344" s="1" t="s">
        <v>29</v>
      </c>
      <c r="N344" s="1" t="s">
        <v>30</v>
      </c>
      <c r="O344" s="1" t="s">
        <v>31</v>
      </c>
      <c r="P344" s="2">
        <v>45778</v>
      </c>
      <c r="Q344" s="1" t="s">
        <v>793</v>
      </c>
      <c r="R344" s="1" t="s">
        <v>794</v>
      </c>
      <c r="S344" s="1" t="s">
        <v>34</v>
      </c>
      <c r="T344" s="1" t="s">
        <v>35</v>
      </c>
      <c r="U344" s="1" t="s">
        <v>82</v>
      </c>
      <c r="V344" s="1" t="s">
        <v>37</v>
      </c>
      <c r="W344">
        <v>2</v>
      </c>
      <c r="X344" s="1" t="str">
        <f t="shared" si="15"/>
        <v>esteban.ortiz133@mail.com</v>
      </c>
      <c r="Y344" s="1" t="str">
        <f>INDEX(V:V,MATCH(orders_desnormalizado_prueba3[[#This Row],[acquisition_channel]],U:U,0))</f>
        <v>Bodega Propia CO - envio 2-3 dias</v>
      </c>
      <c r="Z344" s="1" t="str">
        <f>INDEX(T:T,MATCH(orders_desnormalizado_prueba3[[#This Row],[shipping_cost]],W:W,0))</f>
        <v>Colombia</v>
      </c>
      <c r="AA344" s="1" t="str">
        <f t="shared" si="16"/>
        <v>Medellin</v>
      </c>
      <c r="AB344" s="1"/>
      <c r="AC344" s="1" t="str">
        <f t="shared" si="17"/>
        <v xml:space="preserve"> </v>
      </c>
    </row>
    <row r="345" spans="1:29" x14ac:dyDescent="0.3">
      <c r="A345" s="1" t="s">
        <v>795</v>
      </c>
      <c r="B345">
        <v>2</v>
      </c>
      <c r="C345">
        <v>34.99</v>
      </c>
      <c r="D345">
        <v>60.26</v>
      </c>
      <c r="E345" s="1" t="s">
        <v>796</v>
      </c>
      <c r="F345" s="1" t="s">
        <v>25</v>
      </c>
      <c r="G345">
        <v>6</v>
      </c>
      <c r="H345" s="1" t="s">
        <v>58</v>
      </c>
      <c r="I345" s="1" t="s">
        <v>85</v>
      </c>
      <c r="J345">
        <v>12.5</v>
      </c>
      <c r="K345">
        <v>34.99</v>
      </c>
      <c r="L345" s="1" t="s">
        <v>60</v>
      </c>
      <c r="M345" s="1" t="s">
        <v>29</v>
      </c>
      <c r="N345" s="1" t="s">
        <v>30</v>
      </c>
      <c r="O345" s="1" t="s">
        <v>31</v>
      </c>
      <c r="P345" s="2">
        <v>45778</v>
      </c>
      <c r="Q345" s="1" t="s">
        <v>797</v>
      </c>
      <c r="R345" s="1" t="s">
        <v>798</v>
      </c>
      <c r="S345" s="1" t="s">
        <v>65</v>
      </c>
      <c r="T345" s="1" t="s">
        <v>35</v>
      </c>
      <c r="U345" s="1" t="s">
        <v>66</v>
      </c>
      <c r="V345" s="1" t="s">
        <v>89</v>
      </c>
      <c r="W345">
        <v>2.4</v>
      </c>
      <c r="X345" s="1" t="str">
        <f t="shared" si="15"/>
        <v>miguel.gomez127@mail.com</v>
      </c>
      <c r="Y345" s="1" t="str">
        <f>INDEX(V:V,MATCH(orders_desnormalizado_prueba3[[#This Row],[acquisition_channel]],U:U,0))</f>
        <v>AliDropship CN - envio 15-20 dias</v>
      </c>
      <c r="Z345" s="1" t="str">
        <f>INDEX(T:T,MATCH(orders_desnormalizado_prueba3[[#This Row],[shipping_cost]],W:W,0))</f>
        <v>Colombia</v>
      </c>
      <c r="AA345" s="1" t="str">
        <f t="shared" si="16"/>
        <v>Medellin</v>
      </c>
      <c r="AB345" s="1"/>
      <c r="AC345" s="1" t="str">
        <f t="shared" si="17"/>
        <v xml:space="preserve"> </v>
      </c>
    </row>
    <row r="346" spans="1:29" x14ac:dyDescent="0.3">
      <c r="A346" s="1" t="s">
        <v>799</v>
      </c>
      <c r="B346">
        <v>3</v>
      </c>
      <c r="C346">
        <v>30.99</v>
      </c>
      <c r="D346">
        <v>73.73</v>
      </c>
      <c r="E346" s="1" t="s">
        <v>800</v>
      </c>
      <c r="F346" s="1" t="s">
        <v>40</v>
      </c>
      <c r="G346">
        <v>3</v>
      </c>
      <c r="H346" s="1" t="s">
        <v>41</v>
      </c>
      <c r="I346" s="1" t="s">
        <v>42</v>
      </c>
      <c r="J346">
        <v>10.5</v>
      </c>
      <c r="K346">
        <v>30.99</v>
      </c>
      <c r="L346" s="1" t="s">
        <v>28</v>
      </c>
      <c r="M346" s="1" t="s">
        <v>43</v>
      </c>
      <c r="N346" s="1" t="s">
        <v>44</v>
      </c>
      <c r="O346" s="1" t="s">
        <v>31</v>
      </c>
      <c r="P346" s="2">
        <v>45823</v>
      </c>
      <c r="Q346" s="1" t="s">
        <v>801</v>
      </c>
      <c r="R346" s="1" t="s">
        <v>802</v>
      </c>
      <c r="S346" s="1" t="s">
        <v>88</v>
      </c>
      <c r="T346" s="1" t="s">
        <v>35</v>
      </c>
      <c r="U346" s="1" t="s">
        <v>82</v>
      </c>
      <c r="V346" s="1" t="s">
        <v>37</v>
      </c>
      <c r="W346">
        <v>2</v>
      </c>
      <c r="X346" s="1" t="str">
        <f t="shared" si="15"/>
        <v>catalina.vargas107@mail.com</v>
      </c>
      <c r="Y346" s="1" t="str">
        <f>INDEX(V:V,MATCH(orders_desnormalizado_prueba3[[#This Row],[acquisition_channel]],U:U,0))</f>
        <v>Bodega Propia CO - envio 2-3 dias</v>
      </c>
      <c r="Z346" s="1" t="str">
        <f>INDEX(T:T,MATCH(orders_desnormalizado_prueba3[[#This Row],[shipping_cost]],W:W,0))</f>
        <v>Colombia</v>
      </c>
      <c r="AA346" s="1" t="str">
        <f t="shared" si="16"/>
        <v>Barranquilla</v>
      </c>
      <c r="AB346" s="1"/>
      <c r="AC346" s="1" t="str">
        <f t="shared" si="17"/>
        <v xml:space="preserve"> </v>
      </c>
    </row>
    <row r="347" spans="1:29" x14ac:dyDescent="0.3">
      <c r="A347" s="1" t="s">
        <v>803</v>
      </c>
      <c r="B347">
        <v>2</v>
      </c>
      <c r="C347">
        <v>30.99</v>
      </c>
      <c r="D347">
        <v>53.11</v>
      </c>
      <c r="E347" s="1" t="s">
        <v>731</v>
      </c>
      <c r="F347" s="1" t="s">
        <v>51</v>
      </c>
      <c r="G347">
        <v>0</v>
      </c>
      <c r="H347" s="1" t="s">
        <v>58</v>
      </c>
      <c r="I347" s="1" t="s">
        <v>42</v>
      </c>
      <c r="J347">
        <v>10.5</v>
      </c>
      <c r="K347">
        <v>30.99</v>
      </c>
      <c r="L347" s="1" t="s">
        <v>28</v>
      </c>
      <c r="M347" s="1" t="s">
        <v>43</v>
      </c>
      <c r="N347" s="1" t="s">
        <v>44</v>
      </c>
      <c r="O347" s="1" t="s">
        <v>31</v>
      </c>
      <c r="P347" s="2">
        <v>45823</v>
      </c>
      <c r="Q347" s="1" t="s">
        <v>804</v>
      </c>
      <c r="R347" s="1" t="s">
        <v>805</v>
      </c>
      <c r="S347" s="1" t="s">
        <v>88</v>
      </c>
      <c r="T347" s="1" t="s">
        <v>35</v>
      </c>
      <c r="U347" s="1" t="s">
        <v>82</v>
      </c>
      <c r="V347" s="1" t="s">
        <v>37</v>
      </c>
      <c r="W347">
        <v>2</v>
      </c>
      <c r="X347" s="1" t="str">
        <f t="shared" si="15"/>
        <v>ricardo.perez175@mail.com</v>
      </c>
      <c r="Y347" s="1" t="str">
        <f>INDEX(V:V,MATCH(orders_desnormalizado_prueba3[[#This Row],[acquisition_channel]],U:U,0))</f>
        <v>Bodega Propia CO - envio 2-3 dias</v>
      </c>
      <c r="Z347" s="1" t="str">
        <f>INDEX(T:T,MATCH(orders_desnormalizado_prueba3[[#This Row],[shipping_cost]],W:W,0))</f>
        <v>Colombia</v>
      </c>
      <c r="AA347" s="1" t="str">
        <f t="shared" si="16"/>
        <v>Cartagena</v>
      </c>
      <c r="AB347" s="1"/>
      <c r="AC347" s="1" t="str">
        <f t="shared" si="17"/>
        <v xml:space="preserve"> </v>
      </c>
    </row>
    <row r="348" spans="1:29" x14ac:dyDescent="0.3">
      <c r="A348" s="1" t="s">
        <v>806</v>
      </c>
      <c r="B348">
        <v>3</v>
      </c>
      <c r="C348">
        <v>34.99</v>
      </c>
      <c r="D348">
        <v>84</v>
      </c>
      <c r="E348" s="1" t="s">
        <v>807</v>
      </c>
      <c r="F348" s="1" t="s">
        <v>40</v>
      </c>
      <c r="G348">
        <v>6</v>
      </c>
      <c r="H348" s="1" t="s">
        <v>26</v>
      </c>
      <c r="I348" s="1" t="s">
        <v>85</v>
      </c>
      <c r="J348">
        <v>12.5</v>
      </c>
      <c r="K348">
        <v>34.99</v>
      </c>
      <c r="L348" s="1" t="s">
        <v>60</v>
      </c>
      <c r="M348" s="1" t="s">
        <v>29</v>
      </c>
      <c r="N348" s="1" t="s">
        <v>30</v>
      </c>
      <c r="O348" s="1" t="s">
        <v>31</v>
      </c>
      <c r="P348" s="2">
        <v>45778</v>
      </c>
      <c r="Q348" s="1" t="s">
        <v>376</v>
      </c>
      <c r="R348" s="1" t="s">
        <v>808</v>
      </c>
      <c r="S348" s="1" t="s">
        <v>34</v>
      </c>
      <c r="T348" s="1" t="s">
        <v>35</v>
      </c>
      <c r="U348" s="1" t="s">
        <v>48</v>
      </c>
      <c r="V348" s="1" t="s">
        <v>89</v>
      </c>
      <c r="W348">
        <v>2.4</v>
      </c>
      <c r="X348" s="1" t="str">
        <f t="shared" si="15"/>
        <v>santiago.perez173@mail.com</v>
      </c>
      <c r="Y348" s="1" t="str">
        <f>INDEX(V:V,MATCH(orders_desnormalizado_prueba3[[#This Row],[acquisition_channel]],U:U,0))</f>
        <v>Bodega Propia CO - envio 2-3 dias</v>
      </c>
      <c r="Z348" s="1" t="str">
        <f>INDEX(T:T,MATCH(orders_desnormalizado_prueba3[[#This Row],[shipping_cost]],W:W,0))</f>
        <v>Colombia</v>
      </c>
      <c r="AA348" s="1" t="str">
        <f t="shared" si="16"/>
        <v>Medellin</v>
      </c>
      <c r="AB348" s="1"/>
      <c r="AC348" s="1" t="str">
        <f t="shared" si="17"/>
        <v xml:space="preserve"> </v>
      </c>
    </row>
    <row r="349" spans="1:29" x14ac:dyDescent="0.3">
      <c r="A349" s="1" t="s">
        <v>809</v>
      </c>
      <c r="B349">
        <v>1</v>
      </c>
      <c r="C349">
        <v>27.99</v>
      </c>
      <c r="D349">
        <v>27.99</v>
      </c>
      <c r="E349" s="1" t="s">
        <v>810</v>
      </c>
      <c r="F349" s="1" t="s">
        <v>40</v>
      </c>
      <c r="G349">
        <v>3</v>
      </c>
      <c r="H349" s="1" t="s">
        <v>26</v>
      </c>
      <c r="I349" s="1" t="s">
        <v>75</v>
      </c>
      <c r="J349">
        <v>9</v>
      </c>
      <c r="K349">
        <v>27.99</v>
      </c>
      <c r="L349" s="1" t="s">
        <v>28</v>
      </c>
      <c r="M349" s="1" t="s">
        <v>61</v>
      </c>
      <c r="N349" s="1" t="s">
        <v>62</v>
      </c>
      <c r="O349" s="1" t="s">
        <v>31</v>
      </c>
      <c r="P349" s="2">
        <v>45726</v>
      </c>
      <c r="Q349" s="1" t="s">
        <v>278</v>
      </c>
      <c r="R349" s="1" t="s">
        <v>811</v>
      </c>
      <c r="S349" s="1" t="s">
        <v>65</v>
      </c>
      <c r="T349" s="1" t="s">
        <v>35</v>
      </c>
      <c r="U349" s="1" t="s">
        <v>66</v>
      </c>
      <c r="V349" s="1" t="s">
        <v>37</v>
      </c>
      <c r="W349">
        <v>2</v>
      </c>
      <c r="X349" s="1" t="str">
        <f t="shared" si="15"/>
        <v>gabriela.diaz40@mail.com</v>
      </c>
      <c r="Y349" s="1" t="str">
        <f>INDEX(V:V,MATCH(orders_desnormalizado_prueba3[[#This Row],[acquisition_channel]],U:U,0))</f>
        <v>AliDropship CN - envio 15-20 dias</v>
      </c>
      <c r="Z349" s="1" t="str">
        <f>INDEX(T:T,MATCH(orders_desnormalizado_prueba3[[#This Row],[shipping_cost]],W:W,0))</f>
        <v>Colombia</v>
      </c>
      <c r="AA349" s="1" t="str">
        <f t="shared" si="16"/>
        <v>Barranquilla</v>
      </c>
      <c r="AB349" s="1"/>
      <c r="AC349" s="1" t="str">
        <f t="shared" si="17"/>
        <v xml:space="preserve"> </v>
      </c>
    </row>
    <row r="350" spans="1:29" x14ac:dyDescent="0.3">
      <c r="A350" s="1" t="s">
        <v>812</v>
      </c>
      <c r="B350">
        <v>1</v>
      </c>
      <c r="C350">
        <v>18.989999999999998</v>
      </c>
      <c r="D350">
        <v>18.989999999999998</v>
      </c>
      <c r="E350" s="1" t="s">
        <v>813</v>
      </c>
      <c r="F350" s="1" t="s">
        <v>40</v>
      </c>
      <c r="G350">
        <v>11</v>
      </c>
      <c r="H350" s="1" t="s">
        <v>58</v>
      </c>
      <c r="I350" s="1" t="s">
        <v>97</v>
      </c>
      <c r="J350">
        <v>6</v>
      </c>
      <c r="K350">
        <v>18.989999999999998</v>
      </c>
      <c r="L350" s="1" t="s">
        <v>60</v>
      </c>
      <c r="M350" s="1" t="s">
        <v>43</v>
      </c>
      <c r="N350" s="1" t="s">
        <v>44</v>
      </c>
      <c r="O350" s="1" t="s">
        <v>31</v>
      </c>
      <c r="P350" s="2">
        <v>45823</v>
      </c>
      <c r="Q350" s="1" t="s">
        <v>814</v>
      </c>
      <c r="R350" s="1" t="s">
        <v>815</v>
      </c>
      <c r="S350" s="1" t="s">
        <v>65</v>
      </c>
      <c r="T350" s="1" t="s">
        <v>35</v>
      </c>
      <c r="U350" s="1" t="s">
        <v>82</v>
      </c>
      <c r="V350" s="1" t="s">
        <v>100</v>
      </c>
      <c r="W350">
        <v>3.2</v>
      </c>
      <c r="X350" s="1" t="str">
        <f t="shared" si="15"/>
        <v>isabella.jimenez172@mail.com</v>
      </c>
      <c r="Y350" s="1" t="str">
        <f>INDEX(V:V,MATCH(orders_desnormalizado_prueba3[[#This Row],[acquisition_channel]],U:U,0))</f>
        <v>Bodega Propia CO - envio 2-3 dias</v>
      </c>
      <c r="Z350" s="1" t="str">
        <f>INDEX(T:T,MATCH(orders_desnormalizado_prueba3[[#This Row],[shipping_cost]],W:W,0))</f>
        <v>Colombia</v>
      </c>
      <c r="AA350" s="1" t="str">
        <f t="shared" si="16"/>
        <v>Cali</v>
      </c>
      <c r="AB350" s="1"/>
      <c r="AC350" s="1" t="str">
        <f t="shared" si="17"/>
        <v xml:space="preserve"> </v>
      </c>
    </row>
    <row r="351" spans="1:29" x14ac:dyDescent="0.3">
      <c r="A351" s="1" t="s">
        <v>816</v>
      </c>
      <c r="B351">
        <v>1</v>
      </c>
      <c r="C351">
        <v>18.989999999999998</v>
      </c>
      <c r="D351">
        <v>18.989999999999998</v>
      </c>
      <c r="E351" s="1" t="s">
        <v>57</v>
      </c>
      <c r="F351" s="1" t="s">
        <v>40</v>
      </c>
      <c r="G351">
        <v>12</v>
      </c>
      <c r="H351" s="1" t="s">
        <v>26</v>
      </c>
      <c r="I351" s="1" t="s">
        <v>97</v>
      </c>
      <c r="J351">
        <v>6</v>
      </c>
      <c r="K351">
        <v>18.989999999999998</v>
      </c>
      <c r="L351" s="1" t="s">
        <v>60</v>
      </c>
      <c r="M351" s="1" t="s">
        <v>43</v>
      </c>
      <c r="N351" s="1" t="s">
        <v>44</v>
      </c>
      <c r="O351" s="1" t="s">
        <v>31</v>
      </c>
      <c r="P351" s="2">
        <v>45823</v>
      </c>
      <c r="Q351" s="1" t="s">
        <v>817</v>
      </c>
      <c r="R351" s="1" t="s">
        <v>818</v>
      </c>
      <c r="S351" s="1" t="s">
        <v>105</v>
      </c>
      <c r="T351" s="1" t="s">
        <v>35</v>
      </c>
      <c r="U351" s="1" t="s">
        <v>66</v>
      </c>
      <c r="V351" s="1" t="s">
        <v>100</v>
      </c>
      <c r="W351">
        <v>3.2</v>
      </c>
      <c r="X351" s="1" t="str">
        <f t="shared" si="15"/>
        <v>juan.perez187@mail.com</v>
      </c>
      <c r="Y351" s="1" t="str">
        <f>INDEX(V:V,MATCH(orders_desnormalizado_prueba3[[#This Row],[acquisition_channel]],U:U,0))</f>
        <v>AliDropship CN - envio 15-20 dias</v>
      </c>
      <c r="Z351" s="1" t="str">
        <f>INDEX(T:T,MATCH(orders_desnormalizado_prueba3[[#This Row],[shipping_cost]],W:W,0))</f>
        <v>Colombia</v>
      </c>
      <c r="AA351" s="1" t="str">
        <f t="shared" si="16"/>
        <v>Cartagena</v>
      </c>
      <c r="AB351" s="1"/>
      <c r="AC351" s="1" t="str">
        <f t="shared" si="17"/>
        <v xml:space="preserve"> </v>
      </c>
    </row>
    <row r="352" spans="1:29" x14ac:dyDescent="0.3">
      <c r="A352" s="1" t="s">
        <v>819</v>
      </c>
      <c r="B352">
        <v>1</v>
      </c>
      <c r="C352">
        <v>16.989999999999998</v>
      </c>
      <c r="D352">
        <v>16.989999999999998</v>
      </c>
      <c r="E352" s="1" t="s">
        <v>820</v>
      </c>
      <c r="F352" s="1" t="s">
        <v>188</v>
      </c>
      <c r="G352">
        <v>0</v>
      </c>
      <c r="H352" s="1" t="s">
        <v>58</v>
      </c>
      <c r="I352" s="1" t="s">
        <v>59</v>
      </c>
      <c r="J352">
        <v>5</v>
      </c>
      <c r="K352">
        <v>16.989999999999998</v>
      </c>
      <c r="L352" s="1" t="s">
        <v>60</v>
      </c>
      <c r="M352" s="1" t="s">
        <v>61</v>
      </c>
      <c r="N352" s="1" t="s">
        <v>62</v>
      </c>
      <c r="O352" s="1" t="s">
        <v>31</v>
      </c>
      <c r="P352" s="2">
        <v>45726</v>
      </c>
      <c r="Q352" s="1" t="s">
        <v>745</v>
      </c>
      <c r="R352" s="1" t="s">
        <v>746</v>
      </c>
      <c r="S352" s="1" t="s">
        <v>105</v>
      </c>
      <c r="T352" s="1" t="s">
        <v>35</v>
      </c>
      <c r="U352" s="1" t="s">
        <v>48</v>
      </c>
      <c r="V352" s="1" t="s">
        <v>67</v>
      </c>
      <c r="W352">
        <v>3</v>
      </c>
      <c r="X352" s="1" t="str">
        <f t="shared" si="15"/>
        <v>david.jimenez192@mail.com</v>
      </c>
      <c r="Y352" s="1" t="str">
        <f>INDEX(V:V,MATCH(orders_desnormalizado_prueba3[[#This Row],[acquisition_channel]],U:U,0))</f>
        <v>Bodega Propia CO - envio 2-3 dias</v>
      </c>
      <c r="Z352" s="1" t="str">
        <f>INDEX(T:T,MATCH(orders_desnormalizado_prueba3[[#This Row],[shipping_cost]],W:W,0))</f>
        <v>Colombia</v>
      </c>
      <c r="AA352" s="1" t="str">
        <f t="shared" si="16"/>
        <v>Cartagena</v>
      </c>
      <c r="AB352" s="1"/>
      <c r="AC352" s="1" t="str">
        <f t="shared" si="17"/>
        <v xml:space="preserve"> </v>
      </c>
    </row>
    <row r="353" spans="1:29" x14ac:dyDescent="0.3">
      <c r="A353" s="1" t="s">
        <v>821</v>
      </c>
      <c r="B353">
        <v>1</v>
      </c>
      <c r="C353">
        <v>34.99</v>
      </c>
      <c r="D353">
        <v>34.99</v>
      </c>
      <c r="E353" s="1" t="s">
        <v>822</v>
      </c>
      <c r="F353" s="1" t="s">
        <v>188</v>
      </c>
      <c r="G353">
        <v>0</v>
      </c>
      <c r="H353" s="1" t="s">
        <v>96</v>
      </c>
      <c r="I353" s="1" t="s">
        <v>85</v>
      </c>
      <c r="J353">
        <v>12.5</v>
      </c>
      <c r="K353">
        <v>34.99</v>
      </c>
      <c r="L353" s="1" t="s">
        <v>60</v>
      </c>
      <c r="M353" s="1" t="s">
        <v>29</v>
      </c>
      <c r="N353" s="1" t="s">
        <v>30</v>
      </c>
      <c r="O353" s="1" t="s">
        <v>31</v>
      </c>
      <c r="P353" s="2">
        <v>45778</v>
      </c>
      <c r="Q353" s="1" t="s">
        <v>779</v>
      </c>
      <c r="R353" s="1" t="s">
        <v>780</v>
      </c>
      <c r="S353" s="1" t="s">
        <v>88</v>
      </c>
      <c r="T353" s="1" t="s">
        <v>35</v>
      </c>
      <c r="U353" s="1" t="s">
        <v>48</v>
      </c>
      <c r="V353" s="1" t="s">
        <v>89</v>
      </c>
      <c r="W353">
        <v>2.4</v>
      </c>
      <c r="X353" s="1" t="str">
        <f t="shared" si="15"/>
        <v>alejandro.lopez109@mail.com</v>
      </c>
      <c r="Y353" s="1" t="str">
        <f>INDEX(V:V,MATCH(orders_desnormalizado_prueba3[[#This Row],[acquisition_channel]],U:U,0))</f>
        <v>Bodega Propia CO - envio 2-3 dias</v>
      </c>
      <c r="Z353" s="1" t="str">
        <f>INDEX(T:T,MATCH(orders_desnormalizado_prueba3[[#This Row],[shipping_cost]],W:W,0))</f>
        <v>Colombia</v>
      </c>
      <c r="AA353" s="1" t="str">
        <f t="shared" si="16"/>
        <v>Cartagena</v>
      </c>
      <c r="AB353" s="1"/>
      <c r="AC353" s="1" t="str">
        <f t="shared" si="17"/>
        <v xml:space="preserve"> </v>
      </c>
    </row>
    <row r="354" spans="1:29" x14ac:dyDescent="0.3">
      <c r="A354" s="1" t="s">
        <v>823</v>
      </c>
      <c r="B354">
        <v>1</v>
      </c>
      <c r="C354">
        <v>21.99</v>
      </c>
      <c r="D354">
        <v>21.99</v>
      </c>
      <c r="E354" s="1" t="s">
        <v>824</v>
      </c>
      <c r="F354" s="1" t="s">
        <v>51</v>
      </c>
      <c r="G354">
        <v>0</v>
      </c>
      <c r="H354" s="1" t="s">
        <v>58</v>
      </c>
      <c r="I354" s="1" t="s">
        <v>27</v>
      </c>
      <c r="J354">
        <v>7</v>
      </c>
      <c r="K354">
        <v>21.99</v>
      </c>
      <c r="L354" s="1" t="s">
        <v>28</v>
      </c>
      <c r="M354" s="1" t="s">
        <v>29</v>
      </c>
      <c r="N354" s="1" t="s">
        <v>30</v>
      </c>
      <c r="O354" s="1" t="s">
        <v>31</v>
      </c>
      <c r="P354" s="2">
        <v>45778</v>
      </c>
      <c r="Q354" s="1" t="s">
        <v>732</v>
      </c>
      <c r="R354" s="1" t="s">
        <v>825</v>
      </c>
      <c r="S354" s="1" t="s">
        <v>47</v>
      </c>
      <c r="T354" s="1" t="s">
        <v>35</v>
      </c>
      <c r="U354" s="1" t="s">
        <v>66</v>
      </c>
      <c r="V354" s="1" t="s">
        <v>37</v>
      </c>
      <c r="W354">
        <v>2</v>
      </c>
      <c r="X354" s="1" t="str">
        <f t="shared" si="15"/>
        <v>ximena.martinez177@mail.com</v>
      </c>
      <c r="Y354" s="1" t="str">
        <f>INDEX(V:V,MATCH(orders_desnormalizado_prueba3[[#This Row],[acquisition_channel]],U:U,0))</f>
        <v>AliDropship CN - envio 15-20 dias</v>
      </c>
      <c r="Z354" s="1" t="str">
        <f>INDEX(T:T,MATCH(orders_desnormalizado_prueba3[[#This Row],[shipping_cost]],W:W,0))</f>
        <v>Colombia</v>
      </c>
      <c r="AA354" s="1" t="str">
        <f t="shared" si="16"/>
        <v>Cartagena</v>
      </c>
      <c r="AB354" s="1"/>
      <c r="AC354" s="1" t="str">
        <f t="shared" si="17"/>
        <v xml:space="preserve"> </v>
      </c>
    </row>
    <row r="355" spans="1:29" x14ac:dyDescent="0.3">
      <c r="A355" s="1" t="s">
        <v>826</v>
      </c>
      <c r="B355">
        <v>1</v>
      </c>
      <c r="C355">
        <v>18.989999999999998</v>
      </c>
      <c r="D355">
        <v>18.989999999999998</v>
      </c>
      <c r="E355" s="1" t="s">
        <v>827</v>
      </c>
      <c r="F355" s="1" t="s">
        <v>40</v>
      </c>
      <c r="G355">
        <v>14</v>
      </c>
      <c r="H355" s="1" t="s">
        <v>26</v>
      </c>
      <c r="I355" s="1" t="s">
        <v>97</v>
      </c>
      <c r="J355">
        <v>6</v>
      </c>
      <c r="K355">
        <v>18.989999999999998</v>
      </c>
      <c r="L355" s="1" t="s">
        <v>60</v>
      </c>
      <c r="M355" s="1" t="s">
        <v>43</v>
      </c>
      <c r="N355" s="1" t="s">
        <v>44</v>
      </c>
      <c r="O355" s="1" t="s">
        <v>31</v>
      </c>
      <c r="P355" s="2">
        <v>45823</v>
      </c>
      <c r="Q355" s="1" t="s">
        <v>828</v>
      </c>
      <c r="R355" s="1" t="s">
        <v>829</v>
      </c>
      <c r="S355" s="1" t="s">
        <v>65</v>
      </c>
      <c r="T355" s="1" t="s">
        <v>35</v>
      </c>
      <c r="U355" s="1" t="s">
        <v>48</v>
      </c>
      <c r="V355" s="1" t="s">
        <v>100</v>
      </c>
      <c r="W355">
        <v>3.2</v>
      </c>
      <c r="X355" s="1" t="str">
        <f t="shared" si="15"/>
        <v>catalina.martinez83@mail.com</v>
      </c>
      <c r="Y355" s="1" t="str">
        <f>INDEX(V:V,MATCH(orders_desnormalizado_prueba3[[#This Row],[acquisition_channel]],U:U,0))</f>
        <v>Bodega Propia CO - envio 2-3 dias</v>
      </c>
      <c r="Z355" s="1" t="str">
        <f>INDEX(T:T,MATCH(orders_desnormalizado_prueba3[[#This Row],[shipping_cost]],W:W,0))</f>
        <v>Colombia</v>
      </c>
      <c r="AA355" s="1" t="str">
        <f t="shared" si="16"/>
        <v>Bogota</v>
      </c>
      <c r="AB355" s="1"/>
      <c r="AC355" s="1" t="str">
        <f t="shared" si="17"/>
        <v xml:space="preserve"> </v>
      </c>
    </row>
    <row r="356" spans="1:29" x14ac:dyDescent="0.3">
      <c r="A356" s="1" t="s">
        <v>830</v>
      </c>
      <c r="B356">
        <v>1</v>
      </c>
      <c r="C356">
        <v>34.99</v>
      </c>
      <c r="D356">
        <v>34.99</v>
      </c>
      <c r="E356" s="1" t="s">
        <v>831</v>
      </c>
      <c r="F356" s="1" t="s">
        <v>40</v>
      </c>
      <c r="G356">
        <v>7</v>
      </c>
      <c r="H356" s="1" t="s">
        <v>26</v>
      </c>
      <c r="I356" s="1" t="s">
        <v>85</v>
      </c>
      <c r="J356">
        <v>12.5</v>
      </c>
      <c r="K356">
        <v>34.99</v>
      </c>
      <c r="L356" s="1" t="s">
        <v>60</v>
      </c>
      <c r="M356" s="1" t="s">
        <v>29</v>
      </c>
      <c r="N356" s="1" t="s">
        <v>30</v>
      </c>
      <c r="O356" s="1" t="s">
        <v>31</v>
      </c>
      <c r="P356" s="2">
        <v>45778</v>
      </c>
      <c r="Q356" s="1" t="s">
        <v>832</v>
      </c>
      <c r="R356" s="1" t="s">
        <v>833</v>
      </c>
      <c r="S356" s="1" t="s">
        <v>34</v>
      </c>
      <c r="T356" s="1" t="s">
        <v>35</v>
      </c>
      <c r="U356" s="1" t="s">
        <v>36</v>
      </c>
      <c r="V356" s="1" t="s">
        <v>89</v>
      </c>
      <c r="W356">
        <v>2.4</v>
      </c>
      <c r="X356" s="1" t="str">
        <f t="shared" si="15"/>
        <v>nicolas.vargas144@mail.com</v>
      </c>
      <c r="Y356" s="1" t="str">
        <f>INDEX(V:V,MATCH(orders_desnormalizado_prueba3[[#This Row],[acquisition_channel]],U:U,0))</f>
        <v>Bodega Propia CO - envio 2-3 dias</v>
      </c>
      <c r="Z356" s="1" t="str">
        <f>INDEX(T:T,MATCH(orders_desnormalizado_prueba3[[#This Row],[shipping_cost]],W:W,0))</f>
        <v>Colombia</v>
      </c>
      <c r="AA356" s="1" t="str">
        <f t="shared" si="16"/>
        <v>Bogota</v>
      </c>
      <c r="AB356" s="1"/>
      <c r="AC356" s="1" t="str">
        <f t="shared" si="17"/>
        <v xml:space="preserve"> </v>
      </c>
    </row>
    <row r="357" spans="1:29" x14ac:dyDescent="0.3">
      <c r="A357" s="1" t="s">
        <v>834</v>
      </c>
      <c r="B357">
        <v>1</v>
      </c>
      <c r="C357">
        <v>18.989999999999998</v>
      </c>
      <c r="D357">
        <v>18.989999999999998</v>
      </c>
      <c r="E357" s="1" t="s">
        <v>835</v>
      </c>
      <c r="F357" s="1" t="s">
        <v>188</v>
      </c>
      <c r="G357">
        <v>0</v>
      </c>
      <c r="H357" s="1" t="s">
        <v>26</v>
      </c>
      <c r="I357" s="1" t="s">
        <v>97</v>
      </c>
      <c r="J357">
        <v>6</v>
      </c>
      <c r="K357">
        <v>18.989999999999998</v>
      </c>
      <c r="L357" s="1" t="s">
        <v>60</v>
      </c>
      <c r="M357" s="1" t="s">
        <v>43</v>
      </c>
      <c r="N357" s="1" t="s">
        <v>44</v>
      </c>
      <c r="O357" s="1" t="s">
        <v>31</v>
      </c>
      <c r="P357" s="2">
        <v>45823</v>
      </c>
      <c r="Q357" s="1" t="s">
        <v>836</v>
      </c>
      <c r="R357" s="1" t="s">
        <v>837</v>
      </c>
      <c r="S357" s="1" t="s">
        <v>105</v>
      </c>
      <c r="T357" s="1" t="s">
        <v>35</v>
      </c>
      <c r="U357" s="1" t="s">
        <v>55</v>
      </c>
      <c r="V357" s="1" t="s">
        <v>100</v>
      </c>
      <c r="W357">
        <v>3.2</v>
      </c>
      <c r="X357" s="1" t="str">
        <f t="shared" si="15"/>
        <v>esteban.martinez139@mail.com</v>
      </c>
      <c r="Y357" s="1" t="str">
        <f>INDEX(V:V,MATCH(orders_desnormalizado_prueba3[[#This Row],[acquisition_channel]],U:U,0))</f>
        <v>Bodega Propia CO - envio 2-3 dias</v>
      </c>
      <c r="Z357" s="1" t="str">
        <f>INDEX(T:T,MATCH(orders_desnormalizado_prueba3[[#This Row],[shipping_cost]],W:W,0))</f>
        <v>Colombia</v>
      </c>
      <c r="AA357" s="1" t="str">
        <f t="shared" si="16"/>
        <v>Cartagena</v>
      </c>
      <c r="AB357" s="1"/>
      <c r="AC357" s="1" t="str">
        <f t="shared" si="17"/>
        <v xml:space="preserve"> </v>
      </c>
    </row>
    <row r="358" spans="1:29" x14ac:dyDescent="0.3">
      <c r="A358" s="1" t="s">
        <v>838</v>
      </c>
      <c r="B358">
        <v>3</v>
      </c>
      <c r="C358">
        <v>30.99</v>
      </c>
      <c r="D358">
        <v>73.64</v>
      </c>
      <c r="E358" s="1" t="s">
        <v>246</v>
      </c>
      <c r="F358" s="1" t="s">
        <v>40</v>
      </c>
      <c r="G358">
        <v>8</v>
      </c>
      <c r="H358" s="1" t="s">
        <v>58</v>
      </c>
      <c r="I358" s="1" t="s">
        <v>42</v>
      </c>
      <c r="J358">
        <v>10.5</v>
      </c>
      <c r="K358">
        <v>30.99</v>
      </c>
      <c r="L358" s="1" t="s">
        <v>28</v>
      </c>
      <c r="M358" s="1" t="s">
        <v>43</v>
      </c>
      <c r="N358" s="1" t="s">
        <v>44</v>
      </c>
      <c r="O358" s="1" t="s">
        <v>31</v>
      </c>
      <c r="P358" s="2">
        <v>45823</v>
      </c>
      <c r="Q358" s="1" t="s">
        <v>839</v>
      </c>
      <c r="R358" s="1" t="s">
        <v>840</v>
      </c>
      <c r="S358" s="1" t="s">
        <v>65</v>
      </c>
      <c r="T358" s="1" t="s">
        <v>35</v>
      </c>
      <c r="U358" s="1" t="s">
        <v>55</v>
      </c>
      <c r="V358" s="1" t="s">
        <v>37</v>
      </c>
      <c r="W358">
        <v>2</v>
      </c>
      <c r="X358" s="1" t="str">
        <f t="shared" si="15"/>
        <v>manuela.torres155@mail.com</v>
      </c>
      <c r="Y358" s="1" t="str">
        <f>INDEX(V:V,MATCH(orders_desnormalizado_prueba3[[#This Row],[acquisition_channel]],U:U,0))</f>
        <v>Bodega Propia CO - envio 2-3 dias</v>
      </c>
      <c r="Z358" s="1" t="str">
        <f>INDEX(T:T,MATCH(orders_desnormalizado_prueba3[[#This Row],[shipping_cost]],W:W,0))</f>
        <v>Colombia</v>
      </c>
      <c r="AA358" s="1" t="str">
        <f t="shared" si="16"/>
        <v>Barranquilla</v>
      </c>
      <c r="AB358" s="1"/>
      <c r="AC358" s="1" t="str">
        <f t="shared" si="17"/>
        <v xml:space="preserve"> </v>
      </c>
    </row>
    <row r="359" spans="1:29" x14ac:dyDescent="0.3">
      <c r="A359" s="1" t="s">
        <v>841</v>
      </c>
      <c r="B359">
        <v>1</v>
      </c>
      <c r="C359">
        <v>27.99</v>
      </c>
      <c r="D359">
        <v>27.99</v>
      </c>
      <c r="E359" s="1" t="s">
        <v>678</v>
      </c>
      <c r="F359" s="1" t="s">
        <v>40</v>
      </c>
      <c r="G359">
        <v>3</v>
      </c>
      <c r="H359" s="1" t="s">
        <v>58</v>
      </c>
      <c r="I359" s="1" t="s">
        <v>75</v>
      </c>
      <c r="J359">
        <v>9</v>
      </c>
      <c r="K359">
        <v>27.99</v>
      </c>
      <c r="L359" s="1" t="s">
        <v>28</v>
      </c>
      <c r="M359" s="1" t="s">
        <v>61</v>
      </c>
      <c r="N359" s="1" t="s">
        <v>62</v>
      </c>
      <c r="O359" s="1" t="s">
        <v>31</v>
      </c>
      <c r="P359" s="2">
        <v>45726</v>
      </c>
      <c r="Q359" s="1" t="s">
        <v>842</v>
      </c>
      <c r="R359" s="1" t="s">
        <v>843</v>
      </c>
      <c r="S359" s="1" t="s">
        <v>54</v>
      </c>
      <c r="T359" s="1" t="s">
        <v>35</v>
      </c>
      <c r="U359" s="1" t="s">
        <v>36</v>
      </c>
      <c r="V359" s="1" t="s">
        <v>37</v>
      </c>
      <c r="W359">
        <v>2</v>
      </c>
      <c r="X359" s="1" t="str">
        <f t="shared" si="15"/>
        <v>manuela.moreno133@mail.com</v>
      </c>
      <c r="Y359" s="1" t="str">
        <f>INDEX(V:V,MATCH(orders_desnormalizado_prueba3[[#This Row],[acquisition_channel]],U:U,0))</f>
        <v>Bodega Propia CO - envio 2-3 dias</v>
      </c>
      <c r="Z359" s="1" t="str">
        <f>INDEX(T:T,MATCH(orders_desnormalizado_prueba3[[#This Row],[shipping_cost]],W:W,0))</f>
        <v>Colombia</v>
      </c>
      <c r="AA359" s="1" t="str">
        <f t="shared" si="16"/>
        <v>Barranquilla</v>
      </c>
      <c r="AB359" s="1"/>
      <c r="AC359" s="1" t="str">
        <f t="shared" si="17"/>
        <v xml:space="preserve"> </v>
      </c>
    </row>
    <row r="360" spans="1:29" x14ac:dyDescent="0.3">
      <c r="A360" s="1" t="s">
        <v>844</v>
      </c>
      <c r="B360">
        <v>2</v>
      </c>
      <c r="C360">
        <v>27.99</v>
      </c>
      <c r="D360">
        <v>48.54</v>
      </c>
      <c r="E360" s="1" t="s">
        <v>845</v>
      </c>
      <c r="F360" s="1" t="s">
        <v>40</v>
      </c>
      <c r="G360">
        <v>2</v>
      </c>
      <c r="H360" s="1" t="s">
        <v>96</v>
      </c>
      <c r="I360" s="1" t="s">
        <v>75</v>
      </c>
      <c r="J360">
        <v>9</v>
      </c>
      <c r="K360">
        <v>27.99</v>
      </c>
      <c r="L360" s="1" t="s">
        <v>28</v>
      </c>
      <c r="M360" s="1" t="s">
        <v>61</v>
      </c>
      <c r="N360" s="1" t="s">
        <v>62</v>
      </c>
      <c r="O360" s="1" t="s">
        <v>31</v>
      </c>
      <c r="P360" s="2">
        <v>45726</v>
      </c>
      <c r="Q360" s="1" t="s">
        <v>526</v>
      </c>
      <c r="R360" s="1" t="s">
        <v>846</v>
      </c>
      <c r="S360" s="1" t="s">
        <v>47</v>
      </c>
      <c r="T360" s="1" t="s">
        <v>35</v>
      </c>
      <c r="U360" s="1" t="s">
        <v>55</v>
      </c>
      <c r="V360" s="1" t="s">
        <v>37</v>
      </c>
      <c r="W360">
        <v>2</v>
      </c>
      <c r="X360" s="1" t="str">
        <f t="shared" si="15"/>
        <v>daniela.diaz127@mail.com</v>
      </c>
      <c r="Y360" s="1" t="str">
        <f>INDEX(V:V,MATCH(orders_desnormalizado_prueba3[[#This Row],[acquisition_channel]],U:U,0))</f>
        <v>Bodega Propia CO - envio 2-3 dias</v>
      </c>
      <c r="Z360" s="1" t="str">
        <f>INDEX(T:T,MATCH(orders_desnormalizado_prueba3[[#This Row],[shipping_cost]],W:W,0))</f>
        <v>Colombia</v>
      </c>
      <c r="AA360" s="1" t="str">
        <f t="shared" si="16"/>
        <v>Medellin</v>
      </c>
      <c r="AB360" s="1"/>
      <c r="AC360" s="1" t="str">
        <f t="shared" si="17"/>
        <v xml:space="preserve"> </v>
      </c>
    </row>
    <row r="361" spans="1:29" x14ac:dyDescent="0.3">
      <c r="A361" s="1" t="s">
        <v>847</v>
      </c>
      <c r="B361">
        <v>3</v>
      </c>
      <c r="C361">
        <v>27.99</v>
      </c>
      <c r="D361">
        <v>67.92</v>
      </c>
      <c r="E361" s="1" t="s">
        <v>704</v>
      </c>
      <c r="F361" s="1" t="s">
        <v>40</v>
      </c>
      <c r="G361">
        <v>3</v>
      </c>
      <c r="H361" s="1" t="s">
        <v>41</v>
      </c>
      <c r="I361" s="1" t="s">
        <v>75</v>
      </c>
      <c r="J361">
        <v>9</v>
      </c>
      <c r="K361">
        <v>27.99</v>
      </c>
      <c r="L361" s="1" t="s">
        <v>28</v>
      </c>
      <c r="M361" s="1" t="s">
        <v>61</v>
      </c>
      <c r="N361" s="1" t="s">
        <v>62</v>
      </c>
      <c r="O361" s="1" t="s">
        <v>31</v>
      </c>
      <c r="P361" s="2">
        <v>45726</v>
      </c>
      <c r="Q361" s="1" t="s">
        <v>768</v>
      </c>
      <c r="R361" s="1" t="s">
        <v>769</v>
      </c>
      <c r="S361" s="1" t="s">
        <v>54</v>
      </c>
      <c r="T361" s="1" t="s">
        <v>35</v>
      </c>
      <c r="U361" s="1" t="s">
        <v>36</v>
      </c>
      <c r="V361" s="1" t="s">
        <v>37</v>
      </c>
      <c r="W361">
        <v>2</v>
      </c>
      <c r="X361" s="1" t="str">
        <f t="shared" si="15"/>
        <v>isabella.martinez177@mail.com</v>
      </c>
      <c r="Y361" s="1" t="str">
        <f>INDEX(V:V,MATCH(orders_desnormalizado_prueba3[[#This Row],[acquisition_channel]],U:U,0))</f>
        <v>Bodega Propia CO - envio 2-3 dias</v>
      </c>
      <c r="Z361" s="1" t="str">
        <f>INDEX(T:T,MATCH(orders_desnormalizado_prueba3[[#This Row],[shipping_cost]],W:W,0))</f>
        <v>Colombia</v>
      </c>
      <c r="AA361" s="1" t="str">
        <f t="shared" si="16"/>
        <v>Barranquilla</v>
      </c>
      <c r="AB361" s="1"/>
      <c r="AC361" s="1" t="str">
        <f t="shared" si="17"/>
        <v xml:space="preserve"> </v>
      </c>
    </row>
    <row r="362" spans="1:29" x14ac:dyDescent="0.3">
      <c r="A362" s="1" t="s">
        <v>848</v>
      </c>
      <c r="B362">
        <v>2</v>
      </c>
      <c r="C362">
        <v>34.99</v>
      </c>
      <c r="D362">
        <v>60.06</v>
      </c>
      <c r="E362" s="1" t="s">
        <v>849</v>
      </c>
      <c r="F362" s="1" t="s">
        <v>25</v>
      </c>
      <c r="G362">
        <v>8</v>
      </c>
      <c r="H362" s="1" t="s">
        <v>96</v>
      </c>
      <c r="I362" s="1" t="s">
        <v>85</v>
      </c>
      <c r="J362">
        <v>12.5</v>
      </c>
      <c r="K362">
        <v>34.99</v>
      </c>
      <c r="L362" s="1" t="s">
        <v>60</v>
      </c>
      <c r="M362" s="1" t="s">
        <v>29</v>
      </c>
      <c r="N362" s="1" t="s">
        <v>30</v>
      </c>
      <c r="O362" s="1" t="s">
        <v>31</v>
      </c>
      <c r="P362" s="2">
        <v>45778</v>
      </c>
      <c r="Q362" s="1" t="s">
        <v>850</v>
      </c>
      <c r="R362" s="1" t="s">
        <v>851</v>
      </c>
      <c r="S362" s="1" t="s">
        <v>65</v>
      </c>
      <c r="T362" s="1" t="s">
        <v>35</v>
      </c>
      <c r="U362" s="1" t="s">
        <v>36</v>
      </c>
      <c r="V362" s="1" t="s">
        <v>89</v>
      </c>
      <c r="W362">
        <v>2.4</v>
      </c>
      <c r="X362" s="1" t="str">
        <f t="shared" si="15"/>
        <v>natalia.moreno134@mail.com</v>
      </c>
      <c r="Y362" s="1" t="str">
        <f>INDEX(V:V,MATCH(orders_desnormalizado_prueba3[[#This Row],[acquisition_channel]],U:U,0))</f>
        <v>Bodega Propia CO - envio 2-3 dias</v>
      </c>
      <c r="Z362" s="1" t="str">
        <f>INDEX(T:T,MATCH(orders_desnormalizado_prueba3[[#This Row],[shipping_cost]],W:W,0))</f>
        <v>Colombia</v>
      </c>
      <c r="AA362" s="1" t="str">
        <f t="shared" si="16"/>
        <v>Barranquilla</v>
      </c>
      <c r="AB362" s="1"/>
      <c r="AC362" s="1" t="str">
        <f t="shared" si="17"/>
        <v xml:space="preserve"> </v>
      </c>
    </row>
    <row r="363" spans="1:29" x14ac:dyDescent="0.3">
      <c r="A363" s="1" t="s">
        <v>852</v>
      </c>
      <c r="B363">
        <v>1</v>
      </c>
      <c r="C363">
        <v>27.99</v>
      </c>
      <c r="D363">
        <v>27.99</v>
      </c>
      <c r="E363" s="1" t="s">
        <v>121</v>
      </c>
      <c r="F363" s="1" t="s">
        <v>40</v>
      </c>
      <c r="G363">
        <v>2</v>
      </c>
      <c r="H363" s="1" t="s">
        <v>96</v>
      </c>
      <c r="I363" s="1" t="s">
        <v>75</v>
      </c>
      <c r="J363">
        <v>9</v>
      </c>
      <c r="K363">
        <v>27.99</v>
      </c>
      <c r="L363" s="1" t="s">
        <v>28</v>
      </c>
      <c r="M363" s="1" t="s">
        <v>61</v>
      </c>
      <c r="N363" s="1" t="s">
        <v>62</v>
      </c>
      <c r="O363" s="1" t="s">
        <v>31</v>
      </c>
      <c r="P363" s="2">
        <v>45726</v>
      </c>
      <c r="Q363" s="1" t="s">
        <v>853</v>
      </c>
      <c r="R363" s="1" t="s">
        <v>854</v>
      </c>
      <c r="S363" s="1" t="s">
        <v>34</v>
      </c>
      <c r="T363" s="1" t="s">
        <v>35</v>
      </c>
      <c r="U363" s="1" t="s">
        <v>36</v>
      </c>
      <c r="V363" s="1" t="s">
        <v>37</v>
      </c>
      <c r="W363">
        <v>2</v>
      </c>
      <c r="X363" s="1" t="str">
        <f t="shared" si="15"/>
        <v>camila.moreno80@mail.com</v>
      </c>
      <c r="Y363" s="1" t="str">
        <f>INDEX(V:V,MATCH(orders_desnormalizado_prueba3[[#This Row],[acquisition_channel]],U:U,0))</f>
        <v>Bodega Propia CO - envio 2-3 dias</v>
      </c>
      <c r="Z363" s="1" t="str">
        <f>INDEX(T:T,MATCH(orders_desnormalizado_prueba3[[#This Row],[shipping_cost]],W:W,0))</f>
        <v>Colombia</v>
      </c>
      <c r="AA363" s="1" t="str">
        <f t="shared" si="16"/>
        <v>Medellin</v>
      </c>
      <c r="AB363" s="1"/>
      <c r="AC363" s="1" t="str">
        <f t="shared" si="17"/>
        <v xml:space="preserve"> </v>
      </c>
    </row>
    <row r="364" spans="1:29" x14ac:dyDescent="0.3">
      <c r="A364" s="1" t="s">
        <v>855</v>
      </c>
      <c r="B364">
        <v>1</v>
      </c>
      <c r="C364">
        <v>30.99</v>
      </c>
      <c r="D364">
        <v>30.99</v>
      </c>
      <c r="E364" s="1" t="s">
        <v>856</v>
      </c>
      <c r="F364" s="1" t="s">
        <v>40</v>
      </c>
      <c r="G364">
        <v>3</v>
      </c>
      <c r="H364" s="1" t="s">
        <v>58</v>
      </c>
      <c r="I364" s="1" t="s">
        <v>42</v>
      </c>
      <c r="J364">
        <v>10.5</v>
      </c>
      <c r="K364">
        <v>30.99</v>
      </c>
      <c r="L364" s="1" t="s">
        <v>28</v>
      </c>
      <c r="M364" s="1" t="s">
        <v>43</v>
      </c>
      <c r="N364" s="1" t="s">
        <v>44</v>
      </c>
      <c r="O364" s="1" t="s">
        <v>31</v>
      </c>
      <c r="P364" s="2">
        <v>45823</v>
      </c>
      <c r="Q364" s="1" t="s">
        <v>783</v>
      </c>
      <c r="R364" s="1" t="s">
        <v>784</v>
      </c>
      <c r="S364" s="1" t="s">
        <v>34</v>
      </c>
      <c r="T364" s="1" t="s">
        <v>35</v>
      </c>
      <c r="U364" s="1" t="s">
        <v>55</v>
      </c>
      <c r="V364" s="1" t="s">
        <v>37</v>
      </c>
      <c r="W364">
        <v>2</v>
      </c>
      <c r="X364" s="1" t="str">
        <f t="shared" si="15"/>
        <v>santiago.castro71@mail.com</v>
      </c>
      <c r="Y364" s="1" t="str">
        <f>INDEX(V:V,MATCH(orders_desnormalizado_prueba3[[#This Row],[acquisition_channel]],U:U,0))</f>
        <v>Bodega Propia CO - envio 2-3 dias</v>
      </c>
      <c r="Z364" s="1" t="str">
        <f>INDEX(T:T,MATCH(orders_desnormalizado_prueba3[[#This Row],[shipping_cost]],W:W,0))</f>
        <v>Colombia</v>
      </c>
      <c r="AA364" s="1" t="str">
        <f t="shared" si="16"/>
        <v>Barranquilla</v>
      </c>
      <c r="AB364" s="1"/>
      <c r="AC364" s="1" t="str">
        <f t="shared" si="17"/>
        <v xml:space="preserve"> </v>
      </c>
    </row>
    <row r="365" spans="1:29" x14ac:dyDescent="0.3">
      <c r="A365" s="1" t="s">
        <v>857</v>
      </c>
      <c r="B365">
        <v>2</v>
      </c>
      <c r="C365">
        <v>18.989999999999998</v>
      </c>
      <c r="D365">
        <v>32.83</v>
      </c>
      <c r="E365" s="1" t="s">
        <v>858</v>
      </c>
      <c r="F365" s="1" t="s">
        <v>188</v>
      </c>
      <c r="G365">
        <v>0</v>
      </c>
      <c r="H365" s="1" t="s">
        <v>58</v>
      </c>
      <c r="I365" s="1" t="s">
        <v>97</v>
      </c>
      <c r="J365">
        <v>6</v>
      </c>
      <c r="K365">
        <v>18.989999999999998</v>
      </c>
      <c r="L365" s="1" t="s">
        <v>60</v>
      </c>
      <c r="M365" s="1" t="s">
        <v>43</v>
      </c>
      <c r="N365" s="1" t="s">
        <v>44</v>
      </c>
      <c r="O365" s="1" t="s">
        <v>31</v>
      </c>
      <c r="P365" s="2">
        <v>45823</v>
      </c>
      <c r="Q365" s="1" t="s">
        <v>859</v>
      </c>
      <c r="R365" s="1" t="s">
        <v>860</v>
      </c>
      <c r="S365" s="1" t="s">
        <v>34</v>
      </c>
      <c r="T365" s="1" t="s">
        <v>35</v>
      </c>
      <c r="U365" s="1" t="s">
        <v>48</v>
      </c>
      <c r="V365" s="1" t="s">
        <v>100</v>
      </c>
      <c r="W365">
        <v>3.2</v>
      </c>
      <c r="X365" s="1" t="str">
        <f t="shared" si="15"/>
        <v>alejandro.sanchez135@mail.com</v>
      </c>
      <c r="Y365" s="1" t="str">
        <f>INDEX(V:V,MATCH(orders_desnormalizado_prueba3[[#This Row],[acquisition_channel]],U:U,0))</f>
        <v>Bodega Propia CO - envio 2-3 dias</v>
      </c>
      <c r="Z365" s="1" t="str">
        <f>INDEX(T:T,MATCH(orders_desnormalizado_prueba3[[#This Row],[shipping_cost]],W:W,0))</f>
        <v>Colombia</v>
      </c>
      <c r="AA365" s="1" t="str">
        <f t="shared" si="16"/>
        <v>Cartagena</v>
      </c>
      <c r="AB365" s="1"/>
      <c r="AC365" s="1" t="str">
        <f t="shared" si="17"/>
        <v xml:space="preserve"> </v>
      </c>
    </row>
    <row r="366" spans="1:29" x14ac:dyDescent="0.3">
      <c r="A366" s="1" t="s">
        <v>861</v>
      </c>
      <c r="B366">
        <v>1</v>
      </c>
      <c r="C366">
        <v>21.99</v>
      </c>
      <c r="D366">
        <v>21.99</v>
      </c>
      <c r="E366" s="1" t="s">
        <v>862</v>
      </c>
      <c r="F366" s="1" t="s">
        <v>40</v>
      </c>
      <c r="G366">
        <v>2</v>
      </c>
      <c r="H366" s="1" t="s">
        <v>26</v>
      </c>
      <c r="I366" s="1" t="s">
        <v>27</v>
      </c>
      <c r="J366">
        <v>7</v>
      </c>
      <c r="K366">
        <v>21.99</v>
      </c>
      <c r="L366" s="1" t="s">
        <v>28</v>
      </c>
      <c r="M366" s="1" t="s">
        <v>29</v>
      </c>
      <c r="N366" s="1" t="s">
        <v>30</v>
      </c>
      <c r="O366" s="1" t="s">
        <v>31</v>
      </c>
      <c r="P366" s="2">
        <v>45778</v>
      </c>
      <c r="Q366" s="1" t="s">
        <v>768</v>
      </c>
      <c r="R366" s="1" t="s">
        <v>769</v>
      </c>
      <c r="S366" s="1" t="s">
        <v>54</v>
      </c>
      <c r="T366" s="1" t="s">
        <v>35</v>
      </c>
      <c r="U366" s="1" t="s">
        <v>36</v>
      </c>
      <c r="V366" s="1" t="s">
        <v>37</v>
      </c>
      <c r="W366">
        <v>2</v>
      </c>
      <c r="X366" s="1" t="str">
        <f t="shared" si="15"/>
        <v>isabella.martinez177@mail.com</v>
      </c>
      <c r="Y366" s="1" t="str">
        <f>INDEX(V:V,MATCH(orders_desnormalizado_prueba3[[#This Row],[acquisition_channel]],U:U,0))</f>
        <v>Bodega Propia CO - envio 2-3 dias</v>
      </c>
      <c r="Z366" s="1" t="str">
        <f>INDEX(T:T,MATCH(orders_desnormalizado_prueba3[[#This Row],[shipping_cost]],W:W,0))</f>
        <v>Colombia</v>
      </c>
      <c r="AA366" s="1" t="str">
        <f t="shared" si="16"/>
        <v>Medellin</v>
      </c>
      <c r="AB366" s="1"/>
      <c r="AC366" s="1" t="str">
        <f t="shared" si="17"/>
        <v xml:space="preserve"> </v>
      </c>
    </row>
    <row r="367" spans="1:29" x14ac:dyDescent="0.3">
      <c r="A367" s="1" t="s">
        <v>863</v>
      </c>
      <c r="B367">
        <v>1</v>
      </c>
      <c r="C367">
        <v>18.989999999999998</v>
      </c>
      <c r="D367">
        <v>18.989999999999998</v>
      </c>
      <c r="E367" s="1" t="s">
        <v>864</v>
      </c>
      <c r="F367" s="1" t="s">
        <v>40</v>
      </c>
      <c r="G367">
        <v>10</v>
      </c>
      <c r="H367" s="1" t="s">
        <v>41</v>
      </c>
      <c r="I367" s="1" t="s">
        <v>97</v>
      </c>
      <c r="J367">
        <v>6</v>
      </c>
      <c r="K367">
        <v>18.989999999999998</v>
      </c>
      <c r="L367" s="1" t="s">
        <v>60</v>
      </c>
      <c r="M367" s="1" t="s">
        <v>43</v>
      </c>
      <c r="N367" s="1" t="s">
        <v>44</v>
      </c>
      <c r="O367" s="1" t="s">
        <v>31</v>
      </c>
      <c r="P367" s="2">
        <v>45823</v>
      </c>
      <c r="Q367" s="1" t="s">
        <v>865</v>
      </c>
      <c r="R367" s="1" t="s">
        <v>866</v>
      </c>
      <c r="S367" s="1" t="s">
        <v>105</v>
      </c>
      <c r="T367" s="1" t="s">
        <v>35</v>
      </c>
      <c r="U367" s="1" t="s">
        <v>36</v>
      </c>
      <c r="V367" s="1" t="s">
        <v>100</v>
      </c>
      <c r="W367">
        <v>3.2</v>
      </c>
      <c r="X367" s="1" t="str">
        <f t="shared" si="15"/>
        <v>juan.ortiz87@mail.com</v>
      </c>
      <c r="Y367" s="1" t="str">
        <f>INDEX(V:V,MATCH(orders_desnormalizado_prueba3[[#This Row],[acquisition_channel]],U:U,0))</f>
        <v>Bodega Propia CO - envio 2-3 dias</v>
      </c>
      <c r="Z367" s="1" t="str">
        <f>INDEX(T:T,MATCH(orders_desnormalizado_prueba3[[#This Row],[shipping_cost]],W:W,0))</f>
        <v>Colombia</v>
      </c>
      <c r="AA367" s="1" t="str">
        <f t="shared" si="16"/>
        <v>Bogota</v>
      </c>
      <c r="AB367" s="1"/>
      <c r="AC367" s="1" t="str">
        <f t="shared" si="17"/>
        <v xml:space="preserve"> </v>
      </c>
    </row>
    <row r="368" spans="1:29" x14ac:dyDescent="0.3">
      <c r="A368" s="1" t="s">
        <v>867</v>
      </c>
      <c r="B368">
        <v>1</v>
      </c>
      <c r="C368">
        <v>27.99</v>
      </c>
      <c r="D368">
        <v>27.99</v>
      </c>
      <c r="E368" s="1" t="s">
        <v>868</v>
      </c>
      <c r="F368" s="1" t="s">
        <v>51</v>
      </c>
      <c r="G368">
        <v>0</v>
      </c>
      <c r="H368" s="1" t="s">
        <v>41</v>
      </c>
      <c r="I368" s="1" t="s">
        <v>75</v>
      </c>
      <c r="J368">
        <v>9</v>
      </c>
      <c r="K368">
        <v>27.99</v>
      </c>
      <c r="L368" s="1" t="s">
        <v>28</v>
      </c>
      <c r="M368" s="1" t="s">
        <v>61</v>
      </c>
      <c r="N368" s="1" t="s">
        <v>62</v>
      </c>
      <c r="O368" s="1" t="s">
        <v>31</v>
      </c>
      <c r="P368" s="2">
        <v>45726</v>
      </c>
      <c r="Q368" s="1" t="s">
        <v>869</v>
      </c>
      <c r="R368" s="1" t="s">
        <v>870</v>
      </c>
      <c r="S368" s="1" t="s">
        <v>88</v>
      </c>
      <c r="T368" s="1" t="s">
        <v>35</v>
      </c>
      <c r="U368" s="1" t="s">
        <v>55</v>
      </c>
      <c r="V368" s="1" t="s">
        <v>37</v>
      </c>
      <c r="W368">
        <v>2</v>
      </c>
      <c r="X368" s="1" t="str">
        <f t="shared" si="15"/>
        <v>sofia.jimenez82@mail.com</v>
      </c>
      <c r="Y368" s="1" t="str">
        <f>INDEX(V:V,MATCH(orders_desnormalizado_prueba3[[#This Row],[acquisition_channel]],U:U,0))</f>
        <v>Bodega Propia CO - envio 2-3 dias</v>
      </c>
      <c r="Z368" s="1" t="str">
        <f>INDEX(T:T,MATCH(orders_desnormalizado_prueba3[[#This Row],[shipping_cost]],W:W,0))</f>
        <v>Colombia</v>
      </c>
      <c r="AA368" s="1" t="str">
        <f t="shared" si="16"/>
        <v>Cartagena</v>
      </c>
      <c r="AB368" s="1"/>
      <c r="AC368" s="1" t="str">
        <f t="shared" si="17"/>
        <v xml:space="preserve"> </v>
      </c>
    </row>
    <row r="369" spans="1:29" x14ac:dyDescent="0.3">
      <c r="A369" s="1" t="s">
        <v>871</v>
      </c>
      <c r="B369">
        <v>1</v>
      </c>
      <c r="C369">
        <v>30.99</v>
      </c>
      <c r="D369">
        <v>30.99</v>
      </c>
      <c r="E369" s="1" t="s">
        <v>872</v>
      </c>
      <c r="F369" s="1" t="s">
        <v>70</v>
      </c>
      <c r="G369">
        <v>0</v>
      </c>
      <c r="H369" s="1" t="s">
        <v>96</v>
      </c>
      <c r="I369" s="1" t="s">
        <v>42</v>
      </c>
      <c r="J369">
        <v>10.5</v>
      </c>
      <c r="K369">
        <v>30.99</v>
      </c>
      <c r="L369" s="1" t="s">
        <v>28</v>
      </c>
      <c r="M369" s="1" t="s">
        <v>43</v>
      </c>
      <c r="N369" s="1" t="s">
        <v>44</v>
      </c>
      <c r="O369" s="1" t="s">
        <v>31</v>
      </c>
      <c r="P369" s="2">
        <v>45823</v>
      </c>
      <c r="Q369" s="1" t="s">
        <v>873</v>
      </c>
      <c r="R369" s="1" t="s">
        <v>874</v>
      </c>
      <c r="S369" s="1" t="s">
        <v>105</v>
      </c>
      <c r="T369" s="1" t="s">
        <v>35</v>
      </c>
      <c r="U369" s="1" t="s">
        <v>48</v>
      </c>
      <c r="V369" s="1" t="s">
        <v>37</v>
      </c>
      <c r="W369">
        <v>2</v>
      </c>
      <c r="X369" s="1" t="str">
        <f t="shared" si="15"/>
        <v>fernanda.sanchez183@mail.com</v>
      </c>
      <c r="Y369" s="1" t="str">
        <f>INDEX(V:V,MATCH(orders_desnormalizado_prueba3[[#This Row],[acquisition_channel]],U:U,0))</f>
        <v>Bodega Propia CO - envio 2-3 dias</v>
      </c>
      <c r="Z369" s="1" t="str">
        <f>INDEX(T:T,MATCH(orders_desnormalizado_prueba3[[#This Row],[shipping_cost]],W:W,0))</f>
        <v>Colombia</v>
      </c>
      <c r="AA369" s="1" t="str">
        <f t="shared" si="16"/>
        <v>Cartagena</v>
      </c>
      <c r="AB369" s="1"/>
      <c r="AC369" s="1" t="str">
        <f t="shared" si="17"/>
        <v xml:space="preserve"> </v>
      </c>
    </row>
    <row r="370" spans="1:29" x14ac:dyDescent="0.3">
      <c r="A370" s="1" t="s">
        <v>875</v>
      </c>
      <c r="B370">
        <v>1</v>
      </c>
      <c r="C370">
        <v>18.989999999999998</v>
      </c>
      <c r="D370">
        <v>18.989999999999998</v>
      </c>
      <c r="E370" s="1" t="s">
        <v>731</v>
      </c>
      <c r="F370" s="1" t="s">
        <v>188</v>
      </c>
      <c r="G370">
        <v>0</v>
      </c>
      <c r="H370" s="1" t="s">
        <v>26</v>
      </c>
      <c r="I370" s="1" t="s">
        <v>97</v>
      </c>
      <c r="J370">
        <v>6</v>
      </c>
      <c r="K370">
        <v>18.989999999999998</v>
      </c>
      <c r="L370" s="1" t="s">
        <v>60</v>
      </c>
      <c r="M370" s="1" t="s">
        <v>43</v>
      </c>
      <c r="N370" s="1" t="s">
        <v>44</v>
      </c>
      <c r="O370" s="1" t="s">
        <v>31</v>
      </c>
      <c r="P370" s="2">
        <v>45823</v>
      </c>
      <c r="Q370" s="1" t="s">
        <v>203</v>
      </c>
      <c r="R370" s="1" t="s">
        <v>876</v>
      </c>
      <c r="S370" s="1" t="s">
        <v>54</v>
      </c>
      <c r="T370" s="1" t="s">
        <v>35</v>
      </c>
      <c r="U370" s="1" t="s">
        <v>82</v>
      </c>
      <c r="V370" s="1" t="s">
        <v>100</v>
      </c>
      <c r="W370">
        <v>3.2</v>
      </c>
      <c r="X370" s="1" t="str">
        <f t="shared" si="15"/>
        <v>daniela.martinez158@mail.com</v>
      </c>
      <c r="Y370" s="1" t="str">
        <f>INDEX(V:V,MATCH(orders_desnormalizado_prueba3[[#This Row],[acquisition_channel]],U:U,0))</f>
        <v>Bodega Propia CO - envio 2-3 dias</v>
      </c>
      <c r="Z370" s="1" t="str">
        <f>INDEX(T:T,MATCH(orders_desnormalizado_prueba3[[#This Row],[shipping_cost]],W:W,0))</f>
        <v>Colombia</v>
      </c>
      <c r="AA370" s="1" t="str">
        <f t="shared" si="16"/>
        <v>Cartagena</v>
      </c>
      <c r="AB370" s="1"/>
      <c r="AC370" s="1" t="str">
        <f t="shared" si="17"/>
        <v xml:space="preserve"> </v>
      </c>
    </row>
    <row r="371" spans="1:29" x14ac:dyDescent="0.3">
      <c r="A371" s="1" t="s">
        <v>877</v>
      </c>
      <c r="B371">
        <v>1</v>
      </c>
      <c r="C371">
        <v>21.99</v>
      </c>
      <c r="D371">
        <v>21.99</v>
      </c>
      <c r="E371" s="1" t="s">
        <v>252</v>
      </c>
      <c r="F371" s="1" t="s">
        <v>51</v>
      </c>
      <c r="G371">
        <v>0</v>
      </c>
      <c r="H371" s="1" t="s">
        <v>96</v>
      </c>
      <c r="I371" s="1" t="s">
        <v>27</v>
      </c>
      <c r="J371">
        <v>7</v>
      </c>
      <c r="K371">
        <v>21.99</v>
      </c>
      <c r="L371" s="1" t="s">
        <v>28</v>
      </c>
      <c r="M371" s="1" t="s">
        <v>29</v>
      </c>
      <c r="N371" s="1" t="s">
        <v>30</v>
      </c>
      <c r="O371" s="1" t="s">
        <v>31</v>
      </c>
      <c r="P371" s="2">
        <v>45778</v>
      </c>
      <c r="Q371" s="1" t="s">
        <v>873</v>
      </c>
      <c r="R371" s="1" t="s">
        <v>874</v>
      </c>
      <c r="S371" s="1" t="s">
        <v>105</v>
      </c>
      <c r="T371" s="1" t="s">
        <v>35</v>
      </c>
      <c r="U371" s="1" t="s">
        <v>48</v>
      </c>
      <c r="V371" s="1" t="s">
        <v>37</v>
      </c>
      <c r="W371">
        <v>2</v>
      </c>
      <c r="X371" s="1" t="str">
        <f t="shared" si="15"/>
        <v>fernanda.sanchez183@mail.com</v>
      </c>
      <c r="Y371" s="1" t="str">
        <f>INDEX(V:V,MATCH(orders_desnormalizado_prueba3[[#This Row],[acquisition_channel]],U:U,0))</f>
        <v>Bodega Propia CO - envio 2-3 dias</v>
      </c>
      <c r="Z371" s="1" t="str">
        <f>INDEX(T:T,MATCH(orders_desnormalizado_prueba3[[#This Row],[shipping_cost]],W:W,0))</f>
        <v>Colombia</v>
      </c>
      <c r="AA371" s="1" t="str">
        <f t="shared" si="16"/>
        <v>Cartagena</v>
      </c>
      <c r="AB371" s="1"/>
      <c r="AC371" s="1" t="str">
        <f t="shared" si="17"/>
        <v xml:space="preserve"> </v>
      </c>
    </row>
    <row r="372" spans="1:29" x14ac:dyDescent="0.3">
      <c r="A372" s="1" t="s">
        <v>878</v>
      </c>
      <c r="B372">
        <v>1</v>
      </c>
      <c r="C372">
        <v>21.99</v>
      </c>
      <c r="D372">
        <v>21.99</v>
      </c>
      <c r="E372" s="1" t="s">
        <v>334</v>
      </c>
      <c r="F372" s="1" t="s">
        <v>40</v>
      </c>
      <c r="G372">
        <v>2</v>
      </c>
      <c r="H372" s="1" t="s">
        <v>96</v>
      </c>
      <c r="I372" s="1" t="s">
        <v>27</v>
      </c>
      <c r="J372">
        <v>7</v>
      </c>
      <c r="K372">
        <v>21.99</v>
      </c>
      <c r="L372" s="1" t="s">
        <v>28</v>
      </c>
      <c r="M372" s="1" t="s">
        <v>29</v>
      </c>
      <c r="N372" s="1" t="s">
        <v>30</v>
      </c>
      <c r="O372" s="1" t="s">
        <v>31</v>
      </c>
      <c r="P372" s="2">
        <v>45778</v>
      </c>
      <c r="Q372" s="1" t="s">
        <v>832</v>
      </c>
      <c r="R372" s="1" t="s">
        <v>879</v>
      </c>
      <c r="S372" s="1" t="s">
        <v>105</v>
      </c>
      <c r="T372" s="1" t="s">
        <v>35</v>
      </c>
      <c r="U372" s="1" t="s">
        <v>66</v>
      </c>
      <c r="V372" s="1" t="s">
        <v>37</v>
      </c>
      <c r="W372">
        <v>2</v>
      </c>
      <c r="X372" s="1" t="str">
        <f t="shared" si="15"/>
        <v>nicolas.vargas144@mail.com</v>
      </c>
      <c r="Y372" s="1" t="str">
        <f>INDEX(V:V,MATCH(orders_desnormalizado_prueba3[[#This Row],[acquisition_channel]],U:U,0))</f>
        <v>AliDropship CN - envio 15-20 dias</v>
      </c>
      <c r="Z372" s="1" t="str">
        <f>INDEX(T:T,MATCH(orders_desnormalizado_prueba3[[#This Row],[shipping_cost]],W:W,0))</f>
        <v>Colombia</v>
      </c>
      <c r="AA372" s="1" t="str">
        <f t="shared" si="16"/>
        <v>Medellin</v>
      </c>
      <c r="AB372" s="1"/>
      <c r="AC372" s="1" t="str">
        <f t="shared" si="17"/>
        <v xml:space="preserve"> </v>
      </c>
    </row>
    <row r="373" spans="1:29" x14ac:dyDescent="0.3">
      <c r="A373" s="1" t="s">
        <v>880</v>
      </c>
      <c r="B373">
        <v>3</v>
      </c>
      <c r="C373">
        <v>21.99</v>
      </c>
      <c r="D373">
        <v>52.09</v>
      </c>
      <c r="E373" s="1" t="s">
        <v>881</v>
      </c>
      <c r="F373" s="1" t="s">
        <v>40</v>
      </c>
      <c r="G373">
        <v>3</v>
      </c>
      <c r="H373" s="1" t="s">
        <v>58</v>
      </c>
      <c r="I373" s="1" t="s">
        <v>27</v>
      </c>
      <c r="J373">
        <v>7</v>
      </c>
      <c r="K373">
        <v>21.99</v>
      </c>
      <c r="L373" s="1" t="s">
        <v>28</v>
      </c>
      <c r="M373" s="1" t="s">
        <v>29</v>
      </c>
      <c r="N373" s="1" t="s">
        <v>30</v>
      </c>
      <c r="O373" s="1" t="s">
        <v>31</v>
      </c>
      <c r="P373" s="2">
        <v>45778</v>
      </c>
      <c r="Q373" s="1" t="s">
        <v>859</v>
      </c>
      <c r="R373" s="1" t="s">
        <v>860</v>
      </c>
      <c r="S373" s="1" t="s">
        <v>34</v>
      </c>
      <c r="T373" s="1" t="s">
        <v>35</v>
      </c>
      <c r="U373" s="1" t="s">
        <v>48</v>
      </c>
      <c r="V373" s="1" t="s">
        <v>37</v>
      </c>
      <c r="W373">
        <v>2</v>
      </c>
      <c r="X373" s="1" t="str">
        <f t="shared" si="15"/>
        <v>alejandro.sanchez135@mail.com</v>
      </c>
      <c r="Y373" s="1" t="str">
        <f>INDEX(V:V,MATCH(orders_desnormalizado_prueba3[[#This Row],[acquisition_channel]],U:U,0))</f>
        <v>Bodega Propia CO - envio 2-3 dias</v>
      </c>
      <c r="Z373" s="1" t="str">
        <f>INDEX(T:T,MATCH(orders_desnormalizado_prueba3[[#This Row],[shipping_cost]],W:W,0))</f>
        <v>Colombia</v>
      </c>
      <c r="AA373" s="1" t="str">
        <f t="shared" si="16"/>
        <v>Barranquilla</v>
      </c>
      <c r="AB373" s="1"/>
      <c r="AC373" s="1" t="str">
        <f t="shared" si="17"/>
        <v xml:space="preserve"> </v>
      </c>
    </row>
    <row r="374" spans="1:29" x14ac:dyDescent="0.3">
      <c r="A374" s="1" t="s">
        <v>882</v>
      </c>
      <c r="B374">
        <v>1</v>
      </c>
      <c r="C374">
        <v>21.99</v>
      </c>
      <c r="D374">
        <v>21.99</v>
      </c>
      <c r="E374" s="1" t="s">
        <v>883</v>
      </c>
      <c r="F374" s="1" t="s">
        <v>70</v>
      </c>
      <c r="G374">
        <v>0</v>
      </c>
      <c r="H374" s="1" t="s">
        <v>96</v>
      </c>
      <c r="I374" s="1" t="s">
        <v>27</v>
      </c>
      <c r="J374">
        <v>7</v>
      </c>
      <c r="K374">
        <v>21.99</v>
      </c>
      <c r="L374" s="1" t="s">
        <v>28</v>
      </c>
      <c r="M374" s="1" t="s">
        <v>29</v>
      </c>
      <c r="N374" s="1" t="s">
        <v>30</v>
      </c>
      <c r="O374" s="1" t="s">
        <v>31</v>
      </c>
      <c r="P374" s="2">
        <v>45778</v>
      </c>
      <c r="Q374" s="1" t="s">
        <v>884</v>
      </c>
      <c r="R374" s="1" t="s">
        <v>885</v>
      </c>
      <c r="S374" s="1" t="s">
        <v>34</v>
      </c>
      <c r="T374" s="1" t="s">
        <v>35</v>
      </c>
      <c r="U374" s="1" t="s">
        <v>36</v>
      </c>
      <c r="V374" s="1" t="s">
        <v>37</v>
      </c>
      <c r="W374">
        <v>2</v>
      </c>
      <c r="X374" s="1" t="str">
        <f t="shared" si="15"/>
        <v>paula.martinez72@mail.com</v>
      </c>
      <c r="Y374" s="1" t="str">
        <f>INDEX(V:V,MATCH(orders_desnormalizado_prueba3[[#This Row],[acquisition_channel]],U:U,0))</f>
        <v>Bodega Propia CO - envio 2-3 dias</v>
      </c>
      <c r="Z374" s="1" t="str">
        <f>INDEX(T:T,MATCH(orders_desnormalizado_prueba3[[#This Row],[shipping_cost]],W:W,0))</f>
        <v>Colombia</v>
      </c>
      <c r="AA374" s="1" t="str">
        <f t="shared" si="16"/>
        <v>Cartagena</v>
      </c>
      <c r="AB374" s="1"/>
      <c r="AC374" s="1" t="str">
        <f t="shared" si="17"/>
        <v xml:space="preserve"> </v>
      </c>
    </row>
    <row r="375" spans="1:29" x14ac:dyDescent="0.3">
      <c r="A375" s="1" t="s">
        <v>886</v>
      </c>
      <c r="B375">
        <v>1</v>
      </c>
      <c r="C375">
        <v>18.989999999999998</v>
      </c>
      <c r="D375">
        <v>18.989999999999998</v>
      </c>
      <c r="E375" s="1" t="s">
        <v>887</v>
      </c>
      <c r="F375" s="1" t="s">
        <v>51</v>
      </c>
      <c r="G375">
        <v>0</v>
      </c>
      <c r="H375" s="1" t="s">
        <v>96</v>
      </c>
      <c r="I375" s="1" t="s">
        <v>97</v>
      </c>
      <c r="J375">
        <v>6</v>
      </c>
      <c r="K375">
        <v>18.989999999999998</v>
      </c>
      <c r="L375" s="1" t="s">
        <v>60</v>
      </c>
      <c r="M375" s="1" t="s">
        <v>43</v>
      </c>
      <c r="N375" s="1" t="s">
        <v>44</v>
      </c>
      <c r="O375" s="1" t="s">
        <v>31</v>
      </c>
      <c r="P375" s="2">
        <v>45823</v>
      </c>
      <c r="Q375" s="1" t="s">
        <v>203</v>
      </c>
      <c r="R375" s="1" t="s">
        <v>888</v>
      </c>
      <c r="S375" s="1" t="s">
        <v>88</v>
      </c>
      <c r="T375" s="1" t="s">
        <v>35</v>
      </c>
      <c r="U375" s="1" t="s">
        <v>55</v>
      </c>
      <c r="V375" s="1" t="s">
        <v>100</v>
      </c>
      <c r="W375">
        <v>3.2</v>
      </c>
      <c r="X375" s="1" t="str">
        <f t="shared" si="15"/>
        <v>daniela.martinez158@mail.com</v>
      </c>
      <c r="Y375" s="1" t="str">
        <f>INDEX(V:V,MATCH(orders_desnormalizado_prueba3[[#This Row],[acquisition_channel]],U:U,0))</f>
        <v>Bodega Propia CO - envio 2-3 dias</v>
      </c>
      <c r="Z375" s="1" t="str">
        <f>INDEX(T:T,MATCH(orders_desnormalizado_prueba3[[#This Row],[shipping_cost]],W:W,0))</f>
        <v>Colombia</v>
      </c>
      <c r="AA375" s="1" t="str">
        <f t="shared" si="16"/>
        <v>Cartagena</v>
      </c>
      <c r="AB375" s="1"/>
      <c r="AC375" s="1" t="str">
        <f t="shared" si="17"/>
        <v xml:space="preserve"> </v>
      </c>
    </row>
    <row r="376" spans="1:29" x14ac:dyDescent="0.3">
      <c r="A376" s="1" t="s">
        <v>889</v>
      </c>
      <c r="B376">
        <v>2</v>
      </c>
      <c r="C376">
        <v>16.989999999999998</v>
      </c>
      <c r="D376">
        <v>29.64</v>
      </c>
      <c r="E376" s="1" t="s">
        <v>719</v>
      </c>
      <c r="F376" s="1" t="s">
        <v>40</v>
      </c>
      <c r="G376">
        <v>18</v>
      </c>
      <c r="H376" s="1" t="s">
        <v>26</v>
      </c>
      <c r="I376" s="1" t="s">
        <v>59</v>
      </c>
      <c r="J376">
        <v>5</v>
      </c>
      <c r="K376">
        <v>16.989999999999998</v>
      </c>
      <c r="L376" s="1" t="s">
        <v>60</v>
      </c>
      <c r="M376" s="1" t="s">
        <v>61</v>
      </c>
      <c r="N376" s="1" t="s">
        <v>62</v>
      </c>
      <c r="O376" s="1" t="s">
        <v>31</v>
      </c>
      <c r="P376" s="2">
        <v>45726</v>
      </c>
      <c r="Q376" s="1" t="s">
        <v>732</v>
      </c>
      <c r="R376" s="1" t="s">
        <v>733</v>
      </c>
      <c r="S376" s="1" t="s">
        <v>65</v>
      </c>
      <c r="T376" s="1" t="s">
        <v>35</v>
      </c>
      <c r="U376" s="1" t="s">
        <v>48</v>
      </c>
      <c r="V376" s="1" t="s">
        <v>67</v>
      </c>
      <c r="W376">
        <v>3</v>
      </c>
      <c r="X376" s="1" t="str">
        <f t="shared" si="15"/>
        <v>ximena.martinez177@mail.com</v>
      </c>
      <c r="Y376" s="1" t="str">
        <f>INDEX(V:V,MATCH(orders_desnormalizado_prueba3[[#This Row],[acquisition_channel]],U:U,0))</f>
        <v>Bodega Propia CO - envio 2-3 dias</v>
      </c>
      <c r="Z376" s="1" t="str">
        <f>INDEX(T:T,MATCH(orders_desnormalizado_prueba3[[#This Row],[shipping_cost]],W:W,0))</f>
        <v>Colombia</v>
      </c>
      <c r="AA376" s="1" t="str">
        <f t="shared" si="16"/>
        <v>Medellin</v>
      </c>
      <c r="AB376" s="1"/>
      <c r="AC376" s="1" t="str">
        <f t="shared" si="17"/>
        <v xml:space="preserve"> </v>
      </c>
    </row>
    <row r="377" spans="1:29" x14ac:dyDescent="0.3">
      <c r="A377" s="1" t="s">
        <v>890</v>
      </c>
      <c r="B377">
        <v>1</v>
      </c>
      <c r="C377">
        <v>18.989999999999998</v>
      </c>
      <c r="D377">
        <v>18.989999999999998</v>
      </c>
      <c r="E377" s="1" t="s">
        <v>168</v>
      </c>
      <c r="F377" s="1" t="s">
        <v>70</v>
      </c>
      <c r="G377">
        <v>0</v>
      </c>
      <c r="H377" s="1" t="s">
        <v>26</v>
      </c>
      <c r="I377" s="1" t="s">
        <v>97</v>
      </c>
      <c r="J377">
        <v>6</v>
      </c>
      <c r="K377">
        <v>18.989999999999998</v>
      </c>
      <c r="L377" s="1" t="s">
        <v>60</v>
      </c>
      <c r="M377" s="1" t="s">
        <v>43</v>
      </c>
      <c r="N377" s="1" t="s">
        <v>44</v>
      </c>
      <c r="O377" s="1" t="s">
        <v>31</v>
      </c>
      <c r="P377" s="2">
        <v>45823</v>
      </c>
      <c r="Q377" s="1" t="s">
        <v>814</v>
      </c>
      <c r="R377" s="1" t="s">
        <v>891</v>
      </c>
      <c r="S377" s="1" t="s">
        <v>88</v>
      </c>
      <c r="T377" s="1" t="s">
        <v>35</v>
      </c>
      <c r="U377" s="1" t="s">
        <v>82</v>
      </c>
      <c r="V377" s="1" t="s">
        <v>100</v>
      </c>
      <c r="W377">
        <v>3.2</v>
      </c>
      <c r="X377" s="1" t="str">
        <f t="shared" si="15"/>
        <v>isabella.jimenez172@mail.com</v>
      </c>
      <c r="Y377" s="1" t="str">
        <f>INDEX(V:V,MATCH(orders_desnormalizado_prueba3[[#This Row],[acquisition_channel]],U:U,0))</f>
        <v>Bodega Propia CO - envio 2-3 dias</v>
      </c>
      <c r="Z377" s="1" t="str">
        <f>INDEX(T:T,MATCH(orders_desnormalizado_prueba3[[#This Row],[shipping_cost]],W:W,0))</f>
        <v>Colombia</v>
      </c>
      <c r="AA377" s="1" t="str">
        <f t="shared" si="16"/>
        <v>Cartagena</v>
      </c>
      <c r="AB377" s="1"/>
      <c r="AC377" s="1" t="str">
        <f t="shared" si="17"/>
        <v xml:space="preserve"> </v>
      </c>
    </row>
    <row r="378" spans="1:29" x14ac:dyDescent="0.3">
      <c r="A378" s="1" t="s">
        <v>892</v>
      </c>
      <c r="B378">
        <v>1</v>
      </c>
      <c r="C378">
        <v>27.99</v>
      </c>
      <c r="D378">
        <v>27.99</v>
      </c>
      <c r="E378" s="1" t="s">
        <v>327</v>
      </c>
      <c r="F378" s="1" t="s">
        <v>40</v>
      </c>
      <c r="G378">
        <v>3</v>
      </c>
      <c r="H378" s="1" t="s">
        <v>58</v>
      </c>
      <c r="I378" s="1" t="s">
        <v>75</v>
      </c>
      <c r="J378">
        <v>9</v>
      </c>
      <c r="K378">
        <v>27.99</v>
      </c>
      <c r="L378" s="1" t="s">
        <v>28</v>
      </c>
      <c r="M378" s="1" t="s">
        <v>61</v>
      </c>
      <c r="N378" s="1" t="s">
        <v>62</v>
      </c>
      <c r="O378" s="1" t="s">
        <v>31</v>
      </c>
      <c r="P378" s="2">
        <v>45726</v>
      </c>
      <c r="Q378" s="1" t="s">
        <v>893</v>
      </c>
      <c r="R378" s="1" t="s">
        <v>894</v>
      </c>
      <c r="S378" s="1" t="s">
        <v>411</v>
      </c>
      <c r="T378" s="1" t="s">
        <v>35</v>
      </c>
      <c r="U378" s="1" t="s">
        <v>48</v>
      </c>
      <c r="V378" s="1" t="s">
        <v>37</v>
      </c>
      <c r="W378">
        <v>2</v>
      </c>
      <c r="X378" s="1" t="str">
        <f t="shared" si="15"/>
        <v>gabriela.jimenez17@mail.com</v>
      </c>
      <c r="Y378" s="1" t="str">
        <f>INDEX(V:V,MATCH(orders_desnormalizado_prueba3[[#This Row],[acquisition_channel]],U:U,0))</f>
        <v>Bodega Propia CO - envio 2-3 dias</v>
      </c>
      <c r="Z378" s="1" t="str">
        <f>INDEX(T:T,MATCH(orders_desnormalizado_prueba3[[#This Row],[shipping_cost]],W:W,0))</f>
        <v>Colombia</v>
      </c>
      <c r="AA378" s="1" t="str">
        <f t="shared" si="16"/>
        <v>Barranquilla</v>
      </c>
      <c r="AB378" s="1"/>
      <c r="AC378" s="1" t="str">
        <f t="shared" si="17"/>
        <v xml:space="preserve"> </v>
      </c>
    </row>
    <row r="379" spans="1:29" x14ac:dyDescent="0.3">
      <c r="A379" s="1" t="s">
        <v>895</v>
      </c>
      <c r="B379">
        <v>3</v>
      </c>
      <c r="C379">
        <v>34.99</v>
      </c>
      <c r="D379">
        <v>82.45</v>
      </c>
      <c r="E379" s="1" t="s">
        <v>786</v>
      </c>
      <c r="F379" s="1" t="s">
        <v>40</v>
      </c>
      <c r="G379">
        <v>11</v>
      </c>
      <c r="H379" s="1" t="s">
        <v>41</v>
      </c>
      <c r="I379" s="1" t="s">
        <v>85</v>
      </c>
      <c r="J379">
        <v>12.5</v>
      </c>
      <c r="K379">
        <v>34.99</v>
      </c>
      <c r="L379" s="1" t="s">
        <v>60</v>
      </c>
      <c r="M379" s="1" t="s">
        <v>29</v>
      </c>
      <c r="N379" s="1" t="s">
        <v>30</v>
      </c>
      <c r="O379" s="1" t="s">
        <v>31</v>
      </c>
      <c r="P379" s="2">
        <v>45778</v>
      </c>
      <c r="Q379" s="1" t="s">
        <v>896</v>
      </c>
      <c r="R379" s="1" t="s">
        <v>897</v>
      </c>
      <c r="S379" s="1" t="s">
        <v>105</v>
      </c>
      <c r="T379" s="1" t="s">
        <v>35</v>
      </c>
      <c r="U379" s="1" t="s">
        <v>55</v>
      </c>
      <c r="V379" s="1" t="s">
        <v>89</v>
      </c>
      <c r="W379">
        <v>2.4</v>
      </c>
      <c r="X379" s="1" t="str">
        <f t="shared" si="15"/>
        <v>ricardo.hernandez65@mail.com</v>
      </c>
      <c r="Y379" s="1" t="str">
        <f>INDEX(V:V,MATCH(orders_desnormalizado_prueba3[[#This Row],[acquisition_channel]],U:U,0))</f>
        <v>Bodega Propia CO - envio 2-3 dias</v>
      </c>
      <c r="Z379" s="1" t="str">
        <f>INDEX(T:T,MATCH(orders_desnormalizado_prueba3[[#This Row],[shipping_cost]],W:W,0))</f>
        <v>Colombia</v>
      </c>
      <c r="AA379" s="1" t="str">
        <f t="shared" si="16"/>
        <v>Cali</v>
      </c>
      <c r="AB379" s="1"/>
      <c r="AC379" s="1" t="str">
        <f t="shared" si="17"/>
        <v xml:space="preserve"> </v>
      </c>
    </row>
    <row r="380" spans="1:29" x14ac:dyDescent="0.3">
      <c r="A380" s="1" t="s">
        <v>898</v>
      </c>
      <c r="B380">
        <v>1</v>
      </c>
      <c r="C380">
        <v>34.99</v>
      </c>
      <c r="D380">
        <v>34.99</v>
      </c>
      <c r="E380" s="1" t="s">
        <v>735</v>
      </c>
      <c r="F380" s="1" t="s">
        <v>70</v>
      </c>
      <c r="G380">
        <v>0</v>
      </c>
      <c r="H380" s="1" t="s">
        <v>26</v>
      </c>
      <c r="I380" s="1" t="s">
        <v>85</v>
      </c>
      <c r="J380">
        <v>12.5</v>
      </c>
      <c r="K380">
        <v>34.99</v>
      </c>
      <c r="L380" s="1" t="s">
        <v>60</v>
      </c>
      <c r="M380" s="1" t="s">
        <v>29</v>
      </c>
      <c r="N380" s="1" t="s">
        <v>30</v>
      </c>
      <c r="O380" s="1" t="s">
        <v>31</v>
      </c>
      <c r="P380" s="2">
        <v>45778</v>
      </c>
      <c r="Q380" s="1" t="s">
        <v>133</v>
      </c>
      <c r="R380" s="1" t="s">
        <v>776</v>
      </c>
      <c r="S380" s="1" t="s">
        <v>88</v>
      </c>
      <c r="T380" s="1" t="s">
        <v>35</v>
      </c>
      <c r="U380" s="1" t="s">
        <v>48</v>
      </c>
      <c r="V380" s="1" t="s">
        <v>89</v>
      </c>
      <c r="W380">
        <v>2.4</v>
      </c>
      <c r="X380" s="1" t="str">
        <f t="shared" si="15"/>
        <v>isabella.diaz18@mail.com</v>
      </c>
      <c r="Y380" s="1" t="str">
        <f>INDEX(V:V,MATCH(orders_desnormalizado_prueba3[[#This Row],[acquisition_channel]],U:U,0))</f>
        <v>Bodega Propia CO - envio 2-3 dias</v>
      </c>
      <c r="Z380" s="1" t="str">
        <f>INDEX(T:T,MATCH(orders_desnormalizado_prueba3[[#This Row],[shipping_cost]],W:W,0))</f>
        <v>Colombia</v>
      </c>
      <c r="AA380" s="1" t="str">
        <f t="shared" si="16"/>
        <v>Cartagena</v>
      </c>
      <c r="AB380" s="1"/>
      <c r="AC380" s="1" t="str">
        <f t="shared" si="17"/>
        <v xml:space="preserve"> </v>
      </c>
    </row>
    <row r="381" spans="1:29" x14ac:dyDescent="0.3">
      <c r="A381" s="1" t="s">
        <v>899</v>
      </c>
      <c r="B381">
        <v>2</v>
      </c>
      <c r="C381">
        <v>21.99</v>
      </c>
      <c r="D381">
        <v>38.020000000000003</v>
      </c>
      <c r="E381" s="1" t="s">
        <v>900</v>
      </c>
      <c r="F381" s="1" t="s">
        <v>51</v>
      </c>
      <c r="G381">
        <v>0</v>
      </c>
      <c r="H381" s="1" t="s">
        <v>58</v>
      </c>
      <c r="I381" s="1" t="s">
        <v>27</v>
      </c>
      <c r="J381">
        <v>7</v>
      </c>
      <c r="K381">
        <v>21.99</v>
      </c>
      <c r="L381" s="1" t="s">
        <v>28</v>
      </c>
      <c r="M381" s="1" t="s">
        <v>29</v>
      </c>
      <c r="N381" s="1" t="s">
        <v>30</v>
      </c>
      <c r="O381" s="1" t="s">
        <v>31</v>
      </c>
      <c r="P381" s="2">
        <v>45778</v>
      </c>
      <c r="Q381" s="1" t="s">
        <v>203</v>
      </c>
      <c r="R381" s="1" t="s">
        <v>876</v>
      </c>
      <c r="S381" s="1" t="s">
        <v>54</v>
      </c>
      <c r="T381" s="1" t="s">
        <v>35</v>
      </c>
      <c r="U381" s="1" t="s">
        <v>82</v>
      </c>
      <c r="V381" s="1" t="s">
        <v>37</v>
      </c>
      <c r="W381">
        <v>2</v>
      </c>
      <c r="X381" s="1" t="str">
        <f t="shared" si="15"/>
        <v>daniela.martinez158@mail.com</v>
      </c>
      <c r="Y381" s="1" t="str">
        <f>INDEX(V:V,MATCH(orders_desnormalizado_prueba3[[#This Row],[acquisition_channel]],U:U,0))</f>
        <v>Bodega Propia CO - envio 2-3 dias</v>
      </c>
      <c r="Z381" s="1" t="str">
        <f>INDEX(T:T,MATCH(orders_desnormalizado_prueba3[[#This Row],[shipping_cost]],W:W,0))</f>
        <v>Colombia</v>
      </c>
      <c r="AA381" s="1" t="str">
        <f t="shared" si="16"/>
        <v>Cartagena</v>
      </c>
      <c r="AB381" s="1"/>
      <c r="AC381" s="1" t="str">
        <f t="shared" si="17"/>
        <v xml:space="preserve"> </v>
      </c>
    </row>
    <row r="382" spans="1:29" x14ac:dyDescent="0.3">
      <c r="A382" s="1" t="s">
        <v>901</v>
      </c>
      <c r="B382">
        <v>1</v>
      </c>
      <c r="C382">
        <v>34.99</v>
      </c>
      <c r="D382">
        <v>34.99</v>
      </c>
      <c r="E382" s="1" t="s">
        <v>902</v>
      </c>
      <c r="F382" s="1" t="s">
        <v>40</v>
      </c>
      <c r="G382">
        <v>12</v>
      </c>
      <c r="H382" s="1" t="s">
        <v>58</v>
      </c>
      <c r="I382" s="1" t="s">
        <v>85</v>
      </c>
      <c r="J382">
        <v>12.5</v>
      </c>
      <c r="K382">
        <v>34.99</v>
      </c>
      <c r="L382" s="1" t="s">
        <v>60</v>
      </c>
      <c r="M382" s="1" t="s">
        <v>29</v>
      </c>
      <c r="N382" s="1" t="s">
        <v>30</v>
      </c>
      <c r="O382" s="1" t="s">
        <v>31</v>
      </c>
      <c r="P382" s="2">
        <v>45778</v>
      </c>
      <c r="Q382" s="1" t="s">
        <v>238</v>
      </c>
      <c r="R382" s="1" t="s">
        <v>903</v>
      </c>
      <c r="S382" s="1" t="s">
        <v>34</v>
      </c>
      <c r="T382" s="1" t="s">
        <v>35</v>
      </c>
      <c r="U382" s="1" t="s">
        <v>36</v>
      </c>
      <c r="V382" s="1" t="s">
        <v>89</v>
      </c>
      <c r="W382">
        <v>2.4</v>
      </c>
      <c r="X382" s="1" t="str">
        <f t="shared" si="15"/>
        <v>juan.vargas13@mail.com</v>
      </c>
      <c r="Y382" s="1" t="str">
        <f>INDEX(V:V,MATCH(orders_desnormalizado_prueba3[[#This Row],[acquisition_channel]],U:U,0))</f>
        <v>Bodega Propia CO - envio 2-3 dias</v>
      </c>
      <c r="Z382" s="1" t="str">
        <f>INDEX(T:T,MATCH(orders_desnormalizado_prueba3[[#This Row],[shipping_cost]],W:W,0))</f>
        <v>Colombia</v>
      </c>
      <c r="AA382" s="1" t="str">
        <f t="shared" si="16"/>
        <v>Cartagena</v>
      </c>
      <c r="AB382" s="1"/>
      <c r="AC382" s="1" t="str">
        <f t="shared" si="17"/>
        <v xml:space="preserve"> </v>
      </c>
    </row>
    <row r="383" spans="1:29" x14ac:dyDescent="0.3">
      <c r="A383" s="1" t="s">
        <v>904</v>
      </c>
      <c r="B383">
        <v>1</v>
      </c>
      <c r="C383">
        <v>16.989999999999998</v>
      </c>
      <c r="D383">
        <v>16.989999999999998</v>
      </c>
      <c r="E383" s="1" t="s">
        <v>160</v>
      </c>
      <c r="F383" s="1" t="s">
        <v>51</v>
      </c>
      <c r="G383">
        <v>0</v>
      </c>
      <c r="H383" s="1" t="s">
        <v>26</v>
      </c>
      <c r="I383" s="1" t="s">
        <v>59</v>
      </c>
      <c r="J383">
        <v>5</v>
      </c>
      <c r="K383">
        <v>16.989999999999998</v>
      </c>
      <c r="L383" s="1" t="s">
        <v>60</v>
      </c>
      <c r="M383" s="1" t="s">
        <v>61</v>
      </c>
      <c r="N383" s="1" t="s">
        <v>62</v>
      </c>
      <c r="O383" s="1" t="s">
        <v>31</v>
      </c>
      <c r="P383" s="2">
        <v>45726</v>
      </c>
      <c r="Q383" s="1" t="s">
        <v>905</v>
      </c>
      <c r="R383" s="1" t="s">
        <v>906</v>
      </c>
      <c r="S383" s="1" t="s">
        <v>105</v>
      </c>
      <c r="T383" s="1" t="s">
        <v>35</v>
      </c>
      <c r="U383" s="1" t="s">
        <v>55</v>
      </c>
      <c r="V383" s="1" t="s">
        <v>67</v>
      </c>
      <c r="W383">
        <v>3</v>
      </c>
      <c r="X383" s="1" t="str">
        <f t="shared" si="15"/>
        <v>julian.ortiz58@mail.com</v>
      </c>
      <c r="Y383" s="1" t="str">
        <f>INDEX(V:V,MATCH(orders_desnormalizado_prueba3[[#This Row],[acquisition_channel]],U:U,0))</f>
        <v>Bodega Propia CO - envio 2-3 dias</v>
      </c>
      <c r="Z383" s="1" t="str">
        <f>INDEX(T:T,MATCH(orders_desnormalizado_prueba3[[#This Row],[shipping_cost]],W:W,0))</f>
        <v>Colombia</v>
      </c>
      <c r="AA383" s="1" t="str">
        <f t="shared" si="16"/>
        <v>Cartagena</v>
      </c>
      <c r="AB383" s="1"/>
      <c r="AC383" s="1" t="str">
        <f t="shared" si="17"/>
        <v xml:space="preserve"> </v>
      </c>
    </row>
    <row r="384" spans="1:29" x14ac:dyDescent="0.3">
      <c r="A384" s="1" t="s">
        <v>907</v>
      </c>
      <c r="B384">
        <v>1</v>
      </c>
      <c r="C384">
        <v>16.989999999999998</v>
      </c>
      <c r="D384">
        <v>16.989999999999998</v>
      </c>
      <c r="E384" s="1" t="s">
        <v>908</v>
      </c>
      <c r="F384" s="1" t="s">
        <v>40</v>
      </c>
      <c r="G384">
        <v>20</v>
      </c>
      <c r="H384" s="1" t="s">
        <v>26</v>
      </c>
      <c r="I384" s="1" t="s">
        <v>59</v>
      </c>
      <c r="J384">
        <v>5</v>
      </c>
      <c r="K384">
        <v>16.989999999999998</v>
      </c>
      <c r="L384" s="1" t="s">
        <v>60</v>
      </c>
      <c r="M384" s="1" t="s">
        <v>61</v>
      </c>
      <c r="N384" s="1" t="s">
        <v>62</v>
      </c>
      <c r="O384" s="1" t="s">
        <v>31</v>
      </c>
      <c r="P384" s="2">
        <v>45726</v>
      </c>
      <c r="Q384" s="1" t="s">
        <v>909</v>
      </c>
      <c r="R384" s="1" t="s">
        <v>910</v>
      </c>
      <c r="S384" s="1" t="s">
        <v>34</v>
      </c>
      <c r="T384" s="1" t="s">
        <v>35</v>
      </c>
      <c r="U384" s="1" t="s">
        <v>66</v>
      </c>
      <c r="V384" s="1" t="s">
        <v>67</v>
      </c>
      <c r="W384">
        <v>3</v>
      </c>
      <c r="X384" s="1" t="str">
        <f t="shared" si="15"/>
        <v>juan.hernandez64@mail.com</v>
      </c>
      <c r="Y384" s="1" t="str">
        <f>INDEX(V:V,MATCH(orders_desnormalizado_prueba3[[#This Row],[acquisition_channel]],U:U,0))</f>
        <v>AliDropship CN - envio 15-20 dias</v>
      </c>
      <c r="Z384" s="1" t="str">
        <f>INDEX(T:T,MATCH(orders_desnormalizado_prueba3[[#This Row],[shipping_cost]],W:W,0))</f>
        <v>Colombia</v>
      </c>
      <c r="AA384" s="1" t="str">
        <f t="shared" si="16"/>
        <v>Bucaramanga</v>
      </c>
      <c r="AB384" s="1"/>
      <c r="AC384" s="1" t="str">
        <f t="shared" si="17"/>
        <v xml:space="preserve"> </v>
      </c>
    </row>
    <row r="385" spans="1:29" x14ac:dyDescent="0.3">
      <c r="A385" s="1" t="s">
        <v>911</v>
      </c>
      <c r="B385">
        <v>1</v>
      </c>
      <c r="C385">
        <v>21.99</v>
      </c>
      <c r="D385">
        <v>21.99</v>
      </c>
      <c r="E385" s="1" t="s">
        <v>912</v>
      </c>
      <c r="F385" s="1" t="s">
        <v>40</v>
      </c>
      <c r="G385">
        <v>3</v>
      </c>
      <c r="H385" s="1" t="s">
        <v>96</v>
      </c>
      <c r="I385" s="1" t="s">
        <v>27</v>
      </c>
      <c r="J385">
        <v>7</v>
      </c>
      <c r="K385">
        <v>21.99</v>
      </c>
      <c r="L385" s="1" t="s">
        <v>28</v>
      </c>
      <c r="M385" s="1" t="s">
        <v>29</v>
      </c>
      <c r="N385" s="1" t="s">
        <v>30</v>
      </c>
      <c r="O385" s="1" t="s">
        <v>31</v>
      </c>
      <c r="P385" s="2">
        <v>45778</v>
      </c>
      <c r="Q385" s="1" t="s">
        <v>913</v>
      </c>
      <c r="R385" s="1" t="s">
        <v>914</v>
      </c>
      <c r="S385" s="1" t="s">
        <v>65</v>
      </c>
      <c r="T385" s="1" t="s">
        <v>35</v>
      </c>
      <c r="U385" s="1" t="s">
        <v>48</v>
      </c>
      <c r="V385" s="1" t="s">
        <v>37</v>
      </c>
      <c r="W385">
        <v>2</v>
      </c>
      <c r="X385" s="1" t="str">
        <f t="shared" si="15"/>
        <v>paula.rodriguez185@mail.com</v>
      </c>
      <c r="Y385" s="1" t="str">
        <f>INDEX(V:V,MATCH(orders_desnormalizado_prueba3[[#This Row],[acquisition_channel]],U:U,0))</f>
        <v>Bodega Propia CO - envio 2-3 dias</v>
      </c>
      <c r="Z385" s="1" t="str">
        <f>INDEX(T:T,MATCH(orders_desnormalizado_prueba3[[#This Row],[shipping_cost]],W:W,0))</f>
        <v>Colombia</v>
      </c>
      <c r="AA385" s="1" t="str">
        <f t="shared" si="16"/>
        <v>Barranquilla</v>
      </c>
      <c r="AB385" s="1"/>
      <c r="AC385" s="1" t="str">
        <f t="shared" si="17"/>
        <v xml:space="preserve"> </v>
      </c>
    </row>
    <row r="386" spans="1:29" x14ac:dyDescent="0.3">
      <c r="A386" s="1" t="s">
        <v>915</v>
      </c>
      <c r="B386">
        <v>1</v>
      </c>
      <c r="C386">
        <v>18.989999999999998</v>
      </c>
      <c r="D386">
        <v>18.989999999999998</v>
      </c>
      <c r="E386" s="1" t="s">
        <v>916</v>
      </c>
      <c r="F386" s="1" t="s">
        <v>40</v>
      </c>
      <c r="G386">
        <v>15</v>
      </c>
      <c r="H386" s="1" t="s">
        <v>41</v>
      </c>
      <c r="I386" s="1" t="s">
        <v>97</v>
      </c>
      <c r="J386">
        <v>6</v>
      </c>
      <c r="K386">
        <v>18.989999999999998</v>
      </c>
      <c r="L386" s="1" t="s">
        <v>60</v>
      </c>
      <c r="M386" s="1" t="s">
        <v>43</v>
      </c>
      <c r="N386" s="1" t="s">
        <v>44</v>
      </c>
      <c r="O386" s="1" t="s">
        <v>31</v>
      </c>
      <c r="P386" s="2">
        <v>45823</v>
      </c>
      <c r="Q386" s="1" t="s">
        <v>917</v>
      </c>
      <c r="R386" s="1" t="s">
        <v>918</v>
      </c>
      <c r="S386" s="1" t="s">
        <v>54</v>
      </c>
      <c r="T386" s="1" t="s">
        <v>35</v>
      </c>
      <c r="U386" s="1" t="s">
        <v>36</v>
      </c>
      <c r="V386" s="1" t="s">
        <v>100</v>
      </c>
      <c r="W386">
        <v>3.2</v>
      </c>
      <c r="X386" s="1" t="str">
        <f t="shared" ref="X386:X449" si="18">INDEX(R:R,MATCH(Q386,Q:Q,0))</f>
        <v>manuela.lopez93@mail.com</v>
      </c>
      <c r="Y386" s="1" t="str">
        <f>INDEX(V:V,MATCH(orders_desnormalizado_prueba3[[#This Row],[acquisition_channel]],U:U,0))</f>
        <v>Bodega Propia CO - envio 2-3 dias</v>
      </c>
      <c r="Z386" s="1" t="str">
        <f>INDEX(T:T,MATCH(orders_desnormalizado_prueba3[[#This Row],[shipping_cost]],W:W,0))</f>
        <v>Colombia</v>
      </c>
      <c r="AA386" s="1" t="str">
        <f t="shared" ref="AA386:AA449" si="19">INDEX(S:S,MATCH(G386,G:G,0))</f>
        <v>Barranquilla</v>
      </c>
      <c r="AB386" s="1"/>
      <c r="AC386" s="1" t="str">
        <f t="shared" ref="AC386:AC449" si="20">IFERROR(INDEX($V:$V,MATCH(AB386,$R:$R,0)), " ")</f>
        <v xml:space="preserve"> </v>
      </c>
    </row>
    <row r="387" spans="1:29" x14ac:dyDescent="0.3">
      <c r="A387" s="1" t="s">
        <v>919</v>
      </c>
      <c r="B387">
        <v>1</v>
      </c>
      <c r="C387">
        <v>27.99</v>
      </c>
      <c r="D387">
        <v>27.99</v>
      </c>
      <c r="E387" s="1" t="s">
        <v>731</v>
      </c>
      <c r="F387" s="1" t="s">
        <v>40</v>
      </c>
      <c r="G387">
        <v>6</v>
      </c>
      <c r="H387" s="1" t="s">
        <v>26</v>
      </c>
      <c r="I387" s="1" t="s">
        <v>75</v>
      </c>
      <c r="J387">
        <v>9</v>
      </c>
      <c r="K387">
        <v>27.99</v>
      </c>
      <c r="L387" s="1" t="s">
        <v>28</v>
      </c>
      <c r="M387" s="1" t="s">
        <v>61</v>
      </c>
      <c r="N387" s="1" t="s">
        <v>62</v>
      </c>
      <c r="O387" s="1" t="s">
        <v>31</v>
      </c>
      <c r="P387" s="2">
        <v>45726</v>
      </c>
      <c r="Q387" s="1" t="s">
        <v>839</v>
      </c>
      <c r="R387" s="1" t="s">
        <v>840</v>
      </c>
      <c r="S387" s="1" t="s">
        <v>65</v>
      </c>
      <c r="T387" s="1" t="s">
        <v>35</v>
      </c>
      <c r="U387" s="1" t="s">
        <v>55</v>
      </c>
      <c r="V387" s="1" t="s">
        <v>37</v>
      </c>
      <c r="W387">
        <v>2</v>
      </c>
      <c r="X387" s="1" t="str">
        <f t="shared" si="18"/>
        <v>manuela.torres155@mail.com</v>
      </c>
      <c r="Y387" s="1" t="str">
        <f>INDEX(V:V,MATCH(orders_desnormalizado_prueba3[[#This Row],[acquisition_channel]],U:U,0))</f>
        <v>Bodega Propia CO - envio 2-3 dias</v>
      </c>
      <c r="Z387" s="1" t="str">
        <f>INDEX(T:T,MATCH(orders_desnormalizado_prueba3[[#This Row],[shipping_cost]],W:W,0))</f>
        <v>Colombia</v>
      </c>
      <c r="AA387" s="1" t="str">
        <f t="shared" si="19"/>
        <v>Medellin</v>
      </c>
      <c r="AB387" s="1"/>
      <c r="AC387" s="1" t="str">
        <f t="shared" si="20"/>
        <v xml:space="preserve"> </v>
      </c>
    </row>
    <row r="388" spans="1:29" x14ac:dyDescent="0.3">
      <c r="A388" s="1" t="s">
        <v>920</v>
      </c>
      <c r="B388">
        <v>1</v>
      </c>
      <c r="C388">
        <v>34.99</v>
      </c>
      <c r="D388">
        <v>34.99</v>
      </c>
      <c r="E388" s="1" t="s">
        <v>921</v>
      </c>
      <c r="F388" s="1" t="s">
        <v>40</v>
      </c>
      <c r="G388">
        <v>8</v>
      </c>
      <c r="H388" s="1" t="s">
        <v>58</v>
      </c>
      <c r="I388" s="1" t="s">
        <v>85</v>
      </c>
      <c r="J388">
        <v>12.5</v>
      </c>
      <c r="K388">
        <v>34.99</v>
      </c>
      <c r="L388" s="1" t="s">
        <v>60</v>
      </c>
      <c r="M388" s="1" t="s">
        <v>29</v>
      </c>
      <c r="N388" s="1" t="s">
        <v>30</v>
      </c>
      <c r="O388" s="1" t="s">
        <v>31</v>
      </c>
      <c r="P388" s="2">
        <v>45778</v>
      </c>
      <c r="Q388" s="1" t="s">
        <v>783</v>
      </c>
      <c r="R388" s="1" t="s">
        <v>784</v>
      </c>
      <c r="S388" s="1" t="s">
        <v>34</v>
      </c>
      <c r="T388" s="1" t="s">
        <v>35</v>
      </c>
      <c r="U388" s="1" t="s">
        <v>55</v>
      </c>
      <c r="V388" s="1" t="s">
        <v>89</v>
      </c>
      <c r="W388">
        <v>2.4</v>
      </c>
      <c r="X388" s="1" t="str">
        <f t="shared" si="18"/>
        <v>santiago.castro71@mail.com</v>
      </c>
      <c r="Y388" s="1" t="str">
        <f>INDEX(V:V,MATCH(orders_desnormalizado_prueba3[[#This Row],[acquisition_channel]],U:U,0))</f>
        <v>Bodega Propia CO - envio 2-3 dias</v>
      </c>
      <c r="Z388" s="1" t="str">
        <f>INDEX(T:T,MATCH(orders_desnormalizado_prueba3[[#This Row],[shipping_cost]],W:W,0))</f>
        <v>Colombia</v>
      </c>
      <c r="AA388" s="1" t="str">
        <f t="shared" si="19"/>
        <v>Barranquilla</v>
      </c>
      <c r="AB388" s="1"/>
      <c r="AC388" s="1" t="str">
        <f t="shared" si="20"/>
        <v xml:space="preserve"> </v>
      </c>
    </row>
    <row r="389" spans="1:29" x14ac:dyDescent="0.3">
      <c r="A389" s="1" t="s">
        <v>922</v>
      </c>
      <c r="B389">
        <v>1</v>
      </c>
      <c r="C389">
        <v>34.99</v>
      </c>
      <c r="D389">
        <v>34.99</v>
      </c>
      <c r="E389" s="1" t="s">
        <v>923</v>
      </c>
      <c r="F389" s="1" t="s">
        <v>51</v>
      </c>
      <c r="G389">
        <v>0</v>
      </c>
      <c r="H389" s="1" t="s">
        <v>96</v>
      </c>
      <c r="I389" s="1" t="s">
        <v>85</v>
      </c>
      <c r="J389">
        <v>12.5</v>
      </c>
      <c r="K389">
        <v>34.99</v>
      </c>
      <c r="L389" s="1" t="s">
        <v>60</v>
      </c>
      <c r="M389" s="1" t="s">
        <v>29</v>
      </c>
      <c r="N389" s="1" t="s">
        <v>30</v>
      </c>
      <c r="O389" s="1" t="s">
        <v>31</v>
      </c>
      <c r="P389" s="2">
        <v>45778</v>
      </c>
      <c r="Q389" s="1" t="s">
        <v>249</v>
      </c>
      <c r="R389" s="1" t="s">
        <v>924</v>
      </c>
      <c r="S389" s="1" t="s">
        <v>34</v>
      </c>
      <c r="T389" s="1" t="s">
        <v>35</v>
      </c>
      <c r="U389" s="1" t="s">
        <v>55</v>
      </c>
      <c r="V389" s="1" t="s">
        <v>89</v>
      </c>
      <c r="W389">
        <v>2.4</v>
      </c>
      <c r="X389" s="1" t="str">
        <f t="shared" si="18"/>
        <v>diego.rodriguez176@mail.com</v>
      </c>
      <c r="Y389" s="1" t="str">
        <f>INDEX(V:V,MATCH(orders_desnormalizado_prueba3[[#This Row],[acquisition_channel]],U:U,0))</f>
        <v>Bodega Propia CO - envio 2-3 dias</v>
      </c>
      <c r="Z389" s="1" t="str">
        <f>INDEX(T:T,MATCH(orders_desnormalizado_prueba3[[#This Row],[shipping_cost]],W:W,0))</f>
        <v>Colombia</v>
      </c>
      <c r="AA389" s="1" t="str">
        <f t="shared" si="19"/>
        <v>Cartagena</v>
      </c>
      <c r="AB389" s="1"/>
      <c r="AC389" s="1" t="str">
        <f t="shared" si="20"/>
        <v xml:space="preserve"> </v>
      </c>
    </row>
    <row r="390" spans="1:29" x14ac:dyDescent="0.3">
      <c r="A390" s="1" t="s">
        <v>925</v>
      </c>
      <c r="B390">
        <v>1</v>
      </c>
      <c r="C390">
        <v>21.99</v>
      </c>
      <c r="D390">
        <v>21.99</v>
      </c>
      <c r="E390" s="1" t="s">
        <v>763</v>
      </c>
      <c r="F390" s="1" t="s">
        <v>40</v>
      </c>
      <c r="G390">
        <v>3</v>
      </c>
      <c r="H390" s="1" t="s">
        <v>41</v>
      </c>
      <c r="I390" s="1" t="s">
        <v>27</v>
      </c>
      <c r="J390">
        <v>7</v>
      </c>
      <c r="K390">
        <v>21.99</v>
      </c>
      <c r="L390" s="1" t="s">
        <v>28</v>
      </c>
      <c r="M390" s="1" t="s">
        <v>29</v>
      </c>
      <c r="N390" s="1" t="s">
        <v>30</v>
      </c>
      <c r="O390" s="1" t="s">
        <v>31</v>
      </c>
      <c r="P390" s="2">
        <v>45778</v>
      </c>
      <c r="Q390" s="1" t="s">
        <v>926</v>
      </c>
      <c r="R390" s="1" t="s">
        <v>927</v>
      </c>
      <c r="S390" s="1" t="s">
        <v>47</v>
      </c>
      <c r="T390" s="1" t="s">
        <v>35</v>
      </c>
      <c r="U390" s="1" t="s">
        <v>36</v>
      </c>
      <c r="V390" s="1" t="s">
        <v>37</v>
      </c>
      <c r="W390">
        <v>2</v>
      </c>
      <c r="X390" s="1" t="str">
        <f t="shared" si="18"/>
        <v>fernanda.castro167@mail.com</v>
      </c>
      <c r="Y390" s="1" t="str">
        <f>INDEX(V:V,MATCH(orders_desnormalizado_prueba3[[#This Row],[acquisition_channel]],U:U,0))</f>
        <v>Bodega Propia CO - envio 2-3 dias</v>
      </c>
      <c r="Z390" s="1" t="str">
        <f>INDEX(T:T,MATCH(orders_desnormalizado_prueba3[[#This Row],[shipping_cost]],W:W,0))</f>
        <v>Colombia</v>
      </c>
      <c r="AA390" s="1" t="str">
        <f t="shared" si="19"/>
        <v>Barranquilla</v>
      </c>
      <c r="AB390" s="1"/>
      <c r="AC390" s="1" t="str">
        <f t="shared" si="20"/>
        <v xml:space="preserve"> </v>
      </c>
    </row>
    <row r="391" spans="1:29" x14ac:dyDescent="0.3">
      <c r="A391" s="1" t="s">
        <v>928</v>
      </c>
      <c r="B391">
        <v>1</v>
      </c>
      <c r="C391">
        <v>34.99</v>
      </c>
      <c r="D391">
        <v>34.99</v>
      </c>
      <c r="E391" s="1" t="s">
        <v>929</v>
      </c>
      <c r="F391" s="1" t="s">
        <v>188</v>
      </c>
      <c r="G391">
        <v>0</v>
      </c>
      <c r="H391" s="1" t="s">
        <v>58</v>
      </c>
      <c r="I391" s="1" t="s">
        <v>85</v>
      </c>
      <c r="J391">
        <v>12.5</v>
      </c>
      <c r="K391">
        <v>34.99</v>
      </c>
      <c r="L391" s="1" t="s">
        <v>60</v>
      </c>
      <c r="M391" s="1" t="s">
        <v>29</v>
      </c>
      <c r="N391" s="1" t="s">
        <v>30</v>
      </c>
      <c r="O391" s="1" t="s">
        <v>31</v>
      </c>
      <c r="P391" s="2">
        <v>45778</v>
      </c>
      <c r="Q391" s="1" t="s">
        <v>930</v>
      </c>
      <c r="R391" s="1" t="s">
        <v>931</v>
      </c>
      <c r="S391" s="1" t="s">
        <v>65</v>
      </c>
      <c r="T391" s="1" t="s">
        <v>35</v>
      </c>
      <c r="U391" s="1" t="s">
        <v>36</v>
      </c>
      <c r="V391" s="1" t="s">
        <v>89</v>
      </c>
      <c r="W391">
        <v>2.4</v>
      </c>
      <c r="X391" s="1" t="str">
        <f t="shared" si="18"/>
        <v>fernanda.vargas118@mail.com</v>
      </c>
      <c r="Y391" s="1" t="str">
        <f>INDEX(V:V,MATCH(orders_desnormalizado_prueba3[[#This Row],[acquisition_channel]],U:U,0))</f>
        <v>Bodega Propia CO - envio 2-3 dias</v>
      </c>
      <c r="Z391" s="1" t="str">
        <f>INDEX(T:T,MATCH(orders_desnormalizado_prueba3[[#This Row],[shipping_cost]],W:W,0))</f>
        <v>Colombia</v>
      </c>
      <c r="AA391" s="1" t="str">
        <f t="shared" si="19"/>
        <v>Cartagena</v>
      </c>
      <c r="AB391" s="1"/>
      <c r="AC391" s="1" t="str">
        <f t="shared" si="20"/>
        <v xml:space="preserve"> </v>
      </c>
    </row>
    <row r="392" spans="1:29" x14ac:dyDescent="0.3">
      <c r="A392" s="1" t="s">
        <v>932</v>
      </c>
      <c r="B392">
        <v>3</v>
      </c>
      <c r="C392">
        <v>18.989999999999998</v>
      </c>
      <c r="D392">
        <v>44.82</v>
      </c>
      <c r="E392" s="1" t="s">
        <v>933</v>
      </c>
      <c r="F392" s="1" t="s">
        <v>70</v>
      </c>
      <c r="G392">
        <v>0</v>
      </c>
      <c r="H392" s="1" t="s">
        <v>58</v>
      </c>
      <c r="I392" s="1" t="s">
        <v>97</v>
      </c>
      <c r="J392">
        <v>6</v>
      </c>
      <c r="K392">
        <v>18.989999999999998</v>
      </c>
      <c r="L392" s="1" t="s">
        <v>60</v>
      </c>
      <c r="M392" s="1" t="s">
        <v>43</v>
      </c>
      <c r="N392" s="1" t="s">
        <v>44</v>
      </c>
      <c r="O392" s="1" t="s">
        <v>31</v>
      </c>
      <c r="P392" s="2">
        <v>45823</v>
      </c>
      <c r="Q392" s="1" t="s">
        <v>934</v>
      </c>
      <c r="R392" s="1" t="s">
        <v>935</v>
      </c>
      <c r="S392" s="1" t="s">
        <v>105</v>
      </c>
      <c r="T392" s="1" t="s">
        <v>35</v>
      </c>
      <c r="U392" s="1" t="s">
        <v>82</v>
      </c>
      <c r="V392" s="1" t="s">
        <v>100</v>
      </c>
      <c r="W392">
        <v>3.2</v>
      </c>
      <c r="X392" s="1" t="str">
        <f t="shared" si="18"/>
        <v>felipe.gomez104@mail.com</v>
      </c>
      <c r="Y392" s="1" t="str">
        <f>INDEX(V:V,MATCH(orders_desnormalizado_prueba3[[#This Row],[acquisition_channel]],U:U,0))</f>
        <v>Bodega Propia CO - envio 2-3 dias</v>
      </c>
      <c r="Z392" s="1" t="str">
        <f>INDEX(T:T,MATCH(orders_desnormalizado_prueba3[[#This Row],[shipping_cost]],W:W,0))</f>
        <v>Colombia</v>
      </c>
      <c r="AA392" s="1" t="str">
        <f t="shared" si="19"/>
        <v>Cartagena</v>
      </c>
      <c r="AB392" s="1"/>
      <c r="AC392" s="1" t="str">
        <f t="shared" si="20"/>
        <v xml:space="preserve"> </v>
      </c>
    </row>
    <row r="393" spans="1:29" x14ac:dyDescent="0.3">
      <c r="A393" s="1" t="s">
        <v>936</v>
      </c>
      <c r="B393">
        <v>1</v>
      </c>
      <c r="C393">
        <v>27.99</v>
      </c>
      <c r="D393">
        <v>27.99</v>
      </c>
      <c r="E393" s="1" t="s">
        <v>937</v>
      </c>
      <c r="F393" s="1" t="s">
        <v>51</v>
      </c>
      <c r="G393">
        <v>0</v>
      </c>
      <c r="H393" s="1" t="s">
        <v>41</v>
      </c>
      <c r="I393" s="1" t="s">
        <v>75</v>
      </c>
      <c r="J393">
        <v>9</v>
      </c>
      <c r="K393">
        <v>27.99</v>
      </c>
      <c r="L393" s="1" t="s">
        <v>28</v>
      </c>
      <c r="M393" s="1" t="s">
        <v>61</v>
      </c>
      <c r="N393" s="1" t="s">
        <v>62</v>
      </c>
      <c r="O393" s="1" t="s">
        <v>31</v>
      </c>
      <c r="P393" s="2">
        <v>45726</v>
      </c>
      <c r="Q393" s="1" t="s">
        <v>938</v>
      </c>
      <c r="R393" s="1" t="s">
        <v>939</v>
      </c>
      <c r="S393" s="1" t="s">
        <v>54</v>
      </c>
      <c r="T393" s="1" t="s">
        <v>35</v>
      </c>
      <c r="U393" s="1" t="s">
        <v>66</v>
      </c>
      <c r="V393" s="1" t="s">
        <v>37</v>
      </c>
      <c r="W393">
        <v>2</v>
      </c>
      <c r="X393" s="1" t="str">
        <f t="shared" si="18"/>
        <v>andres.hernandez92@mail.com</v>
      </c>
      <c r="Y393" s="1" t="str">
        <f>INDEX(V:V,MATCH(orders_desnormalizado_prueba3[[#This Row],[acquisition_channel]],U:U,0))</f>
        <v>AliDropship CN - envio 15-20 dias</v>
      </c>
      <c r="Z393" s="1" t="str">
        <f>INDEX(T:T,MATCH(orders_desnormalizado_prueba3[[#This Row],[shipping_cost]],W:W,0))</f>
        <v>Colombia</v>
      </c>
      <c r="AA393" s="1" t="str">
        <f t="shared" si="19"/>
        <v>Cartagena</v>
      </c>
      <c r="AB393" s="1"/>
      <c r="AC393" s="1" t="str">
        <f t="shared" si="20"/>
        <v xml:space="preserve"> </v>
      </c>
    </row>
    <row r="394" spans="1:29" x14ac:dyDescent="0.3">
      <c r="A394" s="1" t="s">
        <v>940</v>
      </c>
      <c r="B394">
        <v>1</v>
      </c>
      <c r="C394">
        <v>18.989999999999998</v>
      </c>
      <c r="D394">
        <v>18.989999999999998</v>
      </c>
      <c r="E394" s="1" t="s">
        <v>79</v>
      </c>
      <c r="F394" s="1" t="s">
        <v>188</v>
      </c>
      <c r="G394">
        <v>0</v>
      </c>
      <c r="H394" s="1" t="s">
        <v>26</v>
      </c>
      <c r="I394" s="1" t="s">
        <v>97</v>
      </c>
      <c r="J394">
        <v>6</v>
      </c>
      <c r="K394">
        <v>18.989999999999998</v>
      </c>
      <c r="L394" s="1" t="s">
        <v>60</v>
      </c>
      <c r="M394" s="1" t="s">
        <v>43</v>
      </c>
      <c r="N394" s="1" t="s">
        <v>44</v>
      </c>
      <c r="O394" s="1" t="s">
        <v>31</v>
      </c>
      <c r="P394" s="2">
        <v>45823</v>
      </c>
      <c r="Q394" s="1" t="s">
        <v>169</v>
      </c>
      <c r="R394" s="1" t="s">
        <v>941</v>
      </c>
      <c r="S394" s="1" t="s">
        <v>105</v>
      </c>
      <c r="T394" s="1" t="s">
        <v>35</v>
      </c>
      <c r="U394" s="1" t="s">
        <v>66</v>
      </c>
      <c r="V394" s="1" t="s">
        <v>100</v>
      </c>
      <c r="W394">
        <v>3.2</v>
      </c>
      <c r="X394" s="1" t="str">
        <f t="shared" si="18"/>
        <v>daniela.rodriguez2@mail.com</v>
      </c>
      <c r="Y394" s="1" t="str">
        <f>INDEX(V:V,MATCH(orders_desnormalizado_prueba3[[#This Row],[acquisition_channel]],U:U,0))</f>
        <v>AliDropship CN - envio 15-20 dias</v>
      </c>
      <c r="Z394" s="1" t="str">
        <f>INDEX(T:T,MATCH(orders_desnormalizado_prueba3[[#This Row],[shipping_cost]],W:W,0))</f>
        <v>Colombia</v>
      </c>
      <c r="AA394" s="1" t="str">
        <f t="shared" si="19"/>
        <v>Cartagena</v>
      </c>
      <c r="AB394" s="1"/>
      <c r="AC394" s="1" t="str">
        <f t="shared" si="20"/>
        <v xml:space="preserve"> </v>
      </c>
    </row>
    <row r="395" spans="1:29" x14ac:dyDescent="0.3">
      <c r="A395" s="1" t="s">
        <v>942</v>
      </c>
      <c r="B395">
        <v>1</v>
      </c>
      <c r="C395">
        <v>27.99</v>
      </c>
      <c r="D395">
        <v>27.99</v>
      </c>
      <c r="E395" s="1" t="s">
        <v>252</v>
      </c>
      <c r="F395" s="1" t="s">
        <v>40</v>
      </c>
      <c r="G395">
        <v>8</v>
      </c>
      <c r="H395" s="1" t="s">
        <v>26</v>
      </c>
      <c r="I395" s="1" t="s">
        <v>75</v>
      </c>
      <c r="J395">
        <v>9</v>
      </c>
      <c r="K395">
        <v>27.99</v>
      </c>
      <c r="L395" s="1" t="s">
        <v>28</v>
      </c>
      <c r="M395" s="1" t="s">
        <v>61</v>
      </c>
      <c r="N395" s="1" t="s">
        <v>62</v>
      </c>
      <c r="O395" s="1" t="s">
        <v>31</v>
      </c>
      <c r="P395" s="2">
        <v>45726</v>
      </c>
      <c r="Q395" s="1" t="s">
        <v>943</v>
      </c>
      <c r="R395" s="1" t="s">
        <v>944</v>
      </c>
      <c r="S395" s="1" t="s">
        <v>47</v>
      </c>
      <c r="T395" s="1" t="s">
        <v>35</v>
      </c>
      <c r="U395" s="1" t="s">
        <v>48</v>
      </c>
      <c r="V395" s="1" t="s">
        <v>37</v>
      </c>
      <c r="W395">
        <v>2</v>
      </c>
      <c r="X395" s="1" t="str">
        <f t="shared" si="18"/>
        <v>diego.lopez18@mail.com</v>
      </c>
      <c r="Y395" s="1" t="str">
        <f>INDEX(V:V,MATCH(orders_desnormalizado_prueba3[[#This Row],[acquisition_channel]],U:U,0))</f>
        <v>Bodega Propia CO - envio 2-3 dias</v>
      </c>
      <c r="Z395" s="1" t="str">
        <f>INDEX(T:T,MATCH(orders_desnormalizado_prueba3[[#This Row],[shipping_cost]],W:W,0))</f>
        <v>Colombia</v>
      </c>
      <c r="AA395" s="1" t="str">
        <f t="shared" si="19"/>
        <v>Barranquilla</v>
      </c>
      <c r="AB395" s="1"/>
      <c r="AC395" s="1" t="str">
        <f t="shared" si="20"/>
        <v xml:space="preserve"> </v>
      </c>
    </row>
    <row r="396" spans="1:29" x14ac:dyDescent="0.3">
      <c r="A396" s="1" t="s">
        <v>945</v>
      </c>
      <c r="B396">
        <v>1</v>
      </c>
      <c r="C396">
        <v>27.99</v>
      </c>
      <c r="D396">
        <v>27.99</v>
      </c>
      <c r="E396" s="1" t="s">
        <v>946</v>
      </c>
      <c r="F396" s="1" t="s">
        <v>51</v>
      </c>
      <c r="G396">
        <v>0</v>
      </c>
      <c r="H396" s="1" t="s">
        <v>41</v>
      </c>
      <c r="I396" s="1" t="s">
        <v>75</v>
      </c>
      <c r="J396">
        <v>9</v>
      </c>
      <c r="K396">
        <v>27.99</v>
      </c>
      <c r="L396" s="1" t="s">
        <v>28</v>
      </c>
      <c r="M396" s="1" t="s">
        <v>61</v>
      </c>
      <c r="N396" s="1" t="s">
        <v>62</v>
      </c>
      <c r="O396" s="1" t="s">
        <v>31</v>
      </c>
      <c r="P396" s="2">
        <v>45726</v>
      </c>
      <c r="Q396" s="1" t="s">
        <v>947</v>
      </c>
      <c r="R396" s="1" t="s">
        <v>948</v>
      </c>
      <c r="S396" s="1" t="s">
        <v>65</v>
      </c>
      <c r="T396" s="1" t="s">
        <v>35</v>
      </c>
      <c r="U396" s="1" t="s">
        <v>82</v>
      </c>
      <c r="V396" s="1" t="s">
        <v>37</v>
      </c>
      <c r="W396">
        <v>2</v>
      </c>
      <c r="X396" s="1" t="str">
        <f t="shared" si="18"/>
        <v>valentina.hernandez179@mail.com</v>
      </c>
      <c r="Y396" s="1" t="str">
        <f>INDEX(V:V,MATCH(orders_desnormalizado_prueba3[[#This Row],[acquisition_channel]],U:U,0))</f>
        <v>Bodega Propia CO - envio 2-3 dias</v>
      </c>
      <c r="Z396" s="1" t="str">
        <f>INDEX(T:T,MATCH(orders_desnormalizado_prueba3[[#This Row],[shipping_cost]],W:W,0))</f>
        <v>Colombia</v>
      </c>
      <c r="AA396" s="1" t="str">
        <f t="shared" si="19"/>
        <v>Cartagena</v>
      </c>
      <c r="AB396" s="1"/>
      <c r="AC396" s="1" t="str">
        <f t="shared" si="20"/>
        <v xml:space="preserve"> </v>
      </c>
    </row>
    <row r="397" spans="1:29" x14ac:dyDescent="0.3">
      <c r="A397" s="1" t="s">
        <v>949</v>
      </c>
      <c r="B397">
        <v>3</v>
      </c>
      <c r="C397">
        <v>30.99</v>
      </c>
      <c r="D397">
        <v>74.33</v>
      </c>
      <c r="E397" s="1" t="s">
        <v>950</v>
      </c>
      <c r="F397" s="1" t="s">
        <v>70</v>
      </c>
      <c r="G397">
        <v>0</v>
      </c>
      <c r="H397" s="1" t="s">
        <v>26</v>
      </c>
      <c r="I397" s="1" t="s">
        <v>42</v>
      </c>
      <c r="J397">
        <v>10.5</v>
      </c>
      <c r="K397">
        <v>30.99</v>
      </c>
      <c r="L397" s="1" t="s">
        <v>28</v>
      </c>
      <c r="M397" s="1" t="s">
        <v>43</v>
      </c>
      <c r="N397" s="1" t="s">
        <v>44</v>
      </c>
      <c r="O397" s="1" t="s">
        <v>31</v>
      </c>
      <c r="P397" s="2">
        <v>45823</v>
      </c>
      <c r="Q397" s="1" t="s">
        <v>951</v>
      </c>
      <c r="R397" s="1" t="s">
        <v>952</v>
      </c>
      <c r="S397" s="1" t="s">
        <v>65</v>
      </c>
      <c r="T397" s="1" t="s">
        <v>35</v>
      </c>
      <c r="U397" s="1" t="s">
        <v>48</v>
      </c>
      <c r="V397" s="1" t="s">
        <v>37</v>
      </c>
      <c r="W397">
        <v>2</v>
      </c>
      <c r="X397" s="1" t="str">
        <f t="shared" si="18"/>
        <v>maria.moreno57@mail.com</v>
      </c>
      <c r="Y397" s="1" t="str">
        <f>INDEX(V:V,MATCH(orders_desnormalizado_prueba3[[#This Row],[acquisition_channel]],U:U,0))</f>
        <v>Bodega Propia CO - envio 2-3 dias</v>
      </c>
      <c r="Z397" s="1" t="str">
        <f>INDEX(T:T,MATCH(orders_desnormalizado_prueba3[[#This Row],[shipping_cost]],W:W,0))</f>
        <v>Colombia</v>
      </c>
      <c r="AA397" s="1" t="str">
        <f t="shared" si="19"/>
        <v>Cartagena</v>
      </c>
      <c r="AB397" s="1"/>
      <c r="AC397" s="1" t="str">
        <f t="shared" si="20"/>
        <v xml:space="preserve"> </v>
      </c>
    </row>
    <row r="398" spans="1:29" x14ac:dyDescent="0.3">
      <c r="A398" s="1" t="s">
        <v>953</v>
      </c>
      <c r="B398">
        <v>1</v>
      </c>
      <c r="C398">
        <v>34.99</v>
      </c>
      <c r="D398">
        <v>34.99</v>
      </c>
      <c r="E398" s="1" t="s">
        <v>954</v>
      </c>
      <c r="F398" s="1" t="s">
        <v>40</v>
      </c>
      <c r="G398">
        <v>8</v>
      </c>
      <c r="H398" s="1" t="s">
        <v>41</v>
      </c>
      <c r="I398" s="1" t="s">
        <v>85</v>
      </c>
      <c r="J398">
        <v>12.5</v>
      </c>
      <c r="K398">
        <v>34.99</v>
      </c>
      <c r="L398" s="1" t="s">
        <v>60</v>
      </c>
      <c r="M398" s="1" t="s">
        <v>29</v>
      </c>
      <c r="N398" s="1" t="s">
        <v>30</v>
      </c>
      <c r="O398" s="1" t="s">
        <v>31</v>
      </c>
      <c r="P398" s="2">
        <v>45778</v>
      </c>
      <c r="Q398" s="1" t="s">
        <v>71</v>
      </c>
      <c r="R398" s="1" t="s">
        <v>955</v>
      </c>
      <c r="S398" s="1" t="s">
        <v>65</v>
      </c>
      <c r="T398" s="1" t="s">
        <v>35</v>
      </c>
      <c r="U398" s="1" t="s">
        <v>82</v>
      </c>
      <c r="V398" s="1" t="s">
        <v>89</v>
      </c>
      <c r="W398">
        <v>2.4</v>
      </c>
      <c r="X398" s="1" t="str">
        <f t="shared" si="18"/>
        <v>diego.ramirez167@mail.com</v>
      </c>
      <c r="Y398" s="1" t="str">
        <f>INDEX(V:V,MATCH(orders_desnormalizado_prueba3[[#This Row],[acquisition_channel]],U:U,0))</f>
        <v>Bodega Propia CO - envio 2-3 dias</v>
      </c>
      <c r="Z398" s="1" t="str">
        <f>INDEX(T:T,MATCH(orders_desnormalizado_prueba3[[#This Row],[shipping_cost]],W:W,0))</f>
        <v>Colombia</v>
      </c>
      <c r="AA398" s="1" t="str">
        <f t="shared" si="19"/>
        <v>Barranquilla</v>
      </c>
      <c r="AB398" s="1"/>
      <c r="AC398" s="1" t="str">
        <f t="shared" si="20"/>
        <v xml:space="preserve"> </v>
      </c>
    </row>
    <row r="399" spans="1:29" x14ac:dyDescent="0.3">
      <c r="A399" s="1" t="s">
        <v>956</v>
      </c>
      <c r="B399">
        <v>1</v>
      </c>
      <c r="C399">
        <v>30.99</v>
      </c>
      <c r="D399">
        <v>30.99</v>
      </c>
      <c r="E399" s="1" t="s">
        <v>200</v>
      </c>
      <c r="F399" s="1" t="s">
        <v>40</v>
      </c>
      <c r="G399">
        <v>3</v>
      </c>
      <c r="H399" s="1" t="s">
        <v>26</v>
      </c>
      <c r="I399" s="1" t="s">
        <v>42</v>
      </c>
      <c r="J399">
        <v>10.5</v>
      </c>
      <c r="K399">
        <v>30.99</v>
      </c>
      <c r="L399" s="1" t="s">
        <v>28</v>
      </c>
      <c r="M399" s="1" t="s">
        <v>43</v>
      </c>
      <c r="N399" s="1" t="s">
        <v>44</v>
      </c>
      <c r="O399" s="1" t="s">
        <v>31</v>
      </c>
      <c r="P399" s="2">
        <v>45823</v>
      </c>
      <c r="Q399" s="1" t="s">
        <v>957</v>
      </c>
      <c r="R399" s="1" t="s">
        <v>958</v>
      </c>
      <c r="S399" s="1" t="s">
        <v>105</v>
      </c>
      <c r="T399" s="1" t="s">
        <v>35</v>
      </c>
      <c r="U399" s="1" t="s">
        <v>66</v>
      </c>
      <c r="V399" s="1" t="s">
        <v>37</v>
      </c>
      <c r="W399">
        <v>2</v>
      </c>
      <c r="X399" s="1" t="str">
        <f t="shared" si="18"/>
        <v>nicolas.diaz145@mail.com</v>
      </c>
      <c r="Y399" s="1" t="str">
        <f>INDEX(V:V,MATCH(orders_desnormalizado_prueba3[[#This Row],[acquisition_channel]],U:U,0))</f>
        <v>AliDropship CN - envio 15-20 dias</v>
      </c>
      <c r="Z399" s="1" t="str">
        <f>INDEX(T:T,MATCH(orders_desnormalizado_prueba3[[#This Row],[shipping_cost]],W:W,0))</f>
        <v>Colombia</v>
      </c>
      <c r="AA399" s="1" t="str">
        <f t="shared" si="19"/>
        <v>Barranquilla</v>
      </c>
      <c r="AB399" s="1"/>
      <c r="AC399" s="1" t="str">
        <f t="shared" si="20"/>
        <v xml:space="preserve"> </v>
      </c>
    </row>
    <row r="400" spans="1:29" x14ac:dyDescent="0.3">
      <c r="A400" s="1" t="s">
        <v>959</v>
      </c>
      <c r="B400">
        <v>1</v>
      </c>
      <c r="C400">
        <v>30.99</v>
      </c>
      <c r="D400">
        <v>30.99</v>
      </c>
      <c r="E400" s="1" t="s">
        <v>348</v>
      </c>
      <c r="F400" s="1" t="s">
        <v>51</v>
      </c>
      <c r="G400">
        <v>0</v>
      </c>
      <c r="H400" s="1" t="s">
        <v>58</v>
      </c>
      <c r="I400" s="1" t="s">
        <v>42</v>
      </c>
      <c r="J400">
        <v>10.5</v>
      </c>
      <c r="K400">
        <v>30.99</v>
      </c>
      <c r="L400" s="1" t="s">
        <v>28</v>
      </c>
      <c r="M400" s="1" t="s">
        <v>43</v>
      </c>
      <c r="N400" s="1" t="s">
        <v>44</v>
      </c>
      <c r="O400" s="1" t="s">
        <v>31</v>
      </c>
      <c r="P400" s="2">
        <v>45823</v>
      </c>
      <c r="Q400" s="1" t="s">
        <v>960</v>
      </c>
      <c r="R400" s="1" t="s">
        <v>961</v>
      </c>
      <c r="S400" s="1" t="s">
        <v>47</v>
      </c>
      <c r="T400" s="1" t="s">
        <v>35</v>
      </c>
      <c r="U400" s="1" t="s">
        <v>48</v>
      </c>
      <c r="V400" s="1" t="s">
        <v>37</v>
      </c>
      <c r="W400">
        <v>2</v>
      </c>
      <c r="X400" s="1" t="str">
        <f t="shared" si="18"/>
        <v>ximena.jimenez193@mail.com</v>
      </c>
      <c r="Y400" s="1" t="str">
        <f>INDEX(V:V,MATCH(orders_desnormalizado_prueba3[[#This Row],[acquisition_channel]],U:U,0))</f>
        <v>Bodega Propia CO - envio 2-3 dias</v>
      </c>
      <c r="Z400" s="1" t="str">
        <f>INDEX(T:T,MATCH(orders_desnormalizado_prueba3[[#This Row],[shipping_cost]],W:W,0))</f>
        <v>Colombia</v>
      </c>
      <c r="AA400" s="1" t="str">
        <f t="shared" si="19"/>
        <v>Cartagena</v>
      </c>
      <c r="AB400" s="1"/>
      <c r="AC400" s="1" t="str">
        <f t="shared" si="20"/>
        <v xml:space="preserve"> </v>
      </c>
    </row>
    <row r="401" spans="1:29" x14ac:dyDescent="0.3">
      <c r="A401" s="1" t="s">
        <v>962</v>
      </c>
      <c r="B401">
        <v>1</v>
      </c>
      <c r="C401">
        <v>27.99</v>
      </c>
      <c r="D401">
        <v>27.99</v>
      </c>
      <c r="E401" s="1" t="s">
        <v>121</v>
      </c>
      <c r="F401" s="1" t="s">
        <v>40</v>
      </c>
      <c r="G401">
        <v>3</v>
      </c>
      <c r="H401" s="1" t="s">
        <v>41</v>
      </c>
      <c r="I401" s="1" t="s">
        <v>75</v>
      </c>
      <c r="J401">
        <v>9</v>
      </c>
      <c r="K401">
        <v>27.99</v>
      </c>
      <c r="L401" s="1" t="s">
        <v>28</v>
      </c>
      <c r="M401" s="1" t="s">
        <v>61</v>
      </c>
      <c r="N401" s="1" t="s">
        <v>62</v>
      </c>
      <c r="O401" s="1" t="s">
        <v>31</v>
      </c>
      <c r="P401" s="2">
        <v>45726</v>
      </c>
      <c r="Q401" s="1" t="s">
        <v>745</v>
      </c>
      <c r="R401" s="1" t="s">
        <v>746</v>
      </c>
      <c r="S401" s="1" t="s">
        <v>105</v>
      </c>
      <c r="T401" s="1" t="s">
        <v>35</v>
      </c>
      <c r="U401" s="1" t="s">
        <v>48</v>
      </c>
      <c r="V401" s="1" t="s">
        <v>37</v>
      </c>
      <c r="W401">
        <v>2</v>
      </c>
      <c r="X401" s="1" t="str">
        <f t="shared" si="18"/>
        <v>david.jimenez192@mail.com</v>
      </c>
      <c r="Y401" s="1" t="str">
        <f>INDEX(V:V,MATCH(orders_desnormalizado_prueba3[[#This Row],[acquisition_channel]],U:U,0))</f>
        <v>Bodega Propia CO - envio 2-3 dias</v>
      </c>
      <c r="Z401" s="1" t="str">
        <f>INDEX(T:T,MATCH(orders_desnormalizado_prueba3[[#This Row],[shipping_cost]],W:W,0))</f>
        <v>Colombia</v>
      </c>
      <c r="AA401" s="1" t="str">
        <f t="shared" si="19"/>
        <v>Barranquilla</v>
      </c>
      <c r="AB401" s="1"/>
      <c r="AC401" s="1" t="str">
        <f t="shared" si="20"/>
        <v xml:space="preserve"> </v>
      </c>
    </row>
    <row r="402" spans="1:29" x14ac:dyDescent="0.3">
      <c r="A402" s="1" t="s">
        <v>963</v>
      </c>
      <c r="B402">
        <v>1</v>
      </c>
      <c r="C402">
        <v>18.989999999999998</v>
      </c>
      <c r="D402">
        <v>18.989999999999998</v>
      </c>
      <c r="E402" s="1" t="s">
        <v>964</v>
      </c>
      <c r="F402" s="1" t="s">
        <v>25</v>
      </c>
      <c r="G402">
        <v>13</v>
      </c>
      <c r="H402" s="1" t="s">
        <v>96</v>
      </c>
      <c r="I402" s="1" t="s">
        <v>97</v>
      </c>
      <c r="J402">
        <v>6</v>
      </c>
      <c r="K402">
        <v>18.989999999999998</v>
      </c>
      <c r="L402" s="1" t="s">
        <v>60</v>
      </c>
      <c r="M402" s="1" t="s">
        <v>43</v>
      </c>
      <c r="N402" s="1" t="s">
        <v>44</v>
      </c>
      <c r="O402" s="1" t="s">
        <v>31</v>
      </c>
      <c r="P402" s="2">
        <v>45823</v>
      </c>
      <c r="Q402" s="1" t="s">
        <v>965</v>
      </c>
      <c r="R402" s="1" t="s">
        <v>966</v>
      </c>
      <c r="S402" s="1" t="s">
        <v>65</v>
      </c>
      <c r="T402" s="1" t="s">
        <v>35</v>
      </c>
      <c r="U402" s="1" t="s">
        <v>36</v>
      </c>
      <c r="V402" s="1" t="s">
        <v>100</v>
      </c>
      <c r="W402">
        <v>3.2</v>
      </c>
      <c r="X402" s="1" t="str">
        <f t="shared" si="18"/>
        <v>natalia.martinez50@mail.com</v>
      </c>
      <c r="Y402" s="1" t="str">
        <f>INDEX(V:V,MATCH(orders_desnormalizado_prueba3[[#This Row],[acquisition_channel]],U:U,0))</f>
        <v>Bodega Propia CO - envio 2-3 dias</v>
      </c>
      <c r="Z402" s="1" t="str">
        <f>INDEX(T:T,MATCH(orders_desnormalizado_prueba3[[#This Row],[shipping_cost]],W:W,0))</f>
        <v>Colombia</v>
      </c>
      <c r="AA402" s="1" t="str">
        <f t="shared" si="19"/>
        <v>Barranquilla</v>
      </c>
      <c r="AB402" s="1"/>
      <c r="AC402" s="1" t="str">
        <f t="shared" si="20"/>
        <v xml:space="preserve"> </v>
      </c>
    </row>
    <row r="403" spans="1:29" x14ac:dyDescent="0.3">
      <c r="A403" s="1" t="s">
        <v>967</v>
      </c>
      <c r="B403">
        <v>1</v>
      </c>
      <c r="C403">
        <v>18.989999999999998</v>
      </c>
      <c r="D403">
        <v>18.989999999999998</v>
      </c>
      <c r="E403" s="1" t="s">
        <v>968</v>
      </c>
      <c r="F403" s="1" t="s">
        <v>40</v>
      </c>
      <c r="G403">
        <v>13</v>
      </c>
      <c r="H403" s="1" t="s">
        <v>58</v>
      </c>
      <c r="I403" s="1" t="s">
        <v>97</v>
      </c>
      <c r="J403">
        <v>6</v>
      </c>
      <c r="K403">
        <v>18.989999999999998</v>
      </c>
      <c r="L403" s="1" t="s">
        <v>60</v>
      </c>
      <c r="M403" s="1" t="s">
        <v>43</v>
      </c>
      <c r="N403" s="1" t="s">
        <v>44</v>
      </c>
      <c r="O403" s="1" t="s">
        <v>31</v>
      </c>
      <c r="P403" s="2">
        <v>45823</v>
      </c>
      <c r="Q403" s="1" t="s">
        <v>969</v>
      </c>
      <c r="R403" s="1" t="s">
        <v>970</v>
      </c>
      <c r="S403" s="1" t="s">
        <v>105</v>
      </c>
      <c r="T403" s="1" t="s">
        <v>35</v>
      </c>
      <c r="U403" s="1" t="s">
        <v>36</v>
      </c>
      <c r="V403" s="1" t="s">
        <v>100</v>
      </c>
      <c r="W403">
        <v>3.2</v>
      </c>
      <c r="X403" s="1" t="str">
        <f t="shared" si="18"/>
        <v>fernanda.ortiz98@mail.com</v>
      </c>
      <c r="Y403" s="1" t="str">
        <f>INDEX(V:V,MATCH(orders_desnormalizado_prueba3[[#This Row],[acquisition_channel]],U:U,0))</f>
        <v>Bodega Propia CO - envio 2-3 dias</v>
      </c>
      <c r="Z403" s="1" t="str">
        <f>INDEX(T:T,MATCH(orders_desnormalizado_prueba3[[#This Row],[shipping_cost]],W:W,0))</f>
        <v>Colombia</v>
      </c>
      <c r="AA403" s="1" t="str">
        <f t="shared" si="19"/>
        <v>Barranquilla</v>
      </c>
      <c r="AB403" s="1"/>
      <c r="AC403" s="1" t="str">
        <f t="shared" si="20"/>
        <v xml:space="preserve"> </v>
      </c>
    </row>
    <row r="404" spans="1:29" x14ac:dyDescent="0.3">
      <c r="A404" s="1" t="s">
        <v>971</v>
      </c>
      <c r="B404">
        <v>1</v>
      </c>
      <c r="C404">
        <v>34.99</v>
      </c>
      <c r="D404">
        <v>34.99</v>
      </c>
      <c r="E404" s="1" t="s">
        <v>84</v>
      </c>
      <c r="F404" s="1" t="s">
        <v>51</v>
      </c>
      <c r="G404">
        <v>0</v>
      </c>
      <c r="H404" s="1" t="s">
        <v>96</v>
      </c>
      <c r="I404" s="1" t="s">
        <v>85</v>
      </c>
      <c r="J404">
        <v>12.5</v>
      </c>
      <c r="K404">
        <v>34.99</v>
      </c>
      <c r="L404" s="1" t="s">
        <v>60</v>
      </c>
      <c r="M404" s="1" t="s">
        <v>29</v>
      </c>
      <c r="N404" s="1" t="s">
        <v>30</v>
      </c>
      <c r="O404" s="1" t="s">
        <v>31</v>
      </c>
      <c r="P404" s="2">
        <v>45778</v>
      </c>
      <c r="Q404" s="1" t="s">
        <v>972</v>
      </c>
      <c r="R404" s="1" t="s">
        <v>973</v>
      </c>
      <c r="S404" s="1" t="s">
        <v>65</v>
      </c>
      <c r="T404" s="1" t="s">
        <v>35</v>
      </c>
      <c r="U404" s="1" t="s">
        <v>82</v>
      </c>
      <c r="V404" s="1" t="s">
        <v>89</v>
      </c>
      <c r="W404">
        <v>2.4</v>
      </c>
      <c r="X404" s="1" t="str">
        <f t="shared" si="18"/>
        <v>juan.rodriguez171@mail.com</v>
      </c>
      <c r="Y404" s="1" t="str">
        <f>INDEX(V:V,MATCH(orders_desnormalizado_prueba3[[#This Row],[acquisition_channel]],U:U,0))</f>
        <v>Bodega Propia CO - envio 2-3 dias</v>
      </c>
      <c r="Z404" s="1" t="str">
        <f>INDEX(T:T,MATCH(orders_desnormalizado_prueba3[[#This Row],[shipping_cost]],W:W,0))</f>
        <v>Colombia</v>
      </c>
      <c r="AA404" s="1" t="str">
        <f t="shared" si="19"/>
        <v>Cartagena</v>
      </c>
      <c r="AB404" s="1"/>
      <c r="AC404" s="1" t="str">
        <f t="shared" si="20"/>
        <v xml:space="preserve"> </v>
      </c>
    </row>
    <row r="405" spans="1:29" x14ac:dyDescent="0.3">
      <c r="A405" s="1" t="s">
        <v>974</v>
      </c>
      <c r="B405">
        <v>3</v>
      </c>
      <c r="C405">
        <v>27.99</v>
      </c>
      <c r="D405">
        <v>67.569999999999993</v>
      </c>
      <c r="E405" s="1" t="s">
        <v>419</v>
      </c>
      <c r="F405" s="1" t="s">
        <v>40</v>
      </c>
      <c r="G405">
        <v>2</v>
      </c>
      <c r="H405" s="1" t="s">
        <v>58</v>
      </c>
      <c r="I405" s="1" t="s">
        <v>75</v>
      </c>
      <c r="J405">
        <v>9</v>
      </c>
      <c r="K405">
        <v>27.99</v>
      </c>
      <c r="L405" s="1" t="s">
        <v>28</v>
      </c>
      <c r="M405" s="1" t="s">
        <v>61</v>
      </c>
      <c r="N405" s="1" t="s">
        <v>62</v>
      </c>
      <c r="O405" s="1" t="s">
        <v>31</v>
      </c>
      <c r="P405" s="2">
        <v>45726</v>
      </c>
      <c r="Q405" s="1" t="s">
        <v>975</v>
      </c>
      <c r="R405" s="1" t="s">
        <v>976</v>
      </c>
      <c r="S405" s="1" t="s">
        <v>54</v>
      </c>
      <c r="T405" s="1" t="s">
        <v>35</v>
      </c>
      <c r="U405" s="1" t="s">
        <v>66</v>
      </c>
      <c r="V405" s="1" t="s">
        <v>37</v>
      </c>
      <c r="W405">
        <v>2</v>
      </c>
      <c r="X405" s="1" t="str">
        <f t="shared" si="18"/>
        <v>mateo.moreno84@mail.com</v>
      </c>
      <c r="Y405" s="1" t="str">
        <f>INDEX(V:V,MATCH(orders_desnormalizado_prueba3[[#This Row],[acquisition_channel]],U:U,0))</f>
        <v>AliDropship CN - envio 15-20 dias</v>
      </c>
      <c r="Z405" s="1" t="str">
        <f>INDEX(T:T,MATCH(orders_desnormalizado_prueba3[[#This Row],[shipping_cost]],W:W,0))</f>
        <v>Colombia</v>
      </c>
      <c r="AA405" s="1" t="str">
        <f t="shared" si="19"/>
        <v>Medellin</v>
      </c>
      <c r="AB405" s="1"/>
      <c r="AC405" s="1" t="str">
        <f t="shared" si="20"/>
        <v xml:space="preserve"> </v>
      </c>
    </row>
    <row r="406" spans="1:29" x14ac:dyDescent="0.3">
      <c r="A406" s="1" t="s">
        <v>977</v>
      </c>
      <c r="B406">
        <v>3</v>
      </c>
      <c r="C406">
        <v>30.99</v>
      </c>
      <c r="D406">
        <v>73.459999999999994</v>
      </c>
      <c r="E406" s="1" t="s">
        <v>978</v>
      </c>
      <c r="F406" s="1" t="s">
        <v>40</v>
      </c>
      <c r="G406">
        <v>3</v>
      </c>
      <c r="H406" s="1" t="s">
        <v>58</v>
      </c>
      <c r="I406" s="1" t="s">
        <v>42</v>
      </c>
      <c r="J406">
        <v>10.5</v>
      </c>
      <c r="K406">
        <v>30.99</v>
      </c>
      <c r="L406" s="1" t="s">
        <v>28</v>
      </c>
      <c r="M406" s="1" t="s">
        <v>43</v>
      </c>
      <c r="N406" s="1" t="s">
        <v>44</v>
      </c>
      <c r="O406" s="1" t="s">
        <v>31</v>
      </c>
      <c r="P406" s="2">
        <v>45823</v>
      </c>
      <c r="Q406" s="1" t="s">
        <v>979</v>
      </c>
      <c r="R406" s="1" t="s">
        <v>980</v>
      </c>
      <c r="S406" s="1" t="s">
        <v>105</v>
      </c>
      <c r="T406" s="1" t="s">
        <v>35</v>
      </c>
      <c r="U406" s="1" t="s">
        <v>82</v>
      </c>
      <c r="V406" s="1" t="s">
        <v>37</v>
      </c>
      <c r="W406">
        <v>2</v>
      </c>
      <c r="X406" s="1" t="str">
        <f t="shared" si="18"/>
        <v>sofia.ramirez104@mail.com</v>
      </c>
      <c r="Y406" s="1" t="str">
        <f>INDEX(V:V,MATCH(orders_desnormalizado_prueba3[[#This Row],[acquisition_channel]],U:U,0))</f>
        <v>Bodega Propia CO - envio 2-3 dias</v>
      </c>
      <c r="Z406" s="1" t="str">
        <f>INDEX(T:T,MATCH(orders_desnormalizado_prueba3[[#This Row],[shipping_cost]],W:W,0))</f>
        <v>Colombia</v>
      </c>
      <c r="AA406" s="1" t="str">
        <f t="shared" si="19"/>
        <v>Barranquilla</v>
      </c>
      <c r="AB406" s="1"/>
      <c r="AC406" s="1" t="str">
        <f t="shared" si="20"/>
        <v xml:space="preserve"> </v>
      </c>
    </row>
    <row r="407" spans="1:29" x14ac:dyDescent="0.3">
      <c r="A407" s="1" t="s">
        <v>981</v>
      </c>
      <c r="B407">
        <v>1</v>
      </c>
      <c r="C407">
        <v>21.99</v>
      </c>
      <c r="D407">
        <v>21.99</v>
      </c>
      <c r="E407" s="1" t="s">
        <v>982</v>
      </c>
      <c r="F407" s="1" t="s">
        <v>40</v>
      </c>
      <c r="G407">
        <v>3</v>
      </c>
      <c r="H407" s="1" t="s">
        <v>58</v>
      </c>
      <c r="I407" s="1" t="s">
        <v>27</v>
      </c>
      <c r="J407">
        <v>7</v>
      </c>
      <c r="K407">
        <v>21.99</v>
      </c>
      <c r="L407" s="1" t="s">
        <v>28</v>
      </c>
      <c r="M407" s="1" t="s">
        <v>29</v>
      </c>
      <c r="N407" s="1" t="s">
        <v>30</v>
      </c>
      <c r="O407" s="1" t="s">
        <v>31</v>
      </c>
      <c r="P407" s="2">
        <v>45778</v>
      </c>
      <c r="Q407" s="1" t="s">
        <v>654</v>
      </c>
      <c r="R407" s="1" t="s">
        <v>983</v>
      </c>
      <c r="S407" s="1" t="s">
        <v>88</v>
      </c>
      <c r="T407" s="1" t="s">
        <v>35</v>
      </c>
      <c r="U407" s="1" t="s">
        <v>48</v>
      </c>
      <c r="V407" s="1" t="s">
        <v>37</v>
      </c>
      <c r="W407">
        <v>2</v>
      </c>
      <c r="X407" s="1" t="str">
        <f t="shared" si="18"/>
        <v>alejandro.diaz133@mail.com</v>
      </c>
      <c r="Y407" s="1" t="str">
        <f>INDEX(V:V,MATCH(orders_desnormalizado_prueba3[[#This Row],[acquisition_channel]],U:U,0))</f>
        <v>Bodega Propia CO - envio 2-3 dias</v>
      </c>
      <c r="Z407" s="1" t="str">
        <f>INDEX(T:T,MATCH(orders_desnormalizado_prueba3[[#This Row],[shipping_cost]],W:W,0))</f>
        <v>Colombia</v>
      </c>
      <c r="AA407" s="1" t="str">
        <f t="shared" si="19"/>
        <v>Barranquilla</v>
      </c>
      <c r="AB407" s="1"/>
      <c r="AC407" s="1" t="str">
        <f t="shared" si="20"/>
        <v xml:space="preserve"> </v>
      </c>
    </row>
    <row r="408" spans="1:29" x14ac:dyDescent="0.3">
      <c r="A408" s="1" t="s">
        <v>984</v>
      </c>
      <c r="B408">
        <v>2</v>
      </c>
      <c r="C408">
        <v>27.99</v>
      </c>
      <c r="D408">
        <v>48.29</v>
      </c>
      <c r="E408" s="1" t="s">
        <v>985</v>
      </c>
      <c r="F408" s="1" t="s">
        <v>40</v>
      </c>
      <c r="G408">
        <v>8</v>
      </c>
      <c r="H408" s="1" t="s">
        <v>58</v>
      </c>
      <c r="I408" s="1" t="s">
        <v>75</v>
      </c>
      <c r="J408">
        <v>9</v>
      </c>
      <c r="K408">
        <v>27.99</v>
      </c>
      <c r="L408" s="1" t="s">
        <v>28</v>
      </c>
      <c r="M408" s="1" t="s">
        <v>61</v>
      </c>
      <c r="N408" s="1" t="s">
        <v>62</v>
      </c>
      <c r="O408" s="1" t="s">
        <v>31</v>
      </c>
      <c r="P408" s="2">
        <v>45726</v>
      </c>
      <c r="Q408" s="1" t="s">
        <v>986</v>
      </c>
      <c r="R408" s="1" t="s">
        <v>987</v>
      </c>
      <c r="S408" s="1" t="s">
        <v>105</v>
      </c>
      <c r="T408" s="1" t="s">
        <v>35</v>
      </c>
      <c r="U408" s="1" t="s">
        <v>82</v>
      </c>
      <c r="V408" s="1" t="s">
        <v>37</v>
      </c>
      <c r="W408">
        <v>2</v>
      </c>
      <c r="X408" s="1" t="str">
        <f t="shared" si="18"/>
        <v>ximena.rodriguez96@mail.com</v>
      </c>
      <c r="Y408" s="1" t="str">
        <f>INDEX(V:V,MATCH(orders_desnormalizado_prueba3[[#This Row],[acquisition_channel]],U:U,0))</f>
        <v>Bodega Propia CO - envio 2-3 dias</v>
      </c>
      <c r="Z408" s="1" t="str">
        <f>INDEX(T:T,MATCH(orders_desnormalizado_prueba3[[#This Row],[shipping_cost]],W:W,0))</f>
        <v>Colombia</v>
      </c>
      <c r="AA408" s="1" t="str">
        <f t="shared" si="19"/>
        <v>Barranquilla</v>
      </c>
      <c r="AB408" s="1"/>
      <c r="AC408" s="1" t="str">
        <f t="shared" si="20"/>
        <v xml:space="preserve"> </v>
      </c>
    </row>
    <row r="409" spans="1:29" x14ac:dyDescent="0.3">
      <c r="A409" s="1" t="s">
        <v>988</v>
      </c>
      <c r="B409">
        <v>1</v>
      </c>
      <c r="C409">
        <v>34.99</v>
      </c>
      <c r="D409">
        <v>34.99</v>
      </c>
      <c r="E409" s="1" t="s">
        <v>989</v>
      </c>
      <c r="F409" s="1" t="s">
        <v>40</v>
      </c>
      <c r="G409">
        <v>8</v>
      </c>
      <c r="H409" s="1" t="s">
        <v>26</v>
      </c>
      <c r="I409" s="1" t="s">
        <v>85</v>
      </c>
      <c r="J409">
        <v>12.5</v>
      </c>
      <c r="K409">
        <v>34.99</v>
      </c>
      <c r="L409" s="1" t="s">
        <v>60</v>
      </c>
      <c r="M409" s="1" t="s">
        <v>29</v>
      </c>
      <c r="N409" s="1" t="s">
        <v>30</v>
      </c>
      <c r="O409" s="1" t="s">
        <v>31</v>
      </c>
      <c r="P409" s="2">
        <v>45778</v>
      </c>
      <c r="Q409" s="1" t="s">
        <v>990</v>
      </c>
      <c r="R409" s="1" t="s">
        <v>991</v>
      </c>
      <c r="S409" s="1" t="s">
        <v>54</v>
      </c>
      <c r="T409" s="1" t="s">
        <v>35</v>
      </c>
      <c r="U409" s="1" t="s">
        <v>48</v>
      </c>
      <c r="V409" s="1" t="s">
        <v>89</v>
      </c>
      <c r="W409">
        <v>2.4</v>
      </c>
      <c r="X409" s="1" t="str">
        <f t="shared" si="18"/>
        <v>fernanda.diaz94@mail.com</v>
      </c>
      <c r="Y409" s="1" t="str">
        <f>INDEX(V:V,MATCH(orders_desnormalizado_prueba3[[#This Row],[acquisition_channel]],U:U,0))</f>
        <v>Bodega Propia CO - envio 2-3 dias</v>
      </c>
      <c r="Z409" s="1" t="str">
        <f>INDEX(T:T,MATCH(orders_desnormalizado_prueba3[[#This Row],[shipping_cost]],W:W,0))</f>
        <v>Colombia</v>
      </c>
      <c r="AA409" s="1" t="str">
        <f t="shared" si="19"/>
        <v>Barranquilla</v>
      </c>
      <c r="AB409" s="1"/>
      <c r="AC409" s="1" t="str">
        <f t="shared" si="20"/>
        <v xml:space="preserve"> </v>
      </c>
    </row>
    <row r="410" spans="1:29" x14ac:dyDescent="0.3">
      <c r="A410" s="1" t="s">
        <v>992</v>
      </c>
      <c r="B410">
        <v>1</v>
      </c>
      <c r="C410">
        <v>21.99</v>
      </c>
      <c r="D410">
        <v>21.99</v>
      </c>
      <c r="E410" s="1" t="s">
        <v>246</v>
      </c>
      <c r="F410" s="1" t="s">
        <v>40</v>
      </c>
      <c r="G410">
        <v>7</v>
      </c>
      <c r="H410" s="1" t="s">
        <v>41</v>
      </c>
      <c r="I410" s="1" t="s">
        <v>27</v>
      </c>
      <c r="J410">
        <v>7</v>
      </c>
      <c r="K410">
        <v>21.99</v>
      </c>
      <c r="L410" s="1" t="s">
        <v>28</v>
      </c>
      <c r="M410" s="1" t="s">
        <v>29</v>
      </c>
      <c r="N410" s="1" t="s">
        <v>30</v>
      </c>
      <c r="O410" s="1" t="s">
        <v>31</v>
      </c>
      <c r="P410" s="2">
        <v>45778</v>
      </c>
      <c r="Q410" s="1" t="s">
        <v>373</v>
      </c>
      <c r="R410" s="1" t="s">
        <v>993</v>
      </c>
      <c r="S410" s="1" t="s">
        <v>34</v>
      </c>
      <c r="T410" s="1" t="s">
        <v>35</v>
      </c>
      <c r="U410" s="1" t="s">
        <v>48</v>
      </c>
      <c r="V410" s="1" t="s">
        <v>37</v>
      </c>
      <c r="W410">
        <v>2</v>
      </c>
      <c r="X410" s="1" t="str">
        <f t="shared" si="18"/>
        <v>david.diaz100@mail.com</v>
      </c>
      <c r="Y410" s="1" t="str">
        <f>INDEX(V:V,MATCH(orders_desnormalizado_prueba3[[#This Row],[acquisition_channel]],U:U,0))</f>
        <v>Bodega Propia CO - envio 2-3 dias</v>
      </c>
      <c r="Z410" s="1" t="str">
        <f>INDEX(T:T,MATCH(orders_desnormalizado_prueba3[[#This Row],[shipping_cost]],W:W,0))</f>
        <v>Colombia</v>
      </c>
      <c r="AA410" s="1" t="str">
        <f t="shared" si="19"/>
        <v>Bogota</v>
      </c>
      <c r="AB410" s="1"/>
      <c r="AC410" s="1" t="str">
        <f t="shared" si="20"/>
        <v xml:space="preserve"> </v>
      </c>
    </row>
    <row r="411" spans="1:29" x14ac:dyDescent="0.3">
      <c r="A411" s="1" t="s">
        <v>994</v>
      </c>
      <c r="B411">
        <v>1</v>
      </c>
      <c r="C411">
        <v>30.99</v>
      </c>
      <c r="D411">
        <v>30.99</v>
      </c>
      <c r="E411" s="1" t="s">
        <v>995</v>
      </c>
      <c r="F411" s="1" t="s">
        <v>40</v>
      </c>
      <c r="G411">
        <v>4</v>
      </c>
      <c r="H411" s="1" t="s">
        <v>26</v>
      </c>
      <c r="I411" s="1" t="s">
        <v>42</v>
      </c>
      <c r="J411">
        <v>10.5</v>
      </c>
      <c r="K411">
        <v>30.99</v>
      </c>
      <c r="L411" s="1" t="s">
        <v>28</v>
      </c>
      <c r="M411" s="1" t="s">
        <v>43</v>
      </c>
      <c r="N411" s="1" t="s">
        <v>44</v>
      </c>
      <c r="O411" s="1" t="s">
        <v>31</v>
      </c>
      <c r="P411" s="2">
        <v>45823</v>
      </c>
      <c r="Q411" s="1" t="s">
        <v>909</v>
      </c>
      <c r="R411" s="1" t="s">
        <v>996</v>
      </c>
      <c r="S411" s="1" t="s">
        <v>88</v>
      </c>
      <c r="T411" s="1" t="s">
        <v>35</v>
      </c>
      <c r="U411" s="1" t="s">
        <v>66</v>
      </c>
      <c r="V411" s="1" t="s">
        <v>37</v>
      </c>
      <c r="W411">
        <v>2</v>
      </c>
      <c r="X411" s="1" t="str">
        <f t="shared" si="18"/>
        <v>juan.hernandez64@mail.com</v>
      </c>
      <c r="Y411" s="1" t="str">
        <f>INDEX(V:V,MATCH(orders_desnormalizado_prueba3[[#This Row],[acquisition_channel]],U:U,0))</f>
        <v>AliDropship CN - envio 15-20 dias</v>
      </c>
      <c r="Z411" s="1" t="str">
        <f>INDEX(T:T,MATCH(orders_desnormalizado_prueba3[[#This Row],[shipping_cost]],W:W,0))</f>
        <v>Colombia</v>
      </c>
      <c r="AA411" s="1" t="str">
        <f t="shared" si="19"/>
        <v>Barranquilla</v>
      </c>
      <c r="AB411" s="1"/>
      <c r="AC411" s="1" t="str">
        <f t="shared" si="20"/>
        <v xml:space="preserve"> </v>
      </c>
    </row>
    <row r="412" spans="1:29" x14ac:dyDescent="0.3">
      <c r="A412" s="1" t="s">
        <v>997</v>
      </c>
      <c r="B412">
        <v>1</v>
      </c>
      <c r="C412">
        <v>16.989999999999998</v>
      </c>
      <c r="D412">
        <v>16.989999999999998</v>
      </c>
      <c r="E412" s="1" t="s">
        <v>331</v>
      </c>
      <c r="F412" s="1" t="s">
        <v>40</v>
      </c>
      <c r="G412">
        <v>19</v>
      </c>
      <c r="H412" s="1" t="s">
        <v>26</v>
      </c>
      <c r="I412" s="1" t="s">
        <v>59</v>
      </c>
      <c r="J412">
        <v>5</v>
      </c>
      <c r="K412">
        <v>16.989999999999998</v>
      </c>
      <c r="L412" s="1" t="s">
        <v>60</v>
      </c>
      <c r="M412" s="1" t="s">
        <v>61</v>
      </c>
      <c r="N412" s="1" t="s">
        <v>62</v>
      </c>
      <c r="O412" s="1" t="s">
        <v>31</v>
      </c>
      <c r="P412" s="2">
        <v>45726</v>
      </c>
      <c r="Q412" s="1" t="s">
        <v>385</v>
      </c>
      <c r="R412" s="1" t="s">
        <v>998</v>
      </c>
      <c r="S412" s="1" t="s">
        <v>54</v>
      </c>
      <c r="T412" s="1" t="s">
        <v>35</v>
      </c>
      <c r="U412" s="1" t="s">
        <v>48</v>
      </c>
      <c r="V412" s="1" t="s">
        <v>67</v>
      </c>
      <c r="W412">
        <v>3</v>
      </c>
      <c r="X412" s="1" t="str">
        <f t="shared" si="18"/>
        <v>isabella.sanchez53@mail.com</v>
      </c>
      <c r="Y412" s="1" t="str">
        <f>INDEX(V:V,MATCH(orders_desnormalizado_prueba3[[#This Row],[acquisition_channel]],U:U,0))</f>
        <v>Bodega Propia CO - envio 2-3 dias</v>
      </c>
      <c r="Z412" s="1" t="str">
        <f>INDEX(T:T,MATCH(orders_desnormalizado_prueba3[[#This Row],[shipping_cost]],W:W,0))</f>
        <v>Colombia</v>
      </c>
      <c r="AA412" s="1" t="str">
        <f t="shared" si="19"/>
        <v>Bogota</v>
      </c>
      <c r="AB412" s="1"/>
      <c r="AC412" s="1" t="str">
        <f t="shared" si="20"/>
        <v xml:space="preserve"> </v>
      </c>
    </row>
    <row r="413" spans="1:29" x14ac:dyDescent="0.3">
      <c r="A413" s="1" t="s">
        <v>999</v>
      </c>
      <c r="B413">
        <v>1</v>
      </c>
      <c r="C413">
        <v>16.989999999999998</v>
      </c>
      <c r="D413">
        <v>16.989999999999998</v>
      </c>
      <c r="E413" s="1" t="s">
        <v>1000</v>
      </c>
      <c r="F413" s="1" t="s">
        <v>40</v>
      </c>
      <c r="G413">
        <v>18</v>
      </c>
      <c r="H413" s="1" t="s">
        <v>41</v>
      </c>
      <c r="I413" s="1" t="s">
        <v>59</v>
      </c>
      <c r="J413">
        <v>5</v>
      </c>
      <c r="K413">
        <v>16.989999999999998</v>
      </c>
      <c r="L413" s="1" t="s">
        <v>60</v>
      </c>
      <c r="M413" s="1" t="s">
        <v>61</v>
      </c>
      <c r="N413" s="1" t="s">
        <v>62</v>
      </c>
      <c r="O413" s="1" t="s">
        <v>31</v>
      </c>
      <c r="P413" s="2">
        <v>45726</v>
      </c>
      <c r="Q413" s="1" t="s">
        <v>873</v>
      </c>
      <c r="R413" s="1" t="s">
        <v>874</v>
      </c>
      <c r="S413" s="1" t="s">
        <v>105</v>
      </c>
      <c r="T413" s="1" t="s">
        <v>35</v>
      </c>
      <c r="U413" s="1" t="s">
        <v>48</v>
      </c>
      <c r="V413" s="1" t="s">
        <v>67</v>
      </c>
      <c r="W413">
        <v>3</v>
      </c>
      <c r="X413" s="1" t="str">
        <f t="shared" si="18"/>
        <v>fernanda.sanchez183@mail.com</v>
      </c>
      <c r="Y413" s="1" t="str">
        <f>INDEX(V:V,MATCH(orders_desnormalizado_prueba3[[#This Row],[acquisition_channel]],U:U,0))</f>
        <v>Bodega Propia CO - envio 2-3 dias</v>
      </c>
      <c r="Z413" s="1" t="str">
        <f>INDEX(T:T,MATCH(orders_desnormalizado_prueba3[[#This Row],[shipping_cost]],W:W,0))</f>
        <v>Colombia</v>
      </c>
      <c r="AA413" s="1" t="str">
        <f t="shared" si="19"/>
        <v>Medellin</v>
      </c>
      <c r="AB413" s="1"/>
      <c r="AC413" s="1" t="str">
        <f t="shared" si="20"/>
        <v xml:space="preserve"> </v>
      </c>
    </row>
    <row r="414" spans="1:29" x14ac:dyDescent="0.3">
      <c r="A414" s="1" t="s">
        <v>1001</v>
      </c>
      <c r="B414">
        <v>3</v>
      </c>
      <c r="C414">
        <v>21.99</v>
      </c>
      <c r="D414">
        <v>52.35</v>
      </c>
      <c r="E414" s="1" t="s">
        <v>1002</v>
      </c>
      <c r="F414" s="1" t="s">
        <v>51</v>
      </c>
      <c r="G414">
        <v>0</v>
      </c>
      <c r="H414" s="1" t="s">
        <v>41</v>
      </c>
      <c r="I414" s="1" t="s">
        <v>27</v>
      </c>
      <c r="J414">
        <v>7</v>
      </c>
      <c r="K414">
        <v>21.99</v>
      </c>
      <c r="L414" s="1" t="s">
        <v>28</v>
      </c>
      <c r="M414" s="1" t="s">
        <v>29</v>
      </c>
      <c r="N414" s="1" t="s">
        <v>30</v>
      </c>
      <c r="O414" s="1" t="s">
        <v>31</v>
      </c>
      <c r="P414" s="2">
        <v>45778</v>
      </c>
      <c r="Q414" s="1" t="s">
        <v>1003</v>
      </c>
      <c r="R414" s="1" t="s">
        <v>1004</v>
      </c>
      <c r="S414" s="1" t="s">
        <v>88</v>
      </c>
      <c r="T414" s="1" t="s">
        <v>35</v>
      </c>
      <c r="U414" s="1" t="s">
        <v>82</v>
      </c>
      <c r="V414" s="1" t="s">
        <v>37</v>
      </c>
      <c r="W414">
        <v>2</v>
      </c>
      <c r="X414" s="1" t="str">
        <f t="shared" si="18"/>
        <v>julian.castro40@mail.com</v>
      </c>
      <c r="Y414" s="1" t="str">
        <f>INDEX(V:V,MATCH(orders_desnormalizado_prueba3[[#This Row],[acquisition_channel]],U:U,0))</f>
        <v>Bodega Propia CO - envio 2-3 dias</v>
      </c>
      <c r="Z414" s="1" t="str">
        <f>INDEX(T:T,MATCH(orders_desnormalizado_prueba3[[#This Row],[shipping_cost]],W:W,0))</f>
        <v>Colombia</v>
      </c>
      <c r="AA414" s="1" t="str">
        <f t="shared" si="19"/>
        <v>Cartagena</v>
      </c>
      <c r="AB414" s="1"/>
      <c r="AC414" s="1" t="str">
        <f t="shared" si="20"/>
        <v xml:space="preserve"> </v>
      </c>
    </row>
    <row r="415" spans="1:29" x14ac:dyDescent="0.3">
      <c r="A415" s="1" t="s">
        <v>1005</v>
      </c>
      <c r="B415">
        <v>1</v>
      </c>
      <c r="C415">
        <v>21.99</v>
      </c>
      <c r="D415">
        <v>21.99</v>
      </c>
      <c r="E415" s="1" t="s">
        <v>1006</v>
      </c>
      <c r="F415" s="1" t="s">
        <v>40</v>
      </c>
      <c r="G415">
        <v>3</v>
      </c>
      <c r="H415" s="1" t="s">
        <v>26</v>
      </c>
      <c r="I415" s="1" t="s">
        <v>27</v>
      </c>
      <c r="J415">
        <v>7</v>
      </c>
      <c r="K415">
        <v>21.99</v>
      </c>
      <c r="L415" s="1" t="s">
        <v>28</v>
      </c>
      <c r="M415" s="1" t="s">
        <v>29</v>
      </c>
      <c r="N415" s="1" t="s">
        <v>30</v>
      </c>
      <c r="O415" s="1" t="s">
        <v>31</v>
      </c>
      <c r="P415" s="2">
        <v>45778</v>
      </c>
      <c r="Q415" s="1" t="s">
        <v>836</v>
      </c>
      <c r="R415" s="1" t="s">
        <v>837</v>
      </c>
      <c r="S415" s="1" t="s">
        <v>105</v>
      </c>
      <c r="T415" s="1" t="s">
        <v>35</v>
      </c>
      <c r="U415" s="1" t="s">
        <v>55</v>
      </c>
      <c r="V415" s="1" t="s">
        <v>37</v>
      </c>
      <c r="W415">
        <v>2</v>
      </c>
      <c r="X415" s="1" t="str">
        <f t="shared" si="18"/>
        <v>esteban.martinez139@mail.com</v>
      </c>
      <c r="Y415" s="1" t="str">
        <f>INDEX(V:V,MATCH(orders_desnormalizado_prueba3[[#This Row],[acquisition_channel]],U:U,0))</f>
        <v>Bodega Propia CO - envio 2-3 dias</v>
      </c>
      <c r="Z415" s="1" t="str">
        <f>INDEX(T:T,MATCH(orders_desnormalizado_prueba3[[#This Row],[shipping_cost]],W:W,0))</f>
        <v>Colombia</v>
      </c>
      <c r="AA415" s="1" t="str">
        <f t="shared" si="19"/>
        <v>Barranquilla</v>
      </c>
      <c r="AB415" s="1"/>
      <c r="AC415" s="1" t="str">
        <f t="shared" si="20"/>
        <v xml:space="preserve"> </v>
      </c>
    </row>
    <row r="416" spans="1:29" x14ac:dyDescent="0.3">
      <c r="A416" s="1" t="s">
        <v>1007</v>
      </c>
      <c r="B416">
        <v>1</v>
      </c>
      <c r="C416">
        <v>18.989999999999998</v>
      </c>
      <c r="D416">
        <v>18.989999999999998</v>
      </c>
      <c r="E416" s="1" t="s">
        <v>1008</v>
      </c>
      <c r="F416" s="1" t="s">
        <v>40</v>
      </c>
      <c r="G416">
        <v>11</v>
      </c>
      <c r="H416" s="1" t="s">
        <v>41</v>
      </c>
      <c r="I416" s="1" t="s">
        <v>97</v>
      </c>
      <c r="J416">
        <v>6</v>
      </c>
      <c r="K416">
        <v>18.989999999999998</v>
      </c>
      <c r="L416" s="1" t="s">
        <v>60</v>
      </c>
      <c r="M416" s="1" t="s">
        <v>43</v>
      </c>
      <c r="N416" s="1" t="s">
        <v>44</v>
      </c>
      <c r="O416" s="1" t="s">
        <v>31</v>
      </c>
      <c r="P416" s="2">
        <v>45823</v>
      </c>
      <c r="Q416" s="1" t="s">
        <v>1009</v>
      </c>
      <c r="R416" s="1" t="s">
        <v>1010</v>
      </c>
      <c r="S416" s="1" t="s">
        <v>47</v>
      </c>
      <c r="T416" s="1" t="s">
        <v>35</v>
      </c>
      <c r="U416" s="1" t="s">
        <v>82</v>
      </c>
      <c r="V416" s="1" t="s">
        <v>100</v>
      </c>
      <c r="W416">
        <v>3.2</v>
      </c>
      <c r="X416" s="1" t="str">
        <f t="shared" si="18"/>
        <v>manuela.martinez152@mail.com</v>
      </c>
      <c r="Y416" s="1" t="str">
        <f>INDEX(V:V,MATCH(orders_desnormalizado_prueba3[[#This Row],[acquisition_channel]],U:U,0))</f>
        <v>Bodega Propia CO - envio 2-3 dias</v>
      </c>
      <c r="Z416" s="1" t="str">
        <f>INDEX(T:T,MATCH(orders_desnormalizado_prueba3[[#This Row],[shipping_cost]],W:W,0))</f>
        <v>Colombia</v>
      </c>
      <c r="AA416" s="1" t="str">
        <f t="shared" si="19"/>
        <v>Cali</v>
      </c>
      <c r="AB416" s="1"/>
      <c r="AC416" s="1" t="str">
        <f t="shared" si="20"/>
        <v xml:space="preserve"> </v>
      </c>
    </row>
    <row r="417" spans="1:29" x14ac:dyDescent="0.3">
      <c r="A417" s="1" t="s">
        <v>1011</v>
      </c>
      <c r="B417">
        <v>1</v>
      </c>
      <c r="C417">
        <v>27.99</v>
      </c>
      <c r="D417">
        <v>27.99</v>
      </c>
      <c r="E417" s="1" t="s">
        <v>102</v>
      </c>
      <c r="F417" s="1" t="s">
        <v>40</v>
      </c>
      <c r="G417">
        <v>2</v>
      </c>
      <c r="H417" s="1" t="s">
        <v>41</v>
      </c>
      <c r="I417" s="1" t="s">
        <v>75</v>
      </c>
      <c r="J417">
        <v>9</v>
      </c>
      <c r="K417">
        <v>27.99</v>
      </c>
      <c r="L417" s="1" t="s">
        <v>28</v>
      </c>
      <c r="M417" s="1" t="s">
        <v>61</v>
      </c>
      <c r="N417" s="1" t="s">
        <v>62</v>
      </c>
      <c r="O417" s="1" t="s">
        <v>31</v>
      </c>
      <c r="P417" s="2">
        <v>45726</v>
      </c>
      <c r="Q417" s="1" t="s">
        <v>1012</v>
      </c>
      <c r="R417" s="1" t="s">
        <v>1013</v>
      </c>
      <c r="S417" s="1" t="s">
        <v>65</v>
      </c>
      <c r="T417" s="1" t="s">
        <v>35</v>
      </c>
      <c r="U417" s="1" t="s">
        <v>36</v>
      </c>
      <c r="V417" s="1" t="s">
        <v>37</v>
      </c>
      <c r="W417">
        <v>2</v>
      </c>
      <c r="X417" s="1" t="str">
        <f t="shared" si="18"/>
        <v>mateo.vargas175@mail.com</v>
      </c>
      <c r="Y417" s="1" t="str">
        <f>INDEX(V:V,MATCH(orders_desnormalizado_prueba3[[#This Row],[acquisition_channel]],U:U,0))</f>
        <v>Bodega Propia CO - envio 2-3 dias</v>
      </c>
      <c r="Z417" s="1" t="str">
        <f>INDEX(T:T,MATCH(orders_desnormalizado_prueba3[[#This Row],[shipping_cost]],W:W,0))</f>
        <v>Colombia</v>
      </c>
      <c r="AA417" s="1" t="str">
        <f t="shared" si="19"/>
        <v>Medellin</v>
      </c>
      <c r="AB417" s="1"/>
      <c r="AC417" s="1" t="str">
        <f t="shared" si="20"/>
        <v xml:space="preserve"> </v>
      </c>
    </row>
    <row r="418" spans="1:29" x14ac:dyDescent="0.3">
      <c r="A418" s="1" t="s">
        <v>1014</v>
      </c>
      <c r="B418">
        <v>2</v>
      </c>
      <c r="C418">
        <v>30.99</v>
      </c>
      <c r="D418">
        <v>53.58</v>
      </c>
      <c r="E418" s="1" t="s">
        <v>1015</v>
      </c>
      <c r="F418" s="1" t="s">
        <v>51</v>
      </c>
      <c r="G418">
        <v>0</v>
      </c>
      <c r="H418" s="1" t="s">
        <v>41</v>
      </c>
      <c r="I418" s="1" t="s">
        <v>42</v>
      </c>
      <c r="J418">
        <v>10.5</v>
      </c>
      <c r="K418">
        <v>30.99</v>
      </c>
      <c r="L418" s="1" t="s">
        <v>28</v>
      </c>
      <c r="M418" s="1" t="s">
        <v>43</v>
      </c>
      <c r="N418" s="1" t="s">
        <v>44</v>
      </c>
      <c r="O418" s="1" t="s">
        <v>31</v>
      </c>
      <c r="P418" s="2">
        <v>45823</v>
      </c>
      <c r="Q418" s="1" t="s">
        <v>189</v>
      </c>
      <c r="R418" s="1" t="s">
        <v>1016</v>
      </c>
      <c r="S418" s="1" t="s">
        <v>105</v>
      </c>
      <c r="T418" s="1" t="s">
        <v>35</v>
      </c>
      <c r="U418" s="1" t="s">
        <v>48</v>
      </c>
      <c r="V418" s="1" t="s">
        <v>37</v>
      </c>
      <c r="W418">
        <v>2</v>
      </c>
      <c r="X418" s="1" t="str">
        <f t="shared" si="18"/>
        <v>maria.ramirez6@mail.com</v>
      </c>
      <c r="Y418" s="1" t="str">
        <f>INDEX(V:V,MATCH(orders_desnormalizado_prueba3[[#This Row],[acquisition_channel]],U:U,0))</f>
        <v>Bodega Propia CO - envio 2-3 dias</v>
      </c>
      <c r="Z418" s="1" t="str">
        <f>INDEX(T:T,MATCH(orders_desnormalizado_prueba3[[#This Row],[shipping_cost]],W:W,0))</f>
        <v>Colombia</v>
      </c>
      <c r="AA418" s="1" t="str">
        <f t="shared" si="19"/>
        <v>Cartagena</v>
      </c>
      <c r="AB418" s="1"/>
      <c r="AC418" s="1" t="str">
        <f t="shared" si="20"/>
        <v xml:space="preserve"> </v>
      </c>
    </row>
    <row r="419" spans="1:29" x14ac:dyDescent="0.3">
      <c r="A419" s="1" t="s">
        <v>1017</v>
      </c>
      <c r="B419">
        <v>1</v>
      </c>
      <c r="C419">
        <v>30.99</v>
      </c>
      <c r="D419">
        <v>30.99</v>
      </c>
      <c r="E419" s="1" t="s">
        <v>923</v>
      </c>
      <c r="F419" s="1" t="s">
        <v>25</v>
      </c>
      <c r="G419">
        <v>2</v>
      </c>
      <c r="H419" s="1" t="s">
        <v>96</v>
      </c>
      <c r="I419" s="1" t="s">
        <v>42</v>
      </c>
      <c r="J419">
        <v>10.5</v>
      </c>
      <c r="K419">
        <v>30.99</v>
      </c>
      <c r="L419" s="1" t="s">
        <v>28</v>
      </c>
      <c r="M419" s="1" t="s">
        <v>43</v>
      </c>
      <c r="N419" s="1" t="s">
        <v>44</v>
      </c>
      <c r="O419" s="1" t="s">
        <v>31</v>
      </c>
      <c r="P419" s="2">
        <v>45823</v>
      </c>
      <c r="Q419" s="1" t="s">
        <v>1018</v>
      </c>
      <c r="R419" s="1" t="s">
        <v>1019</v>
      </c>
      <c r="S419" s="1" t="s">
        <v>34</v>
      </c>
      <c r="T419" s="1" t="s">
        <v>35</v>
      </c>
      <c r="U419" s="1" t="s">
        <v>82</v>
      </c>
      <c r="V419" s="1" t="s">
        <v>37</v>
      </c>
      <c r="W419">
        <v>2</v>
      </c>
      <c r="X419" s="1" t="str">
        <f t="shared" si="18"/>
        <v>catalina.jimenez76@mail.com</v>
      </c>
      <c r="Y419" s="1" t="str">
        <f>INDEX(V:V,MATCH(orders_desnormalizado_prueba3[[#This Row],[acquisition_channel]],U:U,0))</f>
        <v>Bodega Propia CO - envio 2-3 dias</v>
      </c>
      <c r="Z419" s="1" t="str">
        <f>INDEX(T:T,MATCH(orders_desnormalizado_prueba3[[#This Row],[shipping_cost]],W:W,0))</f>
        <v>Colombia</v>
      </c>
      <c r="AA419" s="1" t="str">
        <f t="shared" si="19"/>
        <v>Medellin</v>
      </c>
      <c r="AB419" s="1"/>
      <c r="AC419" s="1" t="str">
        <f t="shared" si="20"/>
        <v xml:space="preserve"> </v>
      </c>
    </row>
    <row r="420" spans="1:29" x14ac:dyDescent="0.3">
      <c r="A420" s="1" t="s">
        <v>1020</v>
      </c>
      <c r="B420">
        <v>1</v>
      </c>
      <c r="C420">
        <v>27.99</v>
      </c>
      <c r="D420">
        <v>27.99</v>
      </c>
      <c r="E420" s="1" t="s">
        <v>731</v>
      </c>
      <c r="F420" s="1" t="s">
        <v>40</v>
      </c>
      <c r="G420">
        <v>2</v>
      </c>
      <c r="H420" s="1" t="s">
        <v>96</v>
      </c>
      <c r="I420" s="1" t="s">
        <v>75</v>
      </c>
      <c r="J420">
        <v>9</v>
      </c>
      <c r="K420">
        <v>27.99</v>
      </c>
      <c r="L420" s="1" t="s">
        <v>28</v>
      </c>
      <c r="M420" s="1" t="s">
        <v>61</v>
      </c>
      <c r="N420" s="1" t="s">
        <v>62</v>
      </c>
      <c r="O420" s="1" t="s">
        <v>31</v>
      </c>
      <c r="P420" s="2">
        <v>45726</v>
      </c>
      <c r="Q420" s="1" t="s">
        <v>1021</v>
      </c>
      <c r="R420" s="1" t="s">
        <v>1022</v>
      </c>
      <c r="S420" s="1" t="s">
        <v>54</v>
      </c>
      <c r="T420" s="1" t="s">
        <v>35</v>
      </c>
      <c r="U420" s="1" t="s">
        <v>82</v>
      </c>
      <c r="V420" s="1" t="s">
        <v>37</v>
      </c>
      <c r="W420">
        <v>2</v>
      </c>
      <c r="X420" s="1" t="str">
        <f t="shared" si="18"/>
        <v>nicolas.lopez125@mail.com</v>
      </c>
      <c r="Y420" s="1" t="str">
        <f>INDEX(V:V,MATCH(orders_desnormalizado_prueba3[[#This Row],[acquisition_channel]],U:U,0))</f>
        <v>Bodega Propia CO - envio 2-3 dias</v>
      </c>
      <c r="Z420" s="1" t="str">
        <f>INDEX(T:T,MATCH(orders_desnormalizado_prueba3[[#This Row],[shipping_cost]],W:W,0))</f>
        <v>Colombia</v>
      </c>
      <c r="AA420" s="1" t="str">
        <f t="shared" si="19"/>
        <v>Medellin</v>
      </c>
      <c r="AB420" s="1"/>
      <c r="AC420" s="1" t="str">
        <f t="shared" si="20"/>
        <v xml:space="preserve"> </v>
      </c>
    </row>
    <row r="421" spans="1:29" x14ac:dyDescent="0.3">
      <c r="A421" s="1" t="s">
        <v>1023</v>
      </c>
      <c r="B421">
        <v>1</v>
      </c>
      <c r="C421">
        <v>21.99</v>
      </c>
      <c r="D421">
        <v>21.99</v>
      </c>
      <c r="E421" s="1" t="s">
        <v>881</v>
      </c>
      <c r="F421" s="1" t="s">
        <v>40</v>
      </c>
      <c r="G421">
        <v>2</v>
      </c>
      <c r="H421" s="1" t="s">
        <v>41</v>
      </c>
      <c r="I421" s="1" t="s">
        <v>27</v>
      </c>
      <c r="J421">
        <v>7</v>
      </c>
      <c r="K421">
        <v>21.99</v>
      </c>
      <c r="L421" s="1" t="s">
        <v>28</v>
      </c>
      <c r="M421" s="1" t="s">
        <v>29</v>
      </c>
      <c r="N421" s="1" t="s">
        <v>30</v>
      </c>
      <c r="O421" s="1" t="s">
        <v>31</v>
      </c>
      <c r="P421" s="2">
        <v>45778</v>
      </c>
      <c r="Q421" s="1" t="s">
        <v>1024</v>
      </c>
      <c r="R421" s="1" t="s">
        <v>1025</v>
      </c>
      <c r="S421" s="1" t="s">
        <v>34</v>
      </c>
      <c r="T421" s="1" t="s">
        <v>35</v>
      </c>
      <c r="U421" s="1" t="s">
        <v>66</v>
      </c>
      <c r="V421" s="1" t="s">
        <v>37</v>
      </c>
      <c r="W421">
        <v>2</v>
      </c>
      <c r="X421" s="1" t="str">
        <f t="shared" si="18"/>
        <v>camila.gomez147@mail.com</v>
      </c>
      <c r="Y421" s="1" t="str">
        <f>INDEX(V:V,MATCH(orders_desnormalizado_prueba3[[#This Row],[acquisition_channel]],U:U,0))</f>
        <v>AliDropship CN - envio 15-20 dias</v>
      </c>
      <c r="Z421" s="1" t="str">
        <f>INDEX(T:T,MATCH(orders_desnormalizado_prueba3[[#This Row],[shipping_cost]],W:W,0))</f>
        <v>Colombia</v>
      </c>
      <c r="AA421" s="1" t="str">
        <f t="shared" si="19"/>
        <v>Medellin</v>
      </c>
      <c r="AB421" s="1"/>
      <c r="AC421" s="1" t="str">
        <f t="shared" si="20"/>
        <v xml:space="preserve"> </v>
      </c>
    </row>
    <row r="422" spans="1:29" x14ac:dyDescent="0.3">
      <c r="A422" s="1" t="s">
        <v>1026</v>
      </c>
      <c r="B422">
        <v>1</v>
      </c>
      <c r="C422">
        <v>18.989999999999998</v>
      </c>
      <c r="D422">
        <v>18.989999999999998</v>
      </c>
      <c r="E422" s="1" t="s">
        <v>1027</v>
      </c>
      <c r="F422" s="1" t="s">
        <v>51</v>
      </c>
      <c r="G422">
        <v>0</v>
      </c>
      <c r="H422" s="1" t="s">
        <v>26</v>
      </c>
      <c r="I422" s="1" t="s">
        <v>97</v>
      </c>
      <c r="J422">
        <v>6</v>
      </c>
      <c r="K422">
        <v>18.989999999999998</v>
      </c>
      <c r="L422" s="1" t="s">
        <v>60</v>
      </c>
      <c r="M422" s="1" t="s">
        <v>43</v>
      </c>
      <c r="N422" s="1" t="s">
        <v>44</v>
      </c>
      <c r="O422" s="1" t="s">
        <v>31</v>
      </c>
      <c r="P422" s="2">
        <v>45823</v>
      </c>
      <c r="Q422" s="1" t="s">
        <v>1028</v>
      </c>
      <c r="R422" s="1" t="s">
        <v>1029</v>
      </c>
      <c r="S422" s="1" t="s">
        <v>105</v>
      </c>
      <c r="T422" s="1" t="s">
        <v>35</v>
      </c>
      <c r="U422" s="1" t="s">
        <v>36</v>
      </c>
      <c r="V422" s="1" t="s">
        <v>100</v>
      </c>
      <c r="W422">
        <v>3.2</v>
      </c>
      <c r="X422" s="1" t="str">
        <f t="shared" si="18"/>
        <v>miguel.martinez162@mail.com</v>
      </c>
      <c r="Y422" s="1" t="str">
        <f>INDEX(V:V,MATCH(orders_desnormalizado_prueba3[[#This Row],[acquisition_channel]],U:U,0))</f>
        <v>Bodega Propia CO - envio 2-3 dias</v>
      </c>
      <c r="Z422" s="1" t="str">
        <f>INDEX(T:T,MATCH(orders_desnormalizado_prueba3[[#This Row],[shipping_cost]],W:W,0))</f>
        <v>Colombia</v>
      </c>
      <c r="AA422" s="1" t="str">
        <f t="shared" si="19"/>
        <v>Cartagena</v>
      </c>
      <c r="AB422" s="1"/>
      <c r="AC422" s="1" t="str">
        <f t="shared" si="20"/>
        <v xml:space="preserve"> </v>
      </c>
    </row>
    <row r="423" spans="1:29" x14ac:dyDescent="0.3">
      <c r="A423" s="1" t="s">
        <v>1030</v>
      </c>
      <c r="B423">
        <v>3</v>
      </c>
      <c r="C423">
        <v>30.99</v>
      </c>
      <c r="D423">
        <v>73.31</v>
      </c>
      <c r="E423" s="1" t="s">
        <v>1031</v>
      </c>
      <c r="F423" s="1" t="s">
        <v>70</v>
      </c>
      <c r="G423">
        <v>0</v>
      </c>
      <c r="H423" s="1" t="s">
        <v>96</v>
      </c>
      <c r="I423" s="1" t="s">
        <v>42</v>
      </c>
      <c r="J423">
        <v>10.5</v>
      </c>
      <c r="K423">
        <v>30.99</v>
      </c>
      <c r="L423" s="1" t="s">
        <v>28</v>
      </c>
      <c r="M423" s="1" t="s">
        <v>43</v>
      </c>
      <c r="N423" s="1" t="s">
        <v>44</v>
      </c>
      <c r="O423" s="1" t="s">
        <v>31</v>
      </c>
      <c r="P423" s="2">
        <v>45823</v>
      </c>
      <c r="Q423" s="1" t="s">
        <v>1032</v>
      </c>
      <c r="R423" s="1" t="s">
        <v>1033</v>
      </c>
      <c r="S423" s="1" t="s">
        <v>105</v>
      </c>
      <c r="T423" s="1" t="s">
        <v>35</v>
      </c>
      <c r="U423" s="1" t="s">
        <v>55</v>
      </c>
      <c r="V423" s="1" t="s">
        <v>37</v>
      </c>
      <c r="W423">
        <v>2</v>
      </c>
      <c r="X423" s="1" t="str">
        <f t="shared" si="18"/>
        <v>antonia.sanchez54@mail.com</v>
      </c>
      <c r="Y423" s="1" t="str">
        <f>INDEX(V:V,MATCH(orders_desnormalizado_prueba3[[#This Row],[acquisition_channel]],U:U,0))</f>
        <v>Bodega Propia CO - envio 2-3 dias</v>
      </c>
      <c r="Z423" s="1" t="str">
        <f>INDEX(T:T,MATCH(orders_desnormalizado_prueba3[[#This Row],[shipping_cost]],W:W,0))</f>
        <v>Colombia</v>
      </c>
      <c r="AA423" s="1" t="str">
        <f t="shared" si="19"/>
        <v>Cartagena</v>
      </c>
      <c r="AB423" s="1"/>
      <c r="AC423" s="1" t="str">
        <f t="shared" si="20"/>
        <v xml:space="preserve"> </v>
      </c>
    </row>
    <row r="424" spans="1:29" x14ac:dyDescent="0.3">
      <c r="A424" s="1" t="s">
        <v>1034</v>
      </c>
      <c r="B424">
        <v>1</v>
      </c>
      <c r="C424">
        <v>16.989999999999998</v>
      </c>
      <c r="D424">
        <v>16.989999999999998</v>
      </c>
      <c r="E424" s="1" t="s">
        <v>181</v>
      </c>
      <c r="F424" s="1" t="s">
        <v>51</v>
      </c>
      <c r="G424">
        <v>0</v>
      </c>
      <c r="H424" s="1" t="s">
        <v>26</v>
      </c>
      <c r="I424" s="1" t="s">
        <v>59</v>
      </c>
      <c r="J424">
        <v>5</v>
      </c>
      <c r="K424">
        <v>16.989999999999998</v>
      </c>
      <c r="L424" s="1" t="s">
        <v>60</v>
      </c>
      <c r="M424" s="1" t="s">
        <v>61</v>
      </c>
      <c r="N424" s="1" t="s">
        <v>62</v>
      </c>
      <c r="O424" s="1" t="s">
        <v>31</v>
      </c>
      <c r="P424" s="2">
        <v>45726</v>
      </c>
      <c r="Q424" s="1" t="s">
        <v>1035</v>
      </c>
      <c r="R424" s="1" t="s">
        <v>1036</v>
      </c>
      <c r="S424" s="1" t="s">
        <v>54</v>
      </c>
      <c r="T424" s="1" t="s">
        <v>35</v>
      </c>
      <c r="U424" s="1" t="s">
        <v>66</v>
      </c>
      <c r="V424" s="1" t="s">
        <v>67</v>
      </c>
      <c r="W424">
        <v>3</v>
      </c>
      <c r="X424" s="1" t="str">
        <f t="shared" si="18"/>
        <v>nicolas.ortiz56@mail.com</v>
      </c>
      <c r="Y424" s="1" t="str">
        <f>INDEX(V:V,MATCH(orders_desnormalizado_prueba3[[#This Row],[acquisition_channel]],U:U,0))</f>
        <v>AliDropship CN - envio 15-20 dias</v>
      </c>
      <c r="Z424" s="1" t="str">
        <f>INDEX(T:T,MATCH(orders_desnormalizado_prueba3[[#This Row],[shipping_cost]],W:W,0))</f>
        <v>Colombia</v>
      </c>
      <c r="AA424" s="1" t="str">
        <f t="shared" si="19"/>
        <v>Cartagena</v>
      </c>
      <c r="AB424" s="1"/>
      <c r="AC424" s="1" t="str">
        <f t="shared" si="20"/>
        <v xml:space="preserve"> </v>
      </c>
    </row>
    <row r="425" spans="1:29" x14ac:dyDescent="0.3">
      <c r="A425" s="1" t="s">
        <v>1037</v>
      </c>
      <c r="B425">
        <v>1</v>
      </c>
      <c r="C425">
        <v>30.99</v>
      </c>
      <c r="D425">
        <v>30.99</v>
      </c>
      <c r="E425" s="1" t="s">
        <v>248</v>
      </c>
      <c r="F425" s="1" t="s">
        <v>51</v>
      </c>
      <c r="G425">
        <v>0</v>
      </c>
      <c r="H425" s="1" t="s">
        <v>96</v>
      </c>
      <c r="I425" s="1" t="s">
        <v>42</v>
      </c>
      <c r="J425">
        <v>10.5</v>
      </c>
      <c r="K425">
        <v>30.99</v>
      </c>
      <c r="L425" s="1" t="s">
        <v>28</v>
      </c>
      <c r="M425" s="1" t="s">
        <v>43</v>
      </c>
      <c r="N425" s="1" t="s">
        <v>44</v>
      </c>
      <c r="O425" s="1" t="s">
        <v>31</v>
      </c>
      <c r="P425" s="2">
        <v>45823</v>
      </c>
      <c r="Q425" s="1" t="s">
        <v>804</v>
      </c>
      <c r="R425" s="1" t="s">
        <v>1038</v>
      </c>
      <c r="S425" s="1" t="s">
        <v>88</v>
      </c>
      <c r="T425" s="1" t="s">
        <v>35</v>
      </c>
      <c r="U425" s="1" t="s">
        <v>55</v>
      </c>
      <c r="V425" s="1" t="s">
        <v>37</v>
      </c>
      <c r="W425">
        <v>2</v>
      </c>
      <c r="X425" s="1" t="str">
        <f t="shared" si="18"/>
        <v>ricardo.perez175@mail.com</v>
      </c>
      <c r="Y425" s="1" t="str">
        <f>INDEX(V:V,MATCH(orders_desnormalizado_prueba3[[#This Row],[acquisition_channel]],U:U,0))</f>
        <v>Bodega Propia CO - envio 2-3 dias</v>
      </c>
      <c r="Z425" s="1" t="str">
        <f>INDEX(T:T,MATCH(orders_desnormalizado_prueba3[[#This Row],[shipping_cost]],W:W,0))</f>
        <v>Colombia</v>
      </c>
      <c r="AA425" s="1" t="str">
        <f t="shared" si="19"/>
        <v>Cartagena</v>
      </c>
      <c r="AB425" s="1"/>
      <c r="AC425" s="1" t="str">
        <f t="shared" si="20"/>
        <v xml:space="preserve"> </v>
      </c>
    </row>
    <row r="426" spans="1:29" x14ac:dyDescent="0.3">
      <c r="A426" s="1" t="s">
        <v>1039</v>
      </c>
      <c r="B426">
        <v>1</v>
      </c>
      <c r="C426">
        <v>18.989999999999998</v>
      </c>
      <c r="D426">
        <v>18.989999999999998</v>
      </c>
      <c r="E426" s="1" t="s">
        <v>1040</v>
      </c>
      <c r="F426" s="1" t="s">
        <v>40</v>
      </c>
      <c r="G426">
        <v>17</v>
      </c>
      <c r="H426" s="1" t="s">
        <v>41</v>
      </c>
      <c r="I426" s="1" t="s">
        <v>97</v>
      </c>
      <c r="J426">
        <v>6</v>
      </c>
      <c r="K426">
        <v>18.989999999999998</v>
      </c>
      <c r="L426" s="1" t="s">
        <v>60</v>
      </c>
      <c r="M426" s="1" t="s">
        <v>43</v>
      </c>
      <c r="N426" s="1" t="s">
        <v>44</v>
      </c>
      <c r="O426" s="1" t="s">
        <v>31</v>
      </c>
      <c r="P426" s="2">
        <v>45823</v>
      </c>
      <c r="Q426" s="1" t="s">
        <v>814</v>
      </c>
      <c r="R426" s="1" t="s">
        <v>1041</v>
      </c>
      <c r="S426" s="1" t="s">
        <v>54</v>
      </c>
      <c r="T426" s="1" t="s">
        <v>35</v>
      </c>
      <c r="U426" s="1" t="s">
        <v>36</v>
      </c>
      <c r="V426" s="1" t="s">
        <v>100</v>
      </c>
      <c r="W426">
        <v>3.2</v>
      </c>
      <c r="X426" s="1" t="str">
        <f t="shared" si="18"/>
        <v>isabella.jimenez172@mail.com</v>
      </c>
      <c r="Y426" s="1" t="str">
        <f>INDEX(V:V,MATCH(orders_desnormalizado_prueba3[[#This Row],[acquisition_channel]],U:U,0))</f>
        <v>Bodega Propia CO - envio 2-3 dias</v>
      </c>
      <c r="Z426" s="1" t="str">
        <f>INDEX(T:T,MATCH(orders_desnormalizado_prueba3[[#This Row],[shipping_cost]],W:W,0))</f>
        <v>Colombia</v>
      </c>
      <c r="AA426" s="1" t="str">
        <f t="shared" si="19"/>
        <v>Barranquilla</v>
      </c>
      <c r="AB426" s="1"/>
      <c r="AC426" s="1" t="str">
        <f t="shared" si="20"/>
        <v xml:space="preserve"> </v>
      </c>
    </row>
    <row r="427" spans="1:29" x14ac:dyDescent="0.3">
      <c r="A427" s="1" t="s">
        <v>1042</v>
      </c>
      <c r="B427">
        <v>1</v>
      </c>
      <c r="C427">
        <v>18.989999999999998</v>
      </c>
      <c r="D427">
        <v>18.989999999999998</v>
      </c>
      <c r="E427" s="1" t="s">
        <v>1043</v>
      </c>
      <c r="F427" s="1" t="s">
        <v>51</v>
      </c>
      <c r="G427">
        <v>0</v>
      </c>
      <c r="H427" s="1" t="s">
        <v>96</v>
      </c>
      <c r="I427" s="1" t="s">
        <v>97</v>
      </c>
      <c r="J427">
        <v>6</v>
      </c>
      <c r="K427">
        <v>18.989999999999998</v>
      </c>
      <c r="L427" s="1" t="s">
        <v>60</v>
      </c>
      <c r="M427" s="1" t="s">
        <v>43</v>
      </c>
      <c r="N427" s="1" t="s">
        <v>44</v>
      </c>
      <c r="O427" s="1" t="s">
        <v>31</v>
      </c>
      <c r="P427" s="2">
        <v>45823</v>
      </c>
      <c r="Q427" s="1" t="s">
        <v>182</v>
      </c>
      <c r="R427" s="1" t="s">
        <v>754</v>
      </c>
      <c r="S427" s="1" t="s">
        <v>65</v>
      </c>
      <c r="T427" s="1" t="s">
        <v>35</v>
      </c>
      <c r="U427" s="1" t="s">
        <v>36</v>
      </c>
      <c r="V427" s="1" t="s">
        <v>100</v>
      </c>
      <c r="W427">
        <v>3.2</v>
      </c>
      <c r="X427" s="1" t="str">
        <f t="shared" si="18"/>
        <v>daniela.gomez75@mail.com</v>
      </c>
      <c r="Y427" s="1" t="str">
        <f>INDEX(V:V,MATCH(orders_desnormalizado_prueba3[[#This Row],[acquisition_channel]],U:U,0))</f>
        <v>Bodega Propia CO - envio 2-3 dias</v>
      </c>
      <c r="Z427" s="1" t="str">
        <f>INDEX(T:T,MATCH(orders_desnormalizado_prueba3[[#This Row],[shipping_cost]],W:W,0))</f>
        <v>Colombia</v>
      </c>
      <c r="AA427" s="1" t="str">
        <f t="shared" si="19"/>
        <v>Cartagena</v>
      </c>
      <c r="AB427" s="1"/>
      <c r="AC427" s="1" t="str">
        <f t="shared" si="20"/>
        <v xml:space="preserve"> </v>
      </c>
    </row>
    <row r="428" spans="1:29" x14ac:dyDescent="0.3">
      <c r="A428" s="1" t="s">
        <v>1044</v>
      </c>
      <c r="B428">
        <v>2</v>
      </c>
      <c r="C428">
        <v>21.99</v>
      </c>
      <c r="D428">
        <v>37.85</v>
      </c>
      <c r="E428" s="1" t="s">
        <v>246</v>
      </c>
      <c r="F428" s="1" t="s">
        <v>51</v>
      </c>
      <c r="G428">
        <v>0</v>
      </c>
      <c r="H428" s="1" t="s">
        <v>96</v>
      </c>
      <c r="I428" s="1" t="s">
        <v>27</v>
      </c>
      <c r="J428">
        <v>7</v>
      </c>
      <c r="K428">
        <v>21.99</v>
      </c>
      <c r="L428" s="1" t="s">
        <v>28</v>
      </c>
      <c r="M428" s="1" t="s">
        <v>29</v>
      </c>
      <c r="N428" s="1" t="s">
        <v>30</v>
      </c>
      <c r="O428" s="1" t="s">
        <v>31</v>
      </c>
      <c r="P428" s="2">
        <v>45778</v>
      </c>
      <c r="Q428" s="1" t="s">
        <v>437</v>
      </c>
      <c r="R428" s="1" t="s">
        <v>1045</v>
      </c>
      <c r="S428" s="1" t="s">
        <v>34</v>
      </c>
      <c r="T428" s="1" t="s">
        <v>35</v>
      </c>
      <c r="U428" s="1" t="s">
        <v>66</v>
      </c>
      <c r="V428" s="1" t="s">
        <v>37</v>
      </c>
      <c r="W428">
        <v>2</v>
      </c>
      <c r="X428" s="1" t="str">
        <f t="shared" si="18"/>
        <v>valentina.castro119@mail.com</v>
      </c>
      <c r="Y428" s="1" t="str">
        <f>INDEX(V:V,MATCH(orders_desnormalizado_prueba3[[#This Row],[acquisition_channel]],U:U,0))</f>
        <v>AliDropship CN - envio 15-20 dias</v>
      </c>
      <c r="Z428" s="1" t="str">
        <f>INDEX(T:T,MATCH(orders_desnormalizado_prueba3[[#This Row],[shipping_cost]],W:W,0))</f>
        <v>Colombia</v>
      </c>
      <c r="AA428" s="1" t="str">
        <f t="shared" si="19"/>
        <v>Cartagena</v>
      </c>
      <c r="AB428" s="1"/>
      <c r="AC428" s="1" t="str">
        <f t="shared" si="20"/>
        <v xml:space="preserve"> </v>
      </c>
    </row>
    <row r="429" spans="1:29" x14ac:dyDescent="0.3">
      <c r="A429" s="1" t="s">
        <v>1046</v>
      </c>
      <c r="B429">
        <v>1</v>
      </c>
      <c r="C429">
        <v>16.989999999999998</v>
      </c>
      <c r="D429">
        <v>16.989999999999998</v>
      </c>
      <c r="E429" s="1" t="s">
        <v>1047</v>
      </c>
      <c r="F429" s="1" t="s">
        <v>25</v>
      </c>
      <c r="G429">
        <v>19</v>
      </c>
      <c r="H429" s="1" t="s">
        <v>96</v>
      </c>
      <c r="I429" s="1" t="s">
        <v>59</v>
      </c>
      <c r="J429">
        <v>5</v>
      </c>
      <c r="K429">
        <v>16.989999999999998</v>
      </c>
      <c r="L429" s="1" t="s">
        <v>60</v>
      </c>
      <c r="M429" s="1" t="s">
        <v>61</v>
      </c>
      <c r="N429" s="1" t="s">
        <v>62</v>
      </c>
      <c r="O429" s="1" t="s">
        <v>31</v>
      </c>
      <c r="P429" s="2">
        <v>45726</v>
      </c>
      <c r="Q429" s="1" t="s">
        <v>1048</v>
      </c>
      <c r="R429" s="1" t="s">
        <v>1049</v>
      </c>
      <c r="S429" s="1" t="s">
        <v>47</v>
      </c>
      <c r="T429" s="1" t="s">
        <v>35</v>
      </c>
      <c r="U429" s="1" t="s">
        <v>82</v>
      </c>
      <c r="V429" s="1" t="s">
        <v>67</v>
      </c>
      <c r="W429">
        <v>3</v>
      </c>
      <c r="X429" s="1" t="str">
        <f t="shared" si="18"/>
        <v>andres.perez17@mail.com</v>
      </c>
      <c r="Y429" s="1" t="str">
        <f>INDEX(V:V,MATCH(orders_desnormalizado_prueba3[[#This Row],[acquisition_channel]],U:U,0))</f>
        <v>Bodega Propia CO - envio 2-3 dias</v>
      </c>
      <c r="Z429" s="1" t="str">
        <f>INDEX(T:T,MATCH(orders_desnormalizado_prueba3[[#This Row],[shipping_cost]],W:W,0))</f>
        <v>Colombia</v>
      </c>
      <c r="AA429" s="1" t="str">
        <f t="shared" si="19"/>
        <v>Bogota</v>
      </c>
      <c r="AB429" s="1"/>
      <c r="AC429" s="1" t="str">
        <f t="shared" si="20"/>
        <v xml:space="preserve"> </v>
      </c>
    </row>
    <row r="430" spans="1:29" x14ac:dyDescent="0.3">
      <c r="A430" s="1" t="s">
        <v>1050</v>
      </c>
      <c r="B430">
        <v>1</v>
      </c>
      <c r="C430">
        <v>21.99</v>
      </c>
      <c r="D430">
        <v>21.99</v>
      </c>
      <c r="E430" s="1" t="s">
        <v>1051</v>
      </c>
      <c r="F430" s="1" t="s">
        <v>40</v>
      </c>
      <c r="G430">
        <v>3</v>
      </c>
      <c r="H430" s="1" t="s">
        <v>96</v>
      </c>
      <c r="I430" s="1" t="s">
        <v>27</v>
      </c>
      <c r="J430">
        <v>7</v>
      </c>
      <c r="K430">
        <v>21.99</v>
      </c>
      <c r="L430" s="1" t="s">
        <v>28</v>
      </c>
      <c r="M430" s="1" t="s">
        <v>29</v>
      </c>
      <c r="N430" s="1" t="s">
        <v>30</v>
      </c>
      <c r="O430" s="1" t="s">
        <v>31</v>
      </c>
      <c r="P430" s="2">
        <v>45778</v>
      </c>
      <c r="Q430" s="1" t="s">
        <v>1052</v>
      </c>
      <c r="R430" s="1" t="s">
        <v>1053</v>
      </c>
      <c r="S430" s="1" t="s">
        <v>105</v>
      </c>
      <c r="T430" s="1" t="s">
        <v>35</v>
      </c>
      <c r="U430" s="1" t="s">
        <v>55</v>
      </c>
      <c r="V430" s="1" t="s">
        <v>37</v>
      </c>
      <c r="W430">
        <v>2</v>
      </c>
      <c r="X430" s="1" t="str">
        <f t="shared" si="18"/>
        <v>ximena.sanchez17@mail.com</v>
      </c>
      <c r="Y430" s="1" t="str">
        <f>INDEX(V:V,MATCH(orders_desnormalizado_prueba3[[#This Row],[acquisition_channel]],U:U,0))</f>
        <v>Bodega Propia CO - envio 2-3 dias</v>
      </c>
      <c r="Z430" s="1" t="str">
        <f>INDEX(T:T,MATCH(orders_desnormalizado_prueba3[[#This Row],[shipping_cost]],W:W,0))</f>
        <v>Colombia</v>
      </c>
      <c r="AA430" s="1" t="str">
        <f t="shared" si="19"/>
        <v>Barranquilla</v>
      </c>
      <c r="AB430" s="1"/>
      <c r="AC430" s="1" t="str">
        <f t="shared" si="20"/>
        <v xml:space="preserve"> </v>
      </c>
    </row>
    <row r="431" spans="1:29" x14ac:dyDescent="0.3">
      <c r="A431" s="1" t="s">
        <v>1054</v>
      </c>
      <c r="B431">
        <v>1</v>
      </c>
      <c r="C431">
        <v>34.99</v>
      </c>
      <c r="D431">
        <v>34.99</v>
      </c>
      <c r="E431" s="1" t="s">
        <v>1055</v>
      </c>
      <c r="F431" s="1" t="s">
        <v>40</v>
      </c>
      <c r="G431">
        <v>11</v>
      </c>
      <c r="H431" s="1" t="s">
        <v>58</v>
      </c>
      <c r="I431" s="1" t="s">
        <v>85</v>
      </c>
      <c r="J431">
        <v>12.5</v>
      </c>
      <c r="K431">
        <v>34.99</v>
      </c>
      <c r="L431" s="1" t="s">
        <v>60</v>
      </c>
      <c r="M431" s="1" t="s">
        <v>29</v>
      </c>
      <c r="N431" s="1" t="s">
        <v>30</v>
      </c>
      <c r="O431" s="1" t="s">
        <v>31</v>
      </c>
      <c r="P431" s="2">
        <v>45778</v>
      </c>
      <c r="Q431" s="1" t="s">
        <v>1035</v>
      </c>
      <c r="R431" s="1" t="s">
        <v>1036</v>
      </c>
      <c r="S431" s="1" t="s">
        <v>54</v>
      </c>
      <c r="T431" s="1" t="s">
        <v>35</v>
      </c>
      <c r="U431" s="1" t="s">
        <v>66</v>
      </c>
      <c r="V431" s="1" t="s">
        <v>89</v>
      </c>
      <c r="W431">
        <v>2.4</v>
      </c>
      <c r="X431" s="1" t="str">
        <f t="shared" si="18"/>
        <v>nicolas.ortiz56@mail.com</v>
      </c>
      <c r="Y431" s="1" t="str">
        <f>INDEX(V:V,MATCH(orders_desnormalizado_prueba3[[#This Row],[acquisition_channel]],U:U,0))</f>
        <v>AliDropship CN - envio 15-20 dias</v>
      </c>
      <c r="Z431" s="1" t="str">
        <f>INDEX(T:T,MATCH(orders_desnormalizado_prueba3[[#This Row],[shipping_cost]],W:W,0))</f>
        <v>Colombia</v>
      </c>
      <c r="AA431" s="1" t="str">
        <f t="shared" si="19"/>
        <v>Cali</v>
      </c>
      <c r="AB431" s="1"/>
      <c r="AC431" s="1" t="str">
        <f t="shared" si="20"/>
        <v xml:space="preserve"> </v>
      </c>
    </row>
    <row r="432" spans="1:29" x14ac:dyDescent="0.3">
      <c r="A432" s="1" t="s">
        <v>1056</v>
      </c>
      <c r="B432">
        <v>1</v>
      </c>
      <c r="C432">
        <v>21.99</v>
      </c>
      <c r="D432">
        <v>21.99</v>
      </c>
      <c r="E432" s="1" t="s">
        <v>954</v>
      </c>
      <c r="F432" s="1" t="s">
        <v>40</v>
      </c>
      <c r="G432">
        <v>2</v>
      </c>
      <c r="H432" s="1" t="s">
        <v>58</v>
      </c>
      <c r="I432" s="1" t="s">
        <v>27</v>
      </c>
      <c r="J432">
        <v>7</v>
      </c>
      <c r="K432">
        <v>21.99</v>
      </c>
      <c r="L432" s="1" t="s">
        <v>28</v>
      </c>
      <c r="M432" s="1" t="s">
        <v>29</v>
      </c>
      <c r="N432" s="1" t="s">
        <v>30</v>
      </c>
      <c r="O432" s="1" t="s">
        <v>31</v>
      </c>
      <c r="P432" s="2">
        <v>45778</v>
      </c>
      <c r="Q432" s="1" t="s">
        <v>793</v>
      </c>
      <c r="R432" s="1" t="s">
        <v>794</v>
      </c>
      <c r="S432" s="1" t="s">
        <v>34</v>
      </c>
      <c r="T432" s="1" t="s">
        <v>35</v>
      </c>
      <c r="U432" s="1" t="s">
        <v>82</v>
      </c>
      <c r="V432" s="1" t="s">
        <v>37</v>
      </c>
      <c r="W432">
        <v>2</v>
      </c>
      <c r="X432" s="1" t="str">
        <f t="shared" si="18"/>
        <v>esteban.ortiz133@mail.com</v>
      </c>
      <c r="Y432" s="1" t="str">
        <f>INDEX(V:V,MATCH(orders_desnormalizado_prueba3[[#This Row],[acquisition_channel]],U:U,0))</f>
        <v>Bodega Propia CO - envio 2-3 dias</v>
      </c>
      <c r="Z432" s="1" t="str">
        <f>INDEX(T:T,MATCH(orders_desnormalizado_prueba3[[#This Row],[shipping_cost]],W:W,0))</f>
        <v>Colombia</v>
      </c>
      <c r="AA432" s="1" t="str">
        <f t="shared" si="19"/>
        <v>Medellin</v>
      </c>
      <c r="AB432" s="1"/>
      <c r="AC432" s="1" t="str">
        <f t="shared" si="20"/>
        <v xml:space="preserve"> </v>
      </c>
    </row>
    <row r="433" spans="1:29" x14ac:dyDescent="0.3">
      <c r="A433" s="1" t="s">
        <v>1057</v>
      </c>
      <c r="B433">
        <v>1</v>
      </c>
      <c r="C433">
        <v>27.99</v>
      </c>
      <c r="D433">
        <v>27.99</v>
      </c>
      <c r="E433" s="1" t="s">
        <v>800</v>
      </c>
      <c r="F433" s="1" t="s">
        <v>188</v>
      </c>
      <c r="G433">
        <v>0</v>
      </c>
      <c r="H433" s="1" t="s">
        <v>58</v>
      </c>
      <c r="I433" s="1" t="s">
        <v>75</v>
      </c>
      <c r="J433">
        <v>9</v>
      </c>
      <c r="K433">
        <v>27.99</v>
      </c>
      <c r="L433" s="1" t="s">
        <v>28</v>
      </c>
      <c r="M433" s="1" t="s">
        <v>61</v>
      </c>
      <c r="N433" s="1" t="s">
        <v>62</v>
      </c>
      <c r="O433" s="1" t="s">
        <v>31</v>
      </c>
      <c r="P433" s="2">
        <v>45726</v>
      </c>
      <c r="Q433" s="1" t="s">
        <v>1058</v>
      </c>
      <c r="R433" s="1" t="s">
        <v>1059</v>
      </c>
      <c r="S433" s="1" t="s">
        <v>65</v>
      </c>
      <c r="T433" s="1" t="s">
        <v>35</v>
      </c>
      <c r="U433" s="1" t="s">
        <v>82</v>
      </c>
      <c r="V433" s="1" t="s">
        <v>37</v>
      </c>
      <c r="W433">
        <v>2</v>
      </c>
      <c r="X433" s="1" t="str">
        <f t="shared" si="18"/>
        <v>felipe.castro82@mail.com</v>
      </c>
      <c r="Y433" s="1" t="str">
        <f>INDEX(V:V,MATCH(orders_desnormalizado_prueba3[[#This Row],[acquisition_channel]],U:U,0))</f>
        <v>Bodega Propia CO - envio 2-3 dias</v>
      </c>
      <c r="Z433" s="1" t="str">
        <f>INDEX(T:T,MATCH(orders_desnormalizado_prueba3[[#This Row],[shipping_cost]],W:W,0))</f>
        <v>Colombia</v>
      </c>
      <c r="AA433" s="1" t="str">
        <f t="shared" si="19"/>
        <v>Cartagena</v>
      </c>
      <c r="AB433" s="1"/>
      <c r="AC433" s="1" t="str">
        <f t="shared" si="20"/>
        <v xml:space="preserve"> </v>
      </c>
    </row>
    <row r="434" spans="1:29" x14ac:dyDescent="0.3">
      <c r="A434" s="1" t="s">
        <v>1060</v>
      </c>
      <c r="B434">
        <v>1</v>
      </c>
      <c r="C434">
        <v>21.99</v>
      </c>
      <c r="D434">
        <v>21.99</v>
      </c>
      <c r="E434" s="1" t="s">
        <v>1061</v>
      </c>
      <c r="F434" s="1" t="s">
        <v>40</v>
      </c>
      <c r="G434">
        <v>2</v>
      </c>
      <c r="H434" s="1" t="s">
        <v>26</v>
      </c>
      <c r="I434" s="1" t="s">
        <v>27</v>
      </c>
      <c r="J434">
        <v>7</v>
      </c>
      <c r="K434">
        <v>21.99</v>
      </c>
      <c r="L434" s="1" t="s">
        <v>28</v>
      </c>
      <c r="M434" s="1" t="s">
        <v>29</v>
      </c>
      <c r="N434" s="1" t="s">
        <v>30</v>
      </c>
      <c r="O434" s="1" t="s">
        <v>31</v>
      </c>
      <c r="P434" s="2">
        <v>45778</v>
      </c>
      <c r="Q434" s="1" t="s">
        <v>92</v>
      </c>
      <c r="R434" s="1" t="s">
        <v>1062</v>
      </c>
      <c r="S434" s="1" t="s">
        <v>65</v>
      </c>
      <c r="T434" s="1" t="s">
        <v>35</v>
      </c>
      <c r="U434" s="1" t="s">
        <v>66</v>
      </c>
      <c r="V434" s="1" t="s">
        <v>37</v>
      </c>
      <c r="W434">
        <v>2</v>
      </c>
      <c r="X434" s="1" t="str">
        <f t="shared" si="18"/>
        <v>gabriela.gomez164@mail.com</v>
      </c>
      <c r="Y434" s="1" t="str">
        <f>INDEX(V:V,MATCH(orders_desnormalizado_prueba3[[#This Row],[acquisition_channel]],U:U,0))</f>
        <v>AliDropship CN - envio 15-20 dias</v>
      </c>
      <c r="Z434" s="1" t="str">
        <f>INDEX(T:T,MATCH(orders_desnormalizado_prueba3[[#This Row],[shipping_cost]],W:W,0))</f>
        <v>Colombia</v>
      </c>
      <c r="AA434" s="1" t="str">
        <f t="shared" si="19"/>
        <v>Medellin</v>
      </c>
      <c r="AB434" s="1"/>
      <c r="AC434" s="1" t="str">
        <f t="shared" si="20"/>
        <v xml:space="preserve"> </v>
      </c>
    </row>
    <row r="435" spans="1:29" x14ac:dyDescent="0.3">
      <c r="A435" s="1" t="s">
        <v>1063</v>
      </c>
      <c r="B435">
        <v>2</v>
      </c>
      <c r="C435">
        <v>16.989999999999998</v>
      </c>
      <c r="D435">
        <v>29.24</v>
      </c>
      <c r="E435" s="1" t="s">
        <v>1064</v>
      </c>
      <c r="F435" s="1" t="s">
        <v>40</v>
      </c>
      <c r="G435">
        <v>25</v>
      </c>
      <c r="H435" s="1" t="s">
        <v>58</v>
      </c>
      <c r="I435" s="1" t="s">
        <v>59</v>
      </c>
      <c r="J435">
        <v>5</v>
      </c>
      <c r="K435">
        <v>16.989999999999998</v>
      </c>
      <c r="L435" s="1" t="s">
        <v>60</v>
      </c>
      <c r="M435" s="1" t="s">
        <v>61</v>
      </c>
      <c r="N435" s="1" t="s">
        <v>62</v>
      </c>
      <c r="O435" s="1" t="s">
        <v>31</v>
      </c>
      <c r="P435" s="2">
        <v>45726</v>
      </c>
      <c r="Q435" s="1" t="s">
        <v>1065</v>
      </c>
      <c r="R435" s="1" t="s">
        <v>1066</v>
      </c>
      <c r="S435" s="1" t="s">
        <v>65</v>
      </c>
      <c r="T435" s="1" t="s">
        <v>35</v>
      </c>
      <c r="U435" s="1" t="s">
        <v>66</v>
      </c>
      <c r="V435" s="1" t="s">
        <v>67</v>
      </c>
      <c r="W435">
        <v>3</v>
      </c>
      <c r="X435" s="1" t="str">
        <f t="shared" si="18"/>
        <v>natalia.rodriguez191@mail.com</v>
      </c>
      <c r="Y435" s="1" t="str">
        <f>INDEX(V:V,MATCH(orders_desnormalizado_prueba3[[#This Row],[acquisition_channel]],U:U,0))</f>
        <v>AliDropship CN - envio 15-20 dias</v>
      </c>
      <c r="Z435" s="1" t="str">
        <f>INDEX(T:T,MATCH(orders_desnormalizado_prueba3[[#This Row],[shipping_cost]],W:W,0))</f>
        <v>Colombia</v>
      </c>
      <c r="AA435" s="1" t="str">
        <f t="shared" si="19"/>
        <v>Bogota</v>
      </c>
      <c r="AB435" s="1"/>
      <c r="AC435" s="1" t="str">
        <f t="shared" si="20"/>
        <v xml:space="preserve"> </v>
      </c>
    </row>
    <row r="436" spans="1:29" x14ac:dyDescent="0.3">
      <c r="A436" s="1" t="s">
        <v>1067</v>
      </c>
      <c r="B436">
        <v>1</v>
      </c>
      <c r="C436">
        <v>21.99</v>
      </c>
      <c r="D436">
        <v>21.99</v>
      </c>
      <c r="E436" s="1" t="s">
        <v>1068</v>
      </c>
      <c r="F436" s="1" t="s">
        <v>40</v>
      </c>
      <c r="G436">
        <v>2</v>
      </c>
      <c r="H436" s="1" t="s">
        <v>26</v>
      </c>
      <c r="I436" s="1" t="s">
        <v>27</v>
      </c>
      <c r="J436">
        <v>7</v>
      </c>
      <c r="K436">
        <v>21.99</v>
      </c>
      <c r="L436" s="1" t="s">
        <v>28</v>
      </c>
      <c r="M436" s="1" t="s">
        <v>29</v>
      </c>
      <c r="N436" s="1" t="s">
        <v>30</v>
      </c>
      <c r="O436" s="1" t="s">
        <v>31</v>
      </c>
      <c r="P436" s="2">
        <v>45778</v>
      </c>
      <c r="Q436" s="1" t="s">
        <v>1069</v>
      </c>
      <c r="R436" s="1" t="s">
        <v>1070</v>
      </c>
      <c r="S436" s="1" t="s">
        <v>65</v>
      </c>
      <c r="T436" s="1" t="s">
        <v>35</v>
      </c>
      <c r="U436" s="1" t="s">
        <v>66</v>
      </c>
      <c r="V436" s="1" t="s">
        <v>37</v>
      </c>
      <c r="W436">
        <v>2</v>
      </c>
      <c r="X436" s="1" t="str">
        <f t="shared" si="18"/>
        <v>diego.jimenez145@mail.com</v>
      </c>
      <c r="Y436" s="1" t="str">
        <f>INDEX(V:V,MATCH(orders_desnormalizado_prueba3[[#This Row],[acquisition_channel]],U:U,0))</f>
        <v>AliDropship CN - envio 15-20 dias</v>
      </c>
      <c r="Z436" s="1" t="str">
        <f>INDEX(T:T,MATCH(orders_desnormalizado_prueba3[[#This Row],[shipping_cost]],W:W,0))</f>
        <v>Colombia</v>
      </c>
      <c r="AA436" s="1" t="str">
        <f t="shared" si="19"/>
        <v>Medellin</v>
      </c>
      <c r="AB436" s="1"/>
      <c r="AC436" s="1" t="str">
        <f t="shared" si="20"/>
        <v xml:space="preserve"> </v>
      </c>
    </row>
    <row r="437" spans="1:29" x14ac:dyDescent="0.3">
      <c r="A437" s="1" t="s">
        <v>1071</v>
      </c>
      <c r="B437">
        <v>1</v>
      </c>
      <c r="C437">
        <v>21.99</v>
      </c>
      <c r="D437">
        <v>21.99</v>
      </c>
      <c r="E437" s="1" t="s">
        <v>175</v>
      </c>
      <c r="F437" s="1" t="s">
        <v>40</v>
      </c>
      <c r="G437">
        <v>2</v>
      </c>
      <c r="H437" s="1" t="s">
        <v>58</v>
      </c>
      <c r="I437" s="1" t="s">
        <v>27</v>
      </c>
      <c r="J437">
        <v>7</v>
      </c>
      <c r="K437">
        <v>21.99</v>
      </c>
      <c r="L437" s="1" t="s">
        <v>28</v>
      </c>
      <c r="M437" s="1" t="s">
        <v>29</v>
      </c>
      <c r="N437" s="1" t="s">
        <v>30</v>
      </c>
      <c r="O437" s="1" t="s">
        <v>31</v>
      </c>
      <c r="P437" s="2">
        <v>45778</v>
      </c>
      <c r="Q437" s="1" t="s">
        <v>1072</v>
      </c>
      <c r="R437" s="1" t="s">
        <v>1073</v>
      </c>
      <c r="S437" s="1" t="s">
        <v>47</v>
      </c>
      <c r="T437" s="1" t="s">
        <v>35</v>
      </c>
      <c r="U437" s="1" t="s">
        <v>36</v>
      </c>
      <c r="V437" s="1" t="s">
        <v>37</v>
      </c>
      <c r="W437">
        <v>2</v>
      </c>
      <c r="X437" s="1" t="str">
        <f t="shared" si="18"/>
        <v>miguel.moreno101@mail.com</v>
      </c>
      <c r="Y437" s="1" t="str">
        <f>INDEX(V:V,MATCH(orders_desnormalizado_prueba3[[#This Row],[acquisition_channel]],U:U,0))</f>
        <v>Bodega Propia CO - envio 2-3 dias</v>
      </c>
      <c r="Z437" s="1" t="str">
        <f>INDEX(T:T,MATCH(orders_desnormalizado_prueba3[[#This Row],[shipping_cost]],W:W,0))</f>
        <v>Colombia</v>
      </c>
      <c r="AA437" s="1" t="str">
        <f t="shared" si="19"/>
        <v>Medellin</v>
      </c>
      <c r="AB437" s="1"/>
      <c r="AC437" s="1" t="str">
        <f t="shared" si="20"/>
        <v xml:space="preserve"> </v>
      </c>
    </row>
    <row r="438" spans="1:29" x14ac:dyDescent="0.3">
      <c r="A438" s="1" t="s">
        <v>1074</v>
      </c>
      <c r="B438">
        <v>1</v>
      </c>
      <c r="C438">
        <v>16.989999999999998</v>
      </c>
      <c r="D438">
        <v>16.989999999999998</v>
      </c>
      <c r="E438" s="1" t="s">
        <v>185</v>
      </c>
      <c r="F438" s="1" t="s">
        <v>25</v>
      </c>
      <c r="G438">
        <v>16</v>
      </c>
      <c r="H438" s="1" t="s">
        <v>96</v>
      </c>
      <c r="I438" s="1" t="s">
        <v>59</v>
      </c>
      <c r="J438">
        <v>5</v>
      </c>
      <c r="K438">
        <v>16.989999999999998</v>
      </c>
      <c r="L438" s="1" t="s">
        <v>60</v>
      </c>
      <c r="M438" s="1" t="s">
        <v>61</v>
      </c>
      <c r="N438" s="1" t="s">
        <v>62</v>
      </c>
      <c r="O438" s="1" t="s">
        <v>31</v>
      </c>
      <c r="P438" s="2">
        <v>45726</v>
      </c>
      <c r="Q438" s="1" t="s">
        <v>1075</v>
      </c>
      <c r="R438" s="1" t="s">
        <v>1076</v>
      </c>
      <c r="S438" s="1" t="s">
        <v>65</v>
      </c>
      <c r="T438" s="1" t="s">
        <v>35</v>
      </c>
      <c r="U438" s="1" t="s">
        <v>55</v>
      </c>
      <c r="V438" s="1" t="s">
        <v>67</v>
      </c>
      <c r="W438">
        <v>3</v>
      </c>
      <c r="X438" s="1" t="str">
        <f t="shared" si="18"/>
        <v>gabriela.martinez158@mail.com</v>
      </c>
      <c r="Y438" s="1" t="str">
        <f>INDEX(V:V,MATCH(orders_desnormalizado_prueba3[[#This Row],[acquisition_channel]],U:U,0))</f>
        <v>Bodega Propia CO - envio 2-3 dias</v>
      </c>
      <c r="Z438" s="1" t="str">
        <f>INDEX(T:T,MATCH(orders_desnormalizado_prueba3[[#This Row],[shipping_cost]],W:W,0))</f>
        <v>Colombia</v>
      </c>
      <c r="AA438" s="1" t="str">
        <f t="shared" si="19"/>
        <v>Bogota</v>
      </c>
      <c r="AB438" s="1"/>
      <c r="AC438" s="1" t="str">
        <f t="shared" si="20"/>
        <v xml:space="preserve"> </v>
      </c>
    </row>
    <row r="439" spans="1:29" x14ac:dyDescent="0.3">
      <c r="A439" s="1" t="s">
        <v>1077</v>
      </c>
      <c r="B439">
        <v>2</v>
      </c>
      <c r="C439">
        <v>34.99</v>
      </c>
      <c r="D439">
        <v>60.08</v>
      </c>
      <c r="E439" s="1" t="s">
        <v>1078</v>
      </c>
      <c r="F439" s="1" t="s">
        <v>40</v>
      </c>
      <c r="G439">
        <v>11</v>
      </c>
      <c r="H439" s="1" t="s">
        <v>41</v>
      </c>
      <c r="I439" s="1" t="s">
        <v>85</v>
      </c>
      <c r="J439">
        <v>12.5</v>
      </c>
      <c r="K439">
        <v>34.99</v>
      </c>
      <c r="L439" s="1" t="s">
        <v>60</v>
      </c>
      <c r="M439" s="1" t="s">
        <v>29</v>
      </c>
      <c r="N439" s="1" t="s">
        <v>30</v>
      </c>
      <c r="O439" s="1" t="s">
        <v>31</v>
      </c>
      <c r="P439" s="2">
        <v>45778</v>
      </c>
      <c r="Q439" s="1" t="s">
        <v>1079</v>
      </c>
      <c r="R439" s="1" t="s">
        <v>1080</v>
      </c>
      <c r="S439" s="1" t="s">
        <v>47</v>
      </c>
      <c r="T439" s="1" t="s">
        <v>35</v>
      </c>
      <c r="U439" s="1" t="s">
        <v>82</v>
      </c>
      <c r="V439" s="1" t="s">
        <v>89</v>
      </c>
      <c r="W439">
        <v>2.4</v>
      </c>
      <c r="X439" s="1" t="str">
        <f t="shared" si="18"/>
        <v>fernanda.torres3@mail.com</v>
      </c>
      <c r="Y439" s="1" t="str">
        <f>INDEX(V:V,MATCH(orders_desnormalizado_prueba3[[#This Row],[acquisition_channel]],U:U,0))</f>
        <v>Bodega Propia CO - envio 2-3 dias</v>
      </c>
      <c r="Z439" s="1" t="str">
        <f>INDEX(T:T,MATCH(orders_desnormalizado_prueba3[[#This Row],[shipping_cost]],W:W,0))</f>
        <v>Colombia</v>
      </c>
      <c r="AA439" s="1" t="str">
        <f t="shared" si="19"/>
        <v>Cali</v>
      </c>
      <c r="AB439" s="1"/>
      <c r="AC439" s="1" t="str">
        <f t="shared" si="20"/>
        <v xml:space="preserve"> </v>
      </c>
    </row>
    <row r="440" spans="1:29" x14ac:dyDescent="0.3">
      <c r="A440" s="1" t="s">
        <v>1081</v>
      </c>
      <c r="B440">
        <v>1</v>
      </c>
      <c r="C440">
        <v>18.989999999999998</v>
      </c>
      <c r="D440">
        <v>18.989999999999998</v>
      </c>
      <c r="E440" s="1" t="s">
        <v>1082</v>
      </c>
      <c r="F440" s="1" t="s">
        <v>51</v>
      </c>
      <c r="G440">
        <v>0</v>
      </c>
      <c r="H440" s="1" t="s">
        <v>41</v>
      </c>
      <c r="I440" s="1" t="s">
        <v>97</v>
      </c>
      <c r="J440">
        <v>6</v>
      </c>
      <c r="K440">
        <v>18.989999999999998</v>
      </c>
      <c r="L440" s="1" t="s">
        <v>60</v>
      </c>
      <c r="M440" s="1" t="s">
        <v>43</v>
      </c>
      <c r="N440" s="1" t="s">
        <v>44</v>
      </c>
      <c r="O440" s="1" t="s">
        <v>31</v>
      </c>
      <c r="P440" s="2">
        <v>45823</v>
      </c>
      <c r="Q440" s="1" t="s">
        <v>1083</v>
      </c>
      <c r="R440" s="1" t="s">
        <v>1084</v>
      </c>
      <c r="S440" s="1" t="s">
        <v>47</v>
      </c>
      <c r="T440" s="1" t="s">
        <v>35</v>
      </c>
      <c r="U440" s="1" t="s">
        <v>36</v>
      </c>
      <c r="V440" s="1" t="s">
        <v>100</v>
      </c>
      <c r="W440">
        <v>3.2</v>
      </c>
      <c r="X440" s="1" t="str">
        <f t="shared" si="18"/>
        <v>andres.ramirez90@mail.com</v>
      </c>
      <c r="Y440" s="1" t="str">
        <f>INDEX(V:V,MATCH(orders_desnormalizado_prueba3[[#This Row],[acquisition_channel]],U:U,0))</f>
        <v>Bodega Propia CO - envio 2-3 dias</v>
      </c>
      <c r="Z440" s="1" t="str">
        <f>INDEX(T:T,MATCH(orders_desnormalizado_prueba3[[#This Row],[shipping_cost]],W:W,0))</f>
        <v>Colombia</v>
      </c>
      <c r="AA440" s="1" t="str">
        <f t="shared" si="19"/>
        <v>Cartagena</v>
      </c>
      <c r="AB440" s="1"/>
      <c r="AC440" s="1" t="str">
        <f t="shared" si="20"/>
        <v xml:space="preserve"> </v>
      </c>
    </row>
    <row r="441" spans="1:29" x14ac:dyDescent="0.3">
      <c r="A441" s="1" t="s">
        <v>1085</v>
      </c>
      <c r="B441">
        <v>1</v>
      </c>
      <c r="C441">
        <v>21.99</v>
      </c>
      <c r="D441">
        <v>21.99</v>
      </c>
      <c r="E441" s="1" t="s">
        <v>1086</v>
      </c>
      <c r="F441" s="1" t="s">
        <v>51</v>
      </c>
      <c r="G441">
        <v>0</v>
      </c>
      <c r="H441" s="1" t="s">
        <v>41</v>
      </c>
      <c r="I441" s="1" t="s">
        <v>27</v>
      </c>
      <c r="J441">
        <v>7</v>
      </c>
      <c r="K441">
        <v>21.99</v>
      </c>
      <c r="L441" s="1" t="s">
        <v>28</v>
      </c>
      <c r="M441" s="1" t="s">
        <v>29</v>
      </c>
      <c r="N441" s="1" t="s">
        <v>30</v>
      </c>
      <c r="O441" s="1" t="s">
        <v>31</v>
      </c>
      <c r="P441" s="2">
        <v>45778</v>
      </c>
      <c r="Q441" s="1" t="s">
        <v>990</v>
      </c>
      <c r="R441" s="1" t="s">
        <v>1087</v>
      </c>
      <c r="S441" s="1" t="s">
        <v>105</v>
      </c>
      <c r="T441" s="1" t="s">
        <v>35</v>
      </c>
      <c r="U441" s="1" t="s">
        <v>48</v>
      </c>
      <c r="V441" s="1" t="s">
        <v>37</v>
      </c>
      <c r="W441">
        <v>2</v>
      </c>
      <c r="X441" s="1" t="str">
        <f t="shared" si="18"/>
        <v>fernanda.diaz94@mail.com</v>
      </c>
      <c r="Y441" s="1" t="str">
        <f>INDEX(V:V,MATCH(orders_desnormalizado_prueba3[[#This Row],[acquisition_channel]],U:U,0))</f>
        <v>Bodega Propia CO - envio 2-3 dias</v>
      </c>
      <c r="Z441" s="1" t="str">
        <f>INDEX(T:T,MATCH(orders_desnormalizado_prueba3[[#This Row],[shipping_cost]],W:W,0))</f>
        <v>Colombia</v>
      </c>
      <c r="AA441" s="1" t="str">
        <f t="shared" si="19"/>
        <v>Cartagena</v>
      </c>
      <c r="AB441" s="1"/>
      <c r="AC441" s="1" t="str">
        <f t="shared" si="20"/>
        <v xml:space="preserve"> </v>
      </c>
    </row>
    <row r="442" spans="1:29" x14ac:dyDescent="0.3">
      <c r="A442" s="1" t="s">
        <v>1088</v>
      </c>
      <c r="B442">
        <v>2</v>
      </c>
      <c r="C442">
        <v>16.989999999999998</v>
      </c>
      <c r="D442">
        <v>29.59</v>
      </c>
      <c r="E442" s="1" t="s">
        <v>493</v>
      </c>
      <c r="F442" s="1" t="s">
        <v>40</v>
      </c>
      <c r="G442">
        <v>18</v>
      </c>
      <c r="H442" s="1" t="s">
        <v>96</v>
      </c>
      <c r="I442" s="1" t="s">
        <v>59</v>
      </c>
      <c r="J442">
        <v>5</v>
      </c>
      <c r="K442">
        <v>16.989999999999998</v>
      </c>
      <c r="L442" s="1" t="s">
        <v>60</v>
      </c>
      <c r="M442" s="1" t="s">
        <v>61</v>
      </c>
      <c r="N442" s="1" t="s">
        <v>62</v>
      </c>
      <c r="O442" s="1" t="s">
        <v>31</v>
      </c>
      <c r="P442" s="2">
        <v>45726</v>
      </c>
      <c r="Q442" s="1" t="s">
        <v>884</v>
      </c>
      <c r="R442" s="1" t="s">
        <v>1089</v>
      </c>
      <c r="S442" s="1" t="s">
        <v>54</v>
      </c>
      <c r="T442" s="1" t="s">
        <v>35</v>
      </c>
      <c r="U442" s="1" t="s">
        <v>48</v>
      </c>
      <c r="V442" s="1" t="s">
        <v>67</v>
      </c>
      <c r="W442">
        <v>3</v>
      </c>
      <c r="X442" s="1" t="str">
        <f t="shared" si="18"/>
        <v>paula.martinez72@mail.com</v>
      </c>
      <c r="Y442" s="1" t="str">
        <f>INDEX(V:V,MATCH(orders_desnormalizado_prueba3[[#This Row],[acquisition_channel]],U:U,0))</f>
        <v>Bodega Propia CO - envio 2-3 dias</v>
      </c>
      <c r="Z442" s="1" t="str">
        <f>INDEX(T:T,MATCH(orders_desnormalizado_prueba3[[#This Row],[shipping_cost]],W:W,0))</f>
        <v>Colombia</v>
      </c>
      <c r="AA442" s="1" t="str">
        <f t="shared" si="19"/>
        <v>Medellin</v>
      </c>
      <c r="AB442" s="1"/>
      <c r="AC442" s="1" t="str">
        <f t="shared" si="20"/>
        <v xml:space="preserve"> </v>
      </c>
    </row>
    <row r="443" spans="1:29" x14ac:dyDescent="0.3">
      <c r="A443" s="1" t="s">
        <v>1090</v>
      </c>
      <c r="B443">
        <v>1</v>
      </c>
      <c r="C443">
        <v>18.989999999999998</v>
      </c>
      <c r="D443">
        <v>18.989999999999998</v>
      </c>
      <c r="E443" s="1" t="s">
        <v>1091</v>
      </c>
      <c r="F443" s="1" t="s">
        <v>51</v>
      </c>
      <c r="G443">
        <v>0</v>
      </c>
      <c r="H443" s="1" t="s">
        <v>58</v>
      </c>
      <c r="I443" s="1" t="s">
        <v>97</v>
      </c>
      <c r="J443">
        <v>6</v>
      </c>
      <c r="K443">
        <v>18.989999999999998</v>
      </c>
      <c r="L443" s="1" t="s">
        <v>60</v>
      </c>
      <c r="M443" s="1" t="s">
        <v>43</v>
      </c>
      <c r="N443" s="1" t="s">
        <v>44</v>
      </c>
      <c r="O443" s="1" t="s">
        <v>31</v>
      </c>
      <c r="P443" s="2">
        <v>45823</v>
      </c>
      <c r="Q443" s="1" t="s">
        <v>133</v>
      </c>
      <c r="R443" s="1" t="s">
        <v>776</v>
      </c>
      <c r="S443" s="1" t="s">
        <v>88</v>
      </c>
      <c r="T443" s="1" t="s">
        <v>35</v>
      </c>
      <c r="U443" s="1" t="s">
        <v>48</v>
      </c>
      <c r="V443" s="1" t="s">
        <v>100</v>
      </c>
      <c r="W443">
        <v>3.2</v>
      </c>
      <c r="X443" s="1" t="str">
        <f t="shared" si="18"/>
        <v>isabella.diaz18@mail.com</v>
      </c>
      <c r="Y443" s="1" t="str">
        <f>INDEX(V:V,MATCH(orders_desnormalizado_prueba3[[#This Row],[acquisition_channel]],U:U,0))</f>
        <v>Bodega Propia CO - envio 2-3 dias</v>
      </c>
      <c r="Z443" s="1" t="str">
        <f>INDEX(T:T,MATCH(orders_desnormalizado_prueba3[[#This Row],[shipping_cost]],W:W,0))</f>
        <v>Colombia</v>
      </c>
      <c r="AA443" s="1" t="str">
        <f t="shared" si="19"/>
        <v>Cartagena</v>
      </c>
      <c r="AB443" s="1"/>
      <c r="AC443" s="1" t="str">
        <f t="shared" si="20"/>
        <v xml:space="preserve"> </v>
      </c>
    </row>
    <row r="444" spans="1:29" x14ac:dyDescent="0.3">
      <c r="A444" s="1" t="s">
        <v>1092</v>
      </c>
      <c r="B444">
        <v>1</v>
      </c>
      <c r="C444">
        <v>27.99</v>
      </c>
      <c r="D444">
        <v>27.99</v>
      </c>
      <c r="E444" s="1" t="s">
        <v>1093</v>
      </c>
      <c r="F444" s="1" t="s">
        <v>40</v>
      </c>
      <c r="G444">
        <v>2</v>
      </c>
      <c r="H444" s="1" t="s">
        <v>41</v>
      </c>
      <c r="I444" s="1" t="s">
        <v>75</v>
      </c>
      <c r="J444">
        <v>9</v>
      </c>
      <c r="K444">
        <v>27.99</v>
      </c>
      <c r="L444" s="1" t="s">
        <v>28</v>
      </c>
      <c r="M444" s="1" t="s">
        <v>61</v>
      </c>
      <c r="N444" s="1" t="s">
        <v>62</v>
      </c>
      <c r="O444" s="1" t="s">
        <v>31</v>
      </c>
      <c r="P444" s="2">
        <v>45726</v>
      </c>
      <c r="Q444" s="1" t="s">
        <v>428</v>
      </c>
      <c r="R444" s="1" t="s">
        <v>1094</v>
      </c>
      <c r="S444" s="1" t="s">
        <v>105</v>
      </c>
      <c r="T444" s="1" t="s">
        <v>35</v>
      </c>
      <c r="U444" s="1" t="s">
        <v>36</v>
      </c>
      <c r="V444" s="1" t="s">
        <v>37</v>
      </c>
      <c r="W444">
        <v>2</v>
      </c>
      <c r="X444" s="1" t="str">
        <f t="shared" si="18"/>
        <v>andres.castro163@mail.com</v>
      </c>
      <c r="Y444" s="1" t="str">
        <f>INDEX(V:V,MATCH(orders_desnormalizado_prueba3[[#This Row],[acquisition_channel]],U:U,0))</f>
        <v>Bodega Propia CO - envio 2-3 dias</v>
      </c>
      <c r="Z444" s="1" t="str">
        <f>INDEX(T:T,MATCH(orders_desnormalizado_prueba3[[#This Row],[shipping_cost]],W:W,0))</f>
        <v>Colombia</v>
      </c>
      <c r="AA444" s="1" t="str">
        <f t="shared" si="19"/>
        <v>Medellin</v>
      </c>
      <c r="AB444" s="1"/>
      <c r="AC444" s="1" t="str">
        <f t="shared" si="20"/>
        <v xml:space="preserve"> </v>
      </c>
    </row>
    <row r="445" spans="1:29" x14ac:dyDescent="0.3">
      <c r="A445" s="1" t="s">
        <v>1095</v>
      </c>
      <c r="B445">
        <v>2</v>
      </c>
      <c r="C445">
        <v>30.99</v>
      </c>
      <c r="D445">
        <v>54.2</v>
      </c>
      <c r="E445" s="1" t="s">
        <v>1096</v>
      </c>
      <c r="F445" s="1" t="s">
        <v>70</v>
      </c>
      <c r="G445">
        <v>0</v>
      </c>
      <c r="H445" s="1" t="s">
        <v>96</v>
      </c>
      <c r="I445" s="1" t="s">
        <v>42</v>
      </c>
      <c r="J445">
        <v>10.5</v>
      </c>
      <c r="K445">
        <v>30.99</v>
      </c>
      <c r="L445" s="1" t="s">
        <v>28</v>
      </c>
      <c r="M445" s="1" t="s">
        <v>43</v>
      </c>
      <c r="N445" s="1" t="s">
        <v>44</v>
      </c>
      <c r="O445" s="1" t="s">
        <v>31</v>
      </c>
      <c r="P445" s="2">
        <v>45823</v>
      </c>
      <c r="Q445" s="1" t="s">
        <v>1097</v>
      </c>
      <c r="R445" s="1" t="s">
        <v>1098</v>
      </c>
      <c r="S445" s="1" t="s">
        <v>65</v>
      </c>
      <c r="T445" s="1" t="s">
        <v>35</v>
      </c>
      <c r="U445" s="1" t="s">
        <v>48</v>
      </c>
      <c r="V445" s="1" t="s">
        <v>37</v>
      </c>
      <c r="W445">
        <v>2</v>
      </c>
      <c r="X445" s="1" t="str">
        <f t="shared" si="18"/>
        <v>isabella.rodriguez3@mail.com</v>
      </c>
      <c r="Y445" s="1" t="str">
        <f>INDEX(V:V,MATCH(orders_desnormalizado_prueba3[[#This Row],[acquisition_channel]],U:U,0))</f>
        <v>Bodega Propia CO - envio 2-3 dias</v>
      </c>
      <c r="Z445" s="1" t="str">
        <f>INDEX(T:T,MATCH(orders_desnormalizado_prueba3[[#This Row],[shipping_cost]],W:W,0))</f>
        <v>Colombia</v>
      </c>
      <c r="AA445" s="1" t="str">
        <f t="shared" si="19"/>
        <v>Cartagena</v>
      </c>
      <c r="AB445" s="1"/>
      <c r="AC445" s="1" t="str">
        <f t="shared" si="20"/>
        <v xml:space="preserve"> </v>
      </c>
    </row>
    <row r="446" spans="1:29" x14ac:dyDescent="0.3">
      <c r="A446" s="1" t="s">
        <v>1099</v>
      </c>
      <c r="B446">
        <v>1</v>
      </c>
      <c r="C446">
        <v>18.989999999999998</v>
      </c>
      <c r="D446">
        <v>18.989999999999998</v>
      </c>
      <c r="E446" s="1" t="s">
        <v>1100</v>
      </c>
      <c r="F446" s="1" t="s">
        <v>40</v>
      </c>
      <c r="G446">
        <v>14</v>
      </c>
      <c r="H446" s="1" t="s">
        <v>96</v>
      </c>
      <c r="I446" s="1" t="s">
        <v>97</v>
      </c>
      <c r="J446">
        <v>6</v>
      </c>
      <c r="K446">
        <v>18.989999999999998</v>
      </c>
      <c r="L446" s="1" t="s">
        <v>60</v>
      </c>
      <c r="M446" s="1" t="s">
        <v>43</v>
      </c>
      <c r="N446" s="1" t="s">
        <v>44</v>
      </c>
      <c r="O446" s="1" t="s">
        <v>31</v>
      </c>
      <c r="P446" s="2">
        <v>45823</v>
      </c>
      <c r="Q446" s="1" t="s">
        <v>1101</v>
      </c>
      <c r="R446" s="1" t="s">
        <v>1102</v>
      </c>
      <c r="S446" s="1" t="s">
        <v>47</v>
      </c>
      <c r="T446" s="1" t="s">
        <v>35</v>
      </c>
      <c r="U446" s="1" t="s">
        <v>48</v>
      </c>
      <c r="V446" s="1" t="s">
        <v>100</v>
      </c>
      <c r="W446">
        <v>3.2</v>
      </c>
      <c r="X446" s="1" t="str">
        <f t="shared" si="18"/>
        <v>ricardo.gomez12@mail.com</v>
      </c>
      <c r="Y446" s="1" t="str">
        <f>INDEX(V:V,MATCH(orders_desnormalizado_prueba3[[#This Row],[acquisition_channel]],U:U,0))</f>
        <v>Bodega Propia CO - envio 2-3 dias</v>
      </c>
      <c r="Z446" s="1" t="str">
        <f>INDEX(T:T,MATCH(orders_desnormalizado_prueba3[[#This Row],[shipping_cost]],W:W,0))</f>
        <v>Colombia</v>
      </c>
      <c r="AA446" s="1" t="str">
        <f t="shared" si="19"/>
        <v>Bogota</v>
      </c>
      <c r="AB446" s="1"/>
      <c r="AC446" s="1" t="str">
        <f t="shared" si="20"/>
        <v xml:space="preserve"> </v>
      </c>
    </row>
    <row r="447" spans="1:29" x14ac:dyDescent="0.3">
      <c r="A447" s="1" t="s">
        <v>1103</v>
      </c>
      <c r="B447">
        <v>1</v>
      </c>
      <c r="C447">
        <v>18.989999999999998</v>
      </c>
      <c r="D447">
        <v>18.989999999999998</v>
      </c>
      <c r="E447" s="1" t="s">
        <v>317</v>
      </c>
      <c r="F447" s="1" t="s">
        <v>25</v>
      </c>
      <c r="G447">
        <v>13</v>
      </c>
      <c r="H447" s="1" t="s">
        <v>96</v>
      </c>
      <c r="I447" s="1" t="s">
        <v>97</v>
      </c>
      <c r="J447">
        <v>6</v>
      </c>
      <c r="K447">
        <v>18.989999999999998</v>
      </c>
      <c r="L447" s="1" t="s">
        <v>60</v>
      </c>
      <c r="M447" s="1" t="s">
        <v>43</v>
      </c>
      <c r="N447" s="1" t="s">
        <v>44</v>
      </c>
      <c r="O447" s="1" t="s">
        <v>31</v>
      </c>
      <c r="P447" s="2">
        <v>45823</v>
      </c>
      <c r="Q447" s="1" t="s">
        <v>466</v>
      </c>
      <c r="R447" s="1" t="s">
        <v>1104</v>
      </c>
      <c r="S447" s="1" t="s">
        <v>47</v>
      </c>
      <c r="T447" s="1" t="s">
        <v>35</v>
      </c>
      <c r="U447" s="1" t="s">
        <v>66</v>
      </c>
      <c r="V447" s="1" t="s">
        <v>100</v>
      </c>
      <c r="W447">
        <v>3.2</v>
      </c>
      <c r="X447" s="1" t="str">
        <f t="shared" si="18"/>
        <v>valentina.gomez113@mail.com</v>
      </c>
      <c r="Y447" s="1" t="str">
        <f>INDEX(V:V,MATCH(orders_desnormalizado_prueba3[[#This Row],[acquisition_channel]],U:U,0))</f>
        <v>AliDropship CN - envio 15-20 dias</v>
      </c>
      <c r="Z447" s="1" t="str">
        <f>INDEX(T:T,MATCH(orders_desnormalizado_prueba3[[#This Row],[shipping_cost]],W:W,0))</f>
        <v>Colombia</v>
      </c>
      <c r="AA447" s="1" t="str">
        <f t="shared" si="19"/>
        <v>Barranquilla</v>
      </c>
      <c r="AB447" s="1"/>
      <c r="AC447" s="1" t="str">
        <f t="shared" si="20"/>
        <v xml:space="preserve"> </v>
      </c>
    </row>
    <row r="448" spans="1:29" x14ac:dyDescent="0.3">
      <c r="A448" s="1" t="s">
        <v>1105</v>
      </c>
      <c r="B448">
        <v>3</v>
      </c>
      <c r="C448">
        <v>21.99</v>
      </c>
      <c r="D448">
        <v>52.48</v>
      </c>
      <c r="E448" s="1" t="s">
        <v>1106</v>
      </c>
      <c r="F448" s="1" t="s">
        <v>40</v>
      </c>
      <c r="G448">
        <v>3</v>
      </c>
      <c r="H448" s="1" t="s">
        <v>41</v>
      </c>
      <c r="I448" s="1" t="s">
        <v>27</v>
      </c>
      <c r="J448">
        <v>7</v>
      </c>
      <c r="K448">
        <v>21.99</v>
      </c>
      <c r="L448" s="1" t="s">
        <v>28</v>
      </c>
      <c r="M448" s="1" t="s">
        <v>29</v>
      </c>
      <c r="N448" s="1" t="s">
        <v>30</v>
      </c>
      <c r="O448" s="1" t="s">
        <v>31</v>
      </c>
      <c r="P448" s="2">
        <v>45778</v>
      </c>
      <c r="Q448" s="1" t="s">
        <v>437</v>
      </c>
      <c r="R448" s="1" t="s">
        <v>1045</v>
      </c>
      <c r="S448" s="1" t="s">
        <v>34</v>
      </c>
      <c r="T448" s="1" t="s">
        <v>35</v>
      </c>
      <c r="U448" s="1" t="s">
        <v>66</v>
      </c>
      <c r="V448" s="1" t="s">
        <v>37</v>
      </c>
      <c r="W448">
        <v>2</v>
      </c>
      <c r="X448" s="1" t="str">
        <f t="shared" si="18"/>
        <v>valentina.castro119@mail.com</v>
      </c>
      <c r="Y448" s="1" t="str">
        <f>INDEX(V:V,MATCH(orders_desnormalizado_prueba3[[#This Row],[acquisition_channel]],U:U,0))</f>
        <v>AliDropship CN - envio 15-20 dias</v>
      </c>
      <c r="Z448" s="1" t="str">
        <f>INDEX(T:T,MATCH(orders_desnormalizado_prueba3[[#This Row],[shipping_cost]],W:W,0))</f>
        <v>Colombia</v>
      </c>
      <c r="AA448" s="1" t="str">
        <f t="shared" si="19"/>
        <v>Barranquilla</v>
      </c>
      <c r="AB448" s="1"/>
      <c r="AC448" s="1" t="str">
        <f t="shared" si="20"/>
        <v xml:space="preserve"> </v>
      </c>
    </row>
    <row r="449" spans="1:29" x14ac:dyDescent="0.3">
      <c r="A449" s="1" t="s">
        <v>1107</v>
      </c>
      <c r="B449">
        <v>1</v>
      </c>
      <c r="C449">
        <v>16.989999999999998</v>
      </c>
      <c r="D449">
        <v>16.989999999999998</v>
      </c>
      <c r="E449" s="1" t="s">
        <v>1108</v>
      </c>
      <c r="F449" s="1" t="s">
        <v>51</v>
      </c>
      <c r="G449">
        <v>0</v>
      </c>
      <c r="H449" s="1" t="s">
        <v>26</v>
      </c>
      <c r="I449" s="1" t="s">
        <v>59</v>
      </c>
      <c r="J449">
        <v>5</v>
      </c>
      <c r="K449">
        <v>16.989999999999998</v>
      </c>
      <c r="L449" s="1" t="s">
        <v>60</v>
      </c>
      <c r="M449" s="1" t="s">
        <v>61</v>
      </c>
      <c r="N449" s="1" t="s">
        <v>62</v>
      </c>
      <c r="O449" s="1" t="s">
        <v>31</v>
      </c>
      <c r="P449" s="2">
        <v>45726</v>
      </c>
      <c r="Q449" s="1" t="s">
        <v>732</v>
      </c>
      <c r="R449" s="1" t="s">
        <v>1109</v>
      </c>
      <c r="S449" s="1" t="s">
        <v>54</v>
      </c>
      <c r="T449" s="1" t="s">
        <v>35</v>
      </c>
      <c r="U449" s="1" t="s">
        <v>66</v>
      </c>
      <c r="V449" s="1" t="s">
        <v>67</v>
      </c>
      <c r="W449">
        <v>3</v>
      </c>
      <c r="X449" s="1" t="str">
        <f t="shared" si="18"/>
        <v>ximena.martinez177@mail.com</v>
      </c>
      <c r="Y449" s="1" t="str">
        <f>INDEX(V:V,MATCH(orders_desnormalizado_prueba3[[#This Row],[acquisition_channel]],U:U,0))</f>
        <v>AliDropship CN - envio 15-20 dias</v>
      </c>
      <c r="Z449" s="1" t="str">
        <f>INDEX(T:T,MATCH(orders_desnormalizado_prueba3[[#This Row],[shipping_cost]],W:W,0))</f>
        <v>Colombia</v>
      </c>
      <c r="AA449" s="1" t="str">
        <f t="shared" si="19"/>
        <v>Cartagena</v>
      </c>
      <c r="AB449" s="1"/>
      <c r="AC449" s="1" t="str">
        <f t="shared" si="20"/>
        <v xml:space="preserve"> </v>
      </c>
    </row>
    <row r="450" spans="1:29" x14ac:dyDescent="0.3">
      <c r="A450" s="1" t="s">
        <v>1110</v>
      </c>
      <c r="B450">
        <v>1</v>
      </c>
      <c r="C450">
        <v>16.989999999999998</v>
      </c>
      <c r="D450">
        <v>16.989999999999998</v>
      </c>
      <c r="E450" s="1" t="s">
        <v>1111</v>
      </c>
      <c r="F450" s="1" t="s">
        <v>40</v>
      </c>
      <c r="G450">
        <v>16</v>
      </c>
      <c r="H450" s="1" t="s">
        <v>96</v>
      </c>
      <c r="I450" s="1" t="s">
        <v>59</v>
      </c>
      <c r="J450">
        <v>5</v>
      </c>
      <c r="K450">
        <v>16.989999999999998</v>
      </c>
      <c r="L450" s="1" t="s">
        <v>60</v>
      </c>
      <c r="M450" s="1" t="s">
        <v>61</v>
      </c>
      <c r="N450" s="1" t="s">
        <v>62</v>
      </c>
      <c r="O450" s="1" t="s">
        <v>31</v>
      </c>
      <c r="P450" s="2">
        <v>45726</v>
      </c>
      <c r="Q450" s="1" t="s">
        <v>1112</v>
      </c>
      <c r="R450" s="1" t="s">
        <v>1113</v>
      </c>
      <c r="S450" s="1" t="s">
        <v>105</v>
      </c>
      <c r="T450" s="1" t="s">
        <v>35</v>
      </c>
      <c r="U450" s="1" t="s">
        <v>66</v>
      </c>
      <c r="V450" s="1" t="s">
        <v>67</v>
      </c>
      <c r="W450">
        <v>3</v>
      </c>
      <c r="X450" s="1" t="str">
        <f t="shared" ref="X450:X513" si="21">INDEX(R:R,MATCH(Q450,Q:Q,0))</f>
        <v>felipe.moreno124@mail.com</v>
      </c>
      <c r="Y450" s="1" t="str">
        <f>INDEX(V:V,MATCH(orders_desnormalizado_prueba3[[#This Row],[acquisition_channel]],U:U,0))</f>
        <v>AliDropship CN - envio 15-20 dias</v>
      </c>
      <c r="Z450" s="1" t="str">
        <f>INDEX(T:T,MATCH(orders_desnormalizado_prueba3[[#This Row],[shipping_cost]],W:W,0))</f>
        <v>Colombia</v>
      </c>
      <c r="AA450" s="1" t="str">
        <f t="shared" ref="AA450:AA513" si="22">INDEX(S:S,MATCH(G450,G:G,0))</f>
        <v>Bogota</v>
      </c>
      <c r="AB450" s="1"/>
      <c r="AC450" s="1" t="str">
        <f t="shared" ref="AC450:AC513" si="23">IFERROR(INDEX($V:$V,MATCH(AB450,$R:$R,0)), " ")</f>
        <v xml:space="preserve"> </v>
      </c>
    </row>
    <row r="451" spans="1:29" x14ac:dyDescent="0.3">
      <c r="A451" s="1" t="s">
        <v>1114</v>
      </c>
      <c r="B451">
        <v>1</v>
      </c>
      <c r="C451">
        <v>34.99</v>
      </c>
      <c r="D451">
        <v>34.99</v>
      </c>
      <c r="E451" s="1" t="s">
        <v>1115</v>
      </c>
      <c r="F451" s="1" t="s">
        <v>40</v>
      </c>
      <c r="G451">
        <v>7</v>
      </c>
      <c r="H451" s="1" t="s">
        <v>58</v>
      </c>
      <c r="I451" s="1" t="s">
        <v>85</v>
      </c>
      <c r="J451">
        <v>12.5</v>
      </c>
      <c r="K451">
        <v>34.99</v>
      </c>
      <c r="L451" s="1" t="s">
        <v>60</v>
      </c>
      <c r="M451" s="1" t="s">
        <v>29</v>
      </c>
      <c r="N451" s="1" t="s">
        <v>30</v>
      </c>
      <c r="O451" s="1" t="s">
        <v>31</v>
      </c>
      <c r="P451" s="2">
        <v>45778</v>
      </c>
      <c r="Q451" s="1" t="s">
        <v>1116</v>
      </c>
      <c r="R451" s="1" t="s">
        <v>1117</v>
      </c>
      <c r="S451" s="1" t="s">
        <v>88</v>
      </c>
      <c r="T451" s="1" t="s">
        <v>35</v>
      </c>
      <c r="U451" s="1" t="s">
        <v>55</v>
      </c>
      <c r="V451" s="1" t="s">
        <v>89</v>
      </c>
      <c r="W451">
        <v>2.4</v>
      </c>
      <c r="X451" s="1" t="str">
        <f t="shared" si="21"/>
        <v>ximena.hernandez20@mail.com</v>
      </c>
      <c r="Y451" s="1" t="str">
        <f>INDEX(V:V,MATCH(orders_desnormalizado_prueba3[[#This Row],[acquisition_channel]],U:U,0))</f>
        <v>Bodega Propia CO - envio 2-3 dias</v>
      </c>
      <c r="Z451" s="1" t="str">
        <f>INDEX(T:T,MATCH(orders_desnormalizado_prueba3[[#This Row],[shipping_cost]],W:W,0))</f>
        <v>Colombia</v>
      </c>
      <c r="AA451" s="1" t="str">
        <f t="shared" si="22"/>
        <v>Bogota</v>
      </c>
      <c r="AB451" s="1"/>
      <c r="AC451" s="1" t="str">
        <f t="shared" si="23"/>
        <v xml:space="preserve"> </v>
      </c>
    </row>
    <row r="452" spans="1:29" x14ac:dyDescent="0.3">
      <c r="A452" s="1" t="s">
        <v>1118</v>
      </c>
      <c r="B452">
        <v>1</v>
      </c>
      <c r="C452">
        <v>16.989999999999998</v>
      </c>
      <c r="D452">
        <v>16.989999999999998</v>
      </c>
      <c r="E452" s="1" t="s">
        <v>202</v>
      </c>
      <c r="F452" s="1" t="s">
        <v>40</v>
      </c>
      <c r="G452">
        <v>17</v>
      </c>
      <c r="H452" s="1" t="s">
        <v>41</v>
      </c>
      <c r="I452" s="1" t="s">
        <v>59</v>
      </c>
      <c r="J452">
        <v>5</v>
      </c>
      <c r="K452">
        <v>16.989999999999998</v>
      </c>
      <c r="L452" s="1" t="s">
        <v>60</v>
      </c>
      <c r="M452" s="1" t="s">
        <v>61</v>
      </c>
      <c r="N452" s="1" t="s">
        <v>62</v>
      </c>
      <c r="O452" s="1" t="s">
        <v>31</v>
      </c>
      <c r="P452" s="2">
        <v>45726</v>
      </c>
      <c r="Q452" s="1" t="s">
        <v>1119</v>
      </c>
      <c r="R452" s="1" t="s">
        <v>1120</v>
      </c>
      <c r="S452" s="1" t="s">
        <v>34</v>
      </c>
      <c r="T452" s="1" t="s">
        <v>35</v>
      </c>
      <c r="U452" s="1" t="s">
        <v>66</v>
      </c>
      <c r="V452" s="1" t="s">
        <v>67</v>
      </c>
      <c r="W452">
        <v>3</v>
      </c>
      <c r="X452" s="1" t="str">
        <f t="shared" si="21"/>
        <v>laura.ortiz181@mail.com</v>
      </c>
      <c r="Y452" s="1" t="str">
        <f>INDEX(V:V,MATCH(orders_desnormalizado_prueba3[[#This Row],[acquisition_channel]],U:U,0))</f>
        <v>AliDropship CN - envio 15-20 dias</v>
      </c>
      <c r="Z452" s="1" t="str">
        <f>INDEX(T:T,MATCH(orders_desnormalizado_prueba3[[#This Row],[shipping_cost]],W:W,0))</f>
        <v>Colombia</v>
      </c>
      <c r="AA452" s="1" t="str">
        <f t="shared" si="22"/>
        <v>Barranquilla</v>
      </c>
      <c r="AB452" s="1"/>
      <c r="AC452" s="1" t="str">
        <f t="shared" si="23"/>
        <v xml:space="preserve"> </v>
      </c>
    </row>
    <row r="453" spans="1:29" x14ac:dyDescent="0.3">
      <c r="A453" s="1" t="s">
        <v>1121</v>
      </c>
      <c r="B453">
        <v>1</v>
      </c>
      <c r="C453">
        <v>34.99</v>
      </c>
      <c r="D453">
        <v>34.99</v>
      </c>
      <c r="E453" s="1" t="s">
        <v>1122</v>
      </c>
      <c r="F453" s="1" t="s">
        <v>51</v>
      </c>
      <c r="G453">
        <v>0</v>
      </c>
      <c r="H453" s="1" t="s">
        <v>96</v>
      </c>
      <c r="I453" s="1" t="s">
        <v>85</v>
      </c>
      <c r="J453">
        <v>12.5</v>
      </c>
      <c r="K453">
        <v>34.99</v>
      </c>
      <c r="L453" s="1" t="s">
        <v>60</v>
      </c>
      <c r="M453" s="1" t="s">
        <v>29</v>
      </c>
      <c r="N453" s="1" t="s">
        <v>30</v>
      </c>
      <c r="O453" s="1" t="s">
        <v>31</v>
      </c>
      <c r="P453" s="2">
        <v>45778</v>
      </c>
      <c r="Q453" s="1" t="s">
        <v>290</v>
      </c>
      <c r="R453" s="1" t="s">
        <v>1123</v>
      </c>
      <c r="S453" s="1" t="s">
        <v>34</v>
      </c>
      <c r="T453" s="1" t="s">
        <v>35</v>
      </c>
      <c r="U453" s="1" t="s">
        <v>55</v>
      </c>
      <c r="V453" s="1" t="s">
        <v>89</v>
      </c>
      <c r="W453">
        <v>2.4</v>
      </c>
      <c r="X453" s="1" t="str">
        <f t="shared" si="21"/>
        <v>isabella.perez64@mail.com</v>
      </c>
      <c r="Y453" s="1" t="str">
        <f>INDEX(V:V,MATCH(orders_desnormalizado_prueba3[[#This Row],[acquisition_channel]],U:U,0))</f>
        <v>Bodega Propia CO - envio 2-3 dias</v>
      </c>
      <c r="Z453" s="1" t="str">
        <f>INDEX(T:T,MATCH(orders_desnormalizado_prueba3[[#This Row],[shipping_cost]],W:W,0))</f>
        <v>Colombia</v>
      </c>
      <c r="AA453" s="1" t="str">
        <f t="shared" si="22"/>
        <v>Cartagena</v>
      </c>
      <c r="AB453" s="1"/>
      <c r="AC453" s="1" t="str">
        <f t="shared" si="23"/>
        <v xml:space="preserve"> </v>
      </c>
    </row>
    <row r="454" spans="1:29" x14ac:dyDescent="0.3">
      <c r="A454" s="1" t="s">
        <v>1124</v>
      </c>
      <c r="B454">
        <v>1</v>
      </c>
      <c r="C454">
        <v>30.99</v>
      </c>
      <c r="D454">
        <v>30.99</v>
      </c>
      <c r="E454" s="1" t="s">
        <v>796</v>
      </c>
      <c r="F454" s="1" t="s">
        <v>40</v>
      </c>
      <c r="G454">
        <v>3</v>
      </c>
      <c r="H454" s="1" t="s">
        <v>96</v>
      </c>
      <c r="I454" s="1" t="s">
        <v>42</v>
      </c>
      <c r="J454">
        <v>10.5</v>
      </c>
      <c r="K454">
        <v>30.99</v>
      </c>
      <c r="L454" s="1" t="s">
        <v>28</v>
      </c>
      <c r="M454" s="1" t="s">
        <v>43</v>
      </c>
      <c r="N454" s="1" t="s">
        <v>44</v>
      </c>
      <c r="O454" s="1" t="s">
        <v>31</v>
      </c>
      <c r="P454" s="2">
        <v>45823</v>
      </c>
      <c r="Q454" s="1" t="s">
        <v>86</v>
      </c>
      <c r="R454" s="1" t="s">
        <v>1125</v>
      </c>
      <c r="S454" s="1" t="s">
        <v>105</v>
      </c>
      <c r="T454" s="1" t="s">
        <v>35</v>
      </c>
      <c r="U454" s="1" t="s">
        <v>36</v>
      </c>
      <c r="V454" s="1" t="s">
        <v>37</v>
      </c>
      <c r="W454">
        <v>2</v>
      </c>
      <c r="X454" s="1" t="str">
        <f t="shared" si="21"/>
        <v>gabriela.torres118@mail.com</v>
      </c>
      <c r="Y454" s="1" t="str">
        <f>INDEX(V:V,MATCH(orders_desnormalizado_prueba3[[#This Row],[acquisition_channel]],U:U,0))</f>
        <v>Bodega Propia CO - envio 2-3 dias</v>
      </c>
      <c r="Z454" s="1" t="str">
        <f>INDEX(T:T,MATCH(orders_desnormalizado_prueba3[[#This Row],[shipping_cost]],W:W,0))</f>
        <v>Colombia</v>
      </c>
      <c r="AA454" s="1" t="str">
        <f t="shared" si="22"/>
        <v>Barranquilla</v>
      </c>
      <c r="AB454" s="1"/>
      <c r="AC454" s="1" t="str">
        <f t="shared" si="23"/>
        <v xml:space="preserve"> </v>
      </c>
    </row>
    <row r="455" spans="1:29" x14ac:dyDescent="0.3">
      <c r="A455" s="1" t="s">
        <v>1126</v>
      </c>
      <c r="B455">
        <v>1</v>
      </c>
      <c r="C455">
        <v>16.989999999999998</v>
      </c>
      <c r="D455">
        <v>16.989999999999998</v>
      </c>
      <c r="E455" s="1" t="s">
        <v>1127</v>
      </c>
      <c r="F455" s="1" t="s">
        <v>188</v>
      </c>
      <c r="G455">
        <v>0</v>
      </c>
      <c r="H455" s="1" t="s">
        <v>96</v>
      </c>
      <c r="I455" s="1" t="s">
        <v>59</v>
      </c>
      <c r="J455">
        <v>5</v>
      </c>
      <c r="K455">
        <v>16.989999999999998</v>
      </c>
      <c r="L455" s="1" t="s">
        <v>60</v>
      </c>
      <c r="M455" s="1" t="s">
        <v>61</v>
      </c>
      <c r="N455" s="1" t="s">
        <v>62</v>
      </c>
      <c r="O455" s="1" t="s">
        <v>31</v>
      </c>
      <c r="P455" s="2">
        <v>45726</v>
      </c>
      <c r="Q455" s="1" t="s">
        <v>732</v>
      </c>
      <c r="R455" s="1" t="s">
        <v>733</v>
      </c>
      <c r="S455" s="1" t="s">
        <v>65</v>
      </c>
      <c r="T455" s="1" t="s">
        <v>35</v>
      </c>
      <c r="U455" s="1" t="s">
        <v>48</v>
      </c>
      <c r="V455" s="1" t="s">
        <v>67</v>
      </c>
      <c r="W455">
        <v>3</v>
      </c>
      <c r="X455" s="1" t="str">
        <f t="shared" si="21"/>
        <v>ximena.martinez177@mail.com</v>
      </c>
      <c r="Y455" s="1" t="str">
        <f>INDEX(V:V,MATCH(orders_desnormalizado_prueba3[[#This Row],[acquisition_channel]],U:U,0))</f>
        <v>Bodega Propia CO - envio 2-3 dias</v>
      </c>
      <c r="Z455" s="1" t="str">
        <f>INDEX(T:T,MATCH(orders_desnormalizado_prueba3[[#This Row],[shipping_cost]],W:W,0))</f>
        <v>Colombia</v>
      </c>
      <c r="AA455" s="1" t="str">
        <f t="shared" si="22"/>
        <v>Cartagena</v>
      </c>
      <c r="AB455" s="1"/>
      <c r="AC455" s="1" t="str">
        <f t="shared" si="23"/>
        <v xml:space="preserve"> </v>
      </c>
    </row>
    <row r="456" spans="1:29" x14ac:dyDescent="0.3">
      <c r="A456" s="1" t="s">
        <v>1128</v>
      </c>
      <c r="B456">
        <v>1</v>
      </c>
      <c r="C456">
        <v>34.99</v>
      </c>
      <c r="D456">
        <v>34.99</v>
      </c>
      <c r="E456" s="1" t="s">
        <v>1129</v>
      </c>
      <c r="F456" s="1" t="s">
        <v>40</v>
      </c>
      <c r="G456">
        <v>8</v>
      </c>
      <c r="H456" s="1" t="s">
        <v>41</v>
      </c>
      <c r="I456" s="1" t="s">
        <v>85</v>
      </c>
      <c r="J456">
        <v>12.5</v>
      </c>
      <c r="K456">
        <v>34.99</v>
      </c>
      <c r="L456" s="1" t="s">
        <v>60</v>
      </c>
      <c r="M456" s="1" t="s">
        <v>29</v>
      </c>
      <c r="N456" s="1" t="s">
        <v>30</v>
      </c>
      <c r="O456" s="1" t="s">
        <v>31</v>
      </c>
      <c r="P456" s="2">
        <v>45778</v>
      </c>
      <c r="Q456" s="1" t="s">
        <v>147</v>
      </c>
      <c r="R456" s="1" t="s">
        <v>757</v>
      </c>
      <c r="S456" s="1" t="s">
        <v>47</v>
      </c>
      <c r="T456" s="1" t="s">
        <v>35</v>
      </c>
      <c r="U456" s="1" t="s">
        <v>48</v>
      </c>
      <c r="V456" s="1" t="s">
        <v>89</v>
      </c>
      <c r="W456">
        <v>2.4</v>
      </c>
      <c r="X456" s="1" t="str">
        <f t="shared" si="21"/>
        <v>natalia.castro19@mail.com</v>
      </c>
      <c r="Y456" s="1" t="str">
        <f>INDEX(V:V,MATCH(orders_desnormalizado_prueba3[[#This Row],[acquisition_channel]],U:U,0))</f>
        <v>Bodega Propia CO - envio 2-3 dias</v>
      </c>
      <c r="Z456" s="1" t="str">
        <f>INDEX(T:T,MATCH(orders_desnormalizado_prueba3[[#This Row],[shipping_cost]],W:W,0))</f>
        <v>Colombia</v>
      </c>
      <c r="AA456" s="1" t="str">
        <f t="shared" si="22"/>
        <v>Barranquilla</v>
      </c>
      <c r="AB456" s="1"/>
      <c r="AC456" s="1" t="str">
        <f t="shared" si="23"/>
        <v xml:space="preserve"> </v>
      </c>
    </row>
    <row r="457" spans="1:29" x14ac:dyDescent="0.3">
      <c r="A457" s="1" t="s">
        <v>1130</v>
      </c>
      <c r="B457">
        <v>1</v>
      </c>
      <c r="C457">
        <v>34.99</v>
      </c>
      <c r="D457">
        <v>34.99</v>
      </c>
      <c r="E457" s="1" t="s">
        <v>1015</v>
      </c>
      <c r="F457" s="1" t="s">
        <v>40</v>
      </c>
      <c r="G457">
        <v>5</v>
      </c>
      <c r="H457" s="1" t="s">
        <v>41</v>
      </c>
      <c r="I457" s="1" t="s">
        <v>85</v>
      </c>
      <c r="J457">
        <v>12.5</v>
      </c>
      <c r="K457">
        <v>34.99</v>
      </c>
      <c r="L457" s="1" t="s">
        <v>60</v>
      </c>
      <c r="M457" s="1" t="s">
        <v>29</v>
      </c>
      <c r="N457" s="1" t="s">
        <v>30</v>
      </c>
      <c r="O457" s="1" t="s">
        <v>31</v>
      </c>
      <c r="P457" s="2">
        <v>45778</v>
      </c>
      <c r="Q457" s="1" t="s">
        <v>420</v>
      </c>
      <c r="R457" s="1" t="s">
        <v>1131</v>
      </c>
      <c r="S457" s="1" t="s">
        <v>54</v>
      </c>
      <c r="T457" s="1" t="s">
        <v>35</v>
      </c>
      <c r="U457" s="1" t="s">
        <v>55</v>
      </c>
      <c r="V457" s="1" t="s">
        <v>89</v>
      </c>
      <c r="W457">
        <v>2.4</v>
      </c>
      <c r="X457" s="1" t="str">
        <f t="shared" si="21"/>
        <v>natalia.sanchez78@mail.com</v>
      </c>
      <c r="Y457" s="1" t="str">
        <f>INDEX(V:V,MATCH(orders_desnormalizado_prueba3[[#This Row],[acquisition_channel]],U:U,0))</f>
        <v>Bodega Propia CO - envio 2-3 dias</v>
      </c>
      <c r="Z457" s="1" t="str">
        <f>INDEX(T:T,MATCH(orders_desnormalizado_prueba3[[#This Row],[shipping_cost]],W:W,0))</f>
        <v>Colombia</v>
      </c>
      <c r="AA457" s="1" t="str">
        <f t="shared" si="22"/>
        <v>Cali</v>
      </c>
      <c r="AB457" s="1"/>
      <c r="AC457" s="1" t="str">
        <f t="shared" si="23"/>
        <v xml:space="preserve"> </v>
      </c>
    </row>
    <row r="458" spans="1:29" x14ac:dyDescent="0.3">
      <c r="A458" s="1" t="s">
        <v>1132</v>
      </c>
      <c r="B458">
        <v>1</v>
      </c>
      <c r="C458">
        <v>34.99</v>
      </c>
      <c r="D458">
        <v>34.99</v>
      </c>
      <c r="E458" s="1" t="s">
        <v>121</v>
      </c>
      <c r="F458" s="1" t="s">
        <v>40</v>
      </c>
      <c r="G458">
        <v>8</v>
      </c>
      <c r="H458" s="1" t="s">
        <v>26</v>
      </c>
      <c r="I458" s="1" t="s">
        <v>85</v>
      </c>
      <c r="J458">
        <v>12.5</v>
      </c>
      <c r="K458">
        <v>34.99</v>
      </c>
      <c r="L458" s="1" t="s">
        <v>60</v>
      </c>
      <c r="M458" s="1" t="s">
        <v>29</v>
      </c>
      <c r="N458" s="1" t="s">
        <v>30</v>
      </c>
      <c r="O458" s="1" t="s">
        <v>31</v>
      </c>
      <c r="P458" s="2">
        <v>45778</v>
      </c>
      <c r="Q458" s="1" t="s">
        <v>1133</v>
      </c>
      <c r="R458" s="1" t="s">
        <v>1134</v>
      </c>
      <c r="S458" s="1" t="s">
        <v>65</v>
      </c>
      <c r="T458" s="1" t="s">
        <v>35</v>
      </c>
      <c r="U458" s="1" t="s">
        <v>36</v>
      </c>
      <c r="V458" s="1" t="s">
        <v>89</v>
      </c>
      <c r="W458">
        <v>2.4</v>
      </c>
      <c r="X458" s="1" t="str">
        <f t="shared" si="21"/>
        <v>julian.lopez73@mail.com</v>
      </c>
      <c r="Y458" s="1" t="str">
        <f>INDEX(V:V,MATCH(orders_desnormalizado_prueba3[[#This Row],[acquisition_channel]],U:U,0))</f>
        <v>Bodega Propia CO - envio 2-3 dias</v>
      </c>
      <c r="Z458" s="1" t="str">
        <f>INDEX(T:T,MATCH(orders_desnormalizado_prueba3[[#This Row],[shipping_cost]],W:W,0))</f>
        <v>Colombia</v>
      </c>
      <c r="AA458" s="1" t="str">
        <f t="shared" si="22"/>
        <v>Barranquilla</v>
      </c>
      <c r="AB458" s="1"/>
      <c r="AC458" s="1" t="str">
        <f t="shared" si="23"/>
        <v xml:space="preserve"> </v>
      </c>
    </row>
    <row r="459" spans="1:29" x14ac:dyDescent="0.3">
      <c r="A459" s="1" t="s">
        <v>1135</v>
      </c>
      <c r="B459">
        <v>1</v>
      </c>
      <c r="C459">
        <v>30.99</v>
      </c>
      <c r="D459">
        <v>30.99</v>
      </c>
      <c r="E459" s="1" t="s">
        <v>1136</v>
      </c>
      <c r="F459" s="1" t="s">
        <v>40</v>
      </c>
      <c r="G459">
        <v>3</v>
      </c>
      <c r="H459" s="1" t="s">
        <v>58</v>
      </c>
      <c r="I459" s="1" t="s">
        <v>42</v>
      </c>
      <c r="J459">
        <v>10.5</v>
      </c>
      <c r="K459">
        <v>30.99</v>
      </c>
      <c r="L459" s="1" t="s">
        <v>28</v>
      </c>
      <c r="M459" s="1" t="s">
        <v>43</v>
      </c>
      <c r="N459" s="1" t="s">
        <v>44</v>
      </c>
      <c r="O459" s="1" t="s">
        <v>31</v>
      </c>
      <c r="P459" s="2">
        <v>45823</v>
      </c>
      <c r="Q459" s="1" t="s">
        <v>1137</v>
      </c>
      <c r="R459" s="1" t="s">
        <v>1138</v>
      </c>
      <c r="S459" s="1" t="s">
        <v>34</v>
      </c>
      <c r="T459" s="1" t="s">
        <v>35</v>
      </c>
      <c r="U459" s="1" t="s">
        <v>82</v>
      </c>
      <c r="V459" s="1" t="s">
        <v>37</v>
      </c>
      <c r="W459">
        <v>2</v>
      </c>
      <c r="X459" s="1" t="str">
        <f t="shared" si="21"/>
        <v>santiago.ortiz166@mail.com</v>
      </c>
      <c r="Y459" s="1" t="str">
        <f>INDEX(V:V,MATCH(orders_desnormalizado_prueba3[[#This Row],[acquisition_channel]],U:U,0))</f>
        <v>Bodega Propia CO - envio 2-3 dias</v>
      </c>
      <c r="Z459" s="1" t="str">
        <f>INDEX(T:T,MATCH(orders_desnormalizado_prueba3[[#This Row],[shipping_cost]],W:W,0))</f>
        <v>Colombia</v>
      </c>
      <c r="AA459" s="1" t="str">
        <f t="shared" si="22"/>
        <v>Barranquilla</v>
      </c>
      <c r="AB459" s="1"/>
      <c r="AC459" s="1" t="str">
        <f t="shared" si="23"/>
        <v xml:space="preserve"> </v>
      </c>
    </row>
    <row r="460" spans="1:29" x14ac:dyDescent="0.3">
      <c r="A460" s="1" t="s">
        <v>1139</v>
      </c>
      <c r="B460">
        <v>2</v>
      </c>
      <c r="C460">
        <v>18.989999999999998</v>
      </c>
      <c r="D460">
        <v>32.61</v>
      </c>
      <c r="E460" s="1" t="s">
        <v>719</v>
      </c>
      <c r="F460" s="1" t="s">
        <v>40</v>
      </c>
      <c r="G460">
        <v>18</v>
      </c>
      <c r="H460" s="1" t="s">
        <v>96</v>
      </c>
      <c r="I460" s="1" t="s">
        <v>97</v>
      </c>
      <c r="J460">
        <v>6</v>
      </c>
      <c r="K460">
        <v>18.989999999999998</v>
      </c>
      <c r="L460" s="1" t="s">
        <v>60</v>
      </c>
      <c r="M460" s="1" t="s">
        <v>43</v>
      </c>
      <c r="N460" s="1" t="s">
        <v>44</v>
      </c>
      <c r="O460" s="1" t="s">
        <v>31</v>
      </c>
      <c r="P460" s="2">
        <v>45823</v>
      </c>
      <c r="Q460" s="1" t="s">
        <v>1140</v>
      </c>
      <c r="R460" s="1" t="s">
        <v>1141</v>
      </c>
      <c r="S460" s="1" t="s">
        <v>34</v>
      </c>
      <c r="T460" s="1" t="s">
        <v>35</v>
      </c>
      <c r="U460" s="1" t="s">
        <v>36</v>
      </c>
      <c r="V460" s="1" t="s">
        <v>100</v>
      </c>
      <c r="W460">
        <v>3.2</v>
      </c>
      <c r="X460" s="1" t="str">
        <f t="shared" si="21"/>
        <v>laura.castro41@mail.com</v>
      </c>
      <c r="Y460" s="1" t="str">
        <f>INDEX(V:V,MATCH(orders_desnormalizado_prueba3[[#This Row],[acquisition_channel]],U:U,0))</f>
        <v>Bodega Propia CO - envio 2-3 dias</v>
      </c>
      <c r="Z460" s="1" t="str">
        <f>INDEX(T:T,MATCH(orders_desnormalizado_prueba3[[#This Row],[shipping_cost]],W:W,0))</f>
        <v>Colombia</v>
      </c>
      <c r="AA460" s="1" t="str">
        <f t="shared" si="22"/>
        <v>Medellin</v>
      </c>
      <c r="AB460" s="1"/>
      <c r="AC460" s="1" t="str">
        <f t="shared" si="23"/>
        <v xml:space="preserve"> </v>
      </c>
    </row>
    <row r="461" spans="1:29" x14ac:dyDescent="0.3">
      <c r="A461" s="1" t="s">
        <v>1142</v>
      </c>
      <c r="B461">
        <v>1</v>
      </c>
      <c r="C461">
        <v>34.99</v>
      </c>
      <c r="D461">
        <v>34.99</v>
      </c>
      <c r="E461" s="1" t="s">
        <v>1143</v>
      </c>
      <c r="F461" s="1" t="s">
        <v>40</v>
      </c>
      <c r="G461">
        <v>6</v>
      </c>
      <c r="H461" s="1" t="s">
        <v>96</v>
      </c>
      <c r="I461" s="1" t="s">
        <v>85</v>
      </c>
      <c r="J461">
        <v>12.5</v>
      </c>
      <c r="K461">
        <v>34.99</v>
      </c>
      <c r="L461" s="1" t="s">
        <v>60</v>
      </c>
      <c r="M461" s="1" t="s">
        <v>29</v>
      </c>
      <c r="N461" s="1" t="s">
        <v>30</v>
      </c>
      <c r="O461" s="1" t="s">
        <v>31</v>
      </c>
      <c r="P461" s="2">
        <v>45778</v>
      </c>
      <c r="Q461" s="1" t="s">
        <v>1144</v>
      </c>
      <c r="R461" s="1" t="s">
        <v>1145</v>
      </c>
      <c r="S461" s="1" t="s">
        <v>105</v>
      </c>
      <c r="T461" s="1" t="s">
        <v>35</v>
      </c>
      <c r="U461" s="1" t="s">
        <v>36</v>
      </c>
      <c r="V461" s="1" t="s">
        <v>89</v>
      </c>
      <c r="W461">
        <v>2.4</v>
      </c>
      <c r="X461" s="1" t="str">
        <f t="shared" si="21"/>
        <v>maria.sanchez179@mail.com</v>
      </c>
      <c r="Y461" s="1" t="str">
        <f>INDEX(V:V,MATCH(orders_desnormalizado_prueba3[[#This Row],[acquisition_channel]],U:U,0))</f>
        <v>Bodega Propia CO - envio 2-3 dias</v>
      </c>
      <c r="Z461" s="1" t="str">
        <f>INDEX(T:T,MATCH(orders_desnormalizado_prueba3[[#This Row],[shipping_cost]],W:W,0))</f>
        <v>Colombia</v>
      </c>
      <c r="AA461" s="1" t="str">
        <f t="shared" si="22"/>
        <v>Medellin</v>
      </c>
      <c r="AB461" s="1"/>
      <c r="AC461" s="1" t="str">
        <f t="shared" si="23"/>
        <v xml:space="preserve"> </v>
      </c>
    </row>
    <row r="462" spans="1:29" x14ac:dyDescent="0.3">
      <c r="A462" s="1" t="s">
        <v>1146</v>
      </c>
      <c r="B462">
        <v>3</v>
      </c>
      <c r="C462">
        <v>34.99</v>
      </c>
      <c r="D462">
        <v>83.83</v>
      </c>
      <c r="E462" s="1" t="s">
        <v>313</v>
      </c>
      <c r="F462" s="1" t="s">
        <v>51</v>
      </c>
      <c r="G462">
        <v>0</v>
      </c>
      <c r="H462" s="1" t="s">
        <v>96</v>
      </c>
      <c r="I462" s="1" t="s">
        <v>85</v>
      </c>
      <c r="J462">
        <v>12.5</v>
      </c>
      <c r="K462">
        <v>34.99</v>
      </c>
      <c r="L462" s="1" t="s">
        <v>60</v>
      </c>
      <c r="M462" s="1" t="s">
        <v>29</v>
      </c>
      <c r="N462" s="1" t="s">
        <v>30</v>
      </c>
      <c r="O462" s="1" t="s">
        <v>31</v>
      </c>
      <c r="P462" s="2">
        <v>45778</v>
      </c>
      <c r="Q462" s="1" t="s">
        <v>1147</v>
      </c>
      <c r="R462" s="1" t="s">
        <v>1148</v>
      </c>
      <c r="S462" s="1" t="s">
        <v>34</v>
      </c>
      <c r="T462" s="1" t="s">
        <v>35</v>
      </c>
      <c r="U462" s="1" t="s">
        <v>55</v>
      </c>
      <c r="V462" s="1" t="s">
        <v>89</v>
      </c>
      <c r="W462">
        <v>2.4</v>
      </c>
      <c r="X462" s="1" t="str">
        <f t="shared" si="21"/>
        <v>catalina.ramirez74@mail.com</v>
      </c>
      <c r="Y462" s="1" t="str">
        <f>INDEX(V:V,MATCH(orders_desnormalizado_prueba3[[#This Row],[acquisition_channel]],U:U,0))</f>
        <v>Bodega Propia CO - envio 2-3 dias</v>
      </c>
      <c r="Z462" s="1" t="str">
        <f>INDEX(T:T,MATCH(orders_desnormalizado_prueba3[[#This Row],[shipping_cost]],W:W,0))</f>
        <v>Colombia</v>
      </c>
      <c r="AA462" s="1" t="str">
        <f t="shared" si="22"/>
        <v>Cartagena</v>
      </c>
      <c r="AB462" s="1"/>
      <c r="AC462" s="1" t="str">
        <f t="shared" si="23"/>
        <v xml:space="preserve"> </v>
      </c>
    </row>
    <row r="463" spans="1:29" x14ac:dyDescent="0.3">
      <c r="A463" s="1" t="s">
        <v>1149</v>
      </c>
      <c r="B463">
        <v>3</v>
      </c>
      <c r="C463">
        <v>21.99</v>
      </c>
      <c r="D463">
        <v>51.88</v>
      </c>
      <c r="E463" s="1" t="s">
        <v>331</v>
      </c>
      <c r="F463" s="1" t="s">
        <v>40</v>
      </c>
      <c r="G463">
        <v>3</v>
      </c>
      <c r="H463" s="1" t="s">
        <v>26</v>
      </c>
      <c r="I463" s="1" t="s">
        <v>27</v>
      </c>
      <c r="J463">
        <v>7</v>
      </c>
      <c r="K463">
        <v>21.99</v>
      </c>
      <c r="L463" s="1" t="s">
        <v>28</v>
      </c>
      <c r="M463" s="1" t="s">
        <v>29</v>
      </c>
      <c r="N463" s="1" t="s">
        <v>30</v>
      </c>
      <c r="O463" s="1" t="s">
        <v>31</v>
      </c>
      <c r="P463" s="2">
        <v>45778</v>
      </c>
      <c r="Q463" s="1" t="s">
        <v>1150</v>
      </c>
      <c r="R463" s="1" t="s">
        <v>1151</v>
      </c>
      <c r="S463" s="1" t="s">
        <v>34</v>
      </c>
      <c r="T463" s="1" t="s">
        <v>35</v>
      </c>
      <c r="U463" s="1" t="s">
        <v>55</v>
      </c>
      <c r="V463" s="1" t="s">
        <v>37</v>
      </c>
      <c r="W463">
        <v>2</v>
      </c>
      <c r="X463" s="1" t="str">
        <f t="shared" si="21"/>
        <v>isabella.gomez32@mail.com</v>
      </c>
      <c r="Y463" s="1" t="str">
        <f>INDEX(V:V,MATCH(orders_desnormalizado_prueba3[[#This Row],[acquisition_channel]],U:U,0))</f>
        <v>Bodega Propia CO - envio 2-3 dias</v>
      </c>
      <c r="Z463" s="1" t="str">
        <f>INDEX(T:T,MATCH(orders_desnormalizado_prueba3[[#This Row],[shipping_cost]],W:W,0))</f>
        <v>Colombia</v>
      </c>
      <c r="AA463" s="1" t="str">
        <f t="shared" si="22"/>
        <v>Barranquilla</v>
      </c>
      <c r="AB463" s="1"/>
      <c r="AC463" s="1" t="str">
        <f t="shared" si="23"/>
        <v xml:space="preserve"> </v>
      </c>
    </row>
    <row r="464" spans="1:29" x14ac:dyDescent="0.3">
      <c r="A464" s="1" t="s">
        <v>1152</v>
      </c>
      <c r="B464">
        <v>2</v>
      </c>
      <c r="C464">
        <v>27.99</v>
      </c>
      <c r="D464">
        <v>48.65</v>
      </c>
      <c r="E464" s="1" t="s">
        <v>1153</v>
      </c>
      <c r="F464" s="1" t="s">
        <v>70</v>
      </c>
      <c r="G464">
        <v>0</v>
      </c>
      <c r="H464" s="1" t="s">
        <v>41</v>
      </c>
      <c r="I464" s="1" t="s">
        <v>75</v>
      </c>
      <c r="J464">
        <v>9</v>
      </c>
      <c r="K464">
        <v>27.99</v>
      </c>
      <c r="L464" s="1" t="s">
        <v>28</v>
      </c>
      <c r="M464" s="1" t="s">
        <v>61</v>
      </c>
      <c r="N464" s="1" t="s">
        <v>62</v>
      </c>
      <c r="O464" s="1" t="s">
        <v>31</v>
      </c>
      <c r="P464" s="2">
        <v>45726</v>
      </c>
      <c r="Q464" s="1" t="s">
        <v>358</v>
      </c>
      <c r="R464" s="1" t="s">
        <v>1154</v>
      </c>
      <c r="S464" s="1" t="s">
        <v>65</v>
      </c>
      <c r="T464" s="1" t="s">
        <v>35</v>
      </c>
      <c r="U464" s="1" t="s">
        <v>48</v>
      </c>
      <c r="V464" s="1" t="s">
        <v>37</v>
      </c>
      <c r="W464">
        <v>2</v>
      </c>
      <c r="X464" s="1" t="str">
        <f t="shared" si="21"/>
        <v>valentina.sanchez97@mail.com</v>
      </c>
      <c r="Y464" s="1" t="str">
        <f>INDEX(V:V,MATCH(orders_desnormalizado_prueba3[[#This Row],[acquisition_channel]],U:U,0))</f>
        <v>Bodega Propia CO - envio 2-3 dias</v>
      </c>
      <c r="Z464" s="1" t="str">
        <f>INDEX(T:T,MATCH(orders_desnormalizado_prueba3[[#This Row],[shipping_cost]],W:W,0))</f>
        <v>Colombia</v>
      </c>
      <c r="AA464" s="1" t="str">
        <f t="shared" si="22"/>
        <v>Cartagena</v>
      </c>
      <c r="AB464" s="1"/>
      <c r="AC464" s="1" t="str">
        <f t="shared" si="23"/>
        <v xml:space="preserve"> </v>
      </c>
    </row>
    <row r="465" spans="1:29" x14ac:dyDescent="0.3">
      <c r="A465" s="1" t="s">
        <v>1155</v>
      </c>
      <c r="B465">
        <v>1</v>
      </c>
      <c r="C465">
        <v>18.989999999999998</v>
      </c>
      <c r="D465">
        <v>18.989999999999998</v>
      </c>
      <c r="E465" s="1" t="s">
        <v>1156</v>
      </c>
      <c r="F465" s="1" t="s">
        <v>40</v>
      </c>
      <c r="G465">
        <v>10</v>
      </c>
      <c r="H465" s="1" t="s">
        <v>41</v>
      </c>
      <c r="I465" s="1" t="s">
        <v>97</v>
      </c>
      <c r="J465">
        <v>6</v>
      </c>
      <c r="K465">
        <v>18.989999999999998</v>
      </c>
      <c r="L465" s="1" t="s">
        <v>60</v>
      </c>
      <c r="M465" s="1" t="s">
        <v>43</v>
      </c>
      <c r="N465" s="1" t="s">
        <v>44</v>
      </c>
      <c r="O465" s="1" t="s">
        <v>31</v>
      </c>
      <c r="P465" s="2">
        <v>45823</v>
      </c>
      <c r="Q465" s="1" t="s">
        <v>1157</v>
      </c>
      <c r="R465" s="1" t="s">
        <v>1158</v>
      </c>
      <c r="S465" s="1" t="s">
        <v>105</v>
      </c>
      <c r="T465" s="1" t="s">
        <v>35</v>
      </c>
      <c r="U465" s="1" t="s">
        <v>55</v>
      </c>
      <c r="V465" s="1" t="s">
        <v>100</v>
      </c>
      <c r="W465">
        <v>3.2</v>
      </c>
      <c r="X465" s="1" t="str">
        <f t="shared" si="21"/>
        <v>alejandro.ramirez94@mail.com</v>
      </c>
      <c r="Y465" s="1" t="str">
        <f>INDEX(V:V,MATCH(orders_desnormalizado_prueba3[[#This Row],[acquisition_channel]],U:U,0))</f>
        <v>Bodega Propia CO - envio 2-3 dias</v>
      </c>
      <c r="Z465" s="1" t="str">
        <f>INDEX(T:T,MATCH(orders_desnormalizado_prueba3[[#This Row],[shipping_cost]],W:W,0))</f>
        <v>Colombia</v>
      </c>
      <c r="AA465" s="1" t="str">
        <f t="shared" si="22"/>
        <v>Bogota</v>
      </c>
      <c r="AB465" s="1"/>
      <c r="AC465" s="1" t="str">
        <f t="shared" si="23"/>
        <v xml:space="preserve"> </v>
      </c>
    </row>
    <row r="466" spans="1:29" x14ac:dyDescent="0.3">
      <c r="A466" s="1" t="s">
        <v>1159</v>
      </c>
      <c r="B466">
        <v>3</v>
      </c>
      <c r="C466">
        <v>18.989999999999998</v>
      </c>
      <c r="D466">
        <v>45.77</v>
      </c>
      <c r="E466" s="1" t="s">
        <v>181</v>
      </c>
      <c r="F466" s="1" t="s">
        <v>40</v>
      </c>
      <c r="G466">
        <v>12</v>
      </c>
      <c r="H466" s="1" t="s">
        <v>41</v>
      </c>
      <c r="I466" s="1" t="s">
        <v>97</v>
      </c>
      <c r="J466">
        <v>6</v>
      </c>
      <c r="K466">
        <v>18.989999999999998</v>
      </c>
      <c r="L466" s="1" t="s">
        <v>60</v>
      </c>
      <c r="M466" s="1" t="s">
        <v>43</v>
      </c>
      <c r="N466" s="1" t="s">
        <v>44</v>
      </c>
      <c r="O466" s="1" t="s">
        <v>31</v>
      </c>
      <c r="P466" s="2">
        <v>45823</v>
      </c>
      <c r="Q466" s="1" t="s">
        <v>793</v>
      </c>
      <c r="R466" s="1" t="s">
        <v>794</v>
      </c>
      <c r="S466" s="1" t="s">
        <v>34</v>
      </c>
      <c r="T466" s="1" t="s">
        <v>35</v>
      </c>
      <c r="U466" s="1" t="s">
        <v>82</v>
      </c>
      <c r="V466" s="1" t="s">
        <v>100</v>
      </c>
      <c r="W466">
        <v>3.2</v>
      </c>
      <c r="X466" s="1" t="str">
        <f t="shared" si="21"/>
        <v>esteban.ortiz133@mail.com</v>
      </c>
      <c r="Y466" s="1" t="str">
        <f>INDEX(V:V,MATCH(orders_desnormalizado_prueba3[[#This Row],[acquisition_channel]],U:U,0))</f>
        <v>Bodega Propia CO - envio 2-3 dias</v>
      </c>
      <c r="Z466" s="1" t="str">
        <f>INDEX(T:T,MATCH(orders_desnormalizado_prueba3[[#This Row],[shipping_cost]],W:W,0))</f>
        <v>Colombia</v>
      </c>
      <c r="AA466" s="1" t="str">
        <f t="shared" si="22"/>
        <v>Cartagena</v>
      </c>
      <c r="AB466" s="1"/>
      <c r="AC466" s="1" t="str">
        <f t="shared" si="23"/>
        <v xml:space="preserve"> </v>
      </c>
    </row>
    <row r="467" spans="1:29" x14ac:dyDescent="0.3">
      <c r="A467" s="1" t="s">
        <v>1160</v>
      </c>
      <c r="B467">
        <v>1</v>
      </c>
      <c r="C467">
        <v>21.99</v>
      </c>
      <c r="D467">
        <v>21.99</v>
      </c>
      <c r="E467" s="1" t="s">
        <v>1161</v>
      </c>
      <c r="F467" s="1" t="s">
        <v>40</v>
      </c>
      <c r="G467">
        <v>2</v>
      </c>
      <c r="H467" s="1" t="s">
        <v>41</v>
      </c>
      <c r="I467" s="1" t="s">
        <v>27</v>
      </c>
      <c r="J467">
        <v>7</v>
      </c>
      <c r="K467">
        <v>21.99</v>
      </c>
      <c r="L467" s="1" t="s">
        <v>28</v>
      </c>
      <c r="M467" s="1" t="s">
        <v>29</v>
      </c>
      <c r="N467" s="1" t="s">
        <v>30</v>
      </c>
      <c r="O467" s="1" t="s">
        <v>31</v>
      </c>
      <c r="P467" s="2">
        <v>45778</v>
      </c>
      <c r="Q467" s="1" t="s">
        <v>1162</v>
      </c>
      <c r="R467" s="1" t="s">
        <v>1163</v>
      </c>
      <c r="S467" s="1" t="s">
        <v>65</v>
      </c>
      <c r="T467" s="1" t="s">
        <v>35</v>
      </c>
      <c r="U467" s="1" t="s">
        <v>48</v>
      </c>
      <c r="V467" s="1" t="s">
        <v>37</v>
      </c>
      <c r="W467">
        <v>2</v>
      </c>
      <c r="X467" s="1" t="str">
        <f t="shared" si="21"/>
        <v>nicolas.castro48@mail.com</v>
      </c>
      <c r="Y467" s="1" t="str">
        <f>INDEX(V:V,MATCH(orders_desnormalizado_prueba3[[#This Row],[acquisition_channel]],U:U,0))</f>
        <v>Bodega Propia CO - envio 2-3 dias</v>
      </c>
      <c r="Z467" s="1" t="str">
        <f>INDEX(T:T,MATCH(orders_desnormalizado_prueba3[[#This Row],[shipping_cost]],W:W,0))</f>
        <v>Colombia</v>
      </c>
      <c r="AA467" s="1" t="str">
        <f t="shared" si="22"/>
        <v>Medellin</v>
      </c>
      <c r="AB467" s="1"/>
      <c r="AC467" s="1" t="str">
        <f t="shared" si="23"/>
        <v xml:space="preserve"> </v>
      </c>
    </row>
    <row r="468" spans="1:29" x14ac:dyDescent="0.3">
      <c r="A468" s="1" t="s">
        <v>1164</v>
      </c>
      <c r="B468">
        <v>1</v>
      </c>
      <c r="C468">
        <v>34.99</v>
      </c>
      <c r="D468">
        <v>34.99</v>
      </c>
      <c r="E468" s="1" t="s">
        <v>902</v>
      </c>
      <c r="F468" s="1" t="s">
        <v>40</v>
      </c>
      <c r="G468">
        <v>5</v>
      </c>
      <c r="H468" s="1" t="s">
        <v>58</v>
      </c>
      <c r="I468" s="1" t="s">
        <v>85</v>
      </c>
      <c r="J468">
        <v>12.5</v>
      </c>
      <c r="K468">
        <v>34.99</v>
      </c>
      <c r="L468" s="1" t="s">
        <v>60</v>
      </c>
      <c r="M468" s="1" t="s">
        <v>29</v>
      </c>
      <c r="N468" s="1" t="s">
        <v>30</v>
      </c>
      <c r="O468" s="1" t="s">
        <v>31</v>
      </c>
      <c r="P468" s="2">
        <v>45778</v>
      </c>
      <c r="Q468" s="1" t="s">
        <v>934</v>
      </c>
      <c r="R468" s="1" t="s">
        <v>1165</v>
      </c>
      <c r="S468" s="1" t="s">
        <v>65</v>
      </c>
      <c r="T468" s="1" t="s">
        <v>35</v>
      </c>
      <c r="U468" s="1" t="s">
        <v>82</v>
      </c>
      <c r="V468" s="1" t="s">
        <v>89</v>
      </c>
      <c r="W468">
        <v>2.4</v>
      </c>
      <c r="X468" s="1" t="str">
        <f t="shared" si="21"/>
        <v>felipe.gomez104@mail.com</v>
      </c>
      <c r="Y468" s="1" t="str">
        <f>INDEX(V:V,MATCH(orders_desnormalizado_prueba3[[#This Row],[acquisition_channel]],U:U,0))</f>
        <v>Bodega Propia CO - envio 2-3 dias</v>
      </c>
      <c r="Z468" s="1" t="str">
        <f>INDEX(T:T,MATCH(orders_desnormalizado_prueba3[[#This Row],[shipping_cost]],W:W,0))</f>
        <v>Colombia</v>
      </c>
      <c r="AA468" s="1" t="str">
        <f t="shared" si="22"/>
        <v>Cali</v>
      </c>
      <c r="AB468" s="1"/>
      <c r="AC468" s="1" t="str">
        <f t="shared" si="23"/>
        <v xml:space="preserve"> </v>
      </c>
    </row>
    <row r="469" spans="1:29" x14ac:dyDescent="0.3">
      <c r="A469" s="1" t="s">
        <v>1166</v>
      </c>
      <c r="B469">
        <v>1</v>
      </c>
      <c r="C469">
        <v>27.99</v>
      </c>
      <c r="D469">
        <v>27.99</v>
      </c>
      <c r="E469" s="1" t="s">
        <v>744</v>
      </c>
      <c r="F469" s="1" t="s">
        <v>40</v>
      </c>
      <c r="G469">
        <v>3</v>
      </c>
      <c r="H469" s="1" t="s">
        <v>58</v>
      </c>
      <c r="I469" s="1" t="s">
        <v>75</v>
      </c>
      <c r="J469">
        <v>9</v>
      </c>
      <c r="K469">
        <v>27.99</v>
      </c>
      <c r="L469" s="1" t="s">
        <v>28</v>
      </c>
      <c r="M469" s="1" t="s">
        <v>61</v>
      </c>
      <c r="N469" s="1" t="s">
        <v>62</v>
      </c>
      <c r="O469" s="1" t="s">
        <v>31</v>
      </c>
      <c r="P469" s="2">
        <v>45726</v>
      </c>
      <c r="Q469" s="1" t="s">
        <v>63</v>
      </c>
      <c r="R469" s="1" t="s">
        <v>736</v>
      </c>
      <c r="S469" s="1" t="s">
        <v>47</v>
      </c>
      <c r="T469" s="1" t="s">
        <v>35</v>
      </c>
      <c r="U469" s="1" t="s">
        <v>66</v>
      </c>
      <c r="V469" s="1" t="s">
        <v>37</v>
      </c>
      <c r="W469">
        <v>2</v>
      </c>
      <c r="X469" s="1" t="str">
        <f t="shared" si="21"/>
        <v>laura.rodriguez85@mail.com</v>
      </c>
      <c r="Y469" s="1" t="str">
        <f>INDEX(V:V,MATCH(orders_desnormalizado_prueba3[[#This Row],[acquisition_channel]],U:U,0))</f>
        <v>AliDropship CN - envio 15-20 dias</v>
      </c>
      <c r="Z469" s="1" t="str">
        <f>INDEX(T:T,MATCH(orders_desnormalizado_prueba3[[#This Row],[shipping_cost]],W:W,0))</f>
        <v>Colombia</v>
      </c>
      <c r="AA469" s="1" t="str">
        <f t="shared" si="22"/>
        <v>Barranquilla</v>
      </c>
      <c r="AB469" s="1"/>
      <c r="AC469" s="1" t="str">
        <f t="shared" si="23"/>
        <v xml:space="preserve"> </v>
      </c>
    </row>
    <row r="470" spans="1:29" x14ac:dyDescent="0.3">
      <c r="A470" s="1" t="s">
        <v>1167</v>
      </c>
      <c r="B470">
        <v>2</v>
      </c>
      <c r="C470">
        <v>21.99</v>
      </c>
      <c r="D470">
        <v>38</v>
      </c>
      <c r="E470" s="1" t="s">
        <v>1168</v>
      </c>
      <c r="F470" s="1" t="s">
        <v>40</v>
      </c>
      <c r="G470">
        <v>3</v>
      </c>
      <c r="H470" s="1" t="s">
        <v>58</v>
      </c>
      <c r="I470" s="1" t="s">
        <v>27</v>
      </c>
      <c r="J470">
        <v>7</v>
      </c>
      <c r="K470">
        <v>21.99</v>
      </c>
      <c r="L470" s="1" t="s">
        <v>28</v>
      </c>
      <c r="M470" s="1" t="s">
        <v>29</v>
      </c>
      <c r="N470" s="1" t="s">
        <v>30</v>
      </c>
      <c r="O470" s="1" t="s">
        <v>31</v>
      </c>
      <c r="P470" s="2">
        <v>45778</v>
      </c>
      <c r="Q470" s="1" t="s">
        <v>934</v>
      </c>
      <c r="R470" s="1" t="s">
        <v>935</v>
      </c>
      <c r="S470" s="1" t="s">
        <v>105</v>
      </c>
      <c r="T470" s="1" t="s">
        <v>35</v>
      </c>
      <c r="U470" s="1" t="s">
        <v>82</v>
      </c>
      <c r="V470" s="1" t="s">
        <v>37</v>
      </c>
      <c r="W470">
        <v>2</v>
      </c>
      <c r="X470" s="1" t="str">
        <f t="shared" si="21"/>
        <v>felipe.gomez104@mail.com</v>
      </c>
      <c r="Y470" s="1" t="str">
        <f>INDEX(V:V,MATCH(orders_desnormalizado_prueba3[[#This Row],[acquisition_channel]],U:U,0))</f>
        <v>Bodega Propia CO - envio 2-3 dias</v>
      </c>
      <c r="Z470" s="1" t="str">
        <f>INDEX(T:T,MATCH(orders_desnormalizado_prueba3[[#This Row],[shipping_cost]],W:W,0))</f>
        <v>Colombia</v>
      </c>
      <c r="AA470" s="1" t="str">
        <f t="shared" si="22"/>
        <v>Barranquilla</v>
      </c>
      <c r="AB470" s="1"/>
      <c r="AC470" s="1" t="str">
        <f t="shared" si="23"/>
        <v xml:space="preserve"> </v>
      </c>
    </row>
    <row r="471" spans="1:29" x14ac:dyDescent="0.3">
      <c r="A471" s="1" t="s">
        <v>1169</v>
      </c>
      <c r="B471">
        <v>1</v>
      </c>
      <c r="C471">
        <v>27.99</v>
      </c>
      <c r="D471">
        <v>27.99</v>
      </c>
      <c r="E471" s="1" t="s">
        <v>1170</v>
      </c>
      <c r="F471" s="1" t="s">
        <v>51</v>
      </c>
      <c r="G471">
        <v>0</v>
      </c>
      <c r="H471" s="1" t="s">
        <v>58</v>
      </c>
      <c r="I471" s="1" t="s">
        <v>75</v>
      </c>
      <c r="J471">
        <v>9</v>
      </c>
      <c r="K471">
        <v>27.99</v>
      </c>
      <c r="L471" s="1" t="s">
        <v>28</v>
      </c>
      <c r="M471" s="1" t="s">
        <v>61</v>
      </c>
      <c r="N471" s="1" t="s">
        <v>62</v>
      </c>
      <c r="O471" s="1" t="s">
        <v>31</v>
      </c>
      <c r="P471" s="2">
        <v>45726</v>
      </c>
      <c r="Q471" s="1" t="s">
        <v>930</v>
      </c>
      <c r="R471" s="1" t="s">
        <v>931</v>
      </c>
      <c r="S471" s="1" t="s">
        <v>65</v>
      </c>
      <c r="T471" s="1" t="s">
        <v>35</v>
      </c>
      <c r="U471" s="1" t="s">
        <v>36</v>
      </c>
      <c r="V471" s="1" t="s">
        <v>37</v>
      </c>
      <c r="W471">
        <v>2</v>
      </c>
      <c r="X471" s="1" t="str">
        <f t="shared" si="21"/>
        <v>fernanda.vargas118@mail.com</v>
      </c>
      <c r="Y471" s="1" t="str">
        <f>INDEX(V:V,MATCH(orders_desnormalizado_prueba3[[#This Row],[acquisition_channel]],U:U,0))</f>
        <v>Bodega Propia CO - envio 2-3 dias</v>
      </c>
      <c r="Z471" s="1" t="str">
        <f>INDEX(T:T,MATCH(orders_desnormalizado_prueba3[[#This Row],[shipping_cost]],W:W,0))</f>
        <v>Colombia</v>
      </c>
      <c r="AA471" s="1" t="str">
        <f t="shared" si="22"/>
        <v>Cartagena</v>
      </c>
      <c r="AB471" s="1"/>
      <c r="AC471" s="1" t="str">
        <f t="shared" si="23"/>
        <v xml:space="preserve"> </v>
      </c>
    </row>
    <row r="472" spans="1:29" x14ac:dyDescent="0.3">
      <c r="A472" s="1" t="s">
        <v>1171</v>
      </c>
      <c r="B472">
        <v>1</v>
      </c>
      <c r="C472">
        <v>30.99</v>
      </c>
      <c r="D472">
        <v>30.99</v>
      </c>
      <c r="E472" s="1" t="s">
        <v>1172</v>
      </c>
      <c r="F472" s="1" t="s">
        <v>40</v>
      </c>
      <c r="G472">
        <v>2</v>
      </c>
      <c r="H472" s="1" t="s">
        <v>58</v>
      </c>
      <c r="I472" s="1" t="s">
        <v>42</v>
      </c>
      <c r="J472">
        <v>10.5</v>
      </c>
      <c r="K472">
        <v>30.99</v>
      </c>
      <c r="L472" s="1" t="s">
        <v>28</v>
      </c>
      <c r="M472" s="1" t="s">
        <v>43</v>
      </c>
      <c r="N472" s="1" t="s">
        <v>44</v>
      </c>
      <c r="O472" s="1" t="s">
        <v>31</v>
      </c>
      <c r="P472" s="2">
        <v>45823</v>
      </c>
      <c r="Q472" s="1" t="s">
        <v>893</v>
      </c>
      <c r="R472" s="1" t="s">
        <v>894</v>
      </c>
      <c r="S472" s="1" t="s">
        <v>411</v>
      </c>
      <c r="T472" s="1" t="s">
        <v>35</v>
      </c>
      <c r="U472" s="1" t="s">
        <v>48</v>
      </c>
      <c r="V472" s="1" t="s">
        <v>37</v>
      </c>
      <c r="W472">
        <v>2</v>
      </c>
      <c r="X472" s="1" t="str">
        <f t="shared" si="21"/>
        <v>gabriela.jimenez17@mail.com</v>
      </c>
      <c r="Y472" s="1" t="str">
        <f>INDEX(V:V,MATCH(orders_desnormalizado_prueba3[[#This Row],[acquisition_channel]],U:U,0))</f>
        <v>Bodega Propia CO - envio 2-3 dias</v>
      </c>
      <c r="Z472" s="1" t="str">
        <f>INDEX(T:T,MATCH(orders_desnormalizado_prueba3[[#This Row],[shipping_cost]],W:W,0))</f>
        <v>Colombia</v>
      </c>
      <c r="AA472" s="1" t="str">
        <f t="shared" si="22"/>
        <v>Medellin</v>
      </c>
      <c r="AB472" s="1"/>
      <c r="AC472" s="1" t="str">
        <f t="shared" si="23"/>
        <v xml:space="preserve"> </v>
      </c>
    </row>
    <row r="473" spans="1:29" x14ac:dyDescent="0.3">
      <c r="A473" s="1" t="s">
        <v>1173</v>
      </c>
      <c r="B473">
        <v>1</v>
      </c>
      <c r="C473">
        <v>21.99</v>
      </c>
      <c r="D473">
        <v>21.99</v>
      </c>
      <c r="E473" s="1" t="s">
        <v>1174</v>
      </c>
      <c r="F473" s="1" t="s">
        <v>70</v>
      </c>
      <c r="G473">
        <v>0</v>
      </c>
      <c r="H473" s="1" t="s">
        <v>26</v>
      </c>
      <c r="I473" s="1" t="s">
        <v>27</v>
      </c>
      <c r="J473">
        <v>7</v>
      </c>
      <c r="K473">
        <v>21.99</v>
      </c>
      <c r="L473" s="1" t="s">
        <v>28</v>
      </c>
      <c r="M473" s="1" t="s">
        <v>29</v>
      </c>
      <c r="N473" s="1" t="s">
        <v>30</v>
      </c>
      <c r="O473" s="1" t="s">
        <v>31</v>
      </c>
      <c r="P473" s="2">
        <v>45778</v>
      </c>
      <c r="Q473" s="1" t="s">
        <v>1175</v>
      </c>
      <c r="R473" s="1" t="s">
        <v>1176</v>
      </c>
      <c r="S473" s="1" t="s">
        <v>34</v>
      </c>
      <c r="T473" s="1" t="s">
        <v>35</v>
      </c>
      <c r="U473" s="1" t="s">
        <v>48</v>
      </c>
      <c r="V473" s="1" t="s">
        <v>37</v>
      </c>
      <c r="W473">
        <v>2</v>
      </c>
      <c r="X473" s="1" t="str">
        <f t="shared" si="21"/>
        <v>paula.ortiz107@mail.com</v>
      </c>
      <c r="Y473" s="1" t="str">
        <f>INDEX(V:V,MATCH(orders_desnormalizado_prueba3[[#This Row],[acquisition_channel]],U:U,0))</f>
        <v>Bodega Propia CO - envio 2-3 dias</v>
      </c>
      <c r="Z473" s="1" t="str">
        <f>INDEX(T:T,MATCH(orders_desnormalizado_prueba3[[#This Row],[shipping_cost]],W:W,0))</f>
        <v>Colombia</v>
      </c>
      <c r="AA473" s="1" t="str">
        <f t="shared" si="22"/>
        <v>Cartagena</v>
      </c>
      <c r="AB473" s="1"/>
      <c r="AC473" s="1" t="str">
        <f t="shared" si="23"/>
        <v xml:space="preserve"> </v>
      </c>
    </row>
    <row r="474" spans="1:29" x14ac:dyDescent="0.3">
      <c r="A474" s="1" t="s">
        <v>1177</v>
      </c>
      <c r="B474">
        <v>3</v>
      </c>
      <c r="C474">
        <v>30.99</v>
      </c>
      <c r="D474">
        <v>74.959999999999994</v>
      </c>
      <c r="E474" s="1" t="s">
        <v>1178</v>
      </c>
      <c r="F474" s="1" t="s">
        <v>40</v>
      </c>
      <c r="G474">
        <v>3</v>
      </c>
      <c r="H474" s="1" t="s">
        <v>58</v>
      </c>
      <c r="I474" s="1" t="s">
        <v>42</v>
      </c>
      <c r="J474">
        <v>10.5</v>
      </c>
      <c r="K474">
        <v>30.99</v>
      </c>
      <c r="L474" s="1" t="s">
        <v>28</v>
      </c>
      <c r="M474" s="1" t="s">
        <v>43</v>
      </c>
      <c r="N474" s="1" t="s">
        <v>44</v>
      </c>
      <c r="O474" s="1" t="s">
        <v>31</v>
      </c>
      <c r="P474" s="2">
        <v>45823</v>
      </c>
      <c r="Q474" s="1" t="s">
        <v>842</v>
      </c>
      <c r="R474" s="1" t="s">
        <v>843</v>
      </c>
      <c r="S474" s="1" t="s">
        <v>54</v>
      </c>
      <c r="T474" s="1" t="s">
        <v>35</v>
      </c>
      <c r="U474" s="1" t="s">
        <v>36</v>
      </c>
      <c r="V474" s="1" t="s">
        <v>37</v>
      </c>
      <c r="W474">
        <v>2</v>
      </c>
      <c r="X474" s="1" t="str">
        <f t="shared" si="21"/>
        <v>manuela.moreno133@mail.com</v>
      </c>
      <c r="Y474" s="1" t="str">
        <f>INDEX(V:V,MATCH(orders_desnormalizado_prueba3[[#This Row],[acquisition_channel]],U:U,0))</f>
        <v>Bodega Propia CO - envio 2-3 dias</v>
      </c>
      <c r="Z474" s="1" t="str">
        <f>INDEX(T:T,MATCH(orders_desnormalizado_prueba3[[#This Row],[shipping_cost]],W:W,0))</f>
        <v>Colombia</v>
      </c>
      <c r="AA474" s="1" t="str">
        <f t="shared" si="22"/>
        <v>Barranquilla</v>
      </c>
      <c r="AB474" s="1"/>
      <c r="AC474" s="1" t="str">
        <f t="shared" si="23"/>
        <v xml:space="preserve"> </v>
      </c>
    </row>
    <row r="475" spans="1:29" x14ac:dyDescent="0.3">
      <c r="A475" s="1" t="s">
        <v>1179</v>
      </c>
      <c r="B475">
        <v>1</v>
      </c>
      <c r="C475">
        <v>18.989999999999998</v>
      </c>
      <c r="D475">
        <v>18.989999999999998</v>
      </c>
      <c r="E475" s="1" t="s">
        <v>1180</v>
      </c>
      <c r="F475" s="1" t="s">
        <v>188</v>
      </c>
      <c r="G475">
        <v>0</v>
      </c>
      <c r="H475" s="1" t="s">
        <v>96</v>
      </c>
      <c r="I475" s="1" t="s">
        <v>97</v>
      </c>
      <c r="J475">
        <v>6</v>
      </c>
      <c r="K475">
        <v>18.989999999999998</v>
      </c>
      <c r="L475" s="1" t="s">
        <v>60</v>
      </c>
      <c r="M475" s="1" t="s">
        <v>43</v>
      </c>
      <c r="N475" s="1" t="s">
        <v>44</v>
      </c>
      <c r="O475" s="1" t="s">
        <v>31</v>
      </c>
      <c r="P475" s="2">
        <v>45823</v>
      </c>
      <c r="Q475" s="1" t="s">
        <v>896</v>
      </c>
      <c r="R475" s="1" t="s">
        <v>897</v>
      </c>
      <c r="S475" s="1" t="s">
        <v>105</v>
      </c>
      <c r="T475" s="1" t="s">
        <v>35</v>
      </c>
      <c r="U475" s="1" t="s">
        <v>55</v>
      </c>
      <c r="V475" s="1" t="s">
        <v>100</v>
      </c>
      <c r="W475">
        <v>3.2</v>
      </c>
      <c r="X475" s="1" t="str">
        <f t="shared" si="21"/>
        <v>ricardo.hernandez65@mail.com</v>
      </c>
      <c r="Y475" s="1" t="str">
        <f>INDEX(V:V,MATCH(orders_desnormalizado_prueba3[[#This Row],[acquisition_channel]],U:U,0))</f>
        <v>Bodega Propia CO - envio 2-3 dias</v>
      </c>
      <c r="Z475" s="1" t="str">
        <f>INDEX(T:T,MATCH(orders_desnormalizado_prueba3[[#This Row],[shipping_cost]],W:W,0))</f>
        <v>Colombia</v>
      </c>
      <c r="AA475" s="1" t="str">
        <f t="shared" si="22"/>
        <v>Cartagena</v>
      </c>
      <c r="AB475" s="1"/>
      <c r="AC475" s="1" t="str">
        <f t="shared" si="23"/>
        <v xml:space="preserve"> </v>
      </c>
    </row>
    <row r="476" spans="1:29" x14ac:dyDescent="0.3">
      <c r="A476" s="1" t="s">
        <v>1181</v>
      </c>
      <c r="B476">
        <v>1</v>
      </c>
      <c r="C476">
        <v>27.99</v>
      </c>
      <c r="D476">
        <v>27.99</v>
      </c>
      <c r="E476" s="1" t="s">
        <v>1027</v>
      </c>
      <c r="F476" s="1" t="s">
        <v>40</v>
      </c>
      <c r="G476">
        <v>2</v>
      </c>
      <c r="H476" s="1" t="s">
        <v>41</v>
      </c>
      <c r="I476" s="1" t="s">
        <v>75</v>
      </c>
      <c r="J476">
        <v>9</v>
      </c>
      <c r="K476">
        <v>27.99</v>
      </c>
      <c r="L476" s="1" t="s">
        <v>28</v>
      </c>
      <c r="M476" s="1" t="s">
        <v>61</v>
      </c>
      <c r="N476" s="1" t="s">
        <v>62</v>
      </c>
      <c r="O476" s="1" t="s">
        <v>31</v>
      </c>
      <c r="P476" s="2">
        <v>45726</v>
      </c>
      <c r="Q476" s="1" t="s">
        <v>793</v>
      </c>
      <c r="R476" s="1" t="s">
        <v>1182</v>
      </c>
      <c r="S476" s="1" t="s">
        <v>88</v>
      </c>
      <c r="T476" s="1" t="s">
        <v>35</v>
      </c>
      <c r="U476" s="1" t="s">
        <v>82</v>
      </c>
      <c r="V476" s="1" t="s">
        <v>37</v>
      </c>
      <c r="W476">
        <v>2</v>
      </c>
      <c r="X476" s="1" t="str">
        <f t="shared" si="21"/>
        <v>esteban.ortiz133@mail.com</v>
      </c>
      <c r="Y476" s="1" t="str">
        <f>INDEX(V:V,MATCH(orders_desnormalizado_prueba3[[#This Row],[acquisition_channel]],U:U,0))</f>
        <v>Bodega Propia CO - envio 2-3 dias</v>
      </c>
      <c r="Z476" s="1" t="str">
        <f>INDEX(T:T,MATCH(orders_desnormalizado_prueba3[[#This Row],[shipping_cost]],W:W,0))</f>
        <v>Colombia</v>
      </c>
      <c r="AA476" s="1" t="str">
        <f t="shared" si="22"/>
        <v>Medellin</v>
      </c>
      <c r="AB476" s="1"/>
      <c r="AC476" s="1" t="str">
        <f t="shared" si="23"/>
        <v xml:space="preserve"> </v>
      </c>
    </row>
    <row r="477" spans="1:29" x14ac:dyDescent="0.3">
      <c r="A477" s="1" t="s">
        <v>1183</v>
      </c>
      <c r="B477">
        <v>2</v>
      </c>
      <c r="C477">
        <v>16.989999999999998</v>
      </c>
      <c r="D477">
        <v>29.07</v>
      </c>
      <c r="E477" s="1" t="s">
        <v>778</v>
      </c>
      <c r="F477" s="1" t="s">
        <v>40</v>
      </c>
      <c r="G477">
        <v>19</v>
      </c>
      <c r="H477" s="1" t="s">
        <v>96</v>
      </c>
      <c r="I477" s="1" t="s">
        <v>59</v>
      </c>
      <c r="J477">
        <v>5</v>
      </c>
      <c r="K477">
        <v>16.989999999999998</v>
      </c>
      <c r="L477" s="1" t="s">
        <v>60</v>
      </c>
      <c r="M477" s="1" t="s">
        <v>61</v>
      </c>
      <c r="N477" s="1" t="s">
        <v>62</v>
      </c>
      <c r="O477" s="1" t="s">
        <v>31</v>
      </c>
      <c r="P477" s="2">
        <v>45726</v>
      </c>
      <c r="Q477" s="1" t="s">
        <v>1184</v>
      </c>
      <c r="R477" s="1" t="s">
        <v>1185</v>
      </c>
      <c r="S477" s="1" t="s">
        <v>105</v>
      </c>
      <c r="T477" s="1" t="s">
        <v>35</v>
      </c>
      <c r="U477" s="1" t="s">
        <v>55</v>
      </c>
      <c r="V477" s="1" t="s">
        <v>67</v>
      </c>
      <c r="W477">
        <v>3</v>
      </c>
      <c r="X477" s="1" t="str">
        <f t="shared" si="21"/>
        <v>nicolas.torres168@mail.com</v>
      </c>
      <c r="Y477" s="1" t="str">
        <f>INDEX(V:V,MATCH(orders_desnormalizado_prueba3[[#This Row],[acquisition_channel]],U:U,0))</f>
        <v>Bodega Propia CO - envio 2-3 dias</v>
      </c>
      <c r="Z477" s="1" t="str">
        <f>INDEX(T:T,MATCH(orders_desnormalizado_prueba3[[#This Row],[shipping_cost]],W:W,0))</f>
        <v>Colombia</v>
      </c>
      <c r="AA477" s="1" t="str">
        <f t="shared" si="22"/>
        <v>Bogota</v>
      </c>
      <c r="AB477" s="1"/>
      <c r="AC477" s="1" t="str">
        <f t="shared" si="23"/>
        <v xml:space="preserve"> </v>
      </c>
    </row>
    <row r="478" spans="1:29" x14ac:dyDescent="0.3">
      <c r="A478" s="1" t="s">
        <v>1186</v>
      </c>
      <c r="B478">
        <v>3</v>
      </c>
      <c r="C478">
        <v>30.99</v>
      </c>
      <c r="D478">
        <v>74.83</v>
      </c>
      <c r="E478" s="1" t="s">
        <v>822</v>
      </c>
      <c r="F478" s="1" t="s">
        <v>40</v>
      </c>
      <c r="G478">
        <v>2</v>
      </c>
      <c r="H478" s="1" t="s">
        <v>26</v>
      </c>
      <c r="I478" s="1" t="s">
        <v>42</v>
      </c>
      <c r="J478">
        <v>10.5</v>
      </c>
      <c r="K478">
        <v>30.99</v>
      </c>
      <c r="L478" s="1" t="s">
        <v>28</v>
      </c>
      <c r="M478" s="1" t="s">
        <v>43</v>
      </c>
      <c r="N478" s="1" t="s">
        <v>44</v>
      </c>
      <c r="O478" s="1" t="s">
        <v>31</v>
      </c>
      <c r="P478" s="2">
        <v>45823</v>
      </c>
      <c r="Q478" s="1" t="s">
        <v>1187</v>
      </c>
      <c r="R478" s="1" t="s">
        <v>1188</v>
      </c>
      <c r="S478" s="1" t="s">
        <v>47</v>
      </c>
      <c r="T478" s="1" t="s">
        <v>35</v>
      </c>
      <c r="U478" s="1" t="s">
        <v>48</v>
      </c>
      <c r="V478" s="1" t="s">
        <v>37</v>
      </c>
      <c r="W478">
        <v>2</v>
      </c>
      <c r="X478" s="1" t="str">
        <f t="shared" si="21"/>
        <v>nicolas.jimenez67@mail.com</v>
      </c>
      <c r="Y478" s="1" t="str">
        <f>INDEX(V:V,MATCH(orders_desnormalizado_prueba3[[#This Row],[acquisition_channel]],U:U,0))</f>
        <v>Bodega Propia CO - envio 2-3 dias</v>
      </c>
      <c r="Z478" s="1" t="str">
        <f>INDEX(T:T,MATCH(orders_desnormalizado_prueba3[[#This Row],[shipping_cost]],W:W,0))</f>
        <v>Colombia</v>
      </c>
      <c r="AA478" s="1" t="str">
        <f t="shared" si="22"/>
        <v>Medellin</v>
      </c>
      <c r="AB478" s="1"/>
      <c r="AC478" s="1" t="str">
        <f t="shared" si="23"/>
        <v xml:space="preserve"> </v>
      </c>
    </row>
    <row r="479" spans="1:29" x14ac:dyDescent="0.3">
      <c r="A479" s="1" t="s">
        <v>1189</v>
      </c>
      <c r="B479">
        <v>1</v>
      </c>
      <c r="C479">
        <v>27.99</v>
      </c>
      <c r="D479">
        <v>27.99</v>
      </c>
      <c r="E479" s="1" t="s">
        <v>1136</v>
      </c>
      <c r="F479" s="1" t="s">
        <v>40</v>
      </c>
      <c r="G479">
        <v>7</v>
      </c>
      <c r="H479" s="1" t="s">
        <v>26</v>
      </c>
      <c r="I479" s="1" t="s">
        <v>75</v>
      </c>
      <c r="J479">
        <v>9</v>
      </c>
      <c r="K479">
        <v>27.99</v>
      </c>
      <c r="L479" s="1" t="s">
        <v>28</v>
      </c>
      <c r="M479" s="1" t="s">
        <v>61</v>
      </c>
      <c r="N479" s="1" t="s">
        <v>62</v>
      </c>
      <c r="O479" s="1" t="s">
        <v>31</v>
      </c>
      <c r="P479" s="2">
        <v>45726</v>
      </c>
      <c r="Q479" s="1" t="s">
        <v>689</v>
      </c>
      <c r="R479" s="1" t="s">
        <v>766</v>
      </c>
      <c r="S479" s="1" t="s">
        <v>105</v>
      </c>
      <c r="T479" s="1" t="s">
        <v>35</v>
      </c>
      <c r="U479" s="1" t="s">
        <v>48</v>
      </c>
      <c r="V479" s="1" t="s">
        <v>37</v>
      </c>
      <c r="W479">
        <v>2</v>
      </c>
      <c r="X479" s="1" t="str">
        <f t="shared" si="21"/>
        <v>mateo.martinez177@mail.com</v>
      </c>
      <c r="Y479" s="1" t="str">
        <f>INDEX(V:V,MATCH(orders_desnormalizado_prueba3[[#This Row],[acquisition_channel]],U:U,0))</f>
        <v>Bodega Propia CO - envio 2-3 dias</v>
      </c>
      <c r="Z479" s="1" t="str">
        <f>INDEX(T:T,MATCH(orders_desnormalizado_prueba3[[#This Row],[shipping_cost]],W:W,0))</f>
        <v>Colombia</v>
      </c>
      <c r="AA479" s="1" t="str">
        <f t="shared" si="22"/>
        <v>Bogota</v>
      </c>
      <c r="AB479" s="1"/>
      <c r="AC479" s="1" t="str">
        <f t="shared" si="23"/>
        <v xml:space="preserve"> </v>
      </c>
    </row>
    <row r="480" spans="1:29" x14ac:dyDescent="0.3">
      <c r="A480" s="1" t="s">
        <v>1190</v>
      </c>
      <c r="B480">
        <v>1</v>
      </c>
      <c r="C480">
        <v>27.99</v>
      </c>
      <c r="D480">
        <v>27.99</v>
      </c>
      <c r="E480" s="1" t="s">
        <v>561</v>
      </c>
      <c r="F480" s="1" t="s">
        <v>51</v>
      </c>
      <c r="G480">
        <v>0</v>
      </c>
      <c r="H480" s="1" t="s">
        <v>26</v>
      </c>
      <c r="I480" s="1" t="s">
        <v>75</v>
      </c>
      <c r="J480">
        <v>9</v>
      </c>
      <c r="K480">
        <v>27.99</v>
      </c>
      <c r="L480" s="1" t="s">
        <v>28</v>
      </c>
      <c r="M480" s="1" t="s">
        <v>61</v>
      </c>
      <c r="N480" s="1" t="s">
        <v>62</v>
      </c>
      <c r="O480" s="1" t="s">
        <v>31</v>
      </c>
      <c r="P480" s="2">
        <v>45726</v>
      </c>
      <c r="Q480" s="1" t="s">
        <v>1191</v>
      </c>
      <c r="R480" s="1" t="s">
        <v>1192</v>
      </c>
      <c r="S480" s="1" t="s">
        <v>88</v>
      </c>
      <c r="T480" s="1" t="s">
        <v>35</v>
      </c>
      <c r="U480" s="1" t="s">
        <v>55</v>
      </c>
      <c r="V480" s="1" t="s">
        <v>37</v>
      </c>
      <c r="W480">
        <v>2</v>
      </c>
      <c r="X480" s="1" t="str">
        <f t="shared" si="21"/>
        <v>esteban.ramirez113@mail.com</v>
      </c>
      <c r="Y480" s="1" t="str">
        <f>INDEX(V:V,MATCH(orders_desnormalizado_prueba3[[#This Row],[acquisition_channel]],U:U,0))</f>
        <v>Bodega Propia CO - envio 2-3 dias</v>
      </c>
      <c r="Z480" s="1" t="str">
        <f>INDEX(T:T,MATCH(orders_desnormalizado_prueba3[[#This Row],[shipping_cost]],W:W,0))</f>
        <v>Colombia</v>
      </c>
      <c r="AA480" s="1" t="str">
        <f t="shared" si="22"/>
        <v>Cartagena</v>
      </c>
      <c r="AB480" s="1"/>
      <c r="AC480" s="1" t="str">
        <f t="shared" si="23"/>
        <v xml:space="preserve"> </v>
      </c>
    </row>
    <row r="481" spans="1:29" x14ac:dyDescent="0.3">
      <c r="A481" s="1" t="s">
        <v>1193</v>
      </c>
      <c r="B481">
        <v>1</v>
      </c>
      <c r="C481">
        <v>30.99</v>
      </c>
      <c r="D481">
        <v>30.99</v>
      </c>
      <c r="E481" s="1" t="s">
        <v>1194</v>
      </c>
      <c r="F481" s="1" t="s">
        <v>40</v>
      </c>
      <c r="G481">
        <v>3</v>
      </c>
      <c r="H481" s="1" t="s">
        <v>41</v>
      </c>
      <c r="I481" s="1" t="s">
        <v>42</v>
      </c>
      <c r="J481">
        <v>10.5</v>
      </c>
      <c r="K481">
        <v>30.99</v>
      </c>
      <c r="L481" s="1" t="s">
        <v>28</v>
      </c>
      <c r="M481" s="1" t="s">
        <v>43</v>
      </c>
      <c r="N481" s="1" t="s">
        <v>44</v>
      </c>
      <c r="O481" s="1" t="s">
        <v>31</v>
      </c>
      <c r="P481" s="2">
        <v>45823</v>
      </c>
      <c r="Q481" s="1" t="s">
        <v>1195</v>
      </c>
      <c r="R481" s="1" t="s">
        <v>1196</v>
      </c>
      <c r="S481" s="1" t="s">
        <v>54</v>
      </c>
      <c r="T481" s="1" t="s">
        <v>35</v>
      </c>
      <c r="U481" s="1" t="s">
        <v>66</v>
      </c>
      <c r="V481" s="1" t="s">
        <v>37</v>
      </c>
      <c r="W481">
        <v>2</v>
      </c>
      <c r="X481" s="1" t="str">
        <f t="shared" si="21"/>
        <v>catalina.rodriguez37@mail.com</v>
      </c>
      <c r="Y481" s="1" t="str">
        <f>INDEX(V:V,MATCH(orders_desnormalizado_prueba3[[#This Row],[acquisition_channel]],U:U,0))</f>
        <v>AliDropship CN - envio 15-20 dias</v>
      </c>
      <c r="Z481" s="1" t="str">
        <f>INDEX(T:T,MATCH(orders_desnormalizado_prueba3[[#This Row],[shipping_cost]],W:W,0))</f>
        <v>Colombia</v>
      </c>
      <c r="AA481" s="1" t="str">
        <f t="shared" si="22"/>
        <v>Barranquilla</v>
      </c>
      <c r="AB481" s="1"/>
      <c r="AC481" s="1" t="str">
        <f t="shared" si="23"/>
        <v xml:space="preserve"> </v>
      </c>
    </row>
    <row r="482" spans="1:29" x14ac:dyDescent="0.3">
      <c r="A482" s="1" t="s">
        <v>1197</v>
      </c>
      <c r="B482">
        <v>1</v>
      </c>
      <c r="C482">
        <v>18.989999999999998</v>
      </c>
      <c r="D482">
        <v>18.989999999999998</v>
      </c>
      <c r="E482" s="1" t="s">
        <v>1198</v>
      </c>
      <c r="F482" s="1" t="s">
        <v>51</v>
      </c>
      <c r="G482">
        <v>0</v>
      </c>
      <c r="H482" s="1" t="s">
        <v>41</v>
      </c>
      <c r="I482" s="1" t="s">
        <v>97</v>
      </c>
      <c r="J482">
        <v>6</v>
      </c>
      <c r="K482">
        <v>18.989999999999998</v>
      </c>
      <c r="L482" s="1" t="s">
        <v>60</v>
      </c>
      <c r="M482" s="1" t="s">
        <v>43</v>
      </c>
      <c r="N482" s="1" t="s">
        <v>44</v>
      </c>
      <c r="O482" s="1" t="s">
        <v>31</v>
      </c>
      <c r="P482" s="2">
        <v>45823</v>
      </c>
      <c r="Q482" s="1" t="s">
        <v>140</v>
      </c>
      <c r="R482" s="1" t="s">
        <v>1199</v>
      </c>
      <c r="S482" s="1" t="s">
        <v>65</v>
      </c>
      <c r="T482" s="1" t="s">
        <v>35</v>
      </c>
      <c r="U482" s="1" t="s">
        <v>36</v>
      </c>
      <c r="V482" s="1" t="s">
        <v>100</v>
      </c>
      <c r="W482">
        <v>3.2</v>
      </c>
      <c r="X482" s="1" t="str">
        <f t="shared" si="21"/>
        <v>david.rodriguez33@mail.com</v>
      </c>
      <c r="Y482" s="1" t="str">
        <f>INDEX(V:V,MATCH(orders_desnormalizado_prueba3[[#This Row],[acquisition_channel]],U:U,0))</f>
        <v>Bodega Propia CO - envio 2-3 dias</v>
      </c>
      <c r="Z482" s="1" t="str">
        <f>INDEX(T:T,MATCH(orders_desnormalizado_prueba3[[#This Row],[shipping_cost]],W:W,0))</f>
        <v>Colombia</v>
      </c>
      <c r="AA482" s="1" t="str">
        <f t="shared" si="22"/>
        <v>Cartagena</v>
      </c>
      <c r="AB482" s="1"/>
      <c r="AC482" s="1" t="str">
        <f t="shared" si="23"/>
        <v xml:space="preserve"> </v>
      </c>
    </row>
    <row r="483" spans="1:29" x14ac:dyDescent="0.3">
      <c r="A483" s="1" t="s">
        <v>1200</v>
      </c>
      <c r="B483">
        <v>1</v>
      </c>
      <c r="C483">
        <v>34.99</v>
      </c>
      <c r="D483">
        <v>34.99</v>
      </c>
      <c r="E483" s="1" t="s">
        <v>796</v>
      </c>
      <c r="F483" s="1" t="s">
        <v>40</v>
      </c>
      <c r="G483">
        <v>6</v>
      </c>
      <c r="H483" s="1" t="s">
        <v>41</v>
      </c>
      <c r="I483" s="1" t="s">
        <v>85</v>
      </c>
      <c r="J483">
        <v>12.5</v>
      </c>
      <c r="K483">
        <v>34.99</v>
      </c>
      <c r="L483" s="1" t="s">
        <v>60</v>
      </c>
      <c r="M483" s="1" t="s">
        <v>29</v>
      </c>
      <c r="N483" s="1" t="s">
        <v>30</v>
      </c>
      <c r="O483" s="1" t="s">
        <v>31</v>
      </c>
      <c r="P483" s="2">
        <v>45778</v>
      </c>
      <c r="Q483" s="1" t="s">
        <v>793</v>
      </c>
      <c r="R483" s="1" t="s">
        <v>1182</v>
      </c>
      <c r="S483" s="1" t="s">
        <v>88</v>
      </c>
      <c r="T483" s="1" t="s">
        <v>35</v>
      </c>
      <c r="U483" s="1" t="s">
        <v>82</v>
      </c>
      <c r="V483" s="1" t="s">
        <v>89</v>
      </c>
      <c r="W483">
        <v>2.4</v>
      </c>
      <c r="X483" s="1" t="str">
        <f t="shared" si="21"/>
        <v>esteban.ortiz133@mail.com</v>
      </c>
      <c r="Y483" s="1" t="str">
        <f>INDEX(V:V,MATCH(orders_desnormalizado_prueba3[[#This Row],[acquisition_channel]],U:U,0))</f>
        <v>Bodega Propia CO - envio 2-3 dias</v>
      </c>
      <c r="Z483" s="1" t="str">
        <f>INDEX(T:T,MATCH(orders_desnormalizado_prueba3[[#This Row],[shipping_cost]],W:W,0))</f>
        <v>Colombia</v>
      </c>
      <c r="AA483" s="1" t="str">
        <f t="shared" si="22"/>
        <v>Medellin</v>
      </c>
      <c r="AB483" s="1"/>
      <c r="AC483" s="1" t="str">
        <f t="shared" si="23"/>
        <v xml:space="preserve"> </v>
      </c>
    </row>
    <row r="484" spans="1:29" x14ac:dyDescent="0.3">
      <c r="A484" s="1" t="s">
        <v>1201</v>
      </c>
      <c r="B484">
        <v>1</v>
      </c>
      <c r="C484">
        <v>16.989999999999998</v>
      </c>
      <c r="D484">
        <v>16.989999999999998</v>
      </c>
      <c r="E484" s="1" t="s">
        <v>228</v>
      </c>
      <c r="F484" s="1" t="s">
        <v>40</v>
      </c>
      <c r="G484">
        <v>25</v>
      </c>
      <c r="H484" s="1" t="s">
        <v>26</v>
      </c>
      <c r="I484" s="1" t="s">
        <v>59</v>
      </c>
      <c r="J484">
        <v>5</v>
      </c>
      <c r="K484">
        <v>16.989999999999998</v>
      </c>
      <c r="L484" s="1" t="s">
        <v>60</v>
      </c>
      <c r="M484" s="1" t="s">
        <v>61</v>
      </c>
      <c r="N484" s="1" t="s">
        <v>62</v>
      </c>
      <c r="O484" s="1" t="s">
        <v>31</v>
      </c>
      <c r="P484" s="2">
        <v>45726</v>
      </c>
      <c r="Q484" s="1" t="s">
        <v>278</v>
      </c>
      <c r="R484" s="1" t="s">
        <v>1202</v>
      </c>
      <c r="S484" s="1" t="s">
        <v>54</v>
      </c>
      <c r="T484" s="1" t="s">
        <v>35</v>
      </c>
      <c r="U484" s="1" t="s">
        <v>36</v>
      </c>
      <c r="V484" s="1" t="s">
        <v>67</v>
      </c>
      <c r="W484">
        <v>3</v>
      </c>
      <c r="X484" s="1" t="str">
        <f t="shared" si="21"/>
        <v>gabriela.diaz40@mail.com</v>
      </c>
      <c r="Y484" s="1" t="str">
        <f>INDEX(V:V,MATCH(orders_desnormalizado_prueba3[[#This Row],[acquisition_channel]],U:U,0))</f>
        <v>Bodega Propia CO - envio 2-3 dias</v>
      </c>
      <c r="Z484" s="1" t="str">
        <f>INDEX(T:T,MATCH(orders_desnormalizado_prueba3[[#This Row],[shipping_cost]],W:W,0))</f>
        <v>Colombia</v>
      </c>
      <c r="AA484" s="1" t="str">
        <f t="shared" si="22"/>
        <v>Bogota</v>
      </c>
      <c r="AB484" s="1"/>
      <c r="AC484" s="1" t="str">
        <f t="shared" si="23"/>
        <v xml:space="preserve"> </v>
      </c>
    </row>
    <row r="485" spans="1:29" x14ac:dyDescent="0.3">
      <c r="A485" s="1" t="s">
        <v>1203</v>
      </c>
      <c r="B485">
        <v>2</v>
      </c>
      <c r="C485">
        <v>18.989999999999998</v>
      </c>
      <c r="D485">
        <v>32.479999999999997</v>
      </c>
      <c r="E485" s="1" t="s">
        <v>603</v>
      </c>
      <c r="F485" s="1" t="s">
        <v>40</v>
      </c>
      <c r="G485">
        <v>12</v>
      </c>
      <c r="H485" s="1" t="s">
        <v>41</v>
      </c>
      <c r="I485" s="1" t="s">
        <v>97</v>
      </c>
      <c r="J485">
        <v>6</v>
      </c>
      <c r="K485">
        <v>18.989999999999998</v>
      </c>
      <c r="L485" s="1" t="s">
        <v>60</v>
      </c>
      <c r="M485" s="1" t="s">
        <v>43</v>
      </c>
      <c r="N485" s="1" t="s">
        <v>44</v>
      </c>
      <c r="O485" s="1" t="s">
        <v>31</v>
      </c>
      <c r="P485" s="2">
        <v>45823</v>
      </c>
      <c r="Q485" s="1" t="s">
        <v>1204</v>
      </c>
      <c r="R485" s="1" t="s">
        <v>1205</v>
      </c>
      <c r="S485" s="1" t="s">
        <v>34</v>
      </c>
      <c r="T485" s="1" t="s">
        <v>35</v>
      </c>
      <c r="U485" s="1" t="s">
        <v>48</v>
      </c>
      <c r="V485" s="1" t="s">
        <v>100</v>
      </c>
      <c r="W485">
        <v>3.2</v>
      </c>
      <c r="X485" s="1" t="str">
        <f t="shared" si="21"/>
        <v>sofia.moreno38@mail.com</v>
      </c>
      <c r="Y485" s="1" t="str">
        <f>INDEX(V:V,MATCH(orders_desnormalizado_prueba3[[#This Row],[acquisition_channel]],U:U,0))</f>
        <v>Bodega Propia CO - envio 2-3 dias</v>
      </c>
      <c r="Z485" s="1" t="str">
        <f>INDEX(T:T,MATCH(orders_desnormalizado_prueba3[[#This Row],[shipping_cost]],W:W,0))</f>
        <v>Colombia</v>
      </c>
      <c r="AA485" s="1" t="str">
        <f t="shared" si="22"/>
        <v>Cartagena</v>
      </c>
      <c r="AB485" s="1"/>
      <c r="AC485" s="1" t="str">
        <f t="shared" si="23"/>
        <v xml:space="preserve"> </v>
      </c>
    </row>
    <row r="486" spans="1:29" x14ac:dyDescent="0.3">
      <c r="A486" s="1" t="s">
        <v>1206</v>
      </c>
      <c r="B486">
        <v>1</v>
      </c>
      <c r="C486">
        <v>18.989999999999998</v>
      </c>
      <c r="D486">
        <v>18.989999999999998</v>
      </c>
      <c r="E486" s="1" t="s">
        <v>1207</v>
      </c>
      <c r="F486" s="1" t="s">
        <v>51</v>
      </c>
      <c r="G486">
        <v>0</v>
      </c>
      <c r="H486" s="1" t="s">
        <v>96</v>
      </c>
      <c r="I486" s="1" t="s">
        <v>97</v>
      </c>
      <c r="J486">
        <v>6</v>
      </c>
      <c r="K486">
        <v>18.989999999999998</v>
      </c>
      <c r="L486" s="1" t="s">
        <v>60</v>
      </c>
      <c r="M486" s="1" t="s">
        <v>43</v>
      </c>
      <c r="N486" s="1" t="s">
        <v>44</v>
      </c>
      <c r="O486" s="1" t="s">
        <v>31</v>
      </c>
      <c r="P486" s="2">
        <v>45823</v>
      </c>
      <c r="Q486" s="1" t="s">
        <v>873</v>
      </c>
      <c r="R486" s="1" t="s">
        <v>1208</v>
      </c>
      <c r="S486" s="1" t="s">
        <v>54</v>
      </c>
      <c r="T486" s="1" t="s">
        <v>35</v>
      </c>
      <c r="U486" s="1" t="s">
        <v>82</v>
      </c>
      <c r="V486" s="1" t="s">
        <v>100</v>
      </c>
      <c r="W486">
        <v>3.2</v>
      </c>
      <c r="X486" s="1" t="str">
        <f t="shared" si="21"/>
        <v>fernanda.sanchez183@mail.com</v>
      </c>
      <c r="Y486" s="1" t="str">
        <f>INDEX(V:V,MATCH(orders_desnormalizado_prueba3[[#This Row],[acquisition_channel]],U:U,0))</f>
        <v>Bodega Propia CO - envio 2-3 dias</v>
      </c>
      <c r="Z486" s="1" t="str">
        <f>INDEX(T:T,MATCH(orders_desnormalizado_prueba3[[#This Row],[shipping_cost]],W:W,0))</f>
        <v>Colombia</v>
      </c>
      <c r="AA486" s="1" t="str">
        <f t="shared" si="22"/>
        <v>Cartagena</v>
      </c>
      <c r="AB486" s="1"/>
      <c r="AC486" s="1" t="str">
        <f t="shared" si="23"/>
        <v xml:space="preserve"> </v>
      </c>
    </row>
    <row r="487" spans="1:29" x14ac:dyDescent="0.3">
      <c r="A487" s="1" t="s">
        <v>1209</v>
      </c>
      <c r="B487">
        <v>1</v>
      </c>
      <c r="C487">
        <v>27.99</v>
      </c>
      <c r="D487">
        <v>27.99</v>
      </c>
      <c r="E487" s="1" t="s">
        <v>989</v>
      </c>
      <c r="F487" s="1" t="s">
        <v>25</v>
      </c>
      <c r="G487">
        <v>2</v>
      </c>
      <c r="H487" s="1" t="s">
        <v>58</v>
      </c>
      <c r="I487" s="1" t="s">
        <v>75</v>
      </c>
      <c r="J487">
        <v>9</v>
      </c>
      <c r="K487">
        <v>27.99</v>
      </c>
      <c r="L487" s="1" t="s">
        <v>28</v>
      </c>
      <c r="M487" s="1" t="s">
        <v>61</v>
      </c>
      <c r="N487" s="1" t="s">
        <v>62</v>
      </c>
      <c r="O487" s="1" t="s">
        <v>31</v>
      </c>
      <c r="P487" s="2">
        <v>45726</v>
      </c>
      <c r="Q487" s="1" t="s">
        <v>720</v>
      </c>
      <c r="R487" s="1" t="s">
        <v>721</v>
      </c>
      <c r="S487" s="1" t="s">
        <v>54</v>
      </c>
      <c r="T487" s="1" t="s">
        <v>35</v>
      </c>
      <c r="U487" s="1" t="s">
        <v>82</v>
      </c>
      <c r="V487" s="1" t="s">
        <v>37</v>
      </c>
      <c r="W487">
        <v>2</v>
      </c>
      <c r="X487" s="1" t="str">
        <f t="shared" si="21"/>
        <v>natalia.ortiz107@mail.com</v>
      </c>
      <c r="Y487" s="1" t="str">
        <f>INDEX(V:V,MATCH(orders_desnormalizado_prueba3[[#This Row],[acquisition_channel]],U:U,0))</f>
        <v>Bodega Propia CO - envio 2-3 dias</v>
      </c>
      <c r="Z487" s="1" t="str">
        <f>INDEX(T:T,MATCH(orders_desnormalizado_prueba3[[#This Row],[shipping_cost]],W:W,0))</f>
        <v>Colombia</v>
      </c>
      <c r="AA487" s="1" t="str">
        <f t="shared" si="22"/>
        <v>Medellin</v>
      </c>
      <c r="AB487" s="1"/>
      <c r="AC487" s="1" t="str">
        <f t="shared" si="23"/>
        <v xml:space="preserve"> </v>
      </c>
    </row>
    <row r="488" spans="1:29" x14ac:dyDescent="0.3">
      <c r="A488" s="1" t="s">
        <v>1210</v>
      </c>
      <c r="B488">
        <v>1</v>
      </c>
      <c r="C488">
        <v>18.989999999999998</v>
      </c>
      <c r="D488">
        <v>18.989999999999998</v>
      </c>
      <c r="E488" s="1" t="s">
        <v>1174</v>
      </c>
      <c r="F488" s="1" t="s">
        <v>51</v>
      </c>
      <c r="G488">
        <v>0</v>
      </c>
      <c r="H488" s="1" t="s">
        <v>26</v>
      </c>
      <c r="I488" s="1" t="s">
        <v>97</v>
      </c>
      <c r="J488">
        <v>6</v>
      </c>
      <c r="K488">
        <v>18.989999999999998</v>
      </c>
      <c r="L488" s="1" t="s">
        <v>60</v>
      </c>
      <c r="M488" s="1" t="s">
        <v>43</v>
      </c>
      <c r="N488" s="1" t="s">
        <v>44</v>
      </c>
      <c r="O488" s="1" t="s">
        <v>31</v>
      </c>
      <c r="P488" s="2">
        <v>45823</v>
      </c>
      <c r="Q488" s="1" t="s">
        <v>1211</v>
      </c>
      <c r="R488" s="1" t="s">
        <v>1212</v>
      </c>
      <c r="S488" s="1" t="s">
        <v>34</v>
      </c>
      <c r="T488" s="1" t="s">
        <v>35</v>
      </c>
      <c r="U488" s="1" t="s">
        <v>66</v>
      </c>
      <c r="V488" s="1" t="s">
        <v>100</v>
      </c>
      <c r="W488">
        <v>3.2</v>
      </c>
      <c r="X488" s="1" t="str">
        <f t="shared" si="21"/>
        <v>gabriela.lopez37@mail.com</v>
      </c>
      <c r="Y488" s="1" t="str">
        <f>INDEX(V:V,MATCH(orders_desnormalizado_prueba3[[#This Row],[acquisition_channel]],U:U,0))</f>
        <v>AliDropship CN - envio 15-20 dias</v>
      </c>
      <c r="Z488" s="1" t="str">
        <f>INDEX(T:T,MATCH(orders_desnormalizado_prueba3[[#This Row],[shipping_cost]],W:W,0))</f>
        <v>Colombia</v>
      </c>
      <c r="AA488" s="1" t="str">
        <f t="shared" si="22"/>
        <v>Cartagena</v>
      </c>
      <c r="AB488" s="1"/>
      <c r="AC488" s="1" t="str">
        <f t="shared" si="23"/>
        <v xml:space="preserve"> </v>
      </c>
    </row>
    <row r="489" spans="1:29" x14ac:dyDescent="0.3">
      <c r="A489" s="1" t="s">
        <v>1213</v>
      </c>
      <c r="B489">
        <v>3</v>
      </c>
      <c r="C489">
        <v>18.989999999999998</v>
      </c>
      <c r="D489">
        <v>44.87</v>
      </c>
      <c r="E489" s="1" t="s">
        <v>1214</v>
      </c>
      <c r="F489" s="1" t="s">
        <v>51</v>
      </c>
      <c r="G489">
        <v>0</v>
      </c>
      <c r="H489" s="1" t="s">
        <v>26</v>
      </c>
      <c r="I489" s="1" t="s">
        <v>97</v>
      </c>
      <c r="J489">
        <v>6</v>
      </c>
      <c r="K489">
        <v>18.989999999999998</v>
      </c>
      <c r="L489" s="1" t="s">
        <v>60</v>
      </c>
      <c r="M489" s="1" t="s">
        <v>43</v>
      </c>
      <c r="N489" s="1" t="s">
        <v>44</v>
      </c>
      <c r="O489" s="1" t="s">
        <v>31</v>
      </c>
      <c r="P489" s="2">
        <v>45823</v>
      </c>
      <c r="Q489" s="1" t="s">
        <v>1112</v>
      </c>
      <c r="R489" s="1" t="s">
        <v>1215</v>
      </c>
      <c r="S489" s="1" t="s">
        <v>54</v>
      </c>
      <c r="T489" s="1" t="s">
        <v>35</v>
      </c>
      <c r="U489" s="1" t="s">
        <v>48</v>
      </c>
      <c r="V489" s="1" t="s">
        <v>100</v>
      </c>
      <c r="W489">
        <v>3.2</v>
      </c>
      <c r="X489" s="1" t="str">
        <f t="shared" si="21"/>
        <v>felipe.moreno124@mail.com</v>
      </c>
      <c r="Y489" s="1" t="str">
        <f>INDEX(V:V,MATCH(orders_desnormalizado_prueba3[[#This Row],[acquisition_channel]],U:U,0))</f>
        <v>Bodega Propia CO - envio 2-3 dias</v>
      </c>
      <c r="Z489" s="1" t="str">
        <f>INDEX(T:T,MATCH(orders_desnormalizado_prueba3[[#This Row],[shipping_cost]],W:W,0))</f>
        <v>Colombia</v>
      </c>
      <c r="AA489" s="1" t="str">
        <f t="shared" si="22"/>
        <v>Cartagena</v>
      </c>
      <c r="AB489" s="1"/>
      <c r="AC489" s="1" t="str">
        <f t="shared" si="23"/>
        <v xml:space="preserve"> </v>
      </c>
    </row>
    <row r="490" spans="1:29" x14ac:dyDescent="0.3">
      <c r="A490" s="1" t="s">
        <v>1216</v>
      </c>
      <c r="B490">
        <v>2</v>
      </c>
      <c r="C490">
        <v>16.989999999999998</v>
      </c>
      <c r="D490">
        <v>29.53</v>
      </c>
      <c r="E490" s="1" t="s">
        <v>1217</v>
      </c>
      <c r="F490" s="1" t="s">
        <v>40</v>
      </c>
      <c r="G490">
        <v>20</v>
      </c>
      <c r="H490" s="1" t="s">
        <v>96</v>
      </c>
      <c r="I490" s="1" t="s">
        <v>59</v>
      </c>
      <c r="J490">
        <v>5</v>
      </c>
      <c r="K490">
        <v>16.989999999999998</v>
      </c>
      <c r="L490" s="1" t="s">
        <v>60</v>
      </c>
      <c r="M490" s="1" t="s">
        <v>61</v>
      </c>
      <c r="N490" s="1" t="s">
        <v>62</v>
      </c>
      <c r="O490" s="1" t="s">
        <v>31</v>
      </c>
      <c r="P490" s="2">
        <v>45726</v>
      </c>
      <c r="Q490" s="1" t="s">
        <v>1218</v>
      </c>
      <c r="R490" s="1" t="s">
        <v>1219</v>
      </c>
      <c r="S490" s="1" t="s">
        <v>105</v>
      </c>
      <c r="T490" s="1" t="s">
        <v>35</v>
      </c>
      <c r="U490" s="1" t="s">
        <v>82</v>
      </c>
      <c r="V490" s="1" t="s">
        <v>67</v>
      </c>
      <c r="W490">
        <v>3</v>
      </c>
      <c r="X490" s="1" t="str">
        <f t="shared" si="21"/>
        <v>mateo.jimenez97@mail.com</v>
      </c>
      <c r="Y490" s="1" t="str">
        <f>INDEX(V:V,MATCH(orders_desnormalizado_prueba3[[#This Row],[acquisition_channel]],U:U,0))</f>
        <v>Bodega Propia CO - envio 2-3 dias</v>
      </c>
      <c r="Z490" s="1" t="str">
        <f>INDEX(T:T,MATCH(orders_desnormalizado_prueba3[[#This Row],[shipping_cost]],W:W,0))</f>
        <v>Colombia</v>
      </c>
      <c r="AA490" s="1" t="str">
        <f t="shared" si="22"/>
        <v>Bucaramanga</v>
      </c>
      <c r="AB490" s="1"/>
      <c r="AC490" s="1" t="str">
        <f t="shared" si="23"/>
        <v xml:space="preserve"> </v>
      </c>
    </row>
    <row r="491" spans="1:29" x14ac:dyDescent="0.3">
      <c r="A491" s="1" t="s">
        <v>1220</v>
      </c>
      <c r="B491">
        <v>1</v>
      </c>
      <c r="C491">
        <v>18.989999999999998</v>
      </c>
      <c r="D491">
        <v>18.989999999999998</v>
      </c>
      <c r="E491" s="1" t="s">
        <v>348</v>
      </c>
      <c r="F491" s="1" t="s">
        <v>40</v>
      </c>
      <c r="G491">
        <v>11</v>
      </c>
      <c r="H491" s="1" t="s">
        <v>41</v>
      </c>
      <c r="I491" s="1" t="s">
        <v>97</v>
      </c>
      <c r="J491">
        <v>6</v>
      </c>
      <c r="K491">
        <v>18.989999999999998</v>
      </c>
      <c r="L491" s="1" t="s">
        <v>60</v>
      </c>
      <c r="M491" s="1" t="s">
        <v>43</v>
      </c>
      <c r="N491" s="1" t="s">
        <v>44</v>
      </c>
      <c r="O491" s="1" t="s">
        <v>31</v>
      </c>
      <c r="P491" s="2">
        <v>45823</v>
      </c>
      <c r="Q491" s="1" t="s">
        <v>965</v>
      </c>
      <c r="R491" s="1" t="s">
        <v>1221</v>
      </c>
      <c r="S491" s="1" t="s">
        <v>34</v>
      </c>
      <c r="T491" s="1" t="s">
        <v>35</v>
      </c>
      <c r="U491" s="1" t="s">
        <v>48</v>
      </c>
      <c r="V491" s="1" t="s">
        <v>100</v>
      </c>
      <c r="W491">
        <v>3.2</v>
      </c>
      <c r="X491" s="1" t="str">
        <f t="shared" si="21"/>
        <v>natalia.martinez50@mail.com</v>
      </c>
      <c r="Y491" s="1" t="str">
        <f>INDEX(V:V,MATCH(orders_desnormalizado_prueba3[[#This Row],[acquisition_channel]],U:U,0))</f>
        <v>Bodega Propia CO - envio 2-3 dias</v>
      </c>
      <c r="Z491" s="1" t="str">
        <f>INDEX(T:T,MATCH(orders_desnormalizado_prueba3[[#This Row],[shipping_cost]],W:W,0))</f>
        <v>Colombia</v>
      </c>
      <c r="AA491" s="1" t="str">
        <f t="shared" si="22"/>
        <v>Cali</v>
      </c>
      <c r="AB491" s="1"/>
      <c r="AC491" s="1" t="str">
        <f t="shared" si="23"/>
        <v xml:space="preserve"> </v>
      </c>
    </row>
    <row r="492" spans="1:29" x14ac:dyDescent="0.3">
      <c r="A492" s="1" t="s">
        <v>1222</v>
      </c>
      <c r="B492">
        <v>3</v>
      </c>
      <c r="C492">
        <v>21.99</v>
      </c>
      <c r="D492">
        <v>53.27</v>
      </c>
      <c r="E492" s="1" t="s">
        <v>272</v>
      </c>
      <c r="F492" s="1" t="s">
        <v>40</v>
      </c>
      <c r="G492">
        <v>3</v>
      </c>
      <c r="H492" s="1" t="s">
        <v>96</v>
      </c>
      <c r="I492" s="1" t="s">
        <v>27</v>
      </c>
      <c r="J492">
        <v>7</v>
      </c>
      <c r="K492">
        <v>21.99</v>
      </c>
      <c r="L492" s="1" t="s">
        <v>28</v>
      </c>
      <c r="M492" s="1" t="s">
        <v>29</v>
      </c>
      <c r="N492" s="1" t="s">
        <v>30</v>
      </c>
      <c r="O492" s="1" t="s">
        <v>31</v>
      </c>
      <c r="P492" s="2">
        <v>45778</v>
      </c>
      <c r="Q492" s="1" t="s">
        <v>593</v>
      </c>
      <c r="R492" s="1" t="s">
        <v>1223</v>
      </c>
      <c r="S492" s="1" t="s">
        <v>88</v>
      </c>
      <c r="T492" s="1" t="s">
        <v>35</v>
      </c>
      <c r="U492" s="1" t="s">
        <v>66</v>
      </c>
      <c r="V492" s="1" t="s">
        <v>37</v>
      </c>
      <c r="W492">
        <v>2</v>
      </c>
      <c r="X492" s="1" t="str">
        <f t="shared" si="21"/>
        <v>santiago.vargas41@mail.com</v>
      </c>
      <c r="Y492" s="1" t="str">
        <f>INDEX(V:V,MATCH(orders_desnormalizado_prueba3[[#This Row],[acquisition_channel]],U:U,0))</f>
        <v>AliDropship CN - envio 15-20 dias</v>
      </c>
      <c r="Z492" s="1" t="str">
        <f>INDEX(T:T,MATCH(orders_desnormalizado_prueba3[[#This Row],[shipping_cost]],W:W,0))</f>
        <v>Colombia</v>
      </c>
      <c r="AA492" s="1" t="str">
        <f t="shared" si="22"/>
        <v>Barranquilla</v>
      </c>
      <c r="AB492" s="1"/>
      <c r="AC492" s="1" t="str">
        <f t="shared" si="23"/>
        <v xml:space="preserve"> </v>
      </c>
    </row>
    <row r="493" spans="1:29" x14ac:dyDescent="0.3">
      <c r="A493" s="1" t="s">
        <v>1224</v>
      </c>
      <c r="B493">
        <v>1</v>
      </c>
      <c r="C493">
        <v>30.99</v>
      </c>
      <c r="D493">
        <v>30.99</v>
      </c>
      <c r="E493" s="1" t="s">
        <v>187</v>
      </c>
      <c r="F493" s="1" t="s">
        <v>70</v>
      </c>
      <c r="G493">
        <v>0</v>
      </c>
      <c r="H493" s="1" t="s">
        <v>58</v>
      </c>
      <c r="I493" s="1" t="s">
        <v>42</v>
      </c>
      <c r="J493">
        <v>10.5</v>
      </c>
      <c r="K493">
        <v>30.99</v>
      </c>
      <c r="L493" s="1" t="s">
        <v>28</v>
      </c>
      <c r="M493" s="1" t="s">
        <v>43</v>
      </c>
      <c r="N493" s="1" t="s">
        <v>44</v>
      </c>
      <c r="O493" s="1" t="s">
        <v>31</v>
      </c>
      <c r="P493" s="2">
        <v>45823</v>
      </c>
      <c r="Q493" s="1" t="s">
        <v>544</v>
      </c>
      <c r="R493" s="1" t="s">
        <v>1225</v>
      </c>
      <c r="S493" s="1" t="s">
        <v>88</v>
      </c>
      <c r="T493" s="1" t="s">
        <v>35</v>
      </c>
      <c r="U493" s="1" t="s">
        <v>36</v>
      </c>
      <c r="V493" s="1" t="s">
        <v>37</v>
      </c>
      <c r="W493">
        <v>2</v>
      </c>
      <c r="X493" s="1" t="str">
        <f t="shared" si="21"/>
        <v>maria.diaz102@mail.com</v>
      </c>
      <c r="Y493" s="1" t="str">
        <f>INDEX(V:V,MATCH(orders_desnormalizado_prueba3[[#This Row],[acquisition_channel]],U:U,0))</f>
        <v>Bodega Propia CO - envio 2-3 dias</v>
      </c>
      <c r="Z493" s="1" t="str">
        <f>INDEX(T:T,MATCH(orders_desnormalizado_prueba3[[#This Row],[shipping_cost]],W:W,0))</f>
        <v>Colombia</v>
      </c>
      <c r="AA493" s="1" t="str">
        <f t="shared" si="22"/>
        <v>Cartagena</v>
      </c>
      <c r="AB493" s="1"/>
      <c r="AC493" s="1" t="str">
        <f t="shared" si="23"/>
        <v xml:space="preserve"> </v>
      </c>
    </row>
    <row r="494" spans="1:29" x14ac:dyDescent="0.3">
      <c r="A494" s="1" t="s">
        <v>1226</v>
      </c>
      <c r="B494">
        <v>1</v>
      </c>
      <c r="C494">
        <v>18.989999999999998</v>
      </c>
      <c r="D494">
        <v>18.989999999999998</v>
      </c>
      <c r="E494" s="1" t="s">
        <v>1227</v>
      </c>
      <c r="F494" s="1" t="s">
        <v>51</v>
      </c>
      <c r="G494">
        <v>0</v>
      </c>
      <c r="H494" s="1" t="s">
        <v>96</v>
      </c>
      <c r="I494" s="1" t="s">
        <v>97</v>
      </c>
      <c r="J494">
        <v>6</v>
      </c>
      <c r="K494">
        <v>18.989999999999998</v>
      </c>
      <c r="L494" s="1" t="s">
        <v>60</v>
      </c>
      <c r="M494" s="1" t="s">
        <v>43</v>
      </c>
      <c r="N494" s="1" t="s">
        <v>44</v>
      </c>
      <c r="O494" s="1" t="s">
        <v>31</v>
      </c>
      <c r="P494" s="2">
        <v>45823</v>
      </c>
      <c r="Q494" s="1" t="s">
        <v>990</v>
      </c>
      <c r="R494" s="1" t="s">
        <v>1228</v>
      </c>
      <c r="S494" s="1" t="s">
        <v>47</v>
      </c>
      <c r="T494" s="1" t="s">
        <v>35</v>
      </c>
      <c r="U494" s="1" t="s">
        <v>55</v>
      </c>
      <c r="V494" s="1" t="s">
        <v>100</v>
      </c>
      <c r="W494">
        <v>3.2</v>
      </c>
      <c r="X494" s="1" t="str">
        <f t="shared" si="21"/>
        <v>fernanda.diaz94@mail.com</v>
      </c>
      <c r="Y494" s="1" t="str">
        <f>INDEX(V:V,MATCH(orders_desnormalizado_prueba3[[#This Row],[acquisition_channel]],U:U,0))</f>
        <v>Bodega Propia CO - envio 2-3 dias</v>
      </c>
      <c r="Z494" s="1" t="str">
        <f>INDEX(T:T,MATCH(orders_desnormalizado_prueba3[[#This Row],[shipping_cost]],W:W,0))</f>
        <v>Colombia</v>
      </c>
      <c r="AA494" s="1" t="str">
        <f t="shared" si="22"/>
        <v>Cartagena</v>
      </c>
      <c r="AB494" s="1"/>
      <c r="AC494" s="1" t="str">
        <f t="shared" si="23"/>
        <v xml:space="preserve"> </v>
      </c>
    </row>
    <row r="495" spans="1:29" x14ac:dyDescent="0.3">
      <c r="A495" s="1" t="s">
        <v>1229</v>
      </c>
      <c r="B495">
        <v>1</v>
      </c>
      <c r="C495">
        <v>30.99</v>
      </c>
      <c r="D495">
        <v>30.99</v>
      </c>
      <c r="E495" s="1" t="s">
        <v>1230</v>
      </c>
      <c r="F495" s="1" t="s">
        <v>188</v>
      </c>
      <c r="G495">
        <v>0</v>
      </c>
      <c r="H495" s="1" t="s">
        <v>41</v>
      </c>
      <c r="I495" s="1" t="s">
        <v>42</v>
      </c>
      <c r="J495">
        <v>10.5</v>
      </c>
      <c r="K495">
        <v>30.99</v>
      </c>
      <c r="L495" s="1" t="s">
        <v>28</v>
      </c>
      <c r="M495" s="1" t="s">
        <v>43</v>
      </c>
      <c r="N495" s="1" t="s">
        <v>44</v>
      </c>
      <c r="O495" s="1" t="s">
        <v>31</v>
      </c>
      <c r="P495" s="2">
        <v>45823</v>
      </c>
      <c r="Q495" s="1" t="s">
        <v>1058</v>
      </c>
      <c r="R495" s="1" t="s">
        <v>1231</v>
      </c>
      <c r="S495" s="1" t="s">
        <v>105</v>
      </c>
      <c r="T495" s="1" t="s">
        <v>35</v>
      </c>
      <c r="U495" s="1" t="s">
        <v>66</v>
      </c>
      <c r="V495" s="1" t="s">
        <v>37</v>
      </c>
      <c r="W495">
        <v>2</v>
      </c>
      <c r="X495" s="1" t="str">
        <f t="shared" si="21"/>
        <v>felipe.castro82@mail.com</v>
      </c>
      <c r="Y495" s="1" t="str">
        <f>INDEX(V:V,MATCH(orders_desnormalizado_prueba3[[#This Row],[acquisition_channel]],U:U,0))</f>
        <v>AliDropship CN - envio 15-20 dias</v>
      </c>
      <c r="Z495" s="1" t="str">
        <f>INDEX(T:T,MATCH(orders_desnormalizado_prueba3[[#This Row],[shipping_cost]],W:W,0))</f>
        <v>Colombia</v>
      </c>
      <c r="AA495" s="1" t="str">
        <f t="shared" si="22"/>
        <v>Cartagena</v>
      </c>
      <c r="AB495" s="1"/>
      <c r="AC495" s="1" t="str">
        <f t="shared" si="23"/>
        <v xml:space="preserve"> </v>
      </c>
    </row>
    <row r="496" spans="1:29" x14ac:dyDescent="0.3">
      <c r="A496" s="1" t="s">
        <v>1232</v>
      </c>
      <c r="B496">
        <v>1</v>
      </c>
      <c r="C496">
        <v>21.99</v>
      </c>
      <c r="D496">
        <v>21.99</v>
      </c>
      <c r="E496" s="1" t="s">
        <v>1233</v>
      </c>
      <c r="F496" s="1" t="s">
        <v>40</v>
      </c>
      <c r="G496">
        <v>3</v>
      </c>
      <c r="H496" s="1" t="s">
        <v>26</v>
      </c>
      <c r="I496" s="1" t="s">
        <v>27</v>
      </c>
      <c r="J496">
        <v>7</v>
      </c>
      <c r="K496">
        <v>21.99</v>
      </c>
      <c r="L496" s="1" t="s">
        <v>28</v>
      </c>
      <c r="M496" s="1" t="s">
        <v>29</v>
      </c>
      <c r="N496" s="1" t="s">
        <v>30</v>
      </c>
      <c r="O496" s="1" t="s">
        <v>31</v>
      </c>
      <c r="P496" s="2">
        <v>45778</v>
      </c>
      <c r="Q496" s="1" t="s">
        <v>1234</v>
      </c>
      <c r="R496" s="1" t="s">
        <v>1235</v>
      </c>
      <c r="S496" s="1" t="s">
        <v>88</v>
      </c>
      <c r="T496" s="1" t="s">
        <v>35</v>
      </c>
      <c r="U496" s="1" t="s">
        <v>48</v>
      </c>
      <c r="V496" s="1" t="s">
        <v>37</v>
      </c>
      <c r="W496">
        <v>2</v>
      </c>
      <c r="X496" s="1" t="str">
        <f t="shared" si="21"/>
        <v>antonia.ortiz67@mail.com</v>
      </c>
      <c r="Y496" s="1" t="str">
        <f>INDEX(V:V,MATCH(orders_desnormalizado_prueba3[[#This Row],[acquisition_channel]],U:U,0))</f>
        <v>Bodega Propia CO - envio 2-3 dias</v>
      </c>
      <c r="Z496" s="1" t="str">
        <f>INDEX(T:T,MATCH(orders_desnormalizado_prueba3[[#This Row],[shipping_cost]],W:W,0))</f>
        <v>Colombia</v>
      </c>
      <c r="AA496" s="1" t="str">
        <f t="shared" si="22"/>
        <v>Barranquilla</v>
      </c>
      <c r="AB496" s="1"/>
      <c r="AC496" s="1" t="str">
        <f t="shared" si="23"/>
        <v xml:space="preserve"> </v>
      </c>
    </row>
    <row r="497" spans="1:29" x14ac:dyDescent="0.3">
      <c r="A497" s="1" t="s">
        <v>1236</v>
      </c>
      <c r="B497">
        <v>1</v>
      </c>
      <c r="C497">
        <v>27.99</v>
      </c>
      <c r="D497">
        <v>27.99</v>
      </c>
      <c r="E497" s="1" t="s">
        <v>916</v>
      </c>
      <c r="F497" s="1" t="s">
        <v>40</v>
      </c>
      <c r="G497">
        <v>2</v>
      </c>
      <c r="H497" s="1" t="s">
        <v>26</v>
      </c>
      <c r="I497" s="1" t="s">
        <v>75</v>
      </c>
      <c r="J497">
        <v>9</v>
      </c>
      <c r="K497">
        <v>27.99</v>
      </c>
      <c r="L497" s="1" t="s">
        <v>28</v>
      </c>
      <c r="M497" s="1" t="s">
        <v>61</v>
      </c>
      <c r="N497" s="1" t="s">
        <v>62</v>
      </c>
      <c r="O497" s="1" t="s">
        <v>31</v>
      </c>
      <c r="P497" s="2">
        <v>45726</v>
      </c>
      <c r="Q497" s="1" t="s">
        <v>1237</v>
      </c>
      <c r="R497" s="1" t="s">
        <v>1238</v>
      </c>
      <c r="S497" s="1" t="s">
        <v>65</v>
      </c>
      <c r="T497" s="1" t="s">
        <v>35</v>
      </c>
      <c r="U497" s="1" t="s">
        <v>66</v>
      </c>
      <c r="V497" s="1" t="s">
        <v>37</v>
      </c>
      <c r="W497">
        <v>2</v>
      </c>
      <c r="X497" s="1" t="str">
        <f t="shared" si="21"/>
        <v>ricardo.moreno46@mail.com</v>
      </c>
      <c r="Y497" s="1" t="str">
        <f>INDEX(V:V,MATCH(orders_desnormalizado_prueba3[[#This Row],[acquisition_channel]],U:U,0))</f>
        <v>AliDropship CN - envio 15-20 dias</v>
      </c>
      <c r="Z497" s="1" t="str">
        <f>INDEX(T:T,MATCH(orders_desnormalizado_prueba3[[#This Row],[shipping_cost]],W:W,0))</f>
        <v>Colombia</v>
      </c>
      <c r="AA497" s="1" t="str">
        <f t="shared" si="22"/>
        <v>Medellin</v>
      </c>
      <c r="AB497" s="1"/>
      <c r="AC497" s="1" t="str">
        <f t="shared" si="23"/>
        <v xml:space="preserve"> </v>
      </c>
    </row>
    <row r="498" spans="1:29" x14ac:dyDescent="0.3">
      <c r="A498" s="1" t="s">
        <v>1239</v>
      </c>
      <c r="B498">
        <v>1</v>
      </c>
      <c r="C498">
        <v>21.99</v>
      </c>
      <c r="D498">
        <v>21.99</v>
      </c>
      <c r="E498" s="1" t="s">
        <v>1240</v>
      </c>
      <c r="F498" s="1" t="s">
        <v>51</v>
      </c>
      <c r="G498">
        <v>0</v>
      </c>
      <c r="H498" s="1" t="s">
        <v>26</v>
      </c>
      <c r="I498" s="1" t="s">
        <v>27</v>
      </c>
      <c r="J498">
        <v>7</v>
      </c>
      <c r="K498">
        <v>21.99</v>
      </c>
      <c r="L498" s="1" t="s">
        <v>28</v>
      </c>
      <c r="M498" s="1" t="s">
        <v>29</v>
      </c>
      <c r="N498" s="1" t="s">
        <v>30</v>
      </c>
      <c r="O498" s="1" t="s">
        <v>31</v>
      </c>
      <c r="P498" s="2">
        <v>45778</v>
      </c>
      <c r="Q498" s="1" t="s">
        <v>1241</v>
      </c>
      <c r="R498" s="1" t="s">
        <v>1242</v>
      </c>
      <c r="S498" s="1" t="s">
        <v>54</v>
      </c>
      <c r="T498" s="1" t="s">
        <v>35</v>
      </c>
      <c r="U498" s="1" t="s">
        <v>48</v>
      </c>
      <c r="V498" s="1" t="s">
        <v>37</v>
      </c>
      <c r="W498">
        <v>2</v>
      </c>
      <c r="X498" s="1" t="str">
        <f t="shared" si="21"/>
        <v>antonia.torres55@mail.com</v>
      </c>
      <c r="Y498" s="1" t="str">
        <f>INDEX(V:V,MATCH(orders_desnormalizado_prueba3[[#This Row],[acquisition_channel]],U:U,0))</f>
        <v>Bodega Propia CO - envio 2-3 dias</v>
      </c>
      <c r="Z498" s="1" t="str">
        <f>INDEX(T:T,MATCH(orders_desnormalizado_prueba3[[#This Row],[shipping_cost]],W:W,0))</f>
        <v>Colombia</v>
      </c>
      <c r="AA498" s="1" t="str">
        <f t="shared" si="22"/>
        <v>Cartagena</v>
      </c>
      <c r="AB498" s="1"/>
      <c r="AC498" s="1" t="str">
        <f t="shared" si="23"/>
        <v xml:space="preserve"> </v>
      </c>
    </row>
    <row r="499" spans="1:29" x14ac:dyDescent="0.3">
      <c r="A499" s="1" t="s">
        <v>1243</v>
      </c>
      <c r="B499">
        <v>1</v>
      </c>
      <c r="C499">
        <v>18.989999999999998</v>
      </c>
      <c r="D499">
        <v>18.989999999999998</v>
      </c>
      <c r="E499" s="1" t="s">
        <v>782</v>
      </c>
      <c r="F499" s="1" t="s">
        <v>40</v>
      </c>
      <c r="G499">
        <v>12</v>
      </c>
      <c r="H499" s="1" t="s">
        <v>41</v>
      </c>
      <c r="I499" s="1" t="s">
        <v>97</v>
      </c>
      <c r="J499">
        <v>6</v>
      </c>
      <c r="K499">
        <v>18.989999999999998</v>
      </c>
      <c r="L499" s="1" t="s">
        <v>60</v>
      </c>
      <c r="M499" s="1" t="s">
        <v>43</v>
      </c>
      <c r="N499" s="1" t="s">
        <v>44</v>
      </c>
      <c r="O499" s="1" t="s">
        <v>31</v>
      </c>
      <c r="P499" s="2">
        <v>45823</v>
      </c>
      <c r="Q499" s="1" t="s">
        <v>80</v>
      </c>
      <c r="R499" s="1" t="s">
        <v>1244</v>
      </c>
      <c r="S499" s="1" t="s">
        <v>54</v>
      </c>
      <c r="T499" s="1" t="s">
        <v>35</v>
      </c>
      <c r="U499" s="1" t="s">
        <v>82</v>
      </c>
      <c r="V499" s="1" t="s">
        <v>100</v>
      </c>
      <c r="W499">
        <v>3.2</v>
      </c>
      <c r="X499" s="1" t="str">
        <f t="shared" si="21"/>
        <v>laura.martinez145@mail.com</v>
      </c>
      <c r="Y499" s="1" t="str">
        <f>INDEX(V:V,MATCH(orders_desnormalizado_prueba3[[#This Row],[acquisition_channel]],U:U,0))</f>
        <v>Bodega Propia CO - envio 2-3 dias</v>
      </c>
      <c r="Z499" s="1" t="str">
        <f>INDEX(T:T,MATCH(orders_desnormalizado_prueba3[[#This Row],[shipping_cost]],W:W,0))</f>
        <v>Colombia</v>
      </c>
      <c r="AA499" s="1" t="str">
        <f t="shared" si="22"/>
        <v>Cartagena</v>
      </c>
      <c r="AB499" s="1"/>
      <c r="AC499" s="1" t="str">
        <f t="shared" si="23"/>
        <v xml:space="preserve"> </v>
      </c>
    </row>
    <row r="500" spans="1:29" x14ac:dyDescent="0.3">
      <c r="A500" s="1" t="s">
        <v>1245</v>
      </c>
      <c r="B500">
        <v>3</v>
      </c>
      <c r="C500">
        <v>27.99</v>
      </c>
      <c r="D500">
        <v>66.67</v>
      </c>
      <c r="E500" s="1" t="s">
        <v>1246</v>
      </c>
      <c r="F500" s="1" t="s">
        <v>40</v>
      </c>
      <c r="G500">
        <v>3</v>
      </c>
      <c r="H500" s="1" t="s">
        <v>96</v>
      </c>
      <c r="I500" s="1" t="s">
        <v>75</v>
      </c>
      <c r="J500">
        <v>9</v>
      </c>
      <c r="K500">
        <v>27.99</v>
      </c>
      <c r="L500" s="1" t="s">
        <v>28</v>
      </c>
      <c r="M500" s="1" t="s">
        <v>61</v>
      </c>
      <c r="N500" s="1" t="s">
        <v>62</v>
      </c>
      <c r="O500" s="1" t="s">
        <v>31</v>
      </c>
      <c r="P500" s="2">
        <v>45726</v>
      </c>
      <c r="Q500" s="1" t="s">
        <v>909</v>
      </c>
      <c r="R500" s="1" t="s">
        <v>1247</v>
      </c>
      <c r="S500" s="1" t="s">
        <v>88</v>
      </c>
      <c r="T500" s="1" t="s">
        <v>35</v>
      </c>
      <c r="U500" s="1" t="s">
        <v>55</v>
      </c>
      <c r="V500" s="1" t="s">
        <v>37</v>
      </c>
      <c r="W500">
        <v>2</v>
      </c>
      <c r="X500" s="1" t="str">
        <f t="shared" si="21"/>
        <v>juan.hernandez64@mail.com</v>
      </c>
      <c r="Y500" s="1" t="str">
        <f>INDEX(V:V,MATCH(orders_desnormalizado_prueba3[[#This Row],[acquisition_channel]],U:U,0))</f>
        <v>Bodega Propia CO - envio 2-3 dias</v>
      </c>
      <c r="Z500" s="1" t="str">
        <f>INDEX(T:T,MATCH(orders_desnormalizado_prueba3[[#This Row],[shipping_cost]],W:W,0))</f>
        <v>Colombia</v>
      </c>
      <c r="AA500" s="1" t="str">
        <f t="shared" si="22"/>
        <v>Barranquilla</v>
      </c>
      <c r="AB500" s="1"/>
      <c r="AC500" s="1" t="str">
        <f t="shared" si="23"/>
        <v xml:space="preserve"> </v>
      </c>
    </row>
    <row r="501" spans="1:29" x14ac:dyDescent="0.3">
      <c r="A501" s="1" t="s">
        <v>1248</v>
      </c>
      <c r="B501">
        <v>2</v>
      </c>
      <c r="C501">
        <v>16.989999999999998</v>
      </c>
      <c r="D501">
        <v>29.3</v>
      </c>
      <c r="E501" s="1" t="s">
        <v>1249</v>
      </c>
      <c r="F501" s="1" t="s">
        <v>40</v>
      </c>
      <c r="G501">
        <v>18</v>
      </c>
      <c r="H501" s="1" t="s">
        <v>26</v>
      </c>
      <c r="I501" s="1" t="s">
        <v>59</v>
      </c>
      <c r="J501">
        <v>5</v>
      </c>
      <c r="K501">
        <v>16.989999999999998</v>
      </c>
      <c r="L501" s="1" t="s">
        <v>60</v>
      </c>
      <c r="M501" s="1" t="s">
        <v>61</v>
      </c>
      <c r="N501" s="1" t="s">
        <v>62</v>
      </c>
      <c r="O501" s="1" t="s">
        <v>31</v>
      </c>
      <c r="P501" s="2">
        <v>45726</v>
      </c>
      <c r="Q501" s="1" t="s">
        <v>437</v>
      </c>
      <c r="R501" s="1" t="s">
        <v>1045</v>
      </c>
      <c r="S501" s="1" t="s">
        <v>34</v>
      </c>
      <c r="T501" s="1" t="s">
        <v>35</v>
      </c>
      <c r="U501" s="1" t="s">
        <v>66</v>
      </c>
      <c r="V501" s="1" t="s">
        <v>67</v>
      </c>
      <c r="W501">
        <v>3</v>
      </c>
      <c r="X501" s="1" t="str">
        <f t="shared" si="21"/>
        <v>valentina.castro119@mail.com</v>
      </c>
      <c r="Y501" s="1" t="str">
        <f>INDEX(V:V,MATCH(orders_desnormalizado_prueba3[[#This Row],[acquisition_channel]],U:U,0))</f>
        <v>AliDropship CN - envio 15-20 dias</v>
      </c>
      <c r="Z501" s="1" t="str">
        <f>INDEX(T:T,MATCH(orders_desnormalizado_prueba3[[#This Row],[shipping_cost]],W:W,0))</f>
        <v>Colombia</v>
      </c>
      <c r="AA501" s="1" t="str">
        <f t="shared" si="22"/>
        <v>Medellin</v>
      </c>
      <c r="AB501" s="1"/>
      <c r="AC501" s="1" t="str">
        <f t="shared" si="23"/>
        <v xml:space="preserve"> </v>
      </c>
    </row>
    <row r="502" spans="1:29" x14ac:dyDescent="0.3">
      <c r="A502" s="1" t="s">
        <v>1250</v>
      </c>
      <c r="B502">
        <v>2</v>
      </c>
      <c r="C502">
        <v>34.99</v>
      </c>
      <c r="D502">
        <v>60.06</v>
      </c>
      <c r="E502" s="1" t="s">
        <v>260</v>
      </c>
      <c r="F502" s="1" t="s">
        <v>51</v>
      </c>
      <c r="G502">
        <v>0</v>
      </c>
      <c r="H502" s="1" t="s">
        <v>41</v>
      </c>
      <c r="I502" s="1" t="s">
        <v>85</v>
      </c>
      <c r="J502">
        <v>12.5</v>
      </c>
      <c r="K502">
        <v>34.99</v>
      </c>
      <c r="L502" s="1" t="s">
        <v>60</v>
      </c>
      <c r="M502" s="1" t="s">
        <v>29</v>
      </c>
      <c r="N502" s="1" t="s">
        <v>30</v>
      </c>
      <c r="O502" s="1" t="s">
        <v>31</v>
      </c>
      <c r="P502" s="2">
        <v>45778</v>
      </c>
      <c r="Q502" s="1" t="s">
        <v>930</v>
      </c>
      <c r="R502" s="1" t="s">
        <v>1251</v>
      </c>
      <c r="S502" s="1" t="s">
        <v>47</v>
      </c>
      <c r="T502" s="1" t="s">
        <v>35</v>
      </c>
      <c r="U502" s="1" t="s">
        <v>66</v>
      </c>
      <c r="V502" s="1" t="s">
        <v>89</v>
      </c>
      <c r="W502">
        <v>2.4</v>
      </c>
      <c r="X502" s="1" t="str">
        <f t="shared" si="21"/>
        <v>fernanda.vargas118@mail.com</v>
      </c>
      <c r="Y502" s="1" t="str">
        <f>INDEX(V:V,MATCH(orders_desnormalizado_prueba3[[#This Row],[acquisition_channel]],U:U,0))</f>
        <v>AliDropship CN - envio 15-20 dias</v>
      </c>
      <c r="Z502" s="1" t="str">
        <f>INDEX(T:T,MATCH(orders_desnormalizado_prueba3[[#This Row],[shipping_cost]],W:W,0))</f>
        <v>Colombia</v>
      </c>
      <c r="AA502" s="1" t="str">
        <f t="shared" si="22"/>
        <v>Cartagena</v>
      </c>
      <c r="AB502" s="1"/>
      <c r="AC502" s="1" t="str">
        <f t="shared" si="23"/>
        <v xml:space="preserve"> </v>
      </c>
    </row>
    <row r="503" spans="1:29" x14ac:dyDescent="0.3">
      <c r="A503" s="1" t="s">
        <v>1252</v>
      </c>
      <c r="B503">
        <v>1</v>
      </c>
      <c r="C503">
        <v>16.989999999999998</v>
      </c>
      <c r="D503">
        <v>16.989999999999998</v>
      </c>
      <c r="E503" s="1" t="s">
        <v>1240</v>
      </c>
      <c r="F503" s="1" t="s">
        <v>40</v>
      </c>
      <c r="G503">
        <v>15</v>
      </c>
      <c r="H503" s="1" t="s">
        <v>96</v>
      </c>
      <c r="I503" s="1" t="s">
        <v>59</v>
      </c>
      <c r="J503">
        <v>5</v>
      </c>
      <c r="K503">
        <v>16.989999999999998</v>
      </c>
      <c r="L503" s="1" t="s">
        <v>60</v>
      </c>
      <c r="M503" s="1" t="s">
        <v>61</v>
      </c>
      <c r="N503" s="1" t="s">
        <v>62</v>
      </c>
      <c r="O503" s="1" t="s">
        <v>31</v>
      </c>
      <c r="P503" s="2">
        <v>45726</v>
      </c>
      <c r="Q503" s="1" t="s">
        <v>1253</v>
      </c>
      <c r="R503" s="1" t="s">
        <v>1254</v>
      </c>
      <c r="S503" s="1" t="s">
        <v>105</v>
      </c>
      <c r="T503" s="1" t="s">
        <v>35</v>
      </c>
      <c r="U503" s="1" t="s">
        <v>66</v>
      </c>
      <c r="V503" s="1" t="s">
        <v>67</v>
      </c>
      <c r="W503">
        <v>3</v>
      </c>
      <c r="X503" s="1" t="str">
        <f t="shared" si="21"/>
        <v>sofia.ortiz121@mail.com</v>
      </c>
      <c r="Y503" s="1" t="str">
        <f>INDEX(V:V,MATCH(orders_desnormalizado_prueba3[[#This Row],[acquisition_channel]],U:U,0))</f>
        <v>AliDropship CN - envio 15-20 dias</v>
      </c>
      <c r="Z503" s="1" t="str">
        <f>INDEX(T:T,MATCH(orders_desnormalizado_prueba3[[#This Row],[shipping_cost]],W:W,0))</f>
        <v>Colombia</v>
      </c>
      <c r="AA503" s="1" t="str">
        <f t="shared" si="22"/>
        <v>Barranquilla</v>
      </c>
      <c r="AB503" s="1"/>
      <c r="AC503" s="1" t="str">
        <f t="shared" si="23"/>
        <v xml:space="preserve"> </v>
      </c>
    </row>
    <row r="504" spans="1:29" x14ac:dyDescent="0.3">
      <c r="A504" s="1" t="s">
        <v>1255</v>
      </c>
      <c r="B504">
        <v>1</v>
      </c>
      <c r="C504">
        <v>34.99</v>
      </c>
      <c r="D504">
        <v>34.99</v>
      </c>
      <c r="E504" s="1" t="s">
        <v>156</v>
      </c>
      <c r="F504" s="1" t="s">
        <v>25</v>
      </c>
      <c r="G504">
        <v>7</v>
      </c>
      <c r="H504" s="1" t="s">
        <v>26</v>
      </c>
      <c r="I504" s="1" t="s">
        <v>85</v>
      </c>
      <c r="J504">
        <v>12.5</v>
      </c>
      <c r="K504">
        <v>34.99</v>
      </c>
      <c r="L504" s="1" t="s">
        <v>60</v>
      </c>
      <c r="M504" s="1" t="s">
        <v>29</v>
      </c>
      <c r="N504" s="1" t="s">
        <v>30</v>
      </c>
      <c r="O504" s="1" t="s">
        <v>31</v>
      </c>
      <c r="P504" s="2">
        <v>45778</v>
      </c>
      <c r="Q504" s="1" t="s">
        <v>1256</v>
      </c>
      <c r="R504" s="1" t="s">
        <v>1257</v>
      </c>
      <c r="S504" s="1" t="s">
        <v>47</v>
      </c>
      <c r="T504" s="1" t="s">
        <v>35</v>
      </c>
      <c r="U504" s="1" t="s">
        <v>82</v>
      </c>
      <c r="V504" s="1" t="s">
        <v>89</v>
      </c>
      <c r="W504">
        <v>2.4</v>
      </c>
      <c r="X504" s="1" t="str">
        <f t="shared" si="21"/>
        <v>antonia.diaz128@mail.com</v>
      </c>
      <c r="Y504" s="1" t="str">
        <f>INDEX(V:V,MATCH(orders_desnormalizado_prueba3[[#This Row],[acquisition_channel]],U:U,0))</f>
        <v>Bodega Propia CO - envio 2-3 dias</v>
      </c>
      <c r="Z504" s="1" t="str">
        <f>INDEX(T:T,MATCH(orders_desnormalizado_prueba3[[#This Row],[shipping_cost]],W:W,0))</f>
        <v>Colombia</v>
      </c>
      <c r="AA504" s="1" t="str">
        <f t="shared" si="22"/>
        <v>Bogota</v>
      </c>
      <c r="AB504" s="1"/>
      <c r="AC504" s="1" t="str">
        <f t="shared" si="23"/>
        <v xml:space="preserve"> </v>
      </c>
    </row>
    <row r="505" spans="1:29" x14ac:dyDescent="0.3">
      <c r="A505" s="1" t="s">
        <v>1258</v>
      </c>
      <c r="B505">
        <v>3</v>
      </c>
      <c r="C505">
        <v>34.99</v>
      </c>
      <c r="D505">
        <v>84.73</v>
      </c>
      <c r="E505" s="1" t="s">
        <v>1093</v>
      </c>
      <c r="F505" s="1" t="s">
        <v>40</v>
      </c>
      <c r="G505">
        <v>5</v>
      </c>
      <c r="H505" s="1" t="s">
        <v>26</v>
      </c>
      <c r="I505" s="1" t="s">
        <v>85</v>
      </c>
      <c r="J505">
        <v>12.5</v>
      </c>
      <c r="K505">
        <v>34.99</v>
      </c>
      <c r="L505" s="1" t="s">
        <v>60</v>
      </c>
      <c r="M505" s="1" t="s">
        <v>29</v>
      </c>
      <c r="N505" s="1" t="s">
        <v>30</v>
      </c>
      <c r="O505" s="1" t="s">
        <v>31</v>
      </c>
      <c r="P505" s="2">
        <v>45778</v>
      </c>
      <c r="Q505" s="1" t="s">
        <v>182</v>
      </c>
      <c r="R505" s="1" t="s">
        <v>754</v>
      </c>
      <c r="S505" s="1" t="s">
        <v>65</v>
      </c>
      <c r="T505" s="1" t="s">
        <v>35</v>
      </c>
      <c r="U505" s="1" t="s">
        <v>36</v>
      </c>
      <c r="V505" s="1" t="s">
        <v>89</v>
      </c>
      <c r="W505">
        <v>2.4</v>
      </c>
      <c r="X505" s="1" t="str">
        <f t="shared" si="21"/>
        <v>daniela.gomez75@mail.com</v>
      </c>
      <c r="Y505" s="1" t="str">
        <f>INDEX(V:V,MATCH(orders_desnormalizado_prueba3[[#This Row],[acquisition_channel]],U:U,0))</f>
        <v>Bodega Propia CO - envio 2-3 dias</v>
      </c>
      <c r="Z505" s="1" t="str">
        <f>INDEX(T:T,MATCH(orders_desnormalizado_prueba3[[#This Row],[shipping_cost]],W:W,0))</f>
        <v>Colombia</v>
      </c>
      <c r="AA505" s="1" t="str">
        <f t="shared" si="22"/>
        <v>Cali</v>
      </c>
      <c r="AB505" s="1"/>
      <c r="AC505" s="1" t="str">
        <f t="shared" si="23"/>
        <v xml:space="preserve"> </v>
      </c>
    </row>
    <row r="506" spans="1:29" x14ac:dyDescent="0.3">
      <c r="A506" s="1" t="s">
        <v>1259</v>
      </c>
      <c r="B506">
        <v>3</v>
      </c>
      <c r="C506">
        <v>34.99</v>
      </c>
      <c r="D506">
        <v>84.13</v>
      </c>
      <c r="E506" s="1" t="s">
        <v>121</v>
      </c>
      <c r="F506" s="1" t="s">
        <v>40</v>
      </c>
      <c r="G506">
        <v>8</v>
      </c>
      <c r="H506" s="1" t="s">
        <v>41</v>
      </c>
      <c r="I506" s="1" t="s">
        <v>85</v>
      </c>
      <c r="J506">
        <v>12.5</v>
      </c>
      <c r="K506">
        <v>34.99</v>
      </c>
      <c r="L506" s="1" t="s">
        <v>60</v>
      </c>
      <c r="M506" s="1" t="s">
        <v>29</v>
      </c>
      <c r="N506" s="1" t="s">
        <v>30</v>
      </c>
      <c r="O506" s="1" t="s">
        <v>31</v>
      </c>
      <c r="P506" s="2">
        <v>45778</v>
      </c>
      <c r="Q506" s="1" t="s">
        <v>1260</v>
      </c>
      <c r="R506" s="1" t="s">
        <v>1261</v>
      </c>
      <c r="S506" s="1" t="s">
        <v>105</v>
      </c>
      <c r="T506" s="1" t="s">
        <v>35</v>
      </c>
      <c r="U506" s="1" t="s">
        <v>82</v>
      </c>
      <c r="V506" s="1" t="s">
        <v>89</v>
      </c>
      <c r="W506">
        <v>2.4</v>
      </c>
      <c r="X506" s="1" t="str">
        <f t="shared" si="21"/>
        <v>ximena.perez20@mail.com</v>
      </c>
      <c r="Y506" s="1" t="str">
        <f>INDEX(V:V,MATCH(orders_desnormalizado_prueba3[[#This Row],[acquisition_channel]],U:U,0))</f>
        <v>Bodega Propia CO - envio 2-3 dias</v>
      </c>
      <c r="Z506" s="1" t="str">
        <f>INDEX(T:T,MATCH(orders_desnormalizado_prueba3[[#This Row],[shipping_cost]],W:W,0))</f>
        <v>Colombia</v>
      </c>
      <c r="AA506" s="1" t="str">
        <f t="shared" si="22"/>
        <v>Barranquilla</v>
      </c>
      <c r="AB506" s="1"/>
      <c r="AC506" s="1" t="str">
        <f t="shared" si="23"/>
        <v xml:space="preserve"> </v>
      </c>
    </row>
    <row r="507" spans="1:29" x14ac:dyDescent="0.3">
      <c r="A507" s="1" t="s">
        <v>1262</v>
      </c>
      <c r="B507">
        <v>1</v>
      </c>
      <c r="C507">
        <v>18.989999999999998</v>
      </c>
      <c r="D507">
        <v>18.989999999999998</v>
      </c>
      <c r="E507" s="1" t="s">
        <v>1122</v>
      </c>
      <c r="F507" s="1" t="s">
        <v>40</v>
      </c>
      <c r="G507">
        <v>11</v>
      </c>
      <c r="H507" s="1" t="s">
        <v>26</v>
      </c>
      <c r="I507" s="1" t="s">
        <v>97</v>
      </c>
      <c r="J507">
        <v>6</v>
      </c>
      <c r="K507">
        <v>18.989999999999998</v>
      </c>
      <c r="L507" s="1" t="s">
        <v>60</v>
      </c>
      <c r="M507" s="1" t="s">
        <v>43</v>
      </c>
      <c r="N507" s="1" t="s">
        <v>44</v>
      </c>
      <c r="O507" s="1" t="s">
        <v>31</v>
      </c>
      <c r="P507" s="2">
        <v>45823</v>
      </c>
      <c r="Q507" s="1" t="s">
        <v>732</v>
      </c>
      <c r="R507" s="1" t="s">
        <v>1263</v>
      </c>
      <c r="S507" s="1" t="s">
        <v>88</v>
      </c>
      <c r="T507" s="1" t="s">
        <v>35</v>
      </c>
      <c r="U507" s="1" t="s">
        <v>82</v>
      </c>
      <c r="V507" s="1" t="s">
        <v>100</v>
      </c>
      <c r="W507">
        <v>3.2</v>
      </c>
      <c r="X507" s="1" t="str">
        <f t="shared" si="21"/>
        <v>ximena.martinez177@mail.com</v>
      </c>
      <c r="Y507" s="1" t="str">
        <f>INDEX(V:V,MATCH(orders_desnormalizado_prueba3[[#This Row],[acquisition_channel]],U:U,0))</f>
        <v>Bodega Propia CO - envio 2-3 dias</v>
      </c>
      <c r="Z507" s="1" t="str">
        <f>INDEX(T:T,MATCH(orders_desnormalizado_prueba3[[#This Row],[shipping_cost]],W:W,0))</f>
        <v>Colombia</v>
      </c>
      <c r="AA507" s="1" t="str">
        <f t="shared" si="22"/>
        <v>Cali</v>
      </c>
      <c r="AB507" s="1"/>
      <c r="AC507" s="1" t="str">
        <f t="shared" si="23"/>
        <v xml:space="preserve"> </v>
      </c>
    </row>
    <row r="508" spans="1:29" x14ac:dyDescent="0.3">
      <c r="A508" s="1" t="s">
        <v>1264</v>
      </c>
      <c r="B508">
        <v>1</v>
      </c>
      <c r="C508">
        <v>30.99</v>
      </c>
      <c r="D508">
        <v>30.99</v>
      </c>
      <c r="E508" s="1" t="s">
        <v>868</v>
      </c>
      <c r="F508" s="1" t="s">
        <v>25</v>
      </c>
      <c r="G508">
        <v>5</v>
      </c>
      <c r="H508" s="1" t="s">
        <v>26</v>
      </c>
      <c r="I508" s="1" t="s">
        <v>42</v>
      </c>
      <c r="J508">
        <v>10.5</v>
      </c>
      <c r="K508">
        <v>30.99</v>
      </c>
      <c r="L508" s="1" t="s">
        <v>28</v>
      </c>
      <c r="M508" s="1" t="s">
        <v>43</v>
      </c>
      <c r="N508" s="1" t="s">
        <v>44</v>
      </c>
      <c r="O508" s="1" t="s">
        <v>31</v>
      </c>
      <c r="P508" s="2">
        <v>45823</v>
      </c>
      <c r="Q508" s="1" t="s">
        <v>1150</v>
      </c>
      <c r="R508" s="1" t="s">
        <v>1151</v>
      </c>
      <c r="S508" s="1" t="s">
        <v>34</v>
      </c>
      <c r="T508" s="1" t="s">
        <v>35</v>
      </c>
      <c r="U508" s="1" t="s">
        <v>55</v>
      </c>
      <c r="V508" s="1" t="s">
        <v>37</v>
      </c>
      <c r="W508">
        <v>2</v>
      </c>
      <c r="X508" s="1" t="str">
        <f t="shared" si="21"/>
        <v>isabella.gomez32@mail.com</v>
      </c>
      <c r="Y508" s="1" t="str">
        <f>INDEX(V:V,MATCH(orders_desnormalizado_prueba3[[#This Row],[acquisition_channel]],U:U,0))</f>
        <v>Bodega Propia CO - envio 2-3 dias</v>
      </c>
      <c r="Z508" s="1" t="str">
        <f>INDEX(T:T,MATCH(orders_desnormalizado_prueba3[[#This Row],[shipping_cost]],W:W,0))</f>
        <v>Colombia</v>
      </c>
      <c r="AA508" s="1" t="str">
        <f t="shared" si="22"/>
        <v>Cali</v>
      </c>
      <c r="AB508" s="1"/>
      <c r="AC508" s="1" t="str">
        <f t="shared" si="23"/>
        <v xml:space="preserve"> </v>
      </c>
    </row>
    <row r="509" spans="1:29" x14ac:dyDescent="0.3">
      <c r="A509" s="1" t="s">
        <v>1265</v>
      </c>
      <c r="B509">
        <v>1</v>
      </c>
      <c r="C509">
        <v>16.989999999999998</v>
      </c>
      <c r="D509">
        <v>16.989999999999998</v>
      </c>
      <c r="E509" s="1" t="s">
        <v>1266</v>
      </c>
      <c r="F509" s="1" t="s">
        <v>40</v>
      </c>
      <c r="G509">
        <v>15</v>
      </c>
      <c r="H509" s="1" t="s">
        <v>58</v>
      </c>
      <c r="I509" s="1" t="s">
        <v>59</v>
      </c>
      <c r="J509">
        <v>5</v>
      </c>
      <c r="K509">
        <v>16.989999999999998</v>
      </c>
      <c r="L509" s="1" t="s">
        <v>60</v>
      </c>
      <c r="M509" s="1" t="s">
        <v>61</v>
      </c>
      <c r="N509" s="1" t="s">
        <v>62</v>
      </c>
      <c r="O509" s="1" t="s">
        <v>31</v>
      </c>
      <c r="P509" s="2">
        <v>45726</v>
      </c>
      <c r="Q509" s="1" t="s">
        <v>873</v>
      </c>
      <c r="R509" s="1" t="s">
        <v>874</v>
      </c>
      <c r="S509" s="1" t="s">
        <v>105</v>
      </c>
      <c r="T509" s="1" t="s">
        <v>35</v>
      </c>
      <c r="U509" s="1" t="s">
        <v>48</v>
      </c>
      <c r="V509" s="1" t="s">
        <v>67</v>
      </c>
      <c r="W509">
        <v>3</v>
      </c>
      <c r="X509" s="1" t="str">
        <f t="shared" si="21"/>
        <v>fernanda.sanchez183@mail.com</v>
      </c>
      <c r="Y509" s="1" t="str">
        <f>INDEX(V:V,MATCH(orders_desnormalizado_prueba3[[#This Row],[acquisition_channel]],U:U,0))</f>
        <v>Bodega Propia CO - envio 2-3 dias</v>
      </c>
      <c r="Z509" s="1" t="str">
        <f>INDEX(T:T,MATCH(orders_desnormalizado_prueba3[[#This Row],[shipping_cost]],W:W,0))</f>
        <v>Colombia</v>
      </c>
      <c r="AA509" s="1" t="str">
        <f t="shared" si="22"/>
        <v>Barranquilla</v>
      </c>
      <c r="AB509" s="1"/>
      <c r="AC509" s="1" t="str">
        <f t="shared" si="23"/>
        <v xml:space="preserve"> </v>
      </c>
    </row>
    <row r="510" spans="1:29" x14ac:dyDescent="0.3">
      <c r="A510" s="1" t="s">
        <v>1267</v>
      </c>
      <c r="B510">
        <v>1</v>
      </c>
      <c r="C510">
        <v>16.989999999999998</v>
      </c>
      <c r="D510">
        <v>16.989999999999998</v>
      </c>
      <c r="E510" s="1" t="s">
        <v>1268</v>
      </c>
      <c r="F510" s="1" t="s">
        <v>51</v>
      </c>
      <c r="G510">
        <v>0</v>
      </c>
      <c r="H510" s="1" t="s">
        <v>41</v>
      </c>
      <c r="I510" s="1" t="s">
        <v>59</v>
      </c>
      <c r="J510">
        <v>5</v>
      </c>
      <c r="K510">
        <v>16.989999999999998</v>
      </c>
      <c r="L510" s="1" t="s">
        <v>60</v>
      </c>
      <c r="M510" s="1" t="s">
        <v>61</v>
      </c>
      <c r="N510" s="1" t="s">
        <v>62</v>
      </c>
      <c r="O510" s="1" t="s">
        <v>31</v>
      </c>
      <c r="P510" s="2">
        <v>45726</v>
      </c>
      <c r="Q510" s="1" t="s">
        <v>930</v>
      </c>
      <c r="R510" s="1" t="s">
        <v>1251</v>
      </c>
      <c r="S510" s="1" t="s">
        <v>47</v>
      </c>
      <c r="T510" s="1" t="s">
        <v>35</v>
      </c>
      <c r="U510" s="1" t="s">
        <v>66</v>
      </c>
      <c r="V510" s="1" t="s">
        <v>67</v>
      </c>
      <c r="W510">
        <v>3</v>
      </c>
      <c r="X510" s="1" t="str">
        <f t="shared" si="21"/>
        <v>fernanda.vargas118@mail.com</v>
      </c>
      <c r="Y510" s="1" t="str">
        <f>INDEX(V:V,MATCH(orders_desnormalizado_prueba3[[#This Row],[acquisition_channel]],U:U,0))</f>
        <v>AliDropship CN - envio 15-20 dias</v>
      </c>
      <c r="Z510" s="1" t="str">
        <f>INDEX(T:T,MATCH(orders_desnormalizado_prueba3[[#This Row],[shipping_cost]],W:W,0))</f>
        <v>Colombia</v>
      </c>
      <c r="AA510" s="1" t="str">
        <f t="shared" si="22"/>
        <v>Cartagena</v>
      </c>
      <c r="AB510" s="1"/>
      <c r="AC510" s="1" t="str">
        <f t="shared" si="23"/>
        <v xml:space="preserve"> </v>
      </c>
    </row>
    <row r="511" spans="1:29" x14ac:dyDescent="0.3">
      <c r="A511" s="1" t="s">
        <v>1269</v>
      </c>
      <c r="B511">
        <v>1</v>
      </c>
      <c r="C511">
        <v>34.99</v>
      </c>
      <c r="D511">
        <v>34.99</v>
      </c>
      <c r="E511" s="1" t="s">
        <v>1111</v>
      </c>
      <c r="F511" s="1" t="s">
        <v>51</v>
      </c>
      <c r="G511">
        <v>0</v>
      </c>
      <c r="H511" s="1" t="s">
        <v>26</v>
      </c>
      <c r="I511" s="1" t="s">
        <v>85</v>
      </c>
      <c r="J511">
        <v>12.5</v>
      </c>
      <c r="K511">
        <v>34.99</v>
      </c>
      <c r="L511" s="1" t="s">
        <v>60</v>
      </c>
      <c r="M511" s="1" t="s">
        <v>29</v>
      </c>
      <c r="N511" s="1" t="s">
        <v>30</v>
      </c>
      <c r="O511" s="1" t="s">
        <v>31</v>
      </c>
      <c r="P511" s="2">
        <v>45778</v>
      </c>
      <c r="Q511" s="1" t="s">
        <v>689</v>
      </c>
      <c r="R511" s="1" t="s">
        <v>766</v>
      </c>
      <c r="S511" s="1" t="s">
        <v>105</v>
      </c>
      <c r="T511" s="1" t="s">
        <v>35</v>
      </c>
      <c r="U511" s="1" t="s">
        <v>48</v>
      </c>
      <c r="V511" s="1" t="s">
        <v>89</v>
      </c>
      <c r="W511">
        <v>2.4</v>
      </c>
      <c r="X511" s="1" t="str">
        <f t="shared" si="21"/>
        <v>mateo.martinez177@mail.com</v>
      </c>
      <c r="Y511" s="1" t="str">
        <f>INDEX(V:V,MATCH(orders_desnormalizado_prueba3[[#This Row],[acquisition_channel]],U:U,0))</f>
        <v>Bodega Propia CO - envio 2-3 dias</v>
      </c>
      <c r="Z511" s="1" t="str">
        <f>INDEX(T:T,MATCH(orders_desnormalizado_prueba3[[#This Row],[shipping_cost]],W:W,0))</f>
        <v>Colombia</v>
      </c>
      <c r="AA511" s="1" t="str">
        <f t="shared" si="22"/>
        <v>Cartagena</v>
      </c>
      <c r="AB511" s="1"/>
      <c r="AC511" s="1" t="str">
        <f t="shared" si="23"/>
        <v xml:space="preserve"> </v>
      </c>
    </row>
    <row r="512" spans="1:29" x14ac:dyDescent="0.3">
      <c r="A512" s="1" t="s">
        <v>1270</v>
      </c>
      <c r="B512">
        <v>1</v>
      </c>
      <c r="C512">
        <v>30.99</v>
      </c>
      <c r="D512">
        <v>30.99</v>
      </c>
      <c r="E512" s="1" t="s">
        <v>1271</v>
      </c>
      <c r="F512" s="1" t="s">
        <v>40</v>
      </c>
      <c r="G512">
        <v>6</v>
      </c>
      <c r="H512" s="1" t="s">
        <v>26</v>
      </c>
      <c r="I512" s="1" t="s">
        <v>42</v>
      </c>
      <c r="J512">
        <v>10.5</v>
      </c>
      <c r="K512">
        <v>30.99</v>
      </c>
      <c r="L512" s="1" t="s">
        <v>28</v>
      </c>
      <c r="M512" s="1" t="s">
        <v>43</v>
      </c>
      <c r="N512" s="1" t="s">
        <v>44</v>
      </c>
      <c r="O512" s="1" t="s">
        <v>31</v>
      </c>
      <c r="P512" s="2">
        <v>45823</v>
      </c>
      <c r="Q512" s="1" t="s">
        <v>1272</v>
      </c>
      <c r="R512" s="1" t="s">
        <v>1273</v>
      </c>
      <c r="S512" s="1" t="s">
        <v>88</v>
      </c>
      <c r="T512" s="1" t="s">
        <v>35</v>
      </c>
      <c r="U512" s="1" t="s">
        <v>48</v>
      </c>
      <c r="V512" s="1" t="s">
        <v>37</v>
      </c>
      <c r="W512">
        <v>2</v>
      </c>
      <c r="X512" s="1" t="str">
        <f t="shared" si="21"/>
        <v>natalia.torres177@mail.com</v>
      </c>
      <c r="Y512" s="1" t="str">
        <f>INDEX(V:V,MATCH(orders_desnormalizado_prueba3[[#This Row],[acquisition_channel]],U:U,0))</f>
        <v>Bodega Propia CO - envio 2-3 dias</v>
      </c>
      <c r="Z512" s="1" t="str">
        <f>INDEX(T:T,MATCH(orders_desnormalizado_prueba3[[#This Row],[shipping_cost]],W:W,0))</f>
        <v>Colombia</v>
      </c>
      <c r="AA512" s="1" t="str">
        <f t="shared" si="22"/>
        <v>Medellin</v>
      </c>
      <c r="AB512" s="1"/>
      <c r="AC512" s="1" t="str">
        <f t="shared" si="23"/>
        <v xml:space="preserve"> </v>
      </c>
    </row>
    <row r="513" spans="1:29" x14ac:dyDescent="0.3">
      <c r="A513" s="1" t="s">
        <v>1274</v>
      </c>
      <c r="B513">
        <v>1</v>
      </c>
      <c r="C513">
        <v>18.989999999999998</v>
      </c>
      <c r="D513">
        <v>18.989999999999998</v>
      </c>
      <c r="E513" s="1" t="s">
        <v>964</v>
      </c>
      <c r="F513" s="1" t="s">
        <v>40</v>
      </c>
      <c r="G513">
        <v>11</v>
      </c>
      <c r="H513" s="1" t="s">
        <v>26</v>
      </c>
      <c r="I513" s="1" t="s">
        <v>97</v>
      </c>
      <c r="J513">
        <v>6</v>
      </c>
      <c r="K513">
        <v>18.989999999999998</v>
      </c>
      <c r="L513" s="1" t="s">
        <v>60</v>
      </c>
      <c r="M513" s="1" t="s">
        <v>43</v>
      </c>
      <c r="N513" s="1" t="s">
        <v>44</v>
      </c>
      <c r="O513" s="1" t="s">
        <v>31</v>
      </c>
      <c r="P513" s="2">
        <v>45823</v>
      </c>
      <c r="Q513" s="1" t="s">
        <v>1275</v>
      </c>
      <c r="R513" s="1" t="s">
        <v>1276</v>
      </c>
      <c r="S513" s="1" t="s">
        <v>47</v>
      </c>
      <c r="T513" s="1" t="s">
        <v>35</v>
      </c>
      <c r="U513" s="1" t="s">
        <v>66</v>
      </c>
      <c r="V513" s="1" t="s">
        <v>100</v>
      </c>
      <c r="W513">
        <v>3.2</v>
      </c>
      <c r="X513" s="1" t="str">
        <f t="shared" si="21"/>
        <v>laura.ramirez173@mail.com</v>
      </c>
      <c r="Y513" s="1" t="str">
        <f>INDEX(V:V,MATCH(orders_desnormalizado_prueba3[[#This Row],[acquisition_channel]],U:U,0))</f>
        <v>AliDropship CN - envio 15-20 dias</v>
      </c>
      <c r="Z513" s="1" t="str">
        <f>INDEX(T:T,MATCH(orders_desnormalizado_prueba3[[#This Row],[shipping_cost]],W:W,0))</f>
        <v>Colombia</v>
      </c>
      <c r="AA513" s="1" t="str">
        <f t="shared" si="22"/>
        <v>Cali</v>
      </c>
      <c r="AB513" s="1"/>
      <c r="AC513" s="1" t="str">
        <f t="shared" si="23"/>
        <v xml:space="preserve"> </v>
      </c>
    </row>
    <row r="514" spans="1:29" x14ac:dyDescent="0.3">
      <c r="A514" s="1" t="s">
        <v>1277</v>
      </c>
      <c r="B514">
        <v>1</v>
      </c>
      <c r="C514">
        <v>27.99</v>
      </c>
      <c r="D514">
        <v>27.99</v>
      </c>
      <c r="E514" s="1" t="s">
        <v>146</v>
      </c>
      <c r="F514" s="1" t="s">
        <v>40</v>
      </c>
      <c r="G514">
        <v>3</v>
      </c>
      <c r="H514" s="1" t="s">
        <v>26</v>
      </c>
      <c r="I514" s="1" t="s">
        <v>75</v>
      </c>
      <c r="J514">
        <v>9</v>
      </c>
      <c r="K514">
        <v>27.99</v>
      </c>
      <c r="L514" s="1" t="s">
        <v>28</v>
      </c>
      <c r="M514" s="1" t="s">
        <v>61</v>
      </c>
      <c r="N514" s="1" t="s">
        <v>62</v>
      </c>
      <c r="O514" s="1" t="s">
        <v>31</v>
      </c>
      <c r="P514" s="2">
        <v>45726</v>
      </c>
      <c r="Q514" s="1" t="s">
        <v>137</v>
      </c>
      <c r="R514" s="1" t="s">
        <v>1278</v>
      </c>
      <c r="S514" s="1" t="s">
        <v>34</v>
      </c>
      <c r="T514" s="1" t="s">
        <v>35</v>
      </c>
      <c r="U514" s="1" t="s">
        <v>36</v>
      </c>
      <c r="V514" s="1" t="s">
        <v>37</v>
      </c>
      <c r="W514">
        <v>2</v>
      </c>
      <c r="X514" s="1" t="str">
        <f t="shared" ref="X514:X577" si="24">INDEX(R:R,MATCH(Q514,Q:Q,0))</f>
        <v>camila.martinez65@mail.com</v>
      </c>
      <c r="Y514" s="1" t="str">
        <f>INDEX(V:V,MATCH(orders_desnormalizado_prueba3[[#This Row],[acquisition_channel]],U:U,0))</f>
        <v>Bodega Propia CO - envio 2-3 dias</v>
      </c>
      <c r="Z514" s="1" t="str">
        <f>INDEX(T:T,MATCH(orders_desnormalizado_prueba3[[#This Row],[shipping_cost]],W:W,0))</f>
        <v>Colombia</v>
      </c>
      <c r="AA514" s="1" t="str">
        <f t="shared" ref="AA514:AA577" si="25">INDEX(S:S,MATCH(G514,G:G,0))</f>
        <v>Barranquilla</v>
      </c>
      <c r="AB514" s="1"/>
      <c r="AC514" s="1" t="str">
        <f t="shared" ref="AC514:AC577" si="26">IFERROR(INDEX($V:$V,MATCH(AB514,$R:$R,0)), " ")</f>
        <v xml:space="preserve"> </v>
      </c>
    </row>
    <row r="515" spans="1:29" x14ac:dyDescent="0.3">
      <c r="A515" s="1" t="s">
        <v>1279</v>
      </c>
      <c r="B515">
        <v>3</v>
      </c>
      <c r="C515">
        <v>16.989999999999998</v>
      </c>
      <c r="D515">
        <v>40.08</v>
      </c>
      <c r="E515" s="1" t="s">
        <v>107</v>
      </c>
      <c r="F515" s="1" t="s">
        <v>40</v>
      </c>
      <c r="G515">
        <v>17</v>
      </c>
      <c r="H515" s="1" t="s">
        <v>26</v>
      </c>
      <c r="I515" s="1" t="s">
        <v>59</v>
      </c>
      <c r="J515">
        <v>5</v>
      </c>
      <c r="K515">
        <v>16.989999999999998</v>
      </c>
      <c r="L515" s="1" t="s">
        <v>60</v>
      </c>
      <c r="M515" s="1" t="s">
        <v>61</v>
      </c>
      <c r="N515" s="1" t="s">
        <v>62</v>
      </c>
      <c r="O515" s="1" t="s">
        <v>31</v>
      </c>
      <c r="P515" s="2">
        <v>45726</v>
      </c>
      <c r="Q515" s="1" t="s">
        <v>71</v>
      </c>
      <c r="R515" s="1" t="s">
        <v>955</v>
      </c>
      <c r="S515" s="1" t="s">
        <v>65</v>
      </c>
      <c r="T515" s="1" t="s">
        <v>35</v>
      </c>
      <c r="U515" s="1" t="s">
        <v>82</v>
      </c>
      <c r="V515" s="1" t="s">
        <v>67</v>
      </c>
      <c r="W515">
        <v>3</v>
      </c>
      <c r="X515" s="1" t="str">
        <f t="shared" si="24"/>
        <v>diego.ramirez167@mail.com</v>
      </c>
      <c r="Y515" s="1" t="str">
        <f>INDEX(V:V,MATCH(orders_desnormalizado_prueba3[[#This Row],[acquisition_channel]],U:U,0))</f>
        <v>Bodega Propia CO - envio 2-3 dias</v>
      </c>
      <c r="Z515" s="1" t="str">
        <f>INDEX(T:T,MATCH(orders_desnormalizado_prueba3[[#This Row],[shipping_cost]],W:W,0))</f>
        <v>Colombia</v>
      </c>
      <c r="AA515" s="1" t="str">
        <f t="shared" si="25"/>
        <v>Barranquilla</v>
      </c>
      <c r="AB515" s="1"/>
      <c r="AC515" s="1" t="str">
        <f t="shared" si="26"/>
        <v xml:space="preserve"> </v>
      </c>
    </row>
    <row r="516" spans="1:29" x14ac:dyDescent="0.3">
      <c r="A516" s="1" t="s">
        <v>1280</v>
      </c>
      <c r="B516">
        <v>1</v>
      </c>
      <c r="C516">
        <v>21.99</v>
      </c>
      <c r="D516">
        <v>21.99</v>
      </c>
      <c r="E516" s="1" t="s">
        <v>1281</v>
      </c>
      <c r="F516" s="1" t="s">
        <v>40</v>
      </c>
      <c r="G516">
        <v>2</v>
      </c>
      <c r="H516" s="1" t="s">
        <v>41</v>
      </c>
      <c r="I516" s="1" t="s">
        <v>27</v>
      </c>
      <c r="J516">
        <v>7</v>
      </c>
      <c r="K516">
        <v>21.99</v>
      </c>
      <c r="L516" s="1" t="s">
        <v>28</v>
      </c>
      <c r="M516" s="1" t="s">
        <v>29</v>
      </c>
      <c r="N516" s="1" t="s">
        <v>30</v>
      </c>
      <c r="O516" s="1" t="s">
        <v>31</v>
      </c>
      <c r="P516" s="2">
        <v>45778</v>
      </c>
      <c r="Q516" s="1" t="s">
        <v>1282</v>
      </c>
      <c r="R516" s="1" t="s">
        <v>1283</v>
      </c>
      <c r="S516" s="1" t="s">
        <v>34</v>
      </c>
      <c r="T516" s="1" t="s">
        <v>35</v>
      </c>
      <c r="U516" s="1" t="s">
        <v>66</v>
      </c>
      <c r="V516" s="1" t="s">
        <v>37</v>
      </c>
      <c r="W516">
        <v>2</v>
      </c>
      <c r="X516" s="1" t="str">
        <f t="shared" si="24"/>
        <v>sebastian.jimenez110@mail.com</v>
      </c>
      <c r="Y516" s="1" t="str">
        <f>INDEX(V:V,MATCH(orders_desnormalizado_prueba3[[#This Row],[acquisition_channel]],U:U,0))</f>
        <v>AliDropship CN - envio 15-20 dias</v>
      </c>
      <c r="Z516" s="1" t="str">
        <f>INDEX(T:T,MATCH(orders_desnormalizado_prueba3[[#This Row],[shipping_cost]],W:W,0))</f>
        <v>Colombia</v>
      </c>
      <c r="AA516" s="1" t="str">
        <f t="shared" si="25"/>
        <v>Medellin</v>
      </c>
      <c r="AB516" s="1"/>
      <c r="AC516" s="1" t="str">
        <f t="shared" si="26"/>
        <v xml:space="preserve"> </v>
      </c>
    </row>
    <row r="517" spans="1:29" x14ac:dyDescent="0.3">
      <c r="A517" s="1" t="s">
        <v>1284</v>
      </c>
      <c r="B517">
        <v>1</v>
      </c>
      <c r="C517">
        <v>27.99</v>
      </c>
      <c r="D517">
        <v>27.99</v>
      </c>
      <c r="E517" s="1" t="s">
        <v>1285</v>
      </c>
      <c r="F517" s="1" t="s">
        <v>40</v>
      </c>
      <c r="G517">
        <v>2</v>
      </c>
      <c r="H517" s="1" t="s">
        <v>58</v>
      </c>
      <c r="I517" s="1" t="s">
        <v>75</v>
      </c>
      <c r="J517">
        <v>9</v>
      </c>
      <c r="K517">
        <v>27.99</v>
      </c>
      <c r="L517" s="1" t="s">
        <v>28</v>
      </c>
      <c r="M517" s="1" t="s">
        <v>61</v>
      </c>
      <c r="N517" s="1" t="s">
        <v>62</v>
      </c>
      <c r="O517" s="1" t="s">
        <v>31</v>
      </c>
      <c r="P517" s="2">
        <v>45726</v>
      </c>
      <c r="Q517" s="1" t="s">
        <v>1286</v>
      </c>
      <c r="R517" s="1" t="s">
        <v>1287</v>
      </c>
      <c r="S517" s="1" t="s">
        <v>47</v>
      </c>
      <c r="T517" s="1" t="s">
        <v>35</v>
      </c>
      <c r="U517" s="1" t="s">
        <v>66</v>
      </c>
      <c r="V517" s="1" t="s">
        <v>37</v>
      </c>
      <c r="W517">
        <v>2</v>
      </c>
      <c r="X517" s="1" t="str">
        <f t="shared" si="24"/>
        <v>nicolas.sanchez19@mail.com</v>
      </c>
      <c r="Y517" s="1" t="str">
        <f>INDEX(V:V,MATCH(orders_desnormalizado_prueba3[[#This Row],[acquisition_channel]],U:U,0))</f>
        <v>AliDropship CN - envio 15-20 dias</v>
      </c>
      <c r="Z517" s="1" t="str">
        <f>INDEX(T:T,MATCH(orders_desnormalizado_prueba3[[#This Row],[shipping_cost]],W:W,0))</f>
        <v>Colombia</v>
      </c>
      <c r="AA517" s="1" t="str">
        <f t="shared" si="25"/>
        <v>Medellin</v>
      </c>
      <c r="AB517" s="1"/>
      <c r="AC517" s="1" t="str">
        <f t="shared" si="26"/>
        <v xml:space="preserve"> </v>
      </c>
    </row>
    <row r="518" spans="1:29" x14ac:dyDescent="0.3">
      <c r="A518" s="1" t="s">
        <v>1288</v>
      </c>
      <c r="B518">
        <v>2</v>
      </c>
      <c r="C518">
        <v>34.99</v>
      </c>
      <c r="D518">
        <v>61.01</v>
      </c>
      <c r="E518" s="1" t="s">
        <v>1289</v>
      </c>
      <c r="F518" s="1" t="s">
        <v>40</v>
      </c>
      <c r="G518">
        <v>8</v>
      </c>
      <c r="H518" s="1" t="s">
        <v>26</v>
      </c>
      <c r="I518" s="1" t="s">
        <v>85</v>
      </c>
      <c r="J518">
        <v>12.5</v>
      </c>
      <c r="K518">
        <v>34.99</v>
      </c>
      <c r="L518" s="1" t="s">
        <v>60</v>
      </c>
      <c r="M518" s="1" t="s">
        <v>29</v>
      </c>
      <c r="N518" s="1" t="s">
        <v>30</v>
      </c>
      <c r="O518" s="1" t="s">
        <v>31</v>
      </c>
      <c r="P518" s="2">
        <v>45778</v>
      </c>
      <c r="Q518" s="1" t="s">
        <v>787</v>
      </c>
      <c r="R518" s="1" t="s">
        <v>788</v>
      </c>
      <c r="S518" s="1" t="s">
        <v>105</v>
      </c>
      <c r="T518" s="1" t="s">
        <v>35</v>
      </c>
      <c r="U518" s="1" t="s">
        <v>82</v>
      </c>
      <c r="V518" s="1" t="s">
        <v>89</v>
      </c>
      <c r="W518">
        <v>2.4</v>
      </c>
      <c r="X518" s="1" t="str">
        <f t="shared" si="24"/>
        <v>julian.moreno101@mail.com</v>
      </c>
      <c r="Y518" s="1" t="str">
        <f>INDEX(V:V,MATCH(orders_desnormalizado_prueba3[[#This Row],[acquisition_channel]],U:U,0))</f>
        <v>Bodega Propia CO - envio 2-3 dias</v>
      </c>
      <c r="Z518" s="1" t="str">
        <f>INDEX(T:T,MATCH(orders_desnormalizado_prueba3[[#This Row],[shipping_cost]],W:W,0))</f>
        <v>Colombia</v>
      </c>
      <c r="AA518" s="1" t="str">
        <f t="shared" si="25"/>
        <v>Barranquilla</v>
      </c>
      <c r="AB518" s="1"/>
      <c r="AC518" s="1" t="str">
        <f t="shared" si="26"/>
        <v xml:space="preserve"> </v>
      </c>
    </row>
    <row r="519" spans="1:29" x14ac:dyDescent="0.3">
      <c r="A519" s="1" t="s">
        <v>1290</v>
      </c>
      <c r="B519">
        <v>3</v>
      </c>
      <c r="C519">
        <v>30.99</v>
      </c>
      <c r="D519">
        <v>74.849999999999994</v>
      </c>
      <c r="E519" s="1" t="s">
        <v>1291</v>
      </c>
      <c r="F519" s="1" t="s">
        <v>40</v>
      </c>
      <c r="G519">
        <v>3</v>
      </c>
      <c r="H519" s="1" t="s">
        <v>58</v>
      </c>
      <c r="I519" s="1" t="s">
        <v>42</v>
      </c>
      <c r="J519">
        <v>10.5</v>
      </c>
      <c r="K519">
        <v>30.99</v>
      </c>
      <c r="L519" s="1" t="s">
        <v>28</v>
      </c>
      <c r="M519" s="1" t="s">
        <v>43</v>
      </c>
      <c r="N519" s="1" t="s">
        <v>44</v>
      </c>
      <c r="O519" s="1" t="s">
        <v>31</v>
      </c>
      <c r="P519" s="2">
        <v>45823</v>
      </c>
      <c r="Q519" s="1" t="s">
        <v>893</v>
      </c>
      <c r="R519" s="1" t="s">
        <v>894</v>
      </c>
      <c r="S519" s="1" t="s">
        <v>411</v>
      </c>
      <c r="T519" s="1" t="s">
        <v>35</v>
      </c>
      <c r="U519" s="1" t="s">
        <v>48</v>
      </c>
      <c r="V519" s="1" t="s">
        <v>37</v>
      </c>
      <c r="W519">
        <v>2</v>
      </c>
      <c r="X519" s="1" t="str">
        <f t="shared" si="24"/>
        <v>gabriela.jimenez17@mail.com</v>
      </c>
      <c r="Y519" s="1" t="str">
        <f>INDEX(V:V,MATCH(orders_desnormalizado_prueba3[[#This Row],[acquisition_channel]],U:U,0))</f>
        <v>Bodega Propia CO - envio 2-3 dias</v>
      </c>
      <c r="Z519" s="1" t="str">
        <f>INDEX(T:T,MATCH(orders_desnormalizado_prueba3[[#This Row],[shipping_cost]],W:W,0))</f>
        <v>Colombia</v>
      </c>
      <c r="AA519" s="1" t="str">
        <f t="shared" si="25"/>
        <v>Barranquilla</v>
      </c>
      <c r="AB519" s="1"/>
      <c r="AC519" s="1" t="str">
        <f t="shared" si="26"/>
        <v xml:space="preserve"> </v>
      </c>
    </row>
    <row r="520" spans="1:29" x14ac:dyDescent="0.3">
      <c r="A520" s="1" t="s">
        <v>1292</v>
      </c>
      <c r="B520">
        <v>2</v>
      </c>
      <c r="C520">
        <v>16.989999999999998</v>
      </c>
      <c r="D520">
        <v>29.64</v>
      </c>
      <c r="E520" s="1" t="s">
        <v>1293</v>
      </c>
      <c r="F520" s="1" t="s">
        <v>51</v>
      </c>
      <c r="G520">
        <v>0</v>
      </c>
      <c r="H520" s="1" t="s">
        <v>96</v>
      </c>
      <c r="I520" s="1" t="s">
        <v>59</v>
      </c>
      <c r="J520">
        <v>5</v>
      </c>
      <c r="K520">
        <v>16.989999999999998</v>
      </c>
      <c r="L520" s="1" t="s">
        <v>60</v>
      </c>
      <c r="M520" s="1" t="s">
        <v>61</v>
      </c>
      <c r="N520" s="1" t="s">
        <v>62</v>
      </c>
      <c r="O520" s="1" t="s">
        <v>31</v>
      </c>
      <c r="P520" s="2">
        <v>45726</v>
      </c>
      <c r="Q520" s="1" t="s">
        <v>1211</v>
      </c>
      <c r="R520" s="1" t="s">
        <v>1212</v>
      </c>
      <c r="S520" s="1" t="s">
        <v>34</v>
      </c>
      <c r="T520" s="1" t="s">
        <v>35</v>
      </c>
      <c r="U520" s="1" t="s">
        <v>66</v>
      </c>
      <c r="V520" s="1" t="s">
        <v>67</v>
      </c>
      <c r="W520">
        <v>3</v>
      </c>
      <c r="X520" s="1" t="str">
        <f t="shared" si="24"/>
        <v>gabriela.lopez37@mail.com</v>
      </c>
      <c r="Y520" s="1" t="str">
        <f>INDEX(V:V,MATCH(orders_desnormalizado_prueba3[[#This Row],[acquisition_channel]],U:U,0))</f>
        <v>AliDropship CN - envio 15-20 dias</v>
      </c>
      <c r="Z520" s="1" t="str">
        <f>INDEX(T:T,MATCH(orders_desnormalizado_prueba3[[#This Row],[shipping_cost]],W:W,0))</f>
        <v>Colombia</v>
      </c>
      <c r="AA520" s="1" t="str">
        <f t="shared" si="25"/>
        <v>Cartagena</v>
      </c>
      <c r="AB520" s="1"/>
      <c r="AC520" s="1" t="str">
        <f t="shared" si="26"/>
        <v xml:space="preserve"> </v>
      </c>
    </row>
    <row r="521" spans="1:29" x14ac:dyDescent="0.3">
      <c r="A521" s="1" t="s">
        <v>1294</v>
      </c>
      <c r="B521">
        <v>1</v>
      </c>
      <c r="C521">
        <v>18.989999999999998</v>
      </c>
      <c r="D521">
        <v>18.989999999999998</v>
      </c>
      <c r="E521" s="1" t="s">
        <v>1295</v>
      </c>
      <c r="F521" s="1" t="s">
        <v>70</v>
      </c>
      <c r="G521">
        <v>0</v>
      </c>
      <c r="H521" s="1" t="s">
        <v>96</v>
      </c>
      <c r="I521" s="1" t="s">
        <v>97</v>
      </c>
      <c r="J521">
        <v>6</v>
      </c>
      <c r="K521">
        <v>18.989999999999998</v>
      </c>
      <c r="L521" s="1" t="s">
        <v>60</v>
      </c>
      <c r="M521" s="1" t="s">
        <v>43</v>
      </c>
      <c r="N521" s="1" t="s">
        <v>44</v>
      </c>
      <c r="O521" s="1" t="s">
        <v>31</v>
      </c>
      <c r="P521" s="2">
        <v>45823</v>
      </c>
      <c r="Q521" s="1" t="s">
        <v>1009</v>
      </c>
      <c r="R521" s="1" t="s">
        <v>1010</v>
      </c>
      <c r="S521" s="1" t="s">
        <v>47</v>
      </c>
      <c r="T521" s="1" t="s">
        <v>35</v>
      </c>
      <c r="U521" s="1" t="s">
        <v>82</v>
      </c>
      <c r="V521" s="1" t="s">
        <v>100</v>
      </c>
      <c r="W521">
        <v>3.2</v>
      </c>
      <c r="X521" s="1" t="str">
        <f t="shared" si="24"/>
        <v>manuela.martinez152@mail.com</v>
      </c>
      <c r="Y521" s="1" t="str">
        <f>INDEX(V:V,MATCH(orders_desnormalizado_prueba3[[#This Row],[acquisition_channel]],U:U,0))</f>
        <v>Bodega Propia CO - envio 2-3 dias</v>
      </c>
      <c r="Z521" s="1" t="str">
        <f>INDEX(T:T,MATCH(orders_desnormalizado_prueba3[[#This Row],[shipping_cost]],W:W,0))</f>
        <v>Colombia</v>
      </c>
      <c r="AA521" s="1" t="str">
        <f t="shared" si="25"/>
        <v>Cartagena</v>
      </c>
      <c r="AB521" s="1"/>
      <c r="AC521" s="1" t="str">
        <f t="shared" si="26"/>
        <v xml:space="preserve"> </v>
      </c>
    </row>
    <row r="522" spans="1:29" x14ac:dyDescent="0.3">
      <c r="A522" s="1" t="s">
        <v>1296</v>
      </c>
      <c r="B522">
        <v>1</v>
      </c>
      <c r="C522">
        <v>27.99</v>
      </c>
      <c r="D522">
        <v>27.99</v>
      </c>
      <c r="E522" s="1" t="s">
        <v>260</v>
      </c>
      <c r="F522" s="1" t="s">
        <v>40</v>
      </c>
      <c r="G522">
        <v>3</v>
      </c>
      <c r="H522" s="1" t="s">
        <v>26</v>
      </c>
      <c r="I522" s="1" t="s">
        <v>75</v>
      </c>
      <c r="J522">
        <v>9</v>
      </c>
      <c r="K522">
        <v>27.99</v>
      </c>
      <c r="L522" s="1" t="s">
        <v>28</v>
      </c>
      <c r="M522" s="1" t="s">
        <v>61</v>
      </c>
      <c r="N522" s="1" t="s">
        <v>62</v>
      </c>
      <c r="O522" s="1" t="s">
        <v>31</v>
      </c>
      <c r="P522" s="2">
        <v>45726</v>
      </c>
      <c r="Q522" s="1" t="s">
        <v>376</v>
      </c>
      <c r="R522" s="1" t="s">
        <v>1297</v>
      </c>
      <c r="S522" s="1" t="s">
        <v>54</v>
      </c>
      <c r="T522" s="1" t="s">
        <v>35</v>
      </c>
      <c r="U522" s="1" t="s">
        <v>55</v>
      </c>
      <c r="V522" s="1" t="s">
        <v>37</v>
      </c>
      <c r="W522">
        <v>2</v>
      </c>
      <c r="X522" s="1" t="str">
        <f t="shared" si="24"/>
        <v>santiago.perez173@mail.com</v>
      </c>
      <c r="Y522" s="1" t="str">
        <f>INDEX(V:V,MATCH(orders_desnormalizado_prueba3[[#This Row],[acquisition_channel]],U:U,0))</f>
        <v>Bodega Propia CO - envio 2-3 dias</v>
      </c>
      <c r="Z522" s="1" t="str">
        <f>INDEX(T:T,MATCH(orders_desnormalizado_prueba3[[#This Row],[shipping_cost]],W:W,0))</f>
        <v>Colombia</v>
      </c>
      <c r="AA522" s="1" t="str">
        <f t="shared" si="25"/>
        <v>Barranquilla</v>
      </c>
      <c r="AB522" s="1"/>
      <c r="AC522" s="1" t="str">
        <f t="shared" si="26"/>
        <v xml:space="preserve"> </v>
      </c>
    </row>
    <row r="523" spans="1:29" x14ac:dyDescent="0.3">
      <c r="A523" s="1" t="s">
        <v>1298</v>
      </c>
      <c r="B523">
        <v>3</v>
      </c>
      <c r="C523">
        <v>34.99</v>
      </c>
      <c r="D523">
        <v>83.1</v>
      </c>
      <c r="E523" s="1" t="s">
        <v>1299</v>
      </c>
      <c r="F523" s="1" t="s">
        <v>70</v>
      </c>
      <c r="G523">
        <v>0</v>
      </c>
      <c r="H523" s="1" t="s">
        <v>96</v>
      </c>
      <c r="I523" s="1" t="s">
        <v>85</v>
      </c>
      <c r="J523">
        <v>12.5</v>
      </c>
      <c r="K523">
        <v>34.99</v>
      </c>
      <c r="L523" s="1" t="s">
        <v>60</v>
      </c>
      <c r="M523" s="1" t="s">
        <v>29</v>
      </c>
      <c r="N523" s="1" t="s">
        <v>30</v>
      </c>
      <c r="O523" s="1" t="s">
        <v>31</v>
      </c>
      <c r="P523" s="2">
        <v>45778</v>
      </c>
      <c r="Q523" s="1" t="s">
        <v>893</v>
      </c>
      <c r="R523" s="1" t="s">
        <v>1300</v>
      </c>
      <c r="S523" s="1" t="s">
        <v>34</v>
      </c>
      <c r="T523" s="1" t="s">
        <v>35</v>
      </c>
      <c r="U523" s="1" t="s">
        <v>66</v>
      </c>
      <c r="V523" s="1" t="s">
        <v>89</v>
      </c>
      <c r="W523">
        <v>2.4</v>
      </c>
      <c r="X523" s="1" t="str">
        <f t="shared" si="24"/>
        <v>gabriela.jimenez17@mail.com</v>
      </c>
      <c r="Y523" s="1" t="str">
        <f>INDEX(V:V,MATCH(orders_desnormalizado_prueba3[[#This Row],[acquisition_channel]],U:U,0))</f>
        <v>AliDropship CN - envio 15-20 dias</v>
      </c>
      <c r="Z523" s="1" t="str">
        <f>INDEX(T:T,MATCH(orders_desnormalizado_prueba3[[#This Row],[shipping_cost]],W:W,0))</f>
        <v>Colombia</v>
      </c>
      <c r="AA523" s="1" t="str">
        <f t="shared" si="25"/>
        <v>Cartagena</v>
      </c>
      <c r="AB523" s="1"/>
      <c r="AC523" s="1" t="str">
        <f t="shared" si="26"/>
        <v xml:space="preserve"> </v>
      </c>
    </row>
    <row r="524" spans="1:29" x14ac:dyDescent="0.3">
      <c r="A524" s="1" t="s">
        <v>1301</v>
      </c>
      <c r="B524">
        <v>2</v>
      </c>
      <c r="C524">
        <v>16.989999999999998</v>
      </c>
      <c r="D524">
        <v>29.48</v>
      </c>
      <c r="E524" s="1" t="s">
        <v>1302</v>
      </c>
      <c r="F524" s="1" t="s">
        <v>40</v>
      </c>
      <c r="G524">
        <v>16</v>
      </c>
      <c r="H524" s="1" t="s">
        <v>26</v>
      </c>
      <c r="I524" s="1" t="s">
        <v>59</v>
      </c>
      <c r="J524">
        <v>5</v>
      </c>
      <c r="K524">
        <v>16.989999999999998</v>
      </c>
      <c r="L524" s="1" t="s">
        <v>60</v>
      </c>
      <c r="M524" s="1" t="s">
        <v>61</v>
      </c>
      <c r="N524" s="1" t="s">
        <v>62</v>
      </c>
      <c r="O524" s="1" t="s">
        <v>31</v>
      </c>
      <c r="P524" s="2">
        <v>45726</v>
      </c>
      <c r="Q524" s="1" t="s">
        <v>1028</v>
      </c>
      <c r="R524" s="1" t="s">
        <v>1303</v>
      </c>
      <c r="S524" s="1" t="s">
        <v>411</v>
      </c>
      <c r="T524" s="1" t="s">
        <v>35</v>
      </c>
      <c r="U524" s="1" t="s">
        <v>55</v>
      </c>
      <c r="V524" s="1" t="s">
        <v>67</v>
      </c>
      <c r="W524">
        <v>3</v>
      </c>
      <c r="X524" s="1" t="str">
        <f t="shared" si="24"/>
        <v>miguel.martinez162@mail.com</v>
      </c>
      <c r="Y524" s="1" t="str">
        <f>INDEX(V:V,MATCH(orders_desnormalizado_prueba3[[#This Row],[acquisition_channel]],U:U,0))</f>
        <v>Bodega Propia CO - envio 2-3 dias</v>
      </c>
      <c r="Z524" s="1" t="str">
        <f>INDEX(T:T,MATCH(orders_desnormalizado_prueba3[[#This Row],[shipping_cost]],W:W,0))</f>
        <v>Colombia</v>
      </c>
      <c r="AA524" s="1" t="str">
        <f t="shared" si="25"/>
        <v>Bogota</v>
      </c>
      <c r="AB524" s="1"/>
      <c r="AC524" s="1" t="str">
        <f t="shared" si="26"/>
        <v xml:space="preserve"> </v>
      </c>
    </row>
    <row r="525" spans="1:29" x14ac:dyDescent="0.3">
      <c r="A525" s="1" t="s">
        <v>1304</v>
      </c>
      <c r="B525">
        <v>3</v>
      </c>
      <c r="C525">
        <v>21.99</v>
      </c>
      <c r="D525">
        <v>53.26</v>
      </c>
      <c r="E525" s="1" t="s">
        <v>1027</v>
      </c>
      <c r="F525" s="1" t="s">
        <v>51</v>
      </c>
      <c r="G525">
        <v>0</v>
      </c>
      <c r="H525" s="1" t="s">
        <v>58</v>
      </c>
      <c r="I525" s="1" t="s">
        <v>27</v>
      </c>
      <c r="J525">
        <v>7</v>
      </c>
      <c r="K525">
        <v>21.99</v>
      </c>
      <c r="L525" s="1" t="s">
        <v>28</v>
      </c>
      <c r="M525" s="1" t="s">
        <v>29</v>
      </c>
      <c r="N525" s="1" t="s">
        <v>30</v>
      </c>
      <c r="O525" s="1" t="s">
        <v>31</v>
      </c>
      <c r="P525" s="2">
        <v>45778</v>
      </c>
      <c r="Q525" s="1" t="s">
        <v>913</v>
      </c>
      <c r="R525" s="1" t="s">
        <v>914</v>
      </c>
      <c r="S525" s="1" t="s">
        <v>65</v>
      </c>
      <c r="T525" s="1" t="s">
        <v>35</v>
      </c>
      <c r="U525" s="1" t="s">
        <v>48</v>
      </c>
      <c r="V525" s="1" t="s">
        <v>37</v>
      </c>
      <c r="W525">
        <v>2</v>
      </c>
      <c r="X525" s="1" t="str">
        <f t="shared" si="24"/>
        <v>paula.rodriguez185@mail.com</v>
      </c>
      <c r="Y525" s="1" t="str">
        <f>INDEX(V:V,MATCH(orders_desnormalizado_prueba3[[#This Row],[acquisition_channel]],U:U,0))</f>
        <v>Bodega Propia CO - envio 2-3 dias</v>
      </c>
      <c r="Z525" s="1" t="str">
        <f>INDEX(T:T,MATCH(orders_desnormalizado_prueba3[[#This Row],[shipping_cost]],W:W,0))</f>
        <v>Colombia</v>
      </c>
      <c r="AA525" s="1" t="str">
        <f t="shared" si="25"/>
        <v>Cartagena</v>
      </c>
      <c r="AB525" s="1"/>
      <c r="AC525" s="1" t="str">
        <f t="shared" si="26"/>
        <v xml:space="preserve"> </v>
      </c>
    </row>
    <row r="526" spans="1:29" x14ac:dyDescent="0.3">
      <c r="A526" s="1" t="s">
        <v>1305</v>
      </c>
      <c r="B526">
        <v>1</v>
      </c>
      <c r="C526">
        <v>21.99</v>
      </c>
      <c r="D526">
        <v>21.99</v>
      </c>
      <c r="E526" s="1" t="s">
        <v>1295</v>
      </c>
      <c r="F526" s="1" t="s">
        <v>188</v>
      </c>
      <c r="G526">
        <v>0</v>
      </c>
      <c r="H526" s="1" t="s">
        <v>26</v>
      </c>
      <c r="I526" s="1" t="s">
        <v>27</v>
      </c>
      <c r="J526">
        <v>7</v>
      </c>
      <c r="K526">
        <v>21.99</v>
      </c>
      <c r="L526" s="1" t="s">
        <v>28</v>
      </c>
      <c r="M526" s="1" t="s">
        <v>29</v>
      </c>
      <c r="N526" s="1" t="s">
        <v>30</v>
      </c>
      <c r="O526" s="1" t="s">
        <v>31</v>
      </c>
      <c r="P526" s="2">
        <v>45778</v>
      </c>
      <c r="Q526" s="1" t="s">
        <v>1306</v>
      </c>
      <c r="R526" s="1" t="s">
        <v>1307</v>
      </c>
      <c r="S526" s="1" t="s">
        <v>47</v>
      </c>
      <c r="T526" s="1" t="s">
        <v>35</v>
      </c>
      <c r="U526" s="1" t="s">
        <v>66</v>
      </c>
      <c r="V526" s="1" t="s">
        <v>37</v>
      </c>
      <c r="W526">
        <v>2</v>
      </c>
      <c r="X526" s="1" t="str">
        <f t="shared" si="24"/>
        <v>diego.gomez10@mail.com</v>
      </c>
      <c r="Y526" s="1" t="str">
        <f>INDEX(V:V,MATCH(orders_desnormalizado_prueba3[[#This Row],[acquisition_channel]],U:U,0))</f>
        <v>AliDropship CN - envio 15-20 dias</v>
      </c>
      <c r="Z526" s="1" t="str">
        <f>INDEX(T:T,MATCH(orders_desnormalizado_prueba3[[#This Row],[shipping_cost]],W:W,0))</f>
        <v>Colombia</v>
      </c>
      <c r="AA526" s="1" t="str">
        <f t="shared" si="25"/>
        <v>Cartagena</v>
      </c>
      <c r="AB526" s="1"/>
      <c r="AC526" s="1" t="str">
        <f t="shared" si="26"/>
        <v xml:space="preserve"> </v>
      </c>
    </row>
    <row r="527" spans="1:29" x14ac:dyDescent="0.3">
      <c r="A527" s="1" t="s">
        <v>1308</v>
      </c>
      <c r="B527">
        <v>3</v>
      </c>
      <c r="C527">
        <v>18.989999999999998</v>
      </c>
      <c r="D527">
        <v>45.7</v>
      </c>
      <c r="E527" s="1" t="s">
        <v>1061</v>
      </c>
      <c r="F527" s="1" t="s">
        <v>25</v>
      </c>
      <c r="G527">
        <v>19</v>
      </c>
      <c r="H527" s="1" t="s">
        <v>58</v>
      </c>
      <c r="I527" s="1" t="s">
        <v>97</v>
      </c>
      <c r="J527">
        <v>6</v>
      </c>
      <c r="K527">
        <v>18.989999999999998</v>
      </c>
      <c r="L527" s="1" t="s">
        <v>60</v>
      </c>
      <c r="M527" s="1" t="s">
        <v>43</v>
      </c>
      <c r="N527" s="1" t="s">
        <v>44</v>
      </c>
      <c r="O527" s="1" t="s">
        <v>31</v>
      </c>
      <c r="P527" s="2">
        <v>45823</v>
      </c>
      <c r="Q527" s="1" t="s">
        <v>1069</v>
      </c>
      <c r="R527" s="1" t="s">
        <v>1070</v>
      </c>
      <c r="S527" s="1" t="s">
        <v>65</v>
      </c>
      <c r="T527" s="1" t="s">
        <v>35</v>
      </c>
      <c r="U527" s="1" t="s">
        <v>66</v>
      </c>
      <c r="V527" s="1" t="s">
        <v>100</v>
      </c>
      <c r="W527">
        <v>3.2</v>
      </c>
      <c r="X527" s="1" t="str">
        <f t="shared" si="24"/>
        <v>diego.jimenez145@mail.com</v>
      </c>
      <c r="Y527" s="1" t="str">
        <f>INDEX(V:V,MATCH(orders_desnormalizado_prueba3[[#This Row],[acquisition_channel]],U:U,0))</f>
        <v>AliDropship CN - envio 15-20 dias</v>
      </c>
      <c r="Z527" s="1" t="str">
        <f>INDEX(T:T,MATCH(orders_desnormalizado_prueba3[[#This Row],[shipping_cost]],W:W,0))</f>
        <v>Colombia</v>
      </c>
      <c r="AA527" s="1" t="str">
        <f t="shared" si="25"/>
        <v>Bogota</v>
      </c>
      <c r="AB527" s="1"/>
      <c r="AC527" s="1" t="str">
        <f t="shared" si="26"/>
        <v xml:space="preserve"> </v>
      </c>
    </row>
    <row r="528" spans="1:29" x14ac:dyDescent="0.3">
      <c r="A528" s="1" t="s">
        <v>1309</v>
      </c>
      <c r="B528">
        <v>1</v>
      </c>
      <c r="C528">
        <v>34.99</v>
      </c>
      <c r="D528">
        <v>34.99</v>
      </c>
      <c r="E528" s="1" t="s">
        <v>1310</v>
      </c>
      <c r="F528" s="1" t="s">
        <v>51</v>
      </c>
      <c r="G528">
        <v>0</v>
      </c>
      <c r="H528" s="1" t="s">
        <v>58</v>
      </c>
      <c r="I528" s="1" t="s">
        <v>85</v>
      </c>
      <c r="J528">
        <v>12.5</v>
      </c>
      <c r="K528">
        <v>34.99</v>
      </c>
      <c r="L528" s="1" t="s">
        <v>60</v>
      </c>
      <c r="M528" s="1" t="s">
        <v>29</v>
      </c>
      <c r="N528" s="1" t="s">
        <v>30</v>
      </c>
      <c r="O528" s="1" t="s">
        <v>31</v>
      </c>
      <c r="P528" s="2">
        <v>45778</v>
      </c>
      <c r="Q528" s="1" t="s">
        <v>137</v>
      </c>
      <c r="R528" s="1" t="s">
        <v>1311</v>
      </c>
      <c r="S528" s="1" t="s">
        <v>47</v>
      </c>
      <c r="T528" s="1" t="s">
        <v>35</v>
      </c>
      <c r="U528" s="1" t="s">
        <v>82</v>
      </c>
      <c r="V528" s="1" t="s">
        <v>89</v>
      </c>
      <c r="W528">
        <v>2.4</v>
      </c>
      <c r="X528" s="1" t="str">
        <f t="shared" si="24"/>
        <v>camila.martinez65@mail.com</v>
      </c>
      <c r="Y528" s="1" t="str">
        <f>INDEX(V:V,MATCH(orders_desnormalizado_prueba3[[#This Row],[acquisition_channel]],U:U,0))</f>
        <v>Bodega Propia CO - envio 2-3 dias</v>
      </c>
      <c r="Z528" s="1" t="str">
        <f>INDEX(T:T,MATCH(orders_desnormalizado_prueba3[[#This Row],[shipping_cost]],W:W,0))</f>
        <v>Colombia</v>
      </c>
      <c r="AA528" s="1" t="str">
        <f t="shared" si="25"/>
        <v>Cartagena</v>
      </c>
      <c r="AB528" s="1"/>
      <c r="AC528" s="1" t="str">
        <f t="shared" si="26"/>
        <v xml:space="preserve"> </v>
      </c>
    </row>
    <row r="529" spans="1:29" x14ac:dyDescent="0.3">
      <c r="A529" s="1" t="s">
        <v>1312</v>
      </c>
      <c r="B529">
        <v>2</v>
      </c>
      <c r="C529">
        <v>16.989999999999998</v>
      </c>
      <c r="D529">
        <v>29.34</v>
      </c>
      <c r="E529" s="1" t="s">
        <v>327</v>
      </c>
      <c r="F529" s="1" t="s">
        <v>40</v>
      </c>
      <c r="G529">
        <v>15</v>
      </c>
      <c r="H529" s="1" t="s">
        <v>41</v>
      </c>
      <c r="I529" s="1" t="s">
        <v>59</v>
      </c>
      <c r="J529">
        <v>5</v>
      </c>
      <c r="K529">
        <v>16.989999999999998</v>
      </c>
      <c r="L529" s="1" t="s">
        <v>60</v>
      </c>
      <c r="M529" s="1" t="s">
        <v>61</v>
      </c>
      <c r="N529" s="1" t="s">
        <v>62</v>
      </c>
      <c r="O529" s="1" t="s">
        <v>31</v>
      </c>
      <c r="P529" s="2">
        <v>45726</v>
      </c>
      <c r="Q529" s="1" t="s">
        <v>720</v>
      </c>
      <c r="R529" s="1" t="s">
        <v>721</v>
      </c>
      <c r="S529" s="1" t="s">
        <v>54</v>
      </c>
      <c r="T529" s="1" t="s">
        <v>35</v>
      </c>
      <c r="U529" s="1" t="s">
        <v>82</v>
      </c>
      <c r="V529" s="1" t="s">
        <v>67</v>
      </c>
      <c r="W529">
        <v>3</v>
      </c>
      <c r="X529" s="1" t="str">
        <f t="shared" si="24"/>
        <v>natalia.ortiz107@mail.com</v>
      </c>
      <c r="Y529" s="1" t="str">
        <f>INDEX(V:V,MATCH(orders_desnormalizado_prueba3[[#This Row],[acquisition_channel]],U:U,0))</f>
        <v>Bodega Propia CO - envio 2-3 dias</v>
      </c>
      <c r="Z529" s="1" t="str">
        <f>INDEX(T:T,MATCH(orders_desnormalizado_prueba3[[#This Row],[shipping_cost]],W:W,0))</f>
        <v>Colombia</v>
      </c>
      <c r="AA529" s="1" t="str">
        <f t="shared" si="25"/>
        <v>Barranquilla</v>
      </c>
      <c r="AB529" s="1"/>
      <c r="AC529" s="1" t="str">
        <f t="shared" si="26"/>
        <v xml:space="preserve"> </v>
      </c>
    </row>
    <row r="530" spans="1:29" x14ac:dyDescent="0.3">
      <c r="A530" s="1" t="s">
        <v>1313</v>
      </c>
      <c r="B530">
        <v>2</v>
      </c>
      <c r="C530">
        <v>18.989999999999998</v>
      </c>
      <c r="D530">
        <v>32.729999999999997</v>
      </c>
      <c r="E530" s="1" t="s">
        <v>146</v>
      </c>
      <c r="F530" s="1" t="s">
        <v>51</v>
      </c>
      <c r="G530">
        <v>0</v>
      </c>
      <c r="H530" s="1" t="s">
        <v>96</v>
      </c>
      <c r="I530" s="1" t="s">
        <v>97</v>
      </c>
      <c r="J530">
        <v>6</v>
      </c>
      <c r="K530">
        <v>18.989999999999998</v>
      </c>
      <c r="L530" s="1" t="s">
        <v>60</v>
      </c>
      <c r="M530" s="1" t="s">
        <v>43</v>
      </c>
      <c r="N530" s="1" t="s">
        <v>44</v>
      </c>
      <c r="O530" s="1" t="s">
        <v>31</v>
      </c>
      <c r="P530" s="2">
        <v>45823</v>
      </c>
      <c r="Q530" s="1" t="s">
        <v>1028</v>
      </c>
      <c r="R530" s="1" t="s">
        <v>1303</v>
      </c>
      <c r="S530" s="1" t="s">
        <v>411</v>
      </c>
      <c r="T530" s="1" t="s">
        <v>35</v>
      </c>
      <c r="U530" s="1" t="s">
        <v>55</v>
      </c>
      <c r="V530" s="1" t="s">
        <v>100</v>
      </c>
      <c r="W530">
        <v>3.2</v>
      </c>
      <c r="X530" s="1" t="str">
        <f t="shared" si="24"/>
        <v>miguel.martinez162@mail.com</v>
      </c>
      <c r="Y530" s="1" t="str">
        <f>INDEX(V:V,MATCH(orders_desnormalizado_prueba3[[#This Row],[acquisition_channel]],U:U,0))</f>
        <v>Bodega Propia CO - envio 2-3 dias</v>
      </c>
      <c r="Z530" s="1" t="str">
        <f>INDEX(T:T,MATCH(orders_desnormalizado_prueba3[[#This Row],[shipping_cost]],W:W,0))</f>
        <v>Colombia</v>
      </c>
      <c r="AA530" s="1" t="str">
        <f t="shared" si="25"/>
        <v>Cartagena</v>
      </c>
      <c r="AB530" s="1"/>
      <c r="AC530" s="1" t="str">
        <f t="shared" si="26"/>
        <v xml:space="preserve"> </v>
      </c>
    </row>
    <row r="531" spans="1:29" x14ac:dyDescent="0.3">
      <c r="A531" s="1" t="s">
        <v>1314</v>
      </c>
      <c r="B531">
        <v>1</v>
      </c>
      <c r="C531">
        <v>34.99</v>
      </c>
      <c r="D531">
        <v>34.99</v>
      </c>
      <c r="E531" s="1" t="s">
        <v>1315</v>
      </c>
      <c r="F531" s="1" t="s">
        <v>51</v>
      </c>
      <c r="G531">
        <v>0</v>
      </c>
      <c r="H531" s="1" t="s">
        <v>96</v>
      </c>
      <c r="I531" s="1" t="s">
        <v>85</v>
      </c>
      <c r="J531">
        <v>12.5</v>
      </c>
      <c r="K531">
        <v>34.99</v>
      </c>
      <c r="L531" s="1" t="s">
        <v>60</v>
      </c>
      <c r="M531" s="1" t="s">
        <v>29</v>
      </c>
      <c r="N531" s="1" t="s">
        <v>30</v>
      </c>
      <c r="O531" s="1" t="s">
        <v>31</v>
      </c>
      <c r="P531" s="2">
        <v>45778</v>
      </c>
      <c r="Q531" s="1" t="s">
        <v>1316</v>
      </c>
      <c r="R531" s="1" t="s">
        <v>1317</v>
      </c>
      <c r="S531" s="1" t="s">
        <v>105</v>
      </c>
      <c r="T531" s="1" t="s">
        <v>35</v>
      </c>
      <c r="U531" s="1" t="s">
        <v>66</v>
      </c>
      <c r="V531" s="1" t="s">
        <v>89</v>
      </c>
      <c r="W531">
        <v>2.4</v>
      </c>
      <c r="X531" s="1" t="str">
        <f t="shared" si="24"/>
        <v>juan.moreno182@mail.com</v>
      </c>
      <c r="Y531" s="1" t="str">
        <f>INDEX(V:V,MATCH(orders_desnormalizado_prueba3[[#This Row],[acquisition_channel]],U:U,0))</f>
        <v>AliDropship CN - envio 15-20 dias</v>
      </c>
      <c r="Z531" s="1" t="str">
        <f>INDEX(T:T,MATCH(orders_desnormalizado_prueba3[[#This Row],[shipping_cost]],W:W,0))</f>
        <v>Colombia</v>
      </c>
      <c r="AA531" s="1" t="str">
        <f t="shared" si="25"/>
        <v>Cartagena</v>
      </c>
      <c r="AB531" s="1"/>
      <c r="AC531" s="1" t="str">
        <f t="shared" si="26"/>
        <v xml:space="preserve"> </v>
      </c>
    </row>
    <row r="532" spans="1:29" x14ac:dyDescent="0.3">
      <c r="A532" s="1" t="s">
        <v>1318</v>
      </c>
      <c r="B532">
        <v>3</v>
      </c>
      <c r="C532">
        <v>34.99</v>
      </c>
      <c r="D532">
        <v>83.88</v>
      </c>
      <c r="E532" s="1" t="s">
        <v>824</v>
      </c>
      <c r="F532" s="1" t="s">
        <v>51</v>
      </c>
      <c r="G532">
        <v>0</v>
      </c>
      <c r="H532" s="1" t="s">
        <v>58</v>
      </c>
      <c r="I532" s="1" t="s">
        <v>85</v>
      </c>
      <c r="J532">
        <v>12.5</v>
      </c>
      <c r="K532">
        <v>34.99</v>
      </c>
      <c r="L532" s="1" t="s">
        <v>60</v>
      </c>
      <c r="M532" s="1" t="s">
        <v>29</v>
      </c>
      <c r="N532" s="1" t="s">
        <v>30</v>
      </c>
      <c r="O532" s="1" t="s">
        <v>31</v>
      </c>
      <c r="P532" s="2">
        <v>45778</v>
      </c>
      <c r="Q532" s="1" t="s">
        <v>1319</v>
      </c>
      <c r="R532" s="1" t="s">
        <v>1320</v>
      </c>
      <c r="S532" s="1" t="s">
        <v>54</v>
      </c>
      <c r="T532" s="1" t="s">
        <v>35</v>
      </c>
      <c r="U532" s="1" t="s">
        <v>82</v>
      </c>
      <c r="V532" s="1" t="s">
        <v>89</v>
      </c>
      <c r="W532">
        <v>2.4</v>
      </c>
      <c r="X532" s="1" t="str">
        <f t="shared" si="24"/>
        <v>sofia.castro163@mail.com</v>
      </c>
      <c r="Y532" s="1" t="str">
        <f>INDEX(V:V,MATCH(orders_desnormalizado_prueba3[[#This Row],[acquisition_channel]],U:U,0))</f>
        <v>Bodega Propia CO - envio 2-3 dias</v>
      </c>
      <c r="Z532" s="1" t="str">
        <f>INDEX(T:T,MATCH(orders_desnormalizado_prueba3[[#This Row],[shipping_cost]],W:W,0))</f>
        <v>Colombia</v>
      </c>
      <c r="AA532" s="1" t="str">
        <f t="shared" si="25"/>
        <v>Cartagena</v>
      </c>
      <c r="AB532" s="1"/>
      <c r="AC532" s="1" t="str">
        <f t="shared" si="26"/>
        <v xml:space="preserve"> </v>
      </c>
    </row>
    <row r="533" spans="1:29" x14ac:dyDescent="0.3">
      <c r="A533" s="1" t="s">
        <v>1321</v>
      </c>
      <c r="B533">
        <v>3</v>
      </c>
      <c r="C533">
        <v>34.99</v>
      </c>
      <c r="D533">
        <v>84.2</v>
      </c>
      <c r="E533" s="1" t="s">
        <v>954</v>
      </c>
      <c r="F533" s="1" t="s">
        <v>40</v>
      </c>
      <c r="G533">
        <v>8</v>
      </c>
      <c r="H533" s="1" t="s">
        <v>58</v>
      </c>
      <c r="I533" s="1" t="s">
        <v>85</v>
      </c>
      <c r="J533">
        <v>12.5</v>
      </c>
      <c r="K533">
        <v>34.99</v>
      </c>
      <c r="L533" s="1" t="s">
        <v>60</v>
      </c>
      <c r="M533" s="1" t="s">
        <v>29</v>
      </c>
      <c r="N533" s="1" t="s">
        <v>30</v>
      </c>
      <c r="O533" s="1" t="s">
        <v>31</v>
      </c>
      <c r="P533" s="2">
        <v>45778</v>
      </c>
      <c r="Q533" s="1" t="s">
        <v>150</v>
      </c>
      <c r="R533" s="1" t="s">
        <v>1322</v>
      </c>
      <c r="S533" s="1" t="s">
        <v>88</v>
      </c>
      <c r="T533" s="1" t="s">
        <v>35</v>
      </c>
      <c r="U533" s="1" t="s">
        <v>66</v>
      </c>
      <c r="V533" s="1" t="s">
        <v>89</v>
      </c>
      <c r="W533">
        <v>2.4</v>
      </c>
      <c r="X533" s="1" t="str">
        <f t="shared" si="24"/>
        <v>diego.sanchez111@mail.com</v>
      </c>
      <c r="Y533" s="1" t="str">
        <f>INDEX(V:V,MATCH(orders_desnormalizado_prueba3[[#This Row],[acquisition_channel]],U:U,0))</f>
        <v>AliDropship CN - envio 15-20 dias</v>
      </c>
      <c r="Z533" s="1" t="str">
        <f>INDEX(T:T,MATCH(orders_desnormalizado_prueba3[[#This Row],[shipping_cost]],W:W,0))</f>
        <v>Colombia</v>
      </c>
      <c r="AA533" s="1" t="str">
        <f t="shared" si="25"/>
        <v>Barranquilla</v>
      </c>
      <c r="AB533" s="1"/>
      <c r="AC533" s="1" t="str">
        <f t="shared" si="26"/>
        <v xml:space="preserve"> </v>
      </c>
    </row>
    <row r="534" spans="1:29" x14ac:dyDescent="0.3">
      <c r="A534" s="1" t="s">
        <v>1323</v>
      </c>
      <c r="B534">
        <v>1</v>
      </c>
      <c r="C534">
        <v>30.99</v>
      </c>
      <c r="D534">
        <v>30.99</v>
      </c>
      <c r="E534" s="1" t="s">
        <v>1324</v>
      </c>
      <c r="F534" s="1" t="s">
        <v>51</v>
      </c>
      <c r="G534">
        <v>0</v>
      </c>
      <c r="H534" s="1" t="s">
        <v>41</v>
      </c>
      <c r="I534" s="1" t="s">
        <v>42</v>
      </c>
      <c r="J534">
        <v>10.5</v>
      </c>
      <c r="K534">
        <v>30.99</v>
      </c>
      <c r="L534" s="1" t="s">
        <v>28</v>
      </c>
      <c r="M534" s="1" t="s">
        <v>43</v>
      </c>
      <c r="N534" s="1" t="s">
        <v>44</v>
      </c>
      <c r="O534" s="1" t="s">
        <v>31</v>
      </c>
      <c r="P534" s="2">
        <v>45823</v>
      </c>
      <c r="Q534" s="1" t="s">
        <v>1325</v>
      </c>
      <c r="R534" s="1" t="s">
        <v>1326</v>
      </c>
      <c r="S534" s="1" t="s">
        <v>105</v>
      </c>
      <c r="T534" s="1" t="s">
        <v>35</v>
      </c>
      <c r="U534" s="1" t="s">
        <v>82</v>
      </c>
      <c r="V534" s="1" t="s">
        <v>37</v>
      </c>
      <c r="W534">
        <v>2</v>
      </c>
      <c r="X534" s="1" t="str">
        <f t="shared" si="24"/>
        <v>paula.hernandez37@mail.com</v>
      </c>
      <c r="Y534" s="1" t="str">
        <f>INDEX(V:V,MATCH(orders_desnormalizado_prueba3[[#This Row],[acquisition_channel]],U:U,0))</f>
        <v>Bodega Propia CO - envio 2-3 dias</v>
      </c>
      <c r="Z534" s="1" t="str">
        <f>INDEX(T:T,MATCH(orders_desnormalizado_prueba3[[#This Row],[shipping_cost]],W:W,0))</f>
        <v>Colombia</v>
      </c>
      <c r="AA534" s="1" t="str">
        <f t="shared" si="25"/>
        <v>Cartagena</v>
      </c>
      <c r="AB534" s="1"/>
      <c r="AC534" s="1" t="str">
        <f t="shared" si="26"/>
        <v xml:space="preserve"> </v>
      </c>
    </row>
    <row r="535" spans="1:29" x14ac:dyDescent="0.3">
      <c r="A535" s="1" t="s">
        <v>1327</v>
      </c>
      <c r="B535">
        <v>1</v>
      </c>
      <c r="C535">
        <v>16.989999999999998</v>
      </c>
      <c r="D535">
        <v>16.989999999999998</v>
      </c>
      <c r="E535" s="1" t="s">
        <v>1161</v>
      </c>
      <c r="F535" s="1" t="s">
        <v>40</v>
      </c>
      <c r="G535">
        <v>20</v>
      </c>
      <c r="H535" s="1" t="s">
        <v>41</v>
      </c>
      <c r="I535" s="1" t="s">
        <v>59</v>
      </c>
      <c r="J535">
        <v>5</v>
      </c>
      <c r="K535">
        <v>16.989999999999998</v>
      </c>
      <c r="L535" s="1" t="s">
        <v>60</v>
      </c>
      <c r="M535" s="1" t="s">
        <v>61</v>
      </c>
      <c r="N535" s="1" t="s">
        <v>62</v>
      </c>
      <c r="O535" s="1" t="s">
        <v>31</v>
      </c>
      <c r="P535" s="2">
        <v>45726</v>
      </c>
      <c r="Q535" s="1" t="s">
        <v>1328</v>
      </c>
      <c r="R535" s="1" t="s">
        <v>1329</v>
      </c>
      <c r="S535" s="1" t="s">
        <v>105</v>
      </c>
      <c r="T535" s="1" t="s">
        <v>35</v>
      </c>
      <c r="U535" s="1" t="s">
        <v>36</v>
      </c>
      <c r="V535" s="1" t="s">
        <v>67</v>
      </c>
      <c r="W535">
        <v>3</v>
      </c>
      <c r="X535" s="1" t="str">
        <f t="shared" si="24"/>
        <v>camila.ortiz78@mail.com</v>
      </c>
      <c r="Y535" s="1" t="str">
        <f>INDEX(V:V,MATCH(orders_desnormalizado_prueba3[[#This Row],[acquisition_channel]],U:U,0))</f>
        <v>Bodega Propia CO - envio 2-3 dias</v>
      </c>
      <c r="Z535" s="1" t="str">
        <f>INDEX(T:T,MATCH(orders_desnormalizado_prueba3[[#This Row],[shipping_cost]],W:W,0))</f>
        <v>Colombia</v>
      </c>
      <c r="AA535" s="1" t="str">
        <f t="shared" si="25"/>
        <v>Bucaramanga</v>
      </c>
      <c r="AB535" s="1"/>
      <c r="AC535" s="1" t="str">
        <f t="shared" si="26"/>
        <v xml:space="preserve"> </v>
      </c>
    </row>
    <row r="536" spans="1:29" x14ac:dyDescent="0.3">
      <c r="A536" s="1" t="s">
        <v>1330</v>
      </c>
      <c r="B536">
        <v>1</v>
      </c>
      <c r="C536">
        <v>27.99</v>
      </c>
      <c r="D536">
        <v>27.99</v>
      </c>
      <c r="E536" s="1" t="s">
        <v>1331</v>
      </c>
      <c r="F536" s="1" t="s">
        <v>51</v>
      </c>
      <c r="G536">
        <v>0</v>
      </c>
      <c r="H536" s="1" t="s">
        <v>58</v>
      </c>
      <c r="I536" s="1" t="s">
        <v>75</v>
      </c>
      <c r="J536">
        <v>9</v>
      </c>
      <c r="K536">
        <v>27.99</v>
      </c>
      <c r="L536" s="1" t="s">
        <v>28</v>
      </c>
      <c r="M536" s="1" t="s">
        <v>61</v>
      </c>
      <c r="N536" s="1" t="s">
        <v>62</v>
      </c>
      <c r="O536" s="1" t="s">
        <v>31</v>
      </c>
      <c r="P536" s="2">
        <v>45726</v>
      </c>
      <c r="Q536" s="1" t="s">
        <v>1332</v>
      </c>
      <c r="R536" s="1" t="s">
        <v>1333</v>
      </c>
      <c r="S536" s="1" t="s">
        <v>34</v>
      </c>
      <c r="T536" s="1" t="s">
        <v>35</v>
      </c>
      <c r="U536" s="1" t="s">
        <v>55</v>
      </c>
      <c r="V536" s="1" t="s">
        <v>37</v>
      </c>
      <c r="W536">
        <v>2</v>
      </c>
      <c r="X536" s="1" t="str">
        <f t="shared" si="24"/>
        <v>maria.vargas65@mail.com</v>
      </c>
      <c r="Y536" s="1" t="str">
        <f>INDEX(V:V,MATCH(orders_desnormalizado_prueba3[[#This Row],[acquisition_channel]],U:U,0))</f>
        <v>Bodega Propia CO - envio 2-3 dias</v>
      </c>
      <c r="Z536" s="1" t="str">
        <f>INDEX(T:T,MATCH(orders_desnormalizado_prueba3[[#This Row],[shipping_cost]],W:W,0))</f>
        <v>Colombia</v>
      </c>
      <c r="AA536" s="1" t="str">
        <f t="shared" si="25"/>
        <v>Cartagena</v>
      </c>
      <c r="AB536" s="1"/>
      <c r="AC536" s="1" t="str">
        <f t="shared" si="26"/>
        <v xml:space="preserve"> </v>
      </c>
    </row>
    <row r="537" spans="1:29" x14ac:dyDescent="0.3">
      <c r="A537" s="1" t="s">
        <v>1334</v>
      </c>
      <c r="B537">
        <v>1</v>
      </c>
      <c r="C537">
        <v>18.989999999999998</v>
      </c>
      <c r="D537">
        <v>18.989999999999998</v>
      </c>
      <c r="E537" s="1" t="s">
        <v>1335</v>
      </c>
      <c r="F537" s="1" t="s">
        <v>51</v>
      </c>
      <c r="G537">
        <v>0</v>
      </c>
      <c r="H537" s="1" t="s">
        <v>96</v>
      </c>
      <c r="I537" s="1" t="s">
        <v>97</v>
      </c>
      <c r="J537">
        <v>6</v>
      </c>
      <c r="K537">
        <v>18.989999999999998</v>
      </c>
      <c r="L537" s="1" t="s">
        <v>60</v>
      </c>
      <c r="M537" s="1" t="s">
        <v>43</v>
      </c>
      <c r="N537" s="1" t="s">
        <v>44</v>
      </c>
      <c r="O537" s="1" t="s">
        <v>31</v>
      </c>
      <c r="P537" s="2">
        <v>45823</v>
      </c>
      <c r="Q537" s="1" t="s">
        <v>1336</v>
      </c>
      <c r="R537" s="1" t="s">
        <v>1337</v>
      </c>
      <c r="S537" s="1" t="s">
        <v>105</v>
      </c>
      <c r="T537" s="1" t="s">
        <v>35</v>
      </c>
      <c r="U537" s="1" t="s">
        <v>55</v>
      </c>
      <c r="V537" s="1" t="s">
        <v>100</v>
      </c>
      <c r="W537">
        <v>3.2</v>
      </c>
      <c r="X537" s="1" t="str">
        <f t="shared" si="24"/>
        <v>felipe.torres155@mail.com</v>
      </c>
      <c r="Y537" s="1" t="str">
        <f>INDEX(V:V,MATCH(orders_desnormalizado_prueba3[[#This Row],[acquisition_channel]],U:U,0))</f>
        <v>Bodega Propia CO - envio 2-3 dias</v>
      </c>
      <c r="Z537" s="1" t="str">
        <f>INDEX(T:T,MATCH(orders_desnormalizado_prueba3[[#This Row],[shipping_cost]],W:W,0))</f>
        <v>Colombia</v>
      </c>
      <c r="AA537" s="1" t="str">
        <f t="shared" si="25"/>
        <v>Cartagena</v>
      </c>
      <c r="AB537" s="1"/>
      <c r="AC537" s="1" t="str">
        <f t="shared" si="26"/>
        <v xml:space="preserve"> </v>
      </c>
    </row>
    <row r="538" spans="1:29" x14ac:dyDescent="0.3">
      <c r="A538" s="1" t="s">
        <v>1338</v>
      </c>
      <c r="B538">
        <v>1</v>
      </c>
      <c r="C538">
        <v>34.99</v>
      </c>
      <c r="D538">
        <v>34.99</v>
      </c>
      <c r="E538" s="1" t="s">
        <v>1008</v>
      </c>
      <c r="F538" s="1" t="s">
        <v>51</v>
      </c>
      <c r="G538">
        <v>0</v>
      </c>
      <c r="H538" s="1" t="s">
        <v>41</v>
      </c>
      <c r="I538" s="1" t="s">
        <v>85</v>
      </c>
      <c r="J538">
        <v>12.5</v>
      </c>
      <c r="K538">
        <v>34.99</v>
      </c>
      <c r="L538" s="1" t="s">
        <v>60</v>
      </c>
      <c r="M538" s="1" t="s">
        <v>29</v>
      </c>
      <c r="N538" s="1" t="s">
        <v>30</v>
      </c>
      <c r="O538" s="1" t="s">
        <v>31</v>
      </c>
      <c r="P538" s="2">
        <v>45778</v>
      </c>
      <c r="Q538" s="1" t="s">
        <v>865</v>
      </c>
      <c r="R538" s="1" t="s">
        <v>866</v>
      </c>
      <c r="S538" s="1" t="s">
        <v>105</v>
      </c>
      <c r="T538" s="1" t="s">
        <v>35</v>
      </c>
      <c r="U538" s="1" t="s">
        <v>36</v>
      </c>
      <c r="V538" s="1" t="s">
        <v>89</v>
      </c>
      <c r="W538">
        <v>2.4</v>
      </c>
      <c r="X538" s="1" t="str">
        <f t="shared" si="24"/>
        <v>juan.ortiz87@mail.com</v>
      </c>
      <c r="Y538" s="1" t="str">
        <f>INDEX(V:V,MATCH(orders_desnormalizado_prueba3[[#This Row],[acquisition_channel]],U:U,0))</f>
        <v>Bodega Propia CO - envio 2-3 dias</v>
      </c>
      <c r="Z538" s="1" t="str">
        <f>INDEX(T:T,MATCH(orders_desnormalizado_prueba3[[#This Row],[shipping_cost]],W:W,0))</f>
        <v>Colombia</v>
      </c>
      <c r="AA538" s="1" t="str">
        <f t="shared" si="25"/>
        <v>Cartagena</v>
      </c>
      <c r="AB538" s="1"/>
      <c r="AC538" s="1" t="str">
        <f t="shared" si="26"/>
        <v xml:space="preserve"> </v>
      </c>
    </row>
    <row r="539" spans="1:29" x14ac:dyDescent="0.3">
      <c r="A539" s="1" t="s">
        <v>1339</v>
      </c>
      <c r="B539">
        <v>3</v>
      </c>
      <c r="C539">
        <v>34.99</v>
      </c>
      <c r="D539">
        <v>83.88</v>
      </c>
      <c r="E539" s="1" t="s">
        <v>1340</v>
      </c>
      <c r="F539" s="1" t="s">
        <v>40</v>
      </c>
      <c r="G539">
        <v>6</v>
      </c>
      <c r="H539" s="1" t="s">
        <v>58</v>
      </c>
      <c r="I539" s="1" t="s">
        <v>85</v>
      </c>
      <c r="J539">
        <v>12.5</v>
      </c>
      <c r="K539">
        <v>34.99</v>
      </c>
      <c r="L539" s="1" t="s">
        <v>60</v>
      </c>
      <c r="M539" s="1" t="s">
        <v>29</v>
      </c>
      <c r="N539" s="1" t="s">
        <v>30</v>
      </c>
      <c r="O539" s="1" t="s">
        <v>31</v>
      </c>
      <c r="P539" s="2">
        <v>45778</v>
      </c>
      <c r="Q539" s="1" t="s">
        <v>1052</v>
      </c>
      <c r="R539" s="1" t="s">
        <v>1053</v>
      </c>
      <c r="S539" s="1" t="s">
        <v>105</v>
      </c>
      <c r="T539" s="1" t="s">
        <v>35</v>
      </c>
      <c r="U539" s="1" t="s">
        <v>55</v>
      </c>
      <c r="V539" s="1" t="s">
        <v>89</v>
      </c>
      <c r="W539">
        <v>2.4</v>
      </c>
      <c r="X539" s="1" t="str">
        <f t="shared" si="24"/>
        <v>ximena.sanchez17@mail.com</v>
      </c>
      <c r="Y539" s="1" t="str">
        <f>INDEX(V:V,MATCH(orders_desnormalizado_prueba3[[#This Row],[acquisition_channel]],U:U,0))</f>
        <v>Bodega Propia CO - envio 2-3 dias</v>
      </c>
      <c r="Z539" s="1" t="str">
        <f>INDEX(T:T,MATCH(orders_desnormalizado_prueba3[[#This Row],[shipping_cost]],W:W,0))</f>
        <v>Colombia</v>
      </c>
      <c r="AA539" s="1" t="str">
        <f t="shared" si="25"/>
        <v>Medellin</v>
      </c>
      <c r="AB539" s="1"/>
      <c r="AC539" s="1" t="str">
        <f t="shared" si="26"/>
        <v xml:space="preserve"> </v>
      </c>
    </row>
    <row r="540" spans="1:29" x14ac:dyDescent="0.3">
      <c r="A540" s="1" t="s">
        <v>1341</v>
      </c>
      <c r="B540">
        <v>1</v>
      </c>
      <c r="C540">
        <v>21.99</v>
      </c>
      <c r="D540">
        <v>21.99</v>
      </c>
      <c r="E540" s="1" t="s">
        <v>881</v>
      </c>
      <c r="F540" s="1" t="s">
        <v>40</v>
      </c>
      <c r="G540">
        <v>2</v>
      </c>
      <c r="H540" s="1" t="s">
        <v>58</v>
      </c>
      <c r="I540" s="1" t="s">
        <v>27</v>
      </c>
      <c r="J540">
        <v>7</v>
      </c>
      <c r="K540">
        <v>21.99</v>
      </c>
      <c r="L540" s="1" t="s">
        <v>28</v>
      </c>
      <c r="M540" s="1" t="s">
        <v>29</v>
      </c>
      <c r="N540" s="1" t="s">
        <v>30</v>
      </c>
      <c r="O540" s="1" t="s">
        <v>31</v>
      </c>
      <c r="P540" s="2">
        <v>45778</v>
      </c>
      <c r="Q540" s="1" t="s">
        <v>1342</v>
      </c>
      <c r="R540" s="1" t="s">
        <v>1343</v>
      </c>
      <c r="S540" s="1" t="s">
        <v>88</v>
      </c>
      <c r="T540" s="1" t="s">
        <v>35</v>
      </c>
      <c r="U540" s="1" t="s">
        <v>48</v>
      </c>
      <c r="V540" s="1" t="s">
        <v>37</v>
      </c>
      <c r="W540">
        <v>2</v>
      </c>
      <c r="X540" s="1" t="str">
        <f t="shared" si="24"/>
        <v>david.torres153@mail.com</v>
      </c>
      <c r="Y540" s="1" t="str">
        <f>INDEX(V:V,MATCH(orders_desnormalizado_prueba3[[#This Row],[acquisition_channel]],U:U,0))</f>
        <v>Bodega Propia CO - envio 2-3 dias</v>
      </c>
      <c r="Z540" s="1" t="str">
        <f>INDEX(T:T,MATCH(orders_desnormalizado_prueba3[[#This Row],[shipping_cost]],W:W,0))</f>
        <v>Colombia</v>
      </c>
      <c r="AA540" s="1" t="str">
        <f t="shared" si="25"/>
        <v>Medellin</v>
      </c>
      <c r="AB540" s="1"/>
      <c r="AC540" s="1" t="str">
        <f t="shared" si="26"/>
        <v xml:space="preserve"> </v>
      </c>
    </row>
    <row r="541" spans="1:29" x14ac:dyDescent="0.3">
      <c r="A541" s="1" t="s">
        <v>1344</v>
      </c>
      <c r="B541">
        <v>1</v>
      </c>
      <c r="C541">
        <v>30.99</v>
      </c>
      <c r="D541">
        <v>30.99</v>
      </c>
      <c r="E541" s="1" t="s">
        <v>1345</v>
      </c>
      <c r="F541" s="1" t="s">
        <v>188</v>
      </c>
      <c r="G541">
        <v>0</v>
      </c>
      <c r="H541" s="1" t="s">
        <v>96</v>
      </c>
      <c r="I541" s="1" t="s">
        <v>42</v>
      </c>
      <c r="J541">
        <v>10.5</v>
      </c>
      <c r="K541">
        <v>30.99</v>
      </c>
      <c r="L541" s="1" t="s">
        <v>28</v>
      </c>
      <c r="M541" s="1" t="s">
        <v>43</v>
      </c>
      <c r="N541" s="1" t="s">
        <v>44</v>
      </c>
      <c r="O541" s="1" t="s">
        <v>31</v>
      </c>
      <c r="P541" s="2">
        <v>45823</v>
      </c>
      <c r="Q541" s="1" t="s">
        <v>943</v>
      </c>
      <c r="R541" s="1" t="s">
        <v>1346</v>
      </c>
      <c r="S541" s="1" t="s">
        <v>54</v>
      </c>
      <c r="T541" s="1" t="s">
        <v>35</v>
      </c>
      <c r="U541" s="1" t="s">
        <v>55</v>
      </c>
      <c r="V541" s="1" t="s">
        <v>37</v>
      </c>
      <c r="W541">
        <v>2</v>
      </c>
      <c r="X541" s="1" t="str">
        <f t="shared" si="24"/>
        <v>diego.lopez18@mail.com</v>
      </c>
      <c r="Y541" s="1" t="str">
        <f>INDEX(V:V,MATCH(orders_desnormalizado_prueba3[[#This Row],[acquisition_channel]],U:U,0))</f>
        <v>Bodega Propia CO - envio 2-3 dias</v>
      </c>
      <c r="Z541" s="1" t="str">
        <f>INDEX(T:T,MATCH(orders_desnormalizado_prueba3[[#This Row],[shipping_cost]],W:W,0))</f>
        <v>Colombia</v>
      </c>
      <c r="AA541" s="1" t="str">
        <f t="shared" si="25"/>
        <v>Cartagena</v>
      </c>
      <c r="AB541" s="1"/>
      <c r="AC541" s="1" t="str">
        <f t="shared" si="26"/>
        <v xml:space="preserve"> </v>
      </c>
    </row>
    <row r="542" spans="1:29" x14ac:dyDescent="0.3">
      <c r="A542" s="1" t="s">
        <v>1347</v>
      </c>
      <c r="B542">
        <v>2</v>
      </c>
      <c r="C542">
        <v>34.99</v>
      </c>
      <c r="D542">
        <v>61.06</v>
      </c>
      <c r="E542" s="1" t="s">
        <v>1348</v>
      </c>
      <c r="F542" s="1" t="s">
        <v>25</v>
      </c>
      <c r="G542">
        <v>8</v>
      </c>
      <c r="H542" s="1" t="s">
        <v>96</v>
      </c>
      <c r="I542" s="1" t="s">
        <v>85</v>
      </c>
      <c r="J542">
        <v>12.5</v>
      </c>
      <c r="K542">
        <v>34.99</v>
      </c>
      <c r="L542" s="1" t="s">
        <v>60</v>
      </c>
      <c r="M542" s="1" t="s">
        <v>29</v>
      </c>
      <c r="N542" s="1" t="s">
        <v>30</v>
      </c>
      <c r="O542" s="1" t="s">
        <v>31</v>
      </c>
      <c r="P542" s="2">
        <v>45778</v>
      </c>
      <c r="Q542" s="1" t="s">
        <v>1349</v>
      </c>
      <c r="R542" s="1" t="s">
        <v>1350</v>
      </c>
      <c r="S542" s="1" t="s">
        <v>47</v>
      </c>
      <c r="T542" s="1" t="s">
        <v>35</v>
      </c>
      <c r="U542" s="1" t="s">
        <v>48</v>
      </c>
      <c r="V542" s="1" t="s">
        <v>89</v>
      </c>
      <c r="W542">
        <v>2.4</v>
      </c>
      <c r="X542" s="1" t="str">
        <f t="shared" si="24"/>
        <v>catalina.moreno180@mail.com</v>
      </c>
      <c r="Y542" s="1" t="str">
        <f>INDEX(V:V,MATCH(orders_desnormalizado_prueba3[[#This Row],[acquisition_channel]],U:U,0))</f>
        <v>Bodega Propia CO - envio 2-3 dias</v>
      </c>
      <c r="Z542" s="1" t="str">
        <f>INDEX(T:T,MATCH(orders_desnormalizado_prueba3[[#This Row],[shipping_cost]],W:W,0))</f>
        <v>Colombia</v>
      </c>
      <c r="AA542" s="1" t="str">
        <f t="shared" si="25"/>
        <v>Barranquilla</v>
      </c>
      <c r="AB542" s="1"/>
      <c r="AC542" s="1" t="str">
        <f t="shared" si="26"/>
        <v xml:space="preserve"> </v>
      </c>
    </row>
    <row r="543" spans="1:29" x14ac:dyDescent="0.3">
      <c r="A543" s="1" t="s">
        <v>1351</v>
      </c>
      <c r="B543">
        <v>1</v>
      </c>
      <c r="C543">
        <v>27.99</v>
      </c>
      <c r="D543">
        <v>27.99</v>
      </c>
      <c r="E543" s="1" t="s">
        <v>1352</v>
      </c>
      <c r="F543" s="1" t="s">
        <v>40</v>
      </c>
      <c r="G543">
        <v>3</v>
      </c>
      <c r="H543" s="1" t="s">
        <v>26</v>
      </c>
      <c r="I543" s="1" t="s">
        <v>75</v>
      </c>
      <c r="J543">
        <v>9</v>
      </c>
      <c r="K543">
        <v>27.99</v>
      </c>
      <c r="L543" s="1" t="s">
        <v>28</v>
      </c>
      <c r="M543" s="1" t="s">
        <v>61</v>
      </c>
      <c r="N543" s="1" t="s">
        <v>62</v>
      </c>
      <c r="O543" s="1" t="s">
        <v>31</v>
      </c>
      <c r="P543" s="2">
        <v>45726</v>
      </c>
      <c r="Q543" s="1" t="s">
        <v>593</v>
      </c>
      <c r="R543" s="1" t="s">
        <v>1353</v>
      </c>
      <c r="S543" s="1" t="s">
        <v>65</v>
      </c>
      <c r="T543" s="1" t="s">
        <v>35</v>
      </c>
      <c r="U543" s="1" t="s">
        <v>66</v>
      </c>
      <c r="V543" s="1" t="s">
        <v>37</v>
      </c>
      <c r="W543">
        <v>2</v>
      </c>
      <c r="X543" s="1" t="str">
        <f t="shared" si="24"/>
        <v>santiago.vargas41@mail.com</v>
      </c>
      <c r="Y543" s="1" t="str">
        <f>INDEX(V:V,MATCH(orders_desnormalizado_prueba3[[#This Row],[acquisition_channel]],U:U,0))</f>
        <v>AliDropship CN - envio 15-20 dias</v>
      </c>
      <c r="Z543" s="1" t="str">
        <f>INDEX(T:T,MATCH(orders_desnormalizado_prueba3[[#This Row],[shipping_cost]],W:W,0))</f>
        <v>Colombia</v>
      </c>
      <c r="AA543" s="1" t="str">
        <f t="shared" si="25"/>
        <v>Barranquilla</v>
      </c>
      <c r="AB543" s="1"/>
      <c r="AC543" s="1" t="str">
        <f t="shared" si="26"/>
        <v xml:space="preserve"> </v>
      </c>
    </row>
    <row r="544" spans="1:29" x14ac:dyDescent="0.3">
      <c r="A544" s="1" t="s">
        <v>1354</v>
      </c>
      <c r="B544">
        <v>1</v>
      </c>
      <c r="C544">
        <v>16.989999999999998</v>
      </c>
      <c r="D544">
        <v>16.989999999999998</v>
      </c>
      <c r="E544" s="1" t="s">
        <v>1355</v>
      </c>
      <c r="F544" s="1" t="s">
        <v>40</v>
      </c>
      <c r="G544">
        <v>23</v>
      </c>
      <c r="H544" s="1" t="s">
        <v>58</v>
      </c>
      <c r="I544" s="1" t="s">
        <v>59</v>
      </c>
      <c r="J544">
        <v>5</v>
      </c>
      <c r="K544">
        <v>16.989999999999998</v>
      </c>
      <c r="L544" s="1" t="s">
        <v>60</v>
      </c>
      <c r="M544" s="1" t="s">
        <v>61</v>
      </c>
      <c r="N544" s="1" t="s">
        <v>62</v>
      </c>
      <c r="O544" s="1" t="s">
        <v>31</v>
      </c>
      <c r="P544" s="2">
        <v>45726</v>
      </c>
      <c r="Q544" s="1" t="s">
        <v>1356</v>
      </c>
      <c r="R544" s="1" t="s">
        <v>1357</v>
      </c>
      <c r="S544" s="1" t="s">
        <v>34</v>
      </c>
      <c r="T544" s="1" t="s">
        <v>35</v>
      </c>
      <c r="U544" s="1" t="s">
        <v>55</v>
      </c>
      <c r="V544" s="1" t="s">
        <v>67</v>
      </c>
      <c r="W544">
        <v>3</v>
      </c>
      <c r="X544" s="1" t="str">
        <f t="shared" si="24"/>
        <v>antonia.lopez65@mail.com</v>
      </c>
      <c r="Y544" s="1" t="str">
        <f>INDEX(V:V,MATCH(orders_desnormalizado_prueba3[[#This Row],[acquisition_channel]],U:U,0))</f>
        <v>Bodega Propia CO - envio 2-3 dias</v>
      </c>
      <c r="Z544" s="1" t="str">
        <f>INDEX(T:T,MATCH(orders_desnormalizado_prueba3[[#This Row],[shipping_cost]],W:W,0))</f>
        <v>Colombia</v>
      </c>
      <c r="AA544" s="1" t="str">
        <f t="shared" si="25"/>
        <v>Medellin</v>
      </c>
      <c r="AB544" s="1"/>
      <c r="AC544" s="1" t="str">
        <f t="shared" si="26"/>
        <v xml:space="preserve"> </v>
      </c>
    </row>
    <row r="545" spans="1:29" x14ac:dyDescent="0.3">
      <c r="A545" s="1" t="s">
        <v>1358</v>
      </c>
      <c r="B545">
        <v>2</v>
      </c>
      <c r="C545">
        <v>34.99</v>
      </c>
      <c r="D545">
        <v>60.13</v>
      </c>
      <c r="E545" s="1" t="s">
        <v>1359</v>
      </c>
      <c r="F545" s="1" t="s">
        <v>40</v>
      </c>
      <c r="G545">
        <v>8</v>
      </c>
      <c r="H545" s="1" t="s">
        <v>96</v>
      </c>
      <c r="I545" s="1" t="s">
        <v>85</v>
      </c>
      <c r="J545">
        <v>12.5</v>
      </c>
      <c r="K545">
        <v>34.99</v>
      </c>
      <c r="L545" s="1" t="s">
        <v>60</v>
      </c>
      <c r="M545" s="1" t="s">
        <v>29</v>
      </c>
      <c r="N545" s="1" t="s">
        <v>30</v>
      </c>
      <c r="O545" s="1" t="s">
        <v>31</v>
      </c>
      <c r="P545" s="2">
        <v>45778</v>
      </c>
      <c r="Q545" s="1" t="s">
        <v>793</v>
      </c>
      <c r="R545" s="1" t="s">
        <v>794</v>
      </c>
      <c r="S545" s="1" t="s">
        <v>34</v>
      </c>
      <c r="T545" s="1" t="s">
        <v>35</v>
      </c>
      <c r="U545" s="1" t="s">
        <v>82</v>
      </c>
      <c r="V545" s="1" t="s">
        <v>89</v>
      </c>
      <c r="W545">
        <v>2.4</v>
      </c>
      <c r="X545" s="1" t="str">
        <f t="shared" si="24"/>
        <v>esteban.ortiz133@mail.com</v>
      </c>
      <c r="Y545" s="1" t="str">
        <f>INDEX(V:V,MATCH(orders_desnormalizado_prueba3[[#This Row],[acquisition_channel]],U:U,0))</f>
        <v>Bodega Propia CO - envio 2-3 dias</v>
      </c>
      <c r="Z545" s="1" t="str">
        <f>INDEX(T:T,MATCH(orders_desnormalizado_prueba3[[#This Row],[shipping_cost]],W:W,0))</f>
        <v>Colombia</v>
      </c>
      <c r="AA545" s="1" t="str">
        <f t="shared" si="25"/>
        <v>Barranquilla</v>
      </c>
      <c r="AB545" s="1"/>
      <c r="AC545" s="1" t="str">
        <f t="shared" si="26"/>
        <v xml:space="preserve"> </v>
      </c>
    </row>
    <row r="546" spans="1:29" x14ac:dyDescent="0.3">
      <c r="A546" s="1" t="s">
        <v>1360</v>
      </c>
      <c r="B546">
        <v>1</v>
      </c>
      <c r="C546">
        <v>16.989999999999998</v>
      </c>
      <c r="D546">
        <v>16.989999999999998</v>
      </c>
      <c r="E546" s="1" t="s">
        <v>704</v>
      </c>
      <c r="F546" s="1" t="s">
        <v>40</v>
      </c>
      <c r="G546">
        <v>20</v>
      </c>
      <c r="H546" s="1" t="s">
        <v>58</v>
      </c>
      <c r="I546" s="1" t="s">
        <v>59</v>
      </c>
      <c r="J546">
        <v>5</v>
      </c>
      <c r="K546">
        <v>16.989999999999998</v>
      </c>
      <c r="L546" s="1" t="s">
        <v>60</v>
      </c>
      <c r="M546" s="1" t="s">
        <v>61</v>
      </c>
      <c r="N546" s="1" t="s">
        <v>62</v>
      </c>
      <c r="O546" s="1" t="s">
        <v>31</v>
      </c>
      <c r="P546" s="2">
        <v>45726</v>
      </c>
      <c r="Q546" s="1" t="s">
        <v>133</v>
      </c>
      <c r="R546" s="1" t="s">
        <v>776</v>
      </c>
      <c r="S546" s="1" t="s">
        <v>88</v>
      </c>
      <c r="T546" s="1" t="s">
        <v>35</v>
      </c>
      <c r="U546" s="1" t="s">
        <v>48</v>
      </c>
      <c r="V546" s="1" t="s">
        <v>67</v>
      </c>
      <c r="W546">
        <v>3</v>
      </c>
      <c r="X546" s="1" t="str">
        <f t="shared" si="24"/>
        <v>isabella.diaz18@mail.com</v>
      </c>
      <c r="Y546" s="1" t="str">
        <f>INDEX(V:V,MATCH(orders_desnormalizado_prueba3[[#This Row],[acquisition_channel]],U:U,0))</f>
        <v>Bodega Propia CO - envio 2-3 dias</v>
      </c>
      <c r="Z546" s="1" t="str">
        <f>INDEX(T:T,MATCH(orders_desnormalizado_prueba3[[#This Row],[shipping_cost]],W:W,0))</f>
        <v>Colombia</v>
      </c>
      <c r="AA546" s="1" t="str">
        <f t="shared" si="25"/>
        <v>Bucaramanga</v>
      </c>
      <c r="AB546" s="1"/>
      <c r="AC546" s="1" t="str">
        <f t="shared" si="26"/>
        <v xml:space="preserve"> </v>
      </c>
    </row>
    <row r="547" spans="1:29" x14ac:dyDescent="0.3">
      <c r="A547" s="1" t="s">
        <v>1361</v>
      </c>
      <c r="B547">
        <v>1</v>
      </c>
      <c r="C547">
        <v>34.99</v>
      </c>
      <c r="D547">
        <v>34.99</v>
      </c>
      <c r="E547" s="1" t="s">
        <v>1100</v>
      </c>
      <c r="F547" s="1" t="s">
        <v>40</v>
      </c>
      <c r="G547">
        <v>6</v>
      </c>
      <c r="H547" s="1" t="s">
        <v>41</v>
      </c>
      <c r="I547" s="1" t="s">
        <v>85</v>
      </c>
      <c r="J547">
        <v>12.5</v>
      </c>
      <c r="K547">
        <v>34.99</v>
      </c>
      <c r="L547" s="1" t="s">
        <v>60</v>
      </c>
      <c r="M547" s="1" t="s">
        <v>29</v>
      </c>
      <c r="N547" s="1" t="s">
        <v>30</v>
      </c>
      <c r="O547" s="1" t="s">
        <v>31</v>
      </c>
      <c r="P547" s="2">
        <v>45778</v>
      </c>
      <c r="Q547" s="1" t="s">
        <v>1362</v>
      </c>
      <c r="R547" s="1" t="s">
        <v>1363</v>
      </c>
      <c r="S547" s="1" t="s">
        <v>47</v>
      </c>
      <c r="T547" s="1" t="s">
        <v>35</v>
      </c>
      <c r="U547" s="1" t="s">
        <v>55</v>
      </c>
      <c r="V547" s="1" t="s">
        <v>89</v>
      </c>
      <c r="W547">
        <v>2.4</v>
      </c>
      <c r="X547" s="1" t="str">
        <f t="shared" si="24"/>
        <v>sofia.rodriguez63@mail.com</v>
      </c>
      <c r="Y547" s="1" t="str">
        <f>INDEX(V:V,MATCH(orders_desnormalizado_prueba3[[#This Row],[acquisition_channel]],U:U,0))</f>
        <v>Bodega Propia CO - envio 2-3 dias</v>
      </c>
      <c r="Z547" s="1" t="str">
        <f>INDEX(T:T,MATCH(orders_desnormalizado_prueba3[[#This Row],[shipping_cost]],W:W,0))</f>
        <v>Colombia</v>
      </c>
      <c r="AA547" s="1" t="str">
        <f t="shared" si="25"/>
        <v>Medellin</v>
      </c>
      <c r="AB547" s="1"/>
      <c r="AC547" s="1" t="str">
        <f t="shared" si="26"/>
        <v xml:space="preserve"> </v>
      </c>
    </row>
    <row r="548" spans="1:29" x14ac:dyDescent="0.3">
      <c r="A548" s="1" t="s">
        <v>1364</v>
      </c>
      <c r="B548">
        <v>1</v>
      </c>
      <c r="C548">
        <v>27.99</v>
      </c>
      <c r="D548">
        <v>27.99</v>
      </c>
      <c r="E548" s="1" t="s">
        <v>771</v>
      </c>
      <c r="F548" s="1" t="s">
        <v>40</v>
      </c>
      <c r="G548">
        <v>2</v>
      </c>
      <c r="H548" s="1" t="s">
        <v>96</v>
      </c>
      <c r="I548" s="1" t="s">
        <v>75</v>
      </c>
      <c r="J548">
        <v>9</v>
      </c>
      <c r="K548">
        <v>27.99</v>
      </c>
      <c r="L548" s="1" t="s">
        <v>28</v>
      </c>
      <c r="M548" s="1" t="s">
        <v>61</v>
      </c>
      <c r="N548" s="1" t="s">
        <v>62</v>
      </c>
      <c r="O548" s="1" t="s">
        <v>31</v>
      </c>
      <c r="P548" s="2">
        <v>45726</v>
      </c>
      <c r="Q548" s="1" t="s">
        <v>1191</v>
      </c>
      <c r="R548" s="1" t="s">
        <v>1365</v>
      </c>
      <c r="S548" s="1" t="s">
        <v>54</v>
      </c>
      <c r="T548" s="1" t="s">
        <v>35</v>
      </c>
      <c r="U548" s="1" t="s">
        <v>82</v>
      </c>
      <c r="V548" s="1" t="s">
        <v>37</v>
      </c>
      <c r="W548">
        <v>2</v>
      </c>
      <c r="X548" s="1" t="str">
        <f t="shared" si="24"/>
        <v>esteban.ramirez113@mail.com</v>
      </c>
      <c r="Y548" s="1" t="str">
        <f>INDEX(V:V,MATCH(orders_desnormalizado_prueba3[[#This Row],[acquisition_channel]],U:U,0))</f>
        <v>Bodega Propia CO - envio 2-3 dias</v>
      </c>
      <c r="Z548" s="1" t="str">
        <f>INDEX(T:T,MATCH(orders_desnormalizado_prueba3[[#This Row],[shipping_cost]],W:W,0))</f>
        <v>Colombia</v>
      </c>
      <c r="AA548" s="1" t="str">
        <f t="shared" si="25"/>
        <v>Medellin</v>
      </c>
      <c r="AB548" s="1"/>
      <c r="AC548" s="1" t="str">
        <f t="shared" si="26"/>
        <v xml:space="preserve"> </v>
      </c>
    </row>
    <row r="549" spans="1:29" x14ac:dyDescent="0.3">
      <c r="A549" s="1" t="s">
        <v>1366</v>
      </c>
      <c r="B549">
        <v>1</v>
      </c>
      <c r="C549">
        <v>34.99</v>
      </c>
      <c r="D549">
        <v>34.99</v>
      </c>
      <c r="E549" s="1" t="s">
        <v>1367</v>
      </c>
      <c r="F549" s="1" t="s">
        <v>25</v>
      </c>
      <c r="G549">
        <v>8</v>
      </c>
      <c r="H549" s="1" t="s">
        <v>26</v>
      </c>
      <c r="I549" s="1" t="s">
        <v>85</v>
      </c>
      <c r="J549">
        <v>12.5</v>
      </c>
      <c r="K549">
        <v>34.99</v>
      </c>
      <c r="L549" s="1" t="s">
        <v>60</v>
      </c>
      <c r="M549" s="1" t="s">
        <v>29</v>
      </c>
      <c r="N549" s="1" t="s">
        <v>30</v>
      </c>
      <c r="O549" s="1" t="s">
        <v>31</v>
      </c>
      <c r="P549" s="2">
        <v>45778</v>
      </c>
      <c r="Q549" s="1" t="s">
        <v>63</v>
      </c>
      <c r="R549" s="1" t="s">
        <v>736</v>
      </c>
      <c r="S549" s="1" t="s">
        <v>47</v>
      </c>
      <c r="T549" s="1" t="s">
        <v>35</v>
      </c>
      <c r="U549" s="1" t="s">
        <v>66</v>
      </c>
      <c r="V549" s="1" t="s">
        <v>89</v>
      </c>
      <c r="W549">
        <v>2.4</v>
      </c>
      <c r="X549" s="1" t="str">
        <f t="shared" si="24"/>
        <v>laura.rodriguez85@mail.com</v>
      </c>
      <c r="Y549" s="1" t="str">
        <f>INDEX(V:V,MATCH(orders_desnormalizado_prueba3[[#This Row],[acquisition_channel]],U:U,0))</f>
        <v>AliDropship CN - envio 15-20 dias</v>
      </c>
      <c r="Z549" s="1" t="str">
        <f>INDEX(T:T,MATCH(orders_desnormalizado_prueba3[[#This Row],[shipping_cost]],W:W,0))</f>
        <v>Colombia</v>
      </c>
      <c r="AA549" s="1" t="str">
        <f t="shared" si="25"/>
        <v>Barranquilla</v>
      </c>
      <c r="AB549" s="1"/>
      <c r="AC549" s="1" t="str">
        <f t="shared" si="26"/>
        <v xml:space="preserve"> </v>
      </c>
    </row>
    <row r="550" spans="1:29" x14ac:dyDescent="0.3">
      <c r="A550" s="1" t="s">
        <v>1368</v>
      </c>
      <c r="B550">
        <v>2</v>
      </c>
      <c r="C550">
        <v>16.989999999999998</v>
      </c>
      <c r="D550">
        <v>29.66</v>
      </c>
      <c r="E550" s="1" t="s">
        <v>1002</v>
      </c>
      <c r="F550" s="1" t="s">
        <v>40</v>
      </c>
      <c r="G550">
        <v>16</v>
      </c>
      <c r="H550" s="1" t="s">
        <v>26</v>
      </c>
      <c r="I550" s="1" t="s">
        <v>59</v>
      </c>
      <c r="J550">
        <v>5</v>
      </c>
      <c r="K550">
        <v>16.989999999999998</v>
      </c>
      <c r="L550" s="1" t="s">
        <v>60</v>
      </c>
      <c r="M550" s="1" t="s">
        <v>61</v>
      </c>
      <c r="N550" s="1" t="s">
        <v>62</v>
      </c>
      <c r="O550" s="1" t="s">
        <v>31</v>
      </c>
      <c r="P550" s="2">
        <v>45726</v>
      </c>
      <c r="Q550" s="1" t="s">
        <v>1195</v>
      </c>
      <c r="R550" s="1" t="s">
        <v>1196</v>
      </c>
      <c r="S550" s="1" t="s">
        <v>54</v>
      </c>
      <c r="T550" s="1" t="s">
        <v>35</v>
      </c>
      <c r="U550" s="1" t="s">
        <v>66</v>
      </c>
      <c r="V550" s="1" t="s">
        <v>67</v>
      </c>
      <c r="W550">
        <v>3</v>
      </c>
      <c r="X550" s="1" t="str">
        <f t="shared" si="24"/>
        <v>catalina.rodriguez37@mail.com</v>
      </c>
      <c r="Y550" s="1" t="str">
        <f>INDEX(V:V,MATCH(orders_desnormalizado_prueba3[[#This Row],[acquisition_channel]],U:U,0))</f>
        <v>AliDropship CN - envio 15-20 dias</v>
      </c>
      <c r="Z550" s="1" t="str">
        <f>INDEX(T:T,MATCH(orders_desnormalizado_prueba3[[#This Row],[shipping_cost]],W:W,0))</f>
        <v>Colombia</v>
      </c>
      <c r="AA550" s="1" t="str">
        <f t="shared" si="25"/>
        <v>Bogota</v>
      </c>
      <c r="AB550" s="1"/>
      <c r="AC550" s="1" t="str">
        <f t="shared" si="26"/>
        <v xml:space="preserve"> </v>
      </c>
    </row>
    <row r="551" spans="1:29" x14ac:dyDescent="0.3">
      <c r="A551" s="1" t="s">
        <v>1369</v>
      </c>
      <c r="B551">
        <v>1</v>
      </c>
      <c r="C551">
        <v>34.99</v>
      </c>
      <c r="D551">
        <v>34.99</v>
      </c>
      <c r="E551" s="1" t="s">
        <v>331</v>
      </c>
      <c r="F551" s="1" t="s">
        <v>40</v>
      </c>
      <c r="G551">
        <v>5</v>
      </c>
      <c r="H551" s="1" t="s">
        <v>26</v>
      </c>
      <c r="I551" s="1" t="s">
        <v>85</v>
      </c>
      <c r="J551">
        <v>12.5</v>
      </c>
      <c r="K551">
        <v>34.99</v>
      </c>
      <c r="L551" s="1" t="s">
        <v>60</v>
      </c>
      <c r="M551" s="1" t="s">
        <v>29</v>
      </c>
      <c r="N551" s="1" t="s">
        <v>30</v>
      </c>
      <c r="O551" s="1" t="s">
        <v>31</v>
      </c>
      <c r="P551" s="2">
        <v>45778</v>
      </c>
      <c r="Q551" s="1" t="s">
        <v>1370</v>
      </c>
      <c r="R551" s="1" t="s">
        <v>1371</v>
      </c>
      <c r="S551" s="1" t="s">
        <v>34</v>
      </c>
      <c r="T551" s="1" t="s">
        <v>35</v>
      </c>
      <c r="U551" s="1" t="s">
        <v>55</v>
      </c>
      <c r="V551" s="1" t="s">
        <v>89</v>
      </c>
      <c r="W551">
        <v>2.4</v>
      </c>
      <c r="X551" s="1" t="str">
        <f t="shared" si="24"/>
        <v>manuela.ramirez60@mail.com</v>
      </c>
      <c r="Y551" s="1" t="str">
        <f>INDEX(V:V,MATCH(orders_desnormalizado_prueba3[[#This Row],[acquisition_channel]],U:U,0))</f>
        <v>Bodega Propia CO - envio 2-3 dias</v>
      </c>
      <c r="Z551" s="1" t="str">
        <f>INDEX(T:T,MATCH(orders_desnormalizado_prueba3[[#This Row],[shipping_cost]],W:W,0))</f>
        <v>Colombia</v>
      </c>
      <c r="AA551" s="1" t="str">
        <f t="shared" si="25"/>
        <v>Cali</v>
      </c>
      <c r="AB551" s="1"/>
      <c r="AC551" s="1" t="str">
        <f t="shared" si="26"/>
        <v xml:space="preserve"> </v>
      </c>
    </row>
    <row r="552" spans="1:29" x14ac:dyDescent="0.3">
      <c r="A552" s="1" t="s">
        <v>1372</v>
      </c>
      <c r="B552">
        <v>2</v>
      </c>
      <c r="C552">
        <v>21.99</v>
      </c>
      <c r="D552">
        <v>38.18</v>
      </c>
      <c r="E552" s="1" t="s">
        <v>1373</v>
      </c>
      <c r="F552" s="1" t="s">
        <v>51</v>
      </c>
      <c r="G552">
        <v>0</v>
      </c>
      <c r="H552" s="1" t="s">
        <v>96</v>
      </c>
      <c r="I552" s="1" t="s">
        <v>27</v>
      </c>
      <c r="J552">
        <v>7</v>
      </c>
      <c r="K552">
        <v>21.99</v>
      </c>
      <c r="L552" s="1" t="s">
        <v>28</v>
      </c>
      <c r="M552" s="1" t="s">
        <v>29</v>
      </c>
      <c r="N552" s="1" t="s">
        <v>30</v>
      </c>
      <c r="O552" s="1" t="s">
        <v>31</v>
      </c>
      <c r="P552" s="2">
        <v>45778</v>
      </c>
      <c r="Q552" s="1" t="s">
        <v>203</v>
      </c>
      <c r="R552" s="1" t="s">
        <v>888</v>
      </c>
      <c r="S552" s="1" t="s">
        <v>88</v>
      </c>
      <c r="T552" s="1" t="s">
        <v>35</v>
      </c>
      <c r="U552" s="1" t="s">
        <v>55</v>
      </c>
      <c r="V552" s="1" t="s">
        <v>37</v>
      </c>
      <c r="W552">
        <v>2</v>
      </c>
      <c r="X552" s="1" t="str">
        <f t="shared" si="24"/>
        <v>daniela.martinez158@mail.com</v>
      </c>
      <c r="Y552" s="1" t="str">
        <f>INDEX(V:V,MATCH(orders_desnormalizado_prueba3[[#This Row],[acquisition_channel]],U:U,0))</f>
        <v>Bodega Propia CO - envio 2-3 dias</v>
      </c>
      <c r="Z552" s="1" t="str">
        <f>INDEX(T:T,MATCH(orders_desnormalizado_prueba3[[#This Row],[shipping_cost]],W:W,0))</f>
        <v>Colombia</v>
      </c>
      <c r="AA552" s="1" t="str">
        <f t="shared" si="25"/>
        <v>Cartagena</v>
      </c>
      <c r="AB552" s="1"/>
      <c r="AC552" s="1" t="str">
        <f t="shared" si="26"/>
        <v xml:space="preserve"> </v>
      </c>
    </row>
    <row r="553" spans="1:29" x14ac:dyDescent="0.3">
      <c r="A553" s="1" t="s">
        <v>1374</v>
      </c>
      <c r="B553">
        <v>1</v>
      </c>
      <c r="C553">
        <v>18.989999999999998</v>
      </c>
      <c r="D553">
        <v>18.989999999999998</v>
      </c>
      <c r="E553" s="1" t="s">
        <v>1375</v>
      </c>
      <c r="F553" s="1" t="s">
        <v>188</v>
      </c>
      <c r="G553">
        <v>0</v>
      </c>
      <c r="H553" s="1" t="s">
        <v>26</v>
      </c>
      <c r="I553" s="1" t="s">
        <v>97</v>
      </c>
      <c r="J553">
        <v>6</v>
      </c>
      <c r="K553">
        <v>18.989999999999998</v>
      </c>
      <c r="L553" s="1" t="s">
        <v>60</v>
      </c>
      <c r="M553" s="1" t="s">
        <v>43</v>
      </c>
      <c r="N553" s="1" t="s">
        <v>44</v>
      </c>
      <c r="O553" s="1" t="s">
        <v>31</v>
      </c>
      <c r="P553" s="2">
        <v>45823</v>
      </c>
      <c r="Q553" s="1" t="s">
        <v>1376</v>
      </c>
      <c r="R553" s="1" t="s">
        <v>1377</v>
      </c>
      <c r="S553" s="1" t="s">
        <v>54</v>
      </c>
      <c r="T553" s="1" t="s">
        <v>35</v>
      </c>
      <c r="U553" s="1" t="s">
        <v>66</v>
      </c>
      <c r="V553" s="1" t="s">
        <v>100</v>
      </c>
      <c r="W553">
        <v>3.2</v>
      </c>
      <c r="X553" s="1" t="str">
        <f t="shared" si="24"/>
        <v>alejandro.jimenez18@mail.com</v>
      </c>
      <c r="Y553" s="1" t="str">
        <f>INDEX(V:V,MATCH(orders_desnormalizado_prueba3[[#This Row],[acquisition_channel]],U:U,0))</f>
        <v>AliDropship CN - envio 15-20 dias</v>
      </c>
      <c r="Z553" s="1" t="str">
        <f>INDEX(T:T,MATCH(orders_desnormalizado_prueba3[[#This Row],[shipping_cost]],W:W,0))</f>
        <v>Colombia</v>
      </c>
      <c r="AA553" s="1" t="str">
        <f t="shared" si="25"/>
        <v>Cartagena</v>
      </c>
      <c r="AB553" s="1"/>
      <c r="AC553" s="1" t="str">
        <f t="shared" si="26"/>
        <v xml:space="preserve"> </v>
      </c>
    </row>
    <row r="554" spans="1:29" x14ac:dyDescent="0.3">
      <c r="A554" s="1" t="s">
        <v>1378</v>
      </c>
      <c r="B554">
        <v>3</v>
      </c>
      <c r="C554">
        <v>34.99</v>
      </c>
      <c r="D554">
        <v>83.72</v>
      </c>
      <c r="E554" s="1" t="s">
        <v>1379</v>
      </c>
      <c r="F554" s="1" t="s">
        <v>40</v>
      </c>
      <c r="G554">
        <v>5</v>
      </c>
      <c r="H554" s="1" t="s">
        <v>96</v>
      </c>
      <c r="I554" s="1" t="s">
        <v>85</v>
      </c>
      <c r="J554">
        <v>12.5</v>
      </c>
      <c r="K554">
        <v>34.99</v>
      </c>
      <c r="L554" s="1" t="s">
        <v>60</v>
      </c>
      <c r="M554" s="1" t="s">
        <v>29</v>
      </c>
      <c r="N554" s="1" t="s">
        <v>30</v>
      </c>
      <c r="O554" s="1" t="s">
        <v>31</v>
      </c>
      <c r="P554" s="2">
        <v>45778</v>
      </c>
      <c r="Q554" s="1" t="s">
        <v>466</v>
      </c>
      <c r="R554" s="1" t="s">
        <v>1104</v>
      </c>
      <c r="S554" s="1" t="s">
        <v>47</v>
      </c>
      <c r="T554" s="1" t="s">
        <v>35</v>
      </c>
      <c r="U554" s="1" t="s">
        <v>66</v>
      </c>
      <c r="V554" s="1" t="s">
        <v>89</v>
      </c>
      <c r="W554">
        <v>2.4</v>
      </c>
      <c r="X554" s="1" t="str">
        <f t="shared" si="24"/>
        <v>valentina.gomez113@mail.com</v>
      </c>
      <c r="Y554" s="1" t="str">
        <f>INDEX(V:V,MATCH(orders_desnormalizado_prueba3[[#This Row],[acquisition_channel]],U:U,0))</f>
        <v>AliDropship CN - envio 15-20 dias</v>
      </c>
      <c r="Z554" s="1" t="str">
        <f>INDEX(T:T,MATCH(orders_desnormalizado_prueba3[[#This Row],[shipping_cost]],W:W,0))</f>
        <v>Colombia</v>
      </c>
      <c r="AA554" s="1" t="str">
        <f t="shared" si="25"/>
        <v>Cali</v>
      </c>
      <c r="AB554" s="1"/>
      <c r="AC554" s="1" t="str">
        <f t="shared" si="26"/>
        <v xml:space="preserve"> </v>
      </c>
    </row>
    <row r="555" spans="1:29" x14ac:dyDescent="0.3">
      <c r="A555" s="1" t="s">
        <v>1380</v>
      </c>
      <c r="B555">
        <v>1</v>
      </c>
      <c r="C555">
        <v>27.99</v>
      </c>
      <c r="D555">
        <v>27.99</v>
      </c>
      <c r="E555" s="1" t="s">
        <v>1381</v>
      </c>
      <c r="F555" s="1" t="s">
        <v>40</v>
      </c>
      <c r="G555">
        <v>8</v>
      </c>
      <c r="H555" s="1" t="s">
        <v>58</v>
      </c>
      <c r="I555" s="1" t="s">
        <v>75</v>
      </c>
      <c r="J555">
        <v>9</v>
      </c>
      <c r="K555">
        <v>27.99</v>
      </c>
      <c r="L555" s="1" t="s">
        <v>28</v>
      </c>
      <c r="M555" s="1" t="s">
        <v>61</v>
      </c>
      <c r="N555" s="1" t="s">
        <v>62</v>
      </c>
      <c r="O555" s="1" t="s">
        <v>31</v>
      </c>
      <c r="P555" s="2">
        <v>45726</v>
      </c>
      <c r="Q555" s="1" t="s">
        <v>1382</v>
      </c>
      <c r="R555" s="1" t="s">
        <v>1383</v>
      </c>
      <c r="S555" s="1" t="s">
        <v>65</v>
      </c>
      <c r="T555" s="1" t="s">
        <v>35</v>
      </c>
      <c r="U555" s="1" t="s">
        <v>82</v>
      </c>
      <c r="V555" s="1" t="s">
        <v>37</v>
      </c>
      <c r="W555">
        <v>2</v>
      </c>
      <c r="X555" s="1" t="str">
        <f t="shared" si="24"/>
        <v>maria.perez11@mail.com</v>
      </c>
      <c r="Y555" s="1" t="str">
        <f>INDEX(V:V,MATCH(orders_desnormalizado_prueba3[[#This Row],[acquisition_channel]],U:U,0))</f>
        <v>Bodega Propia CO - envio 2-3 dias</v>
      </c>
      <c r="Z555" s="1" t="str">
        <f>INDEX(T:T,MATCH(orders_desnormalizado_prueba3[[#This Row],[shipping_cost]],W:W,0))</f>
        <v>Colombia</v>
      </c>
      <c r="AA555" s="1" t="str">
        <f t="shared" si="25"/>
        <v>Barranquilla</v>
      </c>
      <c r="AB555" s="1"/>
      <c r="AC555" s="1" t="str">
        <f t="shared" si="26"/>
        <v xml:space="preserve"> </v>
      </c>
    </row>
    <row r="556" spans="1:29" x14ac:dyDescent="0.3">
      <c r="A556" s="1" t="s">
        <v>1384</v>
      </c>
      <c r="B556">
        <v>1</v>
      </c>
      <c r="C556">
        <v>21.99</v>
      </c>
      <c r="D556">
        <v>21.99</v>
      </c>
      <c r="E556" s="1" t="s">
        <v>1015</v>
      </c>
      <c r="F556" s="1" t="s">
        <v>40</v>
      </c>
      <c r="G556">
        <v>2</v>
      </c>
      <c r="H556" s="1" t="s">
        <v>41</v>
      </c>
      <c r="I556" s="1" t="s">
        <v>27</v>
      </c>
      <c r="J556">
        <v>7</v>
      </c>
      <c r="K556">
        <v>21.99</v>
      </c>
      <c r="L556" s="1" t="s">
        <v>28</v>
      </c>
      <c r="M556" s="1" t="s">
        <v>29</v>
      </c>
      <c r="N556" s="1" t="s">
        <v>30</v>
      </c>
      <c r="O556" s="1" t="s">
        <v>31</v>
      </c>
      <c r="P556" s="2">
        <v>45778</v>
      </c>
      <c r="Q556" s="1" t="s">
        <v>1385</v>
      </c>
      <c r="R556" s="1" t="s">
        <v>1386</v>
      </c>
      <c r="S556" s="1" t="s">
        <v>47</v>
      </c>
      <c r="T556" s="1" t="s">
        <v>35</v>
      </c>
      <c r="U556" s="1" t="s">
        <v>66</v>
      </c>
      <c r="V556" s="1" t="s">
        <v>37</v>
      </c>
      <c r="W556">
        <v>2</v>
      </c>
      <c r="X556" s="1" t="str">
        <f t="shared" si="24"/>
        <v>catalina.torres188@mail.com</v>
      </c>
      <c r="Y556" s="1" t="str">
        <f>INDEX(V:V,MATCH(orders_desnormalizado_prueba3[[#This Row],[acquisition_channel]],U:U,0))</f>
        <v>AliDropship CN - envio 15-20 dias</v>
      </c>
      <c r="Z556" s="1" t="str">
        <f>INDEX(T:T,MATCH(orders_desnormalizado_prueba3[[#This Row],[shipping_cost]],W:W,0))</f>
        <v>Colombia</v>
      </c>
      <c r="AA556" s="1" t="str">
        <f t="shared" si="25"/>
        <v>Medellin</v>
      </c>
      <c r="AB556" s="1"/>
      <c r="AC556" s="1" t="str">
        <f t="shared" si="26"/>
        <v xml:space="preserve"> </v>
      </c>
    </row>
    <row r="557" spans="1:29" x14ac:dyDescent="0.3">
      <c r="A557" s="1" t="s">
        <v>1387</v>
      </c>
      <c r="B557">
        <v>1</v>
      </c>
      <c r="C557">
        <v>27.99</v>
      </c>
      <c r="D557">
        <v>27.99</v>
      </c>
      <c r="E557" s="1" t="s">
        <v>1388</v>
      </c>
      <c r="F557" s="1" t="s">
        <v>40</v>
      </c>
      <c r="G557">
        <v>7</v>
      </c>
      <c r="H557" s="1" t="s">
        <v>96</v>
      </c>
      <c r="I557" s="1" t="s">
        <v>75</v>
      </c>
      <c r="J557">
        <v>9</v>
      </c>
      <c r="K557">
        <v>27.99</v>
      </c>
      <c r="L557" s="1" t="s">
        <v>28</v>
      </c>
      <c r="M557" s="1" t="s">
        <v>61</v>
      </c>
      <c r="N557" s="1" t="s">
        <v>62</v>
      </c>
      <c r="O557" s="1" t="s">
        <v>31</v>
      </c>
      <c r="P557" s="2">
        <v>45726</v>
      </c>
      <c r="Q557" s="1" t="s">
        <v>1275</v>
      </c>
      <c r="R557" s="1" t="s">
        <v>1276</v>
      </c>
      <c r="S557" s="1" t="s">
        <v>47</v>
      </c>
      <c r="T557" s="1" t="s">
        <v>35</v>
      </c>
      <c r="U557" s="1" t="s">
        <v>66</v>
      </c>
      <c r="V557" s="1" t="s">
        <v>37</v>
      </c>
      <c r="W557">
        <v>2</v>
      </c>
      <c r="X557" s="1" t="str">
        <f t="shared" si="24"/>
        <v>laura.ramirez173@mail.com</v>
      </c>
      <c r="Y557" s="1" t="str">
        <f>INDEX(V:V,MATCH(orders_desnormalizado_prueba3[[#This Row],[acquisition_channel]],U:U,0))</f>
        <v>AliDropship CN - envio 15-20 dias</v>
      </c>
      <c r="Z557" s="1" t="str">
        <f>INDEX(T:T,MATCH(orders_desnormalizado_prueba3[[#This Row],[shipping_cost]],W:W,0))</f>
        <v>Colombia</v>
      </c>
      <c r="AA557" s="1" t="str">
        <f t="shared" si="25"/>
        <v>Bogota</v>
      </c>
      <c r="AB557" s="1"/>
      <c r="AC557" s="1" t="str">
        <f t="shared" si="26"/>
        <v xml:space="preserve"> </v>
      </c>
    </row>
    <row r="558" spans="1:29" x14ac:dyDescent="0.3">
      <c r="A558" s="1" t="s">
        <v>1389</v>
      </c>
      <c r="B558">
        <v>1</v>
      </c>
      <c r="C558">
        <v>27.99</v>
      </c>
      <c r="D558">
        <v>27.99</v>
      </c>
      <c r="E558" s="1" t="s">
        <v>1390</v>
      </c>
      <c r="F558" s="1" t="s">
        <v>70</v>
      </c>
      <c r="G558">
        <v>0</v>
      </c>
      <c r="H558" s="1" t="s">
        <v>96</v>
      </c>
      <c r="I558" s="1" t="s">
        <v>75</v>
      </c>
      <c r="J558">
        <v>9</v>
      </c>
      <c r="K558">
        <v>27.99</v>
      </c>
      <c r="L558" s="1" t="s">
        <v>28</v>
      </c>
      <c r="M558" s="1" t="s">
        <v>61</v>
      </c>
      <c r="N558" s="1" t="s">
        <v>62</v>
      </c>
      <c r="O558" s="1" t="s">
        <v>31</v>
      </c>
      <c r="P558" s="2">
        <v>45726</v>
      </c>
      <c r="Q558" s="1" t="s">
        <v>358</v>
      </c>
      <c r="R558" s="1" t="s">
        <v>1391</v>
      </c>
      <c r="S558" s="1" t="s">
        <v>34</v>
      </c>
      <c r="T558" s="1" t="s">
        <v>35</v>
      </c>
      <c r="U558" s="1" t="s">
        <v>82</v>
      </c>
      <c r="V558" s="1" t="s">
        <v>37</v>
      </c>
      <c r="W558">
        <v>2</v>
      </c>
      <c r="X558" s="1" t="str">
        <f t="shared" si="24"/>
        <v>valentina.sanchez97@mail.com</v>
      </c>
      <c r="Y558" s="1" t="str">
        <f>INDEX(V:V,MATCH(orders_desnormalizado_prueba3[[#This Row],[acquisition_channel]],U:U,0))</f>
        <v>Bodega Propia CO - envio 2-3 dias</v>
      </c>
      <c r="Z558" s="1" t="str">
        <f>INDEX(T:T,MATCH(orders_desnormalizado_prueba3[[#This Row],[shipping_cost]],W:W,0))</f>
        <v>Colombia</v>
      </c>
      <c r="AA558" s="1" t="str">
        <f t="shared" si="25"/>
        <v>Cartagena</v>
      </c>
      <c r="AB558" s="1"/>
      <c r="AC558" s="1" t="str">
        <f t="shared" si="26"/>
        <v xml:space="preserve"> </v>
      </c>
    </row>
    <row r="559" spans="1:29" x14ac:dyDescent="0.3">
      <c r="A559" s="1" t="s">
        <v>1392</v>
      </c>
      <c r="B559">
        <v>1</v>
      </c>
      <c r="C559">
        <v>30.99</v>
      </c>
      <c r="D559">
        <v>30.99</v>
      </c>
      <c r="E559" s="1" t="s">
        <v>1393</v>
      </c>
      <c r="F559" s="1" t="s">
        <v>51</v>
      </c>
      <c r="G559">
        <v>0</v>
      </c>
      <c r="H559" s="1" t="s">
        <v>58</v>
      </c>
      <c r="I559" s="1" t="s">
        <v>42</v>
      </c>
      <c r="J559">
        <v>10.5</v>
      </c>
      <c r="K559">
        <v>30.99</v>
      </c>
      <c r="L559" s="1" t="s">
        <v>28</v>
      </c>
      <c r="M559" s="1" t="s">
        <v>43</v>
      </c>
      <c r="N559" s="1" t="s">
        <v>44</v>
      </c>
      <c r="O559" s="1" t="s">
        <v>31</v>
      </c>
      <c r="P559" s="2">
        <v>45823</v>
      </c>
      <c r="Q559" s="1" t="s">
        <v>1342</v>
      </c>
      <c r="R559" s="1" t="s">
        <v>1343</v>
      </c>
      <c r="S559" s="1" t="s">
        <v>88</v>
      </c>
      <c r="T559" s="1" t="s">
        <v>35</v>
      </c>
      <c r="U559" s="1" t="s">
        <v>48</v>
      </c>
      <c r="V559" s="1" t="s">
        <v>37</v>
      </c>
      <c r="W559">
        <v>2</v>
      </c>
      <c r="X559" s="1" t="str">
        <f t="shared" si="24"/>
        <v>david.torres153@mail.com</v>
      </c>
      <c r="Y559" s="1" t="str">
        <f>INDEX(V:V,MATCH(orders_desnormalizado_prueba3[[#This Row],[acquisition_channel]],U:U,0))</f>
        <v>Bodega Propia CO - envio 2-3 dias</v>
      </c>
      <c r="Z559" s="1" t="str">
        <f>INDEX(T:T,MATCH(orders_desnormalizado_prueba3[[#This Row],[shipping_cost]],W:W,0))</f>
        <v>Colombia</v>
      </c>
      <c r="AA559" s="1" t="str">
        <f t="shared" si="25"/>
        <v>Cartagena</v>
      </c>
      <c r="AB559" s="1"/>
      <c r="AC559" s="1" t="str">
        <f t="shared" si="26"/>
        <v xml:space="preserve"> </v>
      </c>
    </row>
    <row r="560" spans="1:29" x14ac:dyDescent="0.3">
      <c r="A560" s="1" t="s">
        <v>1394</v>
      </c>
      <c r="B560">
        <v>1</v>
      </c>
      <c r="C560">
        <v>30.99</v>
      </c>
      <c r="D560">
        <v>30.99</v>
      </c>
      <c r="E560" s="1" t="s">
        <v>1002</v>
      </c>
      <c r="F560" s="1" t="s">
        <v>51</v>
      </c>
      <c r="G560">
        <v>0</v>
      </c>
      <c r="H560" s="1" t="s">
        <v>58</v>
      </c>
      <c r="I560" s="1" t="s">
        <v>42</v>
      </c>
      <c r="J560">
        <v>10.5</v>
      </c>
      <c r="K560">
        <v>30.99</v>
      </c>
      <c r="L560" s="1" t="s">
        <v>28</v>
      </c>
      <c r="M560" s="1" t="s">
        <v>43</v>
      </c>
      <c r="N560" s="1" t="s">
        <v>44</v>
      </c>
      <c r="O560" s="1" t="s">
        <v>31</v>
      </c>
      <c r="P560" s="2">
        <v>45823</v>
      </c>
      <c r="Q560" s="1" t="s">
        <v>738</v>
      </c>
      <c r="R560" s="1" t="s">
        <v>739</v>
      </c>
      <c r="S560" s="1" t="s">
        <v>34</v>
      </c>
      <c r="T560" s="1" t="s">
        <v>35</v>
      </c>
      <c r="U560" s="1" t="s">
        <v>82</v>
      </c>
      <c r="V560" s="1" t="s">
        <v>37</v>
      </c>
      <c r="W560">
        <v>2</v>
      </c>
      <c r="X560" s="1" t="str">
        <f t="shared" si="24"/>
        <v>esteban.moreno150@mail.com</v>
      </c>
      <c r="Y560" s="1" t="str">
        <f>INDEX(V:V,MATCH(orders_desnormalizado_prueba3[[#This Row],[acquisition_channel]],U:U,0))</f>
        <v>Bodega Propia CO - envio 2-3 dias</v>
      </c>
      <c r="Z560" s="1" t="str">
        <f>INDEX(T:T,MATCH(orders_desnormalizado_prueba3[[#This Row],[shipping_cost]],W:W,0))</f>
        <v>Colombia</v>
      </c>
      <c r="AA560" s="1" t="str">
        <f t="shared" si="25"/>
        <v>Cartagena</v>
      </c>
      <c r="AB560" s="1"/>
      <c r="AC560" s="1" t="str">
        <f t="shared" si="26"/>
        <v xml:space="preserve"> </v>
      </c>
    </row>
    <row r="561" spans="1:29" x14ac:dyDescent="0.3">
      <c r="A561" s="1" t="s">
        <v>1395</v>
      </c>
      <c r="B561">
        <v>1</v>
      </c>
      <c r="C561">
        <v>21.99</v>
      </c>
      <c r="D561">
        <v>21.99</v>
      </c>
      <c r="E561" s="1" t="s">
        <v>1064</v>
      </c>
      <c r="F561" s="1" t="s">
        <v>188</v>
      </c>
      <c r="G561">
        <v>0</v>
      </c>
      <c r="H561" s="1" t="s">
        <v>26</v>
      </c>
      <c r="I561" s="1" t="s">
        <v>27</v>
      </c>
      <c r="J561">
        <v>7</v>
      </c>
      <c r="K561">
        <v>21.99</v>
      </c>
      <c r="L561" s="1" t="s">
        <v>28</v>
      </c>
      <c r="M561" s="1" t="s">
        <v>29</v>
      </c>
      <c r="N561" s="1" t="s">
        <v>30</v>
      </c>
      <c r="O561" s="1" t="s">
        <v>31</v>
      </c>
      <c r="P561" s="2">
        <v>45778</v>
      </c>
      <c r="Q561" s="1" t="s">
        <v>905</v>
      </c>
      <c r="R561" s="1" t="s">
        <v>906</v>
      </c>
      <c r="S561" s="1" t="s">
        <v>105</v>
      </c>
      <c r="T561" s="1" t="s">
        <v>35</v>
      </c>
      <c r="U561" s="1" t="s">
        <v>55</v>
      </c>
      <c r="V561" s="1" t="s">
        <v>37</v>
      </c>
      <c r="W561">
        <v>2</v>
      </c>
      <c r="X561" s="1" t="str">
        <f t="shared" si="24"/>
        <v>julian.ortiz58@mail.com</v>
      </c>
      <c r="Y561" s="1" t="str">
        <f>INDEX(V:V,MATCH(orders_desnormalizado_prueba3[[#This Row],[acquisition_channel]],U:U,0))</f>
        <v>Bodega Propia CO - envio 2-3 dias</v>
      </c>
      <c r="Z561" s="1" t="str">
        <f>INDEX(T:T,MATCH(orders_desnormalizado_prueba3[[#This Row],[shipping_cost]],W:W,0))</f>
        <v>Colombia</v>
      </c>
      <c r="AA561" s="1" t="str">
        <f t="shared" si="25"/>
        <v>Cartagena</v>
      </c>
      <c r="AB561" s="1"/>
      <c r="AC561" s="1" t="str">
        <f t="shared" si="26"/>
        <v xml:space="preserve"> </v>
      </c>
    </row>
    <row r="562" spans="1:29" x14ac:dyDescent="0.3">
      <c r="A562" s="1" t="s">
        <v>1396</v>
      </c>
      <c r="B562">
        <v>1</v>
      </c>
      <c r="C562">
        <v>27.99</v>
      </c>
      <c r="D562">
        <v>27.99</v>
      </c>
      <c r="E562" s="1" t="s">
        <v>1397</v>
      </c>
      <c r="F562" s="1" t="s">
        <v>40</v>
      </c>
      <c r="G562">
        <v>2</v>
      </c>
      <c r="H562" s="1" t="s">
        <v>58</v>
      </c>
      <c r="I562" s="1" t="s">
        <v>75</v>
      </c>
      <c r="J562">
        <v>9</v>
      </c>
      <c r="K562">
        <v>27.99</v>
      </c>
      <c r="L562" s="1" t="s">
        <v>28</v>
      </c>
      <c r="M562" s="1" t="s">
        <v>61</v>
      </c>
      <c r="N562" s="1" t="s">
        <v>62</v>
      </c>
      <c r="O562" s="1" t="s">
        <v>31</v>
      </c>
      <c r="P562" s="2">
        <v>45726</v>
      </c>
      <c r="Q562" s="1" t="s">
        <v>1398</v>
      </c>
      <c r="R562" s="1" t="s">
        <v>1399</v>
      </c>
      <c r="S562" s="1" t="s">
        <v>54</v>
      </c>
      <c r="T562" s="1" t="s">
        <v>35</v>
      </c>
      <c r="U562" s="1" t="s">
        <v>48</v>
      </c>
      <c r="V562" s="1" t="s">
        <v>37</v>
      </c>
      <c r="W562">
        <v>2</v>
      </c>
      <c r="X562" s="1" t="str">
        <f t="shared" si="24"/>
        <v>camila.lopez178@mail.com</v>
      </c>
      <c r="Y562" s="1" t="str">
        <f>INDEX(V:V,MATCH(orders_desnormalizado_prueba3[[#This Row],[acquisition_channel]],U:U,0))</f>
        <v>Bodega Propia CO - envio 2-3 dias</v>
      </c>
      <c r="Z562" s="1" t="str">
        <f>INDEX(T:T,MATCH(orders_desnormalizado_prueba3[[#This Row],[shipping_cost]],W:W,0))</f>
        <v>Colombia</v>
      </c>
      <c r="AA562" s="1" t="str">
        <f t="shared" si="25"/>
        <v>Medellin</v>
      </c>
      <c r="AB562" s="1"/>
      <c r="AC562" s="1" t="str">
        <f t="shared" si="26"/>
        <v xml:space="preserve"> </v>
      </c>
    </row>
    <row r="563" spans="1:29" x14ac:dyDescent="0.3">
      <c r="A563" s="1" t="s">
        <v>1400</v>
      </c>
      <c r="B563">
        <v>3</v>
      </c>
      <c r="C563">
        <v>18.989999999999998</v>
      </c>
      <c r="D563">
        <v>45.85</v>
      </c>
      <c r="E563" s="1" t="s">
        <v>937</v>
      </c>
      <c r="F563" s="1" t="s">
        <v>40</v>
      </c>
      <c r="G563">
        <v>10</v>
      </c>
      <c r="H563" s="1" t="s">
        <v>58</v>
      </c>
      <c r="I563" s="1" t="s">
        <v>97</v>
      </c>
      <c r="J563">
        <v>6</v>
      </c>
      <c r="K563">
        <v>18.989999999999998</v>
      </c>
      <c r="L563" s="1" t="s">
        <v>60</v>
      </c>
      <c r="M563" s="1" t="s">
        <v>43</v>
      </c>
      <c r="N563" s="1" t="s">
        <v>44</v>
      </c>
      <c r="O563" s="1" t="s">
        <v>31</v>
      </c>
      <c r="P563" s="2">
        <v>45823</v>
      </c>
      <c r="Q563" s="1" t="s">
        <v>1401</v>
      </c>
      <c r="R563" s="1" t="s">
        <v>1402</v>
      </c>
      <c r="S563" s="1" t="s">
        <v>65</v>
      </c>
      <c r="T563" s="1" t="s">
        <v>35</v>
      </c>
      <c r="U563" s="1" t="s">
        <v>66</v>
      </c>
      <c r="V563" s="1" t="s">
        <v>100</v>
      </c>
      <c r="W563">
        <v>3.2</v>
      </c>
      <c r="X563" s="1" t="str">
        <f t="shared" si="24"/>
        <v>nicolas.ramirez77@mail.com</v>
      </c>
      <c r="Y563" s="1" t="str">
        <f>INDEX(V:V,MATCH(orders_desnormalizado_prueba3[[#This Row],[acquisition_channel]],U:U,0))</f>
        <v>AliDropship CN - envio 15-20 dias</v>
      </c>
      <c r="Z563" s="1" t="str">
        <f>INDEX(T:T,MATCH(orders_desnormalizado_prueba3[[#This Row],[shipping_cost]],W:W,0))</f>
        <v>Colombia</v>
      </c>
      <c r="AA563" s="1" t="str">
        <f t="shared" si="25"/>
        <v>Bogota</v>
      </c>
      <c r="AB563" s="1"/>
      <c r="AC563" s="1" t="str">
        <f t="shared" si="26"/>
        <v xml:space="preserve"> </v>
      </c>
    </row>
    <row r="564" spans="1:29" x14ac:dyDescent="0.3">
      <c r="A564" s="1" t="s">
        <v>1403</v>
      </c>
      <c r="B564">
        <v>1</v>
      </c>
      <c r="C564">
        <v>18.989999999999998</v>
      </c>
      <c r="D564">
        <v>18.989999999999998</v>
      </c>
      <c r="E564" s="1" t="s">
        <v>1404</v>
      </c>
      <c r="F564" s="1" t="s">
        <v>40</v>
      </c>
      <c r="G564">
        <v>10</v>
      </c>
      <c r="H564" s="1" t="s">
        <v>96</v>
      </c>
      <c r="I564" s="1" t="s">
        <v>97</v>
      </c>
      <c r="J564">
        <v>6</v>
      </c>
      <c r="K564">
        <v>18.989999999999998</v>
      </c>
      <c r="L564" s="1" t="s">
        <v>60</v>
      </c>
      <c r="M564" s="1" t="s">
        <v>43</v>
      </c>
      <c r="N564" s="1" t="s">
        <v>44</v>
      </c>
      <c r="O564" s="1" t="s">
        <v>31</v>
      </c>
      <c r="P564" s="2">
        <v>45823</v>
      </c>
      <c r="Q564" s="1" t="s">
        <v>893</v>
      </c>
      <c r="R564" s="1" t="s">
        <v>1405</v>
      </c>
      <c r="S564" s="1" t="s">
        <v>65</v>
      </c>
      <c r="T564" s="1" t="s">
        <v>35</v>
      </c>
      <c r="U564" s="1" t="s">
        <v>82</v>
      </c>
      <c r="V564" s="1" t="s">
        <v>100</v>
      </c>
      <c r="W564">
        <v>3.2</v>
      </c>
      <c r="X564" s="1" t="str">
        <f t="shared" si="24"/>
        <v>gabriela.jimenez17@mail.com</v>
      </c>
      <c r="Y564" s="1" t="str">
        <f>INDEX(V:V,MATCH(orders_desnormalizado_prueba3[[#This Row],[acquisition_channel]],U:U,0))</f>
        <v>Bodega Propia CO - envio 2-3 dias</v>
      </c>
      <c r="Z564" s="1" t="str">
        <f>INDEX(T:T,MATCH(orders_desnormalizado_prueba3[[#This Row],[shipping_cost]],W:W,0))</f>
        <v>Colombia</v>
      </c>
      <c r="AA564" s="1" t="str">
        <f t="shared" si="25"/>
        <v>Bogota</v>
      </c>
      <c r="AB564" s="1"/>
      <c r="AC564" s="1" t="str">
        <f t="shared" si="26"/>
        <v xml:space="preserve"> </v>
      </c>
    </row>
    <row r="565" spans="1:29" x14ac:dyDescent="0.3">
      <c r="A565" s="1" t="s">
        <v>1406</v>
      </c>
      <c r="B565">
        <v>3</v>
      </c>
      <c r="C565">
        <v>27.99</v>
      </c>
      <c r="D565">
        <v>67.849999999999994</v>
      </c>
      <c r="E565" s="1" t="s">
        <v>1407</v>
      </c>
      <c r="F565" s="1" t="s">
        <v>51</v>
      </c>
      <c r="G565">
        <v>0</v>
      </c>
      <c r="H565" s="1" t="s">
        <v>41</v>
      </c>
      <c r="I565" s="1" t="s">
        <v>75</v>
      </c>
      <c r="J565">
        <v>9</v>
      </c>
      <c r="K565">
        <v>27.99</v>
      </c>
      <c r="L565" s="1" t="s">
        <v>28</v>
      </c>
      <c r="M565" s="1" t="s">
        <v>61</v>
      </c>
      <c r="N565" s="1" t="s">
        <v>62</v>
      </c>
      <c r="O565" s="1" t="s">
        <v>31</v>
      </c>
      <c r="P565" s="2">
        <v>45726</v>
      </c>
      <c r="Q565" s="1" t="s">
        <v>1408</v>
      </c>
      <c r="R565" s="1" t="s">
        <v>1409</v>
      </c>
      <c r="S565" s="1" t="s">
        <v>54</v>
      </c>
      <c r="T565" s="1" t="s">
        <v>35</v>
      </c>
      <c r="U565" s="1" t="s">
        <v>36</v>
      </c>
      <c r="V565" s="1" t="s">
        <v>37</v>
      </c>
      <c r="W565">
        <v>2</v>
      </c>
      <c r="X565" s="1" t="str">
        <f t="shared" si="24"/>
        <v>gabriela.moreno85@mail.com</v>
      </c>
      <c r="Y565" s="1" t="str">
        <f>INDEX(V:V,MATCH(orders_desnormalizado_prueba3[[#This Row],[acquisition_channel]],U:U,0))</f>
        <v>Bodega Propia CO - envio 2-3 dias</v>
      </c>
      <c r="Z565" s="1" t="str">
        <f>INDEX(T:T,MATCH(orders_desnormalizado_prueba3[[#This Row],[shipping_cost]],W:W,0))</f>
        <v>Colombia</v>
      </c>
      <c r="AA565" s="1" t="str">
        <f t="shared" si="25"/>
        <v>Cartagena</v>
      </c>
      <c r="AB565" s="1"/>
      <c r="AC565" s="1" t="str">
        <f t="shared" si="26"/>
        <v xml:space="preserve"> </v>
      </c>
    </row>
    <row r="566" spans="1:29" x14ac:dyDescent="0.3">
      <c r="A566" s="1" t="s">
        <v>1410</v>
      </c>
      <c r="B566">
        <v>1</v>
      </c>
      <c r="C566">
        <v>18.989999999999998</v>
      </c>
      <c r="D566">
        <v>18.989999999999998</v>
      </c>
      <c r="E566" s="1" t="s">
        <v>1411</v>
      </c>
      <c r="F566" s="1" t="s">
        <v>51</v>
      </c>
      <c r="G566">
        <v>0</v>
      </c>
      <c r="H566" s="1" t="s">
        <v>96</v>
      </c>
      <c r="I566" s="1" t="s">
        <v>97</v>
      </c>
      <c r="J566">
        <v>6</v>
      </c>
      <c r="K566">
        <v>18.989999999999998</v>
      </c>
      <c r="L566" s="1" t="s">
        <v>60</v>
      </c>
      <c r="M566" s="1" t="s">
        <v>43</v>
      </c>
      <c r="N566" s="1" t="s">
        <v>44</v>
      </c>
      <c r="O566" s="1" t="s">
        <v>31</v>
      </c>
      <c r="P566" s="2">
        <v>45823</v>
      </c>
      <c r="Q566" s="1" t="s">
        <v>850</v>
      </c>
      <c r="R566" s="1" t="s">
        <v>1412</v>
      </c>
      <c r="S566" s="1" t="s">
        <v>47</v>
      </c>
      <c r="T566" s="1" t="s">
        <v>35</v>
      </c>
      <c r="U566" s="1" t="s">
        <v>36</v>
      </c>
      <c r="V566" s="1" t="s">
        <v>100</v>
      </c>
      <c r="W566">
        <v>3.2</v>
      </c>
      <c r="X566" s="1" t="str">
        <f t="shared" si="24"/>
        <v>natalia.moreno134@mail.com</v>
      </c>
      <c r="Y566" s="1" t="str">
        <f>INDEX(V:V,MATCH(orders_desnormalizado_prueba3[[#This Row],[acquisition_channel]],U:U,0))</f>
        <v>Bodega Propia CO - envio 2-3 dias</v>
      </c>
      <c r="Z566" s="1" t="str">
        <f>INDEX(T:T,MATCH(orders_desnormalizado_prueba3[[#This Row],[shipping_cost]],W:W,0))</f>
        <v>Colombia</v>
      </c>
      <c r="AA566" s="1" t="str">
        <f t="shared" si="25"/>
        <v>Cartagena</v>
      </c>
      <c r="AB566" s="1"/>
      <c r="AC566" s="1" t="str">
        <f t="shared" si="26"/>
        <v xml:space="preserve"> </v>
      </c>
    </row>
    <row r="567" spans="1:29" x14ac:dyDescent="0.3">
      <c r="A567" s="1" t="s">
        <v>1413</v>
      </c>
      <c r="B567">
        <v>1</v>
      </c>
      <c r="C567">
        <v>18.989999999999998</v>
      </c>
      <c r="D567">
        <v>18.989999999999998</v>
      </c>
      <c r="E567" s="1" t="s">
        <v>704</v>
      </c>
      <c r="F567" s="1" t="s">
        <v>51</v>
      </c>
      <c r="G567">
        <v>0</v>
      </c>
      <c r="H567" s="1" t="s">
        <v>41</v>
      </c>
      <c r="I567" s="1" t="s">
        <v>97</v>
      </c>
      <c r="J567">
        <v>6</v>
      </c>
      <c r="K567">
        <v>18.989999999999998</v>
      </c>
      <c r="L567" s="1" t="s">
        <v>60</v>
      </c>
      <c r="M567" s="1" t="s">
        <v>43</v>
      </c>
      <c r="N567" s="1" t="s">
        <v>44</v>
      </c>
      <c r="O567" s="1" t="s">
        <v>31</v>
      </c>
      <c r="P567" s="2">
        <v>45823</v>
      </c>
      <c r="Q567" s="1" t="s">
        <v>1414</v>
      </c>
      <c r="R567" s="1" t="s">
        <v>1415</v>
      </c>
      <c r="S567" s="1" t="s">
        <v>88</v>
      </c>
      <c r="T567" s="1" t="s">
        <v>35</v>
      </c>
      <c r="U567" s="1" t="s">
        <v>48</v>
      </c>
      <c r="V567" s="1" t="s">
        <v>100</v>
      </c>
      <c r="W567">
        <v>3.2</v>
      </c>
      <c r="X567" s="1" t="str">
        <f t="shared" si="24"/>
        <v>paula.lopez179@mail.com</v>
      </c>
      <c r="Y567" s="1" t="str">
        <f>INDEX(V:V,MATCH(orders_desnormalizado_prueba3[[#This Row],[acquisition_channel]],U:U,0))</f>
        <v>Bodega Propia CO - envio 2-3 dias</v>
      </c>
      <c r="Z567" s="1" t="str">
        <f>INDEX(T:T,MATCH(orders_desnormalizado_prueba3[[#This Row],[shipping_cost]],W:W,0))</f>
        <v>Colombia</v>
      </c>
      <c r="AA567" s="1" t="str">
        <f t="shared" si="25"/>
        <v>Cartagena</v>
      </c>
      <c r="AB567" s="1"/>
      <c r="AC567" s="1" t="str">
        <f t="shared" si="26"/>
        <v xml:space="preserve"> </v>
      </c>
    </row>
    <row r="568" spans="1:29" x14ac:dyDescent="0.3">
      <c r="A568" s="1" t="s">
        <v>1416</v>
      </c>
      <c r="B568">
        <v>1</v>
      </c>
      <c r="C568">
        <v>16.989999999999998</v>
      </c>
      <c r="D568">
        <v>16.989999999999998</v>
      </c>
      <c r="E568" s="1" t="s">
        <v>1068</v>
      </c>
      <c r="F568" s="1" t="s">
        <v>40</v>
      </c>
      <c r="G568">
        <v>15</v>
      </c>
      <c r="H568" s="1" t="s">
        <v>26</v>
      </c>
      <c r="I568" s="1" t="s">
        <v>59</v>
      </c>
      <c r="J568">
        <v>5</v>
      </c>
      <c r="K568">
        <v>16.989999999999998</v>
      </c>
      <c r="L568" s="1" t="s">
        <v>60</v>
      </c>
      <c r="M568" s="1" t="s">
        <v>61</v>
      </c>
      <c r="N568" s="1" t="s">
        <v>62</v>
      </c>
      <c r="O568" s="1" t="s">
        <v>31</v>
      </c>
      <c r="P568" s="2">
        <v>45726</v>
      </c>
      <c r="Q568" s="1" t="s">
        <v>1417</v>
      </c>
      <c r="R568" s="1" t="s">
        <v>1418</v>
      </c>
      <c r="S568" s="1" t="s">
        <v>65</v>
      </c>
      <c r="T568" s="1" t="s">
        <v>35</v>
      </c>
      <c r="U568" s="1" t="s">
        <v>55</v>
      </c>
      <c r="V568" s="1" t="s">
        <v>67</v>
      </c>
      <c r="W568">
        <v>3</v>
      </c>
      <c r="X568" s="1" t="str">
        <f t="shared" si="24"/>
        <v>manuela.rodriguez14@mail.com</v>
      </c>
      <c r="Y568" s="1" t="str">
        <f>INDEX(V:V,MATCH(orders_desnormalizado_prueba3[[#This Row],[acquisition_channel]],U:U,0))</f>
        <v>Bodega Propia CO - envio 2-3 dias</v>
      </c>
      <c r="Z568" s="1" t="str">
        <f>INDEX(T:T,MATCH(orders_desnormalizado_prueba3[[#This Row],[shipping_cost]],W:W,0))</f>
        <v>Colombia</v>
      </c>
      <c r="AA568" s="1" t="str">
        <f t="shared" si="25"/>
        <v>Barranquilla</v>
      </c>
      <c r="AB568" s="1"/>
      <c r="AC568" s="1" t="str">
        <f t="shared" si="26"/>
        <v xml:space="preserve"> </v>
      </c>
    </row>
    <row r="569" spans="1:29" x14ac:dyDescent="0.3">
      <c r="A569" s="1" t="s">
        <v>1419</v>
      </c>
      <c r="B569">
        <v>1</v>
      </c>
      <c r="C569">
        <v>34.99</v>
      </c>
      <c r="D569">
        <v>34.99</v>
      </c>
      <c r="E569" s="1" t="s">
        <v>1420</v>
      </c>
      <c r="F569" s="1" t="s">
        <v>40</v>
      </c>
      <c r="G569">
        <v>6</v>
      </c>
      <c r="H569" s="1" t="s">
        <v>96</v>
      </c>
      <c r="I569" s="1" t="s">
        <v>85</v>
      </c>
      <c r="J569">
        <v>12.5</v>
      </c>
      <c r="K569">
        <v>34.99</v>
      </c>
      <c r="L569" s="1" t="s">
        <v>60</v>
      </c>
      <c r="M569" s="1" t="s">
        <v>29</v>
      </c>
      <c r="N569" s="1" t="s">
        <v>30</v>
      </c>
      <c r="O569" s="1" t="s">
        <v>31</v>
      </c>
      <c r="P569" s="2">
        <v>45778</v>
      </c>
      <c r="Q569" s="1" t="s">
        <v>1421</v>
      </c>
      <c r="R569" s="1" t="s">
        <v>1422</v>
      </c>
      <c r="S569" s="1" t="s">
        <v>105</v>
      </c>
      <c r="T569" s="1" t="s">
        <v>35</v>
      </c>
      <c r="U569" s="1" t="s">
        <v>82</v>
      </c>
      <c r="V569" s="1" t="s">
        <v>89</v>
      </c>
      <c r="W569">
        <v>2.4</v>
      </c>
      <c r="X569" s="1" t="str">
        <f t="shared" si="24"/>
        <v>camila.jimenez104@mail.com</v>
      </c>
      <c r="Y569" s="1" t="str">
        <f>INDEX(V:V,MATCH(orders_desnormalizado_prueba3[[#This Row],[acquisition_channel]],U:U,0))</f>
        <v>Bodega Propia CO - envio 2-3 dias</v>
      </c>
      <c r="Z569" s="1" t="str">
        <f>INDEX(T:T,MATCH(orders_desnormalizado_prueba3[[#This Row],[shipping_cost]],W:W,0))</f>
        <v>Colombia</v>
      </c>
      <c r="AA569" s="1" t="str">
        <f t="shared" si="25"/>
        <v>Medellin</v>
      </c>
      <c r="AB569" s="1"/>
      <c r="AC569" s="1" t="str">
        <f t="shared" si="26"/>
        <v xml:space="preserve"> </v>
      </c>
    </row>
    <row r="570" spans="1:29" x14ac:dyDescent="0.3">
      <c r="A570" s="1" t="s">
        <v>1423</v>
      </c>
      <c r="B570">
        <v>1</v>
      </c>
      <c r="C570">
        <v>27.99</v>
      </c>
      <c r="D570">
        <v>27.99</v>
      </c>
      <c r="E570" s="1" t="s">
        <v>1424</v>
      </c>
      <c r="F570" s="1" t="s">
        <v>51</v>
      </c>
      <c r="G570">
        <v>0</v>
      </c>
      <c r="H570" s="1" t="s">
        <v>41</v>
      </c>
      <c r="I570" s="1" t="s">
        <v>75</v>
      </c>
      <c r="J570">
        <v>9</v>
      </c>
      <c r="K570">
        <v>27.99</v>
      </c>
      <c r="L570" s="1" t="s">
        <v>28</v>
      </c>
      <c r="M570" s="1" t="s">
        <v>61</v>
      </c>
      <c r="N570" s="1" t="s">
        <v>62</v>
      </c>
      <c r="O570" s="1" t="s">
        <v>31</v>
      </c>
      <c r="P570" s="2">
        <v>45726</v>
      </c>
      <c r="Q570" s="1" t="s">
        <v>947</v>
      </c>
      <c r="R570" s="1" t="s">
        <v>1425</v>
      </c>
      <c r="S570" s="1" t="s">
        <v>88</v>
      </c>
      <c r="T570" s="1" t="s">
        <v>35</v>
      </c>
      <c r="U570" s="1" t="s">
        <v>55</v>
      </c>
      <c r="V570" s="1" t="s">
        <v>37</v>
      </c>
      <c r="W570">
        <v>2</v>
      </c>
      <c r="X570" s="1" t="str">
        <f t="shared" si="24"/>
        <v>valentina.hernandez179@mail.com</v>
      </c>
      <c r="Y570" s="1" t="str">
        <f>INDEX(V:V,MATCH(orders_desnormalizado_prueba3[[#This Row],[acquisition_channel]],U:U,0))</f>
        <v>Bodega Propia CO - envio 2-3 dias</v>
      </c>
      <c r="Z570" s="1" t="str">
        <f>INDEX(T:T,MATCH(orders_desnormalizado_prueba3[[#This Row],[shipping_cost]],W:W,0))</f>
        <v>Colombia</v>
      </c>
      <c r="AA570" s="1" t="str">
        <f t="shared" si="25"/>
        <v>Cartagena</v>
      </c>
      <c r="AB570" s="1"/>
      <c r="AC570" s="1" t="str">
        <f t="shared" si="26"/>
        <v xml:space="preserve"> </v>
      </c>
    </row>
    <row r="571" spans="1:29" x14ac:dyDescent="0.3">
      <c r="A571" s="1" t="s">
        <v>1426</v>
      </c>
      <c r="B571">
        <v>1</v>
      </c>
      <c r="C571">
        <v>16.989999999999998</v>
      </c>
      <c r="D571">
        <v>16.989999999999998</v>
      </c>
      <c r="E571" s="1" t="s">
        <v>222</v>
      </c>
      <c r="F571" s="1" t="s">
        <v>51</v>
      </c>
      <c r="G571">
        <v>0</v>
      </c>
      <c r="H571" s="1" t="s">
        <v>96</v>
      </c>
      <c r="I571" s="1" t="s">
        <v>59</v>
      </c>
      <c r="J571">
        <v>5</v>
      </c>
      <c r="K571">
        <v>16.989999999999998</v>
      </c>
      <c r="L571" s="1" t="s">
        <v>60</v>
      </c>
      <c r="M571" s="1" t="s">
        <v>61</v>
      </c>
      <c r="N571" s="1" t="s">
        <v>62</v>
      </c>
      <c r="O571" s="1" t="s">
        <v>31</v>
      </c>
      <c r="P571" s="2">
        <v>45726</v>
      </c>
      <c r="Q571" s="1" t="s">
        <v>1048</v>
      </c>
      <c r="R571" s="1" t="s">
        <v>1049</v>
      </c>
      <c r="S571" s="1" t="s">
        <v>47</v>
      </c>
      <c r="T571" s="1" t="s">
        <v>35</v>
      </c>
      <c r="U571" s="1" t="s">
        <v>82</v>
      </c>
      <c r="V571" s="1" t="s">
        <v>67</v>
      </c>
      <c r="W571">
        <v>3</v>
      </c>
      <c r="X571" s="1" t="str">
        <f t="shared" si="24"/>
        <v>andres.perez17@mail.com</v>
      </c>
      <c r="Y571" s="1" t="str">
        <f>INDEX(V:V,MATCH(orders_desnormalizado_prueba3[[#This Row],[acquisition_channel]],U:U,0))</f>
        <v>Bodega Propia CO - envio 2-3 dias</v>
      </c>
      <c r="Z571" s="1" t="str">
        <f>INDEX(T:T,MATCH(orders_desnormalizado_prueba3[[#This Row],[shipping_cost]],W:W,0))</f>
        <v>Colombia</v>
      </c>
      <c r="AA571" s="1" t="str">
        <f t="shared" si="25"/>
        <v>Cartagena</v>
      </c>
      <c r="AB571" s="1"/>
      <c r="AC571" s="1" t="str">
        <f t="shared" si="26"/>
        <v xml:space="preserve"> </v>
      </c>
    </row>
    <row r="572" spans="1:29" x14ac:dyDescent="0.3">
      <c r="A572" s="1" t="s">
        <v>1427</v>
      </c>
      <c r="B572">
        <v>1</v>
      </c>
      <c r="C572">
        <v>34.99</v>
      </c>
      <c r="D572">
        <v>34.99</v>
      </c>
      <c r="E572" s="1" t="s">
        <v>782</v>
      </c>
      <c r="F572" s="1" t="s">
        <v>188</v>
      </c>
      <c r="G572">
        <v>0</v>
      </c>
      <c r="H572" s="1" t="s">
        <v>96</v>
      </c>
      <c r="I572" s="1" t="s">
        <v>85</v>
      </c>
      <c r="J572">
        <v>12.5</v>
      </c>
      <c r="K572">
        <v>34.99</v>
      </c>
      <c r="L572" s="1" t="s">
        <v>60</v>
      </c>
      <c r="M572" s="1" t="s">
        <v>29</v>
      </c>
      <c r="N572" s="1" t="s">
        <v>30</v>
      </c>
      <c r="O572" s="1" t="s">
        <v>31</v>
      </c>
      <c r="P572" s="2">
        <v>45778</v>
      </c>
      <c r="Q572" s="1" t="s">
        <v>1075</v>
      </c>
      <c r="R572" s="1" t="s">
        <v>1076</v>
      </c>
      <c r="S572" s="1" t="s">
        <v>65</v>
      </c>
      <c r="T572" s="1" t="s">
        <v>35</v>
      </c>
      <c r="U572" s="1" t="s">
        <v>55</v>
      </c>
      <c r="V572" s="1" t="s">
        <v>89</v>
      </c>
      <c r="W572">
        <v>2.4</v>
      </c>
      <c r="X572" s="1" t="str">
        <f t="shared" si="24"/>
        <v>gabriela.martinez158@mail.com</v>
      </c>
      <c r="Y572" s="1" t="str">
        <f>INDEX(V:V,MATCH(orders_desnormalizado_prueba3[[#This Row],[acquisition_channel]],U:U,0))</f>
        <v>Bodega Propia CO - envio 2-3 dias</v>
      </c>
      <c r="Z572" s="1" t="str">
        <f>INDEX(T:T,MATCH(orders_desnormalizado_prueba3[[#This Row],[shipping_cost]],W:W,0))</f>
        <v>Colombia</v>
      </c>
      <c r="AA572" s="1" t="str">
        <f t="shared" si="25"/>
        <v>Cartagena</v>
      </c>
      <c r="AB572" s="1"/>
      <c r="AC572" s="1" t="str">
        <f t="shared" si="26"/>
        <v xml:space="preserve"> </v>
      </c>
    </row>
    <row r="573" spans="1:29" x14ac:dyDescent="0.3">
      <c r="A573" s="1" t="s">
        <v>1428</v>
      </c>
      <c r="B573">
        <v>3</v>
      </c>
      <c r="C573">
        <v>21.99</v>
      </c>
      <c r="D573">
        <v>52.43</v>
      </c>
      <c r="E573" s="1" t="s">
        <v>1429</v>
      </c>
      <c r="F573" s="1" t="s">
        <v>40</v>
      </c>
      <c r="G573">
        <v>2</v>
      </c>
      <c r="H573" s="1" t="s">
        <v>96</v>
      </c>
      <c r="I573" s="1" t="s">
        <v>27</v>
      </c>
      <c r="J573">
        <v>7</v>
      </c>
      <c r="K573">
        <v>21.99</v>
      </c>
      <c r="L573" s="1" t="s">
        <v>28</v>
      </c>
      <c r="M573" s="1" t="s">
        <v>29</v>
      </c>
      <c r="N573" s="1" t="s">
        <v>30</v>
      </c>
      <c r="O573" s="1" t="s">
        <v>31</v>
      </c>
      <c r="P573" s="2">
        <v>45778</v>
      </c>
      <c r="Q573" s="1" t="s">
        <v>1175</v>
      </c>
      <c r="R573" s="1" t="s">
        <v>1176</v>
      </c>
      <c r="S573" s="1" t="s">
        <v>34</v>
      </c>
      <c r="T573" s="1" t="s">
        <v>35</v>
      </c>
      <c r="U573" s="1" t="s">
        <v>48</v>
      </c>
      <c r="V573" s="1" t="s">
        <v>37</v>
      </c>
      <c r="W573">
        <v>2</v>
      </c>
      <c r="X573" s="1" t="str">
        <f t="shared" si="24"/>
        <v>paula.ortiz107@mail.com</v>
      </c>
      <c r="Y573" s="1" t="str">
        <f>INDEX(V:V,MATCH(orders_desnormalizado_prueba3[[#This Row],[acquisition_channel]],U:U,0))</f>
        <v>Bodega Propia CO - envio 2-3 dias</v>
      </c>
      <c r="Z573" s="1" t="str">
        <f>INDEX(T:T,MATCH(orders_desnormalizado_prueba3[[#This Row],[shipping_cost]],W:W,0))</f>
        <v>Colombia</v>
      </c>
      <c r="AA573" s="1" t="str">
        <f t="shared" si="25"/>
        <v>Medellin</v>
      </c>
      <c r="AB573" s="1"/>
      <c r="AC573" s="1" t="str">
        <f t="shared" si="26"/>
        <v xml:space="preserve"> </v>
      </c>
    </row>
    <row r="574" spans="1:29" x14ac:dyDescent="0.3">
      <c r="A574" s="1" t="s">
        <v>1430</v>
      </c>
      <c r="B574">
        <v>2</v>
      </c>
      <c r="C574">
        <v>21.99</v>
      </c>
      <c r="D574">
        <v>38.36</v>
      </c>
      <c r="E574" s="1" t="s">
        <v>1431</v>
      </c>
      <c r="F574" s="1" t="s">
        <v>51</v>
      </c>
      <c r="G574">
        <v>0</v>
      </c>
      <c r="H574" s="1" t="s">
        <v>26</v>
      </c>
      <c r="I574" s="1" t="s">
        <v>27</v>
      </c>
      <c r="J574">
        <v>7</v>
      </c>
      <c r="K574">
        <v>21.99</v>
      </c>
      <c r="L574" s="1" t="s">
        <v>28</v>
      </c>
      <c r="M574" s="1" t="s">
        <v>29</v>
      </c>
      <c r="N574" s="1" t="s">
        <v>30</v>
      </c>
      <c r="O574" s="1" t="s">
        <v>31</v>
      </c>
      <c r="P574" s="2">
        <v>45778</v>
      </c>
      <c r="Q574" s="1" t="s">
        <v>1349</v>
      </c>
      <c r="R574" s="1" t="s">
        <v>1432</v>
      </c>
      <c r="S574" s="1" t="s">
        <v>47</v>
      </c>
      <c r="T574" s="1" t="s">
        <v>35</v>
      </c>
      <c r="U574" s="1" t="s">
        <v>36</v>
      </c>
      <c r="V574" s="1" t="s">
        <v>37</v>
      </c>
      <c r="W574">
        <v>2</v>
      </c>
      <c r="X574" s="1" t="str">
        <f t="shared" si="24"/>
        <v>catalina.moreno180@mail.com</v>
      </c>
      <c r="Y574" s="1" t="str">
        <f>INDEX(V:V,MATCH(orders_desnormalizado_prueba3[[#This Row],[acquisition_channel]],U:U,0))</f>
        <v>Bodega Propia CO - envio 2-3 dias</v>
      </c>
      <c r="Z574" s="1" t="str">
        <f>INDEX(T:T,MATCH(orders_desnormalizado_prueba3[[#This Row],[shipping_cost]],W:W,0))</f>
        <v>Colombia</v>
      </c>
      <c r="AA574" s="1" t="str">
        <f t="shared" si="25"/>
        <v>Cartagena</v>
      </c>
      <c r="AB574" s="1"/>
      <c r="AC574" s="1" t="str">
        <f t="shared" si="26"/>
        <v xml:space="preserve"> </v>
      </c>
    </row>
    <row r="575" spans="1:29" x14ac:dyDescent="0.3">
      <c r="A575" s="1" t="s">
        <v>1433</v>
      </c>
      <c r="B575">
        <v>2</v>
      </c>
      <c r="C575">
        <v>27.99</v>
      </c>
      <c r="D575">
        <v>48.16</v>
      </c>
      <c r="E575" s="1" t="s">
        <v>1434</v>
      </c>
      <c r="F575" s="1" t="s">
        <v>40</v>
      </c>
      <c r="G575">
        <v>2</v>
      </c>
      <c r="H575" s="1" t="s">
        <v>41</v>
      </c>
      <c r="I575" s="1" t="s">
        <v>75</v>
      </c>
      <c r="J575">
        <v>9</v>
      </c>
      <c r="K575">
        <v>27.99</v>
      </c>
      <c r="L575" s="1" t="s">
        <v>28</v>
      </c>
      <c r="M575" s="1" t="s">
        <v>61</v>
      </c>
      <c r="N575" s="1" t="s">
        <v>62</v>
      </c>
      <c r="O575" s="1" t="s">
        <v>31</v>
      </c>
      <c r="P575" s="2">
        <v>45726</v>
      </c>
      <c r="Q575" s="1" t="s">
        <v>425</v>
      </c>
      <c r="R575" s="1" t="s">
        <v>1435</v>
      </c>
      <c r="S575" s="1" t="s">
        <v>54</v>
      </c>
      <c r="T575" s="1" t="s">
        <v>35</v>
      </c>
      <c r="U575" s="1" t="s">
        <v>48</v>
      </c>
      <c r="V575" s="1" t="s">
        <v>37</v>
      </c>
      <c r="W575">
        <v>2</v>
      </c>
      <c r="X575" s="1" t="str">
        <f t="shared" si="24"/>
        <v>paula.ramirez47@mail.com</v>
      </c>
      <c r="Y575" s="1" t="str">
        <f>INDEX(V:V,MATCH(orders_desnormalizado_prueba3[[#This Row],[acquisition_channel]],U:U,0))</f>
        <v>Bodega Propia CO - envio 2-3 dias</v>
      </c>
      <c r="Z575" s="1" t="str">
        <f>INDEX(T:T,MATCH(orders_desnormalizado_prueba3[[#This Row],[shipping_cost]],W:W,0))</f>
        <v>Colombia</v>
      </c>
      <c r="AA575" s="1" t="str">
        <f t="shared" si="25"/>
        <v>Medellin</v>
      </c>
      <c r="AB575" s="1"/>
      <c r="AC575" s="1" t="str">
        <f t="shared" si="26"/>
        <v xml:space="preserve"> </v>
      </c>
    </row>
    <row r="576" spans="1:29" x14ac:dyDescent="0.3">
      <c r="A576" s="1" t="s">
        <v>1436</v>
      </c>
      <c r="B576">
        <v>1</v>
      </c>
      <c r="C576">
        <v>16.989999999999998</v>
      </c>
      <c r="D576">
        <v>16.989999999999998</v>
      </c>
      <c r="E576" s="1" t="s">
        <v>79</v>
      </c>
      <c r="F576" s="1" t="s">
        <v>40</v>
      </c>
      <c r="G576">
        <v>17</v>
      </c>
      <c r="H576" s="1" t="s">
        <v>41</v>
      </c>
      <c r="I576" s="1" t="s">
        <v>59</v>
      </c>
      <c r="J576">
        <v>5</v>
      </c>
      <c r="K576">
        <v>16.989999999999998</v>
      </c>
      <c r="L576" s="1" t="s">
        <v>60</v>
      </c>
      <c r="M576" s="1" t="s">
        <v>61</v>
      </c>
      <c r="N576" s="1" t="s">
        <v>62</v>
      </c>
      <c r="O576" s="1" t="s">
        <v>31</v>
      </c>
      <c r="P576" s="2">
        <v>45726</v>
      </c>
      <c r="Q576" s="1" t="s">
        <v>828</v>
      </c>
      <c r="R576" s="1" t="s">
        <v>829</v>
      </c>
      <c r="S576" s="1" t="s">
        <v>65</v>
      </c>
      <c r="T576" s="1" t="s">
        <v>35</v>
      </c>
      <c r="U576" s="1" t="s">
        <v>48</v>
      </c>
      <c r="V576" s="1" t="s">
        <v>67</v>
      </c>
      <c r="W576">
        <v>3</v>
      </c>
      <c r="X576" s="1" t="str">
        <f t="shared" si="24"/>
        <v>catalina.martinez83@mail.com</v>
      </c>
      <c r="Y576" s="1" t="str">
        <f>INDEX(V:V,MATCH(orders_desnormalizado_prueba3[[#This Row],[acquisition_channel]],U:U,0))</f>
        <v>Bodega Propia CO - envio 2-3 dias</v>
      </c>
      <c r="Z576" s="1" t="str">
        <f>INDEX(T:T,MATCH(orders_desnormalizado_prueba3[[#This Row],[shipping_cost]],W:W,0))</f>
        <v>Colombia</v>
      </c>
      <c r="AA576" s="1" t="str">
        <f t="shared" si="25"/>
        <v>Barranquilla</v>
      </c>
      <c r="AB576" s="1"/>
      <c r="AC576" s="1" t="str">
        <f t="shared" si="26"/>
        <v xml:space="preserve"> </v>
      </c>
    </row>
    <row r="577" spans="1:29" x14ac:dyDescent="0.3">
      <c r="A577" s="1" t="s">
        <v>1437</v>
      </c>
      <c r="B577">
        <v>2</v>
      </c>
      <c r="C577">
        <v>34.99</v>
      </c>
      <c r="D577">
        <v>59.9</v>
      </c>
      <c r="E577" s="1" t="s">
        <v>902</v>
      </c>
      <c r="F577" s="1" t="s">
        <v>188</v>
      </c>
      <c r="G577">
        <v>0</v>
      </c>
      <c r="H577" s="1" t="s">
        <v>58</v>
      </c>
      <c r="I577" s="1" t="s">
        <v>85</v>
      </c>
      <c r="J577">
        <v>12.5</v>
      </c>
      <c r="K577">
        <v>34.99</v>
      </c>
      <c r="L577" s="1" t="s">
        <v>60</v>
      </c>
      <c r="M577" s="1" t="s">
        <v>29</v>
      </c>
      <c r="N577" s="1" t="s">
        <v>30</v>
      </c>
      <c r="O577" s="1" t="s">
        <v>31</v>
      </c>
      <c r="P577" s="2">
        <v>45778</v>
      </c>
      <c r="Q577" s="1" t="s">
        <v>1241</v>
      </c>
      <c r="R577" s="1" t="s">
        <v>1242</v>
      </c>
      <c r="S577" s="1" t="s">
        <v>54</v>
      </c>
      <c r="T577" s="1" t="s">
        <v>35</v>
      </c>
      <c r="U577" s="1" t="s">
        <v>48</v>
      </c>
      <c r="V577" s="1" t="s">
        <v>89</v>
      </c>
      <c r="W577">
        <v>2.4</v>
      </c>
      <c r="X577" s="1" t="str">
        <f t="shared" si="24"/>
        <v>antonia.torres55@mail.com</v>
      </c>
      <c r="Y577" s="1" t="str">
        <f>INDEX(V:V,MATCH(orders_desnormalizado_prueba3[[#This Row],[acquisition_channel]],U:U,0))</f>
        <v>Bodega Propia CO - envio 2-3 dias</v>
      </c>
      <c r="Z577" s="1" t="str">
        <f>INDEX(T:T,MATCH(orders_desnormalizado_prueba3[[#This Row],[shipping_cost]],W:W,0))</f>
        <v>Colombia</v>
      </c>
      <c r="AA577" s="1" t="str">
        <f t="shared" si="25"/>
        <v>Cartagena</v>
      </c>
      <c r="AB577" s="1"/>
      <c r="AC577" s="1" t="str">
        <f t="shared" si="26"/>
        <v xml:space="preserve"> </v>
      </c>
    </row>
    <row r="578" spans="1:29" x14ac:dyDescent="0.3">
      <c r="A578" s="1" t="s">
        <v>1438</v>
      </c>
      <c r="B578">
        <v>1</v>
      </c>
      <c r="C578">
        <v>18.989999999999998</v>
      </c>
      <c r="D578">
        <v>18.989999999999998</v>
      </c>
      <c r="E578" s="1" t="s">
        <v>822</v>
      </c>
      <c r="F578" s="1" t="s">
        <v>70</v>
      </c>
      <c r="G578">
        <v>0</v>
      </c>
      <c r="H578" s="1" t="s">
        <v>41</v>
      </c>
      <c r="I578" s="1" t="s">
        <v>97</v>
      </c>
      <c r="J578">
        <v>6</v>
      </c>
      <c r="K578">
        <v>18.989999999999998</v>
      </c>
      <c r="L578" s="1" t="s">
        <v>60</v>
      </c>
      <c r="M578" s="1" t="s">
        <v>43</v>
      </c>
      <c r="N578" s="1" t="s">
        <v>44</v>
      </c>
      <c r="O578" s="1" t="s">
        <v>31</v>
      </c>
      <c r="P578" s="2">
        <v>45823</v>
      </c>
      <c r="Q578" s="1" t="s">
        <v>1349</v>
      </c>
      <c r="R578" s="1" t="s">
        <v>1439</v>
      </c>
      <c r="S578" s="1" t="s">
        <v>65</v>
      </c>
      <c r="T578" s="1" t="s">
        <v>35</v>
      </c>
      <c r="U578" s="1" t="s">
        <v>36</v>
      </c>
      <c r="V578" s="1" t="s">
        <v>100</v>
      </c>
      <c r="W578">
        <v>3.2</v>
      </c>
      <c r="X578" s="1" t="str">
        <f t="shared" ref="X578:X641" si="27">INDEX(R:R,MATCH(Q578,Q:Q,0))</f>
        <v>catalina.moreno180@mail.com</v>
      </c>
      <c r="Y578" s="1" t="str">
        <f>INDEX(V:V,MATCH(orders_desnormalizado_prueba3[[#This Row],[acquisition_channel]],U:U,0))</f>
        <v>Bodega Propia CO - envio 2-3 dias</v>
      </c>
      <c r="Z578" s="1" t="str">
        <f>INDEX(T:T,MATCH(orders_desnormalizado_prueba3[[#This Row],[shipping_cost]],W:W,0))</f>
        <v>Colombia</v>
      </c>
      <c r="AA578" s="1" t="str">
        <f t="shared" ref="AA578:AA641" si="28">INDEX(S:S,MATCH(G578,G:G,0))</f>
        <v>Cartagena</v>
      </c>
      <c r="AB578" s="1"/>
      <c r="AC578" s="1" t="str">
        <f t="shared" ref="AC578:AC641" si="29">IFERROR(INDEX($V:$V,MATCH(AB578,$R:$R,0)), " ")</f>
        <v xml:space="preserve"> </v>
      </c>
    </row>
    <row r="579" spans="1:29" x14ac:dyDescent="0.3">
      <c r="A579" s="1" t="s">
        <v>1440</v>
      </c>
      <c r="B579">
        <v>1</v>
      </c>
      <c r="C579">
        <v>21.99</v>
      </c>
      <c r="D579">
        <v>21.99</v>
      </c>
      <c r="E579" s="1" t="s">
        <v>325</v>
      </c>
      <c r="F579" s="1" t="s">
        <v>188</v>
      </c>
      <c r="G579">
        <v>0</v>
      </c>
      <c r="H579" s="1" t="s">
        <v>26</v>
      </c>
      <c r="I579" s="1" t="s">
        <v>27</v>
      </c>
      <c r="J579">
        <v>7</v>
      </c>
      <c r="K579">
        <v>21.99</v>
      </c>
      <c r="L579" s="1" t="s">
        <v>28</v>
      </c>
      <c r="M579" s="1" t="s">
        <v>29</v>
      </c>
      <c r="N579" s="1" t="s">
        <v>30</v>
      </c>
      <c r="O579" s="1" t="s">
        <v>31</v>
      </c>
      <c r="P579" s="2">
        <v>45778</v>
      </c>
      <c r="Q579" s="1" t="s">
        <v>745</v>
      </c>
      <c r="R579" s="1" t="s">
        <v>746</v>
      </c>
      <c r="S579" s="1" t="s">
        <v>105</v>
      </c>
      <c r="T579" s="1" t="s">
        <v>35</v>
      </c>
      <c r="U579" s="1" t="s">
        <v>48</v>
      </c>
      <c r="V579" s="1" t="s">
        <v>37</v>
      </c>
      <c r="W579">
        <v>2</v>
      </c>
      <c r="X579" s="1" t="str">
        <f t="shared" si="27"/>
        <v>david.jimenez192@mail.com</v>
      </c>
      <c r="Y579" s="1" t="str">
        <f>INDEX(V:V,MATCH(orders_desnormalizado_prueba3[[#This Row],[acquisition_channel]],U:U,0))</f>
        <v>Bodega Propia CO - envio 2-3 dias</v>
      </c>
      <c r="Z579" s="1" t="str">
        <f>INDEX(T:T,MATCH(orders_desnormalizado_prueba3[[#This Row],[shipping_cost]],W:W,0))</f>
        <v>Colombia</v>
      </c>
      <c r="AA579" s="1" t="str">
        <f t="shared" si="28"/>
        <v>Cartagena</v>
      </c>
      <c r="AB579" s="1"/>
      <c r="AC579" s="1" t="str">
        <f t="shared" si="29"/>
        <v xml:space="preserve"> </v>
      </c>
    </row>
    <row r="580" spans="1:29" x14ac:dyDescent="0.3">
      <c r="A580" s="1" t="s">
        <v>1441</v>
      </c>
      <c r="B580">
        <v>3</v>
      </c>
      <c r="C580">
        <v>34.99</v>
      </c>
      <c r="D580">
        <v>84.67</v>
      </c>
      <c r="E580" s="1" t="s">
        <v>1122</v>
      </c>
      <c r="F580" s="1" t="s">
        <v>40</v>
      </c>
      <c r="G580">
        <v>6</v>
      </c>
      <c r="H580" s="1" t="s">
        <v>26</v>
      </c>
      <c r="I580" s="1" t="s">
        <v>85</v>
      </c>
      <c r="J580">
        <v>12.5</v>
      </c>
      <c r="K580">
        <v>34.99</v>
      </c>
      <c r="L580" s="1" t="s">
        <v>60</v>
      </c>
      <c r="M580" s="1" t="s">
        <v>29</v>
      </c>
      <c r="N580" s="1" t="s">
        <v>30</v>
      </c>
      <c r="O580" s="1" t="s">
        <v>31</v>
      </c>
      <c r="P580" s="2">
        <v>45778</v>
      </c>
      <c r="Q580" s="1" t="s">
        <v>850</v>
      </c>
      <c r="R580" s="1" t="s">
        <v>851</v>
      </c>
      <c r="S580" s="1" t="s">
        <v>65</v>
      </c>
      <c r="T580" s="1" t="s">
        <v>35</v>
      </c>
      <c r="U580" s="1" t="s">
        <v>36</v>
      </c>
      <c r="V580" s="1" t="s">
        <v>89</v>
      </c>
      <c r="W580">
        <v>2.4</v>
      </c>
      <c r="X580" s="1" t="str">
        <f t="shared" si="27"/>
        <v>natalia.moreno134@mail.com</v>
      </c>
      <c r="Y580" s="1" t="str">
        <f>INDEX(V:V,MATCH(orders_desnormalizado_prueba3[[#This Row],[acquisition_channel]],U:U,0))</f>
        <v>Bodega Propia CO - envio 2-3 dias</v>
      </c>
      <c r="Z580" s="1" t="str">
        <f>INDEX(T:T,MATCH(orders_desnormalizado_prueba3[[#This Row],[shipping_cost]],W:W,0))</f>
        <v>Colombia</v>
      </c>
      <c r="AA580" s="1" t="str">
        <f t="shared" si="28"/>
        <v>Medellin</v>
      </c>
      <c r="AB580" s="1"/>
      <c r="AC580" s="1" t="str">
        <f t="shared" si="29"/>
        <v xml:space="preserve"> </v>
      </c>
    </row>
    <row r="581" spans="1:29" x14ac:dyDescent="0.3">
      <c r="A581" s="1" t="s">
        <v>1442</v>
      </c>
      <c r="B581">
        <v>1</v>
      </c>
      <c r="C581">
        <v>30.99</v>
      </c>
      <c r="D581">
        <v>30.99</v>
      </c>
      <c r="E581" s="1" t="s">
        <v>1443</v>
      </c>
      <c r="F581" s="1" t="s">
        <v>51</v>
      </c>
      <c r="G581">
        <v>0</v>
      </c>
      <c r="H581" s="1" t="s">
        <v>41</v>
      </c>
      <c r="I581" s="1" t="s">
        <v>42</v>
      </c>
      <c r="J581">
        <v>10.5</v>
      </c>
      <c r="K581">
        <v>30.99</v>
      </c>
      <c r="L581" s="1" t="s">
        <v>28</v>
      </c>
      <c r="M581" s="1" t="s">
        <v>43</v>
      </c>
      <c r="N581" s="1" t="s">
        <v>44</v>
      </c>
      <c r="O581" s="1" t="s">
        <v>31</v>
      </c>
      <c r="P581" s="2">
        <v>45823</v>
      </c>
      <c r="Q581" s="1" t="s">
        <v>1069</v>
      </c>
      <c r="R581" s="1" t="s">
        <v>1070</v>
      </c>
      <c r="S581" s="1" t="s">
        <v>65</v>
      </c>
      <c r="T581" s="1" t="s">
        <v>35</v>
      </c>
      <c r="U581" s="1" t="s">
        <v>66</v>
      </c>
      <c r="V581" s="1" t="s">
        <v>37</v>
      </c>
      <c r="W581">
        <v>2</v>
      </c>
      <c r="X581" s="1" t="str">
        <f t="shared" si="27"/>
        <v>diego.jimenez145@mail.com</v>
      </c>
      <c r="Y581" s="1" t="str">
        <f>INDEX(V:V,MATCH(orders_desnormalizado_prueba3[[#This Row],[acquisition_channel]],U:U,0))</f>
        <v>AliDropship CN - envio 15-20 dias</v>
      </c>
      <c r="Z581" s="1" t="str">
        <f>INDEX(T:T,MATCH(orders_desnormalizado_prueba3[[#This Row],[shipping_cost]],W:W,0))</f>
        <v>Colombia</v>
      </c>
      <c r="AA581" s="1" t="str">
        <f t="shared" si="28"/>
        <v>Cartagena</v>
      </c>
      <c r="AB581" s="1"/>
      <c r="AC581" s="1" t="str">
        <f t="shared" si="29"/>
        <v xml:space="preserve"> </v>
      </c>
    </row>
    <row r="582" spans="1:29" x14ac:dyDescent="0.3">
      <c r="A582" s="1" t="s">
        <v>1444</v>
      </c>
      <c r="B582">
        <v>1</v>
      </c>
      <c r="C582">
        <v>34.99</v>
      </c>
      <c r="D582">
        <v>34.99</v>
      </c>
      <c r="E582" s="1" t="s">
        <v>1027</v>
      </c>
      <c r="F582" s="1" t="s">
        <v>40</v>
      </c>
      <c r="G582">
        <v>8</v>
      </c>
      <c r="H582" s="1" t="s">
        <v>41</v>
      </c>
      <c r="I582" s="1" t="s">
        <v>85</v>
      </c>
      <c r="J582">
        <v>12.5</v>
      </c>
      <c r="K582">
        <v>34.99</v>
      </c>
      <c r="L582" s="1" t="s">
        <v>60</v>
      </c>
      <c r="M582" s="1" t="s">
        <v>29</v>
      </c>
      <c r="N582" s="1" t="s">
        <v>30</v>
      </c>
      <c r="O582" s="1" t="s">
        <v>31</v>
      </c>
      <c r="P582" s="2">
        <v>45778</v>
      </c>
      <c r="Q582" s="1" t="s">
        <v>828</v>
      </c>
      <c r="R582" s="1" t="s">
        <v>829</v>
      </c>
      <c r="S582" s="1" t="s">
        <v>65</v>
      </c>
      <c r="T582" s="1" t="s">
        <v>35</v>
      </c>
      <c r="U582" s="1" t="s">
        <v>48</v>
      </c>
      <c r="V582" s="1" t="s">
        <v>89</v>
      </c>
      <c r="W582">
        <v>2.4</v>
      </c>
      <c r="X582" s="1" t="str">
        <f t="shared" si="27"/>
        <v>catalina.martinez83@mail.com</v>
      </c>
      <c r="Y582" s="1" t="str">
        <f>INDEX(V:V,MATCH(orders_desnormalizado_prueba3[[#This Row],[acquisition_channel]],U:U,0))</f>
        <v>Bodega Propia CO - envio 2-3 dias</v>
      </c>
      <c r="Z582" s="1" t="str">
        <f>INDEX(T:T,MATCH(orders_desnormalizado_prueba3[[#This Row],[shipping_cost]],W:W,0))</f>
        <v>Colombia</v>
      </c>
      <c r="AA582" s="1" t="str">
        <f t="shared" si="28"/>
        <v>Barranquilla</v>
      </c>
      <c r="AB582" s="1"/>
      <c r="AC582" s="1" t="str">
        <f t="shared" si="29"/>
        <v xml:space="preserve"> </v>
      </c>
    </row>
    <row r="583" spans="1:29" x14ac:dyDescent="0.3">
      <c r="A583" s="1" t="s">
        <v>1445</v>
      </c>
      <c r="B583">
        <v>3</v>
      </c>
      <c r="C583">
        <v>18.989999999999998</v>
      </c>
      <c r="D583">
        <v>45.49</v>
      </c>
      <c r="E583" s="1" t="s">
        <v>1446</v>
      </c>
      <c r="F583" s="1" t="s">
        <v>25</v>
      </c>
      <c r="G583">
        <v>14</v>
      </c>
      <c r="H583" s="1" t="s">
        <v>41</v>
      </c>
      <c r="I583" s="1" t="s">
        <v>97</v>
      </c>
      <c r="J583">
        <v>6</v>
      </c>
      <c r="K583">
        <v>18.989999999999998</v>
      </c>
      <c r="L583" s="1" t="s">
        <v>60</v>
      </c>
      <c r="M583" s="1" t="s">
        <v>43</v>
      </c>
      <c r="N583" s="1" t="s">
        <v>44</v>
      </c>
      <c r="O583" s="1" t="s">
        <v>31</v>
      </c>
      <c r="P583" s="2">
        <v>45823</v>
      </c>
      <c r="Q583" s="1" t="s">
        <v>1447</v>
      </c>
      <c r="R583" s="1" t="s">
        <v>1448</v>
      </c>
      <c r="S583" s="1" t="s">
        <v>47</v>
      </c>
      <c r="T583" s="1" t="s">
        <v>35</v>
      </c>
      <c r="U583" s="1" t="s">
        <v>36</v>
      </c>
      <c r="V583" s="1" t="s">
        <v>100</v>
      </c>
      <c r="W583">
        <v>3.2</v>
      </c>
      <c r="X583" s="1" t="str">
        <f t="shared" si="27"/>
        <v>ximena.torres31@mail.com</v>
      </c>
      <c r="Y583" s="1" t="str">
        <f>INDEX(V:V,MATCH(orders_desnormalizado_prueba3[[#This Row],[acquisition_channel]],U:U,0))</f>
        <v>Bodega Propia CO - envio 2-3 dias</v>
      </c>
      <c r="Z583" s="1" t="str">
        <f>INDEX(T:T,MATCH(orders_desnormalizado_prueba3[[#This Row],[shipping_cost]],W:W,0))</f>
        <v>Colombia</v>
      </c>
      <c r="AA583" s="1" t="str">
        <f t="shared" si="28"/>
        <v>Bogota</v>
      </c>
      <c r="AB583" s="1"/>
      <c r="AC583" s="1" t="str">
        <f t="shared" si="29"/>
        <v xml:space="preserve"> </v>
      </c>
    </row>
    <row r="584" spans="1:29" x14ac:dyDescent="0.3">
      <c r="A584" s="1" t="s">
        <v>1449</v>
      </c>
      <c r="B584">
        <v>3</v>
      </c>
      <c r="C584">
        <v>21.99</v>
      </c>
      <c r="D584">
        <v>52.41</v>
      </c>
      <c r="E584" s="1" t="s">
        <v>1450</v>
      </c>
      <c r="F584" s="1" t="s">
        <v>70</v>
      </c>
      <c r="G584">
        <v>0</v>
      </c>
      <c r="H584" s="1" t="s">
        <v>41</v>
      </c>
      <c r="I584" s="1" t="s">
        <v>27</v>
      </c>
      <c r="J584">
        <v>7</v>
      </c>
      <c r="K584">
        <v>21.99</v>
      </c>
      <c r="L584" s="1" t="s">
        <v>28</v>
      </c>
      <c r="M584" s="1" t="s">
        <v>29</v>
      </c>
      <c r="N584" s="1" t="s">
        <v>30</v>
      </c>
      <c r="O584" s="1" t="s">
        <v>31</v>
      </c>
      <c r="P584" s="2">
        <v>45778</v>
      </c>
      <c r="Q584" s="1" t="s">
        <v>728</v>
      </c>
      <c r="R584" s="1" t="s">
        <v>729</v>
      </c>
      <c r="S584" s="1" t="s">
        <v>88</v>
      </c>
      <c r="T584" s="1" t="s">
        <v>35</v>
      </c>
      <c r="U584" s="1" t="s">
        <v>55</v>
      </c>
      <c r="V584" s="1" t="s">
        <v>37</v>
      </c>
      <c r="W584">
        <v>2</v>
      </c>
      <c r="X584" s="1" t="str">
        <f t="shared" si="27"/>
        <v>sebastian.gomez15@mail.com</v>
      </c>
      <c r="Y584" s="1" t="str">
        <f>INDEX(V:V,MATCH(orders_desnormalizado_prueba3[[#This Row],[acquisition_channel]],U:U,0))</f>
        <v>Bodega Propia CO - envio 2-3 dias</v>
      </c>
      <c r="Z584" s="1" t="str">
        <f>INDEX(T:T,MATCH(orders_desnormalizado_prueba3[[#This Row],[shipping_cost]],W:W,0))</f>
        <v>Colombia</v>
      </c>
      <c r="AA584" s="1" t="str">
        <f t="shared" si="28"/>
        <v>Cartagena</v>
      </c>
      <c r="AB584" s="1"/>
      <c r="AC584" s="1" t="str">
        <f t="shared" si="29"/>
        <v xml:space="preserve"> </v>
      </c>
    </row>
    <row r="585" spans="1:29" x14ac:dyDescent="0.3">
      <c r="A585" s="1" t="s">
        <v>1451</v>
      </c>
      <c r="B585">
        <v>1</v>
      </c>
      <c r="C585">
        <v>18.989999999999998</v>
      </c>
      <c r="D585">
        <v>18.989999999999998</v>
      </c>
      <c r="E585" s="1" t="s">
        <v>1452</v>
      </c>
      <c r="F585" s="1" t="s">
        <v>188</v>
      </c>
      <c r="G585">
        <v>0</v>
      </c>
      <c r="H585" s="1" t="s">
        <v>26</v>
      </c>
      <c r="I585" s="1" t="s">
        <v>97</v>
      </c>
      <c r="J585">
        <v>6</v>
      </c>
      <c r="K585">
        <v>18.989999999999998</v>
      </c>
      <c r="L585" s="1" t="s">
        <v>60</v>
      </c>
      <c r="M585" s="1" t="s">
        <v>43</v>
      </c>
      <c r="N585" s="1" t="s">
        <v>44</v>
      </c>
      <c r="O585" s="1" t="s">
        <v>31</v>
      </c>
      <c r="P585" s="2">
        <v>45823</v>
      </c>
      <c r="Q585" s="1" t="s">
        <v>283</v>
      </c>
      <c r="R585" s="1" t="s">
        <v>1453</v>
      </c>
      <c r="S585" s="1" t="s">
        <v>88</v>
      </c>
      <c r="T585" s="1" t="s">
        <v>35</v>
      </c>
      <c r="U585" s="1" t="s">
        <v>66</v>
      </c>
      <c r="V585" s="1" t="s">
        <v>100</v>
      </c>
      <c r="W585">
        <v>3.2</v>
      </c>
      <c r="X585" s="1" t="str">
        <f t="shared" si="27"/>
        <v>mateo.sanchez11@mail.com</v>
      </c>
      <c r="Y585" s="1" t="str">
        <f>INDEX(V:V,MATCH(orders_desnormalizado_prueba3[[#This Row],[acquisition_channel]],U:U,0))</f>
        <v>AliDropship CN - envio 15-20 dias</v>
      </c>
      <c r="Z585" s="1" t="str">
        <f>INDEX(T:T,MATCH(orders_desnormalizado_prueba3[[#This Row],[shipping_cost]],W:W,0))</f>
        <v>Colombia</v>
      </c>
      <c r="AA585" s="1" t="str">
        <f t="shared" si="28"/>
        <v>Cartagena</v>
      </c>
      <c r="AB585" s="1"/>
      <c r="AC585" s="1" t="str">
        <f t="shared" si="29"/>
        <v xml:space="preserve"> </v>
      </c>
    </row>
    <row r="586" spans="1:29" x14ac:dyDescent="0.3">
      <c r="A586" s="1" t="s">
        <v>1454</v>
      </c>
      <c r="B586">
        <v>2</v>
      </c>
      <c r="C586">
        <v>30.99</v>
      </c>
      <c r="D586">
        <v>53.07</v>
      </c>
      <c r="E586" s="1" t="s">
        <v>1455</v>
      </c>
      <c r="F586" s="1" t="s">
        <v>40</v>
      </c>
      <c r="G586">
        <v>3</v>
      </c>
      <c r="H586" s="1" t="s">
        <v>96</v>
      </c>
      <c r="I586" s="1" t="s">
        <v>42</v>
      </c>
      <c r="J586">
        <v>10.5</v>
      </c>
      <c r="K586">
        <v>30.99</v>
      </c>
      <c r="L586" s="1" t="s">
        <v>28</v>
      </c>
      <c r="M586" s="1" t="s">
        <v>43</v>
      </c>
      <c r="N586" s="1" t="s">
        <v>44</v>
      </c>
      <c r="O586" s="1" t="s">
        <v>31</v>
      </c>
      <c r="P586" s="2">
        <v>45823</v>
      </c>
      <c r="Q586" s="1" t="s">
        <v>1376</v>
      </c>
      <c r="R586" s="1" t="s">
        <v>1456</v>
      </c>
      <c r="S586" s="1" t="s">
        <v>105</v>
      </c>
      <c r="T586" s="1" t="s">
        <v>35</v>
      </c>
      <c r="U586" s="1" t="s">
        <v>36</v>
      </c>
      <c r="V586" s="1" t="s">
        <v>37</v>
      </c>
      <c r="W586">
        <v>2</v>
      </c>
      <c r="X586" s="1" t="str">
        <f t="shared" si="27"/>
        <v>alejandro.jimenez18@mail.com</v>
      </c>
      <c r="Y586" s="1" t="str">
        <f>INDEX(V:V,MATCH(orders_desnormalizado_prueba3[[#This Row],[acquisition_channel]],U:U,0))</f>
        <v>Bodega Propia CO - envio 2-3 dias</v>
      </c>
      <c r="Z586" s="1" t="str">
        <f>INDEX(T:T,MATCH(orders_desnormalizado_prueba3[[#This Row],[shipping_cost]],W:W,0))</f>
        <v>Colombia</v>
      </c>
      <c r="AA586" s="1" t="str">
        <f t="shared" si="28"/>
        <v>Barranquilla</v>
      </c>
      <c r="AB586" s="1"/>
      <c r="AC586" s="1" t="str">
        <f t="shared" si="29"/>
        <v xml:space="preserve"> </v>
      </c>
    </row>
    <row r="587" spans="1:29" x14ac:dyDescent="0.3">
      <c r="A587" s="1" t="s">
        <v>1457</v>
      </c>
      <c r="B587">
        <v>1</v>
      </c>
      <c r="C587">
        <v>18.989999999999998</v>
      </c>
      <c r="D587">
        <v>18.989999999999998</v>
      </c>
      <c r="E587" s="1" t="s">
        <v>1108</v>
      </c>
      <c r="F587" s="1" t="s">
        <v>40</v>
      </c>
      <c r="G587">
        <v>20</v>
      </c>
      <c r="H587" s="1" t="s">
        <v>41</v>
      </c>
      <c r="I587" s="1" t="s">
        <v>97</v>
      </c>
      <c r="J587">
        <v>6</v>
      </c>
      <c r="K587">
        <v>18.989999999999998</v>
      </c>
      <c r="L587" s="1" t="s">
        <v>60</v>
      </c>
      <c r="M587" s="1" t="s">
        <v>43</v>
      </c>
      <c r="N587" s="1" t="s">
        <v>44</v>
      </c>
      <c r="O587" s="1" t="s">
        <v>31</v>
      </c>
      <c r="P587" s="2">
        <v>45823</v>
      </c>
      <c r="Q587" s="1" t="s">
        <v>1458</v>
      </c>
      <c r="R587" s="1" t="s">
        <v>1459</v>
      </c>
      <c r="S587" s="1" t="s">
        <v>88</v>
      </c>
      <c r="T587" s="1" t="s">
        <v>35</v>
      </c>
      <c r="U587" s="1" t="s">
        <v>82</v>
      </c>
      <c r="V587" s="1" t="s">
        <v>100</v>
      </c>
      <c r="W587">
        <v>3.2</v>
      </c>
      <c r="X587" s="1" t="str">
        <f t="shared" si="27"/>
        <v>julian.perez48@mail.com</v>
      </c>
      <c r="Y587" s="1" t="str">
        <f>INDEX(V:V,MATCH(orders_desnormalizado_prueba3[[#This Row],[acquisition_channel]],U:U,0))</f>
        <v>Bodega Propia CO - envio 2-3 dias</v>
      </c>
      <c r="Z587" s="1" t="str">
        <f>INDEX(T:T,MATCH(orders_desnormalizado_prueba3[[#This Row],[shipping_cost]],W:W,0))</f>
        <v>Colombia</v>
      </c>
      <c r="AA587" s="1" t="str">
        <f t="shared" si="28"/>
        <v>Bucaramanga</v>
      </c>
      <c r="AB587" s="1"/>
      <c r="AC587" s="1" t="str">
        <f t="shared" si="29"/>
        <v xml:space="preserve"> </v>
      </c>
    </row>
    <row r="588" spans="1:29" x14ac:dyDescent="0.3">
      <c r="A588" s="1" t="s">
        <v>1460</v>
      </c>
      <c r="B588">
        <v>3</v>
      </c>
      <c r="C588">
        <v>16.989999999999998</v>
      </c>
      <c r="D588">
        <v>40.950000000000003</v>
      </c>
      <c r="E588" s="1" t="s">
        <v>1461</v>
      </c>
      <c r="F588" s="1" t="s">
        <v>51</v>
      </c>
      <c r="G588">
        <v>0</v>
      </c>
      <c r="H588" s="1" t="s">
        <v>26</v>
      </c>
      <c r="I588" s="1" t="s">
        <v>59</v>
      </c>
      <c r="J588">
        <v>5</v>
      </c>
      <c r="K588">
        <v>16.989999999999998</v>
      </c>
      <c r="L588" s="1" t="s">
        <v>60</v>
      </c>
      <c r="M588" s="1" t="s">
        <v>61</v>
      </c>
      <c r="N588" s="1" t="s">
        <v>62</v>
      </c>
      <c r="O588" s="1" t="s">
        <v>31</v>
      </c>
      <c r="P588" s="2">
        <v>45726</v>
      </c>
      <c r="Q588" s="1" t="s">
        <v>832</v>
      </c>
      <c r="R588" s="1" t="s">
        <v>879</v>
      </c>
      <c r="S588" s="1" t="s">
        <v>105</v>
      </c>
      <c r="T588" s="1" t="s">
        <v>35</v>
      </c>
      <c r="U588" s="1" t="s">
        <v>66</v>
      </c>
      <c r="V588" s="1" t="s">
        <v>67</v>
      </c>
      <c r="W588">
        <v>3</v>
      </c>
      <c r="X588" s="1" t="str">
        <f t="shared" si="27"/>
        <v>nicolas.vargas144@mail.com</v>
      </c>
      <c r="Y588" s="1" t="str">
        <f>INDEX(V:V,MATCH(orders_desnormalizado_prueba3[[#This Row],[acquisition_channel]],U:U,0))</f>
        <v>AliDropship CN - envio 15-20 dias</v>
      </c>
      <c r="Z588" s="1" t="str">
        <f>INDEX(T:T,MATCH(orders_desnormalizado_prueba3[[#This Row],[shipping_cost]],W:W,0))</f>
        <v>Colombia</v>
      </c>
      <c r="AA588" s="1" t="str">
        <f t="shared" si="28"/>
        <v>Cartagena</v>
      </c>
      <c r="AB588" s="1"/>
      <c r="AC588" s="1" t="str">
        <f t="shared" si="29"/>
        <v xml:space="preserve"> </v>
      </c>
    </row>
    <row r="589" spans="1:29" x14ac:dyDescent="0.3">
      <c r="A589" s="1" t="s">
        <v>1462</v>
      </c>
      <c r="B589">
        <v>1</v>
      </c>
      <c r="C589">
        <v>21.99</v>
      </c>
      <c r="D589">
        <v>21.99</v>
      </c>
      <c r="E589" s="1" t="s">
        <v>1390</v>
      </c>
      <c r="F589" s="1" t="s">
        <v>40</v>
      </c>
      <c r="G589">
        <v>3</v>
      </c>
      <c r="H589" s="1" t="s">
        <v>41</v>
      </c>
      <c r="I589" s="1" t="s">
        <v>27</v>
      </c>
      <c r="J589">
        <v>7</v>
      </c>
      <c r="K589">
        <v>21.99</v>
      </c>
      <c r="L589" s="1" t="s">
        <v>28</v>
      </c>
      <c r="M589" s="1" t="s">
        <v>29</v>
      </c>
      <c r="N589" s="1" t="s">
        <v>30</v>
      </c>
      <c r="O589" s="1" t="s">
        <v>31</v>
      </c>
      <c r="P589" s="2">
        <v>45778</v>
      </c>
      <c r="Q589" s="1" t="s">
        <v>518</v>
      </c>
      <c r="R589" s="1" t="s">
        <v>1463</v>
      </c>
      <c r="S589" s="1" t="s">
        <v>34</v>
      </c>
      <c r="T589" s="1" t="s">
        <v>35</v>
      </c>
      <c r="U589" s="1" t="s">
        <v>66</v>
      </c>
      <c r="V589" s="1" t="s">
        <v>37</v>
      </c>
      <c r="W589">
        <v>2</v>
      </c>
      <c r="X589" s="1" t="str">
        <f t="shared" si="27"/>
        <v>juan.castro151@mail.com</v>
      </c>
      <c r="Y589" s="1" t="str">
        <f>INDEX(V:V,MATCH(orders_desnormalizado_prueba3[[#This Row],[acquisition_channel]],U:U,0))</f>
        <v>AliDropship CN - envio 15-20 dias</v>
      </c>
      <c r="Z589" s="1" t="str">
        <f>INDEX(T:T,MATCH(orders_desnormalizado_prueba3[[#This Row],[shipping_cost]],W:W,0))</f>
        <v>Colombia</v>
      </c>
      <c r="AA589" s="1" t="str">
        <f t="shared" si="28"/>
        <v>Barranquilla</v>
      </c>
      <c r="AB589" s="1"/>
      <c r="AC589" s="1" t="str">
        <f t="shared" si="29"/>
        <v xml:space="preserve"> </v>
      </c>
    </row>
    <row r="590" spans="1:29" x14ac:dyDescent="0.3">
      <c r="A590" s="1" t="s">
        <v>1464</v>
      </c>
      <c r="B590">
        <v>1</v>
      </c>
      <c r="C590">
        <v>30.99</v>
      </c>
      <c r="D590">
        <v>30.99</v>
      </c>
      <c r="E590" s="1" t="s">
        <v>1420</v>
      </c>
      <c r="F590" s="1" t="s">
        <v>40</v>
      </c>
      <c r="G590">
        <v>2</v>
      </c>
      <c r="H590" s="1" t="s">
        <v>41</v>
      </c>
      <c r="I590" s="1" t="s">
        <v>42</v>
      </c>
      <c r="J590">
        <v>10.5</v>
      </c>
      <c r="K590">
        <v>30.99</v>
      </c>
      <c r="L590" s="1" t="s">
        <v>28</v>
      </c>
      <c r="M590" s="1" t="s">
        <v>43</v>
      </c>
      <c r="N590" s="1" t="s">
        <v>44</v>
      </c>
      <c r="O590" s="1" t="s">
        <v>31</v>
      </c>
      <c r="P590" s="2">
        <v>45823</v>
      </c>
      <c r="Q590" s="1" t="s">
        <v>689</v>
      </c>
      <c r="R590" s="1" t="s">
        <v>766</v>
      </c>
      <c r="S590" s="1" t="s">
        <v>105</v>
      </c>
      <c r="T590" s="1" t="s">
        <v>35</v>
      </c>
      <c r="U590" s="1" t="s">
        <v>48</v>
      </c>
      <c r="V590" s="1" t="s">
        <v>37</v>
      </c>
      <c r="W590">
        <v>2</v>
      </c>
      <c r="X590" s="1" t="str">
        <f t="shared" si="27"/>
        <v>mateo.martinez177@mail.com</v>
      </c>
      <c r="Y590" s="1" t="str">
        <f>INDEX(V:V,MATCH(orders_desnormalizado_prueba3[[#This Row],[acquisition_channel]],U:U,0))</f>
        <v>Bodega Propia CO - envio 2-3 dias</v>
      </c>
      <c r="Z590" s="1" t="str">
        <f>INDEX(T:T,MATCH(orders_desnormalizado_prueba3[[#This Row],[shipping_cost]],W:W,0))</f>
        <v>Colombia</v>
      </c>
      <c r="AA590" s="1" t="str">
        <f t="shared" si="28"/>
        <v>Medellin</v>
      </c>
      <c r="AB590" s="1"/>
      <c r="AC590" s="1" t="str">
        <f t="shared" si="29"/>
        <v xml:space="preserve"> </v>
      </c>
    </row>
    <row r="591" spans="1:29" x14ac:dyDescent="0.3">
      <c r="A591" s="1" t="s">
        <v>1465</v>
      </c>
      <c r="B591">
        <v>2</v>
      </c>
      <c r="C591">
        <v>16.989999999999998</v>
      </c>
      <c r="D591">
        <v>29.62</v>
      </c>
      <c r="E591" s="1" t="s">
        <v>759</v>
      </c>
      <c r="F591" s="1" t="s">
        <v>40</v>
      </c>
      <c r="G591">
        <v>16</v>
      </c>
      <c r="H591" s="1" t="s">
        <v>26</v>
      </c>
      <c r="I591" s="1" t="s">
        <v>59</v>
      </c>
      <c r="J591">
        <v>5</v>
      </c>
      <c r="K591">
        <v>16.989999999999998</v>
      </c>
      <c r="L591" s="1" t="s">
        <v>60</v>
      </c>
      <c r="M591" s="1" t="s">
        <v>61</v>
      </c>
      <c r="N591" s="1" t="s">
        <v>62</v>
      </c>
      <c r="O591" s="1" t="s">
        <v>31</v>
      </c>
      <c r="P591" s="2">
        <v>45726</v>
      </c>
      <c r="Q591" s="1" t="s">
        <v>1466</v>
      </c>
      <c r="R591" s="1" t="s">
        <v>1467</v>
      </c>
      <c r="S591" s="1" t="s">
        <v>65</v>
      </c>
      <c r="T591" s="1" t="s">
        <v>35</v>
      </c>
      <c r="U591" s="1" t="s">
        <v>48</v>
      </c>
      <c r="V591" s="1" t="s">
        <v>67</v>
      </c>
      <c r="W591">
        <v>3</v>
      </c>
      <c r="X591" s="1" t="str">
        <f t="shared" si="27"/>
        <v>maria.rodriguez64@mail.com</v>
      </c>
      <c r="Y591" s="1" t="str">
        <f>INDEX(V:V,MATCH(orders_desnormalizado_prueba3[[#This Row],[acquisition_channel]],U:U,0))</f>
        <v>Bodega Propia CO - envio 2-3 dias</v>
      </c>
      <c r="Z591" s="1" t="str">
        <f>INDEX(T:T,MATCH(orders_desnormalizado_prueba3[[#This Row],[shipping_cost]],W:W,0))</f>
        <v>Colombia</v>
      </c>
      <c r="AA591" s="1" t="str">
        <f t="shared" si="28"/>
        <v>Bogota</v>
      </c>
      <c r="AB591" s="1"/>
      <c r="AC591" s="1" t="str">
        <f t="shared" si="29"/>
        <v xml:space="preserve"> </v>
      </c>
    </row>
    <row r="592" spans="1:29" x14ac:dyDescent="0.3">
      <c r="A592" s="1" t="s">
        <v>1468</v>
      </c>
      <c r="B592">
        <v>1</v>
      </c>
      <c r="C592">
        <v>30.99</v>
      </c>
      <c r="D592">
        <v>30.99</v>
      </c>
      <c r="E592" s="1" t="s">
        <v>1115</v>
      </c>
      <c r="F592" s="1" t="s">
        <v>40</v>
      </c>
      <c r="G592">
        <v>3</v>
      </c>
      <c r="H592" s="1" t="s">
        <v>58</v>
      </c>
      <c r="I592" s="1" t="s">
        <v>42</v>
      </c>
      <c r="J592">
        <v>10.5</v>
      </c>
      <c r="K592">
        <v>30.99</v>
      </c>
      <c r="L592" s="1" t="s">
        <v>28</v>
      </c>
      <c r="M592" s="1" t="s">
        <v>43</v>
      </c>
      <c r="N592" s="1" t="s">
        <v>44</v>
      </c>
      <c r="O592" s="1" t="s">
        <v>31</v>
      </c>
      <c r="P592" s="2">
        <v>45823</v>
      </c>
      <c r="Q592" s="1" t="s">
        <v>425</v>
      </c>
      <c r="R592" s="1" t="s">
        <v>1469</v>
      </c>
      <c r="S592" s="1" t="s">
        <v>88</v>
      </c>
      <c r="T592" s="1" t="s">
        <v>35</v>
      </c>
      <c r="U592" s="1" t="s">
        <v>82</v>
      </c>
      <c r="V592" s="1" t="s">
        <v>37</v>
      </c>
      <c r="W592">
        <v>2</v>
      </c>
      <c r="X592" s="1" t="str">
        <f t="shared" si="27"/>
        <v>paula.ramirez47@mail.com</v>
      </c>
      <c r="Y592" s="1" t="str">
        <f>INDEX(V:V,MATCH(orders_desnormalizado_prueba3[[#This Row],[acquisition_channel]],U:U,0))</f>
        <v>Bodega Propia CO - envio 2-3 dias</v>
      </c>
      <c r="Z592" s="1" t="str">
        <f>INDEX(T:T,MATCH(orders_desnormalizado_prueba3[[#This Row],[shipping_cost]],W:W,0))</f>
        <v>Colombia</v>
      </c>
      <c r="AA592" s="1" t="str">
        <f t="shared" si="28"/>
        <v>Barranquilla</v>
      </c>
      <c r="AB592" s="1"/>
      <c r="AC592" s="1" t="str">
        <f t="shared" si="29"/>
        <v xml:space="preserve"> </v>
      </c>
    </row>
    <row r="593" spans="1:29" x14ac:dyDescent="0.3">
      <c r="A593" s="1" t="s">
        <v>1470</v>
      </c>
      <c r="B593">
        <v>1</v>
      </c>
      <c r="C593">
        <v>18.989999999999998</v>
      </c>
      <c r="D593">
        <v>18.989999999999998</v>
      </c>
      <c r="E593" s="1" t="s">
        <v>1471</v>
      </c>
      <c r="F593" s="1" t="s">
        <v>40</v>
      </c>
      <c r="G593">
        <v>14</v>
      </c>
      <c r="H593" s="1" t="s">
        <v>96</v>
      </c>
      <c r="I593" s="1" t="s">
        <v>97</v>
      </c>
      <c r="J593">
        <v>6</v>
      </c>
      <c r="K593">
        <v>18.989999999999998</v>
      </c>
      <c r="L593" s="1" t="s">
        <v>60</v>
      </c>
      <c r="M593" s="1" t="s">
        <v>43</v>
      </c>
      <c r="N593" s="1" t="s">
        <v>44</v>
      </c>
      <c r="O593" s="1" t="s">
        <v>31</v>
      </c>
      <c r="P593" s="2">
        <v>45823</v>
      </c>
      <c r="Q593" s="1" t="s">
        <v>1234</v>
      </c>
      <c r="R593" s="1" t="s">
        <v>1472</v>
      </c>
      <c r="S593" s="1" t="s">
        <v>54</v>
      </c>
      <c r="T593" s="1" t="s">
        <v>35</v>
      </c>
      <c r="U593" s="1" t="s">
        <v>66</v>
      </c>
      <c r="V593" s="1" t="s">
        <v>100</v>
      </c>
      <c r="W593">
        <v>3.2</v>
      </c>
      <c r="X593" s="1" t="str">
        <f t="shared" si="27"/>
        <v>antonia.ortiz67@mail.com</v>
      </c>
      <c r="Y593" s="1" t="str">
        <f>INDEX(V:V,MATCH(orders_desnormalizado_prueba3[[#This Row],[acquisition_channel]],U:U,0))</f>
        <v>AliDropship CN - envio 15-20 dias</v>
      </c>
      <c r="Z593" s="1" t="str">
        <f>INDEX(T:T,MATCH(orders_desnormalizado_prueba3[[#This Row],[shipping_cost]],W:W,0))</f>
        <v>Colombia</v>
      </c>
      <c r="AA593" s="1" t="str">
        <f t="shared" si="28"/>
        <v>Bogota</v>
      </c>
      <c r="AB593" s="1"/>
      <c r="AC593" s="1" t="str">
        <f t="shared" si="29"/>
        <v xml:space="preserve"> </v>
      </c>
    </row>
    <row r="594" spans="1:29" x14ac:dyDescent="0.3">
      <c r="A594" s="1" t="s">
        <v>1473</v>
      </c>
      <c r="B594">
        <v>1</v>
      </c>
      <c r="C594">
        <v>16.989999999999998</v>
      </c>
      <c r="D594">
        <v>16.989999999999998</v>
      </c>
      <c r="E594" s="1" t="s">
        <v>900</v>
      </c>
      <c r="F594" s="1" t="s">
        <v>40</v>
      </c>
      <c r="G594">
        <v>16</v>
      </c>
      <c r="H594" s="1" t="s">
        <v>96</v>
      </c>
      <c r="I594" s="1" t="s">
        <v>59</v>
      </c>
      <c r="J594">
        <v>5</v>
      </c>
      <c r="K594">
        <v>16.989999999999998</v>
      </c>
      <c r="L594" s="1" t="s">
        <v>60</v>
      </c>
      <c r="M594" s="1" t="s">
        <v>61</v>
      </c>
      <c r="N594" s="1" t="s">
        <v>62</v>
      </c>
      <c r="O594" s="1" t="s">
        <v>31</v>
      </c>
      <c r="P594" s="2">
        <v>45726</v>
      </c>
      <c r="Q594" s="1" t="s">
        <v>793</v>
      </c>
      <c r="R594" s="1" t="s">
        <v>794</v>
      </c>
      <c r="S594" s="1" t="s">
        <v>34</v>
      </c>
      <c r="T594" s="1" t="s">
        <v>35</v>
      </c>
      <c r="U594" s="1" t="s">
        <v>82</v>
      </c>
      <c r="V594" s="1" t="s">
        <v>67</v>
      </c>
      <c r="W594">
        <v>3</v>
      </c>
      <c r="X594" s="1" t="str">
        <f t="shared" si="27"/>
        <v>esteban.ortiz133@mail.com</v>
      </c>
      <c r="Y594" s="1" t="str">
        <f>INDEX(V:V,MATCH(orders_desnormalizado_prueba3[[#This Row],[acquisition_channel]],U:U,0))</f>
        <v>Bodega Propia CO - envio 2-3 dias</v>
      </c>
      <c r="Z594" s="1" t="str">
        <f>INDEX(T:T,MATCH(orders_desnormalizado_prueba3[[#This Row],[shipping_cost]],W:W,0))</f>
        <v>Colombia</v>
      </c>
      <c r="AA594" s="1" t="str">
        <f t="shared" si="28"/>
        <v>Bogota</v>
      </c>
      <c r="AB594" s="1"/>
      <c r="AC594" s="1" t="str">
        <f t="shared" si="29"/>
        <v xml:space="preserve"> </v>
      </c>
    </row>
    <row r="595" spans="1:29" x14ac:dyDescent="0.3">
      <c r="A595" s="1" t="s">
        <v>1474</v>
      </c>
      <c r="B595">
        <v>1</v>
      </c>
      <c r="C595">
        <v>30.99</v>
      </c>
      <c r="D595">
        <v>30.99</v>
      </c>
      <c r="E595" s="1" t="s">
        <v>445</v>
      </c>
      <c r="F595" s="1" t="s">
        <v>40</v>
      </c>
      <c r="G595">
        <v>3</v>
      </c>
      <c r="H595" s="1" t="s">
        <v>41</v>
      </c>
      <c r="I595" s="1" t="s">
        <v>42</v>
      </c>
      <c r="J595">
        <v>10.5</v>
      </c>
      <c r="K595">
        <v>30.99</v>
      </c>
      <c r="L595" s="1" t="s">
        <v>28</v>
      </c>
      <c r="M595" s="1" t="s">
        <v>43</v>
      </c>
      <c r="N595" s="1" t="s">
        <v>44</v>
      </c>
      <c r="O595" s="1" t="s">
        <v>31</v>
      </c>
      <c r="P595" s="2">
        <v>45823</v>
      </c>
      <c r="Q595" s="1" t="s">
        <v>1475</v>
      </c>
      <c r="R595" s="1" t="s">
        <v>1476</v>
      </c>
      <c r="S595" s="1" t="s">
        <v>34</v>
      </c>
      <c r="T595" s="1" t="s">
        <v>35</v>
      </c>
      <c r="U595" s="1" t="s">
        <v>36</v>
      </c>
      <c r="V595" s="1" t="s">
        <v>37</v>
      </c>
      <c r="W595">
        <v>2</v>
      </c>
      <c r="X595" s="1" t="str">
        <f t="shared" si="27"/>
        <v>ximena.lopez111@mail.com</v>
      </c>
      <c r="Y595" s="1" t="str">
        <f>INDEX(V:V,MATCH(orders_desnormalizado_prueba3[[#This Row],[acquisition_channel]],U:U,0))</f>
        <v>Bodega Propia CO - envio 2-3 dias</v>
      </c>
      <c r="Z595" s="1" t="str">
        <f>INDEX(T:T,MATCH(orders_desnormalizado_prueba3[[#This Row],[shipping_cost]],W:W,0))</f>
        <v>Colombia</v>
      </c>
      <c r="AA595" s="1" t="str">
        <f t="shared" si="28"/>
        <v>Barranquilla</v>
      </c>
      <c r="AB595" s="1"/>
      <c r="AC595" s="1" t="str">
        <f t="shared" si="29"/>
        <v xml:space="preserve"> </v>
      </c>
    </row>
    <row r="596" spans="1:29" x14ac:dyDescent="0.3">
      <c r="A596" s="1" t="s">
        <v>1477</v>
      </c>
      <c r="B596">
        <v>1</v>
      </c>
      <c r="C596">
        <v>34.99</v>
      </c>
      <c r="D596">
        <v>34.99</v>
      </c>
      <c r="E596" s="1" t="s">
        <v>1397</v>
      </c>
      <c r="F596" s="1" t="s">
        <v>40</v>
      </c>
      <c r="G596">
        <v>8</v>
      </c>
      <c r="H596" s="1" t="s">
        <v>41</v>
      </c>
      <c r="I596" s="1" t="s">
        <v>85</v>
      </c>
      <c r="J596">
        <v>12.5</v>
      </c>
      <c r="K596">
        <v>34.99</v>
      </c>
      <c r="L596" s="1" t="s">
        <v>60</v>
      </c>
      <c r="M596" s="1" t="s">
        <v>29</v>
      </c>
      <c r="N596" s="1" t="s">
        <v>30</v>
      </c>
      <c r="O596" s="1" t="s">
        <v>31</v>
      </c>
      <c r="P596" s="2">
        <v>45778</v>
      </c>
      <c r="Q596" s="1" t="s">
        <v>817</v>
      </c>
      <c r="R596" s="1" t="s">
        <v>1478</v>
      </c>
      <c r="S596" s="1" t="s">
        <v>65</v>
      </c>
      <c r="T596" s="1" t="s">
        <v>35</v>
      </c>
      <c r="U596" s="1" t="s">
        <v>82</v>
      </c>
      <c r="V596" s="1" t="s">
        <v>89</v>
      </c>
      <c r="W596">
        <v>2.4</v>
      </c>
      <c r="X596" s="1" t="str">
        <f t="shared" si="27"/>
        <v>juan.perez187@mail.com</v>
      </c>
      <c r="Y596" s="1" t="str">
        <f>INDEX(V:V,MATCH(orders_desnormalizado_prueba3[[#This Row],[acquisition_channel]],U:U,0))</f>
        <v>Bodega Propia CO - envio 2-3 dias</v>
      </c>
      <c r="Z596" s="1" t="str">
        <f>INDEX(T:T,MATCH(orders_desnormalizado_prueba3[[#This Row],[shipping_cost]],W:W,0))</f>
        <v>Colombia</v>
      </c>
      <c r="AA596" s="1" t="str">
        <f t="shared" si="28"/>
        <v>Barranquilla</v>
      </c>
      <c r="AB596" s="1"/>
      <c r="AC596" s="1" t="str">
        <f t="shared" si="29"/>
        <v xml:space="preserve"> </v>
      </c>
    </row>
    <row r="597" spans="1:29" x14ac:dyDescent="0.3">
      <c r="A597" s="1" t="s">
        <v>1479</v>
      </c>
      <c r="B597">
        <v>1</v>
      </c>
      <c r="C597">
        <v>34.99</v>
      </c>
      <c r="D597">
        <v>34.99</v>
      </c>
      <c r="E597" s="1" t="s">
        <v>561</v>
      </c>
      <c r="F597" s="1" t="s">
        <v>70</v>
      </c>
      <c r="G597">
        <v>0</v>
      </c>
      <c r="H597" s="1" t="s">
        <v>26</v>
      </c>
      <c r="I597" s="1" t="s">
        <v>85</v>
      </c>
      <c r="J597">
        <v>12.5</v>
      </c>
      <c r="K597">
        <v>34.99</v>
      </c>
      <c r="L597" s="1" t="s">
        <v>60</v>
      </c>
      <c r="M597" s="1" t="s">
        <v>29</v>
      </c>
      <c r="N597" s="1" t="s">
        <v>30</v>
      </c>
      <c r="O597" s="1" t="s">
        <v>31</v>
      </c>
      <c r="P597" s="2">
        <v>45778</v>
      </c>
      <c r="Q597" s="1" t="s">
        <v>1480</v>
      </c>
      <c r="R597" s="1" t="s">
        <v>1481</v>
      </c>
      <c r="S597" s="1" t="s">
        <v>34</v>
      </c>
      <c r="T597" s="1" t="s">
        <v>35</v>
      </c>
      <c r="U597" s="1" t="s">
        <v>66</v>
      </c>
      <c r="V597" s="1" t="s">
        <v>89</v>
      </c>
      <c r="W597">
        <v>2.4</v>
      </c>
      <c r="X597" s="1" t="str">
        <f t="shared" si="27"/>
        <v>sebastian.ortiz129@mail.com</v>
      </c>
      <c r="Y597" s="1" t="str">
        <f>INDEX(V:V,MATCH(orders_desnormalizado_prueba3[[#This Row],[acquisition_channel]],U:U,0))</f>
        <v>AliDropship CN - envio 15-20 dias</v>
      </c>
      <c r="Z597" s="1" t="str">
        <f>INDEX(T:T,MATCH(orders_desnormalizado_prueba3[[#This Row],[shipping_cost]],W:W,0))</f>
        <v>Colombia</v>
      </c>
      <c r="AA597" s="1" t="str">
        <f t="shared" si="28"/>
        <v>Cartagena</v>
      </c>
      <c r="AB597" s="1"/>
      <c r="AC597" s="1" t="str">
        <f t="shared" si="29"/>
        <v xml:space="preserve"> </v>
      </c>
    </row>
    <row r="598" spans="1:29" x14ac:dyDescent="0.3">
      <c r="A598" s="1" t="s">
        <v>1482</v>
      </c>
      <c r="B598">
        <v>1</v>
      </c>
      <c r="C598">
        <v>18.989999999999998</v>
      </c>
      <c r="D598">
        <v>18.989999999999998</v>
      </c>
      <c r="E598" s="1" t="s">
        <v>756</v>
      </c>
      <c r="F598" s="1" t="s">
        <v>25</v>
      </c>
      <c r="G598">
        <v>12</v>
      </c>
      <c r="H598" s="1" t="s">
        <v>96</v>
      </c>
      <c r="I598" s="1" t="s">
        <v>97</v>
      </c>
      <c r="J598">
        <v>6</v>
      </c>
      <c r="K598">
        <v>18.989999999999998</v>
      </c>
      <c r="L598" s="1" t="s">
        <v>60</v>
      </c>
      <c r="M598" s="1" t="s">
        <v>43</v>
      </c>
      <c r="N598" s="1" t="s">
        <v>44</v>
      </c>
      <c r="O598" s="1" t="s">
        <v>31</v>
      </c>
      <c r="P598" s="2">
        <v>45823</v>
      </c>
      <c r="Q598" s="1" t="s">
        <v>1483</v>
      </c>
      <c r="R598" s="1" t="s">
        <v>1484</v>
      </c>
      <c r="S598" s="1" t="s">
        <v>54</v>
      </c>
      <c r="T598" s="1" t="s">
        <v>35</v>
      </c>
      <c r="U598" s="1" t="s">
        <v>66</v>
      </c>
      <c r="V598" s="1" t="s">
        <v>100</v>
      </c>
      <c r="W598">
        <v>3.2</v>
      </c>
      <c r="X598" s="1" t="str">
        <f t="shared" si="27"/>
        <v>carlos.perez161@mail.com</v>
      </c>
      <c r="Y598" s="1" t="str">
        <f>INDEX(V:V,MATCH(orders_desnormalizado_prueba3[[#This Row],[acquisition_channel]],U:U,0))</f>
        <v>AliDropship CN - envio 15-20 dias</v>
      </c>
      <c r="Z598" s="1" t="str">
        <f>INDEX(T:T,MATCH(orders_desnormalizado_prueba3[[#This Row],[shipping_cost]],W:W,0))</f>
        <v>Colombia</v>
      </c>
      <c r="AA598" s="1" t="str">
        <f t="shared" si="28"/>
        <v>Cartagena</v>
      </c>
      <c r="AB598" s="1"/>
      <c r="AC598" s="1" t="str">
        <f t="shared" si="29"/>
        <v xml:space="preserve"> </v>
      </c>
    </row>
    <row r="599" spans="1:29" x14ac:dyDescent="0.3">
      <c r="A599" s="1" t="s">
        <v>1485</v>
      </c>
      <c r="B599">
        <v>3</v>
      </c>
      <c r="C599">
        <v>34.99</v>
      </c>
      <c r="D599">
        <v>83.12</v>
      </c>
      <c r="E599" s="1" t="s">
        <v>1486</v>
      </c>
      <c r="F599" s="1" t="s">
        <v>70</v>
      </c>
      <c r="G599">
        <v>0</v>
      </c>
      <c r="H599" s="1" t="s">
        <v>26</v>
      </c>
      <c r="I599" s="1" t="s">
        <v>85</v>
      </c>
      <c r="J599">
        <v>12.5</v>
      </c>
      <c r="K599">
        <v>34.99</v>
      </c>
      <c r="L599" s="1" t="s">
        <v>60</v>
      </c>
      <c r="M599" s="1" t="s">
        <v>29</v>
      </c>
      <c r="N599" s="1" t="s">
        <v>30</v>
      </c>
      <c r="O599" s="1" t="s">
        <v>31</v>
      </c>
      <c r="P599" s="2">
        <v>45778</v>
      </c>
      <c r="Q599" s="1" t="s">
        <v>1487</v>
      </c>
      <c r="R599" s="1" t="s">
        <v>1488</v>
      </c>
      <c r="S599" s="1" t="s">
        <v>34</v>
      </c>
      <c r="T599" s="1" t="s">
        <v>35</v>
      </c>
      <c r="U599" s="1" t="s">
        <v>48</v>
      </c>
      <c r="V599" s="1" t="s">
        <v>89</v>
      </c>
      <c r="W599">
        <v>2.4</v>
      </c>
      <c r="X599" s="1" t="str">
        <f t="shared" si="27"/>
        <v>sofia.vargas151@mail.com</v>
      </c>
      <c r="Y599" s="1" t="str">
        <f>INDEX(V:V,MATCH(orders_desnormalizado_prueba3[[#This Row],[acquisition_channel]],U:U,0))</f>
        <v>Bodega Propia CO - envio 2-3 dias</v>
      </c>
      <c r="Z599" s="1" t="str">
        <f>INDEX(T:T,MATCH(orders_desnormalizado_prueba3[[#This Row],[shipping_cost]],W:W,0))</f>
        <v>Colombia</v>
      </c>
      <c r="AA599" s="1" t="str">
        <f t="shared" si="28"/>
        <v>Cartagena</v>
      </c>
      <c r="AB599" s="1"/>
      <c r="AC599" s="1" t="str">
        <f t="shared" si="29"/>
        <v xml:space="preserve"> </v>
      </c>
    </row>
    <row r="600" spans="1:29" x14ac:dyDescent="0.3">
      <c r="A600" s="1" t="s">
        <v>1489</v>
      </c>
      <c r="B600">
        <v>1</v>
      </c>
      <c r="C600">
        <v>27.99</v>
      </c>
      <c r="D600">
        <v>27.99</v>
      </c>
      <c r="E600" s="1" t="s">
        <v>727</v>
      </c>
      <c r="F600" s="1" t="s">
        <v>51</v>
      </c>
      <c r="G600">
        <v>0</v>
      </c>
      <c r="H600" s="1" t="s">
        <v>96</v>
      </c>
      <c r="I600" s="1" t="s">
        <v>75</v>
      </c>
      <c r="J600">
        <v>9</v>
      </c>
      <c r="K600">
        <v>27.99</v>
      </c>
      <c r="L600" s="1" t="s">
        <v>28</v>
      </c>
      <c r="M600" s="1" t="s">
        <v>61</v>
      </c>
      <c r="N600" s="1" t="s">
        <v>62</v>
      </c>
      <c r="O600" s="1" t="s">
        <v>31</v>
      </c>
      <c r="P600" s="2">
        <v>45726</v>
      </c>
      <c r="Q600" s="1" t="s">
        <v>990</v>
      </c>
      <c r="R600" s="1" t="s">
        <v>1490</v>
      </c>
      <c r="S600" s="1" t="s">
        <v>88</v>
      </c>
      <c r="T600" s="1" t="s">
        <v>35</v>
      </c>
      <c r="U600" s="1" t="s">
        <v>82</v>
      </c>
      <c r="V600" s="1" t="s">
        <v>37</v>
      </c>
      <c r="W600">
        <v>2</v>
      </c>
      <c r="X600" s="1" t="str">
        <f t="shared" si="27"/>
        <v>fernanda.diaz94@mail.com</v>
      </c>
      <c r="Y600" s="1" t="str">
        <f>INDEX(V:V,MATCH(orders_desnormalizado_prueba3[[#This Row],[acquisition_channel]],U:U,0))</f>
        <v>Bodega Propia CO - envio 2-3 dias</v>
      </c>
      <c r="Z600" s="1" t="str">
        <f>INDEX(T:T,MATCH(orders_desnormalizado_prueba3[[#This Row],[shipping_cost]],W:W,0))</f>
        <v>Colombia</v>
      </c>
      <c r="AA600" s="1" t="str">
        <f t="shared" si="28"/>
        <v>Cartagena</v>
      </c>
      <c r="AB600" s="1"/>
      <c r="AC600" s="1" t="str">
        <f t="shared" si="29"/>
        <v xml:space="preserve"> </v>
      </c>
    </row>
    <row r="601" spans="1:29" x14ac:dyDescent="0.3">
      <c r="A601" s="1" t="s">
        <v>1491</v>
      </c>
      <c r="B601">
        <v>2</v>
      </c>
      <c r="C601">
        <v>34.99</v>
      </c>
      <c r="D601">
        <v>60.35</v>
      </c>
      <c r="E601" s="1" t="s">
        <v>1492</v>
      </c>
      <c r="F601" s="1" t="s">
        <v>25</v>
      </c>
      <c r="G601">
        <v>6</v>
      </c>
      <c r="H601" s="1" t="s">
        <v>58</v>
      </c>
      <c r="I601" s="1" t="s">
        <v>85</v>
      </c>
      <c r="J601">
        <v>12.5</v>
      </c>
      <c r="K601">
        <v>34.99</v>
      </c>
      <c r="L601" s="1" t="s">
        <v>60</v>
      </c>
      <c r="M601" s="1" t="s">
        <v>29</v>
      </c>
      <c r="N601" s="1" t="s">
        <v>30</v>
      </c>
      <c r="O601" s="1" t="s">
        <v>31</v>
      </c>
      <c r="P601" s="2">
        <v>45778</v>
      </c>
      <c r="Q601" s="1" t="s">
        <v>1021</v>
      </c>
      <c r="R601" s="1" t="s">
        <v>1022</v>
      </c>
      <c r="S601" s="1" t="s">
        <v>54</v>
      </c>
      <c r="T601" s="1" t="s">
        <v>35</v>
      </c>
      <c r="U601" s="1" t="s">
        <v>82</v>
      </c>
      <c r="V601" s="1" t="s">
        <v>89</v>
      </c>
      <c r="W601">
        <v>2.4</v>
      </c>
      <c r="X601" s="1" t="str">
        <f t="shared" si="27"/>
        <v>nicolas.lopez125@mail.com</v>
      </c>
      <c r="Y601" s="1" t="str">
        <f>INDEX(V:V,MATCH(orders_desnormalizado_prueba3[[#This Row],[acquisition_channel]],U:U,0))</f>
        <v>Bodega Propia CO - envio 2-3 dias</v>
      </c>
      <c r="Z601" s="1" t="str">
        <f>INDEX(T:T,MATCH(orders_desnormalizado_prueba3[[#This Row],[shipping_cost]],W:W,0))</f>
        <v>Colombia</v>
      </c>
      <c r="AA601" s="1" t="str">
        <f t="shared" si="28"/>
        <v>Medellin</v>
      </c>
      <c r="AB601" s="1"/>
      <c r="AC601" s="1" t="str">
        <f t="shared" si="29"/>
        <v xml:space="preserve"> </v>
      </c>
    </row>
    <row r="602" spans="1:29" x14ac:dyDescent="0.3">
      <c r="A602" s="1" t="s">
        <v>1493</v>
      </c>
      <c r="B602">
        <v>1</v>
      </c>
      <c r="C602">
        <v>16.989999999999998</v>
      </c>
      <c r="D602">
        <v>16.989999999999998</v>
      </c>
      <c r="E602" s="1" t="s">
        <v>1100</v>
      </c>
      <c r="F602" s="1" t="s">
        <v>40</v>
      </c>
      <c r="G602">
        <v>18</v>
      </c>
      <c r="H602" s="1" t="s">
        <v>41</v>
      </c>
      <c r="I602" s="1" t="s">
        <v>59</v>
      </c>
      <c r="J602">
        <v>5</v>
      </c>
      <c r="K602">
        <v>16.989999999999998</v>
      </c>
      <c r="L602" s="1" t="s">
        <v>60</v>
      </c>
      <c r="M602" s="1" t="s">
        <v>61</v>
      </c>
      <c r="N602" s="1" t="s">
        <v>62</v>
      </c>
      <c r="O602" s="1" t="s">
        <v>31</v>
      </c>
      <c r="P602" s="2">
        <v>45726</v>
      </c>
      <c r="Q602" s="1" t="s">
        <v>1494</v>
      </c>
      <c r="R602" s="1" t="s">
        <v>1495</v>
      </c>
      <c r="S602" s="1" t="s">
        <v>65</v>
      </c>
      <c r="T602" s="1" t="s">
        <v>35</v>
      </c>
      <c r="U602" s="1" t="s">
        <v>48</v>
      </c>
      <c r="V602" s="1" t="s">
        <v>67</v>
      </c>
      <c r="W602">
        <v>3</v>
      </c>
      <c r="X602" s="1" t="str">
        <f t="shared" si="27"/>
        <v>catalina.ortiz48@mail.com</v>
      </c>
      <c r="Y602" s="1" t="str">
        <f>INDEX(V:V,MATCH(orders_desnormalizado_prueba3[[#This Row],[acquisition_channel]],U:U,0))</f>
        <v>Bodega Propia CO - envio 2-3 dias</v>
      </c>
      <c r="Z602" s="1" t="str">
        <f>INDEX(T:T,MATCH(orders_desnormalizado_prueba3[[#This Row],[shipping_cost]],W:W,0))</f>
        <v>Colombia</v>
      </c>
      <c r="AA602" s="1" t="str">
        <f t="shared" si="28"/>
        <v>Medellin</v>
      </c>
      <c r="AB602" s="1"/>
      <c r="AC602" s="1" t="str">
        <f t="shared" si="29"/>
        <v xml:space="preserve"> </v>
      </c>
    </row>
    <row r="603" spans="1:29" x14ac:dyDescent="0.3">
      <c r="A603" s="1" t="s">
        <v>1496</v>
      </c>
      <c r="B603">
        <v>1</v>
      </c>
      <c r="C603">
        <v>21.99</v>
      </c>
      <c r="D603">
        <v>21.99</v>
      </c>
      <c r="E603" s="1" t="s">
        <v>982</v>
      </c>
      <c r="F603" s="1" t="s">
        <v>40</v>
      </c>
      <c r="G603">
        <v>3</v>
      </c>
      <c r="H603" s="1" t="s">
        <v>26</v>
      </c>
      <c r="I603" s="1" t="s">
        <v>27</v>
      </c>
      <c r="J603">
        <v>7</v>
      </c>
      <c r="K603">
        <v>21.99</v>
      </c>
      <c r="L603" s="1" t="s">
        <v>28</v>
      </c>
      <c r="M603" s="1" t="s">
        <v>29</v>
      </c>
      <c r="N603" s="1" t="s">
        <v>30</v>
      </c>
      <c r="O603" s="1" t="s">
        <v>31</v>
      </c>
      <c r="P603" s="2">
        <v>45778</v>
      </c>
      <c r="Q603" s="1" t="s">
        <v>1497</v>
      </c>
      <c r="R603" s="1" t="s">
        <v>1498</v>
      </c>
      <c r="S603" s="1" t="s">
        <v>34</v>
      </c>
      <c r="T603" s="1" t="s">
        <v>35</v>
      </c>
      <c r="U603" s="1" t="s">
        <v>55</v>
      </c>
      <c r="V603" s="1" t="s">
        <v>37</v>
      </c>
      <c r="W603">
        <v>2</v>
      </c>
      <c r="X603" s="1" t="str">
        <f t="shared" si="27"/>
        <v>felipe.ortiz13@mail.com</v>
      </c>
      <c r="Y603" s="1" t="str">
        <f>INDEX(V:V,MATCH(orders_desnormalizado_prueba3[[#This Row],[acquisition_channel]],U:U,0))</f>
        <v>Bodega Propia CO - envio 2-3 dias</v>
      </c>
      <c r="Z603" s="1" t="str">
        <f>INDEX(T:T,MATCH(orders_desnormalizado_prueba3[[#This Row],[shipping_cost]],W:W,0))</f>
        <v>Colombia</v>
      </c>
      <c r="AA603" s="1" t="str">
        <f t="shared" si="28"/>
        <v>Barranquilla</v>
      </c>
      <c r="AB603" s="1"/>
      <c r="AC603" s="1" t="str">
        <f t="shared" si="29"/>
        <v xml:space="preserve"> </v>
      </c>
    </row>
    <row r="604" spans="1:29" x14ac:dyDescent="0.3">
      <c r="A604" s="1" t="s">
        <v>1499</v>
      </c>
      <c r="B604">
        <v>2</v>
      </c>
      <c r="C604">
        <v>18.989999999999998</v>
      </c>
      <c r="D604">
        <v>33.119999999999997</v>
      </c>
      <c r="E604" s="1" t="s">
        <v>143</v>
      </c>
      <c r="F604" s="1" t="s">
        <v>40</v>
      </c>
      <c r="G604">
        <v>18</v>
      </c>
      <c r="H604" s="1" t="s">
        <v>41</v>
      </c>
      <c r="I604" s="1" t="s">
        <v>97</v>
      </c>
      <c r="J604">
        <v>6</v>
      </c>
      <c r="K604">
        <v>18.989999999999998</v>
      </c>
      <c r="L604" s="1" t="s">
        <v>60</v>
      </c>
      <c r="M604" s="1" t="s">
        <v>43</v>
      </c>
      <c r="N604" s="1" t="s">
        <v>44</v>
      </c>
      <c r="O604" s="1" t="s">
        <v>31</v>
      </c>
      <c r="P604" s="2">
        <v>45823</v>
      </c>
      <c r="Q604" s="1" t="s">
        <v>1500</v>
      </c>
      <c r="R604" s="1" t="s">
        <v>1501</v>
      </c>
      <c r="S604" s="1" t="s">
        <v>54</v>
      </c>
      <c r="T604" s="1" t="s">
        <v>35</v>
      </c>
      <c r="U604" s="1" t="s">
        <v>55</v>
      </c>
      <c r="V604" s="1" t="s">
        <v>100</v>
      </c>
      <c r="W604">
        <v>3.2</v>
      </c>
      <c r="X604" s="1" t="str">
        <f t="shared" si="27"/>
        <v>manuela.ortiz197@mail.com</v>
      </c>
      <c r="Y604" s="1" t="str">
        <f>INDEX(V:V,MATCH(orders_desnormalizado_prueba3[[#This Row],[acquisition_channel]],U:U,0))</f>
        <v>Bodega Propia CO - envio 2-3 dias</v>
      </c>
      <c r="Z604" s="1" t="str">
        <f>INDEX(T:T,MATCH(orders_desnormalizado_prueba3[[#This Row],[shipping_cost]],W:W,0))</f>
        <v>Colombia</v>
      </c>
      <c r="AA604" s="1" t="str">
        <f t="shared" si="28"/>
        <v>Medellin</v>
      </c>
      <c r="AB604" s="1"/>
      <c r="AC604" s="1" t="str">
        <f t="shared" si="29"/>
        <v xml:space="preserve"> </v>
      </c>
    </row>
    <row r="605" spans="1:29" x14ac:dyDescent="0.3">
      <c r="A605" s="1" t="s">
        <v>1502</v>
      </c>
      <c r="B605">
        <v>1</v>
      </c>
      <c r="C605">
        <v>27.99</v>
      </c>
      <c r="D605">
        <v>27.99</v>
      </c>
      <c r="E605" s="1" t="s">
        <v>1503</v>
      </c>
      <c r="F605" s="1" t="s">
        <v>40</v>
      </c>
      <c r="G605">
        <v>3</v>
      </c>
      <c r="H605" s="1" t="s">
        <v>26</v>
      </c>
      <c r="I605" s="1" t="s">
        <v>75</v>
      </c>
      <c r="J605">
        <v>9</v>
      </c>
      <c r="K605">
        <v>27.99</v>
      </c>
      <c r="L605" s="1" t="s">
        <v>28</v>
      </c>
      <c r="M605" s="1" t="s">
        <v>61</v>
      </c>
      <c r="N605" s="1" t="s">
        <v>62</v>
      </c>
      <c r="O605" s="1" t="s">
        <v>31</v>
      </c>
      <c r="P605" s="2">
        <v>45726</v>
      </c>
      <c r="Q605" s="1" t="s">
        <v>842</v>
      </c>
      <c r="R605" s="1" t="s">
        <v>1504</v>
      </c>
      <c r="S605" s="1" t="s">
        <v>47</v>
      </c>
      <c r="T605" s="1" t="s">
        <v>35</v>
      </c>
      <c r="U605" s="1" t="s">
        <v>66</v>
      </c>
      <c r="V605" s="1" t="s">
        <v>37</v>
      </c>
      <c r="W605">
        <v>2</v>
      </c>
      <c r="X605" s="1" t="str">
        <f t="shared" si="27"/>
        <v>manuela.moreno133@mail.com</v>
      </c>
      <c r="Y605" s="1" t="str">
        <f>INDEX(V:V,MATCH(orders_desnormalizado_prueba3[[#This Row],[acquisition_channel]],U:U,0))</f>
        <v>AliDropship CN - envio 15-20 dias</v>
      </c>
      <c r="Z605" s="1" t="str">
        <f>INDEX(T:T,MATCH(orders_desnormalizado_prueba3[[#This Row],[shipping_cost]],W:W,0))</f>
        <v>Colombia</v>
      </c>
      <c r="AA605" s="1" t="str">
        <f t="shared" si="28"/>
        <v>Barranquilla</v>
      </c>
      <c r="AB605" s="1"/>
      <c r="AC605" s="1" t="str">
        <f t="shared" si="29"/>
        <v xml:space="preserve"> </v>
      </c>
    </row>
    <row r="606" spans="1:29" x14ac:dyDescent="0.3">
      <c r="A606" s="1" t="s">
        <v>1505</v>
      </c>
      <c r="B606">
        <v>1</v>
      </c>
      <c r="C606">
        <v>34.99</v>
      </c>
      <c r="D606">
        <v>34.99</v>
      </c>
      <c r="E606" s="1" t="s">
        <v>1299</v>
      </c>
      <c r="F606" s="1" t="s">
        <v>40</v>
      </c>
      <c r="G606">
        <v>8</v>
      </c>
      <c r="H606" s="1" t="s">
        <v>58</v>
      </c>
      <c r="I606" s="1" t="s">
        <v>85</v>
      </c>
      <c r="J606">
        <v>12.5</v>
      </c>
      <c r="K606">
        <v>34.99</v>
      </c>
      <c r="L606" s="1" t="s">
        <v>60</v>
      </c>
      <c r="M606" s="1" t="s">
        <v>29</v>
      </c>
      <c r="N606" s="1" t="s">
        <v>30</v>
      </c>
      <c r="O606" s="1" t="s">
        <v>31</v>
      </c>
      <c r="P606" s="2">
        <v>45778</v>
      </c>
      <c r="Q606" s="1" t="s">
        <v>1506</v>
      </c>
      <c r="R606" s="1" t="s">
        <v>1507</v>
      </c>
      <c r="S606" s="1" t="s">
        <v>105</v>
      </c>
      <c r="T606" s="1" t="s">
        <v>35</v>
      </c>
      <c r="U606" s="1" t="s">
        <v>82</v>
      </c>
      <c r="V606" s="1" t="s">
        <v>89</v>
      </c>
      <c r="W606">
        <v>2.4</v>
      </c>
      <c r="X606" s="1" t="str">
        <f t="shared" si="27"/>
        <v>carlos.jimenez154@mail.com</v>
      </c>
      <c r="Y606" s="1" t="str">
        <f>INDEX(V:V,MATCH(orders_desnormalizado_prueba3[[#This Row],[acquisition_channel]],U:U,0))</f>
        <v>Bodega Propia CO - envio 2-3 dias</v>
      </c>
      <c r="Z606" s="1" t="str">
        <f>INDEX(T:T,MATCH(orders_desnormalizado_prueba3[[#This Row],[shipping_cost]],W:W,0))</f>
        <v>Colombia</v>
      </c>
      <c r="AA606" s="1" t="str">
        <f t="shared" si="28"/>
        <v>Barranquilla</v>
      </c>
      <c r="AB606" s="1"/>
      <c r="AC606" s="1" t="str">
        <f t="shared" si="29"/>
        <v xml:space="preserve"> </v>
      </c>
    </row>
    <row r="607" spans="1:29" x14ac:dyDescent="0.3">
      <c r="A607" s="1" t="s">
        <v>1508</v>
      </c>
      <c r="B607">
        <v>1</v>
      </c>
      <c r="C607">
        <v>27.99</v>
      </c>
      <c r="D607">
        <v>27.99</v>
      </c>
      <c r="E607" s="1" t="s">
        <v>1509</v>
      </c>
      <c r="F607" s="1" t="s">
        <v>40</v>
      </c>
      <c r="G607">
        <v>3</v>
      </c>
      <c r="H607" s="1" t="s">
        <v>58</v>
      </c>
      <c r="I607" s="1" t="s">
        <v>75</v>
      </c>
      <c r="J607">
        <v>9</v>
      </c>
      <c r="K607">
        <v>27.99</v>
      </c>
      <c r="L607" s="1" t="s">
        <v>28</v>
      </c>
      <c r="M607" s="1" t="s">
        <v>61</v>
      </c>
      <c r="N607" s="1" t="s">
        <v>62</v>
      </c>
      <c r="O607" s="1" t="s">
        <v>31</v>
      </c>
      <c r="P607" s="2">
        <v>45726</v>
      </c>
      <c r="Q607" s="1" t="s">
        <v>385</v>
      </c>
      <c r="R607" s="1" t="s">
        <v>1510</v>
      </c>
      <c r="S607" s="1" t="s">
        <v>88</v>
      </c>
      <c r="T607" s="1" t="s">
        <v>35</v>
      </c>
      <c r="U607" s="1" t="s">
        <v>48</v>
      </c>
      <c r="V607" s="1" t="s">
        <v>37</v>
      </c>
      <c r="W607">
        <v>2</v>
      </c>
      <c r="X607" s="1" t="str">
        <f t="shared" si="27"/>
        <v>isabella.sanchez53@mail.com</v>
      </c>
      <c r="Y607" s="1" t="str">
        <f>INDEX(V:V,MATCH(orders_desnormalizado_prueba3[[#This Row],[acquisition_channel]],U:U,0))</f>
        <v>Bodega Propia CO - envio 2-3 dias</v>
      </c>
      <c r="Z607" s="1" t="str">
        <f>INDEX(T:T,MATCH(orders_desnormalizado_prueba3[[#This Row],[shipping_cost]],W:W,0))</f>
        <v>Colombia</v>
      </c>
      <c r="AA607" s="1" t="str">
        <f t="shared" si="28"/>
        <v>Barranquilla</v>
      </c>
      <c r="AB607" s="1"/>
      <c r="AC607" s="1" t="str">
        <f t="shared" si="29"/>
        <v xml:space="preserve"> </v>
      </c>
    </row>
    <row r="608" spans="1:29" x14ac:dyDescent="0.3">
      <c r="A608" s="1" t="s">
        <v>1511</v>
      </c>
      <c r="B608">
        <v>1</v>
      </c>
      <c r="C608">
        <v>21.99</v>
      </c>
      <c r="D608">
        <v>21.99</v>
      </c>
      <c r="E608" s="1" t="s">
        <v>1115</v>
      </c>
      <c r="F608" s="1" t="s">
        <v>40</v>
      </c>
      <c r="G608">
        <v>2</v>
      </c>
      <c r="H608" s="1" t="s">
        <v>58</v>
      </c>
      <c r="I608" s="1" t="s">
        <v>27</v>
      </c>
      <c r="J608">
        <v>7</v>
      </c>
      <c r="K608">
        <v>21.99</v>
      </c>
      <c r="L608" s="1" t="s">
        <v>28</v>
      </c>
      <c r="M608" s="1" t="s">
        <v>29</v>
      </c>
      <c r="N608" s="1" t="s">
        <v>30</v>
      </c>
      <c r="O608" s="1" t="s">
        <v>31</v>
      </c>
      <c r="P608" s="2">
        <v>45778</v>
      </c>
      <c r="Q608" s="1" t="s">
        <v>1512</v>
      </c>
      <c r="R608" s="1" t="s">
        <v>1513</v>
      </c>
      <c r="S608" s="1" t="s">
        <v>88</v>
      </c>
      <c r="T608" s="1" t="s">
        <v>35</v>
      </c>
      <c r="U608" s="1" t="s">
        <v>36</v>
      </c>
      <c r="V608" s="1" t="s">
        <v>37</v>
      </c>
      <c r="W608">
        <v>2</v>
      </c>
      <c r="X608" s="1" t="str">
        <f t="shared" si="27"/>
        <v>paula.castro13@mail.com</v>
      </c>
      <c r="Y608" s="1" t="str">
        <f>INDEX(V:V,MATCH(orders_desnormalizado_prueba3[[#This Row],[acquisition_channel]],U:U,0))</f>
        <v>Bodega Propia CO - envio 2-3 dias</v>
      </c>
      <c r="Z608" s="1" t="str">
        <f>INDEX(T:T,MATCH(orders_desnormalizado_prueba3[[#This Row],[shipping_cost]],W:W,0))</f>
        <v>Colombia</v>
      </c>
      <c r="AA608" s="1" t="str">
        <f t="shared" si="28"/>
        <v>Medellin</v>
      </c>
      <c r="AB608" s="1"/>
      <c r="AC608" s="1" t="str">
        <f t="shared" si="29"/>
        <v xml:space="preserve"> </v>
      </c>
    </row>
    <row r="609" spans="1:29" x14ac:dyDescent="0.3">
      <c r="A609" s="1" t="s">
        <v>1514</v>
      </c>
      <c r="B609">
        <v>1</v>
      </c>
      <c r="C609">
        <v>27.99</v>
      </c>
      <c r="D609">
        <v>27.99</v>
      </c>
      <c r="E609" s="1" t="s">
        <v>1515</v>
      </c>
      <c r="F609" s="1" t="s">
        <v>40</v>
      </c>
      <c r="G609">
        <v>2</v>
      </c>
      <c r="H609" s="1" t="s">
        <v>58</v>
      </c>
      <c r="I609" s="1" t="s">
        <v>75</v>
      </c>
      <c r="J609">
        <v>9</v>
      </c>
      <c r="K609">
        <v>27.99</v>
      </c>
      <c r="L609" s="1" t="s">
        <v>28</v>
      </c>
      <c r="M609" s="1" t="s">
        <v>61</v>
      </c>
      <c r="N609" s="1" t="s">
        <v>62</v>
      </c>
      <c r="O609" s="1" t="s">
        <v>31</v>
      </c>
      <c r="P609" s="2">
        <v>45726</v>
      </c>
      <c r="Q609" s="1" t="s">
        <v>828</v>
      </c>
      <c r="R609" s="1" t="s">
        <v>829</v>
      </c>
      <c r="S609" s="1" t="s">
        <v>65</v>
      </c>
      <c r="T609" s="1" t="s">
        <v>35</v>
      </c>
      <c r="U609" s="1" t="s">
        <v>48</v>
      </c>
      <c r="V609" s="1" t="s">
        <v>37</v>
      </c>
      <c r="W609">
        <v>2</v>
      </c>
      <c r="X609" s="1" t="str">
        <f t="shared" si="27"/>
        <v>catalina.martinez83@mail.com</v>
      </c>
      <c r="Y609" s="1" t="str">
        <f>INDEX(V:V,MATCH(orders_desnormalizado_prueba3[[#This Row],[acquisition_channel]],U:U,0))</f>
        <v>Bodega Propia CO - envio 2-3 dias</v>
      </c>
      <c r="Z609" s="1" t="str">
        <f>INDEX(T:T,MATCH(orders_desnormalizado_prueba3[[#This Row],[shipping_cost]],W:W,0))</f>
        <v>Colombia</v>
      </c>
      <c r="AA609" s="1" t="str">
        <f t="shared" si="28"/>
        <v>Medellin</v>
      </c>
      <c r="AB609" s="1"/>
      <c r="AC609" s="1" t="str">
        <f t="shared" si="29"/>
        <v xml:space="preserve"> </v>
      </c>
    </row>
    <row r="610" spans="1:29" x14ac:dyDescent="0.3">
      <c r="A610" s="1" t="s">
        <v>1516</v>
      </c>
      <c r="B610">
        <v>3</v>
      </c>
      <c r="C610">
        <v>34.99</v>
      </c>
      <c r="D610">
        <v>82.76</v>
      </c>
      <c r="E610" s="1" t="s">
        <v>1390</v>
      </c>
      <c r="F610" s="1" t="s">
        <v>40</v>
      </c>
      <c r="G610">
        <v>8</v>
      </c>
      <c r="H610" s="1" t="s">
        <v>41</v>
      </c>
      <c r="I610" s="1" t="s">
        <v>85</v>
      </c>
      <c r="J610">
        <v>12.5</v>
      </c>
      <c r="K610">
        <v>34.99</v>
      </c>
      <c r="L610" s="1" t="s">
        <v>60</v>
      </c>
      <c r="M610" s="1" t="s">
        <v>29</v>
      </c>
      <c r="N610" s="1" t="s">
        <v>30</v>
      </c>
      <c r="O610" s="1" t="s">
        <v>31</v>
      </c>
      <c r="P610" s="2">
        <v>45778</v>
      </c>
      <c r="Q610" s="1" t="s">
        <v>768</v>
      </c>
      <c r="R610" s="1" t="s">
        <v>769</v>
      </c>
      <c r="S610" s="1" t="s">
        <v>54</v>
      </c>
      <c r="T610" s="1" t="s">
        <v>35</v>
      </c>
      <c r="U610" s="1" t="s">
        <v>36</v>
      </c>
      <c r="V610" s="1" t="s">
        <v>89</v>
      </c>
      <c r="W610">
        <v>2.4</v>
      </c>
      <c r="X610" s="1" t="str">
        <f t="shared" si="27"/>
        <v>isabella.martinez177@mail.com</v>
      </c>
      <c r="Y610" s="1" t="str">
        <f>INDEX(V:V,MATCH(orders_desnormalizado_prueba3[[#This Row],[acquisition_channel]],U:U,0))</f>
        <v>Bodega Propia CO - envio 2-3 dias</v>
      </c>
      <c r="Z610" s="1" t="str">
        <f>INDEX(T:T,MATCH(orders_desnormalizado_prueba3[[#This Row],[shipping_cost]],W:W,0))</f>
        <v>Colombia</v>
      </c>
      <c r="AA610" s="1" t="str">
        <f t="shared" si="28"/>
        <v>Barranquilla</v>
      </c>
      <c r="AB610" s="1"/>
      <c r="AC610" s="1" t="str">
        <f t="shared" si="29"/>
        <v xml:space="preserve"> </v>
      </c>
    </row>
    <row r="611" spans="1:29" x14ac:dyDescent="0.3">
      <c r="A611" s="1" t="s">
        <v>1517</v>
      </c>
      <c r="B611">
        <v>1</v>
      </c>
      <c r="C611">
        <v>34.99</v>
      </c>
      <c r="D611">
        <v>34.99</v>
      </c>
      <c r="E611" s="1" t="s">
        <v>1434</v>
      </c>
      <c r="F611" s="1" t="s">
        <v>40</v>
      </c>
      <c r="G611">
        <v>7</v>
      </c>
      <c r="H611" s="1" t="s">
        <v>96</v>
      </c>
      <c r="I611" s="1" t="s">
        <v>85</v>
      </c>
      <c r="J611">
        <v>12.5</v>
      </c>
      <c r="K611">
        <v>34.99</v>
      </c>
      <c r="L611" s="1" t="s">
        <v>60</v>
      </c>
      <c r="M611" s="1" t="s">
        <v>29</v>
      </c>
      <c r="N611" s="1" t="s">
        <v>30</v>
      </c>
      <c r="O611" s="1" t="s">
        <v>31</v>
      </c>
      <c r="P611" s="2">
        <v>45778</v>
      </c>
      <c r="Q611" s="1" t="s">
        <v>975</v>
      </c>
      <c r="R611" s="1" t="s">
        <v>1518</v>
      </c>
      <c r="S611" s="1" t="s">
        <v>105</v>
      </c>
      <c r="T611" s="1" t="s">
        <v>35</v>
      </c>
      <c r="U611" s="1" t="s">
        <v>48</v>
      </c>
      <c r="V611" s="1" t="s">
        <v>89</v>
      </c>
      <c r="W611">
        <v>2.4</v>
      </c>
      <c r="X611" s="1" t="str">
        <f t="shared" si="27"/>
        <v>mateo.moreno84@mail.com</v>
      </c>
      <c r="Y611" s="1" t="str">
        <f>INDEX(V:V,MATCH(orders_desnormalizado_prueba3[[#This Row],[acquisition_channel]],U:U,0))</f>
        <v>Bodega Propia CO - envio 2-3 dias</v>
      </c>
      <c r="Z611" s="1" t="str">
        <f>INDEX(T:T,MATCH(orders_desnormalizado_prueba3[[#This Row],[shipping_cost]],W:W,0))</f>
        <v>Colombia</v>
      </c>
      <c r="AA611" s="1" t="str">
        <f t="shared" si="28"/>
        <v>Bogota</v>
      </c>
      <c r="AB611" s="1"/>
      <c r="AC611" s="1" t="str">
        <f t="shared" si="29"/>
        <v xml:space="preserve"> </v>
      </c>
    </row>
    <row r="612" spans="1:29" x14ac:dyDescent="0.3">
      <c r="A612" s="1" t="s">
        <v>1519</v>
      </c>
      <c r="B612">
        <v>2</v>
      </c>
      <c r="C612">
        <v>18.989999999999998</v>
      </c>
      <c r="D612">
        <v>33.06</v>
      </c>
      <c r="E612" s="1" t="s">
        <v>1086</v>
      </c>
      <c r="F612" s="1" t="s">
        <v>51</v>
      </c>
      <c r="G612">
        <v>0</v>
      </c>
      <c r="H612" s="1" t="s">
        <v>96</v>
      </c>
      <c r="I612" s="1" t="s">
        <v>97</v>
      </c>
      <c r="J612">
        <v>6</v>
      </c>
      <c r="K612">
        <v>18.989999999999998</v>
      </c>
      <c r="L612" s="1" t="s">
        <v>60</v>
      </c>
      <c r="M612" s="1" t="s">
        <v>43</v>
      </c>
      <c r="N612" s="1" t="s">
        <v>44</v>
      </c>
      <c r="O612" s="1" t="s">
        <v>31</v>
      </c>
      <c r="P612" s="2">
        <v>45823</v>
      </c>
      <c r="Q612" s="1" t="s">
        <v>466</v>
      </c>
      <c r="R612" s="1" t="s">
        <v>1520</v>
      </c>
      <c r="S612" s="1" t="s">
        <v>105</v>
      </c>
      <c r="T612" s="1" t="s">
        <v>35</v>
      </c>
      <c r="U612" s="1" t="s">
        <v>48</v>
      </c>
      <c r="V612" s="1" t="s">
        <v>100</v>
      </c>
      <c r="W612">
        <v>3.2</v>
      </c>
      <c r="X612" s="1" t="str">
        <f t="shared" si="27"/>
        <v>valentina.gomez113@mail.com</v>
      </c>
      <c r="Y612" s="1" t="str">
        <f>INDEX(V:V,MATCH(orders_desnormalizado_prueba3[[#This Row],[acquisition_channel]],U:U,0))</f>
        <v>Bodega Propia CO - envio 2-3 dias</v>
      </c>
      <c r="Z612" s="1" t="str">
        <f>INDEX(T:T,MATCH(orders_desnormalizado_prueba3[[#This Row],[shipping_cost]],W:W,0))</f>
        <v>Colombia</v>
      </c>
      <c r="AA612" s="1" t="str">
        <f t="shared" si="28"/>
        <v>Cartagena</v>
      </c>
      <c r="AB612" s="1"/>
      <c r="AC612" s="1" t="str">
        <f t="shared" si="29"/>
        <v xml:space="preserve"> </v>
      </c>
    </row>
    <row r="613" spans="1:29" x14ac:dyDescent="0.3">
      <c r="A613" s="1" t="s">
        <v>1521</v>
      </c>
      <c r="B613">
        <v>1</v>
      </c>
      <c r="C613">
        <v>27.99</v>
      </c>
      <c r="D613">
        <v>27.99</v>
      </c>
      <c r="E613" s="1" t="s">
        <v>1340</v>
      </c>
      <c r="F613" s="1" t="s">
        <v>40</v>
      </c>
      <c r="G613">
        <v>2</v>
      </c>
      <c r="H613" s="1" t="s">
        <v>26</v>
      </c>
      <c r="I613" s="1" t="s">
        <v>75</v>
      </c>
      <c r="J613">
        <v>9</v>
      </c>
      <c r="K613">
        <v>27.99</v>
      </c>
      <c r="L613" s="1" t="s">
        <v>28</v>
      </c>
      <c r="M613" s="1" t="s">
        <v>61</v>
      </c>
      <c r="N613" s="1" t="s">
        <v>62</v>
      </c>
      <c r="O613" s="1" t="s">
        <v>31</v>
      </c>
      <c r="P613" s="2">
        <v>45726</v>
      </c>
      <c r="Q613" s="1" t="s">
        <v>738</v>
      </c>
      <c r="R613" s="1" t="s">
        <v>739</v>
      </c>
      <c r="S613" s="1" t="s">
        <v>34</v>
      </c>
      <c r="T613" s="1" t="s">
        <v>35</v>
      </c>
      <c r="U613" s="1" t="s">
        <v>82</v>
      </c>
      <c r="V613" s="1" t="s">
        <v>37</v>
      </c>
      <c r="W613">
        <v>2</v>
      </c>
      <c r="X613" s="1" t="str">
        <f t="shared" si="27"/>
        <v>esteban.moreno150@mail.com</v>
      </c>
      <c r="Y613" s="1" t="str">
        <f>INDEX(V:V,MATCH(orders_desnormalizado_prueba3[[#This Row],[acquisition_channel]],U:U,0))</f>
        <v>Bodega Propia CO - envio 2-3 dias</v>
      </c>
      <c r="Z613" s="1" t="str">
        <f>INDEX(T:T,MATCH(orders_desnormalizado_prueba3[[#This Row],[shipping_cost]],W:W,0))</f>
        <v>Colombia</v>
      </c>
      <c r="AA613" s="1" t="str">
        <f t="shared" si="28"/>
        <v>Medellin</v>
      </c>
      <c r="AB613" s="1"/>
      <c r="AC613" s="1" t="str">
        <f t="shared" si="29"/>
        <v xml:space="preserve"> </v>
      </c>
    </row>
    <row r="614" spans="1:29" x14ac:dyDescent="0.3">
      <c r="A614" s="1" t="s">
        <v>1522</v>
      </c>
      <c r="B614">
        <v>1</v>
      </c>
      <c r="C614">
        <v>16.989999999999998</v>
      </c>
      <c r="D614">
        <v>16.989999999999998</v>
      </c>
      <c r="E614" s="1" t="s">
        <v>39</v>
      </c>
      <c r="F614" s="1" t="s">
        <v>40</v>
      </c>
      <c r="G614">
        <v>20</v>
      </c>
      <c r="H614" s="1" t="s">
        <v>58</v>
      </c>
      <c r="I614" s="1" t="s">
        <v>59</v>
      </c>
      <c r="J614">
        <v>5</v>
      </c>
      <c r="K614">
        <v>16.989999999999998</v>
      </c>
      <c r="L614" s="1" t="s">
        <v>60</v>
      </c>
      <c r="M614" s="1" t="s">
        <v>61</v>
      </c>
      <c r="N614" s="1" t="s">
        <v>62</v>
      </c>
      <c r="O614" s="1" t="s">
        <v>31</v>
      </c>
      <c r="P614" s="2">
        <v>45726</v>
      </c>
      <c r="Q614" s="1" t="s">
        <v>80</v>
      </c>
      <c r="R614" s="1" t="s">
        <v>1244</v>
      </c>
      <c r="S614" s="1" t="s">
        <v>54</v>
      </c>
      <c r="T614" s="1" t="s">
        <v>35</v>
      </c>
      <c r="U614" s="1" t="s">
        <v>82</v>
      </c>
      <c r="V614" s="1" t="s">
        <v>67</v>
      </c>
      <c r="W614">
        <v>3</v>
      </c>
      <c r="X614" s="1" t="str">
        <f t="shared" si="27"/>
        <v>laura.martinez145@mail.com</v>
      </c>
      <c r="Y614" s="1" t="str">
        <f>INDEX(V:V,MATCH(orders_desnormalizado_prueba3[[#This Row],[acquisition_channel]],U:U,0))</f>
        <v>Bodega Propia CO - envio 2-3 dias</v>
      </c>
      <c r="Z614" s="1" t="str">
        <f>INDEX(T:T,MATCH(orders_desnormalizado_prueba3[[#This Row],[shipping_cost]],W:W,0))</f>
        <v>Colombia</v>
      </c>
      <c r="AA614" s="1" t="str">
        <f t="shared" si="28"/>
        <v>Bucaramanga</v>
      </c>
      <c r="AB614" s="1"/>
      <c r="AC614" s="1" t="str">
        <f t="shared" si="29"/>
        <v xml:space="preserve"> </v>
      </c>
    </row>
    <row r="615" spans="1:29" x14ac:dyDescent="0.3">
      <c r="A615" s="1" t="s">
        <v>1523</v>
      </c>
      <c r="B615">
        <v>1</v>
      </c>
      <c r="C615">
        <v>18.989999999999998</v>
      </c>
      <c r="D615">
        <v>18.989999999999998</v>
      </c>
      <c r="E615" s="1" t="s">
        <v>1170</v>
      </c>
      <c r="F615" s="1" t="s">
        <v>40</v>
      </c>
      <c r="G615">
        <v>12</v>
      </c>
      <c r="H615" s="1" t="s">
        <v>58</v>
      </c>
      <c r="I615" s="1" t="s">
        <v>97</v>
      </c>
      <c r="J615">
        <v>6</v>
      </c>
      <c r="K615">
        <v>18.989999999999998</v>
      </c>
      <c r="L615" s="1" t="s">
        <v>60</v>
      </c>
      <c r="M615" s="1" t="s">
        <v>43</v>
      </c>
      <c r="N615" s="1" t="s">
        <v>44</v>
      </c>
      <c r="O615" s="1" t="s">
        <v>31</v>
      </c>
      <c r="P615" s="2">
        <v>45823</v>
      </c>
      <c r="Q615" s="1" t="s">
        <v>1524</v>
      </c>
      <c r="R615" s="1" t="s">
        <v>1525</v>
      </c>
      <c r="S615" s="1" t="s">
        <v>65</v>
      </c>
      <c r="T615" s="1" t="s">
        <v>35</v>
      </c>
      <c r="U615" s="1" t="s">
        <v>66</v>
      </c>
      <c r="V615" s="1" t="s">
        <v>100</v>
      </c>
      <c r="W615">
        <v>3.2</v>
      </c>
      <c r="X615" s="1" t="str">
        <f t="shared" si="27"/>
        <v>daniela.jimenez151@mail.com</v>
      </c>
      <c r="Y615" s="1" t="str">
        <f>INDEX(V:V,MATCH(orders_desnormalizado_prueba3[[#This Row],[acquisition_channel]],U:U,0))</f>
        <v>AliDropship CN - envio 15-20 dias</v>
      </c>
      <c r="Z615" s="1" t="str">
        <f>INDEX(T:T,MATCH(orders_desnormalizado_prueba3[[#This Row],[shipping_cost]],W:W,0))</f>
        <v>Colombia</v>
      </c>
      <c r="AA615" s="1" t="str">
        <f t="shared" si="28"/>
        <v>Cartagena</v>
      </c>
      <c r="AB615" s="1"/>
      <c r="AC615" s="1" t="str">
        <f t="shared" si="29"/>
        <v xml:space="preserve"> </v>
      </c>
    </row>
    <row r="616" spans="1:29" x14ac:dyDescent="0.3">
      <c r="A616" s="1" t="s">
        <v>1526</v>
      </c>
      <c r="B616">
        <v>2</v>
      </c>
      <c r="C616">
        <v>30.99</v>
      </c>
      <c r="D616">
        <v>53.03</v>
      </c>
      <c r="E616" s="1" t="s">
        <v>1527</v>
      </c>
      <c r="F616" s="1" t="s">
        <v>51</v>
      </c>
      <c r="G616">
        <v>0</v>
      </c>
      <c r="H616" s="1" t="s">
        <v>96</v>
      </c>
      <c r="I616" s="1" t="s">
        <v>42</v>
      </c>
      <c r="J616">
        <v>10.5</v>
      </c>
      <c r="K616">
        <v>30.99</v>
      </c>
      <c r="L616" s="1" t="s">
        <v>28</v>
      </c>
      <c r="M616" s="1" t="s">
        <v>43</v>
      </c>
      <c r="N616" s="1" t="s">
        <v>44</v>
      </c>
      <c r="O616" s="1" t="s">
        <v>31</v>
      </c>
      <c r="P616" s="2">
        <v>45823</v>
      </c>
      <c r="Q616" s="1" t="s">
        <v>206</v>
      </c>
      <c r="R616" s="1" t="s">
        <v>1528</v>
      </c>
      <c r="S616" s="1" t="s">
        <v>88</v>
      </c>
      <c r="T616" s="1" t="s">
        <v>35</v>
      </c>
      <c r="U616" s="1" t="s">
        <v>36</v>
      </c>
      <c r="V616" s="1" t="s">
        <v>37</v>
      </c>
      <c r="W616">
        <v>2</v>
      </c>
      <c r="X616" s="1" t="str">
        <f t="shared" si="27"/>
        <v>sebastian.diaz129@mail.com</v>
      </c>
      <c r="Y616" s="1" t="str">
        <f>INDEX(V:V,MATCH(orders_desnormalizado_prueba3[[#This Row],[acquisition_channel]],U:U,0))</f>
        <v>Bodega Propia CO - envio 2-3 dias</v>
      </c>
      <c r="Z616" s="1" t="str">
        <f>INDEX(T:T,MATCH(orders_desnormalizado_prueba3[[#This Row],[shipping_cost]],W:W,0))</f>
        <v>Colombia</v>
      </c>
      <c r="AA616" s="1" t="str">
        <f t="shared" si="28"/>
        <v>Cartagena</v>
      </c>
      <c r="AB616" s="1"/>
      <c r="AC616" s="1" t="str">
        <f t="shared" si="29"/>
        <v xml:space="preserve"> </v>
      </c>
    </row>
    <row r="617" spans="1:29" x14ac:dyDescent="0.3">
      <c r="A617" s="1" t="s">
        <v>1529</v>
      </c>
      <c r="B617">
        <v>1</v>
      </c>
      <c r="C617">
        <v>30.99</v>
      </c>
      <c r="D617">
        <v>30.99</v>
      </c>
      <c r="E617" s="1" t="s">
        <v>1530</v>
      </c>
      <c r="F617" s="1" t="s">
        <v>40</v>
      </c>
      <c r="G617">
        <v>4</v>
      </c>
      <c r="H617" s="1" t="s">
        <v>96</v>
      </c>
      <c r="I617" s="1" t="s">
        <v>42</v>
      </c>
      <c r="J617">
        <v>10.5</v>
      </c>
      <c r="K617">
        <v>30.99</v>
      </c>
      <c r="L617" s="1" t="s">
        <v>28</v>
      </c>
      <c r="M617" s="1" t="s">
        <v>43</v>
      </c>
      <c r="N617" s="1" t="s">
        <v>44</v>
      </c>
      <c r="O617" s="1" t="s">
        <v>31</v>
      </c>
      <c r="P617" s="2">
        <v>45823</v>
      </c>
      <c r="Q617" s="1" t="s">
        <v>896</v>
      </c>
      <c r="R617" s="1" t="s">
        <v>897</v>
      </c>
      <c r="S617" s="1" t="s">
        <v>105</v>
      </c>
      <c r="T617" s="1" t="s">
        <v>35</v>
      </c>
      <c r="U617" s="1" t="s">
        <v>55</v>
      </c>
      <c r="V617" s="1" t="s">
        <v>37</v>
      </c>
      <c r="W617">
        <v>2</v>
      </c>
      <c r="X617" s="1" t="str">
        <f t="shared" si="27"/>
        <v>ricardo.hernandez65@mail.com</v>
      </c>
      <c r="Y617" s="1" t="str">
        <f>INDEX(V:V,MATCH(orders_desnormalizado_prueba3[[#This Row],[acquisition_channel]],U:U,0))</f>
        <v>Bodega Propia CO - envio 2-3 dias</v>
      </c>
      <c r="Z617" s="1" t="str">
        <f>INDEX(T:T,MATCH(orders_desnormalizado_prueba3[[#This Row],[shipping_cost]],W:W,0))</f>
        <v>Colombia</v>
      </c>
      <c r="AA617" s="1" t="str">
        <f t="shared" si="28"/>
        <v>Barranquilla</v>
      </c>
      <c r="AB617" s="1"/>
      <c r="AC617" s="1" t="str">
        <f t="shared" si="29"/>
        <v xml:space="preserve"> </v>
      </c>
    </row>
    <row r="618" spans="1:29" x14ac:dyDescent="0.3">
      <c r="A618" s="1" t="s">
        <v>1531</v>
      </c>
      <c r="B618">
        <v>1</v>
      </c>
      <c r="C618">
        <v>16.989999999999998</v>
      </c>
      <c r="D618">
        <v>16.989999999999998</v>
      </c>
      <c r="E618" s="1" t="s">
        <v>146</v>
      </c>
      <c r="F618" s="1" t="s">
        <v>51</v>
      </c>
      <c r="G618">
        <v>0</v>
      </c>
      <c r="H618" s="1" t="s">
        <v>96</v>
      </c>
      <c r="I618" s="1" t="s">
        <v>59</v>
      </c>
      <c r="J618">
        <v>5</v>
      </c>
      <c r="K618">
        <v>16.989999999999998</v>
      </c>
      <c r="L618" s="1" t="s">
        <v>60</v>
      </c>
      <c r="M618" s="1" t="s">
        <v>61</v>
      </c>
      <c r="N618" s="1" t="s">
        <v>62</v>
      </c>
      <c r="O618" s="1" t="s">
        <v>31</v>
      </c>
      <c r="P618" s="2">
        <v>45726</v>
      </c>
      <c r="Q618" s="1" t="s">
        <v>420</v>
      </c>
      <c r="R618" s="1" t="s">
        <v>1131</v>
      </c>
      <c r="S618" s="1" t="s">
        <v>54</v>
      </c>
      <c r="T618" s="1" t="s">
        <v>35</v>
      </c>
      <c r="U618" s="1" t="s">
        <v>55</v>
      </c>
      <c r="V618" s="1" t="s">
        <v>67</v>
      </c>
      <c r="W618">
        <v>3</v>
      </c>
      <c r="X618" s="1" t="str">
        <f t="shared" si="27"/>
        <v>natalia.sanchez78@mail.com</v>
      </c>
      <c r="Y618" s="1" t="str">
        <f>INDEX(V:V,MATCH(orders_desnormalizado_prueba3[[#This Row],[acquisition_channel]],U:U,0))</f>
        <v>Bodega Propia CO - envio 2-3 dias</v>
      </c>
      <c r="Z618" s="1" t="str">
        <f>INDEX(T:T,MATCH(orders_desnormalizado_prueba3[[#This Row],[shipping_cost]],W:W,0))</f>
        <v>Colombia</v>
      </c>
      <c r="AA618" s="1" t="str">
        <f t="shared" si="28"/>
        <v>Cartagena</v>
      </c>
      <c r="AB618" s="1"/>
      <c r="AC618" s="1" t="str">
        <f t="shared" si="29"/>
        <v xml:space="preserve"> </v>
      </c>
    </row>
    <row r="619" spans="1:29" x14ac:dyDescent="0.3">
      <c r="A619" s="1" t="s">
        <v>1532</v>
      </c>
      <c r="B619">
        <v>2</v>
      </c>
      <c r="C619">
        <v>21.99</v>
      </c>
      <c r="D619">
        <v>38.07</v>
      </c>
      <c r="E619" s="1" t="s">
        <v>1390</v>
      </c>
      <c r="F619" s="1" t="s">
        <v>40</v>
      </c>
      <c r="G619">
        <v>3</v>
      </c>
      <c r="H619" s="1" t="s">
        <v>58</v>
      </c>
      <c r="I619" s="1" t="s">
        <v>27</v>
      </c>
      <c r="J619">
        <v>7</v>
      </c>
      <c r="K619">
        <v>21.99</v>
      </c>
      <c r="L619" s="1" t="s">
        <v>28</v>
      </c>
      <c r="M619" s="1" t="s">
        <v>29</v>
      </c>
      <c r="N619" s="1" t="s">
        <v>30</v>
      </c>
      <c r="O619" s="1" t="s">
        <v>31</v>
      </c>
      <c r="P619" s="2">
        <v>45778</v>
      </c>
      <c r="Q619" s="1" t="s">
        <v>1533</v>
      </c>
      <c r="R619" s="1" t="s">
        <v>1534</v>
      </c>
      <c r="S619" s="1" t="s">
        <v>47</v>
      </c>
      <c r="T619" s="1" t="s">
        <v>35</v>
      </c>
      <c r="U619" s="1" t="s">
        <v>48</v>
      </c>
      <c r="V619" s="1" t="s">
        <v>37</v>
      </c>
      <c r="W619">
        <v>2</v>
      </c>
      <c r="X619" s="1" t="str">
        <f t="shared" si="27"/>
        <v>laura.lopez49@mail.com</v>
      </c>
      <c r="Y619" s="1" t="str">
        <f>INDEX(V:V,MATCH(orders_desnormalizado_prueba3[[#This Row],[acquisition_channel]],U:U,0))</f>
        <v>Bodega Propia CO - envio 2-3 dias</v>
      </c>
      <c r="Z619" s="1" t="str">
        <f>INDEX(T:T,MATCH(orders_desnormalizado_prueba3[[#This Row],[shipping_cost]],W:W,0))</f>
        <v>Colombia</v>
      </c>
      <c r="AA619" s="1" t="str">
        <f t="shared" si="28"/>
        <v>Barranquilla</v>
      </c>
      <c r="AB619" s="1"/>
      <c r="AC619" s="1" t="str">
        <f t="shared" si="29"/>
        <v xml:space="preserve"> </v>
      </c>
    </row>
    <row r="620" spans="1:29" x14ac:dyDescent="0.3">
      <c r="A620" s="1" t="s">
        <v>1535</v>
      </c>
      <c r="B620">
        <v>3</v>
      </c>
      <c r="C620">
        <v>16.989999999999998</v>
      </c>
      <c r="D620">
        <v>40.67</v>
      </c>
      <c r="E620" s="1" t="s">
        <v>445</v>
      </c>
      <c r="F620" s="1" t="s">
        <v>70</v>
      </c>
      <c r="G620">
        <v>0</v>
      </c>
      <c r="H620" s="1" t="s">
        <v>26</v>
      </c>
      <c r="I620" s="1" t="s">
        <v>59</v>
      </c>
      <c r="J620">
        <v>5</v>
      </c>
      <c r="K620">
        <v>16.989999999999998</v>
      </c>
      <c r="L620" s="1" t="s">
        <v>60</v>
      </c>
      <c r="M620" s="1" t="s">
        <v>61</v>
      </c>
      <c r="N620" s="1" t="s">
        <v>62</v>
      </c>
      <c r="O620" s="1" t="s">
        <v>31</v>
      </c>
      <c r="P620" s="2">
        <v>45726</v>
      </c>
      <c r="Q620" s="1" t="s">
        <v>1417</v>
      </c>
      <c r="R620" s="1" t="s">
        <v>1418</v>
      </c>
      <c r="S620" s="1" t="s">
        <v>65</v>
      </c>
      <c r="T620" s="1" t="s">
        <v>35</v>
      </c>
      <c r="U620" s="1" t="s">
        <v>55</v>
      </c>
      <c r="V620" s="1" t="s">
        <v>67</v>
      </c>
      <c r="W620">
        <v>3</v>
      </c>
      <c r="X620" s="1" t="str">
        <f t="shared" si="27"/>
        <v>manuela.rodriguez14@mail.com</v>
      </c>
      <c r="Y620" s="1" t="str">
        <f>INDEX(V:V,MATCH(orders_desnormalizado_prueba3[[#This Row],[acquisition_channel]],U:U,0))</f>
        <v>Bodega Propia CO - envio 2-3 dias</v>
      </c>
      <c r="Z620" s="1" t="str">
        <f>INDEX(T:T,MATCH(orders_desnormalizado_prueba3[[#This Row],[shipping_cost]],W:W,0))</f>
        <v>Colombia</v>
      </c>
      <c r="AA620" s="1" t="str">
        <f t="shared" si="28"/>
        <v>Cartagena</v>
      </c>
      <c r="AB620" s="1"/>
      <c r="AC620" s="1" t="str">
        <f t="shared" si="29"/>
        <v xml:space="preserve"> </v>
      </c>
    </row>
    <row r="621" spans="1:29" x14ac:dyDescent="0.3">
      <c r="A621" s="1" t="s">
        <v>1536</v>
      </c>
      <c r="B621">
        <v>1</v>
      </c>
      <c r="C621">
        <v>34.99</v>
      </c>
      <c r="D621">
        <v>34.99</v>
      </c>
      <c r="E621" s="1" t="s">
        <v>136</v>
      </c>
      <c r="F621" s="1" t="s">
        <v>40</v>
      </c>
      <c r="G621">
        <v>6</v>
      </c>
      <c r="H621" s="1" t="s">
        <v>41</v>
      </c>
      <c r="I621" s="1" t="s">
        <v>85</v>
      </c>
      <c r="J621">
        <v>12.5</v>
      </c>
      <c r="K621">
        <v>34.99</v>
      </c>
      <c r="L621" s="1" t="s">
        <v>60</v>
      </c>
      <c r="M621" s="1" t="s">
        <v>29</v>
      </c>
      <c r="N621" s="1" t="s">
        <v>30</v>
      </c>
      <c r="O621" s="1" t="s">
        <v>31</v>
      </c>
      <c r="P621" s="2">
        <v>45778</v>
      </c>
      <c r="Q621" s="1" t="s">
        <v>1211</v>
      </c>
      <c r="R621" s="1" t="s">
        <v>1212</v>
      </c>
      <c r="S621" s="1" t="s">
        <v>34</v>
      </c>
      <c r="T621" s="1" t="s">
        <v>35</v>
      </c>
      <c r="U621" s="1" t="s">
        <v>66</v>
      </c>
      <c r="V621" s="1" t="s">
        <v>89</v>
      </c>
      <c r="W621">
        <v>2.4</v>
      </c>
      <c r="X621" s="1" t="str">
        <f t="shared" si="27"/>
        <v>gabriela.lopez37@mail.com</v>
      </c>
      <c r="Y621" s="1" t="str">
        <f>INDEX(V:V,MATCH(orders_desnormalizado_prueba3[[#This Row],[acquisition_channel]],U:U,0))</f>
        <v>AliDropship CN - envio 15-20 dias</v>
      </c>
      <c r="Z621" s="1" t="str">
        <f>INDEX(T:T,MATCH(orders_desnormalizado_prueba3[[#This Row],[shipping_cost]],W:W,0))</f>
        <v>Colombia</v>
      </c>
      <c r="AA621" s="1" t="str">
        <f t="shared" si="28"/>
        <v>Medellin</v>
      </c>
      <c r="AB621" s="1"/>
      <c r="AC621" s="1" t="str">
        <f t="shared" si="29"/>
        <v xml:space="preserve"> </v>
      </c>
    </row>
    <row r="622" spans="1:29" x14ac:dyDescent="0.3">
      <c r="A622" s="1" t="s">
        <v>1537</v>
      </c>
      <c r="B622">
        <v>1</v>
      </c>
      <c r="C622">
        <v>21.99</v>
      </c>
      <c r="D622">
        <v>21.99</v>
      </c>
      <c r="E622" s="1" t="s">
        <v>1538</v>
      </c>
      <c r="F622" s="1" t="s">
        <v>70</v>
      </c>
      <c r="G622">
        <v>0</v>
      </c>
      <c r="H622" s="1" t="s">
        <v>41</v>
      </c>
      <c r="I622" s="1" t="s">
        <v>27</v>
      </c>
      <c r="J622">
        <v>7</v>
      </c>
      <c r="K622">
        <v>21.99</v>
      </c>
      <c r="L622" s="1" t="s">
        <v>28</v>
      </c>
      <c r="M622" s="1" t="s">
        <v>29</v>
      </c>
      <c r="N622" s="1" t="s">
        <v>30</v>
      </c>
      <c r="O622" s="1" t="s">
        <v>31</v>
      </c>
      <c r="P622" s="2">
        <v>45778</v>
      </c>
      <c r="Q622" s="1" t="s">
        <v>1539</v>
      </c>
      <c r="R622" s="1" t="s">
        <v>1540</v>
      </c>
      <c r="S622" s="1" t="s">
        <v>47</v>
      </c>
      <c r="T622" s="1" t="s">
        <v>35</v>
      </c>
      <c r="U622" s="1" t="s">
        <v>36</v>
      </c>
      <c r="V622" s="1" t="s">
        <v>37</v>
      </c>
      <c r="W622">
        <v>2</v>
      </c>
      <c r="X622" s="1" t="str">
        <f t="shared" si="27"/>
        <v>ximena.ortiz46@mail.com</v>
      </c>
      <c r="Y622" s="1" t="str">
        <f>INDEX(V:V,MATCH(orders_desnormalizado_prueba3[[#This Row],[acquisition_channel]],U:U,0))</f>
        <v>Bodega Propia CO - envio 2-3 dias</v>
      </c>
      <c r="Z622" s="1" t="str">
        <f>INDEX(T:T,MATCH(orders_desnormalizado_prueba3[[#This Row],[shipping_cost]],W:W,0))</f>
        <v>Colombia</v>
      </c>
      <c r="AA622" s="1" t="str">
        <f t="shared" si="28"/>
        <v>Cartagena</v>
      </c>
      <c r="AB622" s="1"/>
      <c r="AC622" s="1" t="str">
        <f t="shared" si="29"/>
        <v xml:space="preserve"> </v>
      </c>
    </row>
    <row r="623" spans="1:29" x14ac:dyDescent="0.3">
      <c r="A623" s="1" t="s">
        <v>1541</v>
      </c>
      <c r="B623">
        <v>2</v>
      </c>
      <c r="C623">
        <v>18.989999999999998</v>
      </c>
      <c r="D623">
        <v>32.92</v>
      </c>
      <c r="E623" s="1" t="s">
        <v>200</v>
      </c>
      <c r="F623" s="1" t="s">
        <v>40</v>
      </c>
      <c r="G623">
        <v>13</v>
      </c>
      <c r="H623" s="1" t="s">
        <v>58</v>
      </c>
      <c r="I623" s="1" t="s">
        <v>97</v>
      </c>
      <c r="J623">
        <v>6</v>
      </c>
      <c r="K623">
        <v>18.989999999999998</v>
      </c>
      <c r="L623" s="1" t="s">
        <v>60</v>
      </c>
      <c r="M623" s="1" t="s">
        <v>43</v>
      </c>
      <c r="N623" s="1" t="s">
        <v>44</v>
      </c>
      <c r="O623" s="1" t="s">
        <v>31</v>
      </c>
      <c r="P623" s="2">
        <v>45823</v>
      </c>
      <c r="Q623" s="1" t="s">
        <v>1003</v>
      </c>
      <c r="R623" s="1" t="s">
        <v>1542</v>
      </c>
      <c r="S623" s="1" t="s">
        <v>54</v>
      </c>
      <c r="T623" s="1" t="s">
        <v>35</v>
      </c>
      <c r="U623" s="1" t="s">
        <v>48</v>
      </c>
      <c r="V623" s="1" t="s">
        <v>100</v>
      </c>
      <c r="W623">
        <v>3.2</v>
      </c>
      <c r="X623" s="1" t="str">
        <f t="shared" si="27"/>
        <v>julian.castro40@mail.com</v>
      </c>
      <c r="Y623" s="1" t="str">
        <f>INDEX(V:V,MATCH(orders_desnormalizado_prueba3[[#This Row],[acquisition_channel]],U:U,0))</f>
        <v>Bodega Propia CO - envio 2-3 dias</v>
      </c>
      <c r="Z623" s="1" t="str">
        <f>INDEX(T:T,MATCH(orders_desnormalizado_prueba3[[#This Row],[shipping_cost]],W:W,0))</f>
        <v>Colombia</v>
      </c>
      <c r="AA623" s="1" t="str">
        <f t="shared" si="28"/>
        <v>Barranquilla</v>
      </c>
      <c r="AB623" s="1"/>
      <c r="AC623" s="1" t="str">
        <f t="shared" si="29"/>
        <v xml:space="preserve"> </v>
      </c>
    </row>
    <row r="624" spans="1:29" x14ac:dyDescent="0.3">
      <c r="A624" s="1" t="s">
        <v>1543</v>
      </c>
      <c r="B624">
        <v>1</v>
      </c>
      <c r="C624">
        <v>18.989999999999998</v>
      </c>
      <c r="D624">
        <v>18.989999999999998</v>
      </c>
      <c r="E624" s="1" t="s">
        <v>338</v>
      </c>
      <c r="F624" s="1" t="s">
        <v>40</v>
      </c>
      <c r="G624">
        <v>11</v>
      </c>
      <c r="H624" s="1" t="s">
        <v>96</v>
      </c>
      <c r="I624" s="1" t="s">
        <v>97</v>
      </c>
      <c r="J624">
        <v>6</v>
      </c>
      <c r="K624">
        <v>18.989999999999998</v>
      </c>
      <c r="L624" s="1" t="s">
        <v>60</v>
      </c>
      <c r="M624" s="1" t="s">
        <v>43</v>
      </c>
      <c r="N624" s="1" t="s">
        <v>44</v>
      </c>
      <c r="O624" s="1" t="s">
        <v>31</v>
      </c>
      <c r="P624" s="2">
        <v>45823</v>
      </c>
      <c r="Q624" s="1" t="s">
        <v>869</v>
      </c>
      <c r="R624" s="1" t="s">
        <v>870</v>
      </c>
      <c r="S624" s="1" t="s">
        <v>88</v>
      </c>
      <c r="T624" s="1" t="s">
        <v>35</v>
      </c>
      <c r="U624" s="1" t="s">
        <v>55</v>
      </c>
      <c r="V624" s="1" t="s">
        <v>100</v>
      </c>
      <c r="W624">
        <v>3.2</v>
      </c>
      <c r="X624" s="1" t="str">
        <f t="shared" si="27"/>
        <v>sofia.jimenez82@mail.com</v>
      </c>
      <c r="Y624" s="1" t="str">
        <f>INDEX(V:V,MATCH(orders_desnormalizado_prueba3[[#This Row],[acquisition_channel]],U:U,0))</f>
        <v>Bodega Propia CO - envio 2-3 dias</v>
      </c>
      <c r="Z624" s="1" t="str">
        <f>INDEX(T:T,MATCH(orders_desnormalizado_prueba3[[#This Row],[shipping_cost]],W:W,0))</f>
        <v>Colombia</v>
      </c>
      <c r="AA624" s="1" t="str">
        <f t="shared" si="28"/>
        <v>Cali</v>
      </c>
      <c r="AB624" s="1"/>
      <c r="AC624" s="1" t="str">
        <f t="shared" si="29"/>
        <v xml:space="preserve"> </v>
      </c>
    </row>
    <row r="625" spans="1:29" x14ac:dyDescent="0.3">
      <c r="A625" s="1" t="s">
        <v>1544</v>
      </c>
      <c r="B625">
        <v>2</v>
      </c>
      <c r="C625">
        <v>30.99</v>
      </c>
      <c r="D625">
        <v>54.21</v>
      </c>
      <c r="E625" s="1" t="s">
        <v>102</v>
      </c>
      <c r="F625" s="1" t="s">
        <v>25</v>
      </c>
      <c r="G625">
        <v>2</v>
      </c>
      <c r="H625" s="1" t="s">
        <v>41</v>
      </c>
      <c r="I625" s="1" t="s">
        <v>42</v>
      </c>
      <c r="J625">
        <v>10.5</v>
      </c>
      <c r="K625">
        <v>30.99</v>
      </c>
      <c r="L625" s="1" t="s">
        <v>28</v>
      </c>
      <c r="M625" s="1" t="s">
        <v>43</v>
      </c>
      <c r="N625" s="1" t="s">
        <v>44</v>
      </c>
      <c r="O625" s="1" t="s">
        <v>31</v>
      </c>
      <c r="P625" s="2">
        <v>45823</v>
      </c>
      <c r="Q625" s="1" t="s">
        <v>1545</v>
      </c>
      <c r="R625" s="1" t="s">
        <v>1546</v>
      </c>
      <c r="S625" s="1" t="s">
        <v>105</v>
      </c>
      <c r="T625" s="1" t="s">
        <v>35</v>
      </c>
      <c r="U625" s="1" t="s">
        <v>48</v>
      </c>
      <c r="V625" s="1" t="s">
        <v>37</v>
      </c>
      <c r="W625">
        <v>2</v>
      </c>
      <c r="X625" s="1" t="str">
        <f t="shared" si="27"/>
        <v>ricardo.sanchez162@mail.com</v>
      </c>
      <c r="Y625" s="1" t="str">
        <f>INDEX(V:V,MATCH(orders_desnormalizado_prueba3[[#This Row],[acquisition_channel]],U:U,0))</f>
        <v>Bodega Propia CO - envio 2-3 dias</v>
      </c>
      <c r="Z625" s="1" t="str">
        <f>INDEX(T:T,MATCH(orders_desnormalizado_prueba3[[#This Row],[shipping_cost]],W:W,0))</f>
        <v>Colombia</v>
      </c>
      <c r="AA625" s="1" t="str">
        <f t="shared" si="28"/>
        <v>Medellin</v>
      </c>
      <c r="AB625" s="1"/>
      <c r="AC625" s="1" t="str">
        <f t="shared" si="29"/>
        <v xml:space="preserve"> </v>
      </c>
    </row>
    <row r="626" spans="1:29" x14ac:dyDescent="0.3">
      <c r="A626" s="1" t="s">
        <v>1547</v>
      </c>
      <c r="B626">
        <v>1</v>
      </c>
      <c r="C626">
        <v>18.989999999999998</v>
      </c>
      <c r="D626">
        <v>18.989999999999998</v>
      </c>
      <c r="E626" s="1" t="s">
        <v>1548</v>
      </c>
      <c r="F626" s="1" t="s">
        <v>40</v>
      </c>
      <c r="G626">
        <v>12</v>
      </c>
      <c r="H626" s="1" t="s">
        <v>41</v>
      </c>
      <c r="I626" s="1" t="s">
        <v>97</v>
      </c>
      <c r="J626">
        <v>6</v>
      </c>
      <c r="K626">
        <v>18.989999999999998</v>
      </c>
      <c r="L626" s="1" t="s">
        <v>60</v>
      </c>
      <c r="M626" s="1" t="s">
        <v>43</v>
      </c>
      <c r="N626" s="1" t="s">
        <v>44</v>
      </c>
      <c r="O626" s="1" t="s">
        <v>31</v>
      </c>
      <c r="P626" s="2">
        <v>45823</v>
      </c>
      <c r="Q626" s="1" t="s">
        <v>1549</v>
      </c>
      <c r="R626" s="1" t="s">
        <v>1550</v>
      </c>
      <c r="S626" s="1" t="s">
        <v>34</v>
      </c>
      <c r="T626" s="1" t="s">
        <v>35</v>
      </c>
      <c r="U626" s="1" t="s">
        <v>48</v>
      </c>
      <c r="V626" s="1" t="s">
        <v>100</v>
      </c>
      <c r="W626">
        <v>3.2</v>
      </c>
      <c r="X626" s="1" t="str">
        <f t="shared" si="27"/>
        <v>juan.jimenez86@mail.com</v>
      </c>
      <c r="Y626" s="1" t="str">
        <f>INDEX(V:V,MATCH(orders_desnormalizado_prueba3[[#This Row],[acquisition_channel]],U:U,0))</f>
        <v>Bodega Propia CO - envio 2-3 dias</v>
      </c>
      <c r="Z626" s="1" t="str">
        <f>INDEX(T:T,MATCH(orders_desnormalizado_prueba3[[#This Row],[shipping_cost]],W:W,0))</f>
        <v>Colombia</v>
      </c>
      <c r="AA626" s="1" t="str">
        <f t="shared" si="28"/>
        <v>Cartagena</v>
      </c>
      <c r="AB626" s="1"/>
      <c r="AC626" s="1" t="str">
        <f t="shared" si="29"/>
        <v xml:space="preserve"> </v>
      </c>
    </row>
    <row r="627" spans="1:29" x14ac:dyDescent="0.3">
      <c r="A627" s="1" t="s">
        <v>1551</v>
      </c>
      <c r="B627">
        <v>1</v>
      </c>
      <c r="C627">
        <v>34.99</v>
      </c>
      <c r="D627">
        <v>34.99</v>
      </c>
      <c r="E627" s="1" t="s">
        <v>1552</v>
      </c>
      <c r="F627" s="1" t="s">
        <v>51</v>
      </c>
      <c r="G627">
        <v>0</v>
      </c>
      <c r="H627" s="1" t="s">
        <v>96</v>
      </c>
      <c r="I627" s="1" t="s">
        <v>85</v>
      </c>
      <c r="J627">
        <v>12.5</v>
      </c>
      <c r="K627">
        <v>34.99</v>
      </c>
      <c r="L627" s="1" t="s">
        <v>60</v>
      </c>
      <c r="M627" s="1" t="s">
        <v>29</v>
      </c>
      <c r="N627" s="1" t="s">
        <v>30</v>
      </c>
      <c r="O627" s="1" t="s">
        <v>31</v>
      </c>
      <c r="P627" s="2">
        <v>45778</v>
      </c>
      <c r="Q627" s="1" t="s">
        <v>1237</v>
      </c>
      <c r="R627" s="1" t="s">
        <v>1553</v>
      </c>
      <c r="S627" s="1" t="s">
        <v>88</v>
      </c>
      <c r="T627" s="1" t="s">
        <v>35</v>
      </c>
      <c r="U627" s="1" t="s">
        <v>82</v>
      </c>
      <c r="V627" s="1" t="s">
        <v>89</v>
      </c>
      <c r="W627">
        <v>2.4</v>
      </c>
      <c r="X627" s="1" t="str">
        <f t="shared" si="27"/>
        <v>ricardo.moreno46@mail.com</v>
      </c>
      <c r="Y627" s="1" t="str">
        <f>INDEX(V:V,MATCH(orders_desnormalizado_prueba3[[#This Row],[acquisition_channel]],U:U,0))</f>
        <v>Bodega Propia CO - envio 2-3 dias</v>
      </c>
      <c r="Z627" s="1" t="str">
        <f>INDEX(T:T,MATCH(orders_desnormalizado_prueba3[[#This Row],[shipping_cost]],W:W,0))</f>
        <v>Colombia</v>
      </c>
      <c r="AA627" s="1" t="str">
        <f t="shared" si="28"/>
        <v>Cartagena</v>
      </c>
      <c r="AB627" s="1"/>
      <c r="AC627" s="1" t="str">
        <f t="shared" si="29"/>
        <v xml:space="preserve"> </v>
      </c>
    </row>
    <row r="628" spans="1:29" x14ac:dyDescent="0.3">
      <c r="A628" s="1" t="s">
        <v>1554</v>
      </c>
      <c r="B628">
        <v>3</v>
      </c>
      <c r="C628">
        <v>21.99</v>
      </c>
      <c r="D628">
        <v>51.96</v>
      </c>
      <c r="E628" s="1" t="s">
        <v>1443</v>
      </c>
      <c r="F628" s="1" t="s">
        <v>40</v>
      </c>
      <c r="G628">
        <v>3</v>
      </c>
      <c r="H628" s="1" t="s">
        <v>41</v>
      </c>
      <c r="I628" s="1" t="s">
        <v>27</v>
      </c>
      <c r="J628">
        <v>7</v>
      </c>
      <c r="K628">
        <v>21.99</v>
      </c>
      <c r="L628" s="1" t="s">
        <v>28</v>
      </c>
      <c r="M628" s="1" t="s">
        <v>29</v>
      </c>
      <c r="N628" s="1" t="s">
        <v>30</v>
      </c>
      <c r="O628" s="1" t="s">
        <v>31</v>
      </c>
      <c r="P628" s="2">
        <v>45778</v>
      </c>
      <c r="Q628" s="1" t="s">
        <v>1316</v>
      </c>
      <c r="R628" s="1" t="s">
        <v>1317</v>
      </c>
      <c r="S628" s="1" t="s">
        <v>105</v>
      </c>
      <c r="T628" s="1" t="s">
        <v>35</v>
      </c>
      <c r="U628" s="1" t="s">
        <v>66</v>
      </c>
      <c r="V628" s="1" t="s">
        <v>37</v>
      </c>
      <c r="W628">
        <v>2</v>
      </c>
      <c r="X628" s="1" t="str">
        <f t="shared" si="27"/>
        <v>juan.moreno182@mail.com</v>
      </c>
      <c r="Y628" s="1" t="str">
        <f>INDEX(V:V,MATCH(orders_desnormalizado_prueba3[[#This Row],[acquisition_channel]],U:U,0))</f>
        <v>AliDropship CN - envio 15-20 dias</v>
      </c>
      <c r="Z628" s="1" t="str">
        <f>INDEX(T:T,MATCH(orders_desnormalizado_prueba3[[#This Row],[shipping_cost]],W:W,0))</f>
        <v>Colombia</v>
      </c>
      <c r="AA628" s="1" t="str">
        <f t="shared" si="28"/>
        <v>Barranquilla</v>
      </c>
      <c r="AB628" s="1"/>
      <c r="AC628" s="1" t="str">
        <f t="shared" si="29"/>
        <v xml:space="preserve"> </v>
      </c>
    </row>
    <row r="629" spans="1:29" x14ac:dyDescent="0.3">
      <c r="A629" s="1" t="s">
        <v>1555</v>
      </c>
      <c r="B629">
        <v>1</v>
      </c>
      <c r="C629">
        <v>30.99</v>
      </c>
      <c r="D629">
        <v>30.99</v>
      </c>
      <c r="E629" s="1" t="s">
        <v>1556</v>
      </c>
      <c r="F629" s="1" t="s">
        <v>51</v>
      </c>
      <c r="G629">
        <v>0</v>
      </c>
      <c r="H629" s="1" t="s">
        <v>41</v>
      </c>
      <c r="I629" s="1" t="s">
        <v>42</v>
      </c>
      <c r="J629">
        <v>10.5</v>
      </c>
      <c r="K629">
        <v>30.99</v>
      </c>
      <c r="L629" s="1" t="s">
        <v>28</v>
      </c>
      <c r="M629" s="1" t="s">
        <v>43</v>
      </c>
      <c r="N629" s="1" t="s">
        <v>44</v>
      </c>
      <c r="O629" s="1" t="s">
        <v>31</v>
      </c>
      <c r="P629" s="2">
        <v>45823</v>
      </c>
      <c r="Q629" s="1" t="s">
        <v>1487</v>
      </c>
      <c r="R629" s="1" t="s">
        <v>1557</v>
      </c>
      <c r="S629" s="1" t="s">
        <v>47</v>
      </c>
      <c r="T629" s="1" t="s">
        <v>35</v>
      </c>
      <c r="U629" s="1" t="s">
        <v>82</v>
      </c>
      <c r="V629" s="1" t="s">
        <v>37</v>
      </c>
      <c r="W629">
        <v>2</v>
      </c>
      <c r="X629" s="1" t="str">
        <f t="shared" si="27"/>
        <v>sofia.vargas151@mail.com</v>
      </c>
      <c r="Y629" s="1" t="str">
        <f>INDEX(V:V,MATCH(orders_desnormalizado_prueba3[[#This Row],[acquisition_channel]],U:U,0))</f>
        <v>Bodega Propia CO - envio 2-3 dias</v>
      </c>
      <c r="Z629" s="1" t="str">
        <f>INDEX(T:T,MATCH(orders_desnormalizado_prueba3[[#This Row],[shipping_cost]],W:W,0))</f>
        <v>Colombia</v>
      </c>
      <c r="AA629" s="1" t="str">
        <f t="shared" si="28"/>
        <v>Cartagena</v>
      </c>
      <c r="AB629" s="1"/>
      <c r="AC629" s="1" t="str">
        <f t="shared" si="29"/>
        <v xml:space="preserve"> </v>
      </c>
    </row>
    <row r="630" spans="1:29" x14ac:dyDescent="0.3">
      <c r="A630" s="1" t="s">
        <v>1558</v>
      </c>
      <c r="B630">
        <v>1</v>
      </c>
      <c r="C630">
        <v>21.99</v>
      </c>
      <c r="D630">
        <v>21.99</v>
      </c>
      <c r="E630" s="1" t="s">
        <v>1345</v>
      </c>
      <c r="F630" s="1" t="s">
        <v>40</v>
      </c>
      <c r="G630">
        <v>3</v>
      </c>
      <c r="H630" s="1" t="s">
        <v>26</v>
      </c>
      <c r="I630" s="1" t="s">
        <v>27</v>
      </c>
      <c r="J630">
        <v>7</v>
      </c>
      <c r="K630">
        <v>21.99</v>
      </c>
      <c r="L630" s="1" t="s">
        <v>28</v>
      </c>
      <c r="M630" s="1" t="s">
        <v>29</v>
      </c>
      <c r="N630" s="1" t="s">
        <v>30</v>
      </c>
      <c r="O630" s="1" t="s">
        <v>31</v>
      </c>
      <c r="P630" s="2">
        <v>45778</v>
      </c>
      <c r="Q630" s="1" t="s">
        <v>1398</v>
      </c>
      <c r="R630" s="1" t="s">
        <v>1399</v>
      </c>
      <c r="S630" s="1" t="s">
        <v>54</v>
      </c>
      <c r="T630" s="1" t="s">
        <v>35</v>
      </c>
      <c r="U630" s="1" t="s">
        <v>48</v>
      </c>
      <c r="V630" s="1" t="s">
        <v>37</v>
      </c>
      <c r="W630">
        <v>2</v>
      </c>
      <c r="X630" s="1" t="str">
        <f t="shared" si="27"/>
        <v>camila.lopez178@mail.com</v>
      </c>
      <c r="Y630" s="1" t="str">
        <f>INDEX(V:V,MATCH(orders_desnormalizado_prueba3[[#This Row],[acquisition_channel]],U:U,0))</f>
        <v>Bodega Propia CO - envio 2-3 dias</v>
      </c>
      <c r="Z630" s="1" t="str">
        <f>INDEX(T:T,MATCH(orders_desnormalizado_prueba3[[#This Row],[shipping_cost]],W:W,0))</f>
        <v>Colombia</v>
      </c>
      <c r="AA630" s="1" t="str">
        <f t="shared" si="28"/>
        <v>Barranquilla</v>
      </c>
      <c r="AB630" s="1"/>
      <c r="AC630" s="1" t="str">
        <f t="shared" si="29"/>
        <v xml:space="preserve"> </v>
      </c>
    </row>
    <row r="631" spans="1:29" x14ac:dyDescent="0.3">
      <c r="A631" s="1" t="s">
        <v>1559</v>
      </c>
      <c r="B631">
        <v>1</v>
      </c>
      <c r="C631">
        <v>18.989999999999998</v>
      </c>
      <c r="D631">
        <v>18.989999999999998</v>
      </c>
      <c r="E631" s="1" t="s">
        <v>160</v>
      </c>
      <c r="F631" s="1" t="s">
        <v>51</v>
      </c>
      <c r="G631">
        <v>0</v>
      </c>
      <c r="H631" s="1" t="s">
        <v>26</v>
      </c>
      <c r="I631" s="1" t="s">
        <v>97</v>
      </c>
      <c r="J631">
        <v>6</v>
      </c>
      <c r="K631">
        <v>18.989999999999998</v>
      </c>
      <c r="L631" s="1" t="s">
        <v>60</v>
      </c>
      <c r="M631" s="1" t="s">
        <v>43</v>
      </c>
      <c r="N631" s="1" t="s">
        <v>44</v>
      </c>
      <c r="O631" s="1" t="s">
        <v>31</v>
      </c>
      <c r="P631" s="2">
        <v>45823</v>
      </c>
      <c r="Q631" s="1" t="s">
        <v>305</v>
      </c>
      <c r="R631" s="1" t="s">
        <v>1560</v>
      </c>
      <c r="S631" s="1" t="s">
        <v>65</v>
      </c>
      <c r="T631" s="1" t="s">
        <v>35</v>
      </c>
      <c r="U631" s="1" t="s">
        <v>55</v>
      </c>
      <c r="V631" s="1" t="s">
        <v>100</v>
      </c>
      <c r="W631">
        <v>3.2</v>
      </c>
      <c r="X631" s="1" t="str">
        <f t="shared" si="27"/>
        <v>sebastian.sanchez117@mail.com</v>
      </c>
      <c r="Y631" s="1" t="str">
        <f>INDEX(V:V,MATCH(orders_desnormalizado_prueba3[[#This Row],[acquisition_channel]],U:U,0))</f>
        <v>Bodega Propia CO - envio 2-3 dias</v>
      </c>
      <c r="Z631" s="1" t="str">
        <f>INDEX(T:T,MATCH(orders_desnormalizado_prueba3[[#This Row],[shipping_cost]],W:W,0))</f>
        <v>Colombia</v>
      </c>
      <c r="AA631" s="1" t="str">
        <f t="shared" si="28"/>
        <v>Cartagena</v>
      </c>
      <c r="AB631" s="1"/>
      <c r="AC631" s="1" t="str">
        <f t="shared" si="29"/>
        <v xml:space="preserve"> </v>
      </c>
    </row>
    <row r="632" spans="1:29" x14ac:dyDescent="0.3">
      <c r="A632" s="1" t="s">
        <v>1561</v>
      </c>
      <c r="B632">
        <v>1</v>
      </c>
      <c r="C632">
        <v>30.99</v>
      </c>
      <c r="D632">
        <v>30.99</v>
      </c>
      <c r="E632" s="1" t="s">
        <v>1562</v>
      </c>
      <c r="F632" s="1" t="s">
        <v>40</v>
      </c>
      <c r="G632">
        <v>3</v>
      </c>
      <c r="H632" s="1" t="s">
        <v>26</v>
      </c>
      <c r="I632" s="1" t="s">
        <v>42</v>
      </c>
      <c r="J632">
        <v>10.5</v>
      </c>
      <c r="K632">
        <v>30.99</v>
      </c>
      <c r="L632" s="1" t="s">
        <v>28</v>
      </c>
      <c r="M632" s="1" t="s">
        <v>43</v>
      </c>
      <c r="N632" s="1" t="s">
        <v>44</v>
      </c>
      <c r="O632" s="1" t="s">
        <v>31</v>
      </c>
      <c r="P632" s="2">
        <v>45823</v>
      </c>
      <c r="Q632" s="1" t="s">
        <v>913</v>
      </c>
      <c r="R632" s="1" t="s">
        <v>914</v>
      </c>
      <c r="S632" s="1" t="s">
        <v>65</v>
      </c>
      <c r="T632" s="1" t="s">
        <v>35</v>
      </c>
      <c r="U632" s="1" t="s">
        <v>48</v>
      </c>
      <c r="V632" s="1" t="s">
        <v>37</v>
      </c>
      <c r="W632">
        <v>2</v>
      </c>
      <c r="X632" s="1" t="str">
        <f t="shared" si="27"/>
        <v>paula.rodriguez185@mail.com</v>
      </c>
      <c r="Y632" s="1" t="str">
        <f>INDEX(V:V,MATCH(orders_desnormalizado_prueba3[[#This Row],[acquisition_channel]],U:U,0))</f>
        <v>Bodega Propia CO - envio 2-3 dias</v>
      </c>
      <c r="Z632" s="1" t="str">
        <f>INDEX(T:T,MATCH(orders_desnormalizado_prueba3[[#This Row],[shipping_cost]],W:W,0))</f>
        <v>Colombia</v>
      </c>
      <c r="AA632" s="1" t="str">
        <f t="shared" si="28"/>
        <v>Barranquilla</v>
      </c>
      <c r="AB632" s="1"/>
      <c r="AC632" s="1" t="str">
        <f t="shared" si="29"/>
        <v xml:space="preserve"> </v>
      </c>
    </row>
    <row r="633" spans="1:29" x14ac:dyDescent="0.3">
      <c r="A633" s="1" t="s">
        <v>1563</v>
      </c>
      <c r="B633">
        <v>1</v>
      </c>
      <c r="C633">
        <v>27.99</v>
      </c>
      <c r="D633">
        <v>27.99</v>
      </c>
      <c r="E633" s="1" t="s">
        <v>968</v>
      </c>
      <c r="F633" s="1" t="s">
        <v>40</v>
      </c>
      <c r="G633">
        <v>3</v>
      </c>
      <c r="H633" s="1" t="s">
        <v>58</v>
      </c>
      <c r="I633" s="1" t="s">
        <v>75</v>
      </c>
      <c r="J633">
        <v>9</v>
      </c>
      <c r="K633">
        <v>27.99</v>
      </c>
      <c r="L633" s="1" t="s">
        <v>28</v>
      </c>
      <c r="M633" s="1" t="s">
        <v>61</v>
      </c>
      <c r="N633" s="1" t="s">
        <v>62</v>
      </c>
      <c r="O633" s="1" t="s">
        <v>31</v>
      </c>
      <c r="P633" s="2">
        <v>45726</v>
      </c>
      <c r="Q633" s="1" t="s">
        <v>1282</v>
      </c>
      <c r="R633" s="1" t="s">
        <v>1283</v>
      </c>
      <c r="S633" s="1" t="s">
        <v>34</v>
      </c>
      <c r="T633" s="1" t="s">
        <v>35</v>
      </c>
      <c r="U633" s="1" t="s">
        <v>66</v>
      </c>
      <c r="V633" s="1" t="s">
        <v>37</v>
      </c>
      <c r="W633">
        <v>2</v>
      </c>
      <c r="X633" s="1" t="str">
        <f t="shared" si="27"/>
        <v>sebastian.jimenez110@mail.com</v>
      </c>
      <c r="Y633" s="1" t="str">
        <f>INDEX(V:V,MATCH(orders_desnormalizado_prueba3[[#This Row],[acquisition_channel]],U:U,0))</f>
        <v>AliDropship CN - envio 15-20 dias</v>
      </c>
      <c r="Z633" s="1" t="str">
        <f>INDEX(T:T,MATCH(orders_desnormalizado_prueba3[[#This Row],[shipping_cost]],W:W,0))</f>
        <v>Colombia</v>
      </c>
      <c r="AA633" s="1" t="str">
        <f t="shared" si="28"/>
        <v>Barranquilla</v>
      </c>
      <c r="AB633" s="1"/>
      <c r="AC633" s="1" t="str">
        <f t="shared" si="29"/>
        <v xml:space="preserve"> </v>
      </c>
    </row>
    <row r="634" spans="1:29" x14ac:dyDescent="0.3">
      <c r="A634" s="1" t="s">
        <v>1564</v>
      </c>
      <c r="B634">
        <v>3</v>
      </c>
      <c r="C634">
        <v>16.989999999999998</v>
      </c>
      <c r="D634">
        <v>41.04</v>
      </c>
      <c r="E634" s="1" t="s">
        <v>1565</v>
      </c>
      <c r="F634" s="1" t="s">
        <v>40</v>
      </c>
      <c r="G634">
        <v>15</v>
      </c>
      <c r="H634" s="1" t="s">
        <v>58</v>
      </c>
      <c r="I634" s="1" t="s">
        <v>59</v>
      </c>
      <c r="J634">
        <v>5</v>
      </c>
      <c r="K634">
        <v>16.989999999999998</v>
      </c>
      <c r="L634" s="1" t="s">
        <v>60</v>
      </c>
      <c r="M634" s="1" t="s">
        <v>61</v>
      </c>
      <c r="N634" s="1" t="s">
        <v>62</v>
      </c>
      <c r="O634" s="1" t="s">
        <v>31</v>
      </c>
      <c r="P634" s="2">
        <v>45726</v>
      </c>
      <c r="Q634" s="1" t="s">
        <v>1058</v>
      </c>
      <c r="R634" s="1" t="s">
        <v>1059</v>
      </c>
      <c r="S634" s="1" t="s">
        <v>65</v>
      </c>
      <c r="T634" s="1" t="s">
        <v>35</v>
      </c>
      <c r="U634" s="1" t="s">
        <v>82</v>
      </c>
      <c r="V634" s="1" t="s">
        <v>67</v>
      </c>
      <c r="W634">
        <v>3</v>
      </c>
      <c r="X634" s="1" t="str">
        <f t="shared" si="27"/>
        <v>felipe.castro82@mail.com</v>
      </c>
      <c r="Y634" s="1" t="str">
        <f>INDEX(V:V,MATCH(orders_desnormalizado_prueba3[[#This Row],[acquisition_channel]],U:U,0))</f>
        <v>Bodega Propia CO - envio 2-3 dias</v>
      </c>
      <c r="Z634" s="1" t="str">
        <f>INDEX(T:T,MATCH(orders_desnormalizado_prueba3[[#This Row],[shipping_cost]],W:W,0))</f>
        <v>Colombia</v>
      </c>
      <c r="AA634" s="1" t="str">
        <f t="shared" si="28"/>
        <v>Barranquilla</v>
      </c>
      <c r="AB634" s="1"/>
      <c r="AC634" s="1" t="str">
        <f t="shared" si="29"/>
        <v xml:space="preserve"> </v>
      </c>
    </row>
    <row r="635" spans="1:29" x14ac:dyDescent="0.3">
      <c r="A635" s="1" t="s">
        <v>1566</v>
      </c>
      <c r="B635">
        <v>1</v>
      </c>
      <c r="C635">
        <v>30.99</v>
      </c>
      <c r="D635">
        <v>30.99</v>
      </c>
      <c r="E635" s="1" t="s">
        <v>1153</v>
      </c>
      <c r="F635" s="1" t="s">
        <v>25</v>
      </c>
      <c r="G635">
        <v>2</v>
      </c>
      <c r="H635" s="1" t="s">
        <v>96</v>
      </c>
      <c r="I635" s="1" t="s">
        <v>42</v>
      </c>
      <c r="J635">
        <v>10.5</v>
      </c>
      <c r="K635">
        <v>30.99</v>
      </c>
      <c r="L635" s="1" t="s">
        <v>28</v>
      </c>
      <c r="M635" s="1" t="s">
        <v>43</v>
      </c>
      <c r="N635" s="1" t="s">
        <v>44</v>
      </c>
      <c r="O635" s="1" t="s">
        <v>31</v>
      </c>
      <c r="P635" s="2">
        <v>45823</v>
      </c>
      <c r="Q635" s="1" t="s">
        <v>1567</v>
      </c>
      <c r="R635" s="1" t="s">
        <v>1568</v>
      </c>
      <c r="S635" s="1" t="s">
        <v>65</v>
      </c>
      <c r="T635" s="1" t="s">
        <v>35</v>
      </c>
      <c r="U635" s="1" t="s">
        <v>55</v>
      </c>
      <c r="V635" s="1" t="s">
        <v>37</v>
      </c>
      <c r="W635">
        <v>2</v>
      </c>
      <c r="X635" s="1" t="str">
        <f t="shared" si="27"/>
        <v>ximena.moreno16@mail.com</v>
      </c>
      <c r="Y635" s="1" t="str">
        <f>INDEX(V:V,MATCH(orders_desnormalizado_prueba3[[#This Row],[acquisition_channel]],U:U,0))</f>
        <v>Bodega Propia CO - envio 2-3 dias</v>
      </c>
      <c r="Z635" s="1" t="str">
        <f>INDEX(T:T,MATCH(orders_desnormalizado_prueba3[[#This Row],[shipping_cost]],W:W,0))</f>
        <v>Colombia</v>
      </c>
      <c r="AA635" s="1" t="str">
        <f t="shared" si="28"/>
        <v>Medellin</v>
      </c>
      <c r="AB635" s="1"/>
      <c r="AC635" s="1" t="str">
        <f t="shared" si="29"/>
        <v xml:space="preserve"> </v>
      </c>
    </row>
    <row r="636" spans="1:29" x14ac:dyDescent="0.3">
      <c r="A636" s="1" t="s">
        <v>1569</v>
      </c>
      <c r="B636">
        <v>3</v>
      </c>
      <c r="C636">
        <v>18.989999999999998</v>
      </c>
      <c r="D636">
        <v>44.74</v>
      </c>
      <c r="E636" s="1" t="s">
        <v>1570</v>
      </c>
      <c r="F636" s="1" t="s">
        <v>40</v>
      </c>
      <c r="G636">
        <v>14</v>
      </c>
      <c r="H636" s="1" t="s">
        <v>41</v>
      </c>
      <c r="I636" s="1" t="s">
        <v>97</v>
      </c>
      <c r="J636">
        <v>6</v>
      </c>
      <c r="K636">
        <v>18.989999999999998</v>
      </c>
      <c r="L636" s="1" t="s">
        <v>60</v>
      </c>
      <c r="M636" s="1" t="s">
        <v>43</v>
      </c>
      <c r="N636" s="1" t="s">
        <v>44</v>
      </c>
      <c r="O636" s="1" t="s">
        <v>31</v>
      </c>
      <c r="P636" s="2">
        <v>45823</v>
      </c>
      <c r="Q636" s="1" t="s">
        <v>1195</v>
      </c>
      <c r="R636" s="1" t="s">
        <v>1196</v>
      </c>
      <c r="S636" s="1" t="s">
        <v>54</v>
      </c>
      <c r="T636" s="1" t="s">
        <v>35</v>
      </c>
      <c r="U636" s="1" t="s">
        <v>66</v>
      </c>
      <c r="V636" s="1" t="s">
        <v>100</v>
      </c>
      <c r="W636">
        <v>3.2</v>
      </c>
      <c r="X636" s="1" t="str">
        <f t="shared" si="27"/>
        <v>catalina.rodriguez37@mail.com</v>
      </c>
      <c r="Y636" s="1" t="str">
        <f>INDEX(V:V,MATCH(orders_desnormalizado_prueba3[[#This Row],[acquisition_channel]],U:U,0))</f>
        <v>AliDropship CN - envio 15-20 dias</v>
      </c>
      <c r="Z636" s="1" t="str">
        <f>INDEX(T:T,MATCH(orders_desnormalizado_prueba3[[#This Row],[shipping_cost]],W:W,0))</f>
        <v>Colombia</v>
      </c>
      <c r="AA636" s="1" t="str">
        <f t="shared" si="28"/>
        <v>Bogota</v>
      </c>
      <c r="AB636" s="1"/>
      <c r="AC636" s="1" t="str">
        <f t="shared" si="29"/>
        <v xml:space="preserve"> </v>
      </c>
    </row>
    <row r="637" spans="1:29" x14ac:dyDescent="0.3">
      <c r="A637" s="1" t="s">
        <v>1571</v>
      </c>
      <c r="B637">
        <v>3</v>
      </c>
      <c r="C637">
        <v>18.989999999999998</v>
      </c>
      <c r="D637">
        <v>45.51</v>
      </c>
      <c r="E637" s="1" t="s">
        <v>1572</v>
      </c>
      <c r="F637" s="1" t="s">
        <v>40</v>
      </c>
      <c r="G637">
        <v>20</v>
      </c>
      <c r="H637" s="1" t="s">
        <v>96</v>
      </c>
      <c r="I637" s="1" t="s">
        <v>97</v>
      </c>
      <c r="J637">
        <v>6</v>
      </c>
      <c r="K637">
        <v>18.989999999999998</v>
      </c>
      <c r="L637" s="1" t="s">
        <v>60</v>
      </c>
      <c r="M637" s="1" t="s">
        <v>43</v>
      </c>
      <c r="N637" s="1" t="s">
        <v>44</v>
      </c>
      <c r="O637" s="1" t="s">
        <v>31</v>
      </c>
      <c r="P637" s="2">
        <v>45823</v>
      </c>
      <c r="Q637" s="1" t="s">
        <v>1494</v>
      </c>
      <c r="R637" s="1" t="s">
        <v>1495</v>
      </c>
      <c r="S637" s="1" t="s">
        <v>65</v>
      </c>
      <c r="T637" s="1" t="s">
        <v>35</v>
      </c>
      <c r="U637" s="1" t="s">
        <v>48</v>
      </c>
      <c r="V637" s="1" t="s">
        <v>100</v>
      </c>
      <c r="W637">
        <v>3.2</v>
      </c>
      <c r="X637" s="1" t="str">
        <f t="shared" si="27"/>
        <v>catalina.ortiz48@mail.com</v>
      </c>
      <c r="Y637" s="1" t="str">
        <f>INDEX(V:V,MATCH(orders_desnormalizado_prueba3[[#This Row],[acquisition_channel]],U:U,0))</f>
        <v>Bodega Propia CO - envio 2-3 dias</v>
      </c>
      <c r="Z637" s="1" t="str">
        <f>INDEX(T:T,MATCH(orders_desnormalizado_prueba3[[#This Row],[shipping_cost]],W:W,0))</f>
        <v>Colombia</v>
      </c>
      <c r="AA637" s="1" t="str">
        <f t="shared" si="28"/>
        <v>Bucaramanga</v>
      </c>
      <c r="AB637" s="1"/>
      <c r="AC637" s="1" t="str">
        <f t="shared" si="29"/>
        <v xml:space="preserve"> </v>
      </c>
    </row>
    <row r="638" spans="1:29" x14ac:dyDescent="0.3">
      <c r="A638" s="1" t="s">
        <v>1573</v>
      </c>
      <c r="B638">
        <v>2</v>
      </c>
      <c r="C638">
        <v>16.989999999999998</v>
      </c>
      <c r="D638">
        <v>29.18</v>
      </c>
      <c r="E638" s="1" t="s">
        <v>1574</v>
      </c>
      <c r="F638" s="1" t="s">
        <v>188</v>
      </c>
      <c r="G638">
        <v>0</v>
      </c>
      <c r="H638" s="1" t="s">
        <v>26</v>
      </c>
      <c r="I638" s="1" t="s">
        <v>59</v>
      </c>
      <c r="J638">
        <v>5</v>
      </c>
      <c r="K638">
        <v>16.989999999999998</v>
      </c>
      <c r="L638" s="1" t="s">
        <v>60</v>
      </c>
      <c r="M638" s="1" t="s">
        <v>61</v>
      </c>
      <c r="N638" s="1" t="s">
        <v>62</v>
      </c>
      <c r="O638" s="1" t="s">
        <v>31</v>
      </c>
      <c r="P638" s="2">
        <v>45726</v>
      </c>
      <c r="Q638" s="1" t="s">
        <v>241</v>
      </c>
      <c r="R638" s="1" t="s">
        <v>1575</v>
      </c>
      <c r="S638" s="1" t="s">
        <v>65</v>
      </c>
      <c r="T638" s="1" t="s">
        <v>35</v>
      </c>
      <c r="U638" s="1" t="s">
        <v>82</v>
      </c>
      <c r="V638" s="1" t="s">
        <v>67</v>
      </c>
      <c r="W638">
        <v>3</v>
      </c>
      <c r="X638" s="1" t="str">
        <f t="shared" si="27"/>
        <v>santiago.ramirez62@mail.com</v>
      </c>
      <c r="Y638" s="1" t="str">
        <f>INDEX(V:V,MATCH(orders_desnormalizado_prueba3[[#This Row],[acquisition_channel]],U:U,0))</f>
        <v>Bodega Propia CO - envio 2-3 dias</v>
      </c>
      <c r="Z638" s="1" t="str">
        <f>INDEX(T:T,MATCH(orders_desnormalizado_prueba3[[#This Row],[shipping_cost]],W:W,0))</f>
        <v>Colombia</v>
      </c>
      <c r="AA638" s="1" t="str">
        <f t="shared" si="28"/>
        <v>Cartagena</v>
      </c>
      <c r="AB638" s="1"/>
      <c r="AC638" s="1" t="str">
        <f t="shared" si="29"/>
        <v xml:space="preserve"> </v>
      </c>
    </row>
    <row r="639" spans="1:29" x14ac:dyDescent="0.3">
      <c r="A639" s="1" t="s">
        <v>1576</v>
      </c>
      <c r="B639">
        <v>1</v>
      </c>
      <c r="C639">
        <v>30.99</v>
      </c>
      <c r="D639">
        <v>30.99</v>
      </c>
      <c r="E639" s="1" t="s">
        <v>1577</v>
      </c>
      <c r="F639" s="1" t="s">
        <v>188</v>
      </c>
      <c r="G639">
        <v>0</v>
      </c>
      <c r="H639" s="1" t="s">
        <v>26</v>
      </c>
      <c r="I639" s="1" t="s">
        <v>42</v>
      </c>
      <c r="J639">
        <v>10.5</v>
      </c>
      <c r="K639">
        <v>30.99</v>
      </c>
      <c r="L639" s="1" t="s">
        <v>28</v>
      </c>
      <c r="M639" s="1" t="s">
        <v>43</v>
      </c>
      <c r="N639" s="1" t="s">
        <v>44</v>
      </c>
      <c r="O639" s="1" t="s">
        <v>31</v>
      </c>
      <c r="P639" s="2">
        <v>45823</v>
      </c>
      <c r="Q639" s="1" t="s">
        <v>593</v>
      </c>
      <c r="R639" s="1" t="s">
        <v>1223</v>
      </c>
      <c r="S639" s="1" t="s">
        <v>88</v>
      </c>
      <c r="T639" s="1" t="s">
        <v>35</v>
      </c>
      <c r="U639" s="1" t="s">
        <v>66</v>
      </c>
      <c r="V639" s="1" t="s">
        <v>37</v>
      </c>
      <c r="W639">
        <v>2</v>
      </c>
      <c r="X639" s="1" t="str">
        <f t="shared" si="27"/>
        <v>santiago.vargas41@mail.com</v>
      </c>
      <c r="Y639" s="1" t="str">
        <f>INDEX(V:V,MATCH(orders_desnormalizado_prueba3[[#This Row],[acquisition_channel]],U:U,0))</f>
        <v>AliDropship CN - envio 15-20 dias</v>
      </c>
      <c r="Z639" s="1" t="str">
        <f>INDEX(T:T,MATCH(orders_desnormalizado_prueba3[[#This Row],[shipping_cost]],W:W,0))</f>
        <v>Colombia</v>
      </c>
      <c r="AA639" s="1" t="str">
        <f t="shared" si="28"/>
        <v>Cartagena</v>
      </c>
      <c r="AB639" s="1"/>
      <c r="AC639" s="1" t="str">
        <f t="shared" si="29"/>
        <v xml:space="preserve"> </v>
      </c>
    </row>
    <row r="640" spans="1:29" x14ac:dyDescent="0.3">
      <c r="A640" s="1" t="s">
        <v>1578</v>
      </c>
      <c r="B640">
        <v>1</v>
      </c>
      <c r="C640">
        <v>18.989999999999998</v>
      </c>
      <c r="D640">
        <v>18.989999999999998</v>
      </c>
      <c r="E640" s="1" t="s">
        <v>786</v>
      </c>
      <c r="F640" s="1" t="s">
        <v>188</v>
      </c>
      <c r="G640">
        <v>0</v>
      </c>
      <c r="H640" s="1" t="s">
        <v>26</v>
      </c>
      <c r="I640" s="1" t="s">
        <v>97</v>
      </c>
      <c r="J640">
        <v>6</v>
      </c>
      <c r="K640">
        <v>18.989999999999998</v>
      </c>
      <c r="L640" s="1" t="s">
        <v>60</v>
      </c>
      <c r="M640" s="1" t="s">
        <v>43</v>
      </c>
      <c r="N640" s="1" t="s">
        <v>44</v>
      </c>
      <c r="O640" s="1" t="s">
        <v>31</v>
      </c>
      <c r="P640" s="2">
        <v>45823</v>
      </c>
      <c r="Q640" s="1" t="s">
        <v>182</v>
      </c>
      <c r="R640" s="1" t="s">
        <v>1579</v>
      </c>
      <c r="S640" s="1" t="s">
        <v>105</v>
      </c>
      <c r="T640" s="1" t="s">
        <v>35</v>
      </c>
      <c r="U640" s="1" t="s">
        <v>66</v>
      </c>
      <c r="V640" s="1" t="s">
        <v>100</v>
      </c>
      <c r="W640">
        <v>3.2</v>
      </c>
      <c r="X640" s="1" t="str">
        <f t="shared" si="27"/>
        <v>daniela.gomez75@mail.com</v>
      </c>
      <c r="Y640" s="1" t="str">
        <f>INDEX(V:V,MATCH(orders_desnormalizado_prueba3[[#This Row],[acquisition_channel]],U:U,0))</f>
        <v>AliDropship CN - envio 15-20 dias</v>
      </c>
      <c r="Z640" s="1" t="str">
        <f>INDEX(T:T,MATCH(orders_desnormalizado_prueba3[[#This Row],[shipping_cost]],W:W,0))</f>
        <v>Colombia</v>
      </c>
      <c r="AA640" s="1" t="str">
        <f t="shared" si="28"/>
        <v>Cartagena</v>
      </c>
      <c r="AB640" s="1"/>
      <c r="AC640" s="1" t="str">
        <f t="shared" si="29"/>
        <v xml:space="preserve"> </v>
      </c>
    </row>
    <row r="641" spans="1:29" x14ac:dyDescent="0.3">
      <c r="A641" s="1" t="s">
        <v>1580</v>
      </c>
      <c r="B641">
        <v>2</v>
      </c>
      <c r="C641">
        <v>18.989999999999998</v>
      </c>
      <c r="D641">
        <v>32.71</v>
      </c>
      <c r="E641" s="1" t="s">
        <v>1581</v>
      </c>
      <c r="F641" s="1" t="s">
        <v>40</v>
      </c>
      <c r="G641">
        <v>10</v>
      </c>
      <c r="H641" s="1" t="s">
        <v>58</v>
      </c>
      <c r="I641" s="1" t="s">
        <v>97</v>
      </c>
      <c r="J641">
        <v>6</v>
      </c>
      <c r="K641">
        <v>18.989999999999998</v>
      </c>
      <c r="L641" s="1" t="s">
        <v>60</v>
      </c>
      <c r="M641" s="1" t="s">
        <v>43</v>
      </c>
      <c r="N641" s="1" t="s">
        <v>44</v>
      </c>
      <c r="O641" s="1" t="s">
        <v>31</v>
      </c>
      <c r="P641" s="2">
        <v>45823</v>
      </c>
      <c r="Q641" s="1" t="s">
        <v>140</v>
      </c>
      <c r="R641" s="1" t="s">
        <v>1199</v>
      </c>
      <c r="S641" s="1" t="s">
        <v>65</v>
      </c>
      <c r="T641" s="1" t="s">
        <v>35</v>
      </c>
      <c r="U641" s="1" t="s">
        <v>36</v>
      </c>
      <c r="V641" s="1" t="s">
        <v>100</v>
      </c>
      <c r="W641">
        <v>3.2</v>
      </c>
      <c r="X641" s="1" t="str">
        <f t="shared" si="27"/>
        <v>david.rodriguez33@mail.com</v>
      </c>
      <c r="Y641" s="1" t="str">
        <f>INDEX(V:V,MATCH(orders_desnormalizado_prueba3[[#This Row],[acquisition_channel]],U:U,0))</f>
        <v>Bodega Propia CO - envio 2-3 dias</v>
      </c>
      <c r="Z641" s="1" t="str">
        <f>INDEX(T:T,MATCH(orders_desnormalizado_prueba3[[#This Row],[shipping_cost]],W:W,0))</f>
        <v>Colombia</v>
      </c>
      <c r="AA641" s="1" t="str">
        <f t="shared" si="28"/>
        <v>Bogota</v>
      </c>
      <c r="AB641" s="1"/>
      <c r="AC641" s="1" t="str">
        <f t="shared" si="29"/>
        <v xml:space="preserve"> </v>
      </c>
    </row>
    <row r="642" spans="1:29" x14ac:dyDescent="0.3">
      <c r="A642" s="1" t="s">
        <v>1582</v>
      </c>
      <c r="B642">
        <v>1</v>
      </c>
      <c r="C642">
        <v>21.99</v>
      </c>
      <c r="D642">
        <v>21.99</v>
      </c>
      <c r="E642" s="1" t="s">
        <v>1552</v>
      </c>
      <c r="F642" s="1" t="s">
        <v>40</v>
      </c>
      <c r="G642">
        <v>2</v>
      </c>
      <c r="H642" s="1" t="s">
        <v>41</v>
      </c>
      <c r="I642" s="1" t="s">
        <v>27</v>
      </c>
      <c r="J642">
        <v>7</v>
      </c>
      <c r="K642">
        <v>21.99</v>
      </c>
      <c r="L642" s="1" t="s">
        <v>28</v>
      </c>
      <c r="M642" s="1" t="s">
        <v>29</v>
      </c>
      <c r="N642" s="1" t="s">
        <v>30</v>
      </c>
      <c r="O642" s="1" t="s">
        <v>31</v>
      </c>
      <c r="P642" s="2">
        <v>45778</v>
      </c>
      <c r="Q642" s="1" t="s">
        <v>409</v>
      </c>
      <c r="R642" s="1" t="s">
        <v>1583</v>
      </c>
      <c r="S642" s="1" t="s">
        <v>105</v>
      </c>
      <c r="T642" s="1" t="s">
        <v>35</v>
      </c>
      <c r="U642" s="1" t="s">
        <v>48</v>
      </c>
      <c r="V642" s="1" t="s">
        <v>37</v>
      </c>
      <c r="W642">
        <v>2</v>
      </c>
      <c r="X642" s="1" t="str">
        <f t="shared" ref="X642:X705" si="30">INDEX(R:R,MATCH(Q642,Q:Q,0))</f>
        <v>valentina.ramirez22@mail.com</v>
      </c>
      <c r="Y642" s="1" t="str">
        <f>INDEX(V:V,MATCH(orders_desnormalizado_prueba3[[#This Row],[acquisition_channel]],U:U,0))</f>
        <v>Bodega Propia CO - envio 2-3 dias</v>
      </c>
      <c r="Z642" s="1" t="str">
        <f>INDEX(T:T,MATCH(orders_desnormalizado_prueba3[[#This Row],[shipping_cost]],W:W,0))</f>
        <v>Colombia</v>
      </c>
      <c r="AA642" s="1" t="str">
        <f t="shared" ref="AA642:AA705" si="31">INDEX(S:S,MATCH(G642,G:G,0))</f>
        <v>Medellin</v>
      </c>
      <c r="AB642" s="1"/>
      <c r="AC642" s="1" t="str">
        <f t="shared" ref="AC642:AC705" si="32">IFERROR(INDEX($V:$V,MATCH(AB642,$R:$R,0)), " ")</f>
        <v xml:space="preserve"> </v>
      </c>
    </row>
    <row r="643" spans="1:29" x14ac:dyDescent="0.3">
      <c r="A643" s="1" t="s">
        <v>1584</v>
      </c>
      <c r="B643">
        <v>3</v>
      </c>
      <c r="C643">
        <v>16.989999999999998</v>
      </c>
      <c r="D643">
        <v>40.15</v>
      </c>
      <c r="E643" s="1" t="s">
        <v>1198</v>
      </c>
      <c r="F643" s="1" t="s">
        <v>40</v>
      </c>
      <c r="G643">
        <v>19</v>
      </c>
      <c r="H643" s="1" t="s">
        <v>41</v>
      </c>
      <c r="I643" s="1" t="s">
        <v>59</v>
      </c>
      <c r="J643">
        <v>5</v>
      </c>
      <c r="K643">
        <v>16.989999999999998</v>
      </c>
      <c r="L643" s="1" t="s">
        <v>60</v>
      </c>
      <c r="M643" s="1" t="s">
        <v>61</v>
      </c>
      <c r="N643" s="1" t="s">
        <v>62</v>
      </c>
      <c r="O643" s="1" t="s">
        <v>31</v>
      </c>
      <c r="P643" s="2">
        <v>45726</v>
      </c>
      <c r="Q643" s="1" t="s">
        <v>732</v>
      </c>
      <c r="R643" s="1" t="s">
        <v>733</v>
      </c>
      <c r="S643" s="1" t="s">
        <v>65</v>
      </c>
      <c r="T643" s="1" t="s">
        <v>35</v>
      </c>
      <c r="U643" s="1" t="s">
        <v>48</v>
      </c>
      <c r="V643" s="1" t="s">
        <v>67</v>
      </c>
      <c r="W643">
        <v>3</v>
      </c>
      <c r="X643" s="1" t="str">
        <f t="shared" si="30"/>
        <v>ximena.martinez177@mail.com</v>
      </c>
      <c r="Y643" s="1" t="str">
        <f>INDEX(V:V,MATCH(orders_desnormalizado_prueba3[[#This Row],[acquisition_channel]],U:U,0))</f>
        <v>Bodega Propia CO - envio 2-3 dias</v>
      </c>
      <c r="Z643" s="1" t="str">
        <f>INDEX(T:T,MATCH(orders_desnormalizado_prueba3[[#This Row],[shipping_cost]],W:W,0))</f>
        <v>Colombia</v>
      </c>
      <c r="AA643" s="1" t="str">
        <f t="shared" si="31"/>
        <v>Bogota</v>
      </c>
      <c r="AB643" s="1"/>
      <c r="AC643" s="1" t="str">
        <f t="shared" si="32"/>
        <v xml:space="preserve"> </v>
      </c>
    </row>
    <row r="644" spans="1:29" x14ac:dyDescent="0.3">
      <c r="A644" s="1" t="s">
        <v>1585</v>
      </c>
      <c r="B644">
        <v>3</v>
      </c>
      <c r="C644">
        <v>30.99</v>
      </c>
      <c r="D644">
        <v>73.5</v>
      </c>
      <c r="E644" s="1" t="s">
        <v>1002</v>
      </c>
      <c r="F644" s="1" t="s">
        <v>40</v>
      </c>
      <c r="G644">
        <v>2</v>
      </c>
      <c r="H644" s="1" t="s">
        <v>58</v>
      </c>
      <c r="I644" s="1" t="s">
        <v>42</v>
      </c>
      <c r="J644">
        <v>10.5</v>
      </c>
      <c r="K644">
        <v>30.99</v>
      </c>
      <c r="L644" s="1" t="s">
        <v>28</v>
      </c>
      <c r="M644" s="1" t="s">
        <v>43</v>
      </c>
      <c r="N644" s="1" t="s">
        <v>44</v>
      </c>
      <c r="O644" s="1" t="s">
        <v>31</v>
      </c>
      <c r="P644" s="2">
        <v>45823</v>
      </c>
      <c r="Q644" s="1" t="s">
        <v>1144</v>
      </c>
      <c r="R644" s="1" t="s">
        <v>1145</v>
      </c>
      <c r="S644" s="1" t="s">
        <v>105</v>
      </c>
      <c r="T644" s="1" t="s">
        <v>35</v>
      </c>
      <c r="U644" s="1" t="s">
        <v>36</v>
      </c>
      <c r="V644" s="1" t="s">
        <v>37</v>
      </c>
      <c r="W644">
        <v>2</v>
      </c>
      <c r="X644" s="1" t="str">
        <f t="shared" si="30"/>
        <v>maria.sanchez179@mail.com</v>
      </c>
      <c r="Y644" s="1" t="str">
        <f>INDEX(V:V,MATCH(orders_desnormalizado_prueba3[[#This Row],[acquisition_channel]],U:U,0))</f>
        <v>Bodega Propia CO - envio 2-3 dias</v>
      </c>
      <c r="Z644" s="1" t="str">
        <f>INDEX(T:T,MATCH(orders_desnormalizado_prueba3[[#This Row],[shipping_cost]],W:W,0))</f>
        <v>Colombia</v>
      </c>
      <c r="AA644" s="1" t="str">
        <f t="shared" si="31"/>
        <v>Medellin</v>
      </c>
      <c r="AB644" s="1"/>
      <c r="AC644" s="1" t="str">
        <f t="shared" si="32"/>
        <v xml:space="preserve"> </v>
      </c>
    </row>
    <row r="645" spans="1:29" x14ac:dyDescent="0.3">
      <c r="A645" s="1" t="s">
        <v>1586</v>
      </c>
      <c r="B645">
        <v>1</v>
      </c>
      <c r="C645">
        <v>21.99</v>
      </c>
      <c r="D645">
        <v>21.99</v>
      </c>
      <c r="E645" s="1" t="s">
        <v>334</v>
      </c>
      <c r="F645" s="1" t="s">
        <v>40</v>
      </c>
      <c r="G645">
        <v>2</v>
      </c>
      <c r="H645" s="1" t="s">
        <v>26</v>
      </c>
      <c r="I645" s="1" t="s">
        <v>27</v>
      </c>
      <c r="J645">
        <v>7</v>
      </c>
      <c r="K645">
        <v>21.99</v>
      </c>
      <c r="L645" s="1" t="s">
        <v>28</v>
      </c>
      <c r="M645" s="1" t="s">
        <v>29</v>
      </c>
      <c r="N645" s="1" t="s">
        <v>30</v>
      </c>
      <c r="O645" s="1" t="s">
        <v>31</v>
      </c>
      <c r="P645" s="2">
        <v>45778</v>
      </c>
      <c r="Q645" s="1" t="s">
        <v>1140</v>
      </c>
      <c r="R645" s="1" t="s">
        <v>1141</v>
      </c>
      <c r="S645" s="1" t="s">
        <v>34</v>
      </c>
      <c r="T645" s="1" t="s">
        <v>35</v>
      </c>
      <c r="U645" s="1" t="s">
        <v>36</v>
      </c>
      <c r="V645" s="1" t="s">
        <v>37</v>
      </c>
      <c r="W645">
        <v>2</v>
      </c>
      <c r="X645" s="1" t="str">
        <f t="shared" si="30"/>
        <v>laura.castro41@mail.com</v>
      </c>
      <c r="Y645" s="1" t="str">
        <f>INDEX(V:V,MATCH(orders_desnormalizado_prueba3[[#This Row],[acquisition_channel]],U:U,0))</f>
        <v>Bodega Propia CO - envio 2-3 dias</v>
      </c>
      <c r="Z645" s="1" t="str">
        <f>INDEX(T:T,MATCH(orders_desnormalizado_prueba3[[#This Row],[shipping_cost]],W:W,0))</f>
        <v>Colombia</v>
      </c>
      <c r="AA645" s="1" t="str">
        <f t="shared" si="31"/>
        <v>Medellin</v>
      </c>
      <c r="AB645" s="1"/>
      <c r="AC645" s="1" t="str">
        <f t="shared" si="32"/>
        <v xml:space="preserve"> </v>
      </c>
    </row>
    <row r="646" spans="1:29" x14ac:dyDescent="0.3">
      <c r="A646" s="1" t="s">
        <v>1587</v>
      </c>
      <c r="B646">
        <v>1</v>
      </c>
      <c r="C646">
        <v>21.99</v>
      </c>
      <c r="D646">
        <v>21.99</v>
      </c>
      <c r="E646" s="1" t="s">
        <v>1588</v>
      </c>
      <c r="F646" s="1" t="s">
        <v>51</v>
      </c>
      <c r="G646">
        <v>0</v>
      </c>
      <c r="H646" s="1" t="s">
        <v>26</v>
      </c>
      <c r="I646" s="1" t="s">
        <v>27</v>
      </c>
      <c r="J646">
        <v>7</v>
      </c>
      <c r="K646">
        <v>21.99</v>
      </c>
      <c r="L646" s="1" t="s">
        <v>28</v>
      </c>
      <c r="M646" s="1" t="s">
        <v>29</v>
      </c>
      <c r="N646" s="1" t="s">
        <v>30</v>
      </c>
      <c r="O646" s="1" t="s">
        <v>31</v>
      </c>
      <c r="P646" s="2">
        <v>45778</v>
      </c>
      <c r="Q646" s="1" t="s">
        <v>385</v>
      </c>
      <c r="R646" s="1" t="s">
        <v>1510</v>
      </c>
      <c r="S646" s="1" t="s">
        <v>88</v>
      </c>
      <c r="T646" s="1" t="s">
        <v>35</v>
      </c>
      <c r="U646" s="1" t="s">
        <v>48</v>
      </c>
      <c r="V646" s="1" t="s">
        <v>37</v>
      </c>
      <c r="W646">
        <v>2</v>
      </c>
      <c r="X646" s="1" t="str">
        <f t="shared" si="30"/>
        <v>isabella.sanchez53@mail.com</v>
      </c>
      <c r="Y646" s="1" t="str">
        <f>INDEX(V:V,MATCH(orders_desnormalizado_prueba3[[#This Row],[acquisition_channel]],U:U,0))</f>
        <v>Bodega Propia CO - envio 2-3 dias</v>
      </c>
      <c r="Z646" s="1" t="str">
        <f>INDEX(T:T,MATCH(orders_desnormalizado_prueba3[[#This Row],[shipping_cost]],W:W,0))</f>
        <v>Colombia</v>
      </c>
      <c r="AA646" s="1" t="str">
        <f t="shared" si="31"/>
        <v>Cartagena</v>
      </c>
      <c r="AB646" s="1"/>
      <c r="AC646" s="1" t="str">
        <f t="shared" si="32"/>
        <v xml:space="preserve"> </v>
      </c>
    </row>
    <row r="647" spans="1:29" x14ac:dyDescent="0.3">
      <c r="A647" s="1" t="s">
        <v>1589</v>
      </c>
      <c r="B647">
        <v>1</v>
      </c>
      <c r="C647">
        <v>34.99</v>
      </c>
      <c r="D647">
        <v>34.99</v>
      </c>
      <c r="E647" s="1" t="s">
        <v>1590</v>
      </c>
      <c r="F647" s="1" t="s">
        <v>40</v>
      </c>
      <c r="G647">
        <v>7</v>
      </c>
      <c r="H647" s="1" t="s">
        <v>96</v>
      </c>
      <c r="I647" s="1" t="s">
        <v>85</v>
      </c>
      <c r="J647">
        <v>12.5</v>
      </c>
      <c r="K647">
        <v>34.99</v>
      </c>
      <c r="L647" s="1" t="s">
        <v>60</v>
      </c>
      <c r="M647" s="1" t="s">
        <v>29</v>
      </c>
      <c r="N647" s="1" t="s">
        <v>30</v>
      </c>
      <c r="O647" s="1" t="s">
        <v>31</v>
      </c>
      <c r="P647" s="2">
        <v>45778</v>
      </c>
      <c r="Q647" s="1" t="s">
        <v>1253</v>
      </c>
      <c r="R647" s="1" t="s">
        <v>1254</v>
      </c>
      <c r="S647" s="1" t="s">
        <v>105</v>
      </c>
      <c r="T647" s="1" t="s">
        <v>35</v>
      </c>
      <c r="U647" s="1" t="s">
        <v>66</v>
      </c>
      <c r="V647" s="1" t="s">
        <v>89</v>
      </c>
      <c r="W647">
        <v>2.4</v>
      </c>
      <c r="X647" s="1" t="str">
        <f t="shared" si="30"/>
        <v>sofia.ortiz121@mail.com</v>
      </c>
      <c r="Y647" s="1" t="str">
        <f>INDEX(V:V,MATCH(orders_desnormalizado_prueba3[[#This Row],[acquisition_channel]],U:U,0))</f>
        <v>AliDropship CN - envio 15-20 dias</v>
      </c>
      <c r="Z647" s="1" t="str">
        <f>INDEX(T:T,MATCH(orders_desnormalizado_prueba3[[#This Row],[shipping_cost]],W:W,0))</f>
        <v>Colombia</v>
      </c>
      <c r="AA647" s="1" t="str">
        <f t="shared" si="31"/>
        <v>Bogota</v>
      </c>
      <c r="AB647" s="1"/>
      <c r="AC647" s="1" t="str">
        <f t="shared" si="32"/>
        <v xml:space="preserve"> </v>
      </c>
    </row>
    <row r="648" spans="1:29" x14ac:dyDescent="0.3">
      <c r="A648" s="1" t="s">
        <v>1591</v>
      </c>
      <c r="B648">
        <v>2</v>
      </c>
      <c r="C648">
        <v>30.99</v>
      </c>
      <c r="D648">
        <v>53.45</v>
      </c>
      <c r="E648" s="1" t="s">
        <v>1592</v>
      </c>
      <c r="F648" s="1" t="s">
        <v>25</v>
      </c>
      <c r="G648">
        <v>2</v>
      </c>
      <c r="H648" s="1" t="s">
        <v>26</v>
      </c>
      <c r="I648" s="1" t="s">
        <v>42</v>
      </c>
      <c r="J648">
        <v>10.5</v>
      </c>
      <c r="K648">
        <v>30.99</v>
      </c>
      <c r="L648" s="1" t="s">
        <v>28</v>
      </c>
      <c r="M648" s="1" t="s">
        <v>43</v>
      </c>
      <c r="N648" s="1" t="s">
        <v>44</v>
      </c>
      <c r="O648" s="1" t="s">
        <v>31</v>
      </c>
      <c r="P648" s="2">
        <v>45823</v>
      </c>
      <c r="Q648" s="1" t="s">
        <v>1593</v>
      </c>
      <c r="R648" s="1" t="s">
        <v>1594</v>
      </c>
      <c r="S648" s="1" t="s">
        <v>47</v>
      </c>
      <c r="T648" s="1" t="s">
        <v>35</v>
      </c>
      <c r="U648" s="1" t="s">
        <v>48</v>
      </c>
      <c r="V648" s="1" t="s">
        <v>37</v>
      </c>
      <c r="W648">
        <v>2</v>
      </c>
      <c r="X648" s="1" t="str">
        <f t="shared" si="30"/>
        <v>sofia.martinez113@mail.com</v>
      </c>
      <c r="Y648" s="1" t="str">
        <f>INDEX(V:V,MATCH(orders_desnormalizado_prueba3[[#This Row],[acquisition_channel]],U:U,0))</f>
        <v>Bodega Propia CO - envio 2-3 dias</v>
      </c>
      <c r="Z648" s="1" t="str">
        <f>INDEX(T:T,MATCH(orders_desnormalizado_prueba3[[#This Row],[shipping_cost]],W:W,0))</f>
        <v>Colombia</v>
      </c>
      <c r="AA648" s="1" t="str">
        <f t="shared" si="31"/>
        <v>Medellin</v>
      </c>
      <c r="AB648" s="1"/>
      <c r="AC648" s="1" t="str">
        <f t="shared" si="32"/>
        <v xml:space="preserve"> </v>
      </c>
    </row>
    <row r="649" spans="1:29" x14ac:dyDescent="0.3">
      <c r="A649" s="1" t="s">
        <v>1595</v>
      </c>
      <c r="B649">
        <v>1</v>
      </c>
      <c r="C649">
        <v>18.989999999999998</v>
      </c>
      <c r="D649">
        <v>18.989999999999998</v>
      </c>
      <c r="E649" s="1" t="s">
        <v>1596</v>
      </c>
      <c r="F649" s="1" t="s">
        <v>188</v>
      </c>
      <c r="G649">
        <v>0</v>
      </c>
      <c r="H649" s="1" t="s">
        <v>96</v>
      </c>
      <c r="I649" s="1" t="s">
        <v>97</v>
      </c>
      <c r="J649">
        <v>6</v>
      </c>
      <c r="K649">
        <v>18.989999999999998</v>
      </c>
      <c r="L649" s="1" t="s">
        <v>60</v>
      </c>
      <c r="M649" s="1" t="s">
        <v>43</v>
      </c>
      <c r="N649" s="1" t="s">
        <v>44</v>
      </c>
      <c r="O649" s="1" t="s">
        <v>31</v>
      </c>
      <c r="P649" s="2">
        <v>45823</v>
      </c>
      <c r="Q649" s="1" t="s">
        <v>1187</v>
      </c>
      <c r="R649" s="1" t="s">
        <v>1188</v>
      </c>
      <c r="S649" s="1" t="s">
        <v>47</v>
      </c>
      <c r="T649" s="1" t="s">
        <v>35</v>
      </c>
      <c r="U649" s="1" t="s">
        <v>48</v>
      </c>
      <c r="V649" s="1" t="s">
        <v>100</v>
      </c>
      <c r="W649">
        <v>3.2</v>
      </c>
      <c r="X649" s="1" t="str">
        <f t="shared" si="30"/>
        <v>nicolas.jimenez67@mail.com</v>
      </c>
      <c r="Y649" s="1" t="str">
        <f>INDEX(V:V,MATCH(orders_desnormalizado_prueba3[[#This Row],[acquisition_channel]],U:U,0))</f>
        <v>Bodega Propia CO - envio 2-3 dias</v>
      </c>
      <c r="Z649" s="1" t="str">
        <f>INDEX(T:T,MATCH(orders_desnormalizado_prueba3[[#This Row],[shipping_cost]],W:W,0))</f>
        <v>Colombia</v>
      </c>
      <c r="AA649" s="1" t="str">
        <f t="shared" si="31"/>
        <v>Cartagena</v>
      </c>
      <c r="AB649" s="1"/>
      <c r="AC649" s="1" t="str">
        <f t="shared" si="32"/>
        <v xml:space="preserve"> </v>
      </c>
    </row>
    <row r="650" spans="1:29" x14ac:dyDescent="0.3">
      <c r="A650" s="1" t="s">
        <v>1597</v>
      </c>
      <c r="B650">
        <v>1</v>
      </c>
      <c r="C650">
        <v>30.99</v>
      </c>
      <c r="D650">
        <v>30.99</v>
      </c>
      <c r="E650" s="1" t="s">
        <v>1598</v>
      </c>
      <c r="F650" s="1" t="s">
        <v>40</v>
      </c>
      <c r="G650">
        <v>3</v>
      </c>
      <c r="H650" s="1" t="s">
        <v>58</v>
      </c>
      <c r="I650" s="1" t="s">
        <v>42</v>
      </c>
      <c r="J650">
        <v>10.5</v>
      </c>
      <c r="K650">
        <v>30.99</v>
      </c>
      <c r="L650" s="1" t="s">
        <v>28</v>
      </c>
      <c r="M650" s="1" t="s">
        <v>43</v>
      </c>
      <c r="N650" s="1" t="s">
        <v>44</v>
      </c>
      <c r="O650" s="1" t="s">
        <v>31</v>
      </c>
      <c r="P650" s="2">
        <v>45823</v>
      </c>
      <c r="Q650" s="1" t="s">
        <v>1286</v>
      </c>
      <c r="R650" s="1" t="s">
        <v>1599</v>
      </c>
      <c r="S650" s="1" t="s">
        <v>34</v>
      </c>
      <c r="T650" s="1" t="s">
        <v>35</v>
      </c>
      <c r="U650" s="1" t="s">
        <v>82</v>
      </c>
      <c r="V650" s="1" t="s">
        <v>37</v>
      </c>
      <c r="W650">
        <v>2</v>
      </c>
      <c r="X650" s="1" t="str">
        <f t="shared" si="30"/>
        <v>nicolas.sanchez19@mail.com</v>
      </c>
      <c r="Y650" s="1" t="str">
        <f>INDEX(V:V,MATCH(orders_desnormalizado_prueba3[[#This Row],[acquisition_channel]],U:U,0))</f>
        <v>Bodega Propia CO - envio 2-3 dias</v>
      </c>
      <c r="Z650" s="1" t="str">
        <f>INDEX(T:T,MATCH(orders_desnormalizado_prueba3[[#This Row],[shipping_cost]],W:W,0))</f>
        <v>Colombia</v>
      </c>
      <c r="AA650" s="1" t="str">
        <f t="shared" si="31"/>
        <v>Barranquilla</v>
      </c>
      <c r="AB650" s="1"/>
      <c r="AC650" s="1" t="str">
        <f t="shared" si="32"/>
        <v xml:space="preserve"> </v>
      </c>
    </row>
    <row r="651" spans="1:29" x14ac:dyDescent="0.3">
      <c r="A651" s="1" t="s">
        <v>1600</v>
      </c>
      <c r="B651">
        <v>1</v>
      </c>
      <c r="C651">
        <v>21.99</v>
      </c>
      <c r="D651">
        <v>21.99</v>
      </c>
      <c r="E651" s="1" t="s">
        <v>1230</v>
      </c>
      <c r="F651" s="1" t="s">
        <v>40</v>
      </c>
      <c r="G651">
        <v>2</v>
      </c>
      <c r="H651" s="1" t="s">
        <v>41</v>
      </c>
      <c r="I651" s="1" t="s">
        <v>27</v>
      </c>
      <c r="J651">
        <v>7</v>
      </c>
      <c r="K651">
        <v>21.99</v>
      </c>
      <c r="L651" s="1" t="s">
        <v>28</v>
      </c>
      <c r="M651" s="1" t="s">
        <v>29</v>
      </c>
      <c r="N651" s="1" t="s">
        <v>30</v>
      </c>
      <c r="O651" s="1" t="s">
        <v>31</v>
      </c>
      <c r="P651" s="2">
        <v>45778</v>
      </c>
      <c r="Q651" s="1" t="s">
        <v>147</v>
      </c>
      <c r="R651" s="1" t="s">
        <v>1601</v>
      </c>
      <c r="S651" s="1" t="s">
        <v>105</v>
      </c>
      <c r="T651" s="1" t="s">
        <v>35</v>
      </c>
      <c r="U651" s="1" t="s">
        <v>55</v>
      </c>
      <c r="V651" s="1" t="s">
        <v>37</v>
      </c>
      <c r="W651">
        <v>2</v>
      </c>
      <c r="X651" s="1" t="str">
        <f t="shared" si="30"/>
        <v>natalia.castro19@mail.com</v>
      </c>
      <c r="Y651" s="1" t="str">
        <f>INDEX(V:V,MATCH(orders_desnormalizado_prueba3[[#This Row],[acquisition_channel]],U:U,0))</f>
        <v>Bodega Propia CO - envio 2-3 dias</v>
      </c>
      <c r="Z651" s="1" t="str">
        <f>INDEX(T:T,MATCH(orders_desnormalizado_prueba3[[#This Row],[shipping_cost]],W:W,0))</f>
        <v>Colombia</v>
      </c>
      <c r="AA651" s="1" t="str">
        <f t="shared" si="31"/>
        <v>Medellin</v>
      </c>
      <c r="AB651" s="1"/>
      <c r="AC651" s="1" t="str">
        <f t="shared" si="32"/>
        <v xml:space="preserve"> </v>
      </c>
    </row>
    <row r="652" spans="1:29" x14ac:dyDescent="0.3">
      <c r="A652" s="1" t="s">
        <v>1602</v>
      </c>
      <c r="B652">
        <v>3</v>
      </c>
      <c r="C652">
        <v>18.989999999999998</v>
      </c>
      <c r="D652">
        <v>45.58</v>
      </c>
      <c r="E652" s="1" t="s">
        <v>1230</v>
      </c>
      <c r="F652" s="1" t="s">
        <v>188</v>
      </c>
      <c r="G652">
        <v>0</v>
      </c>
      <c r="H652" s="1" t="s">
        <v>41</v>
      </c>
      <c r="I652" s="1" t="s">
        <v>97</v>
      </c>
      <c r="J652">
        <v>6</v>
      </c>
      <c r="K652">
        <v>18.989999999999998</v>
      </c>
      <c r="L652" s="1" t="s">
        <v>60</v>
      </c>
      <c r="M652" s="1" t="s">
        <v>43</v>
      </c>
      <c r="N652" s="1" t="s">
        <v>44</v>
      </c>
      <c r="O652" s="1" t="s">
        <v>31</v>
      </c>
      <c r="P652" s="2">
        <v>45823</v>
      </c>
      <c r="Q652" s="1" t="s">
        <v>1603</v>
      </c>
      <c r="R652" s="1" t="s">
        <v>1604</v>
      </c>
      <c r="S652" s="1" t="s">
        <v>105</v>
      </c>
      <c r="T652" s="1" t="s">
        <v>35</v>
      </c>
      <c r="U652" s="1" t="s">
        <v>55</v>
      </c>
      <c r="V652" s="1" t="s">
        <v>100</v>
      </c>
      <c r="W652">
        <v>3.2</v>
      </c>
      <c r="X652" s="1" t="str">
        <f t="shared" si="30"/>
        <v>felipe.vargas36@mail.com</v>
      </c>
      <c r="Y652" s="1" t="str">
        <f>INDEX(V:V,MATCH(orders_desnormalizado_prueba3[[#This Row],[acquisition_channel]],U:U,0))</f>
        <v>Bodega Propia CO - envio 2-3 dias</v>
      </c>
      <c r="Z652" s="1" t="str">
        <f>INDEX(T:T,MATCH(orders_desnormalizado_prueba3[[#This Row],[shipping_cost]],W:W,0))</f>
        <v>Colombia</v>
      </c>
      <c r="AA652" s="1" t="str">
        <f t="shared" si="31"/>
        <v>Cartagena</v>
      </c>
      <c r="AB652" s="1"/>
      <c r="AC652" s="1" t="str">
        <f t="shared" si="32"/>
        <v xml:space="preserve"> </v>
      </c>
    </row>
    <row r="653" spans="1:29" x14ac:dyDescent="0.3">
      <c r="A653" s="1" t="s">
        <v>1605</v>
      </c>
      <c r="B653">
        <v>1</v>
      </c>
      <c r="C653">
        <v>21.99</v>
      </c>
      <c r="D653">
        <v>21.99</v>
      </c>
      <c r="E653" s="1" t="s">
        <v>1367</v>
      </c>
      <c r="F653" s="1" t="s">
        <v>40</v>
      </c>
      <c r="G653">
        <v>3</v>
      </c>
      <c r="H653" s="1" t="s">
        <v>41</v>
      </c>
      <c r="I653" s="1" t="s">
        <v>27</v>
      </c>
      <c r="J653">
        <v>7</v>
      </c>
      <c r="K653">
        <v>21.99</v>
      </c>
      <c r="L653" s="1" t="s">
        <v>28</v>
      </c>
      <c r="M653" s="1" t="s">
        <v>29</v>
      </c>
      <c r="N653" s="1" t="s">
        <v>30</v>
      </c>
      <c r="O653" s="1" t="s">
        <v>31</v>
      </c>
      <c r="P653" s="2">
        <v>45778</v>
      </c>
      <c r="Q653" s="1" t="s">
        <v>990</v>
      </c>
      <c r="R653" s="1" t="s">
        <v>1490</v>
      </c>
      <c r="S653" s="1" t="s">
        <v>88</v>
      </c>
      <c r="T653" s="1" t="s">
        <v>35</v>
      </c>
      <c r="U653" s="1" t="s">
        <v>82</v>
      </c>
      <c r="V653" s="1" t="s">
        <v>37</v>
      </c>
      <c r="W653">
        <v>2</v>
      </c>
      <c r="X653" s="1" t="str">
        <f t="shared" si="30"/>
        <v>fernanda.diaz94@mail.com</v>
      </c>
      <c r="Y653" s="1" t="str">
        <f>INDEX(V:V,MATCH(orders_desnormalizado_prueba3[[#This Row],[acquisition_channel]],U:U,0))</f>
        <v>Bodega Propia CO - envio 2-3 dias</v>
      </c>
      <c r="Z653" s="1" t="str">
        <f>INDEX(T:T,MATCH(orders_desnormalizado_prueba3[[#This Row],[shipping_cost]],W:W,0))</f>
        <v>Colombia</v>
      </c>
      <c r="AA653" s="1" t="str">
        <f t="shared" si="31"/>
        <v>Barranquilla</v>
      </c>
      <c r="AB653" s="1"/>
      <c r="AC653" s="1" t="str">
        <f t="shared" si="32"/>
        <v xml:space="preserve"> </v>
      </c>
    </row>
    <row r="654" spans="1:29" x14ac:dyDescent="0.3">
      <c r="A654" s="1" t="s">
        <v>1606</v>
      </c>
      <c r="B654">
        <v>2</v>
      </c>
      <c r="C654">
        <v>27.99</v>
      </c>
      <c r="D654">
        <v>48.72</v>
      </c>
      <c r="E654" s="1" t="s">
        <v>1431</v>
      </c>
      <c r="F654" s="1" t="s">
        <v>51</v>
      </c>
      <c r="G654">
        <v>0</v>
      </c>
      <c r="H654" s="1" t="s">
        <v>58</v>
      </c>
      <c r="I654" s="1" t="s">
        <v>75</v>
      </c>
      <c r="J654">
        <v>9</v>
      </c>
      <c r="K654">
        <v>27.99</v>
      </c>
      <c r="L654" s="1" t="s">
        <v>28</v>
      </c>
      <c r="M654" s="1" t="s">
        <v>61</v>
      </c>
      <c r="N654" s="1" t="s">
        <v>62</v>
      </c>
      <c r="O654" s="1" t="s">
        <v>31</v>
      </c>
      <c r="P654" s="2">
        <v>45726</v>
      </c>
      <c r="Q654" s="1" t="s">
        <v>957</v>
      </c>
      <c r="R654" s="1" t="s">
        <v>958</v>
      </c>
      <c r="S654" s="1" t="s">
        <v>105</v>
      </c>
      <c r="T654" s="1" t="s">
        <v>35</v>
      </c>
      <c r="U654" s="1" t="s">
        <v>66</v>
      </c>
      <c r="V654" s="1" t="s">
        <v>37</v>
      </c>
      <c r="W654">
        <v>2</v>
      </c>
      <c r="X654" s="1" t="str">
        <f t="shared" si="30"/>
        <v>nicolas.diaz145@mail.com</v>
      </c>
      <c r="Y654" s="1" t="str">
        <f>INDEX(V:V,MATCH(orders_desnormalizado_prueba3[[#This Row],[acquisition_channel]],U:U,0))</f>
        <v>AliDropship CN - envio 15-20 dias</v>
      </c>
      <c r="Z654" s="1" t="str">
        <f>INDEX(T:T,MATCH(orders_desnormalizado_prueba3[[#This Row],[shipping_cost]],W:W,0))</f>
        <v>Colombia</v>
      </c>
      <c r="AA654" s="1" t="str">
        <f t="shared" si="31"/>
        <v>Cartagena</v>
      </c>
      <c r="AB654" s="1"/>
      <c r="AC654" s="1" t="str">
        <f t="shared" si="32"/>
        <v xml:space="preserve"> </v>
      </c>
    </row>
    <row r="655" spans="1:29" x14ac:dyDescent="0.3">
      <c r="A655" s="1" t="s">
        <v>1607</v>
      </c>
      <c r="B655">
        <v>1</v>
      </c>
      <c r="C655">
        <v>27.99</v>
      </c>
      <c r="D655">
        <v>27.99</v>
      </c>
      <c r="E655" s="1" t="s">
        <v>1608</v>
      </c>
      <c r="F655" s="1" t="s">
        <v>51</v>
      </c>
      <c r="G655">
        <v>0</v>
      </c>
      <c r="H655" s="1" t="s">
        <v>41</v>
      </c>
      <c r="I655" s="1" t="s">
        <v>75</v>
      </c>
      <c r="J655">
        <v>9</v>
      </c>
      <c r="K655">
        <v>27.99</v>
      </c>
      <c r="L655" s="1" t="s">
        <v>28</v>
      </c>
      <c r="M655" s="1" t="s">
        <v>61</v>
      </c>
      <c r="N655" s="1" t="s">
        <v>62</v>
      </c>
      <c r="O655" s="1" t="s">
        <v>31</v>
      </c>
      <c r="P655" s="2">
        <v>45726</v>
      </c>
      <c r="Q655" s="1" t="s">
        <v>544</v>
      </c>
      <c r="R655" s="1" t="s">
        <v>1225</v>
      </c>
      <c r="S655" s="1" t="s">
        <v>88</v>
      </c>
      <c r="T655" s="1" t="s">
        <v>35</v>
      </c>
      <c r="U655" s="1" t="s">
        <v>36</v>
      </c>
      <c r="V655" s="1" t="s">
        <v>37</v>
      </c>
      <c r="W655">
        <v>2</v>
      </c>
      <c r="X655" s="1" t="str">
        <f t="shared" si="30"/>
        <v>maria.diaz102@mail.com</v>
      </c>
      <c r="Y655" s="1" t="str">
        <f>INDEX(V:V,MATCH(orders_desnormalizado_prueba3[[#This Row],[acquisition_channel]],U:U,0))</f>
        <v>Bodega Propia CO - envio 2-3 dias</v>
      </c>
      <c r="Z655" s="1" t="str">
        <f>INDEX(T:T,MATCH(orders_desnormalizado_prueba3[[#This Row],[shipping_cost]],W:W,0))</f>
        <v>Colombia</v>
      </c>
      <c r="AA655" s="1" t="str">
        <f t="shared" si="31"/>
        <v>Cartagena</v>
      </c>
      <c r="AB655" s="1"/>
      <c r="AC655" s="1" t="str">
        <f t="shared" si="32"/>
        <v xml:space="preserve"> </v>
      </c>
    </row>
    <row r="656" spans="1:29" x14ac:dyDescent="0.3">
      <c r="A656" s="1" t="s">
        <v>1609</v>
      </c>
      <c r="B656">
        <v>1</v>
      </c>
      <c r="C656">
        <v>18.989999999999998</v>
      </c>
      <c r="D656">
        <v>18.989999999999998</v>
      </c>
      <c r="E656" s="1" t="s">
        <v>1227</v>
      </c>
      <c r="F656" s="1" t="s">
        <v>40</v>
      </c>
      <c r="G656">
        <v>15</v>
      </c>
      <c r="H656" s="1" t="s">
        <v>96</v>
      </c>
      <c r="I656" s="1" t="s">
        <v>97</v>
      </c>
      <c r="J656">
        <v>6</v>
      </c>
      <c r="K656">
        <v>18.989999999999998</v>
      </c>
      <c r="L656" s="1" t="s">
        <v>60</v>
      </c>
      <c r="M656" s="1" t="s">
        <v>43</v>
      </c>
      <c r="N656" s="1" t="s">
        <v>44</v>
      </c>
      <c r="O656" s="1" t="s">
        <v>31</v>
      </c>
      <c r="P656" s="2">
        <v>45823</v>
      </c>
      <c r="Q656" s="1" t="s">
        <v>1211</v>
      </c>
      <c r="R656" s="1" t="s">
        <v>1610</v>
      </c>
      <c r="S656" s="1" t="s">
        <v>65</v>
      </c>
      <c r="T656" s="1" t="s">
        <v>35</v>
      </c>
      <c r="U656" s="1" t="s">
        <v>55</v>
      </c>
      <c r="V656" s="1" t="s">
        <v>100</v>
      </c>
      <c r="W656">
        <v>3.2</v>
      </c>
      <c r="X656" s="1" t="str">
        <f t="shared" si="30"/>
        <v>gabriela.lopez37@mail.com</v>
      </c>
      <c r="Y656" s="1" t="str">
        <f>INDEX(V:V,MATCH(orders_desnormalizado_prueba3[[#This Row],[acquisition_channel]],U:U,0))</f>
        <v>Bodega Propia CO - envio 2-3 dias</v>
      </c>
      <c r="Z656" s="1" t="str">
        <f>INDEX(T:T,MATCH(orders_desnormalizado_prueba3[[#This Row],[shipping_cost]],W:W,0))</f>
        <v>Colombia</v>
      </c>
      <c r="AA656" s="1" t="str">
        <f t="shared" si="31"/>
        <v>Barranquilla</v>
      </c>
      <c r="AB656" s="1"/>
      <c r="AC656" s="1" t="str">
        <f t="shared" si="32"/>
        <v xml:space="preserve"> </v>
      </c>
    </row>
    <row r="657" spans="1:29" x14ac:dyDescent="0.3">
      <c r="A657" s="1" t="s">
        <v>1611</v>
      </c>
      <c r="B657">
        <v>1</v>
      </c>
      <c r="C657">
        <v>21.99</v>
      </c>
      <c r="D657">
        <v>21.99</v>
      </c>
      <c r="E657" s="1" t="s">
        <v>1461</v>
      </c>
      <c r="F657" s="1" t="s">
        <v>51</v>
      </c>
      <c r="G657">
        <v>0</v>
      </c>
      <c r="H657" s="1" t="s">
        <v>58</v>
      </c>
      <c r="I657" s="1" t="s">
        <v>27</v>
      </c>
      <c r="J657">
        <v>7</v>
      </c>
      <c r="K657">
        <v>21.99</v>
      </c>
      <c r="L657" s="1" t="s">
        <v>28</v>
      </c>
      <c r="M657" s="1" t="s">
        <v>29</v>
      </c>
      <c r="N657" s="1" t="s">
        <v>30</v>
      </c>
      <c r="O657" s="1" t="s">
        <v>31</v>
      </c>
      <c r="P657" s="2">
        <v>45778</v>
      </c>
      <c r="Q657" s="1" t="s">
        <v>957</v>
      </c>
      <c r="R657" s="1" t="s">
        <v>958</v>
      </c>
      <c r="S657" s="1" t="s">
        <v>105</v>
      </c>
      <c r="T657" s="1" t="s">
        <v>35</v>
      </c>
      <c r="U657" s="1" t="s">
        <v>66</v>
      </c>
      <c r="V657" s="1" t="s">
        <v>37</v>
      </c>
      <c r="W657">
        <v>2</v>
      </c>
      <c r="X657" s="1" t="str">
        <f t="shared" si="30"/>
        <v>nicolas.diaz145@mail.com</v>
      </c>
      <c r="Y657" s="1" t="str">
        <f>INDEX(V:V,MATCH(orders_desnormalizado_prueba3[[#This Row],[acquisition_channel]],U:U,0))</f>
        <v>AliDropship CN - envio 15-20 dias</v>
      </c>
      <c r="Z657" s="1" t="str">
        <f>INDEX(T:T,MATCH(orders_desnormalizado_prueba3[[#This Row],[shipping_cost]],W:W,0))</f>
        <v>Colombia</v>
      </c>
      <c r="AA657" s="1" t="str">
        <f t="shared" si="31"/>
        <v>Cartagena</v>
      </c>
      <c r="AB657" s="1"/>
      <c r="AC657" s="1" t="str">
        <f t="shared" si="32"/>
        <v xml:space="preserve"> </v>
      </c>
    </row>
    <row r="658" spans="1:29" x14ac:dyDescent="0.3">
      <c r="A658" s="1" t="s">
        <v>1612</v>
      </c>
      <c r="B658">
        <v>1</v>
      </c>
      <c r="C658">
        <v>34.99</v>
      </c>
      <c r="D658">
        <v>34.99</v>
      </c>
      <c r="E658" s="1" t="s">
        <v>1379</v>
      </c>
      <c r="F658" s="1" t="s">
        <v>188</v>
      </c>
      <c r="G658">
        <v>0</v>
      </c>
      <c r="H658" s="1" t="s">
        <v>58</v>
      </c>
      <c r="I658" s="1" t="s">
        <v>85</v>
      </c>
      <c r="J658">
        <v>12.5</v>
      </c>
      <c r="K658">
        <v>34.99</v>
      </c>
      <c r="L658" s="1" t="s">
        <v>60</v>
      </c>
      <c r="M658" s="1" t="s">
        <v>29</v>
      </c>
      <c r="N658" s="1" t="s">
        <v>30</v>
      </c>
      <c r="O658" s="1" t="s">
        <v>31</v>
      </c>
      <c r="P658" s="2">
        <v>45778</v>
      </c>
      <c r="Q658" s="1" t="s">
        <v>1613</v>
      </c>
      <c r="R658" s="1" t="s">
        <v>1614</v>
      </c>
      <c r="S658" s="1" t="s">
        <v>34</v>
      </c>
      <c r="T658" s="1" t="s">
        <v>35</v>
      </c>
      <c r="U658" s="1" t="s">
        <v>55</v>
      </c>
      <c r="V658" s="1" t="s">
        <v>89</v>
      </c>
      <c r="W658">
        <v>2.4</v>
      </c>
      <c r="X658" s="1" t="str">
        <f t="shared" si="30"/>
        <v>sebastian.lopez198@mail.com</v>
      </c>
      <c r="Y658" s="1" t="str">
        <f>INDEX(V:V,MATCH(orders_desnormalizado_prueba3[[#This Row],[acquisition_channel]],U:U,0))</f>
        <v>Bodega Propia CO - envio 2-3 dias</v>
      </c>
      <c r="Z658" s="1" t="str">
        <f>INDEX(T:T,MATCH(orders_desnormalizado_prueba3[[#This Row],[shipping_cost]],W:W,0))</f>
        <v>Colombia</v>
      </c>
      <c r="AA658" s="1" t="str">
        <f t="shared" si="31"/>
        <v>Cartagena</v>
      </c>
      <c r="AB658" s="1"/>
      <c r="AC658" s="1" t="str">
        <f t="shared" si="32"/>
        <v xml:space="preserve"> </v>
      </c>
    </row>
    <row r="659" spans="1:29" x14ac:dyDescent="0.3">
      <c r="A659" s="1" t="s">
        <v>1615</v>
      </c>
      <c r="B659">
        <v>2</v>
      </c>
      <c r="C659">
        <v>16.989999999999998</v>
      </c>
      <c r="D659">
        <v>29.42</v>
      </c>
      <c r="E659" s="1" t="s">
        <v>946</v>
      </c>
      <c r="F659" s="1" t="s">
        <v>40</v>
      </c>
      <c r="G659">
        <v>17</v>
      </c>
      <c r="H659" s="1" t="s">
        <v>96</v>
      </c>
      <c r="I659" s="1" t="s">
        <v>59</v>
      </c>
      <c r="J659">
        <v>5</v>
      </c>
      <c r="K659">
        <v>16.989999999999998</v>
      </c>
      <c r="L659" s="1" t="s">
        <v>60</v>
      </c>
      <c r="M659" s="1" t="s">
        <v>61</v>
      </c>
      <c r="N659" s="1" t="s">
        <v>62</v>
      </c>
      <c r="O659" s="1" t="s">
        <v>31</v>
      </c>
      <c r="P659" s="2">
        <v>45726</v>
      </c>
      <c r="Q659" s="1" t="s">
        <v>1616</v>
      </c>
      <c r="R659" s="1" t="s">
        <v>1617</v>
      </c>
      <c r="S659" s="1" t="s">
        <v>105</v>
      </c>
      <c r="T659" s="1" t="s">
        <v>35</v>
      </c>
      <c r="U659" s="1" t="s">
        <v>82</v>
      </c>
      <c r="V659" s="1" t="s">
        <v>67</v>
      </c>
      <c r="W659">
        <v>3</v>
      </c>
      <c r="X659" s="1" t="str">
        <f t="shared" si="30"/>
        <v>julian.hernandez118@mail.com</v>
      </c>
      <c r="Y659" s="1" t="str">
        <f>INDEX(V:V,MATCH(orders_desnormalizado_prueba3[[#This Row],[acquisition_channel]],U:U,0))</f>
        <v>Bodega Propia CO - envio 2-3 dias</v>
      </c>
      <c r="Z659" s="1" t="str">
        <f>INDEX(T:T,MATCH(orders_desnormalizado_prueba3[[#This Row],[shipping_cost]],W:W,0))</f>
        <v>Colombia</v>
      </c>
      <c r="AA659" s="1" t="str">
        <f t="shared" si="31"/>
        <v>Barranquilla</v>
      </c>
      <c r="AB659" s="1"/>
      <c r="AC659" s="1" t="str">
        <f t="shared" si="32"/>
        <v xml:space="preserve"> </v>
      </c>
    </row>
    <row r="660" spans="1:29" x14ac:dyDescent="0.3">
      <c r="A660" s="1" t="s">
        <v>1618</v>
      </c>
      <c r="B660">
        <v>1</v>
      </c>
      <c r="C660">
        <v>30.99</v>
      </c>
      <c r="D660">
        <v>30.99</v>
      </c>
      <c r="E660" s="1" t="s">
        <v>1556</v>
      </c>
      <c r="F660" s="1" t="s">
        <v>51</v>
      </c>
      <c r="G660">
        <v>0</v>
      </c>
      <c r="H660" s="1" t="s">
        <v>96</v>
      </c>
      <c r="I660" s="1" t="s">
        <v>42</v>
      </c>
      <c r="J660">
        <v>10.5</v>
      </c>
      <c r="K660">
        <v>30.99</v>
      </c>
      <c r="L660" s="1" t="s">
        <v>28</v>
      </c>
      <c r="M660" s="1" t="s">
        <v>43</v>
      </c>
      <c r="N660" s="1" t="s">
        <v>44</v>
      </c>
      <c r="O660" s="1" t="s">
        <v>31</v>
      </c>
      <c r="P660" s="2">
        <v>45823</v>
      </c>
      <c r="Q660" s="1" t="s">
        <v>836</v>
      </c>
      <c r="R660" s="1" t="s">
        <v>837</v>
      </c>
      <c r="S660" s="1" t="s">
        <v>105</v>
      </c>
      <c r="T660" s="1" t="s">
        <v>35</v>
      </c>
      <c r="U660" s="1" t="s">
        <v>55</v>
      </c>
      <c r="V660" s="1" t="s">
        <v>37</v>
      </c>
      <c r="W660">
        <v>2</v>
      </c>
      <c r="X660" s="1" t="str">
        <f t="shared" si="30"/>
        <v>esteban.martinez139@mail.com</v>
      </c>
      <c r="Y660" s="1" t="str">
        <f>INDEX(V:V,MATCH(orders_desnormalizado_prueba3[[#This Row],[acquisition_channel]],U:U,0))</f>
        <v>Bodega Propia CO - envio 2-3 dias</v>
      </c>
      <c r="Z660" s="1" t="str">
        <f>INDEX(T:T,MATCH(orders_desnormalizado_prueba3[[#This Row],[shipping_cost]],W:W,0))</f>
        <v>Colombia</v>
      </c>
      <c r="AA660" s="1" t="str">
        <f t="shared" si="31"/>
        <v>Cartagena</v>
      </c>
      <c r="AB660" s="1"/>
      <c r="AC660" s="1" t="str">
        <f t="shared" si="32"/>
        <v xml:space="preserve"> </v>
      </c>
    </row>
    <row r="661" spans="1:29" x14ac:dyDescent="0.3">
      <c r="A661" s="1" t="s">
        <v>1619</v>
      </c>
      <c r="B661">
        <v>2</v>
      </c>
      <c r="C661">
        <v>34.99</v>
      </c>
      <c r="D661">
        <v>60.76</v>
      </c>
      <c r="E661" s="1" t="s">
        <v>731</v>
      </c>
      <c r="F661" s="1" t="s">
        <v>51</v>
      </c>
      <c r="G661">
        <v>0</v>
      </c>
      <c r="H661" s="1" t="s">
        <v>41</v>
      </c>
      <c r="I661" s="1" t="s">
        <v>85</v>
      </c>
      <c r="J661">
        <v>12.5</v>
      </c>
      <c r="K661">
        <v>34.99</v>
      </c>
      <c r="L661" s="1" t="s">
        <v>60</v>
      </c>
      <c r="M661" s="1" t="s">
        <v>29</v>
      </c>
      <c r="N661" s="1" t="s">
        <v>30</v>
      </c>
      <c r="O661" s="1" t="s">
        <v>31</v>
      </c>
      <c r="P661" s="2">
        <v>45778</v>
      </c>
      <c r="Q661" s="1" t="s">
        <v>1620</v>
      </c>
      <c r="R661" s="1" t="s">
        <v>1621</v>
      </c>
      <c r="S661" s="1" t="s">
        <v>88</v>
      </c>
      <c r="T661" s="1" t="s">
        <v>35</v>
      </c>
      <c r="U661" s="1" t="s">
        <v>82</v>
      </c>
      <c r="V661" s="1" t="s">
        <v>89</v>
      </c>
      <c r="W661">
        <v>2.4</v>
      </c>
      <c r="X661" s="1" t="str">
        <f t="shared" si="30"/>
        <v>catalina.diaz162@mail.com</v>
      </c>
      <c r="Y661" s="1" t="str">
        <f>INDEX(V:V,MATCH(orders_desnormalizado_prueba3[[#This Row],[acquisition_channel]],U:U,0))</f>
        <v>Bodega Propia CO - envio 2-3 dias</v>
      </c>
      <c r="Z661" s="1" t="str">
        <f>INDEX(T:T,MATCH(orders_desnormalizado_prueba3[[#This Row],[shipping_cost]],W:W,0))</f>
        <v>Colombia</v>
      </c>
      <c r="AA661" s="1" t="str">
        <f t="shared" si="31"/>
        <v>Cartagena</v>
      </c>
      <c r="AB661" s="1"/>
      <c r="AC661" s="1" t="str">
        <f t="shared" si="32"/>
        <v xml:space="preserve"> </v>
      </c>
    </row>
    <row r="662" spans="1:29" x14ac:dyDescent="0.3">
      <c r="A662" s="1" t="s">
        <v>1622</v>
      </c>
      <c r="B662">
        <v>1</v>
      </c>
      <c r="C662">
        <v>21.99</v>
      </c>
      <c r="D662">
        <v>21.99</v>
      </c>
      <c r="E662" s="1" t="s">
        <v>771</v>
      </c>
      <c r="F662" s="1" t="s">
        <v>25</v>
      </c>
      <c r="G662">
        <v>2</v>
      </c>
      <c r="H662" s="1" t="s">
        <v>41</v>
      </c>
      <c r="I662" s="1" t="s">
        <v>27</v>
      </c>
      <c r="J662">
        <v>7</v>
      </c>
      <c r="K662">
        <v>21.99</v>
      </c>
      <c r="L662" s="1" t="s">
        <v>28</v>
      </c>
      <c r="M662" s="1" t="s">
        <v>29</v>
      </c>
      <c r="N662" s="1" t="s">
        <v>30</v>
      </c>
      <c r="O662" s="1" t="s">
        <v>31</v>
      </c>
      <c r="P662" s="2">
        <v>45778</v>
      </c>
      <c r="Q662" s="1" t="s">
        <v>990</v>
      </c>
      <c r="R662" s="1" t="s">
        <v>1623</v>
      </c>
      <c r="S662" s="1" t="s">
        <v>54</v>
      </c>
      <c r="T662" s="1" t="s">
        <v>35</v>
      </c>
      <c r="U662" s="1" t="s">
        <v>48</v>
      </c>
      <c r="V662" s="1" t="s">
        <v>37</v>
      </c>
      <c r="W662">
        <v>2</v>
      </c>
      <c r="X662" s="1" t="str">
        <f t="shared" si="30"/>
        <v>fernanda.diaz94@mail.com</v>
      </c>
      <c r="Y662" s="1" t="str">
        <f>INDEX(V:V,MATCH(orders_desnormalizado_prueba3[[#This Row],[acquisition_channel]],U:U,0))</f>
        <v>Bodega Propia CO - envio 2-3 dias</v>
      </c>
      <c r="Z662" s="1" t="str">
        <f>INDEX(T:T,MATCH(orders_desnormalizado_prueba3[[#This Row],[shipping_cost]],W:W,0))</f>
        <v>Colombia</v>
      </c>
      <c r="AA662" s="1" t="str">
        <f t="shared" si="31"/>
        <v>Medellin</v>
      </c>
      <c r="AB662" s="1"/>
      <c r="AC662" s="1" t="str">
        <f t="shared" si="32"/>
        <v xml:space="preserve"> </v>
      </c>
    </row>
    <row r="663" spans="1:29" x14ac:dyDescent="0.3">
      <c r="A663" s="1" t="s">
        <v>1624</v>
      </c>
      <c r="B663">
        <v>2</v>
      </c>
      <c r="C663">
        <v>18.989999999999998</v>
      </c>
      <c r="D663">
        <v>32.86</v>
      </c>
      <c r="E663" s="1" t="s">
        <v>1111</v>
      </c>
      <c r="F663" s="1" t="s">
        <v>40</v>
      </c>
      <c r="G663">
        <v>16</v>
      </c>
      <c r="H663" s="1" t="s">
        <v>96</v>
      </c>
      <c r="I663" s="1" t="s">
        <v>97</v>
      </c>
      <c r="J663">
        <v>6</v>
      </c>
      <c r="K663">
        <v>18.989999999999998</v>
      </c>
      <c r="L663" s="1" t="s">
        <v>60</v>
      </c>
      <c r="M663" s="1" t="s">
        <v>43</v>
      </c>
      <c r="N663" s="1" t="s">
        <v>44</v>
      </c>
      <c r="O663" s="1" t="s">
        <v>31</v>
      </c>
      <c r="P663" s="2">
        <v>45823</v>
      </c>
      <c r="Q663" s="1" t="s">
        <v>147</v>
      </c>
      <c r="R663" s="1" t="s">
        <v>757</v>
      </c>
      <c r="S663" s="1" t="s">
        <v>47</v>
      </c>
      <c r="T663" s="1" t="s">
        <v>35</v>
      </c>
      <c r="U663" s="1" t="s">
        <v>48</v>
      </c>
      <c r="V663" s="1" t="s">
        <v>100</v>
      </c>
      <c r="W663">
        <v>3.2</v>
      </c>
      <c r="X663" s="1" t="str">
        <f t="shared" si="30"/>
        <v>natalia.castro19@mail.com</v>
      </c>
      <c r="Y663" s="1" t="str">
        <f>INDEX(V:V,MATCH(orders_desnormalizado_prueba3[[#This Row],[acquisition_channel]],U:U,0))</f>
        <v>Bodega Propia CO - envio 2-3 dias</v>
      </c>
      <c r="Z663" s="1" t="str">
        <f>INDEX(T:T,MATCH(orders_desnormalizado_prueba3[[#This Row],[shipping_cost]],W:W,0))</f>
        <v>Colombia</v>
      </c>
      <c r="AA663" s="1" t="str">
        <f t="shared" si="31"/>
        <v>Bogota</v>
      </c>
      <c r="AB663" s="1"/>
      <c r="AC663" s="1" t="str">
        <f t="shared" si="32"/>
        <v xml:space="preserve"> </v>
      </c>
    </row>
    <row r="664" spans="1:29" x14ac:dyDescent="0.3">
      <c r="A664" s="1" t="s">
        <v>1625</v>
      </c>
      <c r="B664">
        <v>3</v>
      </c>
      <c r="C664">
        <v>27.99</v>
      </c>
      <c r="D664">
        <v>66.989999999999995</v>
      </c>
      <c r="E664" s="1" t="s">
        <v>1626</v>
      </c>
      <c r="F664" s="1" t="s">
        <v>188</v>
      </c>
      <c r="G664">
        <v>0</v>
      </c>
      <c r="H664" s="1" t="s">
        <v>58</v>
      </c>
      <c r="I664" s="1" t="s">
        <v>75</v>
      </c>
      <c r="J664">
        <v>9</v>
      </c>
      <c r="K664">
        <v>27.99</v>
      </c>
      <c r="L664" s="1" t="s">
        <v>28</v>
      </c>
      <c r="M664" s="1" t="s">
        <v>61</v>
      </c>
      <c r="N664" s="1" t="s">
        <v>62</v>
      </c>
      <c r="O664" s="1" t="s">
        <v>31</v>
      </c>
      <c r="P664" s="2">
        <v>45726</v>
      </c>
      <c r="Q664" s="1" t="s">
        <v>1616</v>
      </c>
      <c r="R664" s="1" t="s">
        <v>1617</v>
      </c>
      <c r="S664" s="1" t="s">
        <v>105</v>
      </c>
      <c r="T664" s="1" t="s">
        <v>35</v>
      </c>
      <c r="U664" s="1" t="s">
        <v>82</v>
      </c>
      <c r="V664" s="1" t="s">
        <v>37</v>
      </c>
      <c r="W664">
        <v>2</v>
      </c>
      <c r="X664" s="1" t="str">
        <f t="shared" si="30"/>
        <v>julian.hernandez118@mail.com</v>
      </c>
      <c r="Y664" s="1" t="str">
        <f>INDEX(V:V,MATCH(orders_desnormalizado_prueba3[[#This Row],[acquisition_channel]],U:U,0))</f>
        <v>Bodega Propia CO - envio 2-3 dias</v>
      </c>
      <c r="Z664" s="1" t="str">
        <f>INDEX(T:T,MATCH(orders_desnormalizado_prueba3[[#This Row],[shipping_cost]],W:W,0))</f>
        <v>Colombia</v>
      </c>
      <c r="AA664" s="1" t="str">
        <f t="shared" si="31"/>
        <v>Cartagena</v>
      </c>
      <c r="AB664" s="1"/>
      <c r="AC664" s="1" t="str">
        <f t="shared" si="32"/>
        <v xml:space="preserve"> </v>
      </c>
    </row>
    <row r="665" spans="1:29" x14ac:dyDescent="0.3">
      <c r="A665" s="1" t="s">
        <v>1627</v>
      </c>
      <c r="B665">
        <v>3</v>
      </c>
      <c r="C665">
        <v>30.99</v>
      </c>
      <c r="D665">
        <v>74.650000000000006</v>
      </c>
      <c r="E665" s="1" t="s">
        <v>1628</v>
      </c>
      <c r="F665" s="1" t="s">
        <v>40</v>
      </c>
      <c r="G665">
        <v>3</v>
      </c>
      <c r="H665" s="1" t="s">
        <v>26</v>
      </c>
      <c r="I665" s="1" t="s">
        <v>42</v>
      </c>
      <c r="J665">
        <v>10.5</v>
      </c>
      <c r="K665">
        <v>30.99</v>
      </c>
      <c r="L665" s="1" t="s">
        <v>28</v>
      </c>
      <c r="M665" s="1" t="s">
        <v>43</v>
      </c>
      <c r="N665" s="1" t="s">
        <v>44</v>
      </c>
      <c r="O665" s="1" t="s">
        <v>31</v>
      </c>
      <c r="P665" s="2">
        <v>45823</v>
      </c>
      <c r="Q665" s="1" t="s">
        <v>1237</v>
      </c>
      <c r="R665" s="1" t="s">
        <v>1238</v>
      </c>
      <c r="S665" s="1" t="s">
        <v>65</v>
      </c>
      <c r="T665" s="1" t="s">
        <v>35</v>
      </c>
      <c r="U665" s="1" t="s">
        <v>66</v>
      </c>
      <c r="V665" s="1" t="s">
        <v>37</v>
      </c>
      <c r="W665">
        <v>2</v>
      </c>
      <c r="X665" s="1" t="str">
        <f t="shared" si="30"/>
        <v>ricardo.moreno46@mail.com</v>
      </c>
      <c r="Y665" s="1" t="str">
        <f>INDEX(V:V,MATCH(orders_desnormalizado_prueba3[[#This Row],[acquisition_channel]],U:U,0))</f>
        <v>AliDropship CN - envio 15-20 dias</v>
      </c>
      <c r="Z665" s="1" t="str">
        <f>INDEX(T:T,MATCH(orders_desnormalizado_prueba3[[#This Row],[shipping_cost]],W:W,0))</f>
        <v>Colombia</v>
      </c>
      <c r="AA665" s="1" t="str">
        <f t="shared" si="31"/>
        <v>Barranquilla</v>
      </c>
      <c r="AB665" s="1"/>
      <c r="AC665" s="1" t="str">
        <f t="shared" si="32"/>
        <v xml:space="preserve"> </v>
      </c>
    </row>
    <row r="666" spans="1:29" x14ac:dyDescent="0.3">
      <c r="A666" s="1" t="s">
        <v>1629</v>
      </c>
      <c r="B666">
        <v>1</v>
      </c>
      <c r="C666">
        <v>16.989999999999998</v>
      </c>
      <c r="D666">
        <v>16.989999999999998</v>
      </c>
      <c r="E666" s="1" t="s">
        <v>244</v>
      </c>
      <c r="F666" s="1" t="s">
        <v>51</v>
      </c>
      <c r="G666">
        <v>0</v>
      </c>
      <c r="H666" s="1" t="s">
        <v>26</v>
      </c>
      <c r="I666" s="1" t="s">
        <v>59</v>
      </c>
      <c r="J666">
        <v>5</v>
      </c>
      <c r="K666">
        <v>16.989999999999998</v>
      </c>
      <c r="L666" s="1" t="s">
        <v>60</v>
      </c>
      <c r="M666" s="1" t="s">
        <v>61</v>
      </c>
      <c r="N666" s="1" t="s">
        <v>62</v>
      </c>
      <c r="O666" s="1" t="s">
        <v>31</v>
      </c>
      <c r="P666" s="2">
        <v>45726</v>
      </c>
      <c r="Q666" s="1" t="s">
        <v>1385</v>
      </c>
      <c r="R666" s="1" t="s">
        <v>1630</v>
      </c>
      <c r="S666" s="1" t="s">
        <v>65</v>
      </c>
      <c r="T666" s="1" t="s">
        <v>35</v>
      </c>
      <c r="U666" s="1" t="s">
        <v>55</v>
      </c>
      <c r="V666" s="1" t="s">
        <v>67</v>
      </c>
      <c r="W666">
        <v>3</v>
      </c>
      <c r="X666" s="1" t="str">
        <f t="shared" si="30"/>
        <v>catalina.torres188@mail.com</v>
      </c>
      <c r="Y666" s="1" t="str">
        <f>INDEX(V:V,MATCH(orders_desnormalizado_prueba3[[#This Row],[acquisition_channel]],U:U,0))</f>
        <v>Bodega Propia CO - envio 2-3 dias</v>
      </c>
      <c r="Z666" s="1" t="str">
        <f>INDEX(T:T,MATCH(orders_desnormalizado_prueba3[[#This Row],[shipping_cost]],W:W,0))</f>
        <v>Colombia</v>
      </c>
      <c r="AA666" s="1" t="str">
        <f t="shared" si="31"/>
        <v>Cartagena</v>
      </c>
      <c r="AB666" s="1"/>
      <c r="AC666" s="1" t="str">
        <f t="shared" si="32"/>
        <v xml:space="preserve"> </v>
      </c>
    </row>
    <row r="667" spans="1:29" x14ac:dyDescent="0.3">
      <c r="A667" s="1" t="s">
        <v>1631</v>
      </c>
      <c r="B667">
        <v>1</v>
      </c>
      <c r="C667">
        <v>18.989999999999998</v>
      </c>
      <c r="D667">
        <v>18.989999999999998</v>
      </c>
      <c r="E667" s="1" t="s">
        <v>325</v>
      </c>
      <c r="F667" s="1" t="s">
        <v>51</v>
      </c>
      <c r="G667">
        <v>0</v>
      </c>
      <c r="H667" s="1" t="s">
        <v>26</v>
      </c>
      <c r="I667" s="1" t="s">
        <v>97</v>
      </c>
      <c r="J667">
        <v>6</v>
      </c>
      <c r="K667">
        <v>18.989999999999998</v>
      </c>
      <c r="L667" s="1" t="s">
        <v>60</v>
      </c>
      <c r="M667" s="1" t="s">
        <v>43</v>
      </c>
      <c r="N667" s="1" t="s">
        <v>44</v>
      </c>
      <c r="O667" s="1" t="s">
        <v>31</v>
      </c>
      <c r="P667" s="2">
        <v>45823</v>
      </c>
      <c r="Q667" s="1" t="s">
        <v>1401</v>
      </c>
      <c r="R667" s="1" t="s">
        <v>1632</v>
      </c>
      <c r="S667" s="1" t="s">
        <v>88</v>
      </c>
      <c r="T667" s="1" t="s">
        <v>35</v>
      </c>
      <c r="U667" s="1" t="s">
        <v>36</v>
      </c>
      <c r="V667" s="1" t="s">
        <v>100</v>
      </c>
      <c r="W667">
        <v>3.2</v>
      </c>
      <c r="X667" s="1" t="str">
        <f t="shared" si="30"/>
        <v>nicolas.ramirez77@mail.com</v>
      </c>
      <c r="Y667" s="1" t="str">
        <f>INDEX(V:V,MATCH(orders_desnormalizado_prueba3[[#This Row],[acquisition_channel]],U:U,0))</f>
        <v>Bodega Propia CO - envio 2-3 dias</v>
      </c>
      <c r="Z667" s="1" t="str">
        <f>INDEX(T:T,MATCH(orders_desnormalizado_prueba3[[#This Row],[shipping_cost]],W:W,0))</f>
        <v>Colombia</v>
      </c>
      <c r="AA667" s="1" t="str">
        <f t="shared" si="31"/>
        <v>Cartagena</v>
      </c>
      <c r="AB667" s="1"/>
      <c r="AC667" s="1" t="str">
        <f t="shared" si="32"/>
        <v xml:space="preserve"> </v>
      </c>
    </row>
    <row r="668" spans="1:29" x14ac:dyDescent="0.3">
      <c r="A668" s="1" t="s">
        <v>1633</v>
      </c>
      <c r="B668">
        <v>1</v>
      </c>
      <c r="C668">
        <v>34.99</v>
      </c>
      <c r="D668">
        <v>34.99</v>
      </c>
      <c r="E668" s="1" t="s">
        <v>1634</v>
      </c>
      <c r="F668" s="1" t="s">
        <v>188</v>
      </c>
      <c r="G668">
        <v>0</v>
      </c>
      <c r="H668" s="1" t="s">
        <v>41</v>
      </c>
      <c r="I668" s="1" t="s">
        <v>85</v>
      </c>
      <c r="J668">
        <v>12.5</v>
      </c>
      <c r="K668">
        <v>34.99</v>
      </c>
      <c r="L668" s="1" t="s">
        <v>60</v>
      </c>
      <c r="M668" s="1" t="s">
        <v>29</v>
      </c>
      <c r="N668" s="1" t="s">
        <v>30</v>
      </c>
      <c r="O668" s="1" t="s">
        <v>31</v>
      </c>
      <c r="P668" s="2">
        <v>45778</v>
      </c>
      <c r="Q668" s="1" t="s">
        <v>1533</v>
      </c>
      <c r="R668" s="1" t="s">
        <v>1635</v>
      </c>
      <c r="S668" s="1" t="s">
        <v>105</v>
      </c>
      <c r="T668" s="1" t="s">
        <v>35</v>
      </c>
      <c r="U668" s="1" t="s">
        <v>36</v>
      </c>
      <c r="V668" s="1" t="s">
        <v>89</v>
      </c>
      <c r="W668">
        <v>2.4</v>
      </c>
      <c r="X668" s="1" t="str">
        <f t="shared" si="30"/>
        <v>laura.lopez49@mail.com</v>
      </c>
      <c r="Y668" s="1" t="str">
        <f>INDEX(V:V,MATCH(orders_desnormalizado_prueba3[[#This Row],[acquisition_channel]],U:U,0))</f>
        <v>Bodega Propia CO - envio 2-3 dias</v>
      </c>
      <c r="Z668" s="1" t="str">
        <f>INDEX(T:T,MATCH(orders_desnormalizado_prueba3[[#This Row],[shipping_cost]],W:W,0))</f>
        <v>Colombia</v>
      </c>
      <c r="AA668" s="1" t="str">
        <f t="shared" si="31"/>
        <v>Cartagena</v>
      </c>
      <c r="AB668" s="1"/>
      <c r="AC668" s="1" t="str">
        <f t="shared" si="32"/>
        <v xml:space="preserve"> </v>
      </c>
    </row>
    <row r="669" spans="1:29" x14ac:dyDescent="0.3">
      <c r="A669" s="1" t="s">
        <v>1636</v>
      </c>
      <c r="B669">
        <v>1</v>
      </c>
      <c r="C669">
        <v>27.99</v>
      </c>
      <c r="D669">
        <v>27.99</v>
      </c>
      <c r="E669" s="1" t="s">
        <v>69</v>
      </c>
      <c r="F669" s="1" t="s">
        <v>40</v>
      </c>
      <c r="G669">
        <v>2</v>
      </c>
      <c r="H669" s="1" t="s">
        <v>26</v>
      </c>
      <c r="I669" s="1" t="s">
        <v>75</v>
      </c>
      <c r="J669">
        <v>9</v>
      </c>
      <c r="K669">
        <v>27.99</v>
      </c>
      <c r="L669" s="1" t="s">
        <v>28</v>
      </c>
      <c r="M669" s="1" t="s">
        <v>61</v>
      </c>
      <c r="N669" s="1" t="s">
        <v>62</v>
      </c>
      <c r="O669" s="1" t="s">
        <v>31</v>
      </c>
      <c r="P669" s="2">
        <v>45726</v>
      </c>
      <c r="Q669" s="1" t="s">
        <v>1497</v>
      </c>
      <c r="R669" s="1" t="s">
        <v>1498</v>
      </c>
      <c r="S669" s="1" t="s">
        <v>34</v>
      </c>
      <c r="T669" s="1" t="s">
        <v>35</v>
      </c>
      <c r="U669" s="1" t="s">
        <v>55</v>
      </c>
      <c r="V669" s="1" t="s">
        <v>37</v>
      </c>
      <c r="W669">
        <v>2</v>
      </c>
      <c r="X669" s="1" t="str">
        <f t="shared" si="30"/>
        <v>felipe.ortiz13@mail.com</v>
      </c>
      <c r="Y669" s="1" t="str">
        <f>INDEX(V:V,MATCH(orders_desnormalizado_prueba3[[#This Row],[acquisition_channel]],U:U,0))</f>
        <v>Bodega Propia CO - envio 2-3 dias</v>
      </c>
      <c r="Z669" s="1" t="str">
        <f>INDEX(T:T,MATCH(orders_desnormalizado_prueba3[[#This Row],[shipping_cost]],W:W,0))</f>
        <v>Colombia</v>
      </c>
      <c r="AA669" s="1" t="str">
        <f t="shared" si="31"/>
        <v>Medellin</v>
      </c>
      <c r="AB669" s="1"/>
      <c r="AC669" s="1" t="str">
        <f t="shared" si="32"/>
        <v xml:space="preserve"> </v>
      </c>
    </row>
    <row r="670" spans="1:29" x14ac:dyDescent="0.3">
      <c r="A670" s="1" t="s">
        <v>1637</v>
      </c>
      <c r="B670">
        <v>1</v>
      </c>
      <c r="C670">
        <v>34.99</v>
      </c>
      <c r="D670">
        <v>34.99</v>
      </c>
      <c r="E670" s="1" t="s">
        <v>1638</v>
      </c>
      <c r="F670" s="1" t="s">
        <v>188</v>
      </c>
      <c r="G670">
        <v>0</v>
      </c>
      <c r="H670" s="1" t="s">
        <v>26</v>
      </c>
      <c r="I670" s="1" t="s">
        <v>85</v>
      </c>
      <c r="J670">
        <v>12.5</v>
      </c>
      <c r="K670">
        <v>34.99</v>
      </c>
      <c r="L670" s="1" t="s">
        <v>60</v>
      </c>
      <c r="M670" s="1" t="s">
        <v>29</v>
      </c>
      <c r="N670" s="1" t="s">
        <v>30</v>
      </c>
      <c r="O670" s="1" t="s">
        <v>31</v>
      </c>
      <c r="P670" s="2">
        <v>45778</v>
      </c>
      <c r="Q670" s="1" t="s">
        <v>1639</v>
      </c>
      <c r="R670" s="1" t="s">
        <v>1640</v>
      </c>
      <c r="S670" s="1" t="s">
        <v>105</v>
      </c>
      <c r="T670" s="1" t="s">
        <v>35</v>
      </c>
      <c r="U670" s="1" t="s">
        <v>36</v>
      </c>
      <c r="V670" s="1" t="s">
        <v>89</v>
      </c>
      <c r="W670">
        <v>2.4</v>
      </c>
      <c r="X670" s="1" t="str">
        <f t="shared" si="30"/>
        <v>miguel.perez86@mail.com</v>
      </c>
      <c r="Y670" s="1" t="str">
        <f>INDEX(V:V,MATCH(orders_desnormalizado_prueba3[[#This Row],[acquisition_channel]],U:U,0))</f>
        <v>Bodega Propia CO - envio 2-3 dias</v>
      </c>
      <c r="Z670" s="1" t="str">
        <f>INDEX(T:T,MATCH(orders_desnormalizado_prueba3[[#This Row],[shipping_cost]],W:W,0))</f>
        <v>Colombia</v>
      </c>
      <c r="AA670" s="1" t="str">
        <f t="shared" si="31"/>
        <v>Cartagena</v>
      </c>
      <c r="AB670" s="1"/>
      <c r="AC670" s="1" t="str">
        <f t="shared" si="32"/>
        <v xml:space="preserve"> </v>
      </c>
    </row>
    <row r="671" spans="1:29" x14ac:dyDescent="0.3">
      <c r="A671" s="1" t="s">
        <v>1641</v>
      </c>
      <c r="B671">
        <v>3</v>
      </c>
      <c r="C671">
        <v>18.989999999999998</v>
      </c>
      <c r="D671">
        <v>44.9</v>
      </c>
      <c r="E671" s="1" t="s">
        <v>1153</v>
      </c>
      <c r="F671" s="1" t="s">
        <v>188</v>
      </c>
      <c r="G671">
        <v>0</v>
      </c>
      <c r="H671" s="1" t="s">
        <v>41</v>
      </c>
      <c r="I671" s="1" t="s">
        <v>97</v>
      </c>
      <c r="J671">
        <v>6</v>
      </c>
      <c r="K671">
        <v>18.989999999999998</v>
      </c>
      <c r="L671" s="1" t="s">
        <v>60</v>
      </c>
      <c r="M671" s="1" t="s">
        <v>43</v>
      </c>
      <c r="N671" s="1" t="s">
        <v>44</v>
      </c>
      <c r="O671" s="1" t="s">
        <v>31</v>
      </c>
      <c r="P671" s="2">
        <v>45823</v>
      </c>
      <c r="Q671" s="1" t="s">
        <v>1642</v>
      </c>
      <c r="R671" s="1" t="s">
        <v>1643</v>
      </c>
      <c r="S671" s="1" t="s">
        <v>88</v>
      </c>
      <c r="T671" s="1" t="s">
        <v>35</v>
      </c>
      <c r="U671" s="1" t="s">
        <v>36</v>
      </c>
      <c r="V671" s="1" t="s">
        <v>100</v>
      </c>
      <c r="W671">
        <v>3.2</v>
      </c>
      <c r="X671" s="1" t="str">
        <f t="shared" si="30"/>
        <v>diego.perez177@mail.com</v>
      </c>
      <c r="Y671" s="1" t="str">
        <f>INDEX(V:V,MATCH(orders_desnormalizado_prueba3[[#This Row],[acquisition_channel]],U:U,0))</f>
        <v>Bodega Propia CO - envio 2-3 dias</v>
      </c>
      <c r="Z671" s="1" t="str">
        <f>INDEX(T:T,MATCH(orders_desnormalizado_prueba3[[#This Row],[shipping_cost]],W:W,0))</f>
        <v>Colombia</v>
      </c>
      <c r="AA671" s="1" t="str">
        <f t="shared" si="31"/>
        <v>Cartagena</v>
      </c>
      <c r="AB671" s="1"/>
      <c r="AC671" s="1" t="str">
        <f t="shared" si="32"/>
        <v xml:space="preserve"> </v>
      </c>
    </row>
    <row r="672" spans="1:29" x14ac:dyDescent="0.3">
      <c r="A672" s="1" t="s">
        <v>1644</v>
      </c>
      <c r="B672">
        <v>1</v>
      </c>
      <c r="C672">
        <v>30.99</v>
      </c>
      <c r="D672">
        <v>30.99</v>
      </c>
      <c r="E672" s="1" t="s">
        <v>756</v>
      </c>
      <c r="F672" s="1" t="s">
        <v>51</v>
      </c>
      <c r="G672">
        <v>0</v>
      </c>
      <c r="H672" s="1" t="s">
        <v>26</v>
      </c>
      <c r="I672" s="1" t="s">
        <v>42</v>
      </c>
      <c r="J672">
        <v>10.5</v>
      </c>
      <c r="K672">
        <v>30.99</v>
      </c>
      <c r="L672" s="1" t="s">
        <v>28</v>
      </c>
      <c r="M672" s="1" t="s">
        <v>43</v>
      </c>
      <c r="N672" s="1" t="s">
        <v>44</v>
      </c>
      <c r="O672" s="1" t="s">
        <v>31</v>
      </c>
      <c r="P672" s="2">
        <v>45823</v>
      </c>
      <c r="Q672" s="1" t="s">
        <v>203</v>
      </c>
      <c r="R672" s="1" t="s">
        <v>876</v>
      </c>
      <c r="S672" s="1" t="s">
        <v>54</v>
      </c>
      <c r="T672" s="1" t="s">
        <v>35</v>
      </c>
      <c r="U672" s="1" t="s">
        <v>82</v>
      </c>
      <c r="V672" s="1" t="s">
        <v>37</v>
      </c>
      <c r="W672">
        <v>2</v>
      </c>
      <c r="X672" s="1" t="str">
        <f t="shared" si="30"/>
        <v>daniela.martinez158@mail.com</v>
      </c>
      <c r="Y672" s="1" t="str">
        <f>INDEX(V:V,MATCH(orders_desnormalizado_prueba3[[#This Row],[acquisition_channel]],U:U,0))</f>
        <v>Bodega Propia CO - envio 2-3 dias</v>
      </c>
      <c r="Z672" s="1" t="str">
        <f>INDEX(T:T,MATCH(orders_desnormalizado_prueba3[[#This Row],[shipping_cost]],W:W,0))</f>
        <v>Colombia</v>
      </c>
      <c r="AA672" s="1" t="str">
        <f t="shared" si="31"/>
        <v>Cartagena</v>
      </c>
      <c r="AB672" s="1"/>
      <c r="AC672" s="1" t="str">
        <f t="shared" si="32"/>
        <v xml:space="preserve"> </v>
      </c>
    </row>
    <row r="673" spans="1:29" x14ac:dyDescent="0.3">
      <c r="A673" s="1" t="s">
        <v>1645</v>
      </c>
      <c r="B673">
        <v>2</v>
      </c>
      <c r="C673">
        <v>21.99</v>
      </c>
      <c r="D673">
        <v>37.69</v>
      </c>
      <c r="E673" s="1" t="s">
        <v>995</v>
      </c>
      <c r="F673" s="1" t="s">
        <v>51</v>
      </c>
      <c r="G673">
        <v>0</v>
      </c>
      <c r="H673" s="1" t="s">
        <v>58</v>
      </c>
      <c r="I673" s="1" t="s">
        <v>27</v>
      </c>
      <c r="J673">
        <v>7</v>
      </c>
      <c r="K673">
        <v>21.99</v>
      </c>
      <c r="L673" s="1" t="s">
        <v>28</v>
      </c>
      <c r="M673" s="1" t="s">
        <v>29</v>
      </c>
      <c r="N673" s="1" t="s">
        <v>30</v>
      </c>
      <c r="O673" s="1" t="s">
        <v>31</v>
      </c>
      <c r="P673" s="2">
        <v>45778</v>
      </c>
      <c r="Q673" s="1" t="s">
        <v>234</v>
      </c>
      <c r="R673" s="1" t="s">
        <v>1646</v>
      </c>
      <c r="S673" s="1" t="s">
        <v>54</v>
      </c>
      <c r="T673" s="1" t="s">
        <v>35</v>
      </c>
      <c r="U673" s="1" t="s">
        <v>36</v>
      </c>
      <c r="V673" s="1" t="s">
        <v>37</v>
      </c>
      <c r="W673">
        <v>2</v>
      </c>
      <c r="X673" s="1" t="str">
        <f t="shared" si="30"/>
        <v>david.sanchez5@mail.com</v>
      </c>
      <c r="Y673" s="1" t="str">
        <f>INDEX(V:V,MATCH(orders_desnormalizado_prueba3[[#This Row],[acquisition_channel]],U:U,0))</f>
        <v>Bodega Propia CO - envio 2-3 dias</v>
      </c>
      <c r="Z673" s="1" t="str">
        <f>INDEX(T:T,MATCH(orders_desnormalizado_prueba3[[#This Row],[shipping_cost]],W:W,0))</f>
        <v>Colombia</v>
      </c>
      <c r="AA673" s="1" t="str">
        <f t="shared" si="31"/>
        <v>Cartagena</v>
      </c>
      <c r="AB673" s="1"/>
      <c r="AC673" s="1" t="str">
        <f t="shared" si="32"/>
        <v xml:space="preserve"> </v>
      </c>
    </row>
    <row r="674" spans="1:29" x14ac:dyDescent="0.3">
      <c r="A674" s="1" t="s">
        <v>1647</v>
      </c>
      <c r="B674">
        <v>1</v>
      </c>
      <c r="C674">
        <v>16.989999999999998</v>
      </c>
      <c r="D674">
        <v>16.989999999999998</v>
      </c>
      <c r="E674" s="1" t="s">
        <v>1648</v>
      </c>
      <c r="F674" s="1" t="s">
        <v>70</v>
      </c>
      <c r="G674">
        <v>0</v>
      </c>
      <c r="H674" s="1" t="s">
        <v>96</v>
      </c>
      <c r="I674" s="1" t="s">
        <v>59</v>
      </c>
      <c r="J674">
        <v>5</v>
      </c>
      <c r="K674">
        <v>16.989999999999998</v>
      </c>
      <c r="L674" s="1" t="s">
        <v>60</v>
      </c>
      <c r="M674" s="1" t="s">
        <v>61</v>
      </c>
      <c r="N674" s="1" t="s">
        <v>62</v>
      </c>
      <c r="O674" s="1" t="s">
        <v>31</v>
      </c>
      <c r="P674" s="2">
        <v>45726</v>
      </c>
      <c r="Q674" s="1" t="s">
        <v>1336</v>
      </c>
      <c r="R674" s="1" t="s">
        <v>1337</v>
      </c>
      <c r="S674" s="1" t="s">
        <v>105</v>
      </c>
      <c r="T674" s="1" t="s">
        <v>35</v>
      </c>
      <c r="U674" s="1" t="s">
        <v>55</v>
      </c>
      <c r="V674" s="1" t="s">
        <v>67</v>
      </c>
      <c r="W674">
        <v>3</v>
      </c>
      <c r="X674" s="1" t="str">
        <f t="shared" si="30"/>
        <v>felipe.torres155@mail.com</v>
      </c>
      <c r="Y674" s="1" t="str">
        <f>INDEX(V:V,MATCH(orders_desnormalizado_prueba3[[#This Row],[acquisition_channel]],U:U,0))</f>
        <v>Bodega Propia CO - envio 2-3 dias</v>
      </c>
      <c r="Z674" s="1" t="str">
        <f>INDEX(T:T,MATCH(orders_desnormalizado_prueba3[[#This Row],[shipping_cost]],W:W,0))</f>
        <v>Colombia</v>
      </c>
      <c r="AA674" s="1" t="str">
        <f t="shared" si="31"/>
        <v>Cartagena</v>
      </c>
      <c r="AB674" s="1"/>
      <c r="AC674" s="1" t="str">
        <f t="shared" si="32"/>
        <v xml:space="preserve"> </v>
      </c>
    </row>
    <row r="675" spans="1:29" x14ac:dyDescent="0.3">
      <c r="A675" s="1" t="s">
        <v>1649</v>
      </c>
      <c r="B675">
        <v>3</v>
      </c>
      <c r="C675">
        <v>21.99</v>
      </c>
      <c r="D675">
        <v>51.92</v>
      </c>
      <c r="E675" s="1" t="s">
        <v>923</v>
      </c>
      <c r="F675" s="1" t="s">
        <v>188</v>
      </c>
      <c r="G675">
        <v>0</v>
      </c>
      <c r="H675" s="1" t="s">
        <v>41</v>
      </c>
      <c r="I675" s="1" t="s">
        <v>27</v>
      </c>
      <c r="J675">
        <v>7</v>
      </c>
      <c r="K675">
        <v>21.99</v>
      </c>
      <c r="L675" s="1" t="s">
        <v>28</v>
      </c>
      <c r="M675" s="1" t="s">
        <v>29</v>
      </c>
      <c r="N675" s="1" t="s">
        <v>30</v>
      </c>
      <c r="O675" s="1" t="s">
        <v>31</v>
      </c>
      <c r="P675" s="2">
        <v>45778</v>
      </c>
      <c r="Q675" s="1" t="s">
        <v>496</v>
      </c>
      <c r="R675" s="1" t="s">
        <v>1650</v>
      </c>
      <c r="S675" s="1" t="s">
        <v>47</v>
      </c>
      <c r="T675" s="1" t="s">
        <v>35</v>
      </c>
      <c r="U675" s="1" t="s">
        <v>48</v>
      </c>
      <c r="V675" s="1" t="s">
        <v>37</v>
      </c>
      <c r="W675">
        <v>2</v>
      </c>
      <c r="X675" s="1" t="str">
        <f t="shared" si="30"/>
        <v>diego.vargas37@mail.com</v>
      </c>
      <c r="Y675" s="1" t="str">
        <f>INDEX(V:V,MATCH(orders_desnormalizado_prueba3[[#This Row],[acquisition_channel]],U:U,0))</f>
        <v>Bodega Propia CO - envio 2-3 dias</v>
      </c>
      <c r="Z675" s="1" t="str">
        <f>INDEX(T:T,MATCH(orders_desnormalizado_prueba3[[#This Row],[shipping_cost]],W:W,0))</f>
        <v>Colombia</v>
      </c>
      <c r="AA675" s="1" t="str">
        <f t="shared" si="31"/>
        <v>Cartagena</v>
      </c>
      <c r="AB675" s="1"/>
      <c r="AC675" s="1" t="str">
        <f t="shared" si="32"/>
        <v xml:space="preserve"> </v>
      </c>
    </row>
    <row r="676" spans="1:29" x14ac:dyDescent="0.3">
      <c r="A676" s="1" t="s">
        <v>1651</v>
      </c>
      <c r="B676">
        <v>3</v>
      </c>
      <c r="C676">
        <v>18.989999999999998</v>
      </c>
      <c r="D676">
        <v>45.8</v>
      </c>
      <c r="E676" s="1" t="s">
        <v>1652</v>
      </c>
      <c r="F676" s="1" t="s">
        <v>51</v>
      </c>
      <c r="G676">
        <v>0</v>
      </c>
      <c r="H676" s="1" t="s">
        <v>96</v>
      </c>
      <c r="I676" s="1" t="s">
        <v>97</v>
      </c>
      <c r="J676">
        <v>6</v>
      </c>
      <c r="K676">
        <v>18.989999999999998</v>
      </c>
      <c r="L676" s="1" t="s">
        <v>60</v>
      </c>
      <c r="M676" s="1" t="s">
        <v>43</v>
      </c>
      <c r="N676" s="1" t="s">
        <v>44</v>
      </c>
      <c r="O676" s="1" t="s">
        <v>31</v>
      </c>
      <c r="P676" s="2">
        <v>45823</v>
      </c>
      <c r="Q676" s="1" t="s">
        <v>1237</v>
      </c>
      <c r="R676" s="1" t="s">
        <v>1553</v>
      </c>
      <c r="S676" s="1" t="s">
        <v>88</v>
      </c>
      <c r="T676" s="1" t="s">
        <v>35</v>
      </c>
      <c r="U676" s="1" t="s">
        <v>82</v>
      </c>
      <c r="V676" s="1" t="s">
        <v>100</v>
      </c>
      <c r="W676">
        <v>3.2</v>
      </c>
      <c r="X676" s="1" t="str">
        <f t="shared" si="30"/>
        <v>ricardo.moreno46@mail.com</v>
      </c>
      <c r="Y676" s="1" t="str">
        <f>INDEX(V:V,MATCH(orders_desnormalizado_prueba3[[#This Row],[acquisition_channel]],U:U,0))</f>
        <v>Bodega Propia CO - envio 2-3 dias</v>
      </c>
      <c r="Z676" s="1" t="str">
        <f>INDEX(T:T,MATCH(orders_desnormalizado_prueba3[[#This Row],[shipping_cost]],W:W,0))</f>
        <v>Colombia</v>
      </c>
      <c r="AA676" s="1" t="str">
        <f t="shared" si="31"/>
        <v>Cartagena</v>
      </c>
      <c r="AB676" s="1"/>
      <c r="AC676" s="1" t="str">
        <f t="shared" si="32"/>
        <v xml:space="preserve"> </v>
      </c>
    </row>
    <row r="677" spans="1:29" x14ac:dyDescent="0.3">
      <c r="A677" s="1" t="s">
        <v>1653</v>
      </c>
      <c r="B677">
        <v>1</v>
      </c>
      <c r="C677">
        <v>27.99</v>
      </c>
      <c r="D677">
        <v>27.99</v>
      </c>
      <c r="E677" s="1" t="s">
        <v>1214</v>
      </c>
      <c r="F677" s="1" t="s">
        <v>40</v>
      </c>
      <c r="G677">
        <v>3</v>
      </c>
      <c r="H677" s="1" t="s">
        <v>41</v>
      </c>
      <c r="I677" s="1" t="s">
        <v>75</v>
      </c>
      <c r="J677">
        <v>9</v>
      </c>
      <c r="K677">
        <v>27.99</v>
      </c>
      <c r="L677" s="1" t="s">
        <v>28</v>
      </c>
      <c r="M677" s="1" t="s">
        <v>61</v>
      </c>
      <c r="N677" s="1" t="s">
        <v>62</v>
      </c>
      <c r="O677" s="1" t="s">
        <v>31</v>
      </c>
      <c r="P677" s="2">
        <v>45726</v>
      </c>
      <c r="Q677" s="1" t="s">
        <v>1654</v>
      </c>
      <c r="R677" s="1" t="s">
        <v>1655</v>
      </c>
      <c r="S677" s="1" t="s">
        <v>88</v>
      </c>
      <c r="T677" s="1" t="s">
        <v>35</v>
      </c>
      <c r="U677" s="1" t="s">
        <v>82</v>
      </c>
      <c r="V677" s="1" t="s">
        <v>37</v>
      </c>
      <c r="W677">
        <v>2</v>
      </c>
      <c r="X677" s="1" t="str">
        <f t="shared" si="30"/>
        <v>miguel.torres117@mail.com</v>
      </c>
      <c r="Y677" s="1" t="str">
        <f>INDEX(V:V,MATCH(orders_desnormalizado_prueba3[[#This Row],[acquisition_channel]],U:U,0))</f>
        <v>Bodega Propia CO - envio 2-3 dias</v>
      </c>
      <c r="Z677" s="1" t="str">
        <f>INDEX(T:T,MATCH(orders_desnormalizado_prueba3[[#This Row],[shipping_cost]],W:W,0))</f>
        <v>Colombia</v>
      </c>
      <c r="AA677" s="1" t="str">
        <f t="shared" si="31"/>
        <v>Barranquilla</v>
      </c>
      <c r="AB677" s="1"/>
      <c r="AC677" s="1" t="str">
        <f t="shared" si="32"/>
        <v xml:space="preserve"> </v>
      </c>
    </row>
    <row r="678" spans="1:29" x14ac:dyDescent="0.3">
      <c r="A678" s="1" t="s">
        <v>1656</v>
      </c>
      <c r="B678">
        <v>1</v>
      </c>
      <c r="C678">
        <v>18.989999999999998</v>
      </c>
      <c r="D678">
        <v>18.989999999999998</v>
      </c>
      <c r="E678" s="1" t="s">
        <v>252</v>
      </c>
      <c r="F678" s="1" t="s">
        <v>40</v>
      </c>
      <c r="G678">
        <v>13</v>
      </c>
      <c r="H678" s="1" t="s">
        <v>41</v>
      </c>
      <c r="I678" s="1" t="s">
        <v>97</v>
      </c>
      <c r="J678">
        <v>6</v>
      </c>
      <c r="K678">
        <v>18.989999999999998</v>
      </c>
      <c r="L678" s="1" t="s">
        <v>60</v>
      </c>
      <c r="M678" s="1" t="s">
        <v>43</v>
      </c>
      <c r="N678" s="1" t="s">
        <v>44</v>
      </c>
      <c r="O678" s="1" t="s">
        <v>31</v>
      </c>
      <c r="P678" s="2">
        <v>45823</v>
      </c>
      <c r="Q678" s="1" t="s">
        <v>1657</v>
      </c>
      <c r="R678" s="1" t="s">
        <v>1658</v>
      </c>
      <c r="S678" s="1" t="s">
        <v>65</v>
      </c>
      <c r="T678" s="1" t="s">
        <v>35</v>
      </c>
      <c r="U678" s="1" t="s">
        <v>36</v>
      </c>
      <c r="V678" s="1" t="s">
        <v>100</v>
      </c>
      <c r="W678">
        <v>3.2</v>
      </c>
      <c r="X678" s="1" t="str">
        <f t="shared" si="30"/>
        <v>david.moreno178@mail.com</v>
      </c>
      <c r="Y678" s="1" t="str">
        <f>INDEX(V:V,MATCH(orders_desnormalizado_prueba3[[#This Row],[acquisition_channel]],U:U,0))</f>
        <v>Bodega Propia CO - envio 2-3 dias</v>
      </c>
      <c r="Z678" s="1" t="str">
        <f>INDEX(T:T,MATCH(orders_desnormalizado_prueba3[[#This Row],[shipping_cost]],W:W,0))</f>
        <v>Colombia</v>
      </c>
      <c r="AA678" s="1" t="str">
        <f t="shared" si="31"/>
        <v>Barranquilla</v>
      </c>
      <c r="AB678" s="1"/>
      <c r="AC678" s="1" t="str">
        <f t="shared" si="32"/>
        <v xml:space="preserve"> </v>
      </c>
    </row>
    <row r="679" spans="1:29" x14ac:dyDescent="0.3">
      <c r="A679" s="1" t="s">
        <v>1659</v>
      </c>
      <c r="B679">
        <v>1</v>
      </c>
      <c r="C679">
        <v>21.99</v>
      </c>
      <c r="D679">
        <v>21.99</v>
      </c>
      <c r="E679" s="1" t="s">
        <v>1100</v>
      </c>
      <c r="F679" s="1" t="s">
        <v>51</v>
      </c>
      <c r="G679">
        <v>0</v>
      </c>
      <c r="H679" s="1" t="s">
        <v>96</v>
      </c>
      <c r="I679" s="1" t="s">
        <v>27</v>
      </c>
      <c r="J679">
        <v>7</v>
      </c>
      <c r="K679">
        <v>21.99</v>
      </c>
      <c r="L679" s="1" t="s">
        <v>28</v>
      </c>
      <c r="M679" s="1" t="s">
        <v>29</v>
      </c>
      <c r="N679" s="1" t="s">
        <v>30</v>
      </c>
      <c r="O679" s="1" t="s">
        <v>31</v>
      </c>
      <c r="P679" s="2">
        <v>45778</v>
      </c>
      <c r="Q679" s="1" t="s">
        <v>1282</v>
      </c>
      <c r="R679" s="1" t="s">
        <v>1283</v>
      </c>
      <c r="S679" s="1" t="s">
        <v>34</v>
      </c>
      <c r="T679" s="1" t="s">
        <v>35</v>
      </c>
      <c r="U679" s="1" t="s">
        <v>66</v>
      </c>
      <c r="V679" s="1" t="s">
        <v>37</v>
      </c>
      <c r="W679">
        <v>2</v>
      </c>
      <c r="X679" s="1" t="str">
        <f t="shared" si="30"/>
        <v>sebastian.jimenez110@mail.com</v>
      </c>
      <c r="Y679" s="1" t="str">
        <f>INDEX(V:V,MATCH(orders_desnormalizado_prueba3[[#This Row],[acquisition_channel]],U:U,0))</f>
        <v>AliDropship CN - envio 15-20 dias</v>
      </c>
      <c r="Z679" s="1" t="str">
        <f>INDEX(T:T,MATCH(orders_desnormalizado_prueba3[[#This Row],[shipping_cost]],W:W,0))</f>
        <v>Colombia</v>
      </c>
      <c r="AA679" s="1" t="str">
        <f t="shared" si="31"/>
        <v>Cartagena</v>
      </c>
      <c r="AB679" s="1"/>
      <c r="AC679" s="1" t="str">
        <f t="shared" si="32"/>
        <v xml:space="preserve"> </v>
      </c>
    </row>
    <row r="680" spans="1:29" x14ac:dyDescent="0.3">
      <c r="A680" s="1" t="s">
        <v>1660</v>
      </c>
      <c r="B680">
        <v>1</v>
      </c>
      <c r="C680">
        <v>34.99</v>
      </c>
      <c r="D680">
        <v>34.99</v>
      </c>
      <c r="E680" s="1" t="s">
        <v>74</v>
      </c>
      <c r="F680" s="1" t="s">
        <v>40</v>
      </c>
      <c r="G680">
        <v>8</v>
      </c>
      <c r="H680" s="1" t="s">
        <v>26</v>
      </c>
      <c r="I680" s="1" t="s">
        <v>85</v>
      </c>
      <c r="J680">
        <v>12.5</v>
      </c>
      <c r="K680">
        <v>34.99</v>
      </c>
      <c r="L680" s="1" t="s">
        <v>60</v>
      </c>
      <c r="M680" s="1" t="s">
        <v>29</v>
      </c>
      <c r="N680" s="1" t="s">
        <v>30</v>
      </c>
      <c r="O680" s="1" t="s">
        <v>31</v>
      </c>
      <c r="P680" s="2">
        <v>45778</v>
      </c>
      <c r="Q680" s="1" t="s">
        <v>358</v>
      </c>
      <c r="R680" s="1" t="s">
        <v>1391</v>
      </c>
      <c r="S680" s="1" t="s">
        <v>34</v>
      </c>
      <c r="T680" s="1" t="s">
        <v>35</v>
      </c>
      <c r="U680" s="1" t="s">
        <v>82</v>
      </c>
      <c r="V680" s="1" t="s">
        <v>89</v>
      </c>
      <c r="W680">
        <v>2.4</v>
      </c>
      <c r="X680" s="1" t="str">
        <f t="shared" si="30"/>
        <v>valentina.sanchez97@mail.com</v>
      </c>
      <c r="Y680" s="1" t="str">
        <f>INDEX(V:V,MATCH(orders_desnormalizado_prueba3[[#This Row],[acquisition_channel]],U:U,0))</f>
        <v>Bodega Propia CO - envio 2-3 dias</v>
      </c>
      <c r="Z680" s="1" t="str">
        <f>INDEX(T:T,MATCH(orders_desnormalizado_prueba3[[#This Row],[shipping_cost]],W:W,0))</f>
        <v>Colombia</v>
      </c>
      <c r="AA680" s="1" t="str">
        <f t="shared" si="31"/>
        <v>Barranquilla</v>
      </c>
      <c r="AB680" s="1"/>
      <c r="AC680" s="1" t="str">
        <f t="shared" si="32"/>
        <v xml:space="preserve"> </v>
      </c>
    </row>
    <row r="681" spans="1:29" x14ac:dyDescent="0.3">
      <c r="A681" s="1" t="s">
        <v>1661</v>
      </c>
      <c r="B681">
        <v>1</v>
      </c>
      <c r="C681">
        <v>27.99</v>
      </c>
      <c r="D681">
        <v>27.99</v>
      </c>
      <c r="E681" s="1" t="s">
        <v>1420</v>
      </c>
      <c r="F681" s="1" t="s">
        <v>70</v>
      </c>
      <c r="G681">
        <v>0</v>
      </c>
      <c r="H681" s="1" t="s">
        <v>96</v>
      </c>
      <c r="I681" s="1" t="s">
        <v>75</v>
      </c>
      <c r="J681">
        <v>9</v>
      </c>
      <c r="K681">
        <v>27.99</v>
      </c>
      <c r="L681" s="1" t="s">
        <v>28</v>
      </c>
      <c r="M681" s="1" t="s">
        <v>61</v>
      </c>
      <c r="N681" s="1" t="s">
        <v>62</v>
      </c>
      <c r="O681" s="1" t="s">
        <v>31</v>
      </c>
      <c r="P681" s="2">
        <v>45726</v>
      </c>
      <c r="Q681" s="1" t="s">
        <v>425</v>
      </c>
      <c r="R681" s="1" t="s">
        <v>1435</v>
      </c>
      <c r="S681" s="1" t="s">
        <v>54</v>
      </c>
      <c r="T681" s="1" t="s">
        <v>35</v>
      </c>
      <c r="U681" s="1" t="s">
        <v>48</v>
      </c>
      <c r="V681" s="1" t="s">
        <v>37</v>
      </c>
      <c r="W681">
        <v>2</v>
      </c>
      <c r="X681" s="1" t="str">
        <f t="shared" si="30"/>
        <v>paula.ramirez47@mail.com</v>
      </c>
      <c r="Y681" s="1" t="str">
        <f>INDEX(V:V,MATCH(orders_desnormalizado_prueba3[[#This Row],[acquisition_channel]],U:U,0))</f>
        <v>Bodega Propia CO - envio 2-3 dias</v>
      </c>
      <c r="Z681" s="1" t="str">
        <f>INDEX(T:T,MATCH(orders_desnormalizado_prueba3[[#This Row],[shipping_cost]],W:W,0))</f>
        <v>Colombia</v>
      </c>
      <c r="AA681" s="1" t="str">
        <f t="shared" si="31"/>
        <v>Cartagena</v>
      </c>
      <c r="AB681" s="1"/>
      <c r="AC681" s="1" t="str">
        <f t="shared" si="32"/>
        <v xml:space="preserve"> </v>
      </c>
    </row>
    <row r="682" spans="1:29" x14ac:dyDescent="0.3">
      <c r="A682" s="1" t="s">
        <v>1662</v>
      </c>
      <c r="B682">
        <v>2</v>
      </c>
      <c r="C682">
        <v>27.99</v>
      </c>
      <c r="D682">
        <v>47.87</v>
      </c>
      <c r="E682" s="1" t="s">
        <v>457</v>
      </c>
      <c r="F682" s="1" t="s">
        <v>40</v>
      </c>
      <c r="G682">
        <v>2</v>
      </c>
      <c r="H682" s="1" t="s">
        <v>58</v>
      </c>
      <c r="I682" s="1" t="s">
        <v>75</v>
      </c>
      <c r="J682">
        <v>9</v>
      </c>
      <c r="K682">
        <v>27.99</v>
      </c>
      <c r="L682" s="1" t="s">
        <v>28</v>
      </c>
      <c r="M682" s="1" t="s">
        <v>61</v>
      </c>
      <c r="N682" s="1" t="s">
        <v>62</v>
      </c>
      <c r="O682" s="1" t="s">
        <v>31</v>
      </c>
      <c r="P682" s="2">
        <v>45726</v>
      </c>
      <c r="Q682" s="1" t="s">
        <v>137</v>
      </c>
      <c r="R682" s="1" t="s">
        <v>1311</v>
      </c>
      <c r="S682" s="1" t="s">
        <v>47</v>
      </c>
      <c r="T682" s="1" t="s">
        <v>35</v>
      </c>
      <c r="U682" s="1" t="s">
        <v>82</v>
      </c>
      <c r="V682" s="1" t="s">
        <v>37</v>
      </c>
      <c r="W682">
        <v>2</v>
      </c>
      <c r="X682" s="1" t="str">
        <f t="shared" si="30"/>
        <v>camila.martinez65@mail.com</v>
      </c>
      <c r="Y682" s="1" t="str">
        <f>INDEX(V:V,MATCH(orders_desnormalizado_prueba3[[#This Row],[acquisition_channel]],U:U,0))</f>
        <v>Bodega Propia CO - envio 2-3 dias</v>
      </c>
      <c r="Z682" s="1" t="str">
        <f>INDEX(T:T,MATCH(orders_desnormalizado_prueba3[[#This Row],[shipping_cost]],W:W,0))</f>
        <v>Colombia</v>
      </c>
      <c r="AA682" s="1" t="str">
        <f t="shared" si="31"/>
        <v>Medellin</v>
      </c>
      <c r="AB682" s="1"/>
      <c r="AC682" s="1" t="str">
        <f t="shared" si="32"/>
        <v xml:space="preserve"> </v>
      </c>
    </row>
    <row r="683" spans="1:29" x14ac:dyDescent="0.3">
      <c r="A683" s="1" t="s">
        <v>1663</v>
      </c>
      <c r="B683">
        <v>1</v>
      </c>
      <c r="C683">
        <v>30.99</v>
      </c>
      <c r="D683">
        <v>30.99</v>
      </c>
      <c r="E683" s="1" t="s">
        <v>1664</v>
      </c>
      <c r="F683" s="1" t="s">
        <v>25</v>
      </c>
      <c r="G683">
        <v>3</v>
      </c>
      <c r="H683" s="1" t="s">
        <v>96</v>
      </c>
      <c r="I683" s="1" t="s">
        <v>42</v>
      </c>
      <c r="J683">
        <v>10.5</v>
      </c>
      <c r="K683">
        <v>30.99</v>
      </c>
      <c r="L683" s="1" t="s">
        <v>28</v>
      </c>
      <c r="M683" s="1" t="s">
        <v>43</v>
      </c>
      <c r="N683" s="1" t="s">
        <v>44</v>
      </c>
      <c r="O683" s="1" t="s">
        <v>31</v>
      </c>
      <c r="P683" s="2">
        <v>45823</v>
      </c>
      <c r="Q683" s="1" t="s">
        <v>1140</v>
      </c>
      <c r="R683" s="1" t="s">
        <v>1141</v>
      </c>
      <c r="S683" s="1" t="s">
        <v>34</v>
      </c>
      <c r="T683" s="1" t="s">
        <v>35</v>
      </c>
      <c r="U683" s="1" t="s">
        <v>36</v>
      </c>
      <c r="V683" s="1" t="s">
        <v>37</v>
      </c>
      <c r="W683">
        <v>2</v>
      </c>
      <c r="X683" s="1" t="str">
        <f t="shared" si="30"/>
        <v>laura.castro41@mail.com</v>
      </c>
      <c r="Y683" s="1" t="str">
        <f>INDEX(V:V,MATCH(orders_desnormalizado_prueba3[[#This Row],[acquisition_channel]],U:U,0))</f>
        <v>Bodega Propia CO - envio 2-3 dias</v>
      </c>
      <c r="Z683" s="1" t="str">
        <f>INDEX(T:T,MATCH(orders_desnormalizado_prueba3[[#This Row],[shipping_cost]],W:W,0))</f>
        <v>Colombia</v>
      </c>
      <c r="AA683" s="1" t="str">
        <f t="shared" si="31"/>
        <v>Barranquilla</v>
      </c>
      <c r="AB683" s="1"/>
      <c r="AC683" s="1" t="str">
        <f t="shared" si="32"/>
        <v xml:space="preserve"> </v>
      </c>
    </row>
    <row r="684" spans="1:29" x14ac:dyDescent="0.3">
      <c r="A684" s="1" t="s">
        <v>1665</v>
      </c>
      <c r="B684">
        <v>1</v>
      </c>
      <c r="C684">
        <v>30.99</v>
      </c>
      <c r="D684">
        <v>30.99</v>
      </c>
      <c r="E684" s="1" t="s">
        <v>1381</v>
      </c>
      <c r="F684" s="1" t="s">
        <v>40</v>
      </c>
      <c r="G684">
        <v>3</v>
      </c>
      <c r="H684" s="1" t="s">
        <v>58</v>
      </c>
      <c r="I684" s="1" t="s">
        <v>42</v>
      </c>
      <c r="J684">
        <v>10.5</v>
      </c>
      <c r="K684">
        <v>30.99</v>
      </c>
      <c r="L684" s="1" t="s">
        <v>28</v>
      </c>
      <c r="M684" s="1" t="s">
        <v>43</v>
      </c>
      <c r="N684" s="1" t="s">
        <v>44</v>
      </c>
      <c r="O684" s="1" t="s">
        <v>31</v>
      </c>
      <c r="P684" s="2">
        <v>45823</v>
      </c>
      <c r="Q684" s="1" t="s">
        <v>1260</v>
      </c>
      <c r="R684" s="1" t="s">
        <v>1261</v>
      </c>
      <c r="S684" s="1" t="s">
        <v>105</v>
      </c>
      <c r="T684" s="1" t="s">
        <v>35</v>
      </c>
      <c r="U684" s="1" t="s">
        <v>82</v>
      </c>
      <c r="V684" s="1" t="s">
        <v>37</v>
      </c>
      <c r="W684">
        <v>2</v>
      </c>
      <c r="X684" s="1" t="str">
        <f t="shared" si="30"/>
        <v>ximena.perez20@mail.com</v>
      </c>
      <c r="Y684" s="1" t="str">
        <f>INDEX(V:V,MATCH(orders_desnormalizado_prueba3[[#This Row],[acquisition_channel]],U:U,0))</f>
        <v>Bodega Propia CO - envio 2-3 dias</v>
      </c>
      <c r="Z684" s="1" t="str">
        <f>INDEX(T:T,MATCH(orders_desnormalizado_prueba3[[#This Row],[shipping_cost]],W:W,0))</f>
        <v>Colombia</v>
      </c>
      <c r="AA684" s="1" t="str">
        <f t="shared" si="31"/>
        <v>Barranquilla</v>
      </c>
      <c r="AB684" s="1"/>
      <c r="AC684" s="1" t="str">
        <f t="shared" si="32"/>
        <v xml:space="preserve"> </v>
      </c>
    </row>
    <row r="685" spans="1:29" x14ac:dyDescent="0.3">
      <c r="A685" s="1" t="s">
        <v>1666</v>
      </c>
      <c r="B685">
        <v>1</v>
      </c>
      <c r="C685">
        <v>16.989999999999998</v>
      </c>
      <c r="D685">
        <v>16.989999999999998</v>
      </c>
      <c r="E685" s="1" t="s">
        <v>1295</v>
      </c>
      <c r="F685" s="1" t="s">
        <v>188</v>
      </c>
      <c r="G685">
        <v>0</v>
      </c>
      <c r="H685" s="1" t="s">
        <v>58</v>
      </c>
      <c r="I685" s="1" t="s">
        <v>59</v>
      </c>
      <c r="J685">
        <v>5</v>
      </c>
      <c r="K685">
        <v>16.989999999999998</v>
      </c>
      <c r="L685" s="1" t="s">
        <v>60</v>
      </c>
      <c r="M685" s="1" t="s">
        <v>61</v>
      </c>
      <c r="N685" s="1" t="s">
        <v>62</v>
      </c>
      <c r="O685" s="1" t="s">
        <v>31</v>
      </c>
      <c r="P685" s="2">
        <v>45726</v>
      </c>
      <c r="Q685" s="1" t="s">
        <v>133</v>
      </c>
      <c r="R685" s="1" t="s">
        <v>776</v>
      </c>
      <c r="S685" s="1" t="s">
        <v>88</v>
      </c>
      <c r="T685" s="1" t="s">
        <v>35</v>
      </c>
      <c r="U685" s="1" t="s">
        <v>48</v>
      </c>
      <c r="V685" s="1" t="s">
        <v>67</v>
      </c>
      <c r="W685">
        <v>3</v>
      </c>
      <c r="X685" s="1" t="str">
        <f t="shared" si="30"/>
        <v>isabella.diaz18@mail.com</v>
      </c>
      <c r="Y685" s="1" t="str">
        <f>INDEX(V:V,MATCH(orders_desnormalizado_prueba3[[#This Row],[acquisition_channel]],U:U,0))</f>
        <v>Bodega Propia CO - envio 2-3 dias</v>
      </c>
      <c r="Z685" s="1" t="str">
        <f>INDEX(T:T,MATCH(orders_desnormalizado_prueba3[[#This Row],[shipping_cost]],W:W,0))</f>
        <v>Colombia</v>
      </c>
      <c r="AA685" s="1" t="str">
        <f t="shared" si="31"/>
        <v>Cartagena</v>
      </c>
      <c r="AB685" s="1"/>
      <c r="AC685" s="1" t="str">
        <f t="shared" si="32"/>
        <v xml:space="preserve"> </v>
      </c>
    </row>
    <row r="686" spans="1:29" x14ac:dyDescent="0.3">
      <c r="A686" s="1" t="s">
        <v>1667</v>
      </c>
      <c r="B686">
        <v>1</v>
      </c>
      <c r="C686">
        <v>16.989999999999998</v>
      </c>
      <c r="D686">
        <v>16.989999999999998</v>
      </c>
      <c r="E686" s="1" t="s">
        <v>1271</v>
      </c>
      <c r="F686" s="1" t="s">
        <v>40</v>
      </c>
      <c r="G686">
        <v>18</v>
      </c>
      <c r="H686" s="1" t="s">
        <v>58</v>
      </c>
      <c r="I686" s="1" t="s">
        <v>59</v>
      </c>
      <c r="J686">
        <v>5</v>
      </c>
      <c r="K686">
        <v>16.989999999999998</v>
      </c>
      <c r="L686" s="1" t="s">
        <v>60</v>
      </c>
      <c r="M686" s="1" t="s">
        <v>61</v>
      </c>
      <c r="N686" s="1" t="s">
        <v>62</v>
      </c>
      <c r="O686" s="1" t="s">
        <v>31</v>
      </c>
      <c r="P686" s="2">
        <v>45726</v>
      </c>
      <c r="Q686" s="1" t="s">
        <v>1191</v>
      </c>
      <c r="R686" s="1" t="s">
        <v>1668</v>
      </c>
      <c r="S686" s="1" t="s">
        <v>65</v>
      </c>
      <c r="T686" s="1" t="s">
        <v>35</v>
      </c>
      <c r="U686" s="1" t="s">
        <v>55</v>
      </c>
      <c r="V686" s="1" t="s">
        <v>67</v>
      </c>
      <c r="W686">
        <v>3</v>
      </c>
      <c r="X686" s="1" t="str">
        <f t="shared" si="30"/>
        <v>esteban.ramirez113@mail.com</v>
      </c>
      <c r="Y686" s="1" t="str">
        <f>INDEX(V:V,MATCH(orders_desnormalizado_prueba3[[#This Row],[acquisition_channel]],U:U,0))</f>
        <v>Bodega Propia CO - envio 2-3 dias</v>
      </c>
      <c r="Z686" s="1" t="str">
        <f>INDEX(T:T,MATCH(orders_desnormalizado_prueba3[[#This Row],[shipping_cost]],W:W,0))</f>
        <v>Colombia</v>
      </c>
      <c r="AA686" s="1" t="str">
        <f t="shared" si="31"/>
        <v>Medellin</v>
      </c>
      <c r="AB686" s="1"/>
      <c r="AC686" s="1" t="str">
        <f t="shared" si="32"/>
        <v xml:space="preserve"> </v>
      </c>
    </row>
    <row r="687" spans="1:29" x14ac:dyDescent="0.3">
      <c r="A687" s="1" t="s">
        <v>1669</v>
      </c>
      <c r="B687">
        <v>1</v>
      </c>
      <c r="C687">
        <v>34.99</v>
      </c>
      <c r="D687">
        <v>34.99</v>
      </c>
      <c r="E687" s="1" t="s">
        <v>1471</v>
      </c>
      <c r="F687" s="1" t="s">
        <v>40</v>
      </c>
      <c r="G687">
        <v>8</v>
      </c>
      <c r="H687" s="1" t="s">
        <v>96</v>
      </c>
      <c r="I687" s="1" t="s">
        <v>85</v>
      </c>
      <c r="J687">
        <v>12.5</v>
      </c>
      <c r="K687">
        <v>34.99</v>
      </c>
      <c r="L687" s="1" t="s">
        <v>60</v>
      </c>
      <c r="M687" s="1" t="s">
        <v>29</v>
      </c>
      <c r="N687" s="1" t="s">
        <v>30</v>
      </c>
      <c r="O687" s="1" t="s">
        <v>31</v>
      </c>
      <c r="P687" s="2">
        <v>45778</v>
      </c>
      <c r="Q687" s="1" t="s">
        <v>1603</v>
      </c>
      <c r="R687" s="1" t="s">
        <v>1604</v>
      </c>
      <c r="S687" s="1" t="s">
        <v>105</v>
      </c>
      <c r="T687" s="1" t="s">
        <v>35</v>
      </c>
      <c r="U687" s="1" t="s">
        <v>55</v>
      </c>
      <c r="V687" s="1" t="s">
        <v>89</v>
      </c>
      <c r="W687">
        <v>2.4</v>
      </c>
      <c r="X687" s="1" t="str">
        <f t="shared" si="30"/>
        <v>felipe.vargas36@mail.com</v>
      </c>
      <c r="Y687" s="1" t="str">
        <f>INDEX(V:V,MATCH(orders_desnormalizado_prueba3[[#This Row],[acquisition_channel]],U:U,0))</f>
        <v>Bodega Propia CO - envio 2-3 dias</v>
      </c>
      <c r="Z687" s="1" t="str">
        <f>INDEX(T:T,MATCH(orders_desnormalizado_prueba3[[#This Row],[shipping_cost]],W:W,0))</f>
        <v>Colombia</v>
      </c>
      <c r="AA687" s="1" t="str">
        <f t="shared" si="31"/>
        <v>Barranquilla</v>
      </c>
      <c r="AB687" s="1"/>
      <c r="AC687" s="1" t="str">
        <f t="shared" si="32"/>
        <v xml:space="preserve"> </v>
      </c>
    </row>
    <row r="688" spans="1:29" x14ac:dyDescent="0.3">
      <c r="A688" s="1" t="s">
        <v>1670</v>
      </c>
      <c r="B688">
        <v>1</v>
      </c>
      <c r="C688">
        <v>16.989999999999998</v>
      </c>
      <c r="D688">
        <v>16.989999999999998</v>
      </c>
      <c r="E688" s="1" t="s">
        <v>57</v>
      </c>
      <c r="F688" s="1" t="s">
        <v>40</v>
      </c>
      <c r="G688">
        <v>20</v>
      </c>
      <c r="H688" s="1" t="s">
        <v>96</v>
      </c>
      <c r="I688" s="1" t="s">
        <v>59</v>
      </c>
      <c r="J688">
        <v>5</v>
      </c>
      <c r="K688">
        <v>16.989999999999998</v>
      </c>
      <c r="L688" s="1" t="s">
        <v>60</v>
      </c>
      <c r="M688" s="1" t="s">
        <v>61</v>
      </c>
      <c r="N688" s="1" t="s">
        <v>62</v>
      </c>
      <c r="O688" s="1" t="s">
        <v>31</v>
      </c>
      <c r="P688" s="2">
        <v>45726</v>
      </c>
      <c r="Q688" s="1" t="s">
        <v>1234</v>
      </c>
      <c r="R688" s="1" t="s">
        <v>1671</v>
      </c>
      <c r="S688" s="1" t="s">
        <v>47</v>
      </c>
      <c r="T688" s="1" t="s">
        <v>35</v>
      </c>
      <c r="U688" s="1" t="s">
        <v>82</v>
      </c>
      <c r="V688" s="1" t="s">
        <v>67</v>
      </c>
      <c r="W688">
        <v>3</v>
      </c>
      <c r="X688" s="1" t="str">
        <f t="shared" si="30"/>
        <v>antonia.ortiz67@mail.com</v>
      </c>
      <c r="Y688" s="1" t="str">
        <f>INDEX(V:V,MATCH(orders_desnormalizado_prueba3[[#This Row],[acquisition_channel]],U:U,0))</f>
        <v>Bodega Propia CO - envio 2-3 dias</v>
      </c>
      <c r="Z688" s="1" t="str">
        <f>INDEX(T:T,MATCH(orders_desnormalizado_prueba3[[#This Row],[shipping_cost]],W:W,0))</f>
        <v>Colombia</v>
      </c>
      <c r="AA688" s="1" t="str">
        <f t="shared" si="31"/>
        <v>Bucaramanga</v>
      </c>
      <c r="AB688" s="1"/>
      <c r="AC688" s="1" t="str">
        <f t="shared" si="32"/>
        <v xml:space="preserve"> </v>
      </c>
    </row>
    <row r="689" spans="1:29" x14ac:dyDescent="0.3">
      <c r="A689" s="1" t="s">
        <v>1672</v>
      </c>
      <c r="B689">
        <v>1</v>
      </c>
      <c r="C689">
        <v>21.99</v>
      </c>
      <c r="D689">
        <v>21.99</v>
      </c>
      <c r="E689" s="1" t="s">
        <v>1214</v>
      </c>
      <c r="F689" s="1" t="s">
        <v>40</v>
      </c>
      <c r="G689">
        <v>3</v>
      </c>
      <c r="H689" s="1" t="s">
        <v>58</v>
      </c>
      <c r="I689" s="1" t="s">
        <v>27</v>
      </c>
      <c r="J689">
        <v>7</v>
      </c>
      <c r="K689">
        <v>21.99</v>
      </c>
      <c r="L689" s="1" t="s">
        <v>28</v>
      </c>
      <c r="M689" s="1" t="s">
        <v>29</v>
      </c>
      <c r="N689" s="1" t="s">
        <v>30</v>
      </c>
      <c r="O689" s="1" t="s">
        <v>31</v>
      </c>
      <c r="P689" s="2">
        <v>45778</v>
      </c>
      <c r="Q689" s="1" t="s">
        <v>266</v>
      </c>
      <c r="R689" s="1" t="s">
        <v>764</v>
      </c>
      <c r="S689" s="1" t="s">
        <v>105</v>
      </c>
      <c r="T689" s="1" t="s">
        <v>35</v>
      </c>
      <c r="U689" s="1" t="s">
        <v>36</v>
      </c>
      <c r="V689" s="1" t="s">
        <v>37</v>
      </c>
      <c r="W689">
        <v>2</v>
      </c>
      <c r="X689" s="1" t="str">
        <f t="shared" si="30"/>
        <v>alejandro.rodriguez7@mail.com</v>
      </c>
      <c r="Y689" s="1" t="str">
        <f>INDEX(V:V,MATCH(orders_desnormalizado_prueba3[[#This Row],[acquisition_channel]],U:U,0))</f>
        <v>Bodega Propia CO - envio 2-3 dias</v>
      </c>
      <c r="Z689" s="1" t="str">
        <f>INDEX(T:T,MATCH(orders_desnormalizado_prueba3[[#This Row],[shipping_cost]],W:W,0))</f>
        <v>Colombia</v>
      </c>
      <c r="AA689" s="1" t="str">
        <f t="shared" si="31"/>
        <v>Barranquilla</v>
      </c>
      <c r="AB689" s="1"/>
      <c r="AC689" s="1" t="str">
        <f t="shared" si="32"/>
        <v xml:space="preserve"> </v>
      </c>
    </row>
    <row r="690" spans="1:29" x14ac:dyDescent="0.3">
      <c r="A690" s="1" t="s">
        <v>1673</v>
      </c>
      <c r="B690">
        <v>1</v>
      </c>
      <c r="C690">
        <v>21.99</v>
      </c>
      <c r="D690">
        <v>21.99</v>
      </c>
      <c r="E690" s="1" t="s">
        <v>297</v>
      </c>
      <c r="F690" s="1" t="s">
        <v>40</v>
      </c>
      <c r="G690">
        <v>2</v>
      </c>
      <c r="H690" s="1" t="s">
        <v>96</v>
      </c>
      <c r="I690" s="1" t="s">
        <v>27</v>
      </c>
      <c r="J690">
        <v>7</v>
      </c>
      <c r="K690">
        <v>21.99</v>
      </c>
      <c r="L690" s="1" t="s">
        <v>28</v>
      </c>
      <c r="M690" s="1" t="s">
        <v>29</v>
      </c>
      <c r="N690" s="1" t="s">
        <v>30</v>
      </c>
      <c r="O690" s="1" t="s">
        <v>31</v>
      </c>
      <c r="P690" s="2">
        <v>45778</v>
      </c>
      <c r="Q690" s="1" t="s">
        <v>839</v>
      </c>
      <c r="R690" s="1" t="s">
        <v>840</v>
      </c>
      <c r="S690" s="1" t="s">
        <v>65</v>
      </c>
      <c r="T690" s="1" t="s">
        <v>35</v>
      </c>
      <c r="U690" s="1" t="s">
        <v>55</v>
      </c>
      <c r="V690" s="1" t="s">
        <v>37</v>
      </c>
      <c r="W690">
        <v>2</v>
      </c>
      <c r="X690" s="1" t="str">
        <f t="shared" si="30"/>
        <v>manuela.torres155@mail.com</v>
      </c>
      <c r="Y690" s="1" t="str">
        <f>INDEX(V:V,MATCH(orders_desnormalizado_prueba3[[#This Row],[acquisition_channel]],U:U,0))</f>
        <v>Bodega Propia CO - envio 2-3 dias</v>
      </c>
      <c r="Z690" s="1" t="str">
        <f>INDEX(T:T,MATCH(orders_desnormalizado_prueba3[[#This Row],[shipping_cost]],W:W,0))</f>
        <v>Colombia</v>
      </c>
      <c r="AA690" s="1" t="str">
        <f t="shared" si="31"/>
        <v>Medellin</v>
      </c>
      <c r="AB690" s="1"/>
      <c r="AC690" s="1" t="str">
        <f t="shared" si="32"/>
        <v xml:space="preserve"> </v>
      </c>
    </row>
    <row r="691" spans="1:29" x14ac:dyDescent="0.3">
      <c r="A691" s="1" t="s">
        <v>1674</v>
      </c>
      <c r="B691">
        <v>3</v>
      </c>
      <c r="C691">
        <v>30.99</v>
      </c>
      <c r="D691">
        <v>74.790000000000006</v>
      </c>
      <c r="E691" s="1" t="s">
        <v>457</v>
      </c>
      <c r="F691" s="1" t="s">
        <v>25</v>
      </c>
      <c r="G691">
        <v>2</v>
      </c>
      <c r="H691" s="1" t="s">
        <v>58</v>
      </c>
      <c r="I691" s="1" t="s">
        <v>42</v>
      </c>
      <c r="J691">
        <v>10.5</v>
      </c>
      <c r="K691">
        <v>30.99</v>
      </c>
      <c r="L691" s="1" t="s">
        <v>28</v>
      </c>
      <c r="M691" s="1" t="s">
        <v>43</v>
      </c>
      <c r="N691" s="1" t="s">
        <v>44</v>
      </c>
      <c r="O691" s="1" t="s">
        <v>31</v>
      </c>
      <c r="P691" s="2">
        <v>45823</v>
      </c>
      <c r="Q691" s="1" t="s">
        <v>1483</v>
      </c>
      <c r="R691" s="1" t="s">
        <v>1484</v>
      </c>
      <c r="S691" s="1" t="s">
        <v>54</v>
      </c>
      <c r="T691" s="1" t="s">
        <v>35</v>
      </c>
      <c r="U691" s="1" t="s">
        <v>66</v>
      </c>
      <c r="V691" s="1" t="s">
        <v>37</v>
      </c>
      <c r="W691">
        <v>2</v>
      </c>
      <c r="X691" s="1" t="str">
        <f t="shared" si="30"/>
        <v>carlos.perez161@mail.com</v>
      </c>
      <c r="Y691" s="1" t="str">
        <f>INDEX(V:V,MATCH(orders_desnormalizado_prueba3[[#This Row],[acquisition_channel]],U:U,0))</f>
        <v>AliDropship CN - envio 15-20 dias</v>
      </c>
      <c r="Z691" s="1" t="str">
        <f>INDEX(T:T,MATCH(orders_desnormalizado_prueba3[[#This Row],[shipping_cost]],W:W,0))</f>
        <v>Colombia</v>
      </c>
      <c r="AA691" s="1" t="str">
        <f t="shared" si="31"/>
        <v>Medellin</v>
      </c>
      <c r="AB691" s="1"/>
      <c r="AC691" s="1" t="str">
        <f t="shared" si="32"/>
        <v xml:space="preserve"> </v>
      </c>
    </row>
    <row r="692" spans="1:29" x14ac:dyDescent="0.3">
      <c r="A692" s="1" t="s">
        <v>1675</v>
      </c>
      <c r="B692">
        <v>2</v>
      </c>
      <c r="C692">
        <v>18.989999999999998</v>
      </c>
      <c r="D692">
        <v>33.11</v>
      </c>
      <c r="E692" s="1" t="s">
        <v>759</v>
      </c>
      <c r="F692" s="1" t="s">
        <v>51</v>
      </c>
      <c r="G692">
        <v>0</v>
      </c>
      <c r="H692" s="1" t="s">
        <v>58</v>
      </c>
      <c r="I692" s="1" t="s">
        <v>97</v>
      </c>
      <c r="J692">
        <v>6</v>
      </c>
      <c r="K692">
        <v>18.989999999999998</v>
      </c>
      <c r="L692" s="1" t="s">
        <v>60</v>
      </c>
      <c r="M692" s="1" t="s">
        <v>43</v>
      </c>
      <c r="N692" s="1" t="s">
        <v>44</v>
      </c>
      <c r="O692" s="1" t="s">
        <v>31</v>
      </c>
      <c r="P692" s="2">
        <v>45823</v>
      </c>
      <c r="Q692" s="1" t="s">
        <v>1676</v>
      </c>
      <c r="R692" s="1" t="s">
        <v>1677</v>
      </c>
      <c r="S692" s="1" t="s">
        <v>105</v>
      </c>
      <c r="T692" s="1" t="s">
        <v>35</v>
      </c>
      <c r="U692" s="1" t="s">
        <v>66</v>
      </c>
      <c r="V692" s="1" t="s">
        <v>100</v>
      </c>
      <c r="W692">
        <v>3.2</v>
      </c>
      <c r="X692" s="1" t="str">
        <f t="shared" si="30"/>
        <v>antonia.perez1@mail.com</v>
      </c>
      <c r="Y692" s="1" t="str">
        <f>INDEX(V:V,MATCH(orders_desnormalizado_prueba3[[#This Row],[acquisition_channel]],U:U,0))</f>
        <v>AliDropship CN - envio 15-20 dias</v>
      </c>
      <c r="Z692" s="1" t="str">
        <f>INDEX(T:T,MATCH(orders_desnormalizado_prueba3[[#This Row],[shipping_cost]],W:W,0))</f>
        <v>Colombia</v>
      </c>
      <c r="AA692" s="1" t="str">
        <f t="shared" si="31"/>
        <v>Cartagena</v>
      </c>
      <c r="AB692" s="1"/>
      <c r="AC692" s="1" t="str">
        <f t="shared" si="32"/>
        <v xml:space="preserve"> </v>
      </c>
    </row>
    <row r="693" spans="1:29" x14ac:dyDescent="0.3">
      <c r="A693" s="1" t="s">
        <v>1678</v>
      </c>
      <c r="B693">
        <v>3</v>
      </c>
      <c r="C693">
        <v>30.99</v>
      </c>
      <c r="D693">
        <v>73.569999999999993</v>
      </c>
      <c r="E693" s="1" t="s">
        <v>1679</v>
      </c>
      <c r="F693" s="1" t="s">
        <v>51</v>
      </c>
      <c r="G693">
        <v>0</v>
      </c>
      <c r="H693" s="1" t="s">
        <v>96</v>
      </c>
      <c r="I693" s="1" t="s">
        <v>42</v>
      </c>
      <c r="J693">
        <v>10.5</v>
      </c>
      <c r="K693">
        <v>30.99</v>
      </c>
      <c r="L693" s="1" t="s">
        <v>28</v>
      </c>
      <c r="M693" s="1" t="s">
        <v>43</v>
      </c>
      <c r="N693" s="1" t="s">
        <v>44</v>
      </c>
      <c r="O693" s="1" t="s">
        <v>31</v>
      </c>
      <c r="P693" s="2">
        <v>45823</v>
      </c>
      <c r="Q693" s="1" t="s">
        <v>741</v>
      </c>
      <c r="R693" s="1" t="s">
        <v>1680</v>
      </c>
      <c r="S693" s="1" t="s">
        <v>65</v>
      </c>
      <c r="T693" s="1" t="s">
        <v>35</v>
      </c>
      <c r="U693" s="1" t="s">
        <v>66</v>
      </c>
      <c r="V693" s="1" t="s">
        <v>37</v>
      </c>
      <c r="W693">
        <v>2</v>
      </c>
      <c r="X693" s="1" t="str">
        <f t="shared" si="30"/>
        <v>maria.hernandez83@mail.com</v>
      </c>
      <c r="Y693" s="1" t="str">
        <f>INDEX(V:V,MATCH(orders_desnormalizado_prueba3[[#This Row],[acquisition_channel]],U:U,0))</f>
        <v>AliDropship CN - envio 15-20 dias</v>
      </c>
      <c r="Z693" s="1" t="str">
        <f>INDEX(T:T,MATCH(orders_desnormalizado_prueba3[[#This Row],[shipping_cost]],W:W,0))</f>
        <v>Colombia</v>
      </c>
      <c r="AA693" s="1" t="str">
        <f t="shared" si="31"/>
        <v>Cartagena</v>
      </c>
      <c r="AB693" s="1"/>
      <c r="AC693" s="1" t="str">
        <f t="shared" si="32"/>
        <v xml:space="preserve"> </v>
      </c>
    </row>
    <row r="694" spans="1:29" x14ac:dyDescent="0.3">
      <c r="A694" s="1" t="s">
        <v>1681</v>
      </c>
      <c r="B694">
        <v>3</v>
      </c>
      <c r="C694">
        <v>30.99</v>
      </c>
      <c r="D694">
        <v>74.11</v>
      </c>
      <c r="E694" s="1" t="s">
        <v>964</v>
      </c>
      <c r="F694" s="1" t="s">
        <v>40</v>
      </c>
      <c r="G694">
        <v>3</v>
      </c>
      <c r="H694" s="1" t="s">
        <v>26</v>
      </c>
      <c r="I694" s="1" t="s">
        <v>42</v>
      </c>
      <c r="J694">
        <v>10.5</v>
      </c>
      <c r="K694">
        <v>30.99</v>
      </c>
      <c r="L694" s="1" t="s">
        <v>28</v>
      </c>
      <c r="M694" s="1" t="s">
        <v>43</v>
      </c>
      <c r="N694" s="1" t="s">
        <v>44</v>
      </c>
      <c r="O694" s="1" t="s">
        <v>31</v>
      </c>
      <c r="P694" s="2">
        <v>45823</v>
      </c>
      <c r="Q694" s="1" t="s">
        <v>760</v>
      </c>
      <c r="R694" s="1" t="s">
        <v>1682</v>
      </c>
      <c r="S694" s="1" t="s">
        <v>105</v>
      </c>
      <c r="T694" s="1" t="s">
        <v>35</v>
      </c>
      <c r="U694" s="1" t="s">
        <v>48</v>
      </c>
      <c r="V694" s="1" t="s">
        <v>37</v>
      </c>
      <c r="W694">
        <v>2</v>
      </c>
      <c r="X694" s="1" t="str">
        <f t="shared" si="30"/>
        <v>alejandro.gomez26@mail.com</v>
      </c>
      <c r="Y694" s="1" t="str">
        <f>INDEX(V:V,MATCH(orders_desnormalizado_prueba3[[#This Row],[acquisition_channel]],U:U,0))</f>
        <v>Bodega Propia CO - envio 2-3 dias</v>
      </c>
      <c r="Z694" s="1" t="str">
        <f>INDEX(T:T,MATCH(orders_desnormalizado_prueba3[[#This Row],[shipping_cost]],W:W,0))</f>
        <v>Colombia</v>
      </c>
      <c r="AA694" s="1" t="str">
        <f t="shared" si="31"/>
        <v>Barranquilla</v>
      </c>
      <c r="AB694" s="1"/>
      <c r="AC694" s="1" t="str">
        <f t="shared" si="32"/>
        <v xml:space="preserve"> </v>
      </c>
    </row>
    <row r="695" spans="1:29" x14ac:dyDescent="0.3">
      <c r="A695" s="1" t="s">
        <v>1683</v>
      </c>
      <c r="B695">
        <v>3</v>
      </c>
      <c r="C695">
        <v>34.99</v>
      </c>
      <c r="D695">
        <v>82.97</v>
      </c>
      <c r="E695" s="1" t="s">
        <v>946</v>
      </c>
      <c r="F695" s="1" t="s">
        <v>40</v>
      </c>
      <c r="G695">
        <v>5</v>
      </c>
      <c r="H695" s="1" t="s">
        <v>41</v>
      </c>
      <c r="I695" s="1" t="s">
        <v>85</v>
      </c>
      <c r="J695">
        <v>12.5</v>
      </c>
      <c r="K695">
        <v>34.99</v>
      </c>
      <c r="L695" s="1" t="s">
        <v>60</v>
      </c>
      <c r="M695" s="1" t="s">
        <v>29</v>
      </c>
      <c r="N695" s="1" t="s">
        <v>30</v>
      </c>
      <c r="O695" s="1" t="s">
        <v>31</v>
      </c>
      <c r="P695" s="2">
        <v>45778</v>
      </c>
      <c r="Q695" s="1" t="s">
        <v>1253</v>
      </c>
      <c r="R695" s="1" t="s">
        <v>1254</v>
      </c>
      <c r="S695" s="1" t="s">
        <v>105</v>
      </c>
      <c r="T695" s="1" t="s">
        <v>35</v>
      </c>
      <c r="U695" s="1" t="s">
        <v>66</v>
      </c>
      <c r="V695" s="1" t="s">
        <v>89</v>
      </c>
      <c r="W695">
        <v>2.4</v>
      </c>
      <c r="X695" s="1" t="str">
        <f t="shared" si="30"/>
        <v>sofia.ortiz121@mail.com</v>
      </c>
      <c r="Y695" s="1" t="str">
        <f>INDEX(V:V,MATCH(orders_desnormalizado_prueba3[[#This Row],[acquisition_channel]],U:U,0))</f>
        <v>AliDropship CN - envio 15-20 dias</v>
      </c>
      <c r="Z695" s="1" t="str">
        <f>INDEX(T:T,MATCH(orders_desnormalizado_prueba3[[#This Row],[shipping_cost]],W:W,0))</f>
        <v>Colombia</v>
      </c>
      <c r="AA695" s="1" t="str">
        <f t="shared" si="31"/>
        <v>Cali</v>
      </c>
      <c r="AB695" s="1"/>
      <c r="AC695" s="1" t="str">
        <f t="shared" si="32"/>
        <v xml:space="preserve"> </v>
      </c>
    </row>
    <row r="696" spans="1:29" x14ac:dyDescent="0.3">
      <c r="A696" s="1" t="s">
        <v>1684</v>
      </c>
      <c r="B696">
        <v>3</v>
      </c>
      <c r="C696">
        <v>34.99</v>
      </c>
      <c r="D696">
        <v>82.43</v>
      </c>
      <c r="E696" s="1" t="s">
        <v>1685</v>
      </c>
      <c r="F696" s="1" t="s">
        <v>188</v>
      </c>
      <c r="G696">
        <v>0</v>
      </c>
      <c r="H696" s="1" t="s">
        <v>96</v>
      </c>
      <c r="I696" s="1" t="s">
        <v>85</v>
      </c>
      <c r="J696">
        <v>12.5</v>
      </c>
      <c r="K696">
        <v>34.99</v>
      </c>
      <c r="L696" s="1" t="s">
        <v>60</v>
      </c>
      <c r="M696" s="1" t="s">
        <v>29</v>
      </c>
      <c r="N696" s="1" t="s">
        <v>30</v>
      </c>
      <c r="O696" s="1" t="s">
        <v>31</v>
      </c>
      <c r="P696" s="2">
        <v>45778</v>
      </c>
      <c r="Q696" s="1" t="s">
        <v>63</v>
      </c>
      <c r="R696" s="1" t="s">
        <v>1686</v>
      </c>
      <c r="S696" s="1" t="s">
        <v>88</v>
      </c>
      <c r="T696" s="1" t="s">
        <v>35</v>
      </c>
      <c r="U696" s="1" t="s">
        <v>48</v>
      </c>
      <c r="V696" s="1" t="s">
        <v>89</v>
      </c>
      <c r="W696">
        <v>2.4</v>
      </c>
      <c r="X696" s="1" t="str">
        <f t="shared" si="30"/>
        <v>laura.rodriguez85@mail.com</v>
      </c>
      <c r="Y696" s="1" t="str">
        <f>INDEX(V:V,MATCH(orders_desnormalizado_prueba3[[#This Row],[acquisition_channel]],U:U,0))</f>
        <v>Bodega Propia CO - envio 2-3 dias</v>
      </c>
      <c r="Z696" s="1" t="str">
        <f>INDEX(T:T,MATCH(orders_desnormalizado_prueba3[[#This Row],[shipping_cost]],W:W,0))</f>
        <v>Colombia</v>
      </c>
      <c r="AA696" s="1" t="str">
        <f t="shared" si="31"/>
        <v>Cartagena</v>
      </c>
      <c r="AB696" s="1"/>
      <c r="AC696" s="1" t="str">
        <f t="shared" si="32"/>
        <v xml:space="preserve"> </v>
      </c>
    </row>
    <row r="697" spans="1:29" x14ac:dyDescent="0.3">
      <c r="A697" s="1" t="s">
        <v>1687</v>
      </c>
      <c r="B697">
        <v>2</v>
      </c>
      <c r="C697">
        <v>30.99</v>
      </c>
      <c r="D697">
        <v>53.58</v>
      </c>
      <c r="E697" s="1" t="s">
        <v>224</v>
      </c>
      <c r="F697" s="1" t="s">
        <v>40</v>
      </c>
      <c r="G697">
        <v>3</v>
      </c>
      <c r="H697" s="1" t="s">
        <v>58</v>
      </c>
      <c r="I697" s="1" t="s">
        <v>42</v>
      </c>
      <c r="J697">
        <v>10.5</v>
      </c>
      <c r="K697">
        <v>30.99</v>
      </c>
      <c r="L697" s="1" t="s">
        <v>28</v>
      </c>
      <c r="M697" s="1" t="s">
        <v>43</v>
      </c>
      <c r="N697" s="1" t="s">
        <v>44</v>
      </c>
      <c r="O697" s="1" t="s">
        <v>31</v>
      </c>
      <c r="P697" s="2">
        <v>45823</v>
      </c>
      <c r="Q697" s="1" t="s">
        <v>1211</v>
      </c>
      <c r="R697" s="1" t="s">
        <v>1212</v>
      </c>
      <c r="S697" s="1" t="s">
        <v>34</v>
      </c>
      <c r="T697" s="1" t="s">
        <v>35</v>
      </c>
      <c r="U697" s="1" t="s">
        <v>66</v>
      </c>
      <c r="V697" s="1" t="s">
        <v>37</v>
      </c>
      <c r="W697">
        <v>2</v>
      </c>
      <c r="X697" s="1" t="str">
        <f t="shared" si="30"/>
        <v>gabriela.lopez37@mail.com</v>
      </c>
      <c r="Y697" s="1" t="str">
        <f>INDEX(V:V,MATCH(orders_desnormalizado_prueba3[[#This Row],[acquisition_channel]],U:U,0))</f>
        <v>AliDropship CN - envio 15-20 dias</v>
      </c>
      <c r="Z697" s="1" t="str">
        <f>INDEX(T:T,MATCH(orders_desnormalizado_prueba3[[#This Row],[shipping_cost]],W:W,0))</f>
        <v>Colombia</v>
      </c>
      <c r="AA697" s="1" t="str">
        <f t="shared" si="31"/>
        <v>Barranquilla</v>
      </c>
      <c r="AB697" s="1"/>
      <c r="AC697" s="1" t="str">
        <f t="shared" si="32"/>
        <v xml:space="preserve"> </v>
      </c>
    </row>
    <row r="698" spans="1:29" x14ac:dyDescent="0.3">
      <c r="A698" s="1" t="s">
        <v>1688</v>
      </c>
      <c r="B698">
        <v>1</v>
      </c>
      <c r="C698">
        <v>18.989999999999998</v>
      </c>
      <c r="D698">
        <v>18.989999999999998</v>
      </c>
      <c r="E698" s="1" t="s">
        <v>1548</v>
      </c>
      <c r="F698" s="1" t="s">
        <v>188</v>
      </c>
      <c r="G698">
        <v>0</v>
      </c>
      <c r="H698" s="1" t="s">
        <v>58</v>
      </c>
      <c r="I698" s="1" t="s">
        <v>97</v>
      </c>
      <c r="J698">
        <v>6</v>
      </c>
      <c r="K698">
        <v>18.989999999999998</v>
      </c>
      <c r="L698" s="1" t="s">
        <v>60</v>
      </c>
      <c r="M698" s="1" t="s">
        <v>43</v>
      </c>
      <c r="N698" s="1" t="s">
        <v>44</v>
      </c>
      <c r="O698" s="1" t="s">
        <v>31</v>
      </c>
      <c r="P698" s="2">
        <v>45823</v>
      </c>
      <c r="Q698" s="1" t="s">
        <v>793</v>
      </c>
      <c r="R698" s="1" t="s">
        <v>1182</v>
      </c>
      <c r="S698" s="1" t="s">
        <v>88</v>
      </c>
      <c r="T698" s="1" t="s">
        <v>35</v>
      </c>
      <c r="U698" s="1" t="s">
        <v>82</v>
      </c>
      <c r="V698" s="1" t="s">
        <v>100</v>
      </c>
      <c r="W698">
        <v>3.2</v>
      </c>
      <c r="X698" s="1" t="str">
        <f t="shared" si="30"/>
        <v>esteban.ortiz133@mail.com</v>
      </c>
      <c r="Y698" s="1" t="str">
        <f>INDEX(V:V,MATCH(orders_desnormalizado_prueba3[[#This Row],[acquisition_channel]],U:U,0))</f>
        <v>Bodega Propia CO - envio 2-3 dias</v>
      </c>
      <c r="Z698" s="1" t="str">
        <f>INDEX(T:T,MATCH(orders_desnormalizado_prueba3[[#This Row],[shipping_cost]],W:W,0))</f>
        <v>Colombia</v>
      </c>
      <c r="AA698" s="1" t="str">
        <f t="shared" si="31"/>
        <v>Cartagena</v>
      </c>
      <c r="AB698" s="1"/>
      <c r="AC698" s="1" t="str">
        <f t="shared" si="32"/>
        <v xml:space="preserve"> </v>
      </c>
    </row>
    <row r="699" spans="1:29" x14ac:dyDescent="0.3">
      <c r="A699" s="1" t="s">
        <v>1689</v>
      </c>
      <c r="B699">
        <v>1</v>
      </c>
      <c r="C699">
        <v>30.99</v>
      </c>
      <c r="D699">
        <v>30.99</v>
      </c>
      <c r="E699" s="1" t="s">
        <v>1108</v>
      </c>
      <c r="F699" s="1" t="s">
        <v>25</v>
      </c>
      <c r="G699">
        <v>3</v>
      </c>
      <c r="H699" s="1" t="s">
        <v>96</v>
      </c>
      <c r="I699" s="1" t="s">
        <v>42</v>
      </c>
      <c r="J699">
        <v>10.5</v>
      </c>
      <c r="K699">
        <v>30.99</v>
      </c>
      <c r="L699" s="1" t="s">
        <v>28</v>
      </c>
      <c r="M699" s="1" t="s">
        <v>43</v>
      </c>
      <c r="N699" s="1" t="s">
        <v>44</v>
      </c>
      <c r="O699" s="1" t="s">
        <v>31</v>
      </c>
      <c r="P699" s="2">
        <v>45823</v>
      </c>
      <c r="Q699" s="1" t="s">
        <v>748</v>
      </c>
      <c r="R699" s="1" t="s">
        <v>749</v>
      </c>
      <c r="S699" s="1" t="s">
        <v>88</v>
      </c>
      <c r="T699" s="1" t="s">
        <v>35</v>
      </c>
      <c r="U699" s="1" t="s">
        <v>48</v>
      </c>
      <c r="V699" s="1" t="s">
        <v>37</v>
      </c>
      <c r="W699">
        <v>2</v>
      </c>
      <c r="X699" s="1" t="str">
        <f t="shared" si="30"/>
        <v>manuela.gomez88@mail.com</v>
      </c>
      <c r="Y699" s="1" t="str">
        <f>INDEX(V:V,MATCH(orders_desnormalizado_prueba3[[#This Row],[acquisition_channel]],U:U,0))</f>
        <v>Bodega Propia CO - envio 2-3 dias</v>
      </c>
      <c r="Z699" s="1" t="str">
        <f>INDEX(T:T,MATCH(orders_desnormalizado_prueba3[[#This Row],[shipping_cost]],W:W,0))</f>
        <v>Colombia</v>
      </c>
      <c r="AA699" s="1" t="str">
        <f t="shared" si="31"/>
        <v>Barranquilla</v>
      </c>
      <c r="AB699" s="1"/>
      <c r="AC699" s="1" t="str">
        <f t="shared" si="32"/>
        <v xml:space="preserve"> </v>
      </c>
    </row>
    <row r="700" spans="1:29" x14ac:dyDescent="0.3">
      <c r="A700" s="1" t="s">
        <v>1690</v>
      </c>
      <c r="B700">
        <v>1</v>
      </c>
      <c r="C700">
        <v>16.989999999999998</v>
      </c>
      <c r="D700">
        <v>16.989999999999998</v>
      </c>
      <c r="E700" s="1" t="s">
        <v>1355</v>
      </c>
      <c r="F700" s="1" t="s">
        <v>70</v>
      </c>
      <c r="G700">
        <v>0</v>
      </c>
      <c r="H700" s="1" t="s">
        <v>41</v>
      </c>
      <c r="I700" s="1" t="s">
        <v>59</v>
      </c>
      <c r="J700">
        <v>5</v>
      </c>
      <c r="K700">
        <v>16.989999999999998</v>
      </c>
      <c r="L700" s="1" t="s">
        <v>60</v>
      </c>
      <c r="M700" s="1" t="s">
        <v>61</v>
      </c>
      <c r="N700" s="1" t="s">
        <v>62</v>
      </c>
      <c r="O700" s="1" t="s">
        <v>31</v>
      </c>
      <c r="P700" s="2">
        <v>45726</v>
      </c>
      <c r="Q700" s="1" t="s">
        <v>884</v>
      </c>
      <c r="R700" s="1" t="s">
        <v>885</v>
      </c>
      <c r="S700" s="1" t="s">
        <v>34</v>
      </c>
      <c r="T700" s="1" t="s">
        <v>35</v>
      </c>
      <c r="U700" s="1" t="s">
        <v>36</v>
      </c>
      <c r="V700" s="1" t="s">
        <v>67</v>
      </c>
      <c r="W700">
        <v>3</v>
      </c>
      <c r="X700" s="1" t="str">
        <f t="shared" si="30"/>
        <v>paula.martinez72@mail.com</v>
      </c>
      <c r="Y700" s="1" t="str">
        <f>INDEX(V:V,MATCH(orders_desnormalizado_prueba3[[#This Row],[acquisition_channel]],U:U,0))</f>
        <v>Bodega Propia CO - envio 2-3 dias</v>
      </c>
      <c r="Z700" s="1" t="str">
        <f>INDEX(T:T,MATCH(orders_desnormalizado_prueba3[[#This Row],[shipping_cost]],W:W,0))</f>
        <v>Colombia</v>
      </c>
      <c r="AA700" s="1" t="str">
        <f t="shared" si="31"/>
        <v>Cartagena</v>
      </c>
      <c r="AB700" s="1"/>
      <c r="AC700" s="1" t="str">
        <f t="shared" si="32"/>
        <v xml:space="preserve"> </v>
      </c>
    </row>
    <row r="701" spans="1:29" x14ac:dyDescent="0.3">
      <c r="A701" s="1" t="s">
        <v>1691</v>
      </c>
      <c r="B701">
        <v>1</v>
      </c>
      <c r="C701">
        <v>30.99</v>
      </c>
      <c r="D701">
        <v>30.99</v>
      </c>
      <c r="E701" s="1" t="s">
        <v>1381</v>
      </c>
      <c r="F701" s="1" t="s">
        <v>51</v>
      </c>
      <c r="G701">
        <v>0</v>
      </c>
      <c r="H701" s="1" t="s">
        <v>58</v>
      </c>
      <c r="I701" s="1" t="s">
        <v>42</v>
      </c>
      <c r="J701">
        <v>10.5</v>
      </c>
      <c r="K701">
        <v>30.99</v>
      </c>
      <c r="L701" s="1" t="s">
        <v>28</v>
      </c>
      <c r="M701" s="1" t="s">
        <v>43</v>
      </c>
      <c r="N701" s="1" t="s">
        <v>44</v>
      </c>
      <c r="O701" s="1" t="s">
        <v>31</v>
      </c>
      <c r="P701" s="2">
        <v>45823</v>
      </c>
      <c r="Q701" s="1" t="s">
        <v>972</v>
      </c>
      <c r="R701" s="1" t="s">
        <v>1692</v>
      </c>
      <c r="S701" s="1" t="s">
        <v>105</v>
      </c>
      <c r="T701" s="1" t="s">
        <v>35</v>
      </c>
      <c r="U701" s="1" t="s">
        <v>48</v>
      </c>
      <c r="V701" s="1" t="s">
        <v>37</v>
      </c>
      <c r="W701">
        <v>2</v>
      </c>
      <c r="X701" s="1" t="str">
        <f t="shared" si="30"/>
        <v>juan.rodriguez171@mail.com</v>
      </c>
      <c r="Y701" s="1" t="str">
        <f>INDEX(V:V,MATCH(orders_desnormalizado_prueba3[[#This Row],[acquisition_channel]],U:U,0))</f>
        <v>Bodega Propia CO - envio 2-3 dias</v>
      </c>
      <c r="Z701" s="1" t="str">
        <f>INDEX(T:T,MATCH(orders_desnormalizado_prueba3[[#This Row],[shipping_cost]],W:W,0))</f>
        <v>Colombia</v>
      </c>
      <c r="AA701" s="1" t="str">
        <f t="shared" si="31"/>
        <v>Cartagena</v>
      </c>
      <c r="AB701" s="1"/>
      <c r="AC701" s="1" t="str">
        <f t="shared" si="32"/>
        <v xml:space="preserve"> </v>
      </c>
    </row>
    <row r="702" spans="1:29" x14ac:dyDescent="0.3">
      <c r="A702" s="1" t="s">
        <v>1693</v>
      </c>
      <c r="B702">
        <v>3</v>
      </c>
      <c r="C702">
        <v>27.99</v>
      </c>
      <c r="D702">
        <v>66.290000000000006</v>
      </c>
      <c r="E702" s="1" t="s">
        <v>102</v>
      </c>
      <c r="F702" s="1" t="s">
        <v>51</v>
      </c>
      <c r="G702">
        <v>0</v>
      </c>
      <c r="H702" s="1" t="s">
        <v>58</v>
      </c>
      <c r="I702" s="1" t="s">
        <v>75</v>
      </c>
      <c r="J702">
        <v>9</v>
      </c>
      <c r="K702">
        <v>27.99</v>
      </c>
      <c r="L702" s="1" t="s">
        <v>28</v>
      </c>
      <c r="M702" s="1" t="s">
        <v>61</v>
      </c>
      <c r="N702" s="1" t="s">
        <v>62</v>
      </c>
      <c r="O702" s="1" t="s">
        <v>31</v>
      </c>
      <c r="P702" s="2">
        <v>45726</v>
      </c>
      <c r="Q702" s="1" t="s">
        <v>593</v>
      </c>
      <c r="R702" s="1" t="s">
        <v>1353</v>
      </c>
      <c r="S702" s="1" t="s">
        <v>65</v>
      </c>
      <c r="T702" s="1" t="s">
        <v>35</v>
      </c>
      <c r="U702" s="1" t="s">
        <v>66</v>
      </c>
      <c r="V702" s="1" t="s">
        <v>37</v>
      </c>
      <c r="W702">
        <v>2</v>
      </c>
      <c r="X702" s="1" t="str">
        <f t="shared" si="30"/>
        <v>santiago.vargas41@mail.com</v>
      </c>
      <c r="Y702" s="1" t="str">
        <f>INDEX(V:V,MATCH(orders_desnormalizado_prueba3[[#This Row],[acquisition_channel]],U:U,0))</f>
        <v>AliDropship CN - envio 15-20 dias</v>
      </c>
      <c r="Z702" s="1" t="str">
        <f>INDEX(T:T,MATCH(orders_desnormalizado_prueba3[[#This Row],[shipping_cost]],W:W,0))</f>
        <v>Colombia</v>
      </c>
      <c r="AA702" s="1" t="str">
        <f t="shared" si="31"/>
        <v>Cartagena</v>
      </c>
      <c r="AB702" s="1"/>
      <c r="AC702" s="1" t="str">
        <f t="shared" si="32"/>
        <v xml:space="preserve"> </v>
      </c>
    </row>
    <row r="703" spans="1:29" x14ac:dyDescent="0.3">
      <c r="A703" s="1" t="s">
        <v>1694</v>
      </c>
      <c r="B703">
        <v>2</v>
      </c>
      <c r="C703">
        <v>34.99</v>
      </c>
      <c r="D703">
        <v>60.43</v>
      </c>
      <c r="E703" s="1" t="s">
        <v>1268</v>
      </c>
      <c r="F703" s="1" t="s">
        <v>40</v>
      </c>
      <c r="G703">
        <v>5</v>
      </c>
      <c r="H703" s="1" t="s">
        <v>58</v>
      </c>
      <c r="I703" s="1" t="s">
        <v>85</v>
      </c>
      <c r="J703">
        <v>12.5</v>
      </c>
      <c r="K703">
        <v>34.99</v>
      </c>
      <c r="L703" s="1" t="s">
        <v>60</v>
      </c>
      <c r="M703" s="1" t="s">
        <v>29</v>
      </c>
      <c r="N703" s="1" t="s">
        <v>30</v>
      </c>
      <c r="O703" s="1" t="s">
        <v>31</v>
      </c>
      <c r="P703" s="2">
        <v>45778</v>
      </c>
      <c r="Q703" s="1" t="s">
        <v>732</v>
      </c>
      <c r="R703" s="1" t="s">
        <v>825</v>
      </c>
      <c r="S703" s="1" t="s">
        <v>47</v>
      </c>
      <c r="T703" s="1" t="s">
        <v>35</v>
      </c>
      <c r="U703" s="1" t="s">
        <v>66</v>
      </c>
      <c r="V703" s="1" t="s">
        <v>89</v>
      </c>
      <c r="W703">
        <v>2.4</v>
      </c>
      <c r="X703" s="1" t="str">
        <f t="shared" si="30"/>
        <v>ximena.martinez177@mail.com</v>
      </c>
      <c r="Y703" s="1" t="str">
        <f>INDEX(V:V,MATCH(orders_desnormalizado_prueba3[[#This Row],[acquisition_channel]],U:U,0))</f>
        <v>AliDropship CN - envio 15-20 dias</v>
      </c>
      <c r="Z703" s="1" t="str">
        <f>INDEX(T:T,MATCH(orders_desnormalizado_prueba3[[#This Row],[shipping_cost]],W:W,0))</f>
        <v>Colombia</v>
      </c>
      <c r="AA703" s="1" t="str">
        <f t="shared" si="31"/>
        <v>Cali</v>
      </c>
      <c r="AB703" s="1"/>
      <c r="AC703" s="1" t="str">
        <f t="shared" si="32"/>
        <v xml:space="preserve"> </v>
      </c>
    </row>
    <row r="704" spans="1:29" x14ac:dyDescent="0.3">
      <c r="A704" s="1" t="s">
        <v>1695</v>
      </c>
      <c r="B704">
        <v>3</v>
      </c>
      <c r="C704">
        <v>27.99</v>
      </c>
      <c r="D704">
        <v>66.930000000000007</v>
      </c>
      <c r="E704" s="1" t="s">
        <v>246</v>
      </c>
      <c r="F704" s="1" t="s">
        <v>70</v>
      </c>
      <c r="G704">
        <v>0</v>
      </c>
      <c r="H704" s="1" t="s">
        <v>26</v>
      </c>
      <c r="I704" s="1" t="s">
        <v>75</v>
      </c>
      <c r="J704">
        <v>9</v>
      </c>
      <c r="K704">
        <v>27.99</v>
      </c>
      <c r="L704" s="1" t="s">
        <v>28</v>
      </c>
      <c r="M704" s="1" t="s">
        <v>61</v>
      </c>
      <c r="N704" s="1" t="s">
        <v>62</v>
      </c>
      <c r="O704" s="1" t="s">
        <v>31</v>
      </c>
      <c r="P704" s="2">
        <v>45726</v>
      </c>
      <c r="Q704" s="1" t="s">
        <v>990</v>
      </c>
      <c r="R704" s="1" t="s">
        <v>1228</v>
      </c>
      <c r="S704" s="1" t="s">
        <v>47</v>
      </c>
      <c r="T704" s="1" t="s">
        <v>35</v>
      </c>
      <c r="U704" s="1" t="s">
        <v>55</v>
      </c>
      <c r="V704" s="1" t="s">
        <v>37</v>
      </c>
      <c r="W704">
        <v>2</v>
      </c>
      <c r="X704" s="1" t="str">
        <f t="shared" si="30"/>
        <v>fernanda.diaz94@mail.com</v>
      </c>
      <c r="Y704" s="1" t="str">
        <f>INDEX(V:V,MATCH(orders_desnormalizado_prueba3[[#This Row],[acquisition_channel]],U:U,0))</f>
        <v>Bodega Propia CO - envio 2-3 dias</v>
      </c>
      <c r="Z704" s="1" t="str">
        <f>INDEX(T:T,MATCH(orders_desnormalizado_prueba3[[#This Row],[shipping_cost]],W:W,0))</f>
        <v>Colombia</v>
      </c>
      <c r="AA704" s="1" t="str">
        <f t="shared" si="31"/>
        <v>Cartagena</v>
      </c>
      <c r="AB704" s="1"/>
      <c r="AC704" s="1" t="str">
        <f t="shared" si="32"/>
        <v xml:space="preserve"> </v>
      </c>
    </row>
    <row r="705" spans="1:29" x14ac:dyDescent="0.3">
      <c r="A705" s="1" t="s">
        <v>1696</v>
      </c>
      <c r="B705">
        <v>1</v>
      </c>
      <c r="C705">
        <v>21.99</v>
      </c>
      <c r="D705">
        <v>21.99</v>
      </c>
      <c r="E705" s="1" t="s">
        <v>1407</v>
      </c>
      <c r="F705" s="1" t="s">
        <v>40</v>
      </c>
      <c r="G705">
        <v>3</v>
      </c>
      <c r="H705" s="1" t="s">
        <v>41</v>
      </c>
      <c r="I705" s="1" t="s">
        <v>27</v>
      </c>
      <c r="J705">
        <v>7</v>
      </c>
      <c r="K705">
        <v>21.99</v>
      </c>
      <c r="L705" s="1" t="s">
        <v>28</v>
      </c>
      <c r="M705" s="1" t="s">
        <v>29</v>
      </c>
      <c r="N705" s="1" t="s">
        <v>30</v>
      </c>
      <c r="O705" s="1" t="s">
        <v>31</v>
      </c>
      <c r="P705" s="2">
        <v>45778</v>
      </c>
      <c r="Q705" s="1" t="s">
        <v>738</v>
      </c>
      <c r="R705" s="1" t="s">
        <v>739</v>
      </c>
      <c r="S705" s="1" t="s">
        <v>34</v>
      </c>
      <c r="T705" s="1" t="s">
        <v>35</v>
      </c>
      <c r="U705" s="1" t="s">
        <v>82</v>
      </c>
      <c r="V705" s="1" t="s">
        <v>37</v>
      </c>
      <c r="W705">
        <v>2</v>
      </c>
      <c r="X705" s="1" t="str">
        <f t="shared" si="30"/>
        <v>esteban.moreno150@mail.com</v>
      </c>
      <c r="Y705" s="1" t="str">
        <f>INDEX(V:V,MATCH(orders_desnormalizado_prueba3[[#This Row],[acquisition_channel]],U:U,0))</f>
        <v>Bodega Propia CO - envio 2-3 dias</v>
      </c>
      <c r="Z705" s="1" t="str">
        <f>INDEX(T:T,MATCH(orders_desnormalizado_prueba3[[#This Row],[shipping_cost]],W:W,0))</f>
        <v>Colombia</v>
      </c>
      <c r="AA705" s="1" t="str">
        <f t="shared" si="31"/>
        <v>Barranquilla</v>
      </c>
      <c r="AB705" s="1"/>
      <c r="AC705" s="1" t="str">
        <f t="shared" si="32"/>
        <v xml:space="preserve"> </v>
      </c>
    </row>
    <row r="706" spans="1:29" x14ac:dyDescent="0.3">
      <c r="A706" s="1" t="s">
        <v>1697</v>
      </c>
      <c r="B706">
        <v>1</v>
      </c>
      <c r="C706">
        <v>27.99</v>
      </c>
      <c r="D706">
        <v>27.99</v>
      </c>
      <c r="E706" s="1" t="s">
        <v>1698</v>
      </c>
      <c r="F706" s="1" t="s">
        <v>51</v>
      </c>
      <c r="G706">
        <v>0</v>
      </c>
      <c r="H706" s="1" t="s">
        <v>96</v>
      </c>
      <c r="I706" s="1" t="s">
        <v>75</v>
      </c>
      <c r="J706">
        <v>9</v>
      </c>
      <c r="K706">
        <v>27.99</v>
      </c>
      <c r="L706" s="1" t="s">
        <v>28</v>
      </c>
      <c r="M706" s="1" t="s">
        <v>61</v>
      </c>
      <c r="N706" s="1" t="s">
        <v>62</v>
      </c>
      <c r="O706" s="1" t="s">
        <v>31</v>
      </c>
      <c r="P706" s="2">
        <v>45726</v>
      </c>
      <c r="Q706" s="1" t="s">
        <v>1480</v>
      </c>
      <c r="R706" s="1" t="s">
        <v>1699</v>
      </c>
      <c r="S706" s="1" t="s">
        <v>88</v>
      </c>
      <c r="T706" s="1" t="s">
        <v>35</v>
      </c>
      <c r="U706" s="1" t="s">
        <v>48</v>
      </c>
      <c r="V706" s="1" t="s">
        <v>37</v>
      </c>
      <c r="W706">
        <v>2</v>
      </c>
      <c r="X706" s="1" t="str">
        <f t="shared" ref="X706:X769" si="33">INDEX(R:R,MATCH(Q706,Q:Q,0))</f>
        <v>sebastian.ortiz129@mail.com</v>
      </c>
      <c r="Y706" s="1" t="str">
        <f>INDEX(V:V,MATCH(orders_desnormalizado_prueba3[[#This Row],[acquisition_channel]],U:U,0))</f>
        <v>Bodega Propia CO - envio 2-3 dias</v>
      </c>
      <c r="Z706" s="1" t="str">
        <f>INDEX(T:T,MATCH(orders_desnormalizado_prueba3[[#This Row],[shipping_cost]],W:W,0))</f>
        <v>Colombia</v>
      </c>
      <c r="AA706" s="1" t="str">
        <f t="shared" ref="AA706:AA769" si="34">INDEX(S:S,MATCH(G706,G:G,0))</f>
        <v>Cartagena</v>
      </c>
      <c r="AB706" s="1"/>
      <c r="AC706" s="1" t="str">
        <f t="shared" ref="AC706:AC769" si="35">IFERROR(INDEX($V:$V,MATCH(AB706,$R:$R,0)), " ")</f>
        <v xml:space="preserve"> </v>
      </c>
    </row>
    <row r="707" spans="1:29" x14ac:dyDescent="0.3">
      <c r="A707" s="1" t="s">
        <v>1700</v>
      </c>
      <c r="B707">
        <v>3</v>
      </c>
      <c r="C707">
        <v>18.989999999999998</v>
      </c>
      <c r="D707">
        <v>45.88</v>
      </c>
      <c r="E707" s="1" t="s">
        <v>1455</v>
      </c>
      <c r="F707" s="1" t="s">
        <v>40</v>
      </c>
      <c r="G707">
        <v>10</v>
      </c>
      <c r="H707" s="1" t="s">
        <v>96</v>
      </c>
      <c r="I707" s="1" t="s">
        <v>97</v>
      </c>
      <c r="J707">
        <v>6</v>
      </c>
      <c r="K707">
        <v>18.989999999999998</v>
      </c>
      <c r="L707" s="1" t="s">
        <v>60</v>
      </c>
      <c r="M707" s="1" t="s">
        <v>43</v>
      </c>
      <c r="N707" s="1" t="s">
        <v>44</v>
      </c>
      <c r="O707" s="1" t="s">
        <v>31</v>
      </c>
      <c r="P707" s="2">
        <v>45823</v>
      </c>
      <c r="Q707" s="1" t="s">
        <v>1048</v>
      </c>
      <c r="R707" s="1" t="s">
        <v>1701</v>
      </c>
      <c r="S707" s="1" t="s">
        <v>105</v>
      </c>
      <c r="T707" s="1" t="s">
        <v>35</v>
      </c>
      <c r="U707" s="1" t="s">
        <v>82</v>
      </c>
      <c r="V707" s="1" t="s">
        <v>100</v>
      </c>
      <c r="W707">
        <v>3.2</v>
      </c>
      <c r="X707" s="1" t="str">
        <f t="shared" si="33"/>
        <v>andres.perez17@mail.com</v>
      </c>
      <c r="Y707" s="1" t="str">
        <f>INDEX(V:V,MATCH(orders_desnormalizado_prueba3[[#This Row],[acquisition_channel]],U:U,0))</f>
        <v>Bodega Propia CO - envio 2-3 dias</v>
      </c>
      <c r="Z707" s="1" t="str">
        <f>INDEX(T:T,MATCH(orders_desnormalizado_prueba3[[#This Row],[shipping_cost]],W:W,0))</f>
        <v>Colombia</v>
      </c>
      <c r="AA707" s="1" t="str">
        <f t="shared" si="34"/>
        <v>Bogota</v>
      </c>
      <c r="AB707" s="1"/>
      <c r="AC707" s="1" t="str">
        <f t="shared" si="35"/>
        <v xml:space="preserve"> </v>
      </c>
    </row>
    <row r="708" spans="1:29" x14ac:dyDescent="0.3">
      <c r="A708" s="1" t="s">
        <v>1702</v>
      </c>
      <c r="B708">
        <v>1</v>
      </c>
      <c r="C708">
        <v>18.989999999999998</v>
      </c>
      <c r="D708">
        <v>18.989999999999998</v>
      </c>
      <c r="E708" s="1" t="s">
        <v>1064</v>
      </c>
      <c r="F708" s="1" t="s">
        <v>40</v>
      </c>
      <c r="G708">
        <v>11</v>
      </c>
      <c r="H708" s="1" t="s">
        <v>96</v>
      </c>
      <c r="I708" s="1" t="s">
        <v>97</v>
      </c>
      <c r="J708">
        <v>6</v>
      </c>
      <c r="K708">
        <v>18.989999999999998</v>
      </c>
      <c r="L708" s="1" t="s">
        <v>60</v>
      </c>
      <c r="M708" s="1" t="s">
        <v>43</v>
      </c>
      <c r="N708" s="1" t="s">
        <v>44</v>
      </c>
      <c r="O708" s="1" t="s">
        <v>31</v>
      </c>
      <c r="P708" s="2">
        <v>45823</v>
      </c>
      <c r="Q708" s="1" t="s">
        <v>1703</v>
      </c>
      <c r="R708" s="1" t="s">
        <v>1704</v>
      </c>
      <c r="S708" s="1" t="s">
        <v>105</v>
      </c>
      <c r="T708" s="1" t="s">
        <v>35</v>
      </c>
      <c r="U708" s="1" t="s">
        <v>82</v>
      </c>
      <c r="V708" s="1" t="s">
        <v>100</v>
      </c>
      <c r="W708">
        <v>3.2</v>
      </c>
      <c r="X708" s="1" t="str">
        <f t="shared" si="33"/>
        <v>david.vargas127@mail.com</v>
      </c>
      <c r="Y708" s="1" t="str">
        <f>INDEX(V:V,MATCH(orders_desnormalizado_prueba3[[#This Row],[acquisition_channel]],U:U,0))</f>
        <v>Bodega Propia CO - envio 2-3 dias</v>
      </c>
      <c r="Z708" s="1" t="str">
        <f>INDEX(T:T,MATCH(orders_desnormalizado_prueba3[[#This Row],[shipping_cost]],W:W,0))</f>
        <v>Colombia</v>
      </c>
      <c r="AA708" s="1" t="str">
        <f t="shared" si="34"/>
        <v>Cali</v>
      </c>
      <c r="AB708" s="1"/>
      <c r="AC708" s="1" t="str">
        <f t="shared" si="35"/>
        <v xml:space="preserve"> </v>
      </c>
    </row>
    <row r="709" spans="1:29" x14ac:dyDescent="0.3">
      <c r="A709" s="1" t="s">
        <v>1705</v>
      </c>
      <c r="B709">
        <v>1</v>
      </c>
      <c r="C709">
        <v>30.99</v>
      </c>
      <c r="D709">
        <v>30.99</v>
      </c>
      <c r="E709" s="1" t="s">
        <v>1051</v>
      </c>
      <c r="F709" s="1" t="s">
        <v>51</v>
      </c>
      <c r="G709">
        <v>0</v>
      </c>
      <c r="H709" s="1" t="s">
        <v>58</v>
      </c>
      <c r="I709" s="1" t="s">
        <v>42</v>
      </c>
      <c r="J709">
        <v>10.5</v>
      </c>
      <c r="K709">
        <v>30.99</v>
      </c>
      <c r="L709" s="1" t="s">
        <v>28</v>
      </c>
      <c r="M709" s="1" t="s">
        <v>43</v>
      </c>
      <c r="N709" s="1" t="s">
        <v>44</v>
      </c>
      <c r="O709" s="1" t="s">
        <v>31</v>
      </c>
      <c r="P709" s="2">
        <v>45823</v>
      </c>
      <c r="Q709" s="1" t="s">
        <v>1706</v>
      </c>
      <c r="R709" s="1" t="s">
        <v>1707</v>
      </c>
      <c r="S709" s="1" t="s">
        <v>54</v>
      </c>
      <c r="T709" s="1" t="s">
        <v>35</v>
      </c>
      <c r="U709" s="1" t="s">
        <v>82</v>
      </c>
      <c r="V709" s="1" t="s">
        <v>37</v>
      </c>
      <c r="W709">
        <v>2</v>
      </c>
      <c r="X709" s="1" t="str">
        <f t="shared" si="33"/>
        <v>ricardo.ortiz156@mail.com</v>
      </c>
      <c r="Y709" s="1" t="str">
        <f>INDEX(V:V,MATCH(orders_desnormalizado_prueba3[[#This Row],[acquisition_channel]],U:U,0))</f>
        <v>Bodega Propia CO - envio 2-3 dias</v>
      </c>
      <c r="Z709" s="1" t="str">
        <f>INDEX(T:T,MATCH(orders_desnormalizado_prueba3[[#This Row],[shipping_cost]],W:W,0))</f>
        <v>Colombia</v>
      </c>
      <c r="AA709" s="1" t="str">
        <f t="shared" si="34"/>
        <v>Cartagena</v>
      </c>
      <c r="AB709" s="1"/>
      <c r="AC709" s="1" t="str">
        <f t="shared" si="35"/>
        <v xml:space="preserve"> </v>
      </c>
    </row>
    <row r="710" spans="1:29" x14ac:dyDescent="0.3">
      <c r="A710" s="1" t="s">
        <v>1708</v>
      </c>
      <c r="B710">
        <v>1</v>
      </c>
      <c r="C710">
        <v>27.99</v>
      </c>
      <c r="D710">
        <v>27.99</v>
      </c>
      <c r="E710" s="1" t="s">
        <v>325</v>
      </c>
      <c r="F710" s="1" t="s">
        <v>40</v>
      </c>
      <c r="G710">
        <v>3</v>
      </c>
      <c r="H710" s="1" t="s">
        <v>26</v>
      </c>
      <c r="I710" s="1" t="s">
        <v>75</v>
      </c>
      <c r="J710">
        <v>9</v>
      </c>
      <c r="K710">
        <v>27.99</v>
      </c>
      <c r="L710" s="1" t="s">
        <v>28</v>
      </c>
      <c r="M710" s="1" t="s">
        <v>61</v>
      </c>
      <c r="N710" s="1" t="s">
        <v>62</v>
      </c>
      <c r="O710" s="1" t="s">
        <v>31</v>
      </c>
      <c r="P710" s="2">
        <v>45726</v>
      </c>
      <c r="Q710" s="1" t="s">
        <v>905</v>
      </c>
      <c r="R710" s="1" t="s">
        <v>906</v>
      </c>
      <c r="S710" s="1" t="s">
        <v>105</v>
      </c>
      <c r="T710" s="1" t="s">
        <v>35</v>
      </c>
      <c r="U710" s="1" t="s">
        <v>55</v>
      </c>
      <c r="V710" s="1" t="s">
        <v>37</v>
      </c>
      <c r="W710">
        <v>2</v>
      </c>
      <c r="X710" s="1" t="str">
        <f t="shared" si="33"/>
        <v>julian.ortiz58@mail.com</v>
      </c>
      <c r="Y710" s="1" t="str">
        <f>INDEX(V:V,MATCH(orders_desnormalizado_prueba3[[#This Row],[acquisition_channel]],U:U,0))</f>
        <v>Bodega Propia CO - envio 2-3 dias</v>
      </c>
      <c r="Z710" s="1" t="str">
        <f>INDEX(T:T,MATCH(orders_desnormalizado_prueba3[[#This Row],[shipping_cost]],W:W,0))</f>
        <v>Colombia</v>
      </c>
      <c r="AA710" s="1" t="str">
        <f t="shared" si="34"/>
        <v>Barranquilla</v>
      </c>
      <c r="AB710" s="1"/>
      <c r="AC710" s="1" t="str">
        <f t="shared" si="35"/>
        <v xml:space="preserve"> </v>
      </c>
    </row>
    <row r="711" spans="1:29" x14ac:dyDescent="0.3">
      <c r="A711" s="1" t="s">
        <v>1709</v>
      </c>
      <c r="B711">
        <v>1</v>
      </c>
      <c r="C711">
        <v>21.99</v>
      </c>
      <c r="D711">
        <v>21.99</v>
      </c>
      <c r="E711" s="1" t="s">
        <v>1299</v>
      </c>
      <c r="F711" s="1" t="s">
        <v>40</v>
      </c>
      <c r="G711">
        <v>2</v>
      </c>
      <c r="H711" s="1" t="s">
        <v>26</v>
      </c>
      <c r="I711" s="1" t="s">
        <v>27</v>
      </c>
      <c r="J711">
        <v>7</v>
      </c>
      <c r="K711">
        <v>21.99</v>
      </c>
      <c r="L711" s="1" t="s">
        <v>28</v>
      </c>
      <c r="M711" s="1" t="s">
        <v>29</v>
      </c>
      <c r="N711" s="1" t="s">
        <v>30</v>
      </c>
      <c r="O711" s="1" t="s">
        <v>31</v>
      </c>
      <c r="P711" s="2">
        <v>45778</v>
      </c>
      <c r="Q711" s="1" t="s">
        <v>917</v>
      </c>
      <c r="R711" s="1" t="s">
        <v>1710</v>
      </c>
      <c r="S711" s="1" t="s">
        <v>34</v>
      </c>
      <c r="T711" s="1" t="s">
        <v>35</v>
      </c>
      <c r="U711" s="1" t="s">
        <v>82</v>
      </c>
      <c r="V711" s="1" t="s">
        <v>37</v>
      </c>
      <c r="W711">
        <v>2</v>
      </c>
      <c r="X711" s="1" t="str">
        <f t="shared" si="33"/>
        <v>manuela.lopez93@mail.com</v>
      </c>
      <c r="Y711" s="1" t="str">
        <f>INDEX(V:V,MATCH(orders_desnormalizado_prueba3[[#This Row],[acquisition_channel]],U:U,0))</f>
        <v>Bodega Propia CO - envio 2-3 dias</v>
      </c>
      <c r="Z711" s="1" t="str">
        <f>INDEX(T:T,MATCH(orders_desnormalizado_prueba3[[#This Row],[shipping_cost]],W:W,0))</f>
        <v>Colombia</v>
      </c>
      <c r="AA711" s="1" t="str">
        <f t="shared" si="34"/>
        <v>Medellin</v>
      </c>
      <c r="AB711" s="1"/>
      <c r="AC711" s="1" t="str">
        <f t="shared" si="35"/>
        <v xml:space="preserve"> </v>
      </c>
    </row>
    <row r="712" spans="1:29" x14ac:dyDescent="0.3">
      <c r="A712" s="1" t="s">
        <v>1711</v>
      </c>
      <c r="B712">
        <v>1</v>
      </c>
      <c r="C712">
        <v>21.99</v>
      </c>
      <c r="D712">
        <v>21.99</v>
      </c>
      <c r="E712" s="1" t="s">
        <v>1452</v>
      </c>
      <c r="F712" s="1" t="s">
        <v>188</v>
      </c>
      <c r="G712">
        <v>0</v>
      </c>
      <c r="H712" s="1" t="s">
        <v>41</v>
      </c>
      <c r="I712" s="1" t="s">
        <v>27</v>
      </c>
      <c r="J712">
        <v>7</v>
      </c>
      <c r="K712">
        <v>21.99</v>
      </c>
      <c r="L712" s="1" t="s">
        <v>28</v>
      </c>
      <c r="M712" s="1" t="s">
        <v>29</v>
      </c>
      <c r="N712" s="1" t="s">
        <v>30</v>
      </c>
      <c r="O712" s="1" t="s">
        <v>31</v>
      </c>
      <c r="P712" s="2">
        <v>45778</v>
      </c>
      <c r="Q712" s="1" t="s">
        <v>1712</v>
      </c>
      <c r="R712" s="1" t="s">
        <v>1713</v>
      </c>
      <c r="S712" s="1" t="s">
        <v>34</v>
      </c>
      <c r="T712" s="1" t="s">
        <v>35</v>
      </c>
      <c r="U712" s="1" t="s">
        <v>48</v>
      </c>
      <c r="V712" s="1" t="s">
        <v>37</v>
      </c>
      <c r="W712">
        <v>2</v>
      </c>
      <c r="X712" s="1" t="str">
        <f t="shared" si="33"/>
        <v>gabriela.hernandez179@mail.com</v>
      </c>
      <c r="Y712" s="1" t="str">
        <f>INDEX(V:V,MATCH(orders_desnormalizado_prueba3[[#This Row],[acquisition_channel]],U:U,0))</f>
        <v>Bodega Propia CO - envio 2-3 dias</v>
      </c>
      <c r="Z712" s="1" t="str">
        <f>INDEX(T:T,MATCH(orders_desnormalizado_prueba3[[#This Row],[shipping_cost]],W:W,0))</f>
        <v>Colombia</v>
      </c>
      <c r="AA712" s="1" t="str">
        <f t="shared" si="34"/>
        <v>Cartagena</v>
      </c>
      <c r="AB712" s="1"/>
      <c r="AC712" s="1" t="str">
        <f t="shared" si="35"/>
        <v xml:space="preserve"> </v>
      </c>
    </row>
    <row r="713" spans="1:29" x14ac:dyDescent="0.3">
      <c r="A713" s="1" t="s">
        <v>1714</v>
      </c>
      <c r="B713">
        <v>1</v>
      </c>
      <c r="C713">
        <v>27.99</v>
      </c>
      <c r="D713">
        <v>27.99</v>
      </c>
      <c r="E713" s="1" t="s">
        <v>1015</v>
      </c>
      <c r="F713" s="1" t="s">
        <v>188</v>
      </c>
      <c r="G713">
        <v>0</v>
      </c>
      <c r="H713" s="1" t="s">
        <v>96</v>
      </c>
      <c r="I713" s="1" t="s">
        <v>75</v>
      </c>
      <c r="J713">
        <v>9</v>
      </c>
      <c r="K713">
        <v>27.99</v>
      </c>
      <c r="L713" s="1" t="s">
        <v>28</v>
      </c>
      <c r="M713" s="1" t="s">
        <v>61</v>
      </c>
      <c r="N713" s="1" t="s">
        <v>62</v>
      </c>
      <c r="O713" s="1" t="s">
        <v>31</v>
      </c>
      <c r="P713" s="2">
        <v>45726</v>
      </c>
      <c r="Q713" s="1" t="s">
        <v>1187</v>
      </c>
      <c r="R713" s="1" t="s">
        <v>1188</v>
      </c>
      <c r="S713" s="1" t="s">
        <v>47</v>
      </c>
      <c r="T713" s="1" t="s">
        <v>35</v>
      </c>
      <c r="U713" s="1" t="s">
        <v>48</v>
      </c>
      <c r="V713" s="1" t="s">
        <v>37</v>
      </c>
      <c r="W713">
        <v>2</v>
      </c>
      <c r="X713" s="1" t="str">
        <f t="shared" si="33"/>
        <v>nicolas.jimenez67@mail.com</v>
      </c>
      <c r="Y713" s="1" t="str">
        <f>INDEX(V:V,MATCH(orders_desnormalizado_prueba3[[#This Row],[acquisition_channel]],U:U,0))</f>
        <v>Bodega Propia CO - envio 2-3 dias</v>
      </c>
      <c r="Z713" s="1" t="str">
        <f>INDEX(T:T,MATCH(orders_desnormalizado_prueba3[[#This Row],[shipping_cost]],W:W,0))</f>
        <v>Colombia</v>
      </c>
      <c r="AA713" s="1" t="str">
        <f t="shared" si="34"/>
        <v>Cartagena</v>
      </c>
      <c r="AB713" s="1"/>
      <c r="AC713" s="1" t="str">
        <f t="shared" si="35"/>
        <v xml:space="preserve"> </v>
      </c>
    </row>
    <row r="714" spans="1:29" x14ac:dyDescent="0.3">
      <c r="A714" s="1" t="s">
        <v>1715</v>
      </c>
      <c r="B714">
        <v>1</v>
      </c>
      <c r="C714">
        <v>16.989999999999998</v>
      </c>
      <c r="D714">
        <v>16.989999999999998</v>
      </c>
      <c r="E714" s="1" t="s">
        <v>813</v>
      </c>
      <c r="F714" s="1" t="s">
        <v>40</v>
      </c>
      <c r="G714">
        <v>18</v>
      </c>
      <c r="H714" s="1" t="s">
        <v>96</v>
      </c>
      <c r="I714" s="1" t="s">
        <v>59</v>
      </c>
      <c r="J714">
        <v>5</v>
      </c>
      <c r="K714">
        <v>16.989999999999998</v>
      </c>
      <c r="L714" s="1" t="s">
        <v>60</v>
      </c>
      <c r="M714" s="1" t="s">
        <v>61</v>
      </c>
      <c r="N714" s="1" t="s">
        <v>62</v>
      </c>
      <c r="O714" s="1" t="s">
        <v>31</v>
      </c>
      <c r="P714" s="2">
        <v>45726</v>
      </c>
      <c r="Q714" s="1" t="s">
        <v>110</v>
      </c>
      <c r="R714" s="1" t="s">
        <v>1716</v>
      </c>
      <c r="S714" s="1" t="s">
        <v>65</v>
      </c>
      <c r="T714" s="1" t="s">
        <v>35</v>
      </c>
      <c r="U714" s="1" t="s">
        <v>55</v>
      </c>
      <c r="V714" s="1" t="s">
        <v>67</v>
      </c>
      <c r="W714">
        <v>3</v>
      </c>
      <c r="X714" s="1" t="str">
        <f t="shared" si="33"/>
        <v>santiago.torres30@mail.com</v>
      </c>
      <c r="Y714" s="1" t="str">
        <f>INDEX(V:V,MATCH(orders_desnormalizado_prueba3[[#This Row],[acquisition_channel]],U:U,0))</f>
        <v>Bodega Propia CO - envio 2-3 dias</v>
      </c>
      <c r="Z714" s="1" t="str">
        <f>INDEX(T:T,MATCH(orders_desnormalizado_prueba3[[#This Row],[shipping_cost]],W:W,0))</f>
        <v>Colombia</v>
      </c>
      <c r="AA714" s="1" t="str">
        <f t="shared" si="34"/>
        <v>Medellin</v>
      </c>
      <c r="AB714" s="1"/>
      <c r="AC714" s="1" t="str">
        <f t="shared" si="35"/>
        <v xml:space="preserve"> </v>
      </c>
    </row>
    <row r="715" spans="1:29" x14ac:dyDescent="0.3">
      <c r="A715" s="1" t="s">
        <v>1717</v>
      </c>
      <c r="B715">
        <v>1</v>
      </c>
      <c r="C715">
        <v>34.99</v>
      </c>
      <c r="D715">
        <v>34.99</v>
      </c>
      <c r="E715" s="1" t="s">
        <v>1718</v>
      </c>
      <c r="F715" s="1" t="s">
        <v>40</v>
      </c>
      <c r="G715">
        <v>6</v>
      </c>
      <c r="H715" s="1" t="s">
        <v>96</v>
      </c>
      <c r="I715" s="1" t="s">
        <v>85</v>
      </c>
      <c r="J715">
        <v>12.5</v>
      </c>
      <c r="K715">
        <v>34.99</v>
      </c>
      <c r="L715" s="1" t="s">
        <v>60</v>
      </c>
      <c r="M715" s="1" t="s">
        <v>29</v>
      </c>
      <c r="N715" s="1" t="s">
        <v>30</v>
      </c>
      <c r="O715" s="1" t="s">
        <v>31</v>
      </c>
      <c r="P715" s="2">
        <v>45778</v>
      </c>
      <c r="Q715" s="1" t="s">
        <v>1719</v>
      </c>
      <c r="R715" s="1" t="s">
        <v>1720</v>
      </c>
      <c r="S715" s="1" t="s">
        <v>54</v>
      </c>
      <c r="T715" s="1" t="s">
        <v>35</v>
      </c>
      <c r="U715" s="1" t="s">
        <v>66</v>
      </c>
      <c r="V715" s="1" t="s">
        <v>89</v>
      </c>
      <c r="W715">
        <v>2.4</v>
      </c>
      <c r="X715" s="1" t="str">
        <f t="shared" si="33"/>
        <v>julian.diaz162@mail.com</v>
      </c>
      <c r="Y715" s="1" t="str">
        <f>INDEX(V:V,MATCH(orders_desnormalizado_prueba3[[#This Row],[acquisition_channel]],U:U,0))</f>
        <v>AliDropship CN - envio 15-20 dias</v>
      </c>
      <c r="Z715" s="1" t="str">
        <f>INDEX(T:T,MATCH(orders_desnormalizado_prueba3[[#This Row],[shipping_cost]],W:W,0))</f>
        <v>Colombia</v>
      </c>
      <c r="AA715" s="1" t="str">
        <f t="shared" si="34"/>
        <v>Medellin</v>
      </c>
      <c r="AB715" s="1"/>
      <c r="AC715" s="1" t="str">
        <f t="shared" si="35"/>
        <v xml:space="preserve"> </v>
      </c>
    </row>
    <row r="716" spans="1:29" x14ac:dyDescent="0.3">
      <c r="A716" s="1" t="s">
        <v>1721</v>
      </c>
      <c r="B716">
        <v>3</v>
      </c>
      <c r="C716">
        <v>30.99</v>
      </c>
      <c r="D716">
        <v>73.489999999999995</v>
      </c>
      <c r="E716" s="1" t="s">
        <v>1324</v>
      </c>
      <c r="F716" s="1" t="s">
        <v>40</v>
      </c>
      <c r="G716">
        <v>6</v>
      </c>
      <c r="H716" s="1" t="s">
        <v>96</v>
      </c>
      <c r="I716" s="1" t="s">
        <v>42</v>
      </c>
      <c r="J716">
        <v>10.5</v>
      </c>
      <c r="K716">
        <v>30.99</v>
      </c>
      <c r="L716" s="1" t="s">
        <v>28</v>
      </c>
      <c r="M716" s="1" t="s">
        <v>43</v>
      </c>
      <c r="N716" s="1" t="s">
        <v>44</v>
      </c>
      <c r="O716" s="1" t="s">
        <v>31</v>
      </c>
      <c r="P716" s="2">
        <v>45823</v>
      </c>
      <c r="Q716" s="1" t="s">
        <v>1241</v>
      </c>
      <c r="R716" s="1" t="s">
        <v>1722</v>
      </c>
      <c r="S716" s="1" t="s">
        <v>65</v>
      </c>
      <c r="T716" s="1" t="s">
        <v>35</v>
      </c>
      <c r="U716" s="1" t="s">
        <v>82</v>
      </c>
      <c r="V716" s="1" t="s">
        <v>37</v>
      </c>
      <c r="W716">
        <v>2</v>
      </c>
      <c r="X716" s="1" t="str">
        <f t="shared" si="33"/>
        <v>antonia.torres55@mail.com</v>
      </c>
      <c r="Y716" s="1" t="str">
        <f>INDEX(V:V,MATCH(orders_desnormalizado_prueba3[[#This Row],[acquisition_channel]],U:U,0))</f>
        <v>Bodega Propia CO - envio 2-3 dias</v>
      </c>
      <c r="Z716" s="1" t="str">
        <f>INDEX(T:T,MATCH(orders_desnormalizado_prueba3[[#This Row],[shipping_cost]],W:W,0))</f>
        <v>Colombia</v>
      </c>
      <c r="AA716" s="1" t="str">
        <f t="shared" si="34"/>
        <v>Medellin</v>
      </c>
      <c r="AB716" s="1"/>
      <c r="AC716" s="1" t="str">
        <f t="shared" si="35"/>
        <v xml:space="preserve"> </v>
      </c>
    </row>
    <row r="717" spans="1:29" x14ac:dyDescent="0.3">
      <c r="A717" s="1" t="s">
        <v>1723</v>
      </c>
      <c r="B717">
        <v>3</v>
      </c>
      <c r="C717">
        <v>21.99</v>
      </c>
      <c r="D717">
        <v>52.04</v>
      </c>
      <c r="E717" s="1" t="s">
        <v>1724</v>
      </c>
      <c r="F717" s="1" t="s">
        <v>70</v>
      </c>
      <c r="G717">
        <v>0</v>
      </c>
      <c r="H717" s="1" t="s">
        <v>58</v>
      </c>
      <c r="I717" s="1" t="s">
        <v>27</v>
      </c>
      <c r="J717">
        <v>7</v>
      </c>
      <c r="K717">
        <v>21.99</v>
      </c>
      <c r="L717" s="1" t="s">
        <v>28</v>
      </c>
      <c r="M717" s="1" t="s">
        <v>29</v>
      </c>
      <c r="N717" s="1" t="s">
        <v>30</v>
      </c>
      <c r="O717" s="1" t="s">
        <v>31</v>
      </c>
      <c r="P717" s="2">
        <v>45778</v>
      </c>
      <c r="Q717" s="1" t="s">
        <v>1018</v>
      </c>
      <c r="R717" s="1" t="s">
        <v>1725</v>
      </c>
      <c r="S717" s="1" t="s">
        <v>47</v>
      </c>
      <c r="T717" s="1" t="s">
        <v>35</v>
      </c>
      <c r="U717" s="1" t="s">
        <v>55</v>
      </c>
      <c r="V717" s="1" t="s">
        <v>37</v>
      </c>
      <c r="W717">
        <v>2</v>
      </c>
      <c r="X717" s="1" t="str">
        <f t="shared" si="33"/>
        <v>catalina.jimenez76@mail.com</v>
      </c>
      <c r="Y717" s="1" t="str">
        <f>INDEX(V:V,MATCH(orders_desnormalizado_prueba3[[#This Row],[acquisition_channel]],U:U,0))</f>
        <v>Bodega Propia CO - envio 2-3 dias</v>
      </c>
      <c r="Z717" s="1" t="str">
        <f>INDEX(T:T,MATCH(orders_desnormalizado_prueba3[[#This Row],[shipping_cost]],W:W,0))</f>
        <v>Colombia</v>
      </c>
      <c r="AA717" s="1" t="str">
        <f t="shared" si="34"/>
        <v>Cartagena</v>
      </c>
      <c r="AB717" s="1"/>
      <c r="AC717" s="1" t="str">
        <f t="shared" si="35"/>
        <v xml:space="preserve"> </v>
      </c>
    </row>
    <row r="718" spans="1:29" x14ac:dyDescent="0.3">
      <c r="A718" s="1" t="s">
        <v>1726</v>
      </c>
      <c r="B718">
        <v>1</v>
      </c>
      <c r="C718">
        <v>27.99</v>
      </c>
      <c r="D718">
        <v>27.99</v>
      </c>
      <c r="E718" s="1" t="s">
        <v>1727</v>
      </c>
      <c r="F718" s="1" t="s">
        <v>70</v>
      </c>
      <c r="G718">
        <v>0</v>
      </c>
      <c r="H718" s="1" t="s">
        <v>26</v>
      </c>
      <c r="I718" s="1" t="s">
        <v>75</v>
      </c>
      <c r="J718">
        <v>9</v>
      </c>
      <c r="K718">
        <v>27.99</v>
      </c>
      <c r="L718" s="1" t="s">
        <v>28</v>
      </c>
      <c r="M718" s="1" t="s">
        <v>61</v>
      </c>
      <c r="N718" s="1" t="s">
        <v>62</v>
      </c>
      <c r="O718" s="1" t="s">
        <v>31</v>
      </c>
      <c r="P718" s="2">
        <v>45726</v>
      </c>
      <c r="Q718" s="1" t="s">
        <v>1728</v>
      </c>
      <c r="R718" s="1" t="s">
        <v>1729</v>
      </c>
      <c r="S718" s="1" t="s">
        <v>65</v>
      </c>
      <c r="T718" s="1" t="s">
        <v>35</v>
      </c>
      <c r="U718" s="1" t="s">
        <v>55</v>
      </c>
      <c r="V718" s="1" t="s">
        <v>37</v>
      </c>
      <c r="W718">
        <v>2</v>
      </c>
      <c r="X718" s="1" t="str">
        <f t="shared" si="33"/>
        <v>santiago.rodriguez157@mail.com</v>
      </c>
      <c r="Y718" s="1" t="str">
        <f>INDEX(V:V,MATCH(orders_desnormalizado_prueba3[[#This Row],[acquisition_channel]],U:U,0))</f>
        <v>Bodega Propia CO - envio 2-3 dias</v>
      </c>
      <c r="Z718" s="1" t="str">
        <f>INDEX(T:T,MATCH(orders_desnormalizado_prueba3[[#This Row],[shipping_cost]],W:W,0))</f>
        <v>Colombia</v>
      </c>
      <c r="AA718" s="1" t="str">
        <f t="shared" si="34"/>
        <v>Cartagena</v>
      </c>
      <c r="AB718" s="1"/>
      <c r="AC718" s="1" t="str">
        <f t="shared" si="35"/>
        <v xml:space="preserve"> </v>
      </c>
    </row>
    <row r="719" spans="1:29" x14ac:dyDescent="0.3">
      <c r="A719" s="1" t="s">
        <v>1730</v>
      </c>
      <c r="B719">
        <v>2</v>
      </c>
      <c r="C719">
        <v>21.99</v>
      </c>
      <c r="D719">
        <v>38.479999999999997</v>
      </c>
      <c r="E719" s="1" t="s">
        <v>628</v>
      </c>
      <c r="F719" s="1" t="s">
        <v>40</v>
      </c>
      <c r="G719">
        <v>2</v>
      </c>
      <c r="H719" s="1" t="s">
        <v>58</v>
      </c>
      <c r="I719" s="1" t="s">
        <v>27</v>
      </c>
      <c r="J719">
        <v>7</v>
      </c>
      <c r="K719">
        <v>21.99</v>
      </c>
      <c r="L719" s="1" t="s">
        <v>28</v>
      </c>
      <c r="M719" s="1" t="s">
        <v>29</v>
      </c>
      <c r="N719" s="1" t="s">
        <v>30</v>
      </c>
      <c r="O719" s="1" t="s">
        <v>31</v>
      </c>
      <c r="P719" s="2">
        <v>45778</v>
      </c>
      <c r="Q719" s="1" t="s">
        <v>1342</v>
      </c>
      <c r="R719" s="1" t="s">
        <v>1731</v>
      </c>
      <c r="S719" s="1" t="s">
        <v>34</v>
      </c>
      <c r="T719" s="1" t="s">
        <v>35</v>
      </c>
      <c r="U719" s="1" t="s">
        <v>48</v>
      </c>
      <c r="V719" s="1" t="s">
        <v>37</v>
      </c>
      <c r="W719">
        <v>2</v>
      </c>
      <c r="X719" s="1" t="str">
        <f t="shared" si="33"/>
        <v>david.torres153@mail.com</v>
      </c>
      <c r="Y719" s="1" t="str">
        <f>INDEX(V:V,MATCH(orders_desnormalizado_prueba3[[#This Row],[acquisition_channel]],U:U,0))</f>
        <v>Bodega Propia CO - envio 2-3 dias</v>
      </c>
      <c r="Z719" s="1" t="str">
        <f>INDEX(T:T,MATCH(orders_desnormalizado_prueba3[[#This Row],[shipping_cost]],W:W,0))</f>
        <v>Colombia</v>
      </c>
      <c r="AA719" s="1" t="str">
        <f t="shared" si="34"/>
        <v>Medellin</v>
      </c>
      <c r="AB719" s="1"/>
      <c r="AC719" s="1" t="str">
        <f t="shared" si="35"/>
        <v xml:space="preserve"> </v>
      </c>
    </row>
    <row r="720" spans="1:29" x14ac:dyDescent="0.3">
      <c r="A720" s="1" t="s">
        <v>1732</v>
      </c>
      <c r="B720">
        <v>1</v>
      </c>
      <c r="C720">
        <v>21.99</v>
      </c>
      <c r="D720">
        <v>21.99</v>
      </c>
      <c r="E720" s="1" t="s">
        <v>1733</v>
      </c>
      <c r="F720" s="1" t="s">
        <v>188</v>
      </c>
      <c r="G720">
        <v>0</v>
      </c>
      <c r="H720" s="1" t="s">
        <v>41</v>
      </c>
      <c r="I720" s="1" t="s">
        <v>27</v>
      </c>
      <c r="J720">
        <v>7</v>
      </c>
      <c r="K720">
        <v>21.99</v>
      </c>
      <c r="L720" s="1" t="s">
        <v>28</v>
      </c>
      <c r="M720" s="1" t="s">
        <v>29</v>
      </c>
      <c r="N720" s="1" t="s">
        <v>30</v>
      </c>
      <c r="O720" s="1" t="s">
        <v>31</v>
      </c>
      <c r="P720" s="2">
        <v>45778</v>
      </c>
      <c r="Q720" s="1" t="s">
        <v>1237</v>
      </c>
      <c r="R720" s="1" t="s">
        <v>1238</v>
      </c>
      <c r="S720" s="1" t="s">
        <v>65</v>
      </c>
      <c r="T720" s="1" t="s">
        <v>35</v>
      </c>
      <c r="U720" s="1" t="s">
        <v>66</v>
      </c>
      <c r="V720" s="1" t="s">
        <v>37</v>
      </c>
      <c r="W720">
        <v>2</v>
      </c>
      <c r="X720" s="1" t="str">
        <f t="shared" si="33"/>
        <v>ricardo.moreno46@mail.com</v>
      </c>
      <c r="Y720" s="1" t="str">
        <f>INDEX(V:V,MATCH(orders_desnormalizado_prueba3[[#This Row],[acquisition_channel]],U:U,0))</f>
        <v>AliDropship CN - envio 15-20 dias</v>
      </c>
      <c r="Z720" s="1" t="str">
        <f>INDEX(T:T,MATCH(orders_desnormalizado_prueba3[[#This Row],[shipping_cost]],W:W,0))</f>
        <v>Colombia</v>
      </c>
      <c r="AA720" s="1" t="str">
        <f t="shared" si="34"/>
        <v>Cartagena</v>
      </c>
      <c r="AB720" s="1"/>
      <c r="AC720" s="1" t="str">
        <f t="shared" si="35"/>
        <v xml:space="preserve"> </v>
      </c>
    </row>
    <row r="721" spans="1:29" x14ac:dyDescent="0.3">
      <c r="A721" s="1" t="s">
        <v>1734</v>
      </c>
      <c r="B721">
        <v>1</v>
      </c>
      <c r="C721">
        <v>18.989999999999998</v>
      </c>
      <c r="D721">
        <v>18.989999999999998</v>
      </c>
      <c r="E721" s="1" t="s">
        <v>113</v>
      </c>
      <c r="F721" s="1" t="s">
        <v>70</v>
      </c>
      <c r="G721">
        <v>0</v>
      </c>
      <c r="H721" s="1" t="s">
        <v>58</v>
      </c>
      <c r="I721" s="1" t="s">
        <v>97</v>
      </c>
      <c r="J721">
        <v>6</v>
      </c>
      <c r="K721">
        <v>18.989999999999998</v>
      </c>
      <c r="L721" s="1" t="s">
        <v>60</v>
      </c>
      <c r="M721" s="1" t="s">
        <v>43</v>
      </c>
      <c r="N721" s="1" t="s">
        <v>44</v>
      </c>
      <c r="O721" s="1" t="s">
        <v>31</v>
      </c>
      <c r="P721" s="2">
        <v>45823</v>
      </c>
      <c r="Q721" s="1" t="s">
        <v>1421</v>
      </c>
      <c r="R721" s="1" t="s">
        <v>1422</v>
      </c>
      <c r="S721" s="1" t="s">
        <v>105</v>
      </c>
      <c r="T721" s="1" t="s">
        <v>35</v>
      </c>
      <c r="U721" s="1" t="s">
        <v>82</v>
      </c>
      <c r="V721" s="1" t="s">
        <v>100</v>
      </c>
      <c r="W721">
        <v>3.2</v>
      </c>
      <c r="X721" s="1" t="str">
        <f t="shared" si="33"/>
        <v>camila.jimenez104@mail.com</v>
      </c>
      <c r="Y721" s="1" t="str">
        <f>INDEX(V:V,MATCH(orders_desnormalizado_prueba3[[#This Row],[acquisition_channel]],U:U,0))</f>
        <v>Bodega Propia CO - envio 2-3 dias</v>
      </c>
      <c r="Z721" s="1" t="str">
        <f>INDEX(T:T,MATCH(orders_desnormalizado_prueba3[[#This Row],[shipping_cost]],W:W,0))</f>
        <v>Colombia</v>
      </c>
      <c r="AA721" s="1" t="str">
        <f t="shared" si="34"/>
        <v>Cartagena</v>
      </c>
      <c r="AB721" s="1"/>
      <c r="AC721" s="1" t="str">
        <f t="shared" si="35"/>
        <v xml:space="preserve"> </v>
      </c>
    </row>
    <row r="722" spans="1:29" x14ac:dyDescent="0.3">
      <c r="A722" s="1" t="s">
        <v>1735</v>
      </c>
      <c r="B722">
        <v>3</v>
      </c>
      <c r="C722">
        <v>27.99</v>
      </c>
      <c r="D722">
        <v>65.930000000000007</v>
      </c>
      <c r="E722" s="1" t="s">
        <v>325</v>
      </c>
      <c r="F722" s="1" t="s">
        <v>25</v>
      </c>
      <c r="G722">
        <v>3</v>
      </c>
      <c r="H722" s="1" t="s">
        <v>58</v>
      </c>
      <c r="I722" s="1" t="s">
        <v>75</v>
      </c>
      <c r="J722">
        <v>9</v>
      </c>
      <c r="K722">
        <v>27.99</v>
      </c>
      <c r="L722" s="1" t="s">
        <v>28</v>
      </c>
      <c r="M722" s="1" t="s">
        <v>61</v>
      </c>
      <c r="N722" s="1" t="s">
        <v>62</v>
      </c>
      <c r="O722" s="1" t="s">
        <v>31</v>
      </c>
      <c r="P722" s="2">
        <v>45726</v>
      </c>
      <c r="Q722" s="1" t="s">
        <v>1642</v>
      </c>
      <c r="R722" s="1" t="s">
        <v>1736</v>
      </c>
      <c r="S722" s="1" t="s">
        <v>47</v>
      </c>
      <c r="T722" s="1" t="s">
        <v>35</v>
      </c>
      <c r="U722" s="1" t="s">
        <v>48</v>
      </c>
      <c r="V722" s="1" t="s">
        <v>37</v>
      </c>
      <c r="W722">
        <v>2</v>
      </c>
      <c r="X722" s="1" t="str">
        <f t="shared" si="33"/>
        <v>diego.perez177@mail.com</v>
      </c>
      <c r="Y722" s="1" t="str">
        <f>INDEX(V:V,MATCH(orders_desnormalizado_prueba3[[#This Row],[acquisition_channel]],U:U,0))</f>
        <v>Bodega Propia CO - envio 2-3 dias</v>
      </c>
      <c r="Z722" s="1" t="str">
        <f>INDEX(T:T,MATCH(orders_desnormalizado_prueba3[[#This Row],[shipping_cost]],W:W,0))</f>
        <v>Colombia</v>
      </c>
      <c r="AA722" s="1" t="str">
        <f t="shared" si="34"/>
        <v>Barranquilla</v>
      </c>
      <c r="AB722" s="1"/>
      <c r="AC722" s="1" t="str">
        <f t="shared" si="35"/>
        <v xml:space="preserve"> </v>
      </c>
    </row>
    <row r="723" spans="1:29" x14ac:dyDescent="0.3">
      <c r="A723" s="1" t="s">
        <v>1737</v>
      </c>
      <c r="B723">
        <v>1</v>
      </c>
      <c r="C723">
        <v>18.989999999999998</v>
      </c>
      <c r="D723">
        <v>18.989999999999998</v>
      </c>
      <c r="E723" s="1" t="s">
        <v>1738</v>
      </c>
      <c r="F723" s="1" t="s">
        <v>40</v>
      </c>
      <c r="G723">
        <v>10</v>
      </c>
      <c r="H723" s="1" t="s">
        <v>41</v>
      </c>
      <c r="I723" s="1" t="s">
        <v>97</v>
      </c>
      <c r="J723">
        <v>6</v>
      </c>
      <c r="K723">
        <v>18.989999999999998</v>
      </c>
      <c r="L723" s="1" t="s">
        <v>60</v>
      </c>
      <c r="M723" s="1" t="s">
        <v>43</v>
      </c>
      <c r="N723" s="1" t="s">
        <v>44</v>
      </c>
      <c r="O723" s="1" t="s">
        <v>31</v>
      </c>
      <c r="P723" s="2">
        <v>45823</v>
      </c>
      <c r="Q723" s="1" t="s">
        <v>1739</v>
      </c>
      <c r="R723" s="1" t="s">
        <v>1740</v>
      </c>
      <c r="S723" s="1" t="s">
        <v>65</v>
      </c>
      <c r="T723" s="1" t="s">
        <v>35</v>
      </c>
      <c r="U723" s="1" t="s">
        <v>36</v>
      </c>
      <c r="V723" s="1" t="s">
        <v>100</v>
      </c>
      <c r="W723">
        <v>3.2</v>
      </c>
      <c r="X723" s="1" t="str">
        <f t="shared" si="33"/>
        <v>andres.ortiz83@mail.com</v>
      </c>
      <c r="Y723" s="1" t="str">
        <f>INDEX(V:V,MATCH(orders_desnormalizado_prueba3[[#This Row],[acquisition_channel]],U:U,0))</f>
        <v>Bodega Propia CO - envio 2-3 dias</v>
      </c>
      <c r="Z723" s="1" t="str">
        <f>INDEX(T:T,MATCH(orders_desnormalizado_prueba3[[#This Row],[shipping_cost]],W:W,0))</f>
        <v>Colombia</v>
      </c>
      <c r="AA723" s="1" t="str">
        <f t="shared" si="34"/>
        <v>Bogota</v>
      </c>
      <c r="AB723" s="1"/>
      <c r="AC723" s="1" t="str">
        <f t="shared" si="35"/>
        <v xml:space="preserve"> </v>
      </c>
    </row>
    <row r="724" spans="1:29" x14ac:dyDescent="0.3">
      <c r="A724" s="1" t="s">
        <v>1741</v>
      </c>
      <c r="B724">
        <v>1</v>
      </c>
      <c r="C724">
        <v>30.99</v>
      </c>
      <c r="D724">
        <v>30.99</v>
      </c>
      <c r="E724" s="1" t="s">
        <v>1000</v>
      </c>
      <c r="F724" s="1" t="s">
        <v>51</v>
      </c>
      <c r="G724">
        <v>0</v>
      </c>
      <c r="H724" s="1" t="s">
        <v>96</v>
      </c>
      <c r="I724" s="1" t="s">
        <v>42</v>
      </c>
      <c r="J724">
        <v>10.5</v>
      </c>
      <c r="K724">
        <v>30.99</v>
      </c>
      <c r="L724" s="1" t="s">
        <v>28</v>
      </c>
      <c r="M724" s="1" t="s">
        <v>43</v>
      </c>
      <c r="N724" s="1" t="s">
        <v>44</v>
      </c>
      <c r="O724" s="1" t="s">
        <v>31</v>
      </c>
      <c r="P724" s="2">
        <v>45823</v>
      </c>
      <c r="Q724" s="1" t="s">
        <v>720</v>
      </c>
      <c r="R724" s="1" t="s">
        <v>721</v>
      </c>
      <c r="S724" s="1" t="s">
        <v>54</v>
      </c>
      <c r="T724" s="1" t="s">
        <v>35</v>
      </c>
      <c r="U724" s="1" t="s">
        <v>82</v>
      </c>
      <c r="V724" s="1" t="s">
        <v>37</v>
      </c>
      <c r="W724">
        <v>2</v>
      </c>
      <c r="X724" s="1" t="str">
        <f t="shared" si="33"/>
        <v>natalia.ortiz107@mail.com</v>
      </c>
      <c r="Y724" s="1" t="str">
        <f>INDEX(V:V,MATCH(orders_desnormalizado_prueba3[[#This Row],[acquisition_channel]],U:U,0))</f>
        <v>Bodega Propia CO - envio 2-3 dias</v>
      </c>
      <c r="Z724" s="1" t="str">
        <f>INDEX(T:T,MATCH(orders_desnormalizado_prueba3[[#This Row],[shipping_cost]],W:W,0))</f>
        <v>Colombia</v>
      </c>
      <c r="AA724" s="1" t="str">
        <f t="shared" si="34"/>
        <v>Cartagena</v>
      </c>
      <c r="AB724" s="1"/>
      <c r="AC724" s="1" t="str">
        <f t="shared" si="35"/>
        <v xml:space="preserve"> </v>
      </c>
    </row>
    <row r="725" spans="1:29" x14ac:dyDescent="0.3">
      <c r="A725" s="1" t="s">
        <v>1742</v>
      </c>
      <c r="B725">
        <v>1</v>
      </c>
      <c r="C725">
        <v>34.99</v>
      </c>
      <c r="D725">
        <v>34.99</v>
      </c>
      <c r="E725" s="1" t="s">
        <v>1743</v>
      </c>
      <c r="F725" s="1" t="s">
        <v>25</v>
      </c>
      <c r="G725">
        <v>8</v>
      </c>
      <c r="H725" s="1" t="s">
        <v>96</v>
      </c>
      <c r="I725" s="1" t="s">
        <v>85</v>
      </c>
      <c r="J725">
        <v>12.5</v>
      </c>
      <c r="K725">
        <v>34.99</v>
      </c>
      <c r="L725" s="1" t="s">
        <v>60</v>
      </c>
      <c r="M725" s="1" t="s">
        <v>29</v>
      </c>
      <c r="N725" s="1" t="s">
        <v>30</v>
      </c>
      <c r="O725" s="1" t="s">
        <v>31</v>
      </c>
      <c r="P725" s="2">
        <v>45778</v>
      </c>
      <c r="Q725" s="1" t="s">
        <v>859</v>
      </c>
      <c r="R725" s="1" t="s">
        <v>860</v>
      </c>
      <c r="S725" s="1" t="s">
        <v>34</v>
      </c>
      <c r="T725" s="1" t="s">
        <v>35</v>
      </c>
      <c r="U725" s="1" t="s">
        <v>48</v>
      </c>
      <c r="V725" s="1" t="s">
        <v>89</v>
      </c>
      <c r="W725">
        <v>2.4</v>
      </c>
      <c r="X725" s="1" t="str">
        <f t="shared" si="33"/>
        <v>alejandro.sanchez135@mail.com</v>
      </c>
      <c r="Y725" s="1" t="str">
        <f>INDEX(V:V,MATCH(orders_desnormalizado_prueba3[[#This Row],[acquisition_channel]],U:U,0))</f>
        <v>Bodega Propia CO - envio 2-3 dias</v>
      </c>
      <c r="Z725" s="1" t="str">
        <f>INDEX(T:T,MATCH(orders_desnormalizado_prueba3[[#This Row],[shipping_cost]],W:W,0))</f>
        <v>Colombia</v>
      </c>
      <c r="AA725" s="1" t="str">
        <f t="shared" si="34"/>
        <v>Barranquilla</v>
      </c>
      <c r="AB725" s="1"/>
      <c r="AC725" s="1" t="str">
        <f t="shared" si="35"/>
        <v xml:space="preserve"> </v>
      </c>
    </row>
    <row r="726" spans="1:29" x14ac:dyDescent="0.3">
      <c r="A726" s="1" t="s">
        <v>1744</v>
      </c>
      <c r="B726">
        <v>3</v>
      </c>
      <c r="C726">
        <v>34.99</v>
      </c>
      <c r="D726">
        <v>83.71</v>
      </c>
      <c r="E726" s="1" t="s">
        <v>95</v>
      </c>
      <c r="F726" s="1" t="s">
        <v>40</v>
      </c>
      <c r="G726">
        <v>6</v>
      </c>
      <c r="H726" s="1" t="s">
        <v>26</v>
      </c>
      <c r="I726" s="1" t="s">
        <v>85</v>
      </c>
      <c r="J726">
        <v>12.5</v>
      </c>
      <c r="K726">
        <v>34.99</v>
      </c>
      <c r="L726" s="1" t="s">
        <v>60</v>
      </c>
      <c r="M726" s="1" t="s">
        <v>29</v>
      </c>
      <c r="N726" s="1" t="s">
        <v>30</v>
      </c>
      <c r="O726" s="1" t="s">
        <v>31</v>
      </c>
      <c r="P726" s="2">
        <v>45778</v>
      </c>
      <c r="Q726" s="1" t="s">
        <v>1376</v>
      </c>
      <c r="R726" s="1" t="s">
        <v>1745</v>
      </c>
      <c r="S726" s="1" t="s">
        <v>105</v>
      </c>
      <c r="T726" s="1" t="s">
        <v>35</v>
      </c>
      <c r="U726" s="1" t="s">
        <v>36</v>
      </c>
      <c r="V726" s="1" t="s">
        <v>89</v>
      </c>
      <c r="W726">
        <v>2.4</v>
      </c>
      <c r="X726" s="1" t="str">
        <f t="shared" si="33"/>
        <v>alejandro.jimenez18@mail.com</v>
      </c>
      <c r="Y726" s="1" t="str">
        <f>INDEX(V:V,MATCH(orders_desnormalizado_prueba3[[#This Row],[acquisition_channel]],U:U,0))</f>
        <v>Bodega Propia CO - envio 2-3 dias</v>
      </c>
      <c r="Z726" s="1" t="str">
        <f>INDEX(T:T,MATCH(orders_desnormalizado_prueba3[[#This Row],[shipping_cost]],W:W,0))</f>
        <v>Colombia</v>
      </c>
      <c r="AA726" s="1" t="str">
        <f t="shared" si="34"/>
        <v>Medellin</v>
      </c>
      <c r="AB726" s="1"/>
      <c r="AC726" s="1" t="str">
        <f t="shared" si="35"/>
        <v xml:space="preserve"> </v>
      </c>
    </row>
    <row r="727" spans="1:29" x14ac:dyDescent="0.3">
      <c r="A727" s="1" t="s">
        <v>1746</v>
      </c>
      <c r="B727">
        <v>1</v>
      </c>
      <c r="C727">
        <v>30.99</v>
      </c>
      <c r="D727">
        <v>30.99</v>
      </c>
      <c r="E727" s="1" t="s">
        <v>1648</v>
      </c>
      <c r="F727" s="1" t="s">
        <v>40</v>
      </c>
      <c r="G727">
        <v>3</v>
      </c>
      <c r="H727" s="1" t="s">
        <v>96</v>
      </c>
      <c r="I727" s="1" t="s">
        <v>42</v>
      </c>
      <c r="J727">
        <v>10.5</v>
      </c>
      <c r="K727">
        <v>30.99</v>
      </c>
      <c r="L727" s="1" t="s">
        <v>28</v>
      </c>
      <c r="M727" s="1" t="s">
        <v>43</v>
      </c>
      <c r="N727" s="1" t="s">
        <v>44</v>
      </c>
      <c r="O727" s="1" t="s">
        <v>31</v>
      </c>
      <c r="P727" s="2">
        <v>45823</v>
      </c>
      <c r="Q727" s="1" t="s">
        <v>1009</v>
      </c>
      <c r="R727" s="1" t="s">
        <v>1010</v>
      </c>
      <c r="S727" s="1" t="s">
        <v>47</v>
      </c>
      <c r="T727" s="1" t="s">
        <v>35</v>
      </c>
      <c r="U727" s="1" t="s">
        <v>82</v>
      </c>
      <c r="V727" s="1" t="s">
        <v>37</v>
      </c>
      <c r="W727">
        <v>2</v>
      </c>
      <c r="X727" s="1" t="str">
        <f t="shared" si="33"/>
        <v>manuela.martinez152@mail.com</v>
      </c>
      <c r="Y727" s="1" t="str">
        <f>INDEX(V:V,MATCH(orders_desnormalizado_prueba3[[#This Row],[acquisition_channel]],U:U,0))</f>
        <v>Bodega Propia CO - envio 2-3 dias</v>
      </c>
      <c r="Z727" s="1" t="str">
        <f>INDEX(T:T,MATCH(orders_desnormalizado_prueba3[[#This Row],[shipping_cost]],W:W,0))</f>
        <v>Colombia</v>
      </c>
      <c r="AA727" s="1" t="str">
        <f t="shared" si="34"/>
        <v>Barranquilla</v>
      </c>
      <c r="AB727" s="1"/>
      <c r="AC727" s="1" t="str">
        <f t="shared" si="35"/>
        <v xml:space="preserve"> </v>
      </c>
    </row>
    <row r="728" spans="1:29" x14ac:dyDescent="0.3">
      <c r="A728" s="1" t="s">
        <v>1747</v>
      </c>
      <c r="B728">
        <v>1</v>
      </c>
      <c r="C728">
        <v>34.99</v>
      </c>
      <c r="D728">
        <v>34.99</v>
      </c>
      <c r="E728" s="1" t="s">
        <v>1375</v>
      </c>
      <c r="F728" s="1" t="s">
        <v>40</v>
      </c>
      <c r="G728">
        <v>11</v>
      </c>
      <c r="H728" s="1" t="s">
        <v>96</v>
      </c>
      <c r="I728" s="1" t="s">
        <v>85</v>
      </c>
      <c r="J728">
        <v>12.5</v>
      </c>
      <c r="K728">
        <v>34.99</v>
      </c>
      <c r="L728" s="1" t="s">
        <v>60</v>
      </c>
      <c r="M728" s="1" t="s">
        <v>29</v>
      </c>
      <c r="N728" s="1" t="s">
        <v>30</v>
      </c>
      <c r="O728" s="1" t="s">
        <v>31</v>
      </c>
      <c r="P728" s="2">
        <v>45778</v>
      </c>
      <c r="Q728" s="1" t="s">
        <v>947</v>
      </c>
      <c r="R728" s="1" t="s">
        <v>1425</v>
      </c>
      <c r="S728" s="1" t="s">
        <v>88</v>
      </c>
      <c r="T728" s="1" t="s">
        <v>35</v>
      </c>
      <c r="U728" s="1" t="s">
        <v>55</v>
      </c>
      <c r="V728" s="1" t="s">
        <v>89</v>
      </c>
      <c r="W728">
        <v>2.4</v>
      </c>
      <c r="X728" s="1" t="str">
        <f t="shared" si="33"/>
        <v>valentina.hernandez179@mail.com</v>
      </c>
      <c r="Y728" s="1" t="str">
        <f>INDEX(V:V,MATCH(orders_desnormalizado_prueba3[[#This Row],[acquisition_channel]],U:U,0))</f>
        <v>Bodega Propia CO - envio 2-3 dias</v>
      </c>
      <c r="Z728" s="1" t="str">
        <f>INDEX(T:T,MATCH(orders_desnormalizado_prueba3[[#This Row],[shipping_cost]],W:W,0))</f>
        <v>Colombia</v>
      </c>
      <c r="AA728" s="1" t="str">
        <f t="shared" si="34"/>
        <v>Cali</v>
      </c>
      <c r="AB728" s="1"/>
      <c r="AC728" s="1" t="str">
        <f t="shared" si="35"/>
        <v xml:space="preserve"> </v>
      </c>
    </row>
    <row r="729" spans="1:29" x14ac:dyDescent="0.3">
      <c r="A729" s="1" t="s">
        <v>1748</v>
      </c>
      <c r="B729">
        <v>2</v>
      </c>
      <c r="C729">
        <v>30.99</v>
      </c>
      <c r="D729">
        <v>53.68</v>
      </c>
      <c r="E729" s="1" t="s">
        <v>1749</v>
      </c>
      <c r="F729" s="1" t="s">
        <v>40</v>
      </c>
      <c r="G729">
        <v>3</v>
      </c>
      <c r="H729" s="1" t="s">
        <v>58</v>
      </c>
      <c r="I729" s="1" t="s">
        <v>42</v>
      </c>
      <c r="J729">
        <v>10.5</v>
      </c>
      <c r="K729">
        <v>30.99</v>
      </c>
      <c r="L729" s="1" t="s">
        <v>28</v>
      </c>
      <c r="M729" s="1" t="s">
        <v>43</v>
      </c>
      <c r="N729" s="1" t="s">
        <v>44</v>
      </c>
      <c r="O729" s="1" t="s">
        <v>31</v>
      </c>
      <c r="P729" s="2">
        <v>45823</v>
      </c>
      <c r="Q729" s="1" t="s">
        <v>732</v>
      </c>
      <c r="R729" s="1" t="s">
        <v>733</v>
      </c>
      <c r="S729" s="1" t="s">
        <v>65</v>
      </c>
      <c r="T729" s="1" t="s">
        <v>35</v>
      </c>
      <c r="U729" s="1" t="s">
        <v>48</v>
      </c>
      <c r="V729" s="1" t="s">
        <v>37</v>
      </c>
      <c r="W729">
        <v>2</v>
      </c>
      <c r="X729" s="1" t="str">
        <f t="shared" si="33"/>
        <v>ximena.martinez177@mail.com</v>
      </c>
      <c r="Y729" s="1" t="str">
        <f>INDEX(V:V,MATCH(orders_desnormalizado_prueba3[[#This Row],[acquisition_channel]],U:U,0))</f>
        <v>Bodega Propia CO - envio 2-3 dias</v>
      </c>
      <c r="Z729" s="1" t="str">
        <f>INDEX(T:T,MATCH(orders_desnormalizado_prueba3[[#This Row],[shipping_cost]],W:W,0))</f>
        <v>Colombia</v>
      </c>
      <c r="AA729" s="1" t="str">
        <f t="shared" si="34"/>
        <v>Barranquilla</v>
      </c>
      <c r="AB729" s="1"/>
      <c r="AC729" s="1" t="str">
        <f t="shared" si="35"/>
        <v xml:space="preserve"> </v>
      </c>
    </row>
    <row r="730" spans="1:29" x14ac:dyDescent="0.3">
      <c r="A730" s="1" t="s">
        <v>1750</v>
      </c>
      <c r="B730">
        <v>1</v>
      </c>
      <c r="C730">
        <v>27.99</v>
      </c>
      <c r="D730">
        <v>27.99</v>
      </c>
      <c r="E730" s="1" t="s">
        <v>1178</v>
      </c>
      <c r="F730" s="1" t="s">
        <v>40</v>
      </c>
      <c r="G730">
        <v>3</v>
      </c>
      <c r="H730" s="1" t="s">
        <v>96</v>
      </c>
      <c r="I730" s="1" t="s">
        <v>75</v>
      </c>
      <c r="J730">
        <v>9</v>
      </c>
      <c r="K730">
        <v>27.99</v>
      </c>
      <c r="L730" s="1" t="s">
        <v>28</v>
      </c>
      <c r="M730" s="1" t="s">
        <v>61</v>
      </c>
      <c r="N730" s="1" t="s">
        <v>62</v>
      </c>
      <c r="O730" s="1" t="s">
        <v>31</v>
      </c>
      <c r="P730" s="2">
        <v>45726</v>
      </c>
      <c r="Q730" s="1" t="s">
        <v>957</v>
      </c>
      <c r="R730" s="1" t="s">
        <v>958</v>
      </c>
      <c r="S730" s="1" t="s">
        <v>105</v>
      </c>
      <c r="T730" s="1" t="s">
        <v>35</v>
      </c>
      <c r="U730" s="1" t="s">
        <v>66</v>
      </c>
      <c r="V730" s="1" t="s">
        <v>37</v>
      </c>
      <c r="W730">
        <v>2</v>
      </c>
      <c r="X730" s="1" t="str">
        <f t="shared" si="33"/>
        <v>nicolas.diaz145@mail.com</v>
      </c>
      <c r="Y730" s="1" t="str">
        <f>INDEX(V:V,MATCH(orders_desnormalizado_prueba3[[#This Row],[acquisition_channel]],U:U,0))</f>
        <v>AliDropship CN - envio 15-20 dias</v>
      </c>
      <c r="Z730" s="1" t="str">
        <f>INDEX(T:T,MATCH(orders_desnormalizado_prueba3[[#This Row],[shipping_cost]],W:W,0))</f>
        <v>Colombia</v>
      </c>
      <c r="AA730" s="1" t="str">
        <f t="shared" si="34"/>
        <v>Barranquilla</v>
      </c>
      <c r="AB730" s="1"/>
      <c r="AC730" s="1" t="str">
        <f t="shared" si="35"/>
        <v xml:space="preserve"> </v>
      </c>
    </row>
    <row r="731" spans="1:29" x14ac:dyDescent="0.3">
      <c r="A731" s="1" t="s">
        <v>1751</v>
      </c>
      <c r="B731">
        <v>1</v>
      </c>
      <c r="C731">
        <v>18.989999999999998</v>
      </c>
      <c r="D731">
        <v>18.989999999999998</v>
      </c>
      <c r="E731" s="1" t="s">
        <v>1752</v>
      </c>
      <c r="F731" s="1" t="s">
        <v>70</v>
      </c>
      <c r="G731">
        <v>0</v>
      </c>
      <c r="H731" s="1" t="s">
        <v>96</v>
      </c>
      <c r="I731" s="1" t="s">
        <v>97</v>
      </c>
      <c r="J731">
        <v>6</v>
      </c>
      <c r="K731">
        <v>18.989999999999998</v>
      </c>
      <c r="L731" s="1" t="s">
        <v>60</v>
      </c>
      <c r="M731" s="1" t="s">
        <v>43</v>
      </c>
      <c r="N731" s="1" t="s">
        <v>44</v>
      </c>
      <c r="O731" s="1" t="s">
        <v>31</v>
      </c>
      <c r="P731" s="2">
        <v>45823</v>
      </c>
      <c r="Q731" s="1" t="s">
        <v>1753</v>
      </c>
      <c r="R731" s="1" t="s">
        <v>1754</v>
      </c>
      <c r="S731" s="1" t="s">
        <v>54</v>
      </c>
      <c r="T731" s="1" t="s">
        <v>35</v>
      </c>
      <c r="U731" s="1" t="s">
        <v>66</v>
      </c>
      <c r="V731" s="1" t="s">
        <v>100</v>
      </c>
      <c r="W731">
        <v>3.2</v>
      </c>
      <c r="X731" s="1" t="str">
        <f t="shared" si="33"/>
        <v>manuela.diaz185@mail.com</v>
      </c>
      <c r="Y731" s="1" t="str">
        <f>INDEX(V:V,MATCH(orders_desnormalizado_prueba3[[#This Row],[acquisition_channel]],U:U,0))</f>
        <v>AliDropship CN - envio 15-20 dias</v>
      </c>
      <c r="Z731" s="1" t="str">
        <f>INDEX(T:T,MATCH(orders_desnormalizado_prueba3[[#This Row],[shipping_cost]],W:W,0))</f>
        <v>Colombia</v>
      </c>
      <c r="AA731" s="1" t="str">
        <f t="shared" si="34"/>
        <v>Cartagena</v>
      </c>
      <c r="AB731" s="1"/>
      <c r="AC731" s="1" t="str">
        <f t="shared" si="35"/>
        <v xml:space="preserve"> </v>
      </c>
    </row>
    <row r="732" spans="1:29" x14ac:dyDescent="0.3">
      <c r="A732" s="1" t="s">
        <v>1755</v>
      </c>
      <c r="B732">
        <v>1</v>
      </c>
      <c r="C732">
        <v>34.99</v>
      </c>
      <c r="D732">
        <v>34.99</v>
      </c>
      <c r="E732" s="1" t="s">
        <v>248</v>
      </c>
      <c r="F732" s="1" t="s">
        <v>40</v>
      </c>
      <c r="G732">
        <v>7</v>
      </c>
      <c r="H732" s="1" t="s">
        <v>26</v>
      </c>
      <c r="I732" s="1" t="s">
        <v>85</v>
      </c>
      <c r="J732">
        <v>12.5</v>
      </c>
      <c r="K732">
        <v>34.99</v>
      </c>
      <c r="L732" s="1" t="s">
        <v>60</v>
      </c>
      <c r="M732" s="1" t="s">
        <v>29</v>
      </c>
      <c r="N732" s="1" t="s">
        <v>30</v>
      </c>
      <c r="O732" s="1" t="s">
        <v>31</v>
      </c>
      <c r="P732" s="2">
        <v>45778</v>
      </c>
      <c r="Q732" s="1" t="s">
        <v>544</v>
      </c>
      <c r="R732" s="1" t="s">
        <v>1756</v>
      </c>
      <c r="S732" s="1" t="s">
        <v>54</v>
      </c>
      <c r="T732" s="1" t="s">
        <v>35</v>
      </c>
      <c r="U732" s="1" t="s">
        <v>55</v>
      </c>
      <c r="V732" s="1" t="s">
        <v>89</v>
      </c>
      <c r="W732">
        <v>2.4</v>
      </c>
      <c r="X732" s="1" t="str">
        <f t="shared" si="33"/>
        <v>maria.diaz102@mail.com</v>
      </c>
      <c r="Y732" s="1" t="str">
        <f>INDEX(V:V,MATCH(orders_desnormalizado_prueba3[[#This Row],[acquisition_channel]],U:U,0))</f>
        <v>Bodega Propia CO - envio 2-3 dias</v>
      </c>
      <c r="Z732" s="1" t="str">
        <f>INDEX(T:T,MATCH(orders_desnormalizado_prueba3[[#This Row],[shipping_cost]],W:W,0))</f>
        <v>Colombia</v>
      </c>
      <c r="AA732" s="1" t="str">
        <f t="shared" si="34"/>
        <v>Bogota</v>
      </c>
      <c r="AB732" s="1"/>
      <c r="AC732" s="1" t="str">
        <f t="shared" si="35"/>
        <v xml:space="preserve"> </v>
      </c>
    </row>
    <row r="733" spans="1:29" x14ac:dyDescent="0.3">
      <c r="A733" s="1" t="s">
        <v>1757</v>
      </c>
      <c r="B733">
        <v>2</v>
      </c>
      <c r="C733">
        <v>30.99</v>
      </c>
      <c r="D733">
        <v>53.56</v>
      </c>
      <c r="E733" s="1" t="s">
        <v>577</v>
      </c>
      <c r="F733" s="1" t="s">
        <v>40</v>
      </c>
      <c r="G733">
        <v>2</v>
      </c>
      <c r="H733" s="1" t="s">
        <v>96</v>
      </c>
      <c r="I733" s="1" t="s">
        <v>42</v>
      </c>
      <c r="J733">
        <v>10.5</v>
      </c>
      <c r="K733">
        <v>30.99</v>
      </c>
      <c r="L733" s="1" t="s">
        <v>28</v>
      </c>
      <c r="M733" s="1" t="s">
        <v>43</v>
      </c>
      <c r="N733" s="1" t="s">
        <v>44</v>
      </c>
      <c r="O733" s="1" t="s">
        <v>31</v>
      </c>
      <c r="P733" s="2">
        <v>45823</v>
      </c>
      <c r="Q733" s="1" t="s">
        <v>869</v>
      </c>
      <c r="R733" s="1" t="s">
        <v>870</v>
      </c>
      <c r="S733" s="1" t="s">
        <v>88</v>
      </c>
      <c r="T733" s="1" t="s">
        <v>35</v>
      </c>
      <c r="U733" s="1" t="s">
        <v>55</v>
      </c>
      <c r="V733" s="1" t="s">
        <v>37</v>
      </c>
      <c r="W733">
        <v>2</v>
      </c>
      <c r="X733" s="1" t="str">
        <f t="shared" si="33"/>
        <v>sofia.jimenez82@mail.com</v>
      </c>
      <c r="Y733" s="1" t="str">
        <f>INDEX(V:V,MATCH(orders_desnormalizado_prueba3[[#This Row],[acquisition_channel]],U:U,0))</f>
        <v>Bodega Propia CO - envio 2-3 dias</v>
      </c>
      <c r="Z733" s="1" t="str">
        <f>INDEX(T:T,MATCH(orders_desnormalizado_prueba3[[#This Row],[shipping_cost]],W:W,0))</f>
        <v>Colombia</v>
      </c>
      <c r="AA733" s="1" t="str">
        <f t="shared" si="34"/>
        <v>Medellin</v>
      </c>
      <c r="AB733" s="1"/>
      <c r="AC733" s="1" t="str">
        <f t="shared" si="35"/>
        <v xml:space="preserve"> </v>
      </c>
    </row>
    <row r="734" spans="1:29" x14ac:dyDescent="0.3">
      <c r="A734" s="1" t="s">
        <v>1758</v>
      </c>
      <c r="B734">
        <v>1</v>
      </c>
      <c r="C734">
        <v>34.99</v>
      </c>
      <c r="D734">
        <v>34.99</v>
      </c>
      <c r="E734" s="1" t="s">
        <v>1310</v>
      </c>
      <c r="F734" s="1" t="s">
        <v>40</v>
      </c>
      <c r="G734">
        <v>6</v>
      </c>
      <c r="H734" s="1" t="s">
        <v>41</v>
      </c>
      <c r="I734" s="1" t="s">
        <v>85</v>
      </c>
      <c r="J734">
        <v>12.5</v>
      </c>
      <c r="K734">
        <v>34.99</v>
      </c>
      <c r="L734" s="1" t="s">
        <v>60</v>
      </c>
      <c r="M734" s="1" t="s">
        <v>29</v>
      </c>
      <c r="N734" s="1" t="s">
        <v>30</v>
      </c>
      <c r="O734" s="1" t="s">
        <v>31</v>
      </c>
      <c r="P734" s="2">
        <v>45778</v>
      </c>
      <c r="Q734" s="1" t="s">
        <v>1356</v>
      </c>
      <c r="R734" s="1" t="s">
        <v>1357</v>
      </c>
      <c r="S734" s="1" t="s">
        <v>34</v>
      </c>
      <c r="T734" s="1" t="s">
        <v>35</v>
      </c>
      <c r="U734" s="1" t="s">
        <v>55</v>
      </c>
      <c r="V734" s="1" t="s">
        <v>89</v>
      </c>
      <c r="W734">
        <v>2.4</v>
      </c>
      <c r="X734" s="1" t="str">
        <f t="shared" si="33"/>
        <v>antonia.lopez65@mail.com</v>
      </c>
      <c r="Y734" s="1" t="str">
        <f>INDEX(V:V,MATCH(orders_desnormalizado_prueba3[[#This Row],[acquisition_channel]],U:U,0))</f>
        <v>Bodega Propia CO - envio 2-3 dias</v>
      </c>
      <c r="Z734" s="1" t="str">
        <f>INDEX(T:T,MATCH(orders_desnormalizado_prueba3[[#This Row],[shipping_cost]],W:W,0))</f>
        <v>Colombia</v>
      </c>
      <c r="AA734" s="1" t="str">
        <f t="shared" si="34"/>
        <v>Medellin</v>
      </c>
      <c r="AB734" s="1"/>
      <c r="AC734" s="1" t="str">
        <f t="shared" si="35"/>
        <v xml:space="preserve"> </v>
      </c>
    </row>
    <row r="735" spans="1:29" x14ac:dyDescent="0.3">
      <c r="A735" s="1" t="s">
        <v>1759</v>
      </c>
      <c r="B735">
        <v>1</v>
      </c>
      <c r="C735">
        <v>30.99</v>
      </c>
      <c r="D735">
        <v>30.99</v>
      </c>
      <c r="E735" s="1" t="s">
        <v>1760</v>
      </c>
      <c r="F735" s="1" t="s">
        <v>40</v>
      </c>
      <c r="G735">
        <v>2</v>
      </c>
      <c r="H735" s="1" t="s">
        <v>58</v>
      </c>
      <c r="I735" s="1" t="s">
        <v>42</v>
      </c>
      <c r="J735">
        <v>10.5</v>
      </c>
      <c r="K735">
        <v>30.99</v>
      </c>
      <c r="L735" s="1" t="s">
        <v>28</v>
      </c>
      <c r="M735" s="1" t="s">
        <v>43</v>
      </c>
      <c r="N735" s="1" t="s">
        <v>44</v>
      </c>
      <c r="O735" s="1" t="s">
        <v>31</v>
      </c>
      <c r="P735" s="2">
        <v>45823</v>
      </c>
      <c r="Q735" s="1" t="s">
        <v>1761</v>
      </c>
      <c r="R735" s="1" t="s">
        <v>1762</v>
      </c>
      <c r="S735" s="1" t="s">
        <v>88</v>
      </c>
      <c r="T735" s="1" t="s">
        <v>35</v>
      </c>
      <c r="U735" s="1" t="s">
        <v>82</v>
      </c>
      <c r="V735" s="1" t="s">
        <v>37</v>
      </c>
      <c r="W735">
        <v>2</v>
      </c>
      <c r="X735" s="1" t="str">
        <f t="shared" si="33"/>
        <v>julian.jimenez75@mail.com</v>
      </c>
      <c r="Y735" s="1" t="str">
        <f>INDEX(V:V,MATCH(orders_desnormalizado_prueba3[[#This Row],[acquisition_channel]],U:U,0))</f>
        <v>Bodega Propia CO - envio 2-3 dias</v>
      </c>
      <c r="Z735" s="1" t="str">
        <f>INDEX(T:T,MATCH(orders_desnormalizado_prueba3[[#This Row],[shipping_cost]],W:W,0))</f>
        <v>Colombia</v>
      </c>
      <c r="AA735" s="1" t="str">
        <f t="shared" si="34"/>
        <v>Medellin</v>
      </c>
      <c r="AB735" s="1"/>
      <c r="AC735" s="1" t="str">
        <f t="shared" si="35"/>
        <v xml:space="preserve"> </v>
      </c>
    </row>
    <row r="736" spans="1:29" x14ac:dyDescent="0.3">
      <c r="A736" s="1" t="s">
        <v>1763</v>
      </c>
      <c r="B736">
        <v>2</v>
      </c>
      <c r="C736">
        <v>18.989999999999998</v>
      </c>
      <c r="D736">
        <v>32.880000000000003</v>
      </c>
      <c r="E736" s="1" t="s">
        <v>1764</v>
      </c>
      <c r="F736" s="1" t="s">
        <v>40</v>
      </c>
      <c r="G736">
        <v>12</v>
      </c>
      <c r="H736" s="1" t="s">
        <v>26</v>
      </c>
      <c r="I736" s="1" t="s">
        <v>97</v>
      </c>
      <c r="J736">
        <v>6</v>
      </c>
      <c r="K736">
        <v>18.989999999999998</v>
      </c>
      <c r="L736" s="1" t="s">
        <v>60</v>
      </c>
      <c r="M736" s="1" t="s">
        <v>43</v>
      </c>
      <c r="N736" s="1" t="s">
        <v>44</v>
      </c>
      <c r="O736" s="1" t="s">
        <v>31</v>
      </c>
      <c r="P736" s="2">
        <v>45823</v>
      </c>
      <c r="Q736" s="1" t="s">
        <v>768</v>
      </c>
      <c r="R736" s="1" t="s">
        <v>769</v>
      </c>
      <c r="S736" s="1" t="s">
        <v>54</v>
      </c>
      <c r="T736" s="1" t="s">
        <v>35</v>
      </c>
      <c r="U736" s="1" t="s">
        <v>36</v>
      </c>
      <c r="V736" s="1" t="s">
        <v>100</v>
      </c>
      <c r="W736">
        <v>3.2</v>
      </c>
      <c r="X736" s="1" t="str">
        <f t="shared" si="33"/>
        <v>isabella.martinez177@mail.com</v>
      </c>
      <c r="Y736" s="1" t="str">
        <f>INDEX(V:V,MATCH(orders_desnormalizado_prueba3[[#This Row],[acquisition_channel]],U:U,0))</f>
        <v>Bodega Propia CO - envio 2-3 dias</v>
      </c>
      <c r="Z736" s="1" t="str">
        <f>INDEX(T:T,MATCH(orders_desnormalizado_prueba3[[#This Row],[shipping_cost]],W:W,0))</f>
        <v>Colombia</v>
      </c>
      <c r="AA736" s="1" t="str">
        <f t="shared" si="34"/>
        <v>Cartagena</v>
      </c>
      <c r="AB736" s="1"/>
      <c r="AC736" s="1" t="str">
        <f t="shared" si="35"/>
        <v xml:space="preserve"> </v>
      </c>
    </row>
    <row r="737" spans="1:29" x14ac:dyDescent="0.3">
      <c r="A737" s="1" t="s">
        <v>1765</v>
      </c>
      <c r="B737">
        <v>1</v>
      </c>
      <c r="C737">
        <v>30.99</v>
      </c>
      <c r="D737">
        <v>30.99</v>
      </c>
      <c r="E737" s="1" t="s">
        <v>1115</v>
      </c>
      <c r="F737" s="1" t="s">
        <v>40</v>
      </c>
      <c r="G737">
        <v>2</v>
      </c>
      <c r="H737" s="1" t="s">
        <v>41</v>
      </c>
      <c r="I737" s="1" t="s">
        <v>42</v>
      </c>
      <c r="J737">
        <v>10.5</v>
      </c>
      <c r="K737">
        <v>30.99</v>
      </c>
      <c r="L737" s="1" t="s">
        <v>28</v>
      </c>
      <c r="M737" s="1" t="s">
        <v>43</v>
      </c>
      <c r="N737" s="1" t="s">
        <v>44</v>
      </c>
      <c r="O737" s="1" t="s">
        <v>31</v>
      </c>
      <c r="P737" s="2">
        <v>45823</v>
      </c>
      <c r="Q737" s="1" t="s">
        <v>1319</v>
      </c>
      <c r="R737" s="1" t="s">
        <v>1320</v>
      </c>
      <c r="S737" s="1" t="s">
        <v>54</v>
      </c>
      <c r="T737" s="1" t="s">
        <v>35</v>
      </c>
      <c r="U737" s="1" t="s">
        <v>82</v>
      </c>
      <c r="V737" s="1" t="s">
        <v>37</v>
      </c>
      <c r="W737">
        <v>2</v>
      </c>
      <c r="X737" s="1" t="str">
        <f t="shared" si="33"/>
        <v>sofia.castro163@mail.com</v>
      </c>
      <c r="Y737" s="1" t="str">
        <f>INDEX(V:V,MATCH(orders_desnormalizado_prueba3[[#This Row],[acquisition_channel]],U:U,0))</f>
        <v>Bodega Propia CO - envio 2-3 dias</v>
      </c>
      <c r="Z737" s="1" t="str">
        <f>INDEX(T:T,MATCH(orders_desnormalizado_prueba3[[#This Row],[shipping_cost]],W:W,0))</f>
        <v>Colombia</v>
      </c>
      <c r="AA737" s="1" t="str">
        <f t="shared" si="34"/>
        <v>Medellin</v>
      </c>
      <c r="AB737" s="1"/>
      <c r="AC737" s="1" t="str">
        <f t="shared" si="35"/>
        <v xml:space="preserve"> </v>
      </c>
    </row>
    <row r="738" spans="1:29" x14ac:dyDescent="0.3">
      <c r="A738" s="1" t="s">
        <v>1766</v>
      </c>
      <c r="B738">
        <v>1</v>
      </c>
      <c r="C738">
        <v>34.99</v>
      </c>
      <c r="D738">
        <v>34.99</v>
      </c>
      <c r="E738" s="1" t="s">
        <v>827</v>
      </c>
      <c r="F738" s="1" t="s">
        <v>40</v>
      </c>
      <c r="G738">
        <v>8</v>
      </c>
      <c r="H738" s="1" t="s">
        <v>26</v>
      </c>
      <c r="I738" s="1" t="s">
        <v>85</v>
      </c>
      <c r="J738">
        <v>12.5</v>
      </c>
      <c r="K738">
        <v>34.99</v>
      </c>
      <c r="L738" s="1" t="s">
        <v>60</v>
      </c>
      <c r="M738" s="1" t="s">
        <v>29</v>
      </c>
      <c r="N738" s="1" t="s">
        <v>30</v>
      </c>
      <c r="O738" s="1" t="s">
        <v>31</v>
      </c>
      <c r="P738" s="2">
        <v>45778</v>
      </c>
      <c r="Q738" s="1" t="s">
        <v>732</v>
      </c>
      <c r="R738" s="1" t="s">
        <v>1263</v>
      </c>
      <c r="S738" s="1" t="s">
        <v>88</v>
      </c>
      <c r="T738" s="1" t="s">
        <v>35</v>
      </c>
      <c r="U738" s="1" t="s">
        <v>82</v>
      </c>
      <c r="V738" s="1" t="s">
        <v>89</v>
      </c>
      <c r="W738">
        <v>2.4</v>
      </c>
      <c r="X738" s="1" t="str">
        <f t="shared" si="33"/>
        <v>ximena.martinez177@mail.com</v>
      </c>
      <c r="Y738" s="1" t="str">
        <f>INDEX(V:V,MATCH(orders_desnormalizado_prueba3[[#This Row],[acquisition_channel]],U:U,0))</f>
        <v>Bodega Propia CO - envio 2-3 dias</v>
      </c>
      <c r="Z738" s="1" t="str">
        <f>INDEX(T:T,MATCH(orders_desnormalizado_prueba3[[#This Row],[shipping_cost]],W:W,0))</f>
        <v>Colombia</v>
      </c>
      <c r="AA738" s="1" t="str">
        <f t="shared" si="34"/>
        <v>Barranquilla</v>
      </c>
      <c r="AB738" s="1"/>
      <c r="AC738" s="1" t="str">
        <f t="shared" si="35"/>
        <v xml:space="preserve"> </v>
      </c>
    </row>
    <row r="739" spans="1:29" x14ac:dyDescent="0.3">
      <c r="A739" s="1" t="s">
        <v>1767</v>
      </c>
      <c r="B739">
        <v>2</v>
      </c>
      <c r="C739">
        <v>27.99</v>
      </c>
      <c r="D739">
        <v>48.82</v>
      </c>
      <c r="E739" s="1" t="s">
        <v>719</v>
      </c>
      <c r="F739" s="1" t="s">
        <v>40</v>
      </c>
      <c r="G739">
        <v>3</v>
      </c>
      <c r="H739" s="1" t="s">
        <v>26</v>
      </c>
      <c r="I739" s="1" t="s">
        <v>75</v>
      </c>
      <c r="J739">
        <v>9</v>
      </c>
      <c r="K739">
        <v>27.99</v>
      </c>
      <c r="L739" s="1" t="s">
        <v>28</v>
      </c>
      <c r="M739" s="1" t="s">
        <v>61</v>
      </c>
      <c r="N739" s="1" t="s">
        <v>62</v>
      </c>
      <c r="O739" s="1" t="s">
        <v>31</v>
      </c>
      <c r="P739" s="2">
        <v>45726</v>
      </c>
      <c r="Q739" s="1" t="s">
        <v>745</v>
      </c>
      <c r="R739" s="1" t="s">
        <v>746</v>
      </c>
      <c r="S739" s="1" t="s">
        <v>105</v>
      </c>
      <c r="T739" s="1" t="s">
        <v>35</v>
      </c>
      <c r="U739" s="1" t="s">
        <v>48</v>
      </c>
      <c r="V739" s="1" t="s">
        <v>37</v>
      </c>
      <c r="W739">
        <v>2</v>
      </c>
      <c r="X739" s="1" t="str">
        <f t="shared" si="33"/>
        <v>david.jimenez192@mail.com</v>
      </c>
      <c r="Y739" s="1" t="str">
        <f>INDEX(V:V,MATCH(orders_desnormalizado_prueba3[[#This Row],[acquisition_channel]],U:U,0))</f>
        <v>Bodega Propia CO - envio 2-3 dias</v>
      </c>
      <c r="Z739" s="1" t="str">
        <f>INDEX(T:T,MATCH(orders_desnormalizado_prueba3[[#This Row],[shipping_cost]],W:W,0))</f>
        <v>Colombia</v>
      </c>
      <c r="AA739" s="1" t="str">
        <f t="shared" si="34"/>
        <v>Barranquilla</v>
      </c>
      <c r="AB739" s="1"/>
      <c r="AC739" s="1" t="str">
        <f t="shared" si="35"/>
        <v xml:space="preserve"> </v>
      </c>
    </row>
    <row r="740" spans="1:29" x14ac:dyDescent="0.3">
      <c r="A740" s="1" t="s">
        <v>1768</v>
      </c>
      <c r="B740">
        <v>3</v>
      </c>
      <c r="C740">
        <v>27.99</v>
      </c>
      <c r="D740">
        <v>67.36</v>
      </c>
      <c r="E740" s="1" t="s">
        <v>1233</v>
      </c>
      <c r="F740" s="1" t="s">
        <v>40</v>
      </c>
      <c r="G740">
        <v>3</v>
      </c>
      <c r="H740" s="1" t="s">
        <v>58</v>
      </c>
      <c r="I740" s="1" t="s">
        <v>75</v>
      </c>
      <c r="J740">
        <v>9</v>
      </c>
      <c r="K740">
        <v>27.99</v>
      </c>
      <c r="L740" s="1" t="s">
        <v>28</v>
      </c>
      <c r="M740" s="1" t="s">
        <v>61</v>
      </c>
      <c r="N740" s="1" t="s">
        <v>62</v>
      </c>
      <c r="O740" s="1" t="s">
        <v>31</v>
      </c>
      <c r="P740" s="2">
        <v>45726</v>
      </c>
      <c r="Q740" s="1" t="s">
        <v>1533</v>
      </c>
      <c r="R740" s="1" t="s">
        <v>1635</v>
      </c>
      <c r="S740" s="1" t="s">
        <v>105</v>
      </c>
      <c r="T740" s="1" t="s">
        <v>35</v>
      </c>
      <c r="U740" s="1" t="s">
        <v>36</v>
      </c>
      <c r="V740" s="1" t="s">
        <v>37</v>
      </c>
      <c r="W740">
        <v>2</v>
      </c>
      <c r="X740" s="1" t="str">
        <f t="shared" si="33"/>
        <v>laura.lopez49@mail.com</v>
      </c>
      <c r="Y740" s="1" t="str">
        <f>INDEX(V:V,MATCH(orders_desnormalizado_prueba3[[#This Row],[acquisition_channel]],U:U,0))</f>
        <v>Bodega Propia CO - envio 2-3 dias</v>
      </c>
      <c r="Z740" s="1" t="str">
        <f>INDEX(T:T,MATCH(orders_desnormalizado_prueba3[[#This Row],[shipping_cost]],W:W,0))</f>
        <v>Colombia</v>
      </c>
      <c r="AA740" s="1" t="str">
        <f t="shared" si="34"/>
        <v>Barranquilla</v>
      </c>
      <c r="AB740" s="1"/>
      <c r="AC740" s="1" t="str">
        <f t="shared" si="35"/>
        <v xml:space="preserve"> </v>
      </c>
    </row>
    <row r="741" spans="1:29" x14ac:dyDescent="0.3">
      <c r="A741" s="1" t="s">
        <v>1769</v>
      </c>
      <c r="B741">
        <v>3</v>
      </c>
      <c r="C741">
        <v>30.99</v>
      </c>
      <c r="D741">
        <v>73.75</v>
      </c>
      <c r="E741" s="1" t="s">
        <v>1002</v>
      </c>
      <c r="F741" s="1" t="s">
        <v>40</v>
      </c>
      <c r="G741">
        <v>3</v>
      </c>
      <c r="H741" s="1" t="s">
        <v>58</v>
      </c>
      <c r="I741" s="1" t="s">
        <v>42</v>
      </c>
      <c r="J741">
        <v>10.5</v>
      </c>
      <c r="K741">
        <v>30.99</v>
      </c>
      <c r="L741" s="1" t="s">
        <v>28</v>
      </c>
      <c r="M741" s="1" t="s">
        <v>43</v>
      </c>
      <c r="N741" s="1" t="s">
        <v>44</v>
      </c>
      <c r="O741" s="1" t="s">
        <v>31</v>
      </c>
      <c r="P741" s="2">
        <v>45823</v>
      </c>
      <c r="Q741" s="1" t="s">
        <v>1770</v>
      </c>
      <c r="R741" s="1" t="s">
        <v>1771</v>
      </c>
      <c r="S741" s="1" t="s">
        <v>34</v>
      </c>
      <c r="T741" s="1" t="s">
        <v>35</v>
      </c>
      <c r="U741" s="1" t="s">
        <v>55</v>
      </c>
      <c r="V741" s="1" t="s">
        <v>37</v>
      </c>
      <c r="W741">
        <v>2</v>
      </c>
      <c r="X741" s="1" t="str">
        <f t="shared" si="33"/>
        <v>felipe.martinez80@mail.com</v>
      </c>
      <c r="Y741" s="1" t="str">
        <f>INDEX(V:V,MATCH(orders_desnormalizado_prueba3[[#This Row],[acquisition_channel]],U:U,0))</f>
        <v>Bodega Propia CO - envio 2-3 dias</v>
      </c>
      <c r="Z741" s="1" t="str">
        <f>INDEX(T:T,MATCH(orders_desnormalizado_prueba3[[#This Row],[shipping_cost]],W:W,0))</f>
        <v>Colombia</v>
      </c>
      <c r="AA741" s="1" t="str">
        <f t="shared" si="34"/>
        <v>Barranquilla</v>
      </c>
      <c r="AB741" s="1"/>
      <c r="AC741" s="1" t="str">
        <f t="shared" si="35"/>
        <v xml:space="preserve"> </v>
      </c>
    </row>
    <row r="742" spans="1:29" x14ac:dyDescent="0.3">
      <c r="A742" s="1" t="s">
        <v>1772</v>
      </c>
      <c r="B742">
        <v>1</v>
      </c>
      <c r="C742">
        <v>16.989999999999998</v>
      </c>
      <c r="D742">
        <v>16.989999999999998</v>
      </c>
      <c r="E742" s="1" t="s">
        <v>782</v>
      </c>
      <c r="F742" s="1" t="s">
        <v>40</v>
      </c>
      <c r="G742">
        <v>16</v>
      </c>
      <c r="H742" s="1" t="s">
        <v>58</v>
      </c>
      <c r="I742" s="1" t="s">
        <v>59</v>
      </c>
      <c r="J742">
        <v>5</v>
      </c>
      <c r="K742">
        <v>16.989999999999998</v>
      </c>
      <c r="L742" s="1" t="s">
        <v>60</v>
      </c>
      <c r="M742" s="1" t="s">
        <v>61</v>
      </c>
      <c r="N742" s="1" t="s">
        <v>62</v>
      </c>
      <c r="O742" s="1" t="s">
        <v>31</v>
      </c>
      <c r="P742" s="2">
        <v>45726</v>
      </c>
      <c r="Q742" s="1" t="s">
        <v>437</v>
      </c>
      <c r="R742" s="1" t="s">
        <v>1045</v>
      </c>
      <c r="S742" s="1" t="s">
        <v>34</v>
      </c>
      <c r="T742" s="1" t="s">
        <v>35</v>
      </c>
      <c r="U742" s="1" t="s">
        <v>66</v>
      </c>
      <c r="V742" s="1" t="s">
        <v>67</v>
      </c>
      <c r="W742">
        <v>3</v>
      </c>
      <c r="X742" s="1" t="str">
        <f t="shared" si="33"/>
        <v>valentina.castro119@mail.com</v>
      </c>
      <c r="Y742" s="1" t="str">
        <f>INDEX(V:V,MATCH(orders_desnormalizado_prueba3[[#This Row],[acquisition_channel]],U:U,0))</f>
        <v>AliDropship CN - envio 15-20 dias</v>
      </c>
      <c r="Z742" s="1" t="str">
        <f>INDEX(T:T,MATCH(orders_desnormalizado_prueba3[[#This Row],[shipping_cost]],W:W,0))</f>
        <v>Colombia</v>
      </c>
      <c r="AA742" s="1" t="str">
        <f t="shared" si="34"/>
        <v>Bogota</v>
      </c>
      <c r="AB742" s="1"/>
      <c r="AC742" s="1" t="str">
        <f t="shared" si="35"/>
        <v xml:space="preserve"> </v>
      </c>
    </row>
    <row r="743" spans="1:29" x14ac:dyDescent="0.3">
      <c r="A743" s="1" t="s">
        <v>1773</v>
      </c>
      <c r="B743">
        <v>1</v>
      </c>
      <c r="C743">
        <v>30.99</v>
      </c>
      <c r="D743">
        <v>30.99</v>
      </c>
      <c r="E743" s="1" t="s">
        <v>136</v>
      </c>
      <c r="F743" s="1" t="s">
        <v>70</v>
      </c>
      <c r="G743">
        <v>0</v>
      </c>
      <c r="H743" s="1" t="s">
        <v>26</v>
      </c>
      <c r="I743" s="1" t="s">
        <v>42</v>
      </c>
      <c r="J743">
        <v>10.5</v>
      </c>
      <c r="K743">
        <v>30.99</v>
      </c>
      <c r="L743" s="1" t="s">
        <v>28</v>
      </c>
      <c r="M743" s="1" t="s">
        <v>43</v>
      </c>
      <c r="N743" s="1" t="s">
        <v>44</v>
      </c>
      <c r="O743" s="1" t="s">
        <v>31</v>
      </c>
      <c r="P743" s="2">
        <v>45823</v>
      </c>
      <c r="Q743" s="1" t="s">
        <v>1676</v>
      </c>
      <c r="R743" s="1" t="s">
        <v>1774</v>
      </c>
      <c r="S743" s="1" t="s">
        <v>54</v>
      </c>
      <c r="T743" s="1" t="s">
        <v>35</v>
      </c>
      <c r="U743" s="1" t="s">
        <v>36</v>
      </c>
      <c r="V743" s="1" t="s">
        <v>37</v>
      </c>
      <c r="W743">
        <v>2</v>
      </c>
      <c r="X743" s="1" t="str">
        <f t="shared" si="33"/>
        <v>antonia.perez1@mail.com</v>
      </c>
      <c r="Y743" s="1" t="str">
        <f>INDEX(V:V,MATCH(orders_desnormalizado_prueba3[[#This Row],[acquisition_channel]],U:U,0))</f>
        <v>Bodega Propia CO - envio 2-3 dias</v>
      </c>
      <c r="Z743" s="1" t="str">
        <f>INDEX(T:T,MATCH(orders_desnormalizado_prueba3[[#This Row],[shipping_cost]],W:W,0))</f>
        <v>Colombia</v>
      </c>
      <c r="AA743" s="1" t="str">
        <f t="shared" si="34"/>
        <v>Cartagena</v>
      </c>
      <c r="AB743" s="1"/>
      <c r="AC743" s="1" t="str">
        <f t="shared" si="35"/>
        <v xml:space="preserve"> </v>
      </c>
    </row>
    <row r="744" spans="1:29" x14ac:dyDescent="0.3">
      <c r="A744" s="1" t="s">
        <v>1775</v>
      </c>
      <c r="B744">
        <v>1</v>
      </c>
      <c r="C744">
        <v>27.99</v>
      </c>
      <c r="D744">
        <v>27.99</v>
      </c>
      <c r="E744" s="1" t="s">
        <v>561</v>
      </c>
      <c r="F744" s="1" t="s">
        <v>40</v>
      </c>
      <c r="G744">
        <v>2</v>
      </c>
      <c r="H744" s="1" t="s">
        <v>26</v>
      </c>
      <c r="I744" s="1" t="s">
        <v>75</v>
      </c>
      <c r="J744">
        <v>9</v>
      </c>
      <c r="K744">
        <v>27.99</v>
      </c>
      <c r="L744" s="1" t="s">
        <v>28</v>
      </c>
      <c r="M744" s="1" t="s">
        <v>61</v>
      </c>
      <c r="N744" s="1" t="s">
        <v>62</v>
      </c>
      <c r="O744" s="1" t="s">
        <v>31</v>
      </c>
      <c r="P744" s="2">
        <v>45726</v>
      </c>
      <c r="Q744" s="1" t="s">
        <v>1144</v>
      </c>
      <c r="R744" s="1" t="s">
        <v>1145</v>
      </c>
      <c r="S744" s="1" t="s">
        <v>105</v>
      </c>
      <c r="T744" s="1" t="s">
        <v>35</v>
      </c>
      <c r="U744" s="1" t="s">
        <v>36</v>
      </c>
      <c r="V744" s="1" t="s">
        <v>37</v>
      </c>
      <c r="W744">
        <v>2</v>
      </c>
      <c r="X744" s="1" t="str">
        <f t="shared" si="33"/>
        <v>maria.sanchez179@mail.com</v>
      </c>
      <c r="Y744" s="1" t="str">
        <f>INDEX(V:V,MATCH(orders_desnormalizado_prueba3[[#This Row],[acquisition_channel]],U:U,0))</f>
        <v>Bodega Propia CO - envio 2-3 dias</v>
      </c>
      <c r="Z744" s="1" t="str">
        <f>INDEX(T:T,MATCH(orders_desnormalizado_prueba3[[#This Row],[shipping_cost]],W:W,0))</f>
        <v>Colombia</v>
      </c>
      <c r="AA744" s="1" t="str">
        <f t="shared" si="34"/>
        <v>Medellin</v>
      </c>
      <c r="AB744" s="1"/>
      <c r="AC744" s="1" t="str">
        <f t="shared" si="35"/>
        <v xml:space="preserve"> </v>
      </c>
    </row>
    <row r="745" spans="1:29" x14ac:dyDescent="0.3">
      <c r="A745" s="1" t="s">
        <v>1776</v>
      </c>
      <c r="B745">
        <v>1</v>
      </c>
      <c r="C745">
        <v>27.99</v>
      </c>
      <c r="D745">
        <v>27.99</v>
      </c>
      <c r="E745" s="1" t="s">
        <v>317</v>
      </c>
      <c r="F745" s="1" t="s">
        <v>40</v>
      </c>
      <c r="G745">
        <v>3</v>
      </c>
      <c r="H745" s="1" t="s">
        <v>26</v>
      </c>
      <c r="I745" s="1" t="s">
        <v>75</v>
      </c>
      <c r="J745">
        <v>9</v>
      </c>
      <c r="K745">
        <v>27.99</v>
      </c>
      <c r="L745" s="1" t="s">
        <v>28</v>
      </c>
      <c r="M745" s="1" t="s">
        <v>61</v>
      </c>
      <c r="N745" s="1" t="s">
        <v>62</v>
      </c>
      <c r="O745" s="1" t="s">
        <v>31</v>
      </c>
      <c r="P745" s="2">
        <v>45726</v>
      </c>
      <c r="Q745" s="1" t="s">
        <v>748</v>
      </c>
      <c r="R745" s="1" t="s">
        <v>749</v>
      </c>
      <c r="S745" s="1" t="s">
        <v>88</v>
      </c>
      <c r="T745" s="1" t="s">
        <v>35</v>
      </c>
      <c r="U745" s="1" t="s">
        <v>48</v>
      </c>
      <c r="V745" s="1" t="s">
        <v>37</v>
      </c>
      <c r="W745">
        <v>2</v>
      </c>
      <c r="X745" s="1" t="str">
        <f t="shared" si="33"/>
        <v>manuela.gomez88@mail.com</v>
      </c>
      <c r="Y745" s="1" t="str">
        <f>INDEX(V:V,MATCH(orders_desnormalizado_prueba3[[#This Row],[acquisition_channel]],U:U,0))</f>
        <v>Bodega Propia CO - envio 2-3 dias</v>
      </c>
      <c r="Z745" s="1" t="str">
        <f>INDEX(T:T,MATCH(orders_desnormalizado_prueba3[[#This Row],[shipping_cost]],W:W,0))</f>
        <v>Colombia</v>
      </c>
      <c r="AA745" s="1" t="str">
        <f t="shared" si="34"/>
        <v>Barranquilla</v>
      </c>
      <c r="AB745" s="1"/>
      <c r="AC745" s="1" t="str">
        <f t="shared" si="35"/>
        <v xml:space="preserve"> </v>
      </c>
    </row>
    <row r="746" spans="1:29" x14ac:dyDescent="0.3">
      <c r="A746" s="1" t="s">
        <v>1777</v>
      </c>
      <c r="B746">
        <v>3</v>
      </c>
      <c r="C746">
        <v>18.989999999999998</v>
      </c>
      <c r="D746">
        <v>45.99</v>
      </c>
      <c r="E746" s="1" t="s">
        <v>24</v>
      </c>
      <c r="F746" s="1" t="s">
        <v>40</v>
      </c>
      <c r="G746">
        <v>15</v>
      </c>
      <c r="H746" s="1" t="s">
        <v>26</v>
      </c>
      <c r="I746" s="1" t="s">
        <v>97</v>
      </c>
      <c r="J746">
        <v>6</v>
      </c>
      <c r="K746">
        <v>18.989999999999998</v>
      </c>
      <c r="L746" s="1" t="s">
        <v>60</v>
      </c>
      <c r="M746" s="1" t="s">
        <v>43</v>
      </c>
      <c r="N746" s="1" t="s">
        <v>44</v>
      </c>
      <c r="O746" s="1" t="s">
        <v>31</v>
      </c>
      <c r="P746" s="2">
        <v>45823</v>
      </c>
      <c r="Q746" s="1" t="s">
        <v>842</v>
      </c>
      <c r="R746" s="1" t="s">
        <v>1504</v>
      </c>
      <c r="S746" s="1" t="s">
        <v>47</v>
      </c>
      <c r="T746" s="1" t="s">
        <v>35</v>
      </c>
      <c r="U746" s="1" t="s">
        <v>66</v>
      </c>
      <c r="V746" s="1" t="s">
        <v>100</v>
      </c>
      <c r="W746">
        <v>3.2</v>
      </c>
      <c r="X746" s="1" t="str">
        <f t="shared" si="33"/>
        <v>manuela.moreno133@mail.com</v>
      </c>
      <c r="Y746" s="1" t="str">
        <f>INDEX(V:V,MATCH(orders_desnormalizado_prueba3[[#This Row],[acquisition_channel]],U:U,0))</f>
        <v>AliDropship CN - envio 15-20 dias</v>
      </c>
      <c r="Z746" s="1" t="str">
        <f>INDEX(T:T,MATCH(orders_desnormalizado_prueba3[[#This Row],[shipping_cost]],W:W,0))</f>
        <v>Colombia</v>
      </c>
      <c r="AA746" s="1" t="str">
        <f t="shared" si="34"/>
        <v>Barranquilla</v>
      </c>
      <c r="AB746" s="1"/>
      <c r="AC746" s="1" t="str">
        <f t="shared" si="35"/>
        <v xml:space="preserve"> </v>
      </c>
    </row>
    <row r="747" spans="1:29" x14ac:dyDescent="0.3">
      <c r="A747" s="1" t="s">
        <v>1778</v>
      </c>
      <c r="B747">
        <v>2</v>
      </c>
      <c r="C747">
        <v>34.99</v>
      </c>
      <c r="D747">
        <v>60.99</v>
      </c>
      <c r="E747" s="1" t="s">
        <v>1598</v>
      </c>
      <c r="F747" s="1" t="s">
        <v>51</v>
      </c>
      <c r="G747">
        <v>0</v>
      </c>
      <c r="H747" s="1" t="s">
        <v>58</v>
      </c>
      <c r="I747" s="1" t="s">
        <v>85</v>
      </c>
      <c r="J747">
        <v>12.5</v>
      </c>
      <c r="K747">
        <v>34.99</v>
      </c>
      <c r="L747" s="1" t="s">
        <v>60</v>
      </c>
      <c r="M747" s="1" t="s">
        <v>29</v>
      </c>
      <c r="N747" s="1" t="s">
        <v>30</v>
      </c>
      <c r="O747" s="1" t="s">
        <v>31</v>
      </c>
      <c r="P747" s="2">
        <v>45778</v>
      </c>
      <c r="Q747" s="1" t="s">
        <v>1035</v>
      </c>
      <c r="R747" s="1" t="s">
        <v>1036</v>
      </c>
      <c r="S747" s="1" t="s">
        <v>54</v>
      </c>
      <c r="T747" s="1" t="s">
        <v>35</v>
      </c>
      <c r="U747" s="1" t="s">
        <v>66</v>
      </c>
      <c r="V747" s="1" t="s">
        <v>89</v>
      </c>
      <c r="W747">
        <v>2.4</v>
      </c>
      <c r="X747" s="1" t="str">
        <f t="shared" si="33"/>
        <v>nicolas.ortiz56@mail.com</v>
      </c>
      <c r="Y747" s="1" t="str">
        <f>INDEX(V:V,MATCH(orders_desnormalizado_prueba3[[#This Row],[acquisition_channel]],U:U,0))</f>
        <v>AliDropship CN - envio 15-20 dias</v>
      </c>
      <c r="Z747" s="1" t="str">
        <f>INDEX(T:T,MATCH(orders_desnormalizado_prueba3[[#This Row],[shipping_cost]],W:W,0))</f>
        <v>Colombia</v>
      </c>
      <c r="AA747" s="1" t="str">
        <f t="shared" si="34"/>
        <v>Cartagena</v>
      </c>
      <c r="AB747" s="1"/>
      <c r="AC747" s="1" t="str">
        <f t="shared" si="35"/>
        <v xml:space="preserve"> </v>
      </c>
    </row>
    <row r="748" spans="1:29" x14ac:dyDescent="0.3">
      <c r="A748" s="1" t="s">
        <v>1779</v>
      </c>
      <c r="B748">
        <v>1</v>
      </c>
      <c r="C748">
        <v>18.989999999999998</v>
      </c>
      <c r="D748">
        <v>18.989999999999998</v>
      </c>
      <c r="E748" s="1" t="s">
        <v>723</v>
      </c>
      <c r="F748" s="1" t="s">
        <v>40</v>
      </c>
      <c r="G748">
        <v>14</v>
      </c>
      <c r="H748" s="1" t="s">
        <v>41</v>
      </c>
      <c r="I748" s="1" t="s">
        <v>97</v>
      </c>
      <c r="J748">
        <v>6</v>
      </c>
      <c r="K748">
        <v>18.989999999999998</v>
      </c>
      <c r="L748" s="1" t="s">
        <v>60</v>
      </c>
      <c r="M748" s="1" t="s">
        <v>43</v>
      </c>
      <c r="N748" s="1" t="s">
        <v>44</v>
      </c>
      <c r="O748" s="1" t="s">
        <v>31</v>
      </c>
      <c r="P748" s="2">
        <v>45823</v>
      </c>
      <c r="Q748" s="1" t="s">
        <v>1780</v>
      </c>
      <c r="R748" s="1" t="s">
        <v>1781</v>
      </c>
      <c r="S748" s="1" t="s">
        <v>65</v>
      </c>
      <c r="T748" s="1" t="s">
        <v>35</v>
      </c>
      <c r="U748" s="1" t="s">
        <v>36</v>
      </c>
      <c r="V748" s="1" t="s">
        <v>100</v>
      </c>
      <c r="W748">
        <v>3.2</v>
      </c>
      <c r="X748" s="1" t="str">
        <f t="shared" si="33"/>
        <v>manuela.jimenez173@mail.com</v>
      </c>
      <c r="Y748" s="1" t="str">
        <f>INDEX(V:V,MATCH(orders_desnormalizado_prueba3[[#This Row],[acquisition_channel]],U:U,0))</f>
        <v>Bodega Propia CO - envio 2-3 dias</v>
      </c>
      <c r="Z748" s="1" t="str">
        <f>INDEX(T:T,MATCH(orders_desnormalizado_prueba3[[#This Row],[shipping_cost]],W:W,0))</f>
        <v>Colombia</v>
      </c>
      <c r="AA748" s="1" t="str">
        <f t="shared" si="34"/>
        <v>Bogota</v>
      </c>
      <c r="AB748" s="1"/>
      <c r="AC748" s="1" t="str">
        <f t="shared" si="35"/>
        <v xml:space="preserve"> </v>
      </c>
    </row>
    <row r="749" spans="1:29" x14ac:dyDescent="0.3">
      <c r="A749" s="1" t="s">
        <v>1782</v>
      </c>
      <c r="B749">
        <v>2</v>
      </c>
      <c r="C749">
        <v>18.989999999999998</v>
      </c>
      <c r="D749">
        <v>32.479999999999997</v>
      </c>
      <c r="E749" s="1" t="s">
        <v>921</v>
      </c>
      <c r="F749" s="1" t="s">
        <v>40</v>
      </c>
      <c r="G749">
        <v>10</v>
      </c>
      <c r="H749" s="1" t="s">
        <v>58</v>
      </c>
      <c r="I749" s="1" t="s">
        <v>97</v>
      </c>
      <c r="J749">
        <v>6</v>
      </c>
      <c r="K749">
        <v>18.989999999999998</v>
      </c>
      <c r="L749" s="1" t="s">
        <v>60</v>
      </c>
      <c r="M749" s="1" t="s">
        <v>43</v>
      </c>
      <c r="N749" s="1" t="s">
        <v>44</v>
      </c>
      <c r="O749" s="1" t="s">
        <v>31</v>
      </c>
      <c r="P749" s="2">
        <v>45823</v>
      </c>
      <c r="Q749" s="1" t="s">
        <v>909</v>
      </c>
      <c r="R749" s="1" t="s">
        <v>996</v>
      </c>
      <c r="S749" s="1" t="s">
        <v>88</v>
      </c>
      <c r="T749" s="1" t="s">
        <v>35</v>
      </c>
      <c r="U749" s="1" t="s">
        <v>66</v>
      </c>
      <c r="V749" s="1" t="s">
        <v>100</v>
      </c>
      <c r="W749">
        <v>3.2</v>
      </c>
      <c r="X749" s="1" t="str">
        <f t="shared" si="33"/>
        <v>juan.hernandez64@mail.com</v>
      </c>
      <c r="Y749" s="1" t="str">
        <f>INDEX(V:V,MATCH(orders_desnormalizado_prueba3[[#This Row],[acquisition_channel]],U:U,0))</f>
        <v>AliDropship CN - envio 15-20 dias</v>
      </c>
      <c r="Z749" s="1" t="str">
        <f>INDEX(T:T,MATCH(orders_desnormalizado_prueba3[[#This Row],[shipping_cost]],W:W,0))</f>
        <v>Colombia</v>
      </c>
      <c r="AA749" s="1" t="str">
        <f t="shared" si="34"/>
        <v>Bogota</v>
      </c>
      <c r="AB749" s="1"/>
      <c r="AC749" s="1" t="str">
        <f t="shared" si="35"/>
        <v xml:space="preserve"> </v>
      </c>
    </row>
    <row r="750" spans="1:29" x14ac:dyDescent="0.3">
      <c r="A750" s="1" t="s">
        <v>1783</v>
      </c>
      <c r="B750">
        <v>2</v>
      </c>
      <c r="C750">
        <v>30.99</v>
      </c>
      <c r="D750">
        <v>53.82</v>
      </c>
      <c r="E750" s="1" t="s">
        <v>1596</v>
      </c>
      <c r="F750" s="1" t="s">
        <v>51</v>
      </c>
      <c r="G750">
        <v>0</v>
      </c>
      <c r="H750" s="1" t="s">
        <v>41</v>
      </c>
      <c r="I750" s="1" t="s">
        <v>42</v>
      </c>
      <c r="J750">
        <v>10.5</v>
      </c>
      <c r="K750">
        <v>30.99</v>
      </c>
      <c r="L750" s="1" t="s">
        <v>28</v>
      </c>
      <c r="M750" s="1" t="s">
        <v>43</v>
      </c>
      <c r="N750" s="1" t="s">
        <v>44</v>
      </c>
      <c r="O750" s="1" t="s">
        <v>31</v>
      </c>
      <c r="P750" s="2">
        <v>45823</v>
      </c>
      <c r="Q750" s="1" t="s">
        <v>873</v>
      </c>
      <c r="R750" s="1" t="s">
        <v>1208</v>
      </c>
      <c r="S750" s="1" t="s">
        <v>54</v>
      </c>
      <c r="T750" s="1" t="s">
        <v>35</v>
      </c>
      <c r="U750" s="1" t="s">
        <v>82</v>
      </c>
      <c r="V750" s="1" t="s">
        <v>37</v>
      </c>
      <c r="W750">
        <v>2</v>
      </c>
      <c r="X750" s="1" t="str">
        <f t="shared" si="33"/>
        <v>fernanda.sanchez183@mail.com</v>
      </c>
      <c r="Y750" s="1" t="str">
        <f>INDEX(V:V,MATCH(orders_desnormalizado_prueba3[[#This Row],[acquisition_channel]],U:U,0))</f>
        <v>Bodega Propia CO - envio 2-3 dias</v>
      </c>
      <c r="Z750" s="1" t="str">
        <f>INDEX(T:T,MATCH(orders_desnormalizado_prueba3[[#This Row],[shipping_cost]],W:W,0))</f>
        <v>Colombia</v>
      </c>
      <c r="AA750" s="1" t="str">
        <f t="shared" si="34"/>
        <v>Cartagena</v>
      </c>
      <c r="AB750" s="1"/>
      <c r="AC750" s="1" t="str">
        <f t="shared" si="35"/>
        <v xml:space="preserve"> </v>
      </c>
    </row>
    <row r="751" spans="1:29" x14ac:dyDescent="0.3">
      <c r="A751" s="1" t="s">
        <v>1784</v>
      </c>
      <c r="B751">
        <v>1</v>
      </c>
      <c r="C751">
        <v>21.99</v>
      </c>
      <c r="D751">
        <v>21.99</v>
      </c>
      <c r="E751" s="1" t="s">
        <v>1785</v>
      </c>
      <c r="F751" s="1" t="s">
        <v>40</v>
      </c>
      <c r="G751">
        <v>3</v>
      </c>
      <c r="H751" s="1" t="s">
        <v>41</v>
      </c>
      <c r="I751" s="1" t="s">
        <v>27</v>
      </c>
      <c r="J751">
        <v>7</v>
      </c>
      <c r="K751">
        <v>21.99</v>
      </c>
      <c r="L751" s="1" t="s">
        <v>28</v>
      </c>
      <c r="M751" s="1" t="s">
        <v>29</v>
      </c>
      <c r="N751" s="1" t="s">
        <v>30</v>
      </c>
      <c r="O751" s="1" t="s">
        <v>31</v>
      </c>
      <c r="P751" s="2">
        <v>45778</v>
      </c>
      <c r="Q751" s="1" t="s">
        <v>1133</v>
      </c>
      <c r="R751" s="1" t="s">
        <v>1134</v>
      </c>
      <c r="S751" s="1" t="s">
        <v>65</v>
      </c>
      <c r="T751" s="1" t="s">
        <v>35</v>
      </c>
      <c r="U751" s="1" t="s">
        <v>36</v>
      </c>
      <c r="V751" s="1" t="s">
        <v>37</v>
      </c>
      <c r="W751">
        <v>2</v>
      </c>
      <c r="X751" s="1" t="str">
        <f t="shared" si="33"/>
        <v>julian.lopez73@mail.com</v>
      </c>
      <c r="Y751" s="1" t="str">
        <f>INDEX(V:V,MATCH(orders_desnormalizado_prueba3[[#This Row],[acquisition_channel]],U:U,0))</f>
        <v>Bodega Propia CO - envio 2-3 dias</v>
      </c>
      <c r="Z751" s="1" t="str">
        <f>INDEX(T:T,MATCH(orders_desnormalizado_prueba3[[#This Row],[shipping_cost]],W:W,0))</f>
        <v>Colombia</v>
      </c>
      <c r="AA751" s="1" t="str">
        <f t="shared" si="34"/>
        <v>Barranquilla</v>
      </c>
      <c r="AB751" s="1"/>
      <c r="AC751" s="1" t="str">
        <f t="shared" si="35"/>
        <v xml:space="preserve"> </v>
      </c>
    </row>
    <row r="752" spans="1:29" x14ac:dyDescent="0.3">
      <c r="A752" s="1" t="s">
        <v>1786</v>
      </c>
      <c r="B752">
        <v>2</v>
      </c>
      <c r="C752">
        <v>16.989999999999998</v>
      </c>
      <c r="D752">
        <v>29.1</v>
      </c>
      <c r="E752" s="1" t="s">
        <v>1787</v>
      </c>
      <c r="F752" s="1" t="s">
        <v>40</v>
      </c>
      <c r="G752">
        <v>20</v>
      </c>
      <c r="H752" s="1" t="s">
        <v>96</v>
      </c>
      <c r="I752" s="1" t="s">
        <v>59</v>
      </c>
      <c r="J752">
        <v>5</v>
      </c>
      <c r="K752">
        <v>16.989999999999998</v>
      </c>
      <c r="L752" s="1" t="s">
        <v>60</v>
      </c>
      <c r="M752" s="1" t="s">
        <v>61</v>
      </c>
      <c r="N752" s="1" t="s">
        <v>62</v>
      </c>
      <c r="O752" s="1" t="s">
        <v>31</v>
      </c>
      <c r="P752" s="2">
        <v>45726</v>
      </c>
      <c r="Q752" s="1" t="s">
        <v>760</v>
      </c>
      <c r="R752" s="1" t="s">
        <v>1682</v>
      </c>
      <c r="S752" s="1" t="s">
        <v>105</v>
      </c>
      <c r="T752" s="1" t="s">
        <v>35</v>
      </c>
      <c r="U752" s="1" t="s">
        <v>48</v>
      </c>
      <c r="V752" s="1" t="s">
        <v>67</v>
      </c>
      <c r="W752">
        <v>3</v>
      </c>
      <c r="X752" s="1" t="str">
        <f t="shared" si="33"/>
        <v>alejandro.gomez26@mail.com</v>
      </c>
      <c r="Y752" s="1" t="str">
        <f>INDEX(V:V,MATCH(orders_desnormalizado_prueba3[[#This Row],[acquisition_channel]],U:U,0))</f>
        <v>Bodega Propia CO - envio 2-3 dias</v>
      </c>
      <c r="Z752" s="1" t="str">
        <f>INDEX(T:T,MATCH(orders_desnormalizado_prueba3[[#This Row],[shipping_cost]],W:W,0))</f>
        <v>Colombia</v>
      </c>
      <c r="AA752" s="1" t="str">
        <f t="shared" si="34"/>
        <v>Bucaramanga</v>
      </c>
      <c r="AB752" s="1"/>
      <c r="AC752" s="1" t="str">
        <f t="shared" si="35"/>
        <v xml:space="preserve"> </v>
      </c>
    </row>
    <row r="753" spans="1:29" x14ac:dyDescent="0.3">
      <c r="A753" s="1" t="s">
        <v>1788</v>
      </c>
      <c r="B753">
        <v>1</v>
      </c>
      <c r="C753">
        <v>18.989999999999998</v>
      </c>
      <c r="D753">
        <v>18.989999999999998</v>
      </c>
      <c r="E753" s="1" t="s">
        <v>281</v>
      </c>
      <c r="F753" s="1" t="s">
        <v>40</v>
      </c>
      <c r="G753">
        <v>11</v>
      </c>
      <c r="H753" s="1" t="s">
        <v>96</v>
      </c>
      <c r="I753" s="1" t="s">
        <v>97</v>
      </c>
      <c r="J753">
        <v>6</v>
      </c>
      <c r="K753">
        <v>18.989999999999998</v>
      </c>
      <c r="L753" s="1" t="s">
        <v>60</v>
      </c>
      <c r="M753" s="1" t="s">
        <v>43</v>
      </c>
      <c r="N753" s="1" t="s">
        <v>44</v>
      </c>
      <c r="O753" s="1" t="s">
        <v>31</v>
      </c>
      <c r="P753" s="2">
        <v>45823</v>
      </c>
      <c r="Q753" s="1" t="s">
        <v>176</v>
      </c>
      <c r="R753" s="1" t="s">
        <v>1789</v>
      </c>
      <c r="S753" s="1" t="s">
        <v>54</v>
      </c>
      <c r="T753" s="1" t="s">
        <v>35</v>
      </c>
      <c r="U753" s="1" t="s">
        <v>66</v>
      </c>
      <c r="V753" s="1" t="s">
        <v>100</v>
      </c>
      <c r="W753">
        <v>3.2</v>
      </c>
      <c r="X753" s="1" t="str">
        <f t="shared" si="33"/>
        <v>camila.castro114@mail.com</v>
      </c>
      <c r="Y753" s="1" t="str">
        <f>INDEX(V:V,MATCH(orders_desnormalizado_prueba3[[#This Row],[acquisition_channel]],U:U,0))</f>
        <v>AliDropship CN - envio 15-20 dias</v>
      </c>
      <c r="Z753" s="1" t="str">
        <f>INDEX(T:T,MATCH(orders_desnormalizado_prueba3[[#This Row],[shipping_cost]],W:W,0))</f>
        <v>Colombia</v>
      </c>
      <c r="AA753" s="1" t="str">
        <f t="shared" si="34"/>
        <v>Cali</v>
      </c>
      <c r="AB753" s="1"/>
      <c r="AC753" s="1" t="str">
        <f t="shared" si="35"/>
        <v xml:space="preserve"> </v>
      </c>
    </row>
    <row r="754" spans="1:29" x14ac:dyDescent="0.3">
      <c r="A754" s="1" t="s">
        <v>1790</v>
      </c>
      <c r="B754">
        <v>2</v>
      </c>
      <c r="C754">
        <v>18.989999999999998</v>
      </c>
      <c r="D754">
        <v>32.840000000000003</v>
      </c>
      <c r="E754" s="1" t="s">
        <v>868</v>
      </c>
      <c r="F754" s="1" t="s">
        <v>40</v>
      </c>
      <c r="G754">
        <v>14</v>
      </c>
      <c r="H754" s="1" t="s">
        <v>26</v>
      </c>
      <c r="I754" s="1" t="s">
        <v>97</v>
      </c>
      <c r="J754">
        <v>6</v>
      </c>
      <c r="K754">
        <v>18.989999999999998</v>
      </c>
      <c r="L754" s="1" t="s">
        <v>60</v>
      </c>
      <c r="M754" s="1" t="s">
        <v>43</v>
      </c>
      <c r="N754" s="1" t="s">
        <v>44</v>
      </c>
      <c r="O754" s="1" t="s">
        <v>31</v>
      </c>
      <c r="P754" s="2">
        <v>45823</v>
      </c>
      <c r="Q754" s="1" t="s">
        <v>783</v>
      </c>
      <c r="R754" s="1" t="s">
        <v>784</v>
      </c>
      <c r="S754" s="1" t="s">
        <v>34</v>
      </c>
      <c r="T754" s="1" t="s">
        <v>35</v>
      </c>
      <c r="U754" s="1" t="s">
        <v>55</v>
      </c>
      <c r="V754" s="1" t="s">
        <v>100</v>
      </c>
      <c r="W754">
        <v>3.2</v>
      </c>
      <c r="X754" s="1" t="str">
        <f t="shared" si="33"/>
        <v>santiago.castro71@mail.com</v>
      </c>
      <c r="Y754" s="1" t="str">
        <f>INDEX(V:V,MATCH(orders_desnormalizado_prueba3[[#This Row],[acquisition_channel]],U:U,0))</f>
        <v>Bodega Propia CO - envio 2-3 dias</v>
      </c>
      <c r="Z754" s="1" t="str">
        <f>INDEX(T:T,MATCH(orders_desnormalizado_prueba3[[#This Row],[shipping_cost]],W:W,0))</f>
        <v>Colombia</v>
      </c>
      <c r="AA754" s="1" t="str">
        <f t="shared" si="34"/>
        <v>Bogota</v>
      </c>
      <c r="AB754" s="1"/>
      <c r="AC754" s="1" t="str">
        <f t="shared" si="35"/>
        <v xml:space="preserve"> </v>
      </c>
    </row>
    <row r="755" spans="1:29" x14ac:dyDescent="0.3">
      <c r="A755" s="1" t="s">
        <v>1791</v>
      </c>
      <c r="B755">
        <v>1</v>
      </c>
      <c r="C755">
        <v>27.99</v>
      </c>
      <c r="D755">
        <v>27.99</v>
      </c>
      <c r="E755" s="1" t="s">
        <v>393</v>
      </c>
      <c r="F755" s="1" t="s">
        <v>188</v>
      </c>
      <c r="G755">
        <v>0</v>
      </c>
      <c r="H755" s="1" t="s">
        <v>41</v>
      </c>
      <c r="I755" s="1" t="s">
        <v>75</v>
      </c>
      <c r="J755">
        <v>9</v>
      </c>
      <c r="K755">
        <v>27.99</v>
      </c>
      <c r="L755" s="1" t="s">
        <v>28</v>
      </c>
      <c r="M755" s="1" t="s">
        <v>61</v>
      </c>
      <c r="N755" s="1" t="s">
        <v>62</v>
      </c>
      <c r="O755" s="1" t="s">
        <v>31</v>
      </c>
      <c r="P755" s="2">
        <v>45726</v>
      </c>
      <c r="Q755" s="1" t="s">
        <v>425</v>
      </c>
      <c r="R755" s="1" t="s">
        <v>1469</v>
      </c>
      <c r="S755" s="1" t="s">
        <v>88</v>
      </c>
      <c r="T755" s="1" t="s">
        <v>35</v>
      </c>
      <c r="U755" s="1" t="s">
        <v>82</v>
      </c>
      <c r="V755" s="1" t="s">
        <v>37</v>
      </c>
      <c r="W755">
        <v>2</v>
      </c>
      <c r="X755" s="1" t="str">
        <f t="shared" si="33"/>
        <v>paula.ramirez47@mail.com</v>
      </c>
      <c r="Y755" s="1" t="str">
        <f>INDEX(V:V,MATCH(orders_desnormalizado_prueba3[[#This Row],[acquisition_channel]],U:U,0))</f>
        <v>Bodega Propia CO - envio 2-3 dias</v>
      </c>
      <c r="Z755" s="1" t="str">
        <f>INDEX(T:T,MATCH(orders_desnormalizado_prueba3[[#This Row],[shipping_cost]],W:W,0))</f>
        <v>Colombia</v>
      </c>
      <c r="AA755" s="1" t="str">
        <f t="shared" si="34"/>
        <v>Cartagena</v>
      </c>
      <c r="AB755" s="1"/>
      <c r="AC755" s="1" t="str">
        <f t="shared" si="35"/>
        <v xml:space="preserve"> </v>
      </c>
    </row>
    <row r="756" spans="1:29" x14ac:dyDescent="0.3">
      <c r="A756" s="1" t="s">
        <v>1792</v>
      </c>
      <c r="B756">
        <v>1</v>
      </c>
      <c r="C756">
        <v>34.99</v>
      </c>
      <c r="D756">
        <v>34.99</v>
      </c>
      <c r="E756" s="1" t="s">
        <v>1345</v>
      </c>
      <c r="F756" s="1" t="s">
        <v>40</v>
      </c>
      <c r="G756">
        <v>8</v>
      </c>
      <c r="H756" s="1" t="s">
        <v>96</v>
      </c>
      <c r="I756" s="1" t="s">
        <v>85</v>
      </c>
      <c r="J756">
        <v>12.5</v>
      </c>
      <c r="K756">
        <v>34.99</v>
      </c>
      <c r="L756" s="1" t="s">
        <v>60</v>
      </c>
      <c r="M756" s="1" t="s">
        <v>29</v>
      </c>
      <c r="N756" s="1" t="s">
        <v>30</v>
      </c>
      <c r="O756" s="1" t="s">
        <v>31</v>
      </c>
      <c r="P756" s="2">
        <v>45778</v>
      </c>
      <c r="Q756" s="1" t="s">
        <v>1793</v>
      </c>
      <c r="R756" s="1" t="s">
        <v>1794</v>
      </c>
      <c r="S756" s="1" t="s">
        <v>88</v>
      </c>
      <c r="T756" s="1" t="s">
        <v>35</v>
      </c>
      <c r="U756" s="1" t="s">
        <v>82</v>
      </c>
      <c r="V756" s="1" t="s">
        <v>89</v>
      </c>
      <c r="W756">
        <v>2.4</v>
      </c>
      <c r="X756" s="1" t="str">
        <f t="shared" si="33"/>
        <v>camila.ramirez98@mail.com</v>
      </c>
      <c r="Y756" s="1" t="str">
        <f>INDEX(V:V,MATCH(orders_desnormalizado_prueba3[[#This Row],[acquisition_channel]],U:U,0))</f>
        <v>Bodega Propia CO - envio 2-3 dias</v>
      </c>
      <c r="Z756" s="1" t="str">
        <f>INDEX(T:T,MATCH(orders_desnormalizado_prueba3[[#This Row],[shipping_cost]],W:W,0))</f>
        <v>Colombia</v>
      </c>
      <c r="AA756" s="1" t="str">
        <f t="shared" si="34"/>
        <v>Barranquilla</v>
      </c>
      <c r="AB756" s="1"/>
      <c r="AC756" s="1" t="str">
        <f t="shared" si="35"/>
        <v xml:space="preserve"> </v>
      </c>
    </row>
    <row r="757" spans="1:29" x14ac:dyDescent="0.3">
      <c r="A757" s="1" t="s">
        <v>1795</v>
      </c>
      <c r="B757">
        <v>3</v>
      </c>
      <c r="C757">
        <v>27.99</v>
      </c>
      <c r="D757">
        <v>67.209999999999994</v>
      </c>
      <c r="E757" s="1" t="s">
        <v>1796</v>
      </c>
      <c r="F757" s="1" t="s">
        <v>40</v>
      </c>
      <c r="G757">
        <v>2</v>
      </c>
      <c r="H757" s="1" t="s">
        <v>58</v>
      </c>
      <c r="I757" s="1" t="s">
        <v>75</v>
      </c>
      <c r="J757">
        <v>9</v>
      </c>
      <c r="K757">
        <v>27.99</v>
      </c>
      <c r="L757" s="1" t="s">
        <v>28</v>
      </c>
      <c r="M757" s="1" t="s">
        <v>61</v>
      </c>
      <c r="N757" s="1" t="s">
        <v>62</v>
      </c>
      <c r="O757" s="1" t="s">
        <v>31</v>
      </c>
      <c r="P757" s="2">
        <v>45726</v>
      </c>
      <c r="Q757" s="1" t="s">
        <v>182</v>
      </c>
      <c r="R757" s="1" t="s">
        <v>754</v>
      </c>
      <c r="S757" s="1" t="s">
        <v>65</v>
      </c>
      <c r="T757" s="1" t="s">
        <v>35</v>
      </c>
      <c r="U757" s="1" t="s">
        <v>36</v>
      </c>
      <c r="V757" s="1" t="s">
        <v>37</v>
      </c>
      <c r="W757">
        <v>2</v>
      </c>
      <c r="X757" s="1" t="str">
        <f t="shared" si="33"/>
        <v>daniela.gomez75@mail.com</v>
      </c>
      <c r="Y757" s="1" t="str">
        <f>INDEX(V:V,MATCH(orders_desnormalizado_prueba3[[#This Row],[acquisition_channel]],U:U,0))</f>
        <v>Bodega Propia CO - envio 2-3 dias</v>
      </c>
      <c r="Z757" s="1" t="str">
        <f>INDEX(T:T,MATCH(orders_desnormalizado_prueba3[[#This Row],[shipping_cost]],W:W,0))</f>
        <v>Colombia</v>
      </c>
      <c r="AA757" s="1" t="str">
        <f t="shared" si="34"/>
        <v>Medellin</v>
      </c>
      <c r="AB757" s="1"/>
      <c r="AC757" s="1" t="str">
        <f t="shared" si="35"/>
        <v xml:space="preserve"> </v>
      </c>
    </row>
    <row r="758" spans="1:29" x14ac:dyDescent="0.3">
      <c r="A758" s="1" t="s">
        <v>1797</v>
      </c>
      <c r="B758">
        <v>2</v>
      </c>
      <c r="C758">
        <v>21.99</v>
      </c>
      <c r="D758">
        <v>37.85</v>
      </c>
      <c r="E758" s="1" t="s">
        <v>1798</v>
      </c>
      <c r="F758" s="1" t="s">
        <v>40</v>
      </c>
      <c r="G758">
        <v>2</v>
      </c>
      <c r="H758" s="1" t="s">
        <v>58</v>
      </c>
      <c r="I758" s="1" t="s">
        <v>27</v>
      </c>
      <c r="J758">
        <v>7</v>
      </c>
      <c r="K758">
        <v>21.99</v>
      </c>
      <c r="L758" s="1" t="s">
        <v>28</v>
      </c>
      <c r="M758" s="1" t="s">
        <v>29</v>
      </c>
      <c r="N758" s="1" t="s">
        <v>30</v>
      </c>
      <c r="O758" s="1" t="s">
        <v>31</v>
      </c>
      <c r="P758" s="2">
        <v>45778</v>
      </c>
      <c r="Q758" s="1" t="s">
        <v>1140</v>
      </c>
      <c r="R758" s="1" t="s">
        <v>1799</v>
      </c>
      <c r="S758" s="1" t="s">
        <v>65</v>
      </c>
      <c r="T758" s="1" t="s">
        <v>35</v>
      </c>
      <c r="U758" s="1" t="s">
        <v>48</v>
      </c>
      <c r="V758" s="1" t="s">
        <v>37</v>
      </c>
      <c r="W758">
        <v>2</v>
      </c>
      <c r="X758" s="1" t="str">
        <f t="shared" si="33"/>
        <v>laura.castro41@mail.com</v>
      </c>
      <c r="Y758" s="1" t="str">
        <f>INDEX(V:V,MATCH(orders_desnormalizado_prueba3[[#This Row],[acquisition_channel]],U:U,0))</f>
        <v>Bodega Propia CO - envio 2-3 dias</v>
      </c>
      <c r="Z758" s="1" t="str">
        <f>INDEX(T:T,MATCH(orders_desnormalizado_prueba3[[#This Row],[shipping_cost]],W:W,0))</f>
        <v>Colombia</v>
      </c>
      <c r="AA758" s="1" t="str">
        <f t="shared" si="34"/>
        <v>Medellin</v>
      </c>
      <c r="AB758" s="1"/>
      <c r="AC758" s="1" t="str">
        <f t="shared" si="35"/>
        <v xml:space="preserve"> </v>
      </c>
    </row>
    <row r="759" spans="1:29" x14ac:dyDescent="0.3">
      <c r="A759" s="1" t="s">
        <v>1800</v>
      </c>
      <c r="B759">
        <v>3</v>
      </c>
      <c r="C759">
        <v>16.989999999999998</v>
      </c>
      <c r="D759">
        <v>40.08</v>
      </c>
      <c r="E759" s="1" t="s">
        <v>1801</v>
      </c>
      <c r="F759" s="1" t="s">
        <v>188</v>
      </c>
      <c r="G759">
        <v>0</v>
      </c>
      <c r="H759" s="1" t="s">
        <v>26</v>
      </c>
      <c r="I759" s="1" t="s">
        <v>59</v>
      </c>
      <c r="J759">
        <v>5</v>
      </c>
      <c r="K759">
        <v>16.989999999999998</v>
      </c>
      <c r="L759" s="1" t="s">
        <v>60</v>
      </c>
      <c r="M759" s="1" t="s">
        <v>61</v>
      </c>
      <c r="N759" s="1" t="s">
        <v>62</v>
      </c>
      <c r="O759" s="1" t="s">
        <v>31</v>
      </c>
      <c r="P759" s="2">
        <v>45726</v>
      </c>
      <c r="Q759" s="1" t="s">
        <v>832</v>
      </c>
      <c r="R759" s="1" t="s">
        <v>879</v>
      </c>
      <c r="S759" s="1" t="s">
        <v>105</v>
      </c>
      <c r="T759" s="1" t="s">
        <v>35</v>
      </c>
      <c r="U759" s="1" t="s">
        <v>66</v>
      </c>
      <c r="V759" s="1" t="s">
        <v>67</v>
      </c>
      <c r="W759">
        <v>3</v>
      </c>
      <c r="X759" s="1" t="str">
        <f t="shared" si="33"/>
        <v>nicolas.vargas144@mail.com</v>
      </c>
      <c r="Y759" s="1" t="str">
        <f>INDEX(V:V,MATCH(orders_desnormalizado_prueba3[[#This Row],[acquisition_channel]],U:U,0))</f>
        <v>AliDropship CN - envio 15-20 dias</v>
      </c>
      <c r="Z759" s="1" t="str">
        <f>INDEX(T:T,MATCH(orders_desnormalizado_prueba3[[#This Row],[shipping_cost]],W:W,0))</f>
        <v>Colombia</v>
      </c>
      <c r="AA759" s="1" t="str">
        <f t="shared" si="34"/>
        <v>Cartagena</v>
      </c>
      <c r="AB759" s="1"/>
      <c r="AC759" s="1" t="str">
        <f t="shared" si="35"/>
        <v xml:space="preserve"> </v>
      </c>
    </row>
    <row r="760" spans="1:29" x14ac:dyDescent="0.3">
      <c r="A760" s="1" t="s">
        <v>1802</v>
      </c>
      <c r="B760">
        <v>1</v>
      </c>
      <c r="C760">
        <v>16.989999999999998</v>
      </c>
      <c r="D760">
        <v>16.989999999999998</v>
      </c>
      <c r="E760" s="1" t="s">
        <v>1170</v>
      </c>
      <c r="F760" s="1" t="s">
        <v>51</v>
      </c>
      <c r="G760">
        <v>0</v>
      </c>
      <c r="H760" s="1" t="s">
        <v>41</v>
      </c>
      <c r="I760" s="1" t="s">
        <v>59</v>
      </c>
      <c r="J760">
        <v>5</v>
      </c>
      <c r="K760">
        <v>16.989999999999998</v>
      </c>
      <c r="L760" s="1" t="s">
        <v>60</v>
      </c>
      <c r="M760" s="1" t="s">
        <v>61</v>
      </c>
      <c r="N760" s="1" t="s">
        <v>62</v>
      </c>
      <c r="O760" s="1" t="s">
        <v>31</v>
      </c>
      <c r="P760" s="2">
        <v>45726</v>
      </c>
      <c r="Q760" s="1" t="s">
        <v>63</v>
      </c>
      <c r="R760" s="1" t="s">
        <v>1803</v>
      </c>
      <c r="S760" s="1" t="s">
        <v>105</v>
      </c>
      <c r="T760" s="1" t="s">
        <v>35</v>
      </c>
      <c r="U760" s="1" t="s">
        <v>48</v>
      </c>
      <c r="V760" s="1" t="s">
        <v>67</v>
      </c>
      <c r="W760">
        <v>3</v>
      </c>
      <c r="X760" s="1" t="str">
        <f t="shared" si="33"/>
        <v>laura.rodriguez85@mail.com</v>
      </c>
      <c r="Y760" s="1" t="str">
        <f>INDEX(V:V,MATCH(orders_desnormalizado_prueba3[[#This Row],[acquisition_channel]],U:U,0))</f>
        <v>Bodega Propia CO - envio 2-3 dias</v>
      </c>
      <c r="Z760" s="1" t="str">
        <f>INDEX(T:T,MATCH(orders_desnormalizado_prueba3[[#This Row],[shipping_cost]],W:W,0))</f>
        <v>Colombia</v>
      </c>
      <c r="AA760" s="1" t="str">
        <f t="shared" si="34"/>
        <v>Cartagena</v>
      </c>
      <c r="AB760" s="1"/>
      <c r="AC760" s="1" t="str">
        <f t="shared" si="35"/>
        <v xml:space="preserve"> </v>
      </c>
    </row>
    <row r="761" spans="1:29" x14ac:dyDescent="0.3">
      <c r="A761" s="1" t="s">
        <v>1804</v>
      </c>
      <c r="B761">
        <v>1</v>
      </c>
      <c r="C761">
        <v>21.99</v>
      </c>
      <c r="D761">
        <v>21.99</v>
      </c>
      <c r="E761" s="1" t="s">
        <v>1047</v>
      </c>
      <c r="F761" s="1" t="s">
        <v>40</v>
      </c>
      <c r="G761">
        <v>2</v>
      </c>
      <c r="H761" s="1" t="s">
        <v>41</v>
      </c>
      <c r="I761" s="1" t="s">
        <v>27</v>
      </c>
      <c r="J761">
        <v>7</v>
      </c>
      <c r="K761">
        <v>21.99</v>
      </c>
      <c r="L761" s="1" t="s">
        <v>28</v>
      </c>
      <c r="M761" s="1" t="s">
        <v>29</v>
      </c>
      <c r="N761" s="1" t="s">
        <v>30</v>
      </c>
      <c r="O761" s="1" t="s">
        <v>31</v>
      </c>
      <c r="P761" s="2">
        <v>45778</v>
      </c>
      <c r="Q761" s="1" t="s">
        <v>305</v>
      </c>
      <c r="R761" s="1" t="s">
        <v>1560</v>
      </c>
      <c r="S761" s="1" t="s">
        <v>65</v>
      </c>
      <c r="T761" s="1" t="s">
        <v>35</v>
      </c>
      <c r="U761" s="1" t="s">
        <v>55</v>
      </c>
      <c r="V761" s="1" t="s">
        <v>37</v>
      </c>
      <c r="W761">
        <v>2</v>
      </c>
      <c r="X761" s="1" t="str">
        <f t="shared" si="33"/>
        <v>sebastian.sanchez117@mail.com</v>
      </c>
      <c r="Y761" s="1" t="str">
        <f>INDEX(V:V,MATCH(orders_desnormalizado_prueba3[[#This Row],[acquisition_channel]],U:U,0))</f>
        <v>Bodega Propia CO - envio 2-3 dias</v>
      </c>
      <c r="Z761" s="1" t="str">
        <f>INDEX(T:T,MATCH(orders_desnormalizado_prueba3[[#This Row],[shipping_cost]],W:W,0))</f>
        <v>Colombia</v>
      </c>
      <c r="AA761" s="1" t="str">
        <f t="shared" si="34"/>
        <v>Medellin</v>
      </c>
      <c r="AB761" s="1"/>
      <c r="AC761" s="1" t="str">
        <f t="shared" si="35"/>
        <v xml:space="preserve"> </v>
      </c>
    </row>
    <row r="762" spans="1:29" x14ac:dyDescent="0.3">
      <c r="A762" s="1" t="s">
        <v>1805</v>
      </c>
      <c r="B762">
        <v>2</v>
      </c>
      <c r="C762">
        <v>18.989999999999998</v>
      </c>
      <c r="D762">
        <v>32.950000000000003</v>
      </c>
      <c r="E762" s="1" t="s">
        <v>117</v>
      </c>
      <c r="F762" s="1" t="s">
        <v>51</v>
      </c>
      <c r="G762">
        <v>0</v>
      </c>
      <c r="H762" s="1" t="s">
        <v>41</v>
      </c>
      <c r="I762" s="1" t="s">
        <v>97</v>
      </c>
      <c r="J762">
        <v>6</v>
      </c>
      <c r="K762">
        <v>18.989999999999998</v>
      </c>
      <c r="L762" s="1" t="s">
        <v>60</v>
      </c>
      <c r="M762" s="1" t="s">
        <v>43</v>
      </c>
      <c r="N762" s="1" t="s">
        <v>44</v>
      </c>
      <c r="O762" s="1" t="s">
        <v>31</v>
      </c>
      <c r="P762" s="2">
        <v>45823</v>
      </c>
      <c r="Q762" s="1" t="s">
        <v>934</v>
      </c>
      <c r="R762" s="1" t="s">
        <v>1165</v>
      </c>
      <c r="S762" s="1" t="s">
        <v>65</v>
      </c>
      <c r="T762" s="1" t="s">
        <v>35</v>
      </c>
      <c r="U762" s="1" t="s">
        <v>82</v>
      </c>
      <c r="V762" s="1" t="s">
        <v>100</v>
      </c>
      <c r="W762">
        <v>3.2</v>
      </c>
      <c r="X762" s="1" t="str">
        <f t="shared" si="33"/>
        <v>felipe.gomez104@mail.com</v>
      </c>
      <c r="Y762" s="1" t="str">
        <f>INDEX(V:V,MATCH(orders_desnormalizado_prueba3[[#This Row],[acquisition_channel]],U:U,0))</f>
        <v>Bodega Propia CO - envio 2-3 dias</v>
      </c>
      <c r="Z762" s="1" t="str">
        <f>INDEX(T:T,MATCH(orders_desnormalizado_prueba3[[#This Row],[shipping_cost]],W:W,0))</f>
        <v>Colombia</v>
      </c>
      <c r="AA762" s="1" t="str">
        <f t="shared" si="34"/>
        <v>Cartagena</v>
      </c>
      <c r="AB762" s="1"/>
      <c r="AC762" s="1" t="str">
        <f t="shared" si="35"/>
        <v xml:space="preserve"> </v>
      </c>
    </row>
    <row r="763" spans="1:29" x14ac:dyDescent="0.3">
      <c r="A763" s="1" t="s">
        <v>1806</v>
      </c>
      <c r="B763">
        <v>1</v>
      </c>
      <c r="C763">
        <v>30.99</v>
      </c>
      <c r="D763">
        <v>30.99</v>
      </c>
      <c r="E763" s="1" t="s">
        <v>1807</v>
      </c>
      <c r="F763" s="1" t="s">
        <v>40</v>
      </c>
      <c r="G763">
        <v>3</v>
      </c>
      <c r="H763" s="1" t="s">
        <v>26</v>
      </c>
      <c r="I763" s="1" t="s">
        <v>42</v>
      </c>
      <c r="J763">
        <v>10.5</v>
      </c>
      <c r="K763">
        <v>30.99</v>
      </c>
      <c r="L763" s="1" t="s">
        <v>28</v>
      </c>
      <c r="M763" s="1" t="s">
        <v>43</v>
      </c>
      <c r="N763" s="1" t="s">
        <v>44</v>
      </c>
      <c r="O763" s="1" t="s">
        <v>31</v>
      </c>
      <c r="P763" s="2">
        <v>45823</v>
      </c>
      <c r="Q763" s="1" t="s">
        <v>1593</v>
      </c>
      <c r="R763" s="1" t="s">
        <v>1594</v>
      </c>
      <c r="S763" s="1" t="s">
        <v>47</v>
      </c>
      <c r="T763" s="1" t="s">
        <v>35</v>
      </c>
      <c r="U763" s="1" t="s">
        <v>48</v>
      </c>
      <c r="V763" s="1" t="s">
        <v>37</v>
      </c>
      <c r="W763">
        <v>2</v>
      </c>
      <c r="X763" s="1" t="str">
        <f t="shared" si="33"/>
        <v>sofia.martinez113@mail.com</v>
      </c>
      <c r="Y763" s="1" t="str">
        <f>INDEX(V:V,MATCH(orders_desnormalizado_prueba3[[#This Row],[acquisition_channel]],U:U,0))</f>
        <v>Bodega Propia CO - envio 2-3 dias</v>
      </c>
      <c r="Z763" s="1" t="str">
        <f>INDEX(T:T,MATCH(orders_desnormalizado_prueba3[[#This Row],[shipping_cost]],W:W,0))</f>
        <v>Colombia</v>
      </c>
      <c r="AA763" s="1" t="str">
        <f t="shared" si="34"/>
        <v>Barranquilla</v>
      </c>
      <c r="AB763" s="1"/>
      <c r="AC763" s="1" t="str">
        <f t="shared" si="35"/>
        <v xml:space="preserve"> </v>
      </c>
    </row>
    <row r="764" spans="1:29" x14ac:dyDescent="0.3">
      <c r="A764" s="1" t="s">
        <v>1808</v>
      </c>
      <c r="B764">
        <v>1</v>
      </c>
      <c r="C764">
        <v>21.99</v>
      </c>
      <c r="D764">
        <v>21.99</v>
      </c>
      <c r="E764" s="1" t="s">
        <v>1486</v>
      </c>
      <c r="F764" s="1" t="s">
        <v>40</v>
      </c>
      <c r="G764">
        <v>3</v>
      </c>
      <c r="H764" s="1" t="s">
        <v>41</v>
      </c>
      <c r="I764" s="1" t="s">
        <v>27</v>
      </c>
      <c r="J764">
        <v>7</v>
      </c>
      <c r="K764">
        <v>21.99</v>
      </c>
      <c r="L764" s="1" t="s">
        <v>28</v>
      </c>
      <c r="M764" s="1" t="s">
        <v>29</v>
      </c>
      <c r="N764" s="1" t="s">
        <v>30</v>
      </c>
      <c r="O764" s="1" t="s">
        <v>31</v>
      </c>
      <c r="P764" s="2">
        <v>45778</v>
      </c>
      <c r="Q764" s="1" t="s">
        <v>1349</v>
      </c>
      <c r="R764" s="1" t="s">
        <v>1439</v>
      </c>
      <c r="S764" s="1" t="s">
        <v>65</v>
      </c>
      <c r="T764" s="1" t="s">
        <v>35</v>
      </c>
      <c r="U764" s="1" t="s">
        <v>36</v>
      </c>
      <c r="V764" s="1" t="s">
        <v>37</v>
      </c>
      <c r="W764">
        <v>2</v>
      </c>
      <c r="X764" s="1" t="str">
        <f t="shared" si="33"/>
        <v>catalina.moreno180@mail.com</v>
      </c>
      <c r="Y764" s="1" t="str">
        <f>INDEX(V:V,MATCH(orders_desnormalizado_prueba3[[#This Row],[acquisition_channel]],U:U,0))</f>
        <v>Bodega Propia CO - envio 2-3 dias</v>
      </c>
      <c r="Z764" s="1" t="str">
        <f>INDEX(T:T,MATCH(orders_desnormalizado_prueba3[[#This Row],[shipping_cost]],W:W,0))</f>
        <v>Colombia</v>
      </c>
      <c r="AA764" s="1" t="str">
        <f t="shared" si="34"/>
        <v>Barranquilla</v>
      </c>
      <c r="AB764" s="1"/>
      <c r="AC764" s="1" t="str">
        <f t="shared" si="35"/>
        <v xml:space="preserve"> </v>
      </c>
    </row>
    <row r="765" spans="1:29" x14ac:dyDescent="0.3">
      <c r="A765" s="1" t="s">
        <v>1809</v>
      </c>
      <c r="B765">
        <v>1</v>
      </c>
      <c r="C765">
        <v>34.99</v>
      </c>
      <c r="D765">
        <v>34.99</v>
      </c>
      <c r="E765" s="1" t="s">
        <v>1291</v>
      </c>
      <c r="F765" s="1" t="s">
        <v>40</v>
      </c>
      <c r="G765">
        <v>10</v>
      </c>
      <c r="H765" s="1" t="s">
        <v>96</v>
      </c>
      <c r="I765" s="1" t="s">
        <v>85</v>
      </c>
      <c r="J765">
        <v>12.5</v>
      </c>
      <c r="K765">
        <v>34.99</v>
      </c>
      <c r="L765" s="1" t="s">
        <v>60</v>
      </c>
      <c r="M765" s="1" t="s">
        <v>29</v>
      </c>
      <c r="N765" s="1" t="s">
        <v>30</v>
      </c>
      <c r="O765" s="1" t="s">
        <v>31</v>
      </c>
      <c r="P765" s="2">
        <v>45778</v>
      </c>
      <c r="Q765" s="1" t="s">
        <v>797</v>
      </c>
      <c r="R765" s="1" t="s">
        <v>1810</v>
      </c>
      <c r="S765" s="1" t="s">
        <v>88</v>
      </c>
      <c r="T765" s="1" t="s">
        <v>35</v>
      </c>
      <c r="U765" s="1" t="s">
        <v>66</v>
      </c>
      <c r="V765" s="1" t="s">
        <v>89</v>
      </c>
      <c r="W765">
        <v>2.4</v>
      </c>
      <c r="X765" s="1" t="str">
        <f t="shared" si="33"/>
        <v>miguel.gomez127@mail.com</v>
      </c>
      <c r="Y765" s="1" t="str">
        <f>INDEX(V:V,MATCH(orders_desnormalizado_prueba3[[#This Row],[acquisition_channel]],U:U,0))</f>
        <v>AliDropship CN - envio 15-20 dias</v>
      </c>
      <c r="Z765" s="1" t="str">
        <f>INDEX(T:T,MATCH(orders_desnormalizado_prueba3[[#This Row],[shipping_cost]],W:W,0))</f>
        <v>Colombia</v>
      </c>
      <c r="AA765" s="1" t="str">
        <f t="shared" si="34"/>
        <v>Bogota</v>
      </c>
      <c r="AB765" s="1"/>
      <c r="AC765" s="1" t="str">
        <f t="shared" si="35"/>
        <v xml:space="preserve"> </v>
      </c>
    </row>
    <row r="766" spans="1:29" x14ac:dyDescent="0.3">
      <c r="A766" s="1" t="s">
        <v>1811</v>
      </c>
      <c r="B766">
        <v>3</v>
      </c>
      <c r="C766">
        <v>16.989999999999998</v>
      </c>
      <c r="D766">
        <v>40.33</v>
      </c>
      <c r="E766" s="1" t="s">
        <v>1727</v>
      </c>
      <c r="F766" s="1" t="s">
        <v>70</v>
      </c>
      <c r="G766">
        <v>0</v>
      </c>
      <c r="H766" s="1" t="s">
        <v>58</v>
      </c>
      <c r="I766" s="1" t="s">
        <v>59</v>
      </c>
      <c r="J766">
        <v>5</v>
      </c>
      <c r="K766">
        <v>16.989999999999998</v>
      </c>
      <c r="L766" s="1" t="s">
        <v>60</v>
      </c>
      <c r="M766" s="1" t="s">
        <v>61</v>
      </c>
      <c r="N766" s="1" t="s">
        <v>62</v>
      </c>
      <c r="O766" s="1" t="s">
        <v>31</v>
      </c>
      <c r="P766" s="2">
        <v>45726</v>
      </c>
      <c r="Q766" s="1" t="s">
        <v>1414</v>
      </c>
      <c r="R766" s="1" t="s">
        <v>1415</v>
      </c>
      <c r="S766" s="1" t="s">
        <v>88</v>
      </c>
      <c r="T766" s="1" t="s">
        <v>35</v>
      </c>
      <c r="U766" s="1" t="s">
        <v>48</v>
      </c>
      <c r="V766" s="1" t="s">
        <v>67</v>
      </c>
      <c r="W766">
        <v>3</v>
      </c>
      <c r="X766" s="1" t="str">
        <f t="shared" si="33"/>
        <v>paula.lopez179@mail.com</v>
      </c>
      <c r="Y766" s="1" t="str">
        <f>INDEX(V:V,MATCH(orders_desnormalizado_prueba3[[#This Row],[acquisition_channel]],U:U,0))</f>
        <v>Bodega Propia CO - envio 2-3 dias</v>
      </c>
      <c r="Z766" s="1" t="str">
        <f>INDEX(T:T,MATCH(orders_desnormalizado_prueba3[[#This Row],[shipping_cost]],W:W,0))</f>
        <v>Colombia</v>
      </c>
      <c r="AA766" s="1" t="str">
        <f t="shared" si="34"/>
        <v>Cartagena</v>
      </c>
      <c r="AB766" s="1"/>
      <c r="AC766" s="1" t="str">
        <f t="shared" si="35"/>
        <v xml:space="preserve"> </v>
      </c>
    </row>
    <row r="767" spans="1:29" x14ac:dyDescent="0.3">
      <c r="A767" s="1" t="s">
        <v>1812</v>
      </c>
      <c r="B767">
        <v>1</v>
      </c>
      <c r="C767">
        <v>30.99</v>
      </c>
      <c r="D767">
        <v>30.99</v>
      </c>
      <c r="E767" s="1" t="s">
        <v>1271</v>
      </c>
      <c r="F767" s="1" t="s">
        <v>40</v>
      </c>
      <c r="G767">
        <v>7</v>
      </c>
      <c r="H767" s="1" t="s">
        <v>58</v>
      </c>
      <c r="I767" s="1" t="s">
        <v>42</v>
      </c>
      <c r="J767">
        <v>10.5</v>
      </c>
      <c r="K767">
        <v>30.99</v>
      </c>
      <c r="L767" s="1" t="s">
        <v>28</v>
      </c>
      <c r="M767" s="1" t="s">
        <v>43</v>
      </c>
      <c r="N767" s="1" t="s">
        <v>44</v>
      </c>
      <c r="O767" s="1" t="s">
        <v>31</v>
      </c>
      <c r="P767" s="2">
        <v>45823</v>
      </c>
      <c r="Q767" s="1" t="s">
        <v>231</v>
      </c>
      <c r="R767" s="1" t="s">
        <v>1813</v>
      </c>
      <c r="S767" s="1" t="s">
        <v>47</v>
      </c>
      <c r="T767" s="1" t="s">
        <v>35</v>
      </c>
      <c r="U767" s="1" t="s">
        <v>48</v>
      </c>
      <c r="V767" s="1" t="s">
        <v>37</v>
      </c>
      <c r="W767">
        <v>2</v>
      </c>
      <c r="X767" s="1" t="str">
        <f t="shared" si="33"/>
        <v>miguel.ramirez82@mail.com</v>
      </c>
      <c r="Y767" s="1" t="str">
        <f>INDEX(V:V,MATCH(orders_desnormalizado_prueba3[[#This Row],[acquisition_channel]],U:U,0))</f>
        <v>Bodega Propia CO - envio 2-3 dias</v>
      </c>
      <c r="Z767" s="1" t="str">
        <f>INDEX(T:T,MATCH(orders_desnormalizado_prueba3[[#This Row],[shipping_cost]],W:W,0))</f>
        <v>Colombia</v>
      </c>
      <c r="AA767" s="1" t="str">
        <f t="shared" si="34"/>
        <v>Bogota</v>
      </c>
      <c r="AB767" s="1"/>
      <c r="AC767" s="1" t="str">
        <f t="shared" si="35"/>
        <v xml:space="preserve"> </v>
      </c>
    </row>
    <row r="768" spans="1:29" x14ac:dyDescent="0.3">
      <c r="A768" s="1" t="s">
        <v>1814</v>
      </c>
      <c r="B768">
        <v>1</v>
      </c>
      <c r="C768">
        <v>21.99</v>
      </c>
      <c r="D768">
        <v>21.99</v>
      </c>
      <c r="E768" s="1" t="s">
        <v>1340</v>
      </c>
      <c r="F768" s="1" t="s">
        <v>40</v>
      </c>
      <c r="G768">
        <v>8</v>
      </c>
      <c r="H768" s="1" t="s">
        <v>58</v>
      </c>
      <c r="I768" s="1" t="s">
        <v>27</v>
      </c>
      <c r="J768">
        <v>7</v>
      </c>
      <c r="K768">
        <v>21.99</v>
      </c>
      <c r="L768" s="1" t="s">
        <v>28</v>
      </c>
      <c r="M768" s="1" t="s">
        <v>29</v>
      </c>
      <c r="N768" s="1" t="s">
        <v>30</v>
      </c>
      <c r="O768" s="1" t="s">
        <v>31</v>
      </c>
      <c r="P768" s="2">
        <v>45778</v>
      </c>
      <c r="Q768" s="1" t="s">
        <v>909</v>
      </c>
      <c r="R768" s="1" t="s">
        <v>996</v>
      </c>
      <c r="S768" s="1" t="s">
        <v>88</v>
      </c>
      <c r="T768" s="1" t="s">
        <v>35</v>
      </c>
      <c r="U768" s="1" t="s">
        <v>66</v>
      </c>
      <c r="V768" s="1" t="s">
        <v>37</v>
      </c>
      <c r="W768">
        <v>2</v>
      </c>
      <c r="X768" s="1" t="str">
        <f t="shared" si="33"/>
        <v>juan.hernandez64@mail.com</v>
      </c>
      <c r="Y768" s="1" t="str">
        <f>INDEX(V:V,MATCH(orders_desnormalizado_prueba3[[#This Row],[acquisition_channel]],U:U,0))</f>
        <v>AliDropship CN - envio 15-20 dias</v>
      </c>
      <c r="Z768" s="1" t="str">
        <f>INDEX(T:T,MATCH(orders_desnormalizado_prueba3[[#This Row],[shipping_cost]],W:W,0))</f>
        <v>Colombia</v>
      </c>
      <c r="AA768" s="1" t="str">
        <f t="shared" si="34"/>
        <v>Barranquilla</v>
      </c>
      <c r="AB768" s="1"/>
      <c r="AC768" s="1" t="str">
        <f t="shared" si="35"/>
        <v xml:space="preserve"> </v>
      </c>
    </row>
    <row r="769" spans="1:29" x14ac:dyDescent="0.3">
      <c r="A769" s="1" t="s">
        <v>1815</v>
      </c>
      <c r="B769">
        <v>1</v>
      </c>
      <c r="C769">
        <v>34.99</v>
      </c>
      <c r="D769">
        <v>34.99</v>
      </c>
      <c r="E769" s="1" t="s">
        <v>1816</v>
      </c>
      <c r="F769" s="1" t="s">
        <v>40</v>
      </c>
      <c r="G769">
        <v>5</v>
      </c>
      <c r="H769" s="1" t="s">
        <v>41</v>
      </c>
      <c r="I769" s="1" t="s">
        <v>85</v>
      </c>
      <c r="J769">
        <v>12.5</v>
      </c>
      <c r="K769">
        <v>34.99</v>
      </c>
      <c r="L769" s="1" t="s">
        <v>60</v>
      </c>
      <c r="M769" s="1" t="s">
        <v>29</v>
      </c>
      <c r="N769" s="1" t="s">
        <v>30</v>
      </c>
      <c r="O769" s="1" t="s">
        <v>31</v>
      </c>
      <c r="P769" s="2">
        <v>45778</v>
      </c>
      <c r="Q769" s="1" t="s">
        <v>917</v>
      </c>
      <c r="R769" s="1" t="s">
        <v>1710</v>
      </c>
      <c r="S769" s="1" t="s">
        <v>34</v>
      </c>
      <c r="T769" s="1" t="s">
        <v>35</v>
      </c>
      <c r="U769" s="1" t="s">
        <v>82</v>
      </c>
      <c r="V769" s="1" t="s">
        <v>89</v>
      </c>
      <c r="W769">
        <v>2.4</v>
      </c>
      <c r="X769" s="1" t="str">
        <f t="shared" si="33"/>
        <v>manuela.lopez93@mail.com</v>
      </c>
      <c r="Y769" s="1" t="str">
        <f>INDEX(V:V,MATCH(orders_desnormalizado_prueba3[[#This Row],[acquisition_channel]],U:U,0))</f>
        <v>Bodega Propia CO - envio 2-3 dias</v>
      </c>
      <c r="Z769" s="1" t="str">
        <f>INDEX(T:T,MATCH(orders_desnormalizado_prueba3[[#This Row],[shipping_cost]],W:W,0))</f>
        <v>Colombia</v>
      </c>
      <c r="AA769" s="1" t="str">
        <f t="shared" si="34"/>
        <v>Cali</v>
      </c>
      <c r="AB769" s="1"/>
      <c r="AC769" s="1" t="str">
        <f t="shared" si="35"/>
        <v xml:space="preserve"> </v>
      </c>
    </row>
    <row r="770" spans="1:29" x14ac:dyDescent="0.3">
      <c r="A770" s="1" t="s">
        <v>1817</v>
      </c>
      <c r="B770">
        <v>2</v>
      </c>
      <c r="C770">
        <v>21.99</v>
      </c>
      <c r="D770">
        <v>38.11</v>
      </c>
      <c r="E770" s="1" t="s">
        <v>1064</v>
      </c>
      <c r="F770" s="1" t="s">
        <v>40</v>
      </c>
      <c r="G770">
        <v>2</v>
      </c>
      <c r="H770" s="1" t="s">
        <v>26</v>
      </c>
      <c r="I770" s="1" t="s">
        <v>27</v>
      </c>
      <c r="J770">
        <v>7</v>
      </c>
      <c r="K770">
        <v>21.99</v>
      </c>
      <c r="L770" s="1" t="s">
        <v>28</v>
      </c>
      <c r="M770" s="1" t="s">
        <v>29</v>
      </c>
      <c r="N770" s="1" t="s">
        <v>30</v>
      </c>
      <c r="O770" s="1" t="s">
        <v>31</v>
      </c>
      <c r="P770" s="2">
        <v>45778</v>
      </c>
      <c r="Q770" s="1" t="s">
        <v>1506</v>
      </c>
      <c r="R770" s="1" t="s">
        <v>1507</v>
      </c>
      <c r="S770" s="1" t="s">
        <v>105</v>
      </c>
      <c r="T770" s="1" t="s">
        <v>35</v>
      </c>
      <c r="U770" s="1" t="s">
        <v>82</v>
      </c>
      <c r="V770" s="1" t="s">
        <v>37</v>
      </c>
      <c r="W770">
        <v>2</v>
      </c>
      <c r="X770" s="1" t="str">
        <f t="shared" ref="X770:X833" si="36">INDEX(R:R,MATCH(Q770,Q:Q,0))</f>
        <v>carlos.jimenez154@mail.com</v>
      </c>
      <c r="Y770" s="1" t="str">
        <f>INDEX(V:V,MATCH(orders_desnormalizado_prueba3[[#This Row],[acquisition_channel]],U:U,0))</f>
        <v>Bodega Propia CO - envio 2-3 dias</v>
      </c>
      <c r="Z770" s="1" t="str">
        <f>INDEX(T:T,MATCH(orders_desnormalizado_prueba3[[#This Row],[shipping_cost]],W:W,0))</f>
        <v>Colombia</v>
      </c>
      <c r="AA770" s="1" t="str">
        <f t="shared" ref="AA770:AA833" si="37">INDEX(S:S,MATCH(G770,G:G,0))</f>
        <v>Medellin</v>
      </c>
      <c r="AB770" s="1"/>
      <c r="AC770" s="1" t="str">
        <f t="shared" ref="AC770:AC833" si="38">IFERROR(INDEX($V:$V,MATCH(AB770,$R:$R,0)), " ")</f>
        <v xml:space="preserve"> </v>
      </c>
    </row>
    <row r="771" spans="1:29" x14ac:dyDescent="0.3">
      <c r="A771" s="1" t="s">
        <v>1818</v>
      </c>
      <c r="B771">
        <v>1</v>
      </c>
      <c r="C771">
        <v>27.99</v>
      </c>
      <c r="D771">
        <v>27.99</v>
      </c>
      <c r="E771" s="1" t="s">
        <v>929</v>
      </c>
      <c r="F771" s="1" t="s">
        <v>188</v>
      </c>
      <c r="G771">
        <v>0</v>
      </c>
      <c r="H771" s="1" t="s">
        <v>26</v>
      </c>
      <c r="I771" s="1" t="s">
        <v>75</v>
      </c>
      <c r="J771">
        <v>9</v>
      </c>
      <c r="K771">
        <v>27.99</v>
      </c>
      <c r="L771" s="1" t="s">
        <v>28</v>
      </c>
      <c r="M771" s="1" t="s">
        <v>61</v>
      </c>
      <c r="N771" s="1" t="s">
        <v>62</v>
      </c>
      <c r="O771" s="1" t="s">
        <v>31</v>
      </c>
      <c r="P771" s="2">
        <v>45726</v>
      </c>
      <c r="Q771" s="1" t="s">
        <v>1414</v>
      </c>
      <c r="R771" s="1" t="s">
        <v>1415</v>
      </c>
      <c r="S771" s="1" t="s">
        <v>88</v>
      </c>
      <c r="T771" s="1" t="s">
        <v>35</v>
      </c>
      <c r="U771" s="1" t="s">
        <v>48</v>
      </c>
      <c r="V771" s="1" t="s">
        <v>37</v>
      </c>
      <c r="W771">
        <v>2</v>
      </c>
      <c r="X771" s="1" t="str">
        <f t="shared" si="36"/>
        <v>paula.lopez179@mail.com</v>
      </c>
      <c r="Y771" s="1" t="str">
        <f>INDEX(V:V,MATCH(orders_desnormalizado_prueba3[[#This Row],[acquisition_channel]],U:U,0))</f>
        <v>Bodega Propia CO - envio 2-3 dias</v>
      </c>
      <c r="Z771" s="1" t="str">
        <f>INDEX(T:T,MATCH(orders_desnormalizado_prueba3[[#This Row],[shipping_cost]],W:W,0))</f>
        <v>Colombia</v>
      </c>
      <c r="AA771" s="1" t="str">
        <f t="shared" si="37"/>
        <v>Cartagena</v>
      </c>
      <c r="AB771" s="1"/>
      <c r="AC771" s="1" t="str">
        <f t="shared" si="38"/>
        <v xml:space="preserve"> </v>
      </c>
    </row>
    <row r="772" spans="1:29" x14ac:dyDescent="0.3">
      <c r="A772" s="1" t="s">
        <v>1819</v>
      </c>
      <c r="B772">
        <v>1</v>
      </c>
      <c r="C772">
        <v>21.99</v>
      </c>
      <c r="D772">
        <v>21.99</v>
      </c>
      <c r="E772" s="1" t="s">
        <v>1820</v>
      </c>
      <c r="F772" s="1" t="s">
        <v>40</v>
      </c>
      <c r="G772">
        <v>2</v>
      </c>
      <c r="H772" s="1" t="s">
        <v>41</v>
      </c>
      <c r="I772" s="1" t="s">
        <v>27</v>
      </c>
      <c r="J772">
        <v>7</v>
      </c>
      <c r="K772">
        <v>21.99</v>
      </c>
      <c r="L772" s="1" t="s">
        <v>28</v>
      </c>
      <c r="M772" s="1" t="s">
        <v>29</v>
      </c>
      <c r="N772" s="1" t="s">
        <v>30</v>
      </c>
      <c r="O772" s="1" t="s">
        <v>31</v>
      </c>
      <c r="P772" s="2">
        <v>45778</v>
      </c>
      <c r="Q772" s="1" t="s">
        <v>1191</v>
      </c>
      <c r="R772" s="1" t="s">
        <v>1192</v>
      </c>
      <c r="S772" s="1" t="s">
        <v>88</v>
      </c>
      <c r="T772" s="1" t="s">
        <v>35</v>
      </c>
      <c r="U772" s="1" t="s">
        <v>55</v>
      </c>
      <c r="V772" s="1" t="s">
        <v>37</v>
      </c>
      <c r="W772">
        <v>2</v>
      </c>
      <c r="X772" s="1" t="str">
        <f t="shared" si="36"/>
        <v>esteban.ramirez113@mail.com</v>
      </c>
      <c r="Y772" s="1" t="str">
        <f>INDEX(V:V,MATCH(orders_desnormalizado_prueba3[[#This Row],[acquisition_channel]],U:U,0))</f>
        <v>Bodega Propia CO - envio 2-3 dias</v>
      </c>
      <c r="Z772" s="1" t="str">
        <f>INDEX(T:T,MATCH(orders_desnormalizado_prueba3[[#This Row],[shipping_cost]],W:W,0))</f>
        <v>Colombia</v>
      </c>
      <c r="AA772" s="1" t="str">
        <f t="shared" si="37"/>
        <v>Medellin</v>
      </c>
      <c r="AB772" s="1"/>
      <c r="AC772" s="1" t="str">
        <f t="shared" si="38"/>
        <v xml:space="preserve"> </v>
      </c>
    </row>
    <row r="773" spans="1:29" x14ac:dyDescent="0.3">
      <c r="A773" s="1" t="s">
        <v>1821</v>
      </c>
      <c r="B773">
        <v>2</v>
      </c>
      <c r="C773">
        <v>27.99</v>
      </c>
      <c r="D773">
        <v>48.96</v>
      </c>
      <c r="E773" s="1" t="s">
        <v>246</v>
      </c>
      <c r="F773" s="1" t="s">
        <v>40</v>
      </c>
      <c r="G773">
        <v>3</v>
      </c>
      <c r="H773" s="1" t="s">
        <v>96</v>
      </c>
      <c r="I773" s="1" t="s">
        <v>75</v>
      </c>
      <c r="J773">
        <v>9</v>
      </c>
      <c r="K773">
        <v>27.99</v>
      </c>
      <c r="L773" s="1" t="s">
        <v>28</v>
      </c>
      <c r="M773" s="1" t="s">
        <v>61</v>
      </c>
      <c r="N773" s="1" t="s">
        <v>62</v>
      </c>
      <c r="O773" s="1" t="s">
        <v>31</v>
      </c>
      <c r="P773" s="2">
        <v>45726</v>
      </c>
      <c r="Q773" s="1" t="s">
        <v>1822</v>
      </c>
      <c r="R773" s="1" t="s">
        <v>1823</v>
      </c>
      <c r="S773" s="1" t="s">
        <v>105</v>
      </c>
      <c r="T773" s="1" t="s">
        <v>35</v>
      </c>
      <c r="U773" s="1" t="s">
        <v>82</v>
      </c>
      <c r="V773" s="1" t="s">
        <v>37</v>
      </c>
      <c r="W773">
        <v>2</v>
      </c>
      <c r="X773" s="1" t="str">
        <f t="shared" si="36"/>
        <v>daniela.moreno56@mail.com</v>
      </c>
      <c r="Y773" s="1" t="str">
        <f>INDEX(V:V,MATCH(orders_desnormalizado_prueba3[[#This Row],[acquisition_channel]],U:U,0))</f>
        <v>Bodega Propia CO - envio 2-3 dias</v>
      </c>
      <c r="Z773" s="1" t="str">
        <f>INDEX(T:T,MATCH(orders_desnormalizado_prueba3[[#This Row],[shipping_cost]],W:W,0))</f>
        <v>Colombia</v>
      </c>
      <c r="AA773" s="1" t="str">
        <f t="shared" si="37"/>
        <v>Barranquilla</v>
      </c>
      <c r="AB773" s="1"/>
      <c r="AC773" s="1" t="str">
        <f t="shared" si="38"/>
        <v xml:space="preserve"> </v>
      </c>
    </row>
    <row r="774" spans="1:29" x14ac:dyDescent="0.3">
      <c r="A774" s="1" t="s">
        <v>1824</v>
      </c>
      <c r="B774">
        <v>3</v>
      </c>
      <c r="C774">
        <v>30.99</v>
      </c>
      <c r="D774">
        <v>74.67</v>
      </c>
      <c r="E774" s="1" t="s">
        <v>1156</v>
      </c>
      <c r="F774" s="1" t="s">
        <v>40</v>
      </c>
      <c r="G774">
        <v>2</v>
      </c>
      <c r="H774" s="1" t="s">
        <v>26</v>
      </c>
      <c r="I774" s="1" t="s">
        <v>42</v>
      </c>
      <c r="J774">
        <v>10.5</v>
      </c>
      <c r="K774">
        <v>30.99</v>
      </c>
      <c r="L774" s="1" t="s">
        <v>28</v>
      </c>
      <c r="M774" s="1" t="s">
        <v>43</v>
      </c>
      <c r="N774" s="1" t="s">
        <v>44</v>
      </c>
      <c r="O774" s="1" t="s">
        <v>31</v>
      </c>
      <c r="P774" s="2">
        <v>45823</v>
      </c>
      <c r="Q774" s="1" t="s">
        <v>972</v>
      </c>
      <c r="R774" s="1" t="s">
        <v>973</v>
      </c>
      <c r="S774" s="1" t="s">
        <v>65</v>
      </c>
      <c r="T774" s="1" t="s">
        <v>35</v>
      </c>
      <c r="U774" s="1" t="s">
        <v>82</v>
      </c>
      <c r="V774" s="1" t="s">
        <v>37</v>
      </c>
      <c r="W774">
        <v>2</v>
      </c>
      <c r="X774" s="1" t="str">
        <f t="shared" si="36"/>
        <v>juan.rodriguez171@mail.com</v>
      </c>
      <c r="Y774" s="1" t="str">
        <f>INDEX(V:V,MATCH(orders_desnormalizado_prueba3[[#This Row],[acquisition_channel]],U:U,0))</f>
        <v>Bodega Propia CO - envio 2-3 dias</v>
      </c>
      <c r="Z774" s="1" t="str">
        <f>INDEX(T:T,MATCH(orders_desnormalizado_prueba3[[#This Row],[shipping_cost]],W:W,0))</f>
        <v>Colombia</v>
      </c>
      <c r="AA774" s="1" t="str">
        <f t="shared" si="37"/>
        <v>Medellin</v>
      </c>
      <c r="AB774" s="1"/>
      <c r="AC774" s="1" t="str">
        <f t="shared" si="38"/>
        <v xml:space="preserve"> </v>
      </c>
    </row>
    <row r="775" spans="1:29" x14ac:dyDescent="0.3">
      <c r="A775" s="1" t="s">
        <v>1825</v>
      </c>
      <c r="B775">
        <v>1</v>
      </c>
      <c r="C775">
        <v>21.99</v>
      </c>
      <c r="D775">
        <v>21.99</v>
      </c>
      <c r="E775" s="1" t="s">
        <v>1379</v>
      </c>
      <c r="F775" s="1" t="s">
        <v>70</v>
      </c>
      <c r="G775">
        <v>0</v>
      </c>
      <c r="H775" s="1" t="s">
        <v>58</v>
      </c>
      <c r="I775" s="1" t="s">
        <v>27</v>
      </c>
      <c r="J775">
        <v>7</v>
      </c>
      <c r="K775">
        <v>21.99</v>
      </c>
      <c r="L775" s="1" t="s">
        <v>28</v>
      </c>
      <c r="M775" s="1" t="s">
        <v>29</v>
      </c>
      <c r="N775" s="1" t="s">
        <v>30</v>
      </c>
      <c r="O775" s="1" t="s">
        <v>31</v>
      </c>
      <c r="P775" s="2">
        <v>45778</v>
      </c>
      <c r="Q775" s="1" t="s">
        <v>990</v>
      </c>
      <c r="R775" s="1" t="s">
        <v>1490</v>
      </c>
      <c r="S775" s="1" t="s">
        <v>88</v>
      </c>
      <c r="T775" s="1" t="s">
        <v>35</v>
      </c>
      <c r="U775" s="1" t="s">
        <v>82</v>
      </c>
      <c r="V775" s="1" t="s">
        <v>37</v>
      </c>
      <c r="W775">
        <v>2</v>
      </c>
      <c r="X775" s="1" t="str">
        <f t="shared" si="36"/>
        <v>fernanda.diaz94@mail.com</v>
      </c>
      <c r="Y775" s="1" t="str">
        <f>INDEX(V:V,MATCH(orders_desnormalizado_prueba3[[#This Row],[acquisition_channel]],U:U,0))</f>
        <v>Bodega Propia CO - envio 2-3 dias</v>
      </c>
      <c r="Z775" s="1" t="str">
        <f>INDEX(T:T,MATCH(orders_desnormalizado_prueba3[[#This Row],[shipping_cost]],W:W,0))</f>
        <v>Colombia</v>
      </c>
      <c r="AA775" s="1" t="str">
        <f t="shared" si="37"/>
        <v>Cartagena</v>
      </c>
      <c r="AB775" s="1"/>
      <c r="AC775" s="1" t="str">
        <f t="shared" si="38"/>
        <v xml:space="preserve"> </v>
      </c>
    </row>
    <row r="776" spans="1:29" x14ac:dyDescent="0.3">
      <c r="A776" s="1" t="s">
        <v>1826</v>
      </c>
      <c r="B776">
        <v>1</v>
      </c>
      <c r="C776">
        <v>18.989999999999998</v>
      </c>
      <c r="D776">
        <v>18.989999999999998</v>
      </c>
      <c r="E776" s="1" t="s">
        <v>536</v>
      </c>
      <c r="F776" s="1" t="s">
        <v>40</v>
      </c>
      <c r="G776">
        <v>12</v>
      </c>
      <c r="H776" s="1" t="s">
        <v>58</v>
      </c>
      <c r="I776" s="1" t="s">
        <v>97</v>
      </c>
      <c r="J776">
        <v>6</v>
      </c>
      <c r="K776">
        <v>18.989999999999998</v>
      </c>
      <c r="L776" s="1" t="s">
        <v>60</v>
      </c>
      <c r="M776" s="1" t="s">
        <v>43</v>
      </c>
      <c r="N776" s="1" t="s">
        <v>44</v>
      </c>
      <c r="O776" s="1" t="s">
        <v>31</v>
      </c>
      <c r="P776" s="2">
        <v>45823</v>
      </c>
      <c r="Q776" s="1" t="s">
        <v>720</v>
      </c>
      <c r="R776" s="1" t="s">
        <v>1827</v>
      </c>
      <c r="S776" s="1" t="s">
        <v>47</v>
      </c>
      <c r="T776" s="1" t="s">
        <v>35</v>
      </c>
      <c r="U776" s="1" t="s">
        <v>36</v>
      </c>
      <c r="V776" s="1" t="s">
        <v>100</v>
      </c>
      <c r="W776">
        <v>3.2</v>
      </c>
      <c r="X776" s="1" t="str">
        <f t="shared" si="36"/>
        <v>natalia.ortiz107@mail.com</v>
      </c>
      <c r="Y776" s="1" t="str">
        <f>INDEX(V:V,MATCH(orders_desnormalizado_prueba3[[#This Row],[acquisition_channel]],U:U,0))</f>
        <v>Bodega Propia CO - envio 2-3 dias</v>
      </c>
      <c r="Z776" s="1" t="str">
        <f>INDEX(T:T,MATCH(orders_desnormalizado_prueba3[[#This Row],[shipping_cost]],W:W,0))</f>
        <v>Colombia</v>
      </c>
      <c r="AA776" s="1" t="str">
        <f t="shared" si="37"/>
        <v>Cartagena</v>
      </c>
      <c r="AB776" s="1"/>
      <c r="AC776" s="1" t="str">
        <f t="shared" si="38"/>
        <v xml:space="preserve"> </v>
      </c>
    </row>
    <row r="777" spans="1:29" x14ac:dyDescent="0.3">
      <c r="A777" s="1" t="s">
        <v>1828</v>
      </c>
      <c r="B777">
        <v>1</v>
      </c>
      <c r="C777">
        <v>18.989999999999998</v>
      </c>
      <c r="D777">
        <v>18.989999999999998</v>
      </c>
      <c r="E777" s="1" t="s">
        <v>1634</v>
      </c>
      <c r="F777" s="1" t="s">
        <v>40</v>
      </c>
      <c r="G777">
        <v>13</v>
      </c>
      <c r="H777" s="1" t="s">
        <v>58</v>
      </c>
      <c r="I777" s="1" t="s">
        <v>97</v>
      </c>
      <c r="J777">
        <v>6</v>
      </c>
      <c r="K777">
        <v>18.989999999999998</v>
      </c>
      <c r="L777" s="1" t="s">
        <v>60</v>
      </c>
      <c r="M777" s="1" t="s">
        <v>43</v>
      </c>
      <c r="N777" s="1" t="s">
        <v>44</v>
      </c>
      <c r="O777" s="1" t="s">
        <v>31</v>
      </c>
      <c r="P777" s="2">
        <v>45823</v>
      </c>
      <c r="Q777" s="1" t="s">
        <v>1184</v>
      </c>
      <c r="R777" s="1" t="s">
        <v>1185</v>
      </c>
      <c r="S777" s="1" t="s">
        <v>105</v>
      </c>
      <c r="T777" s="1" t="s">
        <v>35</v>
      </c>
      <c r="U777" s="1" t="s">
        <v>55</v>
      </c>
      <c r="V777" s="1" t="s">
        <v>100</v>
      </c>
      <c r="W777">
        <v>3.2</v>
      </c>
      <c r="X777" s="1" t="str">
        <f t="shared" si="36"/>
        <v>nicolas.torres168@mail.com</v>
      </c>
      <c r="Y777" s="1" t="str">
        <f>INDEX(V:V,MATCH(orders_desnormalizado_prueba3[[#This Row],[acquisition_channel]],U:U,0))</f>
        <v>Bodega Propia CO - envio 2-3 dias</v>
      </c>
      <c r="Z777" s="1" t="str">
        <f>INDEX(T:T,MATCH(orders_desnormalizado_prueba3[[#This Row],[shipping_cost]],W:W,0))</f>
        <v>Colombia</v>
      </c>
      <c r="AA777" s="1" t="str">
        <f t="shared" si="37"/>
        <v>Barranquilla</v>
      </c>
      <c r="AB777" s="1"/>
      <c r="AC777" s="1" t="str">
        <f t="shared" si="38"/>
        <v xml:space="preserve"> </v>
      </c>
    </row>
    <row r="778" spans="1:29" x14ac:dyDescent="0.3">
      <c r="A778" s="1" t="s">
        <v>1829</v>
      </c>
      <c r="B778">
        <v>1</v>
      </c>
      <c r="C778">
        <v>18.989999999999998</v>
      </c>
      <c r="D778">
        <v>18.989999999999998</v>
      </c>
      <c r="E778" s="1" t="s">
        <v>1271</v>
      </c>
      <c r="F778" s="1" t="s">
        <v>25</v>
      </c>
      <c r="G778">
        <v>18</v>
      </c>
      <c r="H778" s="1" t="s">
        <v>58</v>
      </c>
      <c r="I778" s="1" t="s">
        <v>97</v>
      </c>
      <c r="J778">
        <v>6</v>
      </c>
      <c r="K778">
        <v>18.989999999999998</v>
      </c>
      <c r="L778" s="1" t="s">
        <v>60</v>
      </c>
      <c r="M778" s="1" t="s">
        <v>43</v>
      </c>
      <c r="N778" s="1" t="s">
        <v>44</v>
      </c>
      <c r="O778" s="1" t="s">
        <v>31</v>
      </c>
      <c r="P778" s="2">
        <v>45823</v>
      </c>
      <c r="Q778" s="1" t="s">
        <v>147</v>
      </c>
      <c r="R778" s="1" t="s">
        <v>757</v>
      </c>
      <c r="S778" s="1" t="s">
        <v>47</v>
      </c>
      <c r="T778" s="1" t="s">
        <v>35</v>
      </c>
      <c r="U778" s="1" t="s">
        <v>48</v>
      </c>
      <c r="V778" s="1" t="s">
        <v>100</v>
      </c>
      <c r="W778">
        <v>3.2</v>
      </c>
      <c r="X778" s="1" t="str">
        <f t="shared" si="36"/>
        <v>natalia.castro19@mail.com</v>
      </c>
      <c r="Y778" s="1" t="str">
        <f>INDEX(V:V,MATCH(orders_desnormalizado_prueba3[[#This Row],[acquisition_channel]],U:U,0))</f>
        <v>Bodega Propia CO - envio 2-3 dias</v>
      </c>
      <c r="Z778" s="1" t="str">
        <f>INDEX(T:T,MATCH(orders_desnormalizado_prueba3[[#This Row],[shipping_cost]],W:W,0))</f>
        <v>Colombia</v>
      </c>
      <c r="AA778" s="1" t="str">
        <f t="shared" si="37"/>
        <v>Medellin</v>
      </c>
      <c r="AB778" s="1"/>
      <c r="AC778" s="1" t="str">
        <f t="shared" si="38"/>
        <v xml:space="preserve"> </v>
      </c>
    </row>
    <row r="779" spans="1:29" x14ac:dyDescent="0.3">
      <c r="A779" s="1" t="s">
        <v>1830</v>
      </c>
      <c r="B779">
        <v>3</v>
      </c>
      <c r="C779">
        <v>21.99</v>
      </c>
      <c r="D779">
        <v>52.8</v>
      </c>
      <c r="E779" s="1" t="s">
        <v>1174</v>
      </c>
      <c r="F779" s="1" t="s">
        <v>40</v>
      </c>
      <c r="G779">
        <v>3</v>
      </c>
      <c r="H779" s="1" t="s">
        <v>41</v>
      </c>
      <c r="I779" s="1" t="s">
        <v>27</v>
      </c>
      <c r="J779">
        <v>7</v>
      </c>
      <c r="K779">
        <v>21.99</v>
      </c>
      <c r="L779" s="1" t="s">
        <v>28</v>
      </c>
      <c r="M779" s="1" t="s">
        <v>29</v>
      </c>
      <c r="N779" s="1" t="s">
        <v>30</v>
      </c>
      <c r="O779" s="1" t="s">
        <v>31</v>
      </c>
      <c r="P779" s="2">
        <v>45778</v>
      </c>
      <c r="Q779" s="1" t="s">
        <v>869</v>
      </c>
      <c r="R779" s="1" t="s">
        <v>870</v>
      </c>
      <c r="S779" s="1" t="s">
        <v>88</v>
      </c>
      <c r="T779" s="1" t="s">
        <v>35</v>
      </c>
      <c r="U779" s="1" t="s">
        <v>55</v>
      </c>
      <c r="V779" s="1" t="s">
        <v>37</v>
      </c>
      <c r="W779">
        <v>2</v>
      </c>
      <c r="X779" s="1" t="str">
        <f t="shared" si="36"/>
        <v>sofia.jimenez82@mail.com</v>
      </c>
      <c r="Y779" s="1" t="str">
        <f>INDEX(V:V,MATCH(orders_desnormalizado_prueba3[[#This Row],[acquisition_channel]],U:U,0))</f>
        <v>Bodega Propia CO - envio 2-3 dias</v>
      </c>
      <c r="Z779" s="1" t="str">
        <f>INDEX(T:T,MATCH(orders_desnormalizado_prueba3[[#This Row],[shipping_cost]],W:W,0))</f>
        <v>Colombia</v>
      </c>
      <c r="AA779" s="1" t="str">
        <f t="shared" si="37"/>
        <v>Barranquilla</v>
      </c>
      <c r="AB779" s="1"/>
      <c r="AC779" s="1" t="str">
        <f t="shared" si="38"/>
        <v xml:space="preserve"> </v>
      </c>
    </row>
    <row r="780" spans="1:29" x14ac:dyDescent="0.3">
      <c r="A780" s="1" t="s">
        <v>1831</v>
      </c>
      <c r="B780">
        <v>1</v>
      </c>
      <c r="C780">
        <v>34.99</v>
      </c>
      <c r="D780">
        <v>34.99</v>
      </c>
      <c r="E780" s="1" t="s">
        <v>1832</v>
      </c>
      <c r="F780" s="1" t="s">
        <v>25</v>
      </c>
      <c r="G780">
        <v>5</v>
      </c>
      <c r="H780" s="1" t="s">
        <v>58</v>
      </c>
      <c r="I780" s="1" t="s">
        <v>85</v>
      </c>
      <c r="J780">
        <v>12.5</v>
      </c>
      <c r="K780">
        <v>34.99</v>
      </c>
      <c r="L780" s="1" t="s">
        <v>60</v>
      </c>
      <c r="M780" s="1" t="s">
        <v>29</v>
      </c>
      <c r="N780" s="1" t="s">
        <v>30</v>
      </c>
      <c r="O780" s="1" t="s">
        <v>31</v>
      </c>
      <c r="P780" s="2">
        <v>45778</v>
      </c>
      <c r="Q780" s="1" t="s">
        <v>1654</v>
      </c>
      <c r="R780" s="1" t="s">
        <v>1833</v>
      </c>
      <c r="S780" s="1" t="s">
        <v>65</v>
      </c>
      <c r="T780" s="1" t="s">
        <v>35</v>
      </c>
      <c r="U780" s="1" t="s">
        <v>82</v>
      </c>
      <c r="V780" s="1" t="s">
        <v>89</v>
      </c>
      <c r="W780">
        <v>2.4</v>
      </c>
      <c r="X780" s="1" t="str">
        <f t="shared" si="36"/>
        <v>miguel.torres117@mail.com</v>
      </c>
      <c r="Y780" s="1" t="str">
        <f>INDEX(V:V,MATCH(orders_desnormalizado_prueba3[[#This Row],[acquisition_channel]],U:U,0))</f>
        <v>Bodega Propia CO - envio 2-3 dias</v>
      </c>
      <c r="Z780" s="1" t="str">
        <f>INDEX(T:T,MATCH(orders_desnormalizado_prueba3[[#This Row],[shipping_cost]],W:W,0))</f>
        <v>Colombia</v>
      </c>
      <c r="AA780" s="1" t="str">
        <f t="shared" si="37"/>
        <v>Cali</v>
      </c>
      <c r="AB780" s="1"/>
      <c r="AC780" s="1" t="str">
        <f t="shared" si="38"/>
        <v xml:space="preserve"> </v>
      </c>
    </row>
    <row r="781" spans="1:29" x14ac:dyDescent="0.3">
      <c r="A781" s="1" t="s">
        <v>1834</v>
      </c>
      <c r="B781">
        <v>3</v>
      </c>
      <c r="C781">
        <v>30.99</v>
      </c>
      <c r="D781">
        <v>73.64</v>
      </c>
      <c r="E781" s="1" t="s">
        <v>598</v>
      </c>
      <c r="F781" s="1" t="s">
        <v>40</v>
      </c>
      <c r="G781">
        <v>2</v>
      </c>
      <c r="H781" s="1" t="s">
        <v>58</v>
      </c>
      <c r="I781" s="1" t="s">
        <v>42</v>
      </c>
      <c r="J781">
        <v>10.5</v>
      </c>
      <c r="K781">
        <v>30.99</v>
      </c>
      <c r="L781" s="1" t="s">
        <v>28</v>
      </c>
      <c r="M781" s="1" t="s">
        <v>43</v>
      </c>
      <c r="N781" s="1" t="s">
        <v>44</v>
      </c>
      <c r="O781" s="1" t="s">
        <v>31</v>
      </c>
      <c r="P781" s="2">
        <v>45823</v>
      </c>
      <c r="Q781" s="1" t="s">
        <v>947</v>
      </c>
      <c r="R781" s="1" t="s">
        <v>948</v>
      </c>
      <c r="S781" s="1" t="s">
        <v>65</v>
      </c>
      <c r="T781" s="1" t="s">
        <v>35</v>
      </c>
      <c r="U781" s="1" t="s">
        <v>82</v>
      </c>
      <c r="V781" s="1" t="s">
        <v>37</v>
      </c>
      <c r="W781">
        <v>2</v>
      </c>
      <c r="X781" s="1" t="str">
        <f t="shared" si="36"/>
        <v>valentina.hernandez179@mail.com</v>
      </c>
      <c r="Y781" s="1" t="str">
        <f>INDEX(V:V,MATCH(orders_desnormalizado_prueba3[[#This Row],[acquisition_channel]],U:U,0))</f>
        <v>Bodega Propia CO - envio 2-3 dias</v>
      </c>
      <c r="Z781" s="1" t="str">
        <f>INDEX(T:T,MATCH(orders_desnormalizado_prueba3[[#This Row],[shipping_cost]],W:W,0))</f>
        <v>Colombia</v>
      </c>
      <c r="AA781" s="1" t="str">
        <f t="shared" si="37"/>
        <v>Medellin</v>
      </c>
      <c r="AB781" s="1"/>
      <c r="AC781" s="1" t="str">
        <f t="shared" si="38"/>
        <v xml:space="preserve"> </v>
      </c>
    </row>
    <row r="782" spans="1:29" x14ac:dyDescent="0.3">
      <c r="A782" s="1" t="s">
        <v>1835</v>
      </c>
      <c r="B782">
        <v>3</v>
      </c>
      <c r="C782">
        <v>30.99</v>
      </c>
      <c r="D782">
        <v>73.69</v>
      </c>
      <c r="E782" s="1" t="s">
        <v>57</v>
      </c>
      <c r="F782" s="1" t="s">
        <v>188</v>
      </c>
      <c r="G782">
        <v>0</v>
      </c>
      <c r="H782" s="1" t="s">
        <v>41</v>
      </c>
      <c r="I782" s="1" t="s">
        <v>42</v>
      </c>
      <c r="J782">
        <v>10.5</v>
      </c>
      <c r="K782">
        <v>30.99</v>
      </c>
      <c r="L782" s="1" t="s">
        <v>28</v>
      </c>
      <c r="M782" s="1" t="s">
        <v>43</v>
      </c>
      <c r="N782" s="1" t="s">
        <v>44</v>
      </c>
      <c r="O782" s="1" t="s">
        <v>31</v>
      </c>
      <c r="P782" s="2">
        <v>45823</v>
      </c>
      <c r="Q782" s="1" t="s">
        <v>787</v>
      </c>
      <c r="R782" s="1" t="s">
        <v>1836</v>
      </c>
      <c r="S782" s="1" t="s">
        <v>47</v>
      </c>
      <c r="T782" s="1" t="s">
        <v>35</v>
      </c>
      <c r="U782" s="1" t="s">
        <v>36</v>
      </c>
      <c r="V782" s="1" t="s">
        <v>37</v>
      </c>
      <c r="W782">
        <v>2</v>
      </c>
      <c r="X782" s="1" t="str">
        <f t="shared" si="36"/>
        <v>julian.moreno101@mail.com</v>
      </c>
      <c r="Y782" s="1" t="str">
        <f>INDEX(V:V,MATCH(orders_desnormalizado_prueba3[[#This Row],[acquisition_channel]],U:U,0))</f>
        <v>Bodega Propia CO - envio 2-3 dias</v>
      </c>
      <c r="Z782" s="1" t="str">
        <f>INDEX(T:T,MATCH(orders_desnormalizado_prueba3[[#This Row],[shipping_cost]],W:W,0))</f>
        <v>Colombia</v>
      </c>
      <c r="AA782" s="1" t="str">
        <f t="shared" si="37"/>
        <v>Cartagena</v>
      </c>
      <c r="AB782" s="1"/>
      <c r="AC782" s="1" t="str">
        <f t="shared" si="38"/>
        <v xml:space="preserve"> </v>
      </c>
    </row>
    <row r="783" spans="1:29" x14ac:dyDescent="0.3">
      <c r="A783" s="1" t="s">
        <v>1837</v>
      </c>
      <c r="B783">
        <v>1</v>
      </c>
      <c r="C783">
        <v>30.99</v>
      </c>
      <c r="D783">
        <v>30.99</v>
      </c>
      <c r="E783" s="1" t="s">
        <v>872</v>
      </c>
      <c r="F783" s="1" t="s">
        <v>188</v>
      </c>
      <c r="G783">
        <v>0</v>
      </c>
      <c r="H783" s="1" t="s">
        <v>58</v>
      </c>
      <c r="I783" s="1" t="s">
        <v>42</v>
      </c>
      <c r="J783">
        <v>10.5</v>
      </c>
      <c r="K783">
        <v>30.99</v>
      </c>
      <c r="L783" s="1" t="s">
        <v>28</v>
      </c>
      <c r="M783" s="1" t="s">
        <v>43</v>
      </c>
      <c r="N783" s="1" t="s">
        <v>44</v>
      </c>
      <c r="O783" s="1" t="s">
        <v>31</v>
      </c>
      <c r="P783" s="2">
        <v>45823</v>
      </c>
      <c r="Q783" s="1" t="s">
        <v>1838</v>
      </c>
      <c r="R783" s="1" t="s">
        <v>1839</v>
      </c>
      <c r="S783" s="1" t="s">
        <v>54</v>
      </c>
      <c r="T783" s="1" t="s">
        <v>35</v>
      </c>
      <c r="U783" s="1" t="s">
        <v>82</v>
      </c>
      <c r="V783" s="1" t="s">
        <v>37</v>
      </c>
      <c r="W783">
        <v>2</v>
      </c>
      <c r="X783" s="1" t="str">
        <f t="shared" si="36"/>
        <v>fernanda.martinez133@mail.com</v>
      </c>
      <c r="Y783" s="1" t="str">
        <f>INDEX(V:V,MATCH(orders_desnormalizado_prueba3[[#This Row],[acquisition_channel]],U:U,0))</f>
        <v>Bodega Propia CO - envio 2-3 dias</v>
      </c>
      <c r="Z783" s="1" t="str">
        <f>INDEX(T:T,MATCH(orders_desnormalizado_prueba3[[#This Row],[shipping_cost]],W:W,0))</f>
        <v>Colombia</v>
      </c>
      <c r="AA783" s="1" t="str">
        <f t="shared" si="37"/>
        <v>Cartagena</v>
      </c>
      <c r="AB783" s="1"/>
      <c r="AC783" s="1" t="str">
        <f t="shared" si="38"/>
        <v xml:space="preserve"> </v>
      </c>
    </row>
    <row r="784" spans="1:29" x14ac:dyDescent="0.3">
      <c r="A784" s="1" t="s">
        <v>1840</v>
      </c>
      <c r="B784">
        <v>1</v>
      </c>
      <c r="C784">
        <v>21.99</v>
      </c>
      <c r="D784">
        <v>21.99</v>
      </c>
      <c r="E784" s="1" t="s">
        <v>272</v>
      </c>
      <c r="F784" s="1" t="s">
        <v>25</v>
      </c>
      <c r="G784">
        <v>2</v>
      </c>
      <c r="H784" s="1" t="s">
        <v>41</v>
      </c>
      <c r="I784" s="1" t="s">
        <v>27</v>
      </c>
      <c r="J784">
        <v>7</v>
      </c>
      <c r="K784">
        <v>21.99</v>
      </c>
      <c r="L784" s="1" t="s">
        <v>28</v>
      </c>
      <c r="M784" s="1" t="s">
        <v>29</v>
      </c>
      <c r="N784" s="1" t="s">
        <v>30</v>
      </c>
      <c r="O784" s="1" t="s">
        <v>31</v>
      </c>
      <c r="P784" s="2">
        <v>45778</v>
      </c>
      <c r="Q784" s="1" t="s">
        <v>1009</v>
      </c>
      <c r="R784" s="1" t="s">
        <v>1010</v>
      </c>
      <c r="S784" s="1" t="s">
        <v>47</v>
      </c>
      <c r="T784" s="1" t="s">
        <v>35</v>
      </c>
      <c r="U784" s="1" t="s">
        <v>82</v>
      </c>
      <c r="V784" s="1" t="s">
        <v>37</v>
      </c>
      <c r="W784">
        <v>2</v>
      </c>
      <c r="X784" s="1" t="str">
        <f t="shared" si="36"/>
        <v>manuela.martinez152@mail.com</v>
      </c>
      <c r="Y784" s="1" t="str">
        <f>INDEX(V:V,MATCH(orders_desnormalizado_prueba3[[#This Row],[acquisition_channel]],U:U,0))</f>
        <v>Bodega Propia CO - envio 2-3 dias</v>
      </c>
      <c r="Z784" s="1" t="str">
        <f>INDEX(T:T,MATCH(orders_desnormalizado_prueba3[[#This Row],[shipping_cost]],W:W,0))</f>
        <v>Colombia</v>
      </c>
      <c r="AA784" s="1" t="str">
        <f t="shared" si="37"/>
        <v>Medellin</v>
      </c>
      <c r="AB784" s="1"/>
      <c r="AC784" s="1" t="str">
        <f t="shared" si="38"/>
        <v xml:space="preserve"> </v>
      </c>
    </row>
    <row r="785" spans="1:29" x14ac:dyDescent="0.3">
      <c r="A785" s="1" t="s">
        <v>1841</v>
      </c>
      <c r="B785">
        <v>3</v>
      </c>
      <c r="C785">
        <v>30.99</v>
      </c>
      <c r="D785">
        <v>74.790000000000006</v>
      </c>
      <c r="E785" s="1" t="s">
        <v>1093</v>
      </c>
      <c r="F785" s="1" t="s">
        <v>51</v>
      </c>
      <c r="G785">
        <v>0</v>
      </c>
      <c r="H785" s="1" t="s">
        <v>58</v>
      </c>
      <c r="I785" s="1" t="s">
        <v>42</v>
      </c>
      <c r="J785">
        <v>10.5</v>
      </c>
      <c r="K785">
        <v>30.99</v>
      </c>
      <c r="L785" s="1" t="s">
        <v>28</v>
      </c>
      <c r="M785" s="1" t="s">
        <v>43</v>
      </c>
      <c r="N785" s="1" t="s">
        <v>44</v>
      </c>
      <c r="O785" s="1" t="s">
        <v>31</v>
      </c>
      <c r="P785" s="2">
        <v>45823</v>
      </c>
      <c r="Q785" s="1" t="s">
        <v>1822</v>
      </c>
      <c r="R785" s="1" t="s">
        <v>1823</v>
      </c>
      <c r="S785" s="1" t="s">
        <v>105</v>
      </c>
      <c r="T785" s="1" t="s">
        <v>35</v>
      </c>
      <c r="U785" s="1" t="s">
        <v>82</v>
      </c>
      <c r="V785" s="1" t="s">
        <v>37</v>
      </c>
      <c r="W785">
        <v>2</v>
      </c>
      <c r="X785" s="1" t="str">
        <f t="shared" si="36"/>
        <v>daniela.moreno56@mail.com</v>
      </c>
      <c r="Y785" s="1" t="str">
        <f>INDEX(V:V,MATCH(orders_desnormalizado_prueba3[[#This Row],[acquisition_channel]],U:U,0))</f>
        <v>Bodega Propia CO - envio 2-3 dias</v>
      </c>
      <c r="Z785" s="1" t="str">
        <f>INDEX(T:T,MATCH(orders_desnormalizado_prueba3[[#This Row],[shipping_cost]],W:W,0))</f>
        <v>Colombia</v>
      </c>
      <c r="AA785" s="1" t="str">
        <f t="shared" si="37"/>
        <v>Cartagena</v>
      </c>
      <c r="AB785" s="1"/>
      <c r="AC785" s="1" t="str">
        <f t="shared" si="38"/>
        <v xml:space="preserve"> </v>
      </c>
    </row>
    <row r="786" spans="1:29" x14ac:dyDescent="0.3">
      <c r="A786" s="1" t="s">
        <v>1842</v>
      </c>
      <c r="B786">
        <v>1</v>
      </c>
      <c r="C786">
        <v>27.99</v>
      </c>
      <c r="D786">
        <v>27.99</v>
      </c>
      <c r="E786" s="1" t="s">
        <v>1648</v>
      </c>
      <c r="F786" s="1" t="s">
        <v>40</v>
      </c>
      <c r="G786">
        <v>3</v>
      </c>
      <c r="H786" s="1" t="s">
        <v>41</v>
      </c>
      <c r="I786" s="1" t="s">
        <v>75</v>
      </c>
      <c r="J786">
        <v>9</v>
      </c>
      <c r="K786">
        <v>27.99</v>
      </c>
      <c r="L786" s="1" t="s">
        <v>28</v>
      </c>
      <c r="M786" s="1" t="s">
        <v>61</v>
      </c>
      <c r="N786" s="1" t="s">
        <v>62</v>
      </c>
      <c r="O786" s="1" t="s">
        <v>31</v>
      </c>
      <c r="P786" s="2">
        <v>45726</v>
      </c>
      <c r="Q786" s="1" t="s">
        <v>425</v>
      </c>
      <c r="R786" s="1" t="s">
        <v>1435</v>
      </c>
      <c r="S786" s="1" t="s">
        <v>54</v>
      </c>
      <c r="T786" s="1" t="s">
        <v>35</v>
      </c>
      <c r="U786" s="1" t="s">
        <v>48</v>
      </c>
      <c r="V786" s="1" t="s">
        <v>37</v>
      </c>
      <c r="W786">
        <v>2</v>
      </c>
      <c r="X786" s="1" t="str">
        <f t="shared" si="36"/>
        <v>paula.ramirez47@mail.com</v>
      </c>
      <c r="Y786" s="1" t="str">
        <f>INDEX(V:V,MATCH(orders_desnormalizado_prueba3[[#This Row],[acquisition_channel]],U:U,0))</f>
        <v>Bodega Propia CO - envio 2-3 dias</v>
      </c>
      <c r="Z786" s="1" t="str">
        <f>INDEX(T:T,MATCH(orders_desnormalizado_prueba3[[#This Row],[shipping_cost]],W:W,0))</f>
        <v>Colombia</v>
      </c>
      <c r="AA786" s="1" t="str">
        <f t="shared" si="37"/>
        <v>Barranquilla</v>
      </c>
      <c r="AB786" s="1"/>
      <c r="AC786" s="1" t="str">
        <f t="shared" si="38"/>
        <v xml:space="preserve"> </v>
      </c>
    </row>
    <row r="787" spans="1:29" x14ac:dyDescent="0.3">
      <c r="A787" s="1" t="s">
        <v>1843</v>
      </c>
      <c r="B787">
        <v>1</v>
      </c>
      <c r="C787">
        <v>34.99</v>
      </c>
      <c r="D787">
        <v>34.99</v>
      </c>
      <c r="E787" s="1" t="s">
        <v>1844</v>
      </c>
      <c r="F787" s="1" t="s">
        <v>40</v>
      </c>
      <c r="G787">
        <v>5</v>
      </c>
      <c r="H787" s="1" t="s">
        <v>58</v>
      </c>
      <c r="I787" s="1" t="s">
        <v>85</v>
      </c>
      <c r="J787">
        <v>12.5</v>
      </c>
      <c r="K787">
        <v>34.99</v>
      </c>
      <c r="L787" s="1" t="s">
        <v>60</v>
      </c>
      <c r="M787" s="1" t="s">
        <v>29</v>
      </c>
      <c r="N787" s="1" t="s">
        <v>30</v>
      </c>
      <c r="O787" s="1" t="s">
        <v>31</v>
      </c>
      <c r="P787" s="2">
        <v>45778</v>
      </c>
      <c r="Q787" s="1" t="s">
        <v>1119</v>
      </c>
      <c r="R787" s="1" t="s">
        <v>1120</v>
      </c>
      <c r="S787" s="1" t="s">
        <v>34</v>
      </c>
      <c r="T787" s="1" t="s">
        <v>35</v>
      </c>
      <c r="U787" s="1" t="s">
        <v>66</v>
      </c>
      <c r="V787" s="1" t="s">
        <v>89</v>
      </c>
      <c r="W787">
        <v>2.4</v>
      </c>
      <c r="X787" s="1" t="str">
        <f t="shared" si="36"/>
        <v>laura.ortiz181@mail.com</v>
      </c>
      <c r="Y787" s="1" t="str">
        <f>INDEX(V:V,MATCH(orders_desnormalizado_prueba3[[#This Row],[acquisition_channel]],U:U,0))</f>
        <v>AliDropship CN - envio 15-20 dias</v>
      </c>
      <c r="Z787" s="1" t="str">
        <f>INDEX(T:T,MATCH(orders_desnormalizado_prueba3[[#This Row],[shipping_cost]],W:W,0))</f>
        <v>Colombia</v>
      </c>
      <c r="AA787" s="1" t="str">
        <f t="shared" si="37"/>
        <v>Cali</v>
      </c>
      <c r="AB787" s="1"/>
      <c r="AC787" s="1" t="str">
        <f t="shared" si="38"/>
        <v xml:space="preserve"> </v>
      </c>
    </row>
    <row r="788" spans="1:29" x14ac:dyDescent="0.3">
      <c r="A788" s="1" t="s">
        <v>1845</v>
      </c>
      <c r="B788">
        <v>1</v>
      </c>
      <c r="C788">
        <v>18.989999999999998</v>
      </c>
      <c r="D788">
        <v>18.989999999999998</v>
      </c>
      <c r="E788" s="1" t="s">
        <v>937</v>
      </c>
      <c r="F788" s="1" t="s">
        <v>40</v>
      </c>
      <c r="G788">
        <v>11</v>
      </c>
      <c r="H788" s="1" t="s">
        <v>96</v>
      </c>
      <c r="I788" s="1" t="s">
        <v>97</v>
      </c>
      <c r="J788">
        <v>6</v>
      </c>
      <c r="K788">
        <v>18.989999999999998</v>
      </c>
      <c r="L788" s="1" t="s">
        <v>60</v>
      </c>
      <c r="M788" s="1" t="s">
        <v>43</v>
      </c>
      <c r="N788" s="1" t="s">
        <v>44</v>
      </c>
      <c r="O788" s="1" t="s">
        <v>31</v>
      </c>
      <c r="P788" s="2">
        <v>45823</v>
      </c>
      <c r="Q788" s="1" t="s">
        <v>544</v>
      </c>
      <c r="R788" s="1" t="s">
        <v>1225</v>
      </c>
      <c r="S788" s="1" t="s">
        <v>88</v>
      </c>
      <c r="T788" s="1" t="s">
        <v>35</v>
      </c>
      <c r="U788" s="1" t="s">
        <v>36</v>
      </c>
      <c r="V788" s="1" t="s">
        <v>100</v>
      </c>
      <c r="W788">
        <v>3.2</v>
      </c>
      <c r="X788" s="1" t="str">
        <f t="shared" si="36"/>
        <v>maria.diaz102@mail.com</v>
      </c>
      <c r="Y788" s="1" t="str">
        <f>INDEX(V:V,MATCH(orders_desnormalizado_prueba3[[#This Row],[acquisition_channel]],U:U,0))</f>
        <v>Bodega Propia CO - envio 2-3 dias</v>
      </c>
      <c r="Z788" s="1" t="str">
        <f>INDEX(T:T,MATCH(orders_desnormalizado_prueba3[[#This Row],[shipping_cost]],W:W,0))</f>
        <v>Colombia</v>
      </c>
      <c r="AA788" s="1" t="str">
        <f t="shared" si="37"/>
        <v>Cali</v>
      </c>
      <c r="AB788" s="1"/>
      <c r="AC788" s="1" t="str">
        <f t="shared" si="38"/>
        <v xml:space="preserve"> </v>
      </c>
    </row>
    <row r="789" spans="1:29" x14ac:dyDescent="0.3">
      <c r="A789" s="1" t="s">
        <v>1846</v>
      </c>
      <c r="B789">
        <v>1</v>
      </c>
      <c r="C789">
        <v>16.989999999999998</v>
      </c>
      <c r="D789">
        <v>16.989999999999998</v>
      </c>
      <c r="E789" s="1" t="s">
        <v>1156</v>
      </c>
      <c r="F789" s="1" t="s">
        <v>25</v>
      </c>
      <c r="G789">
        <v>15</v>
      </c>
      <c r="H789" s="1" t="s">
        <v>96</v>
      </c>
      <c r="I789" s="1" t="s">
        <v>59</v>
      </c>
      <c r="J789">
        <v>5</v>
      </c>
      <c r="K789">
        <v>16.989999999999998</v>
      </c>
      <c r="L789" s="1" t="s">
        <v>60</v>
      </c>
      <c r="M789" s="1" t="s">
        <v>61</v>
      </c>
      <c r="N789" s="1" t="s">
        <v>62</v>
      </c>
      <c r="O789" s="1" t="s">
        <v>31</v>
      </c>
      <c r="P789" s="2">
        <v>45726</v>
      </c>
      <c r="Q789" s="1" t="s">
        <v>836</v>
      </c>
      <c r="R789" s="1" t="s">
        <v>1847</v>
      </c>
      <c r="S789" s="1" t="s">
        <v>105</v>
      </c>
      <c r="T789" s="1" t="s">
        <v>35</v>
      </c>
      <c r="U789" s="1" t="s">
        <v>66</v>
      </c>
      <c r="V789" s="1" t="s">
        <v>67</v>
      </c>
      <c r="W789">
        <v>3</v>
      </c>
      <c r="X789" s="1" t="str">
        <f t="shared" si="36"/>
        <v>esteban.martinez139@mail.com</v>
      </c>
      <c r="Y789" s="1" t="str">
        <f>INDEX(V:V,MATCH(orders_desnormalizado_prueba3[[#This Row],[acquisition_channel]],U:U,0))</f>
        <v>AliDropship CN - envio 15-20 dias</v>
      </c>
      <c r="Z789" s="1" t="str">
        <f>INDEX(T:T,MATCH(orders_desnormalizado_prueba3[[#This Row],[shipping_cost]],W:W,0))</f>
        <v>Colombia</v>
      </c>
      <c r="AA789" s="1" t="str">
        <f t="shared" si="37"/>
        <v>Barranquilla</v>
      </c>
      <c r="AB789" s="1"/>
      <c r="AC789" s="1" t="str">
        <f t="shared" si="38"/>
        <v xml:space="preserve"> </v>
      </c>
    </row>
    <row r="790" spans="1:29" x14ac:dyDescent="0.3">
      <c r="A790" s="1" t="s">
        <v>1848</v>
      </c>
      <c r="B790">
        <v>1</v>
      </c>
      <c r="C790">
        <v>34.99</v>
      </c>
      <c r="D790">
        <v>34.99</v>
      </c>
      <c r="E790" s="1" t="s">
        <v>786</v>
      </c>
      <c r="F790" s="1" t="s">
        <v>40</v>
      </c>
      <c r="G790">
        <v>9</v>
      </c>
      <c r="H790" s="1" t="s">
        <v>58</v>
      </c>
      <c r="I790" s="1" t="s">
        <v>85</v>
      </c>
      <c r="J790">
        <v>12.5</v>
      </c>
      <c r="K790">
        <v>34.99</v>
      </c>
      <c r="L790" s="1" t="s">
        <v>60</v>
      </c>
      <c r="M790" s="1" t="s">
        <v>29</v>
      </c>
      <c r="N790" s="1" t="s">
        <v>30</v>
      </c>
      <c r="O790" s="1" t="s">
        <v>31</v>
      </c>
      <c r="P790" s="2">
        <v>45778</v>
      </c>
      <c r="Q790" s="1" t="s">
        <v>1028</v>
      </c>
      <c r="R790" s="1" t="s">
        <v>1029</v>
      </c>
      <c r="S790" s="1" t="s">
        <v>105</v>
      </c>
      <c r="T790" s="1" t="s">
        <v>35</v>
      </c>
      <c r="U790" s="1" t="s">
        <v>36</v>
      </c>
      <c r="V790" s="1" t="s">
        <v>89</v>
      </c>
      <c r="W790">
        <v>2.4</v>
      </c>
      <c r="X790" s="1" t="str">
        <f t="shared" si="36"/>
        <v>miguel.martinez162@mail.com</v>
      </c>
      <c r="Y790" s="1" t="str">
        <f>INDEX(V:V,MATCH(orders_desnormalizado_prueba3[[#This Row],[acquisition_channel]],U:U,0))</f>
        <v>Bodega Propia CO - envio 2-3 dias</v>
      </c>
      <c r="Z790" s="1" t="str">
        <f>INDEX(T:T,MATCH(orders_desnormalizado_prueba3[[#This Row],[shipping_cost]],W:W,0))</f>
        <v>Colombia</v>
      </c>
      <c r="AA790" s="1" t="str">
        <f t="shared" si="37"/>
        <v>Bogota</v>
      </c>
      <c r="AB790" s="1"/>
      <c r="AC790" s="1" t="str">
        <f t="shared" si="38"/>
        <v xml:space="preserve"> </v>
      </c>
    </row>
    <row r="791" spans="1:29" x14ac:dyDescent="0.3">
      <c r="A791" s="1" t="s">
        <v>1849</v>
      </c>
      <c r="B791">
        <v>1</v>
      </c>
      <c r="C791">
        <v>18.989999999999998</v>
      </c>
      <c r="D791">
        <v>18.989999999999998</v>
      </c>
      <c r="E791" s="1" t="s">
        <v>457</v>
      </c>
      <c r="F791" s="1" t="s">
        <v>40</v>
      </c>
      <c r="G791">
        <v>15</v>
      </c>
      <c r="H791" s="1" t="s">
        <v>96</v>
      </c>
      <c r="I791" s="1" t="s">
        <v>97</v>
      </c>
      <c r="J791">
        <v>6</v>
      </c>
      <c r="K791">
        <v>18.989999999999998</v>
      </c>
      <c r="L791" s="1" t="s">
        <v>60</v>
      </c>
      <c r="M791" s="1" t="s">
        <v>43</v>
      </c>
      <c r="N791" s="1" t="s">
        <v>44</v>
      </c>
      <c r="O791" s="1" t="s">
        <v>31</v>
      </c>
      <c r="P791" s="2">
        <v>45823</v>
      </c>
      <c r="Q791" s="1" t="s">
        <v>1850</v>
      </c>
      <c r="R791" s="1" t="s">
        <v>1851</v>
      </c>
      <c r="S791" s="1" t="s">
        <v>47</v>
      </c>
      <c r="T791" s="1" t="s">
        <v>35</v>
      </c>
      <c r="U791" s="1" t="s">
        <v>66</v>
      </c>
      <c r="V791" s="1" t="s">
        <v>100</v>
      </c>
      <c r="W791">
        <v>3.2</v>
      </c>
      <c r="X791" s="1" t="str">
        <f t="shared" si="36"/>
        <v>catalina.perez151@mail.com</v>
      </c>
      <c r="Y791" s="1" t="str">
        <f>INDEX(V:V,MATCH(orders_desnormalizado_prueba3[[#This Row],[acquisition_channel]],U:U,0))</f>
        <v>AliDropship CN - envio 15-20 dias</v>
      </c>
      <c r="Z791" s="1" t="str">
        <f>INDEX(T:T,MATCH(orders_desnormalizado_prueba3[[#This Row],[shipping_cost]],W:W,0))</f>
        <v>Colombia</v>
      </c>
      <c r="AA791" s="1" t="str">
        <f t="shared" si="37"/>
        <v>Barranquilla</v>
      </c>
      <c r="AB791" s="1"/>
      <c r="AC791" s="1" t="str">
        <f t="shared" si="38"/>
        <v xml:space="preserve"> </v>
      </c>
    </row>
    <row r="792" spans="1:29" x14ac:dyDescent="0.3">
      <c r="A792" s="1" t="s">
        <v>1852</v>
      </c>
      <c r="B792">
        <v>1</v>
      </c>
      <c r="C792">
        <v>34.99</v>
      </c>
      <c r="D792">
        <v>34.99</v>
      </c>
      <c r="E792" s="1" t="s">
        <v>1796</v>
      </c>
      <c r="F792" s="1" t="s">
        <v>51</v>
      </c>
      <c r="G792">
        <v>0</v>
      </c>
      <c r="H792" s="1" t="s">
        <v>41</v>
      </c>
      <c r="I792" s="1" t="s">
        <v>85</v>
      </c>
      <c r="J792">
        <v>12.5</v>
      </c>
      <c r="K792">
        <v>34.99</v>
      </c>
      <c r="L792" s="1" t="s">
        <v>60</v>
      </c>
      <c r="M792" s="1" t="s">
        <v>29</v>
      </c>
      <c r="N792" s="1" t="s">
        <v>30</v>
      </c>
      <c r="O792" s="1" t="s">
        <v>31</v>
      </c>
      <c r="P792" s="2">
        <v>45778</v>
      </c>
      <c r="Q792" s="1" t="s">
        <v>926</v>
      </c>
      <c r="R792" s="1" t="s">
        <v>927</v>
      </c>
      <c r="S792" s="1" t="s">
        <v>47</v>
      </c>
      <c r="T792" s="1" t="s">
        <v>35</v>
      </c>
      <c r="U792" s="1" t="s">
        <v>36</v>
      </c>
      <c r="V792" s="1" t="s">
        <v>89</v>
      </c>
      <c r="W792">
        <v>2.4</v>
      </c>
      <c r="X792" s="1" t="str">
        <f t="shared" si="36"/>
        <v>fernanda.castro167@mail.com</v>
      </c>
      <c r="Y792" s="1" t="str">
        <f>INDEX(V:V,MATCH(orders_desnormalizado_prueba3[[#This Row],[acquisition_channel]],U:U,0))</f>
        <v>Bodega Propia CO - envio 2-3 dias</v>
      </c>
      <c r="Z792" s="1" t="str">
        <f>INDEX(T:T,MATCH(orders_desnormalizado_prueba3[[#This Row],[shipping_cost]],W:W,0))</f>
        <v>Colombia</v>
      </c>
      <c r="AA792" s="1" t="str">
        <f t="shared" si="37"/>
        <v>Cartagena</v>
      </c>
      <c r="AB792" s="1"/>
      <c r="AC792" s="1" t="str">
        <f t="shared" si="38"/>
        <v xml:space="preserve"> </v>
      </c>
    </row>
    <row r="793" spans="1:29" x14ac:dyDescent="0.3">
      <c r="A793" s="1" t="s">
        <v>1853</v>
      </c>
      <c r="B793">
        <v>1</v>
      </c>
      <c r="C793">
        <v>18.989999999999998</v>
      </c>
      <c r="D793">
        <v>18.989999999999998</v>
      </c>
      <c r="E793" s="1" t="s">
        <v>102</v>
      </c>
      <c r="F793" s="1" t="s">
        <v>51</v>
      </c>
      <c r="G793">
        <v>0</v>
      </c>
      <c r="H793" s="1" t="s">
        <v>26</v>
      </c>
      <c r="I793" s="1" t="s">
        <v>97</v>
      </c>
      <c r="J793">
        <v>6</v>
      </c>
      <c r="K793">
        <v>18.989999999999998</v>
      </c>
      <c r="L793" s="1" t="s">
        <v>60</v>
      </c>
      <c r="M793" s="1" t="s">
        <v>43</v>
      </c>
      <c r="N793" s="1" t="s">
        <v>44</v>
      </c>
      <c r="O793" s="1" t="s">
        <v>31</v>
      </c>
      <c r="P793" s="2">
        <v>45823</v>
      </c>
      <c r="Q793" s="1" t="s">
        <v>1024</v>
      </c>
      <c r="R793" s="1" t="s">
        <v>1854</v>
      </c>
      <c r="S793" s="1" t="s">
        <v>65</v>
      </c>
      <c r="T793" s="1" t="s">
        <v>35</v>
      </c>
      <c r="U793" s="1" t="s">
        <v>82</v>
      </c>
      <c r="V793" s="1" t="s">
        <v>100</v>
      </c>
      <c r="W793">
        <v>3.2</v>
      </c>
      <c r="X793" s="1" t="str">
        <f t="shared" si="36"/>
        <v>camila.gomez147@mail.com</v>
      </c>
      <c r="Y793" s="1" t="str">
        <f>INDEX(V:V,MATCH(orders_desnormalizado_prueba3[[#This Row],[acquisition_channel]],U:U,0))</f>
        <v>Bodega Propia CO - envio 2-3 dias</v>
      </c>
      <c r="Z793" s="1" t="str">
        <f>INDEX(T:T,MATCH(orders_desnormalizado_prueba3[[#This Row],[shipping_cost]],W:W,0))</f>
        <v>Colombia</v>
      </c>
      <c r="AA793" s="1" t="str">
        <f t="shared" si="37"/>
        <v>Cartagena</v>
      </c>
      <c r="AB793" s="1"/>
      <c r="AC793" s="1" t="str">
        <f t="shared" si="38"/>
        <v xml:space="preserve"> </v>
      </c>
    </row>
    <row r="794" spans="1:29" x14ac:dyDescent="0.3">
      <c r="A794" s="1" t="s">
        <v>1855</v>
      </c>
      <c r="B794">
        <v>2</v>
      </c>
      <c r="C794">
        <v>30.99</v>
      </c>
      <c r="D794">
        <v>53.16</v>
      </c>
      <c r="E794" s="1" t="s">
        <v>24</v>
      </c>
      <c r="F794" s="1" t="s">
        <v>40</v>
      </c>
      <c r="G794">
        <v>2</v>
      </c>
      <c r="H794" s="1" t="s">
        <v>26</v>
      </c>
      <c r="I794" s="1" t="s">
        <v>42</v>
      </c>
      <c r="J794">
        <v>10.5</v>
      </c>
      <c r="K794">
        <v>30.99</v>
      </c>
      <c r="L794" s="1" t="s">
        <v>28</v>
      </c>
      <c r="M794" s="1" t="s">
        <v>43</v>
      </c>
      <c r="N794" s="1" t="s">
        <v>44</v>
      </c>
      <c r="O794" s="1" t="s">
        <v>31</v>
      </c>
      <c r="P794" s="2">
        <v>45823</v>
      </c>
      <c r="Q794" s="1" t="s">
        <v>1856</v>
      </c>
      <c r="R794" s="1" t="s">
        <v>1857</v>
      </c>
      <c r="S794" s="1" t="s">
        <v>34</v>
      </c>
      <c r="T794" s="1" t="s">
        <v>35</v>
      </c>
      <c r="U794" s="1" t="s">
        <v>36</v>
      </c>
      <c r="V794" s="1" t="s">
        <v>37</v>
      </c>
      <c r="W794">
        <v>2</v>
      </c>
      <c r="X794" s="1" t="str">
        <f t="shared" si="36"/>
        <v>paula.perez26@mail.com</v>
      </c>
      <c r="Y794" s="1" t="str">
        <f>INDEX(V:V,MATCH(orders_desnormalizado_prueba3[[#This Row],[acquisition_channel]],U:U,0))</f>
        <v>Bodega Propia CO - envio 2-3 dias</v>
      </c>
      <c r="Z794" s="1" t="str">
        <f>INDEX(T:T,MATCH(orders_desnormalizado_prueba3[[#This Row],[shipping_cost]],W:W,0))</f>
        <v>Colombia</v>
      </c>
      <c r="AA794" s="1" t="str">
        <f t="shared" si="37"/>
        <v>Medellin</v>
      </c>
      <c r="AB794" s="1"/>
      <c r="AC794" s="1" t="str">
        <f t="shared" si="38"/>
        <v xml:space="preserve"> </v>
      </c>
    </row>
    <row r="795" spans="1:29" x14ac:dyDescent="0.3">
      <c r="A795" s="1" t="s">
        <v>1858</v>
      </c>
      <c r="B795">
        <v>1</v>
      </c>
      <c r="C795">
        <v>18.989999999999998</v>
      </c>
      <c r="D795">
        <v>18.989999999999998</v>
      </c>
      <c r="E795" s="1" t="s">
        <v>79</v>
      </c>
      <c r="F795" s="1" t="s">
        <v>40</v>
      </c>
      <c r="G795">
        <v>12</v>
      </c>
      <c r="H795" s="1" t="s">
        <v>41</v>
      </c>
      <c r="I795" s="1" t="s">
        <v>97</v>
      </c>
      <c r="J795">
        <v>6</v>
      </c>
      <c r="K795">
        <v>18.989999999999998</v>
      </c>
      <c r="L795" s="1" t="s">
        <v>60</v>
      </c>
      <c r="M795" s="1" t="s">
        <v>43</v>
      </c>
      <c r="N795" s="1" t="s">
        <v>44</v>
      </c>
      <c r="O795" s="1" t="s">
        <v>31</v>
      </c>
      <c r="P795" s="2">
        <v>45823</v>
      </c>
      <c r="Q795" s="1" t="s">
        <v>1241</v>
      </c>
      <c r="R795" s="1" t="s">
        <v>1722</v>
      </c>
      <c r="S795" s="1" t="s">
        <v>65</v>
      </c>
      <c r="T795" s="1" t="s">
        <v>35</v>
      </c>
      <c r="U795" s="1" t="s">
        <v>82</v>
      </c>
      <c r="V795" s="1" t="s">
        <v>100</v>
      </c>
      <c r="W795">
        <v>3.2</v>
      </c>
      <c r="X795" s="1" t="str">
        <f t="shared" si="36"/>
        <v>antonia.torres55@mail.com</v>
      </c>
      <c r="Y795" s="1" t="str">
        <f>INDEX(V:V,MATCH(orders_desnormalizado_prueba3[[#This Row],[acquisition_channel]],U:U,0))</f>
        <v>Bodega Propia CO - envio 2-3 dias</v>
      </c>
      <c r="Z795" s="1" t="str">
        <f>INDEX(T:T,MATCH(orders_desnormalizado_prueba3[[#This Row],[shipping_cost]],W:W,0))</f>
        <v>Colombia</v>
      </c>
      <c r="AA795" s="1" t="str">
        <f t="shared" si="37"/>
        <v>Cartagena</v>
      </c>
      <c r="AB795" s="1"/>
      <c r="AC795" s="1" t="str">
        <f t="shared" si="38"/>
        <v xml:space="preserve"> </v>
      </c>
    </row>
    <row r="796" spans="1:29" x14ac:dyDescent="0.3">
      <c r="A796" s="1" t="s">
        <v>1859</v>
      </c>
      <c r="B796">
        <v>3</v>
      </c>
      <c r="C796">
        <v>21.99</v>
      </c>
      <c r="D796">
        <v>52.37</v>
      </c>
      <c r="E796" s="1" t="s">
        <v>1860</v>
      </c>
      <c r="F796" s="1" t="s">
        <v>188</v>
      </c>
      <c r="G796">
        <v>0</v>
      </c>
      <c r="H796" s="1" t="s">
        <v>58</v>
      </c>
      <c r="I796" s="1" t="s">
        <v>27</v>
      </c>
      <c r="J796">
        <v>7</v>
      </c>
      <c r="K796">
        <v>21.99</v>
      </c>
      <c r="L796" s="1" t="s">
        <v>28</v>
      </c>
      <c r="M796" s="1" t="s">
        <v>29</v>
      </c>
      <c r="N796" s="1" t="s">
        <v>30</v>
      </c>
      <c r="O796" s="1" t="s">
        <v>31</v>
      </c>
      <c r="P796" s="2">
        <v>45778</v>
      </c>
      <c r="Q796" s="1" t="s">
        <v>1286</v>
      </c>
      <c r="R796" s="1" t="s">
        <v>1861</v>
      </c>
      <c r="S796" s="1" t="s">
        <v>88</v>
      </c>
      <c r="T796" s="1" t="s">
        <v>35</v>
      </c>
      <c r="U796" s="1" t="s">
        <v>48</v>
      </c>
      <c r="V796" s="1" t="s">
        <v>37</v>
      </c>
      <c r="W796">
        <v>2</v>
      </c>
      <c r="X796" s="1" t="str">
        <f t="shared" si="36"/>
        <v>nicolas.sanchez19@mail.com</v>
      </c>
      <c r="Y796" s="1" t="str">
        <f>INDEX(V:V,MATCH(orders_desnormalizado_prueba3[[#This Row],[acquisition_channel]],U:U,0))</f>
        <v>Bodega Propia CO - envio 2-3 dias</v>
      </c>
      <c r="Z796" s="1" t="str">
        <f>INDEX(T:T,MATCH(orders_desnormalizado_prueba3[[#This Row],[shipping_cost]],W:W,0))</f>
        <v>Colombia</v>
      </c>
      <c r="AA796" s="1" t="str">
        <f t="shared" si="37"/>
        <v>Cartagena</v>
      </c>
      <c r="AB796" s="1"/>
      <c r="AC796" s="1" t="str">
        <f t="shared" si="38"/>
        <v xml:space="preserve"> </v>
      </c>
    </row>
    <row r="797" spans="1:29" x14ac:dyDescent="0.3">
      <c r="A797" s="1" t="s">
        <v>1862</v>
      </c>
      <c r="B797">
        <v>1</v>
      </c>
      <c r="C797">
        <v>27.99</v>
      </c>
      <c r="D797">
        <v>27.99</v>
      </c>
      <c r="E797" s="1" t="s">
        <v>117</v>
      </c>
      <c r="F797" s="1" t="s">
        <v>51</v>
      </c>
      <c r="G797">
        <v>0</v>
      </c>
      <c r="H797" s="1" t="s">
        <v>26</v>
      </c>
      <c r="I797" s="1" t="s">
        <v>75</v>
      </c>
      <c r="J797">
        <v>9</v>
      </c>
      <c r="K797">
        <v>27.99</v>
      </c>
      <c r="L797" s="1" t="s">
        <v>28</v>
      </c>
      <c r="M797" s="1" t="s">
        <v>61</v>
      </c>
      <c r="N797" s="1" t="s">
        <v>62</v>
      </c>
      <c r="O797" s="1" t="s">
        <v>31</v>
      </c>
      <c r="P797" s="2">
        <v>45726</v>
      </c>
      <c r="Q797" s="1" t="s">
        <v>1850</v>
      </c>
      <c r="R797" s="1" t="s">
        <v>1851</v>
      </c>
      <c r="S797" s="1" t="s">
        <v>47</v>
      </c>
      <c r="T797" s="1" t="s">
        <v>35</v>
      </c>
      <c r="U797" s="1" t="s">
        <v>66</v>
      </c>
      <c r="V797" s="1" t="s">
        <v>37</v>
      </c>
      <c r="W797">
        <v>2</v>
      </c>
      <c r="X797" s="1" t="str">
        <f t="shared" si="36"/>
        <v>catalina.perez151@mail.com</v>
      </c>
      <c r="Y797" s="1" t="str">
        <f>INDEX(V:V,MATCH(orders_desnormalizado_prueba3[[#This Row],[acquisition_channel]],U:U,0))</f>
        <v>AliDropship CN - envio 15-20 dias</v>
      </c>
      <c r="Z797" s="1" t="str">
        <f>INDEX(T:T,MATCH(orders_desnormalizado_prueba3[[#This Row],[shipping_cost]],W:W,0))</f>
        <v>Colombia</v>
      </c>
      <c r="AA797" s="1" t="str">
        <f t="shared" si="37"/>
        <v>Cartagena</v>
      </c>
      <c r="AB797" s="1"/>
      <c r="AC797" s="1" t="str">
        <f t="shared" si="38"/>
        <v xml:space="preserve"> </v>
      </c>
    </row>
    <row r="798" spans="1:29" x14ac:dyDescent="0.3">
      <c r="A798" s="1" t="s">
        <v>1863</v>
      </c>
      <c r="B798">
        <v>1</v>
      </c>
      <c r="C798">
        <v>18.989999999999998</v>
      </c>
      <c r="D798">
        <v>18.989999999999998</v>
      </c>
      <c r="E798" s="1" t="s">
        <v>1590</v>
      </c>
      <c r="F798" s="1" t="s">
        <v>40</v>
      </c>
      <c r="G798">
        <v>12</v>
      </c>
      <c r="H798" s="1" t="s">
        <v>41</v>
      </c>
      <c r="I798" s="1" t="s">
        <v>97</v>
      </c>
      <c r="J798">
        <v>6</v>
      </c>
      <c r="K798">
        <v>18.989999999999998</v>
      </c>
      <c r="L798" s="1" t="s">
        <v>60</v>
      </c>
      <c r="M798" s="1" t="s">
        <v>43</v>
      </c>
      <c r="N798" s="1" t="s">
        <v>44</v>
      </c>
      <c r="O798" s="1" t="s">
        <v>31</v>
      </c>
      <c r="P798" s="2">
        <v>45823</v>
      </c>
      <c r="Q798" s="1" t="s">
        <v>278</v>
      </c>
      <c r="R798" s="1" t="s">
        <v>811</v>
      </c>
      <c r="S798" s="1" t="s">
        <v>65</v>
      </c>
      <c r="T798" s="1" t="s">
        <v>35</v>
      </c>
      <c r="U798" s="1" t="s">
        <v>66</v>
      </c>
      <c r="V798" s="1" t="s">
        <v>100</v>
      </c>
      <c r="W798">
        <v>3.2</v>
      </c>
      <c r="X798" s="1" t="str">
        <f t="shared" si="36"/>
        <v>gabriela.diaz40@mail.com</v>
      </c>
      <c r="Y798" s="1" t="str">
        <f>INDEX(V:V,MATCH(orders_desnormalizado_prueba3[[#This Row],[acquisition_channel]],U:U,0))</f>
        <v>AliDropship CN - envio 15-20 dias</v>
      </c>
      <c r="Z798" s="1" t="str">
        <f>INDEX(T:T,MATCH(orders_desnormalizado_prueba3[[#This Row],[shipping_cost]],W:W,0))</f>
        <v>Colombia</v>
      </c>
      <c r="AA798" s="1" t="str">
        <f t="shared" si="37"/>
        <v>Cartagena</v>
      </c>
      <c r="AB798" s="1"/>
      <c r="AC798" s="1" t="str">
        <f t="shared" si="38"/>
        <v xml:space="preserve"> </v>
      </c>
    </row>
    <row r="799" spans="1:29" x14ac:dyDescent="0.3">
      <c r="A799" s="1" t="s">
        <v>1864</v>
      </c>
      <c r="B799">
        <v>1</v>
      </c>
      <c r="C799">
        <v>34.99</v>
      </c>
      <c r="D799">
        <v>34.99</v>
      </c>
      <c r="E799" s="1" t="s">
        <v>1865</v>
      </c>
      <c r="F799" s="1" t="s">
        <v>188</v>
      </c>
      <c r="G799">
        <v>0</v>
      </c>
      <c r="H799" s="1" t="s">
        <v>96</v>
      </c>
      <c r="I799" s="1" t="s">
        <v>85</v>
      </c>
      <c r="J799">
        <v>12.5</v>
      </c>
      <c r="K799">
        <v>34.99</v>
      </c>
      <c r="L799" s="1" t="s">
        <v>60</v>
      </c>
      <c r="M799" s="1" t="s">
        <v>29</v>
      </c>
      <c r="N799" s="1" t="s">
        <v>30</v>
      </c>
      <c r="O799" s="1" t="s">
        <v>31</v>
      </c>
      <c r="P799" s="2">
        <v>45778</v>
      </c>
      <c r="Q799" s="1" t="s">
        <v>1487</v>
      </c>
      <c r="R799" s="1" t="s">
        <v>1557</v>
      </c>
      <c r="S799" s="1" t="s">
        <v>47</v>
      </c>
      <c r="T799" s="1" t="s">
        <v>35</v>
      </c>
      <c r="U799" s="1" t="s">
        <v>82</v>
      </c>
      <c r="V799" s="1" t="s">
        <v>89</v>
      </c>
      <c r="W799">
        <v>2.4</v>
      </c>
      <c r="X799" s="1" t="str">
        <f t="shared" si="36"/>
        <v>sofia.vargas151@mail.com</v>
      </c>
      <c r="Y799" s="1" t="str">
        <f>INDEX(V:V,MATCH(orders_desnormalizado_prueba3[[#This Row],[acquisition_channel]],U:U,0))</f>
        <v>Bodega Propia CO - envio 2-3 dias</v>
      </c>
      <c r="Z799" s="1" t="str">
        <f>INDEX(T:T,MATCH(orders_desnormalizado_prueba3[[#This Row],[shipping_cost]],W:W,0))</f>
        <v>Colombia</v>
      </c>
      <c r="AA799" s="1" t="str">
        <f t="shared" si="37"/>
        <v>Cartagena</v>
      </c>
      <c r="AB799" s="1"/>
      <c r="AC799" s="1" t="str">
        <f t="shared" si="38"/>
        <v xml:space="preserve"> </v>
      </c>
    </row>
    <row r="800" spans="1:29" x14ac:dyDescent="0.3">
      <c r="A800" s="1" t="s">
        <v>1866</v>
      </c>
      <c r="B800">
        <v>2</v>
      </c>
      <c r="C800">
        <v>34.99</v>
      </c>
      <c r="D800">
        <v>61.13</v>
      </c>
      <c r="E800" s="1" t="s">
        <v>1122</v>
      </c>
      <c r="F800" s="1" t="s">
        <v>40</v>
      </c>
      <c r="G800">
        <v>6</v>
      </c>
      <c r="H800" s="1" t="s">
        <v>58</v>
      </c>
      <c r="I800" s="1" t="s">
        <v>85</v>
      </c>
      <c r="J800">
        <v>12.5</v>
      </c>
      <c r="K800">
        <v>34.99</v>
      </c>
      <c r="L800" s="1" t="s">
        <v>60</v>
      </c>
      <c r="M800" s="1" t="s">
        <v>29</v>
      </c>
      <c r="N800" s="1" t="s">
        <v>30</v>
      </c>
      <c r="O800" s="1" t="s">
        <v>31</v>
      </c>
      <c r="P800" s="2">
        <v>45778</v>
      </c>
      <c r="Q800" s="1" t="s">
        <v>189</v>
      </c>
      <c r="R800" s="1" t="s">
        <v>1016</v>
      </c>
      <c r="S800" s="1" t="s">
        <v>105</v>
      </c>
      <c r="T800" s="1" t="s">
        <v>35</v>
      </c>
      <c r="U800" s="1" t="s">
        <v>48</v>
      </c>
      <c r="V800" s="1" t="s">
        <v>89</v>
      </c>
      <c r="W800">
        <v>2.4</v>
      </c>
      <c r="X800" s="1" t="str">
        <f t="shared" si="36"/>
        <v>maria.ramirez6@mail.com</v>
      </c>
      <c r="Y800" s="1" t="str">
        <f>INDEX(V:V,MATCH(orders_desnormalizado_prueba3[[#This Row],[acquisition_channel]],U:U,0))</f>
        <v>Bodega Propia CO - envio 2-3 dias</v>
      </c>
      <c r="Z800" s="1" t="str">
        <f>INDEX(T:T,MATCH(orders_desnormalizado_prueba3[[#This Row],[shipping_cost]],W:W,0))</f>
        <v>Colombia</v>
      </c>
      <c r="AA800" s="1" t="str">
        <f t="shared" si="37"/>
        <v>Medellin</v>
      </c>
      <c r="AB800" s="1"/>
      <c r="AC800" s="1" t="str">
        <f t="shared" si="38"/>
        <v xml:space="preserve"> </v>
      </c>
    </row>
    <row r="801" spans="1:29" x14ac:dyDescent="0.3">
      <c r="A801" s="1" t="s">
        <v>1867</v>
      </c>
      <c r="B801">
        <v>1</v>
      </c>
      <c r="C801">
        <v>34.99</v>
      </c>
      <c r="D801">
        <v>34.99</v>
      </c>
      <c r="E801" s="1" t="s">
        <v>1590</v>
      </c>
      <c r="F801" s="1" t="s">
        <v>40</v>
      </c>
      <c r="G801">
        <v>6</v>
      </c>
      <c r="H801" s="1" t="s">
        <v>96</v>
      </c>
      <c r="I801" s="1" t="s">
        <v>85</v>
      </c>
      <c r="J801">
        <v>12.5</v>
      </c>
      <c r="K801">
        <v>34.99</v>
      </c>
      <c r="L801" s="1" t="s">
        <v>60</v>
      </c>
      <c r="M801" s="1" t="s">
        <v>29</v>
      </c>
      <c r="N801" s="1" t="s">
        <v>30</v>
      </c>
      <c r="O801" s="1" t="s">
        <v>31</v>
      </c>
      <c r="P801" s="2">
        <v>45778</v>
      </c>
      <c r="Q801" s="1" t="s">
        <v>779</v>
      </c>
      <c r="R801" s="1" t="s">
        <v>780</v>
      </c>
      <c r="S801" s="1" t="s">
        <v>88</v>
      </c>
      <c r="T801" s="1" t="s">
        <v>35</v>
      </c>
      <c r="U801" s="1" t="s">
        <v>48</v>
      </c>
      <c r="V801" s="1" t="s">
        <v>89</v>
      </c>
      <c r="W801">
        <v>2.4</v>
      </c>
      <c r="X801" s="1" t="str">
        <f t="shared" si="36"/>
        <v>alejandro.lopez109@mail.com</v>
      </c>
      <c r="Y801" s="1" t="str">
        <f>INDEX(V:V,MATCH(orders_desnormalizado_prueba3[[#This Row],[acquisition_channel]],U:U,0))</f>
        <v>Bodega Propia CO - envio 2-3 dias</v>
      </c>
      <c r="Z801" s="1" t="str">
        <f>INDEX(T:T,MATCH(orders_desnormalizado_prueba3[[#This Row],[shipping_cost]],W:W,0))</f>
        <v>Colombia</v>
      </c>
      <c r="AA801" s="1" t="str">
        <f t="shared" si="37"/>
        <v>Medellin</v>
      </c>
      <c r="AB801" s="1"/>
      <c r="AC801" s="1" t="str">
        <f t="shared" si="38"/>
        <v xml:space="preserve"> </v>
      </c>
    </row>
    <row r="802" spans="1:29" x14ac:dyDescent="0.3">
      <c r="A802" s="1" t="s">
        <v>1868</v>
      </c>
      <c r="B802">
        <v>3</v>
      </c>
      <c r="C802">
        <v>34.99</v>
      </c>
      <c r="D802">
        <v>83.78</v>
      </c>
      <c r="E802" s="1" t="s">
        <v>923</v>
      </c>
      <c r="F802" s="1" t="s">
        <v>40</v>
      </c>
      <c r="G802">
        <v>6</v>
      </c>
      <c r="H802" s="1" t="s">
        <v>96</v>
      </c>
      <c r="I802" s="1" t="s">
        <v>85</v>
      </c>
      <c r="J802">
        <v>12.5</v>
      </c>
      <c r="K802">
        <v>34.99</v>
      </c>
      <c r="L802" s="1" t="s">
        <v>60</v>
      </c>
      <c r="M802" s="1" t="s">
        <v>29</v>
      </c>
      <c r="N802" s="1" t="s">
        <v>30</v>
      </c>
      <c r="O802" s="1" t="s">
        <v>31</v>
      </c>
      <c r="P802" s="2">
        <v>45778</v>
      </c>
      <c r="Q802" s="1" t="s">
        <v>1116</v>
      </c>
      <c r="R802" s="1" t="s">
        <v>1869</v>
      </c>
      <c r="S802" s="1" t="s">
        <v>105</v>
      </c>
      <c r="T802" s="1" t="s">
        <v>35</v>
      </c>
      <c r="U802" s="1" t="s">
        <v>66</v>
      </c>
      <c r="V802" s="1" t="s">
        <v>89</v>
      </c>
      <c r="W802">
        <v>2.4</v>
      </c>
      <c r="X802" s="1" t="str">
        <f t="shared" si="36"/>
        <v>ximena.hernandez20@mail.com</v>
      </c>
      <c r="Y802" s="1" t="str">
        <f>INDEX(V:V,MATCH(orders_desnormalizado_prueba3[[#This Row],[acquisition_channel]],U:U,0))</f>
        <v>AliDropship CN - envio 15-20 dias</v>
      </c>
      <c r="Z802" s="1" t="str">
        <f>INDEX(T:T,MATCH(orders_desnormalizado_prueba3[[#This Row],[shipping_cost]],W:W,0))</f>
        <v>Colombia</v>
      </c>
      <c r="AA802" s="1" t="str">
        <f t="shared" si="37"/>
        <v>Medellin</v>
      </c>
      <c r="AB802" s="1"/>
      <c r="AC802" s="1" t="str">
        <f t="shared" si="38"/>
        <v xml:space="preserve"> </v>
      </c>
    </row>
    <row r="803" spans="1:29" x14ac:dyDescent="0.3">
      <c r="A803" s="1" t="s">
        <v>1870</v>
      </c>
      <c r="B803">
        <v>1</v>
      </c>
      <c r="C803">
        <v>16.989999999999998</v>
      </c>
      <c r="D803">
        <v>16.989999999999998</v>
      </c>
      <c r="E803" s="1" t="s">
        <v>202</v>
      </c>
      <c r="F803" s="1" t="s">
        <v>40</v>
      </c>
      <c r="G803">
        <v>16</v>
      </c>
      <c r="H803" s="1" t="s">
        <v>58</v>
      </c>
      <c r="I803" s="1" t="s">
        <v>59</v>
      </c>
      <c r="J803">
        <v>5</v>
      </c>
      <c r="K803">
        <v>16.989999999999998</v>
      </c>
      <c r="L803" s="1" t="s">
        <v>60</v>
      </c>
      <c r="M803" s="1" t="s">
        <v>61</v>
      </c>
      <c r="N803" s="1" t="s">
        <v>62</v>
      </c>
      <c r="O803" s="1" t="s">
        <v>31</v>
      </c>
      <c r="P803" s="2">
        <v>45726</v>
      </c>
      <c r="Q803" s="1" t="s">
        <v>1024</v>
      </c>
      <c r="R803" s="1" t="s">
        <v>1025</v>
      </c>
      <c r="S803" s="1" t="s">
        <v>34</v>
      </c>
      <c r="T803" s="1" t="s">
        <v>35</v>
      </c>
      <c r="U803" s="1" t="s">
        <v>66</v>
      </c>
      <c r="V803" s="1" t="s">
        <v>67</v>
      </c>
      <c r="W803">
        <v>3</v>
      </c>
      <c r="X803" s="1" t="str">
        <f t="shared" si="36"/>
        <v>camila.gomez147@mail.com</v>
      </c>
      <c r="Y803" s="1" t="str">
        <f>INDEX(V:V,MATCH(orders_desnormalizado_prueba3[[#This Row],[acquisition_channel]],U:U,0))</f>
        <v>AliDropship CN - envio 15-20 dias</v>
      </c>
      <c r="Z803" s="1" t="str">
        <f>INDEX(T:T,MATCH(orders_desnormalizado_prueba3[[#This Row],[shipping_cost]],W:W,0))</f>
        <v>Colombia</v>
      </c>
      <c r="AA803" s="1" t="str">
        <f t="shared" si="37"/>
        <v>Bogota</v>
      </c>
      <c r="AB803" s="1"/>
      <c r="AC803" s="1" t="str">
        <f t="shared" si="38"/>
        <v xml:space="preserve"> </v>
      </c>
    </row>
    <row r="804" spans="1:29" x14ac:dyDescent="0.3">
      <c r="A804" s="1" t="s">
        <v>1871</v>
      </c>
      <c r="B804">
        <v>1</v>
      </c>
      <c r="C804">
        <v>16.989999999999998</v>
      </c>
      <c r="D804">
        <v>16.989999999999998</v>
      </c>
      <c r="E804" s="1" t="s">
        <v>771</v>
      </c>
      <c r="F804" s="1" t="s">
        <v>40</v>
      </c>
      <c r="G804">
        <v>16</v>
      </c>
      <c r="H804" s="1" t="s">
        <v>58</v>
      </c>
      <c r="I804" s="1" t="s">
        <v>59</v>
      </c>
      <c r="J804">
        <v>5</v>
      </c>
      <c r="K804">
        <v>16.989999999999998</v>
      </c>
      <c r="L804" s="1" t="s">
        <v>60</v>
      </c>
      <c r="M804" s="1" t="s">
        <v>61</v>
      </c>
      <c r="N804" s="1" t="s">
        <v>62</v>
      </c>
      <c r="O804" s="1" t="s">
        <v>31</v>
      </c>
      <c r="P804" s="2">
        <v>45726</v>
      </c>
      <c r="Q804" s="1" t="s">
        <v>194</v>
      </c>
      <c r="R804" s="1" t="s">
        <v>1872</v>
      </c>
      <c r="S804" s="1" t="s">
        <v>34</v>
      </c>
      <c r="T804" s="1" t="s">
        <v>35</v>
      </c>
      <c r="U804" s="1" t="s">
        <v>66</v>
      </c>
      <c r="V804" s="1" t="s">
        <v>67</v>
      </c>
      <c r="W804">
        <v>3</v>
      </c>
      <c r="X804" s="1" t="str">
        <f t="shared" si="36"/>
        <v>mateo.torres90@mail.com</v>
      </c>
      <c r="Y804" s="1" t="str">
        <f>INDEX(V:V,MATCH(orders_desnormalizado_prueba3[[#This Row],[acquisition_channel]],U:U,0))</f>
        <v>AliDropship CN - envio 15-20 dias</v>
      </c>
      <c r="Z804" s="1" t="str">
        <f>INDEX(T:T,MATCH(orders_desnormalizado_prueba3[[#This Row],[shipping_cost]],W:W,0))</f>
        <v>Colombia</v>
      </c>
      <c r="AA804" s="1" t="str">
        <f t="shared" si="37"/>
        <v>Bogota</v>
      </c>
      <c r="AB804" s="1"/>
      <c r="AC804" s="1" t="str">
        <f t="shared" si="38"/>
        <v xml:space="preserve"> </v>
      </c>
    </row>
    <row r="805" spans="1:29" x14ac:dyDescent="0.3">
      <c r="A805" s="1" t="s">
        <v>1873</v>
      </c>
      <c r="B805">
        <v>2</v>
      </c>
      <c r="C805">
        <v>18.989999999999998</v>
      </c>
      <c r="D805">
        <v>32.979999999999997</v>
      </c>
      <c r="E805" s="1" t="s">
        <v>1874</v>
      </c>
      <c r="F805" s="1" t="s">
        <v>40</v>
      </c>
      <c r="G805">
        <v>10</v>
      </c>
      <c r="H805" s="1" t="s">
        <v>58</v>
      </c>
      <c r="I805" s="1" t="s">
        <v>97</v>
      </c>
      <c r="J805">
        <v>6</v>
      </c>
      <c r="K805">
        <v>18.989999999999998</v>
      </c>
      <c r="L805" s="1" t="s">
        <v>60</v>
      </c>
      <c r="M805" s="1" t="s">
        <v>43</v>
      </c>
      <c r="N805" s="1" t="s">
        <v>44</v>
      </c>
      <c r="O805" s="1" t="s">
        <v>31</v>
      </c>
      <c r="P805" s="2">
        <v>45823</v>
      </c>
      <c r="Q805" s="1" t="s">
        <v>1253</v>
      </c>
      <c r="R805" s="1" t="s">
        <v>1875</v>
      </c>
      <c r="S805" s="1" t="s">
        <v>105</v>
      </c>
      <c r="T805" s="1" t="s">
        <v>35</v>
      </c>
      <c r="U805" s="1" t="s">
        <v>66</v>
      </c>
      <c r="V805" s="1" t="s">
        <v>100</v>
      </c>
      <c r="W805">
        <v>3.2</v>
      </c>
      <c r="X805" s="1" t="str">
        <f t="shared" si="36"/>
        <v>sofia.ortiz121@mail.com</v>
      </c>
      <c r="Y805" s="1" t="str">
        <f>INDEX(V:V,MATCH(orders_desnormalizado_prueba3[[#This Row],[acquisition_channel]],U:U,0))</f>
        <v>AliDropship CN - envio 15-20 dias</v>
      </c>
      <c r="Z805" s="1" t="str">
        <f>INDEX(T:T,MATCH(orders_desnormalizado_prueba3[[#This Row],[shipping_cost]],W:W,0))</f>
        <v>Colombia</v>
      </c>
      <c r="AA805" s="1" t="str">
        <f t="shared" si="37"/>
        <v>Bogota</v>
      </c>
      <c r="AB805" s="1"/>
      <c r="AC805" s="1" t="str">
        <f t="shared" si="38"/>
        <v xml:space="preserve"> </v>
      </c>
    </row>
    <row r="806" spans="1:29" x14ac:dyDescent="0.3">
      <c r="A806" s="1" t="s">
        <v>1876</v>
      </c>
      <c r="B806">
        <v>1</v>
      </c>
      <c r="C806">
        <v>27.99</v>
      </c>
      <c r="D806">
        <v>27.99</v>
      </c>
      <c r="E806" s="1" t="s">
        <v>1877</v>
      </c>
      <c r="F806" s="1" t="s">
        <v>40</v>
      </c>
      <c r="G806">
        <v>2</v>
      </c>
      <c r="H806" s="1" t="s">
        <v>96</v>
      </c>
      <c r="I806" s="1" t="s">
        <v>75</v>
      </c>
      <c r="J806">
        <v>9</v>
      </c>
      <c r="K806">
        <v>27.99</v>
      </c>
      <c r="L806" s="1" t="s">
        <v>28</v>
      </c>
      <c r="M806" s="1" t="s">
        <v>61</v>
      </c>
      <c r="N806" s="1" t="s">
        <v>62</v>
      </c>
      <c r="O806" s="1" t="s">
        <v>31</v>
      </c>
      <c r="P806" s="2">
        <v>45726</v>
      </c>
      <c r="Q806" s="1" t="s">
        <v>1878</v>
      </c>
      <c r="R806" s="1" t="s">
        <v>1879</v>
      </c>
      <c r="S806" s="1" t="s">
        <v>54</v>
      </c>
      <c r="T806" s="1" t="s">
        <v>35</v>
      </c>
      <c r="U806" s="1" t="s">
        <v>66</v>
      </c>
      <c r="V806" s="1" t="s">
        <v>37</v>
      </c>
      <c r="W806">
        <v>2</v>
      </c>
      <c r="X806" s="1" t="str">
        <f t="shared" si="36"/>
        <v>ximena.vargas192@mail.com</v>
      </c>
      <c r="Y806" s="1" t="str">
        <f>INDEX(V:V,MATCH(orders_desnormalizado_prueba3[[#This Row],[acquisition_channel]],U:U,0))</f>
        <v>AliDropship CN - envio 15-20 dias</v>
      </c>
      <c r="Z806" s="1" t="str">
        <f>INDEX(T:T,MATCH(orders_desnormalizado_prueba3[[#This Row],[shipping_cost]],W:W,0))</f>
        <v>Colombia</v>
      </c>
      <c r="AA806" s="1" t="str">
        <f t="shared" si="37"/>
        <v>Medellin</v>
      </c>
      <c r="AB806" s="1"/>
      <c r="AC806" s="1" t="str">
        <f t="shared" si="38"/>
        <v xml:space="preserve"> </v>
      </c>
    </row>
    <row r="807" spans="1:29" x14ac:dyDescent="0.3">
      <c r="A807" s="1" t="s">
        <v>1880</v>
      </c>
      <c r="B807">
        <v>1</v>
      </c>
      <c r="C807">
        <v>21.99</v>
      </c>
      <c r="D807">
        <v>21.99</v>
      </c>
      <c r="E807" s="1" t="s">
        <v>1881</v>
      </c>
      <c r="F807" s="1" t="s">
        <v>51</v>
      </c>
      <c r="G807">
        <v>0</v>
      </c>
      <c r="H807" s="1" t="s">
        <v>96</v>
      </c>
      <c r="I807" s="1" t="s">
        <v>27</v>
      </c>
      <c r="J807">
        <v>7</v>
      </c>
      <c r="K807">
        <v>21.99</v>
      </c>
      <c r="L807" s="1" t="s">
        <v>28</v>
      </c>
      <c r="M807" s="1" t="s">
        <v>29</v>
      </c>
      <c r="N807" s="1" t="s">
        <v>30</v>
      </c>
      <c r="O807" s="1" t="s">
        <v>31</v>
      </c>
      <c r="P807" s="2">
        <v>45778</v>
      </c>
      <c r="Q807" s="1" t="s">
        <v>850</v>
      </c>
      <c r="R807" s="1" t="s">
        <v>851</v>
      </c>
      <c r="S807" s="1" t="s">
        <v>65</v>
      </c>
      <c r="T807" s="1" t="s">
        <v>35</v>
      </c>
      <c r="U807" s="1" t="s">
        <v>36</v>
      </c>
      <c r="V807" s="1" t="s">
        <v>37</v>
      </c>
      <c r="W807">
        <v>2</v>
      </c>
      <c r="X807" s="1" t="str">
        <f t="shared" si="36"/>
        <v>natalia.moreno134@mail.com</v>
      </c>
      <c r="Y807" s="1" t="str">
        <f>INDEX(V:V,MATCH(orders_desnormalizado_prueba3[[#This Row],[acquisition_channel]],U:U,0))</f>
        <v>Bodega Propia CO - envio 2-3 dias</v>
      </c>
      <c r="Z807" s="1" t="str">
        <f>INDEX(T:T,MATCH(orders_desnormalizado_prueba3[[#This Row],[shipping_cost]],W:W,0))</f>
        <v>Colombia</v>
      </c>
      <c r="AA807" s="1" t="str">
        <f t="shared" si="37"/>
        <v>Cartagena</v>
      </c>
      <c r="AB807" s="1"/>
      <c r="AC807" s="1" t="str">
        <f t="shared" si="38"/>
        <v xml:space="preserve"> </v>
      </c>
    </row>
    <row r="808" spans="1:29" x14ac:dyDescent="0.3">
      <c r="A808" s="1" t="s">
        <v>1882</v>
      </c>
      <c r="B808">
        <v>3</v>
      </c>
      <c r="C808">
        <v>30.99</v>
      </c>
      <c r="D808">
        <v>74.48</v>
      </c>
      <c r="E808" s="1" t="s">
        <v>1883</v>
      </c>
      <c r="F808" s="1" t="s">
        <v>40</v>
      </c>
      <c r="G808">
        <v>2</v>
      </c>
      <c r="H808" s="1" t="s">
        <v>41</v>
      </c>
      <c r="I808" s="1" t="s">
        <v>42</v>
      </c>
      <c r="J808">
        <v>10.5</v>
      </c>
      <c r="K808">
        <v>30.99</v>
      </c>
      <c r="L808" s="1" t="s">
        <v>28</v>
      </c>
      <c r="M808" s="1" t="s">
        <v>43</v>
      </c>
      <c r="N808" s="1" t="s">
        <v>44</v>
      </c>
      <c r="O808" s="1" t="s">
        <v>31</v>
      </c>
      <c r="P808" s="2">
        <v>45823</v>
      </c>
      <c r="Q808" s="1" t="s">
        <v>1234</v>
      </c>
      <c r="R808" s="1" t="s">
        <v>1671</v>
      </c>
      <c r="S808" s="1" t="s">
        <v>47</v>
      </c>
      <c r="T808" s="1" t="s">
        <v>35</v>
      </c>
      <c r="U808" s="1" t="s">
        <v>82</v>
      </c>
      <c r="V808" s="1" t="s">
        <v>37</v>
      </c>
      <c r="W808">
        <v>2</v>
      </c>
      <c r="X808" s="1" t="str">
        <f t="shared" si="36"/>
        <v>antonia.ortiz67@mail.com</v>
      </c>
      <c r="Y808" s="1" t="str">
        <f>INDEX(V:V,MATCH(orders_desnormalizado_prueba3[[#This Row],[acquisition_channel]],U:U,0))</f>
        <v>Bodega Propia CO - envio 2-3 dias</v>
      </c>
      <c r="Z808" s="1" t="str">
        <f>INDEX(T:T,MATCH(orders_desnormalizado_prueba3[[#This Row],[shipping_cost]],W:W,0))</f>
        <v>Colombia</v>
      </c>
      <c r="AA808" s="1" t="str">
        <f t="shared" si="37"/>
        <v>Medellin</v>
      </c>
      <c r="AB808" s="1"/>
      <c r="AC808" s="1" t="str">
        <f t="shared" si="38"/>
        <v xml:space="preserve"> </v>
      </c>
    </row>
    <row r="809" spans="1:29" x14ac:dyDescent="0.3">
      <c r="A809" s="1" t="s">
        <v>1884</v>
      </c>
      <c r="B809">
        <v>1</v>
      </c>
      <c r="C809">
        <v>34.99</v>
      </c>
      <c r="D809">
        <v>34.99</v>
      </c>
      <c r="E809" s="1" t="s">
        <v>1002</v>
      </c>
      <c r="F809" s="1" t="s">
        <v>40</v>
      </c>
      <c r="G809">
        <v>6</v>
      </c>
      <c r="H809" s="1" t="s">
        <v>41</v>
      </c>
      <c r="I809" s="1" t="s">
        <v>85</v>
      </c>
      <c r="J809">
        <v>12.5</v>
      </c>
      <c r="K809">
        <v>34.99</v>
      </c>
      <c r="L809" s="1" t="s">
        <v>60</v>
      </c>
      <c r="M809" s="1" t="s">
        <v>29</v>
      </c>
      <c r="N809" s="1" t="s">
        <v>30</v>
      </c>
      <c r="O809" s="1" t="s">
        <v>31</v>
      </c>
      <c r="P809" s="2">
        <v>45778</v>
      </c>
      <c r="Q809" s="1" t="s">
        <v>790</v>
      </c>
      <c r="R809" s="1" t="s">
        <v>791</v>
      </c>
      <c r="S809" s="1" t="s">
        <v>47</v>
      </c>
      <c r="T809" s="1" t="s">
        <v>35</v>
      </c>
      <c r="U809" s="1" t="s">
        <v>55</v>
      </c>
      <c r="V809" s="1" t="s">
        <v>89</v>
      </c>
      <c r="W809">
        <v>2.4</v>
      </c>
      <c r="X809" s="1" t="str">
        <f t="shared" si="36"/>
        <v>maria.lopez133@mail.com</v>
      </c>
      <c r="Y809" s="1" t="str">
        <f>INDEX(V:V,MATCH(orders_desnormalizado_prueba3[[#This Row],[acquisition_channel]],U:U,0))</f>
        <v>Bodega Propia CO - envio 2-3 dias</v>
      </c>
      <c r="Z809" s="1" t="str">
        <f>INDEX(T:T,MATCH(orders_desnormalizado_prueba3[[#This Row],[shipping_cost]],W:W,0))</f>
        <v>Colombia</v>
      </c>
      <c r="AA809" s="1" t="str">
        <f t="shared" si="37"/>
        <v>Medellin</v>
      </c>
      <c r="AB809" s="1"/>
      <c r="AC809" s="1" t="str">
        <f t="shared" si="38"/>
        <v xml:space="preserve"> </v>
      </c>
    </row>
    <row r="810" spans="1:29" x14ac:dyDescent="0.3">
      <c r="A810" s="1" t="s">
        <v>1885</v>
      </c>
      <c r="B810">
        <v>1</v>
      </c>
      <c r="C810">
        <v>30.99</v>
      </c>
      <c r="D810">
        <v>30.99</v>
      </c>
      <c r="E810" s="1" t="s">
        <v>1886</v>
      </c>
      <c r="F810" s="1" t="s">
        <v>51</v>
      </c>
      <c r="G810">
        <v>0</v>
      </c>
      <c r="H810" s="1" t="s">
        <v>96</v>
      </c>
      <c r="I810" s="1" t="s">
        <v>42</v>
      </c>
      <c r="J810">
        <v>10.5</v>
      </c>
      <c r="K810">
        <v>30.99</v>
      </c>
      <c r="L810" s="1" t="s">
        <v>28</v>
      </c>
      <c r="M810" s="1" t="s">
        <v>43</v>
      </c>
      <c r="N810" s="1" t="s">
        <v>44</v>
      </c>
      <c r="O810" s="1" t="s">
        <v>31</v>
      </c>
      <c r="P810" s="2">
        <v>45823</v>
      </c>
      <c r="Q810" s="1" t="s">
        <v>1887</v>
      </c>
      <c r="R810" s="1" t="s">
        <v>1888</v>
      </c>
      <c r="S810" s="1" t="s">
        <v>88</v>
      </c>
      <c r="T810" s="1" t="s">
        <v>35</v>
      </c>
      <c r="U810" s="1" t="s">
        <v>82</v>
      </c>
      <c r="V810" s="1" t="s">
        <v>37</v>
      </c>
      <c r="W810">
        <v>2</v>
      </c>
      <c r="X810" s="1" t="str">
        <f t="shared" si="36"/>
        <v>daniela.perez170@mail.com</v>
      </c>
      <c r="Y810" s="1" t="str">
        <f>INDEX(V:V,MATCH(orders_desnormalizado_prueba3[[#This Row],[acquisition_channel]],U:U,0))</f>
        <v>Bodega Propia CO - envio 2-3 dias</v>
      </c>
      <c r="Z810" s="1" t="str">
        <f>INDEX(T:T,MATCH(orders_desnormalizado_prueba3[[#This Row],[shipping_cost]],W:W,0))</f>
        <v>Colombia</v>
      </c>
      <c r="AA810" s="1" t="str">
        <f t="shared" si="37"/>
        <v>Cartagena</v>
      </c>
      <c r="AB810" s="1"/>
      <c r="AC810" s="1" t="str">
        <f t="shared" si="38"/>
        <v xml:space="preserve"> </v>
      </c>
    </row>
    <row r="811" spans="1:29" x14ac:dyDescent="0.3">
      <c r="A811" s="1" t="s">
        <v>1889</v>
      </c>
      <c r="B811">
        <v>1</v>
      </c>
      <c r="C811">
        <v>34.99</v>
      </c>
      <c r="D811">
        <v>34.99</v>
      </c>
      <c r="E811" s="1" t="s">
        <v>824</v>
      </c>
      <c r="F811" s="1" t="s">
        <v>40</v>
      </c>
      <c r="G811">
        <v>8</v>
      </c>
      <c r="H811" s="1" t="s">
        <v>26</v>
      </c>
      <c r="I811" s="1" t="s">
        <v>85</v>
      </c>
      <c r="J811">
        <v>12.5</v>
      </c>
      <c r="K811">
        <v>34.99</v>
      </c>
      <c r="L811" s="1" t="s">
        <v>60</v>
      </c>
      <c r="M811" s="1" t="s">
        <v>29</v>
      </c>
      <c r="N811" s="1" t="s">
        <v>30</v>
      </c>
      <c r="O811" s="1" t="s">
        <v>31</v>
      </c>
      <c r="P811" s="2">
        <v>45778</v>
      </c>
      <c r="Q811" s="1" t="s">
        <v>1385</v>
      </c>
      <c r="R811" s="1" t="s">
        <v>1630</v>
      </c>
      <c r="S811" s="1" t="s">
        <v>65</v>
      </c>
      <c r="T811" s="1" t="s">
        <v>35</v>
      </c>
      <c r="U811" s="1" t="s">
        <v>55</v>
      </c>
      <c r="V811" s="1" t="s">
        <v>89</v>
      </c>
      <c r="W811">
        <v>2.4</v>
      </c>
      <c r="X811" s="1" t="str">
        <f t="shared" si="36"/>
        <v>catalina.torres188@mail.com</v>
      </c>
      <c r="Y811" s="1" t="str">
        <f>INDEX(V:V,MATCH(orders_desnormalizado_prueba3[[#This Row],[acquisition_channel]],U:U,0))</f>
        <v>Bodega Propia CO - envio 2-3 dias</v>
      </c>
      <c r="Z811" s="1" t="str">
        <f>INDEX(T:T,MATCH(orders_desnormalizado_prueba3[[#This Row],[shipping_cost]],W:W,0))</f>
        <v>Colombia</v>
      </c>
      <c r="AA811" s="1" t="str">
        <f t="shared" si="37"/>
        <v>Barranquilla</v>
      </c>
      <c r="AB811" s="1"/>
      <c r="AC811" s="1" t="str">
        <f t="shared" si="38"/>
        <v xml:space="preserve"> </v>
      </c>
    </row>
    <row r="812" spans="1:29" x14ac:dyDescent="0.3">
      <c r="A812" s="1" t="s">
        <v>1890</v>
      </c>
      <c r="B812">
        <v>1</v>
      </c>
      <c r="C812">
        <v>30.99</v>
      </c>
      <c r="D812">
        <v>30.99</v>
      </c>
      <c r="E812" s="1" t="s">
        <v>923</v>
      </c>
      <c r="F812" s="1" t="s">
        <v>40</v>
      </c>
      <c r="G812">
        <v>2</v>
      </c>
      <c r="H812" s="1" t="s">
        <v>41</v>
      </c>
      <c r="I812" s="1" t="s">
        <v>42</v>
      </c>
      <c r="J812">
        <v>10.5</v>
      </c>
      <c r="K812">
        <v>30.99</v>
      </c>
      <c r="L812" s="1" t="s">
        <v>28</v>
      </c>
      <c r="M812" s="1" t="s">
        <v>43</v>
      </c>
      <c r="N812" s="1" t="s">
        <v>44</v>
      </c>
      <c r="O812" s="1" t="s">
        <v>31</v>
      </c>
      <c r="P812" s="2">
        <v>45823</v>
      </c>
      <c r="Q812" s="1" t="s">
        <v>1112</v>
      </c>
      <c r="R812" s="1" t="s">
        <v>1891</v>
      </c>
      <c r="S812" s="1" t="s">
        <v>47</v>
      </c>
      <c r="T812" s="1" t="s">
        <v>35</v>
      </c>
      <c r="U812" s="1" t="s">
        <v>82</v>
      </c>
      <c r="V812" s="1" t="s">
        <v>37</v>
      </c>
      <c r="W812">
        <v>2</v>
      </c>
      <c r="X812" s="1" t="str">
        <f t="shared" si="36"/>
        <v>felipe.moreno124@mail.com</v>
      </c>
      <c r="Y812" s="1" t="str">
        <f>INDEX(V:V,MATCH(orders_desnormalizado_prueba3[[#This Row],[acquisition_channel]],U:U,0))</f>
        <v>Bodega Propia CO - envio 2-3 dias</v>
      </c>
      <c r="Z812" s="1" t="str">
        <f>INDEX(T:T,MATCH(orders_desnormalizado_prueba3[[#This Row],[shipping_cost]],W:W,0))</f>
        <v>Colombia</v>
      </c>
      <c r="AA812" s="1" t="str">
        <f t="shared" si="37"/>
        <v>Medellin</v>
      </c>
      <c r="AB812" s="1"/>
      <c r="AC812" s="1" t="str">
        <f t="shared" si="38"/>
        <v xml:space="preserve"> </v>
      </c>
    </row>
    <row r="813" spans="1:29" x14ac:dyDescent="0.3">
      <c r="A813" s="1" t="s">
        <v>1892</v>
      </c>
      <c r="B813">
        <v>2</v>
      </c>
      <c r="C813">
        <v>18.989999999999998</v>
      </c>
      <c r="D813">
        <v>33</v>
      </c>
      <c r="E813" s="1" t="s">
        <v>1893</v>
      </c>
      <c r="F813" s="1" t="s">
        <v>40</v>
      </c>
      <c r="G813">
        <v>10</v>
      </c>
      <c r="H813" s="1" t="s">
        <v>41</v>
      </c>
      <c r="I813" s="1" t="s">
        <v>97</v>
      </c>
      <c r="J813">
        <v>6</v>
      </c>
      <c r="K813">
        <v>18.989999999999998</v>
      </c>
      <c r="L813" s="1" t="s">
        <v>60</v>
      </c>
      <c r="M813" s="1" t="s">
        <v>43</v>
      </c>
      <c r="N813" s="1" t="s">
        <v>44</v>
      </c>
      <c r="O813" s="1" t="s">
        <v>31</v>
      </c>
      <c r="P813" s="2">
        <v>45823</v>
      </c>
      <c r="Q813" s="1" t="s">
        <v>804</v>
      </c>
      <c r="R813" s="1" t="s">
        <v>1038</v>
      </c>
      <c r="S813" s="1" t="s">
        <v>88</v>
      </c>
      <c r="T813" s="1" t="s">
        <v>35</v>
      </c>
      <c r="U813" s="1" t="s">
        <v>55</v>
      </c>
      <c r="V813" s="1" t="s">
        <v>100</v>
      </c>
      <c r="W813">
        <v>3.2</v>
      </c>
      <c r="X813" s="1" t="str">
        <f t="shared" si="36"/>
        <v>ricardo.perez175@mail.com</v>
      </c>
      <c r="Y813" s="1" t="str">
        <f>INDEX(V:V,MATCH(orders_desnormalizado_prueba3[[#This Row],[acquisition_channel]],U:U,0))</f>
        <v>Bodega Propia CO - envio 2-3 dias</v>
      </c>
      <c r="Z813" s="1" t="str">
        <f>INDEX(T:T,MATCH(orders_desnormalizado_prueba3[[#This Row],[shipping_cost]],W:W,0))</f>
        <v>Colombia</v>
      </c>
      <c r="AA813" s="1" t="str">
        <f t="shared" si="37"/>
        <v>Bogota</v>
      </c>
      <c r="AB813" s="1"/>
      <c r="AC813" s="1" t="str">
        <f t="shared" si="38"/>
        <v xml:space="preserve"> </v>
      </c>
    </row>
    <row r="814" spans="1:29" x14ac:dyDescent="0.3">
      <c r="A814" s="1" t="s">
        <v>1894</v>
      </c>
      <c r="B814">
        <v>2</v>
      </c>
      <c r="C814">
        <v>18.989999999999998</v>
      </c>
      <c r="D814">
        <v>33.229999999999997</v>
      </c>
      <c r="E814" s="1" t="s">
        <v>1895</v>
      </c>
      <c r="F814" s="1" t="s">
        <v>188</v>
      </c>
      <c r="G814">
        <v>0</v>
      </c>
      <c r="H814" s="1" t="s">
        <v>58</v>
      </c>
      <c r="I814" s="1" t="s">
        <v>97</v>
      </c>
      <c r="J814">
        <v>6</v>
      </c>
      <c r="K814">
        <v>18.989999999999998</v>
      </c>
      <c r="L814" s="1" t="s">
        <v>60</v>
      </c>
      <c r="M814" s="1" t="s">
        <v>43</v>
      </c>
      <c r="N814" s="1" t="s">
        <v>44</v>
      </c>
      <c r="O814" s="1" t="s">
        <v>31</v>
      </c>
      <c r="P814" s="2">
        <v>45823</v>
      </c>
      <c r="Q814" s="1" t="s">
        <v>1253</v>
      </c>
      <c r="R814" s="1" t="s">
        <v>1875</v>
      </c>
      <c r="S814" s="1" t="s">
        <v>105</v>
      </c>
      <c r="T814" s="1" t="s">
        <v>35</v>
      </c>
      <c r="U814" s="1" t="s">
        <v>66</v>
      </c>
      <c r="V814" s="1" t="s">
        <v>100</v>
      </c>
      <c r="W814">
        <v>3.2</v>
      </c>
      <c r="X814" s="1" t="str">
        <f t="shared" si="36"/>
        <v>sofia.ortiz121@mail.com</v>
      </c>
      <c r="Y814" s="1" t="str">
        <f>INDEX(V:V,MATCH(orders_desnormalizado_prueba3[[#This Row],[acquisition_channel]],U:U,0))</f>
        <v>AliDropship CN - envio 15-20 dias</v>
      </c>
      <c r="Z814" s="1" t="str">
        <f>INDEX(T:T,MATCH(orders_desnormalizado_prueba3[[#This Row],[shipping_cost]],W:W,0))</f>
        <v>Colombia</v>
      </c>
      <c r="AA814" s="1" t="str">
        <f t="shared" si="37"/>
        <v>Cartagena</v>
      </c>
      <c r="AB814" s="1"/>
      <c r="AC814" s="1" t="str">
        <f t="shared" si="38"/>
        <v xml:space="preserve"> </v>
      </c>
    </row>
    <row r="815" spans="1:29" x14ac:dyDescent="0.3">
      <c r="A815" s="1" t="s">
        <v>1896</v>
      </c>
      <c r="B815">
        <v>1</v>
      </c>
      <c r="C815">
        <v>18.989999999999998</v>
      </c>
      <c r="D815">
        <v>18.989999999999998</v>
      </c>
      <c r="E815" s="1" t="s">
        <v>1727</v>
      </c>
      <c r="F815" s="1" t="s">
        <v>51</v>
      </c>
      <c r="G815">
        <v>0</v>
      </c>
      <c r="H815" s="1" t="s">
        <v>26</v>
      </c>
      <c r="I815" s="1" t="s">
        <v>97</v>
      </c>
      <c r="J815">
        <v>6</v>
      </c>
      <c r="K815">
        <v>18.989999999999998</v>
      </c>
      <c r="L815" s="1" t="s">
        <v>60</v>
      </c>
      <c r="M815" s="1" t="s">
        <v>43</v>
      </c>
      <c r="N815" s="1" t="s">
        <v>44</v>
      </c>
      <c r="O815" s="1" t="s">
        <v>31</v>
      </c>
      <c r="P815" s="2">
        <v>45823</v>
      </c>
      <c r="Q815" s="1" t="s">
        <v>1654</v>
      </c>
      <c r="R815" s="1" t="s">
        <v>1655</v>
      </c>
      <c r="S815" s="1" t="s">
        <v>88</v>
      </c>
      <c r="T815" s="1" t="s">
        <v>35</v>
      </c>
      <c r="U815" s="1" t="s">
        <v>82</v>
      </c>
      <c r="V815" s="1" t="s">
        <v>100</v>
      </c>
      <c r="W815">
        <v>3.2</v>
      </c>
      <c r="X815" s="1" t="str">
        <f t="shared" si="36"/>
        <v>miguel.torres117@mail.com</v>
      </c>
      <c r="Y815" s="1" t="str">
        <f>INDEX(V:V,MATCH(orders_desnormalizado_prueba3[[#This Row],[acquisition_channel]],U:U,0))</f>
        <v>Bodega Propia CO - envio 2-3 dias</v>
      </c>
      <c r="Z815" s="1" t="str">
        <f>INDEX(T:T,MATCH(orders_desnormalizado_prueba3[[#This Row],[shipping_cost]],W:W,0))</f>
        <v>Colombia</v>
      </c>
      <c r="AA815" s="1" t="str">
        <f t="shared" si="37"/>
        <v>Cartagena</v>
      </c>
      <c r="AB815" s="1"/>
      <c r="AC815" s="1" t="str">
        <f t="shared" si="38"/>
        <v xml:space="preserve"> </v>
      </c>
    </row>
    <row r="816" spans="1:29" x14ac:dyDescent="0.3">
      <c r="A816" s="1" t="s">
        <v>1897</v>
      </c>
      <c r="B816">
        <v>2</v>
      </c>
      <c r="C816">
        <v>27.99</v>
      </c>
      <c r="D816">
        <v>48.81</v>
      </c>
      <c r="E816" s="1" t="s">
        <v>577</v>
      </c>
      <c r="F816" s="1" t="s">
        <v>40</v>
      </c>
      <c r="G816">
        <v>2</v>
      </c>
      <c r="H816" s="1" t="s">
        <v>26</v>
      </c>
      <c r="I816" s="1" t="s">
        <v>75</v>
      </c>
      <c r="J816">
        <v>9</v>
      </c>
      <c r="K816">
        <v>27.99</v>
      </c>
      <c r="L816" s="1" t="s">
        <v>28</v>
      </c>
      <c r="M816" s="1" t="s">
        <v>61</v>
      </c>
      <c r="N816" s="1" t="s">
        <v>62</v>
      </c>
      <c r="O816" s="1" t="s">
        <v>31</v>
      </c>
      <c r="P816" s="2">
        <v>45726</v>
      </c>
      <c r="Q816" s="1" t="s">
        <v>1878</v>
      </c>
      <c r="R816" s="1" t="s">
        <v>1879</v>
      </c>
      <c r="S816" s="1" t="s">
        <v>54</v>
      </c>
      <c r="T816" s="1" t="s">
        <v>35</v>
      </c>
      <c r="U816" s="1" t="s">
        <v>66</v>
      </c>
      <c r="V816" s="1" t="s">
        <v>37</v>
      </c>
      <c r="W816">
        <v>2</v>
      </c>
      <c r="X816" s="1" t="str">
        <f t="shared" si="36"/>
        <v>ximena.vargas192@mail.com</v>
      </c>
      <c r="Y816" s="1" t="str">
        <f>INDEX(V:V,MATCH(orders_desnormalizado_prueba3[[#This Row],[acquisition_channel]],U:U,0))</f>
        <v>AliDropship CN - envio 15-20 dias</v>
      </c>
      <c r="Z816" s="1" t="str">
        <f>INDEX(T:T,MATCH(orders_desnormalizado_prueba3[[#This Row],[shipping_cost]],W:W,0))</f>
        <v>Colombia</v>
      </c>
      <c r="AA816" s="1" t="str">
        <f t="shared" si="37"/>
        <v>Medellin</v>
      </c>
      <c r="AB816" s="1"/>
      <c r="AC816" s="1" t="str">
        <f t="shared" si="38"/>
        <v xml:space="preserve"> </v>
      </c>
    </row>
    <row r="817" spans="1:29" x14ac:dyDescent="0.3">
      <c r="A817" s="1" t="s">
        <v>1898</v>
      </c>
      <c r="B817">
        <v>1</v>
      </c>
      <c r="C817">
        <v>30.99</v>
      </c>
      <c r="D817">
        <v>30.99</v>
      </c>
      <c r="E817" s="1" t="s">
        <v>1379</v>
      </c>
      <c r="F817" s="1" t="s">
        <v>40</v>
      </c>
      <c r="G817">
        <v>3</v>
      </c>
      <c r="H817" s="1" t="s">
        <v>26</v>
      </c>
      <c r="I817" s="1" t="s">
        <v>42</v>
      </c>
      <c r="J817">
        <v>10.5</v>
      </c>
      <c r="K817">
        <v>30.99</v>
      </c>
      <c r="L817" s="1" t="s">
        <v>28</v>
      </c>
      <c r="M817" s="1" t="s">
        <v>43</v>
      </c>
      <c r="N817" s="1" t="s">
        <v>44</v>
      </c>
      <c r="O817" s="1" t="s">
        <v>31</v>
      </c>
      <c r="P817" s="2">
        <v>45823</v>
      </c>
      <c r="Q817" s="1" t="s">
        <v>1899</v>
      </c>
      <c r="R817" s="1" t="s">
        <v>1900</v>
      </c>
      <c r="S817" s="1" t="s">
        <v>65</v>
      </c>
      <c r="T817" s="1" t="s">
        <v>35</v>
      </c>
      <c r="U817" s="1" t="s">
        <v>48</v>
      </c>
      <c r="V817" s="1" t="s">
        <v>37</v>
      </c>
      <c r="W817">
        <v>2</v>
      </c>
      <c r="X817" s="1" t="str">
        <f t="shared" si="36"/>
        <v>felipe.sanchez44@mail.com</v>
      </c>
      <c r="Y817" s="1" t="str">
        <f>INDEX(V:V,MATCH(orders_desnormalizado_prueba3[[#This Row],[acquisition_channel]],U:U,0))</f>
        <v>Bodega Propia CO - envio 2-3 dias</v>
      </c>
      <c r="Z817" s="1" t="str">
        <f>INDEX(T:T,MATCH(orders_desnormalizado_prueba3[[#This Row],[shipping_cost]],W:W,0))</f>
        <v>Colombia</v>
      </c>
      <c r="AA817" s="1" t="str">
        <f t="shared" si="37"/>
        <v>Barranquilla</v>
      </c>
      <c r="AB817" s="1"/>
      <c r="AC817" s="1" t="str">
        <f t="shared" si="38"/>
        <v xml:space="preserve"> </v>
      </c>
    </row>
    <row r="818" spans="1:29" x14ac:dyDescent="0.3">
      <c r="A818" s="1" t="s">
        <v>1901</v>
      </c>
      <c r="B818">
        <v>3</v>
      </c>
      <c r="C818">
        <v>18.989999999999998</v>
      </c>
      <c r="D818">
        <v>44.89</v>
      </c>
      <c r="E818" s="1" t="s">
        <v>1031</v>
      </c>
      <c r="F818" s="1" t="s">
        <v>40</v>
      </c>
      <c r="G818">
        <v>20</v>
      </c>
      <c r="H818" s="1" t="s">
        <v>58</v>
      </c>
      <c r="I818" s="1" t="s">
        <v>97</v>
      </c>
      <c r="J818">
        <v>6</v>
      </c>
      <c r="K818">
        <v>18.989999999999998</v>
      </c>
      <c r="L818" s="1" t="s">
        <v>60</v>
      </c>
      <c r="M818" s="1" t="s">
        <v>43</v>
      </c>
      <c r="N818" s="1" t="s">
        <v>44</v>
      </c>
      <c r="O818" s="1" t="s">
        <v>31</v>
      </c>
      <c r="P818" s="2">
        <v>45823</v>
      </c>
      <c r="Q818" s="1" t="s">
        <v>947</v>
      </c>
      <c r="R818" s="1" t="s">
        <v>948</v>
      </c>
      <c r="S818" s="1" t="s">
        <v>65</v>
      </c>
      <c r="T818" s="1" t="s">
        <v>35</v>
      </c>
      <c r="U818" s="1" t="s">
        <v>82</v>
      </c>
      <c r="V818" s="1" t="s">
        <v>100</v>
      </c>
      <c r="W818">
        <v>3.2</v>
      </c>
      <c r="X818" s="1" t="str">
        <f t="shared" si="36"/>
        <v>valentina.hernandez179@mail.com</v>
      </c>
      <c r="Y818" s="1" t="str">
        <f>INDEX(V:V,MATCH(orders_desnormalizado_prueba3[[#This Row],[acquisition_channel]],U:U,0))</f>
        <v>Bodega Propia CO - envio 2-3 dias</v>
      </c>
      <c r="Z818" s="1" t="str">
        <f>INDEX(T:T,MATCH(orders_desnormalizado_prueba3[[#This Row],[shipping_cost]],W:W,0))</f>
        <v>Colombia</v>
      </c>
      <c r="AA818" s="1" t="str">
        <f t="shared" si="37"/>
        <v>Bucaramanga</v>
      </c>
      <c r="AB818" s="1"/>
      <c r="AC818" s="1" t="str">
        <f t="shared" si="38"/>
        <v xml:space="preserve"> </v>
      </c>
    </row>
    <row r="819" spans="1:29" x14ac:dyDescent="0.3">
      <c r="A819" s="1" t="s">
        <v>1902</v>
      </c>
      <c r="B819">
        <v>2</v>
      </c>
      <c r="C819">
        <v>18.989999999999998</v>
      </c>
      <c r="D819">
        <v>32.92</v>
      </c>
      <c r="E819" s="1" t="s">
        <v>117</v>
      </c>
      <c r="F819" s="1" t="s">
        <v>51</v>
      </c>
      <c r="G819">
        <v>0</v>
      </c>
      <c r="H819" s="1" t="s">
        <v>96</v>
      </c>
      <c r="I819" s="1" t="s">
        <v>97</v>
      </c>
      <c r="J819">
        <v>6</v>
      </c>
      <c r="K819">
        <v>18.989999999999998</v>
      </c>
      <c r="L819" s="1" t="s">
        <v>60</v>
      </c>
      <c r="M819" s="1" t="s">
        <v>43</v>
      </c>
      <c r="N819" s="1" t="s">
        <v>44</v>
      </c>
      <c r="O819" s="1" t="s">
        <v>31</v>
      </c>
      <c r="P819" s="2">
        <v>45823</v>
      </c>
      <c r="Q819" s="1" t="s">
        <v>496</v>
      </c>
      <c r="R819" s="1" t="s">
        <v>1650</v>
      </c>
      <c r="S819" s="1" t="s">
        <v>47</v>
      </c>
      <c r="T819" s="1" t="s">
        <v>35</v>
      </c>
      <c r="U819" s="1" t="s">
        <v>48</v>
      </c>
      <c r="V819" s="1" t="s">
        <v>100</v>
      </c>
      <c r="W819">
        <v>3.2</v>
      </c>
      <c r="X819" s="1" t="str">
        <f t="shared" si="36"/>
        <v>diego.vargas37@mail.com</v>
      </c>
      <c r="Y819" s="1" t="str">
        <f>INDEX(V:V,MATCH(orders_desnormalizado_prueba3[[#This Row],[acquisition_channel]],U:U,0))</f>
        <v>Bodega Propia CO - envio 2-3 dias</v>
      </c>
      <c r="Z819" s="1" t="str">
        <f>INDEX(T:T,MATCH(orders_desnormalizado_prueba3[[#This Row],[shipping_cost]],W:W,0))</f>
        <v>Colombia</v>
      </c>
      <c r="AA819" s="1" t="str">
        <f t="shared" si="37"/>
        <v>Cartagena</v>
      </c>
      <c r="AB819" s="1"/>
      <c r="AC819" s="1" t="str">
        <f t="shared" si="38"/>
        <v xml:space="preserve"> </v>
      </c>
    </row>
    <row r="820" spans="1:29" x14ac:dyDescent="0.3">
      <c r="A820" s="1" t="s">
        <v>1903</v>
      </c>
      <c r="B820">
        <v>1</v>
      </c>
      <c r="C820">
        <v>21.99</v>
      </c>
      <c r="D820">
        <v>21.99</v>
      </c>
      <c r="E820" s="1" t="s">
        <v>1727</v>
      </c>
      <c r="F820" s="1" t="s">
        <v>51</v>
      </c>
      <c r="G820">
        <v>0</v>
      </c>
      <c r="H820" s="1" t="s">
        <v>96</v>
      </c>
      <c r="I820" s="1" t="s">
        <v>27</v>
      </c>
      <c r="J820">
        <v>7</v>
      </c>
      <c r="K820">
        <v>21.99</v>
      </c>
      <c r="L820" s="1" t="s">
        <v>28</v>
      </c>
      <c r="M820" s="1" t="s">
        <v>29</v>
      </c>
      <c r="N820" s="1" t="s">
        <v>30</v>
      </c>
      <c r="O820" s="1" t="s">
        <v>31</v>
      </c>
      <c r="P820" s="2">
        <v>45778</v>
      </c>
      <c r="Q820" s="1" t="s">
        <v>1728</v>
      </c>
      <c r="R820" s="1" t="s">
        <v>1729</v>
      </c>
      <c r="S820" s="1" t="s">
        <v>65</v>
      </c>
      <c r="T820" s="1" t="s">
        <v>35</v>
      </c>
      <c r="U820" s="1" t="s">
        <v>55</v>
      </c>
      <c r="V820" s="1" t="s">
        <v>37</v>
      </c>
      <c r="W820">
        <v>2</v>
      </c>
      <c r="X820" s="1" t="str">
        <f t="shared" si="36"/>
        <v>santiago.rodriguez157@mail.com</v>
      </c>
      <c r="Y820" s="1" t="str">
        <f>INDEX(V:V,MATCH(orders_desnormalizado_prueba3[[#This Row],[acquisition_channel]],U:U,0))</f>
        <v>Bodega Propia CO - envio 2-3 dias</v>
      </c>
      <c r="Z820" s="1" t="str">
        <f>INDEX(T:T,MATCH(orders_desnormalizado_prueba3[[#This Row],[shipping_cost]],W:W,0))</f>
        <v>Colombia</v>
      </c>
      <c r="AA820" s="1" t="str">
        <f t="shared" si="37"/>
        <v>Cartagena</v>
      </c>
      <c r="AB820" s="1"/>
      <c r="AC820" s="1" t="str">
        <f t="shared" si="38"/>
        <v xml:space="preserve"> </v>
      </c>
    </row>
    <row r="821" spans="1:29" x14ac:dyDescent="0.3">
      <c r="A821" s="1" t="s">
        <v>1904</v>
      </c>
      <c r="B821">
        <v>1</v>
      </c>
      <c r="C821">
        <v>18.989999999999998</v>
      </c>
      <c r="D821">
        <v>18.989999999999998</v>
      </c>
      <c r="E821" s="1" t="s">
        <v>1108</v>
      </c>
      <c r="F821" s="1" t="s">
        <v>25</v>
      </c>
      <c r="G821">
        <v>15</v>
      </c>
      <c r="H821" s="1" t="s">
        <v>26</v>
      </c>
      <c r="I821" s="1" t="s">
        <v>97</v>
      </c>
      <c r="J821">
        <v>6</v>
      </c>
      <c r="K821">
        <v>18.989999999999998</v>
      </c>
      <c r="L821" s="1" t="s">
        <v>60</v>
      </c>
      <c r="M821" s="1" t="s">
        <v>43</v>
      </c>
      <c r="N821" s="1" t="s">
        <v>44</v>
      </c>
      <c r="O821" s="1" t="s">
        <v>31</v>
      </c>
      <c r="P821" s="2">
        <v>45823</v>
      </c>
      <c r="Q821" s="1" t="s">
        <v>1712</v>
      </c>
      <c r="R821" s="1" t="s">
        <v>1713</v>
      </c>
      <c r="S821" s="1" t="s">
        <v>34</v>
      </c>
      <c r="T821" s="1" t="s">
        <v>35</v>
      </c>
      <c r="U821" s="1" t="s">
        <v>48</v>
      </c>
      <c r="V821" s="1" t="s">
        <v>100</v>
      </c>
      <c r="W821">
        <v>3.2</v>
      </c>
      <c r="X821" s="1" t="str">
        <f t="shared" si="36"/>
        <v>gabriela.hernandez179@mail.com</v>
      </c>
      <c r="Y821" s="1" t="str">
        <f>INDEX(V:V,MATCH(orders_desnormalizado_prueba3[[#This Row],[acquisition_channel]],U:U,0))</f>
        <v>Bodega Propia CO - envio 2-3 dias</v>
      </c>
      <c r="Z821" s="1" t="str">
        <f>INDEX(T:T,MATCH(orders_desnormalizado_prueba3[[#This Row],[shipping_cost]],W:W,0))</f>
        <v>Colombia</v>
      </c>
      <c r="AA821" s="1" t="str">
        <f t="shared" si="37"/>
        <v>Barranquilla</v>
      </c>
      <c r="AB821" s="1"/>
      <c r="AC821" s="1" t="str">
        <f t="shared" si="38"/>
        <v xml:space="preserve"> </v>
      </c>
    </row>
    <row r="822" spans="1:29" x14ac:dyDescent="0.3">
      <c r="A822" s="1" t="s">
        <v>1905</v>
      </c>
      <c r="B822">
        <v>1</v>
      </c>
      <c r="C822">
        <v>16.989999999999998</v>
      </c>
      <c r="D822">
        <v>16.989999999999998</v>
      </c>
      <c r="E822" s="1" t="s">
        <v>1093</v>
      </c>
      <c r="F822" s="1" t="s">
        <v>25</v>
      </c>
      <c r="G822">
        <v>15</v>
      </c>
      <c r="H822" s="1" t="s">
        <v>41</v>
      </c>
      <c r="I822" s="1" t="s">
        <v>59</v>
      </c>
      <c r="J822">
        <v>5</v>
      </c>
      <c r="K822">
        <v>16.989999999999998</v>
      </c>
      <c r="L822" s="1" t="s">
        <v>60</v>
      </c>
      <c r="M822" s="1" t="s">
        <v>61</v>
      </c>
      <c r="N822" s="1" t="s">
        <v>62</v>
      </c>
      <c r="O822" s="1" t="s">
        <v>31</v>
      </c>
      <c r="P822" s="2">
        <v>45726</v>
      </c>
      <c r="Q822" s="1" t="s">
        <v>1362</v>
      </c>
      <c r="R822" s="1" t="s">
        <v>1906</v>
      </c>
      <c r="S822" s="1" t="s">
        <v>47</v>
      </c>
      <c r="T822" s="1" t="s">
        <v>35</v>
      </c>
      <c r="U822" s="1" t="s">
        <v>48</v>
      </c>
      <c r="V822" s="1" t="s">
        <v>67</v>
      </c>
      <c r="W822">
        <v>3</v>
      </c>
      <c r="X822" s="1" t="str">
        <f t="shared" si="36"/>
        <v>sofia.rodriguez63@mail.com</v>
      </c>
      <c r="Y822" s="1" t="str">
        <f>INDEX(V:V,MATCH(orders_desnormalizado_prueba3[[#This Row],[acquisition_channel]],U:U,0))</f>
        <v>Bodega Propia CO - envio 2-3 dias</v>
      </c>
      <c r="Z822" s="1" t="str">
        <f>INDEX(T:T,MATCH(orders_desnormalizado_prueba3[[#This Row],[shipping_cost]],W:W,0))</f>
        <v>Colombia</v>
      </c>
      <c r="AA822" s="1" t="str">
        <f t="shared" si="37"/>
        <v>Barranquilla</v>
      </c>
      <c r="AB822" s="1"/>
      <c r="AC822" s="1" t="str">
        <f t="shared" si="38"/>
        <v xml:space="preserve"> </v>
      </c>
    </row>
    <row r="823" spans="1:29" x14ac:dyDescent="0.3">
      <c r="A823" s="1" t="s">
        <v>1907</v>
      </c>
      <c r="B823">
        <v>3</v>
      </c>
      <c r="C823">
        <v>16.989999999999998</v>
      </c>
      <c r="D823">
        <v>40.86</v>
      </c>
      <c r="E823" s="1" t="s">
        <v>1515</v>
      </c>
      <c r="F823" s="1" t="s">
        <v>40</v>
      </c>
      <c r="G823">
        <v>20</v>
      </c>
      <c r="H823" s="1" t="s">
        <v>58</v>
      </c>
      <c r="I823" s="1" t="s">
        <v>59</v>
      </c>
      <c r="J823">
        <v>5</v>
      </c>
      <c r="K823">
        <v>16.989999999999998</v>
      </c>
      <c r="L823" s="1" t="s">
        <v>60</v>
      </c>
      <c r="M823" s="1" t="s">
        <v>61</v>
      </c>
      <c r="N823" s="1" t="s">
        <v>62</v>
      </c>
      <c r="O823" s="1" t="s">
        <v>31</v>
      </c>
      <c r="P823" s="2">
        <v>45726</v>
      </c>
      <c r="Q823" s="1" t="s">
        <v>814</v>
      </c>
      <c r="R823" s="1" t="s">
        <v>1041</v>
      </c>
      <c r="S823" s="1" t="s">
        <v>54</v>
      </c>
      <c r="T823" s="1" t="s">
        <v>35</v>
      </c>
      <c r="U823" s="1" t="s">
        <v>36</v>
      </c>
      <c r="V823" s="1" t="s">
        <v>67</v>
      </c>
      <c r="W823">
        <v>3</v>
      </c>
      <c r="X823" s="1" t="str">
        <f t="shared" si="36"/>
        <v>isabella.jimenez172@mail.com</v>
      </c>
      <c r="Y823" s="1" t="str">
        <f>INDEX(V:V,MATCH(orders_desnormalizado_prueba3[[#This Row],[acquisition_channel]],U:U,0))</f>
        <v>Bodega Propia CO - envio 2-3 dias</v>
      </c>
      <c r="Z823" s="1" t="str">
        <f>INDEX(T:T,MATCH(orders_desnormalizado_prueba3[[#This Row],[shipping_cost]],W:W,0))</f>
        <v>Colombia</v>
      </c>
      <c r="AA823" s="1" t="str">
        <f t="shared" si="37"/>
        <v>Bucaramanga</v>
      </c>
      <c r="AB823" s="1"/>
      <c r="AC823" s="1" t="str">
        <f t="shared" si="38"/>
        <v xml:space="preserve"> </v>
      </c>
    </row>
    <row r="824" spans="1:29" x14ac:dyDescent="0.3">
      <c r="A824" s="1" t="s">
        <v>1908</v>
      </c>
      <c r="B824">
        <v>1</v>
      </c>
      <c r="C824">
        <v>21.99</v>
      </c>
      <c r="D824">
        <v>21.99</v>
      </c>
      <c r="E824" s="1" t="s">
        <v>1760</v>
      </c>
      <c r="F824" s="1" t="s">
        <v>188</v>
      </c>
      <c r="G824">
        <v>0</v>
      </c>
      <c r="H824" s="1" t="s">
        <v>26</v>
      </c>
      <c r="I824" s="1" t="s">
        <v>27</v>
      </c>
      <c r="J824">
        <v>7</v>
      </c>
      <c r="K824">
        <v>21.99</v>
      </c>
      <c r="L824" s="1" t="s">
        <v>28</v>
      </c>
      <c r="M824" s="1" t="s">
        <v>29</v>
      </c>
      <c r="N824" s="1" t="s">
        <v>30</v>
      </c>
      <c r="O824" s="1" t="s">
        <v>31</v>
      </c>
      <c r="P824" s="2">
        <v>45778</v>
      </c>
      <c r="Q824" s="1" t="s">
        <v>1336</v>
      </c>
      <c r="R824" s="1" t="s">
        <v>1337</v>
      </c>
      <c r="S824" s="1" t="s">
        <v>105</v>
      </c>
      <c r="T824" s="1" t="s">
        <v>35</v>
      </c>
      <c r="U824" s="1" t="s">
        <v>55</v>
      </c>
      <c r="V824" s="1" t="s">
        <v>37</v>
      </c>
      <c r="W824">
        <v>2</v>
      </c>
      <c r="X824" s="1" t="str">
        <f t="shared" si="36"/>
        <v>felipe.torres155@mail.com</v>
      </c>
      <c r="Y824" s="1" t="str">
        <f>INDEX(V:V,MATCH(orders_desnormalizado_prueba3[[#This Row],[acquisition_channel]],U:U,0))</f>
        <v>Bodega Propia CO - envio 2-3 dias</v>
      </c>
      <c r="Z824" s="1" t="str">
        <f>INDEX(T:T,MATCH(orders_desnormalizado_prueba3[[#This Row],[shipping_cost]],W:W,0))</f>
        <v>Colombia</v>
      </c>
      <c r="AA824" s="1" t="str">
        <f t="shared" si="37"/>
        <v>Cartagena</v>
      </c>
      <c r="AB824" s="1"/>
      <c r="AC824" s="1" t="str">
        <f t="shared" si="38"/>
        <v xml:space="preserve"> </v>
      </c>
    </row>
    <row r="825" spans="1:29" x14ac:dyDescent="0.3">
      <c r="A825" s="1" t="s">
        <v>1909</v>
      </c>
      <c r="B825">
        <v>2</v>
      </c>
      <c r="C825">
        <v>34.99</v>
      </c>
      <c r="D825">
        <v>61.04</v>
      </c>
      <c r="E825" s="1" t="s">
        <v>598</v>
      </c>
      <c r="F825" s="1" t="s">
        <v>40</v>
      </c>
      <c r="G825">
        <v>8</v>
      </c>
      <c r="H825" s="1" t="s">
        <v>41</v>
      </c>
      <c r="I825" s="1" t="s">
        <v>85</v>
      </c>
      <c r="J825">
        <v>12.5</v>
      </c>
      <c r="K825">
        <v>34.99</v>
      </c>
      <c r="L825" s="1" t="s">
        <v>60</v>
      </c>
      <c r="M825" s="1" t="s">
        <v>29</v>
      </c>
      <c r="N825" s="1" t="s">
        <v>30</v>
      </c>
      <c r="O825" s="1" t="s">
        <v>31</v>
      </c>
      <c r="P825" s="2">
        <v>45778</v>
      </c>
      <c r="Q825" s="1" t="s">
        <v>1187</v>
      </c>
      <c r="R825" s="1" t="s">
        <v>1188</v>
      </c>
      <c r="S825" s="1" t="s">
        <v>47</v>
      </c>
      <c r="T825" s="1" t="s">
        <v>35</v>
      </c>
      <c r="U825" s="1" t="s">
        <v>48</v>
      </c>
      <c r="V825" s="1" t="s">
        <v>89</v>
      </c>
      <c r="W825">
        <v>2.4</v>
      </c>
      <c r="X825" s="1" t="str">
        <f t="shared" si="36"/>
        <v>nicolas.jimenez67@mail.com</v>
      </c>
      <c r="Y825" s="1" t="str">
        <f>INDEX(V:V,MATCH(orders_desnormalizado_prueba3[[#This Row],[acquisition_channel]],U:U,0))</f>
        <v>Bodega Propia CO - envio 2-3 dias</v>
      </c>
      <c r="Z825" s="1" t="str">
        <f>INDEX(T:T,MATCH(orders_desnormalizado_prueba3[[#This Row],[shipping_cost]],W:W,0))</f>
        <v>Colombia</v>
      </c>
      <c r="AA825" s="1" t="str">
        <f t="shared" si="37"/>
        <v>Barranquilla</v>
      </c>
      <c r="AB825" s="1"/>
      <c r="AC825" s="1" t="str">
        <f t="shared" si="38"/>
        <v xml:space="preserve"> </v>
      </c>
    </row>
    <row r="826" spans="1:29" x14ac:dyDescent="0.3">
      <c r="A826" s="1" t="s">
        <v>1910</v>
      </c>
      <c r="B826">
        <v>1</v>
      </c>
      <c r="C826">
        <v>21.99</v>
      </c>
      <c r="D826">
        <v>21.99</v>
      </c>
      <c r="E826" s="1" t="s">
        <v>1685</v>
      </c>
      <c r="F826" s="1" t="s">
        <v>40</v>
      </c>
      <c r="G826">
        <v>2</v>
      </c>
      <c r="H826" s="1" t="s">
        <v>96</v>
      </c>
      <c r="I826" s="1" t="s">
        <v>27</v>
      </c>
      <c r="J826">
        <v>7</v>
      </c>
      <c r="K826">
        <v>21.99</v>
      </c>
      <c r="L826" s="1" t="s">
        <v>28</v>
      </c>
      <c r="M826" s="1" t="s">
        <v>29</v>
      </c>
      <c r="N826" s="1" t="s">
        <v>30</v>
      </c>
      <c r="O826" s="1" t="s">
        <v>31</v>
      </c>
      <c r="P826" s="2">
        <v>45778</v>
      </c>
      <c r="Q826" s="1" t="s">
        <v>1642</v>
      </c>
      <c r="R826" s="1" t="s">
        <v>1736</v>
      </c>
      <c r="S826" s="1" t="s">
        <v>47</v>
      </c>
      <c r="T826" s="1" t="s">
        <v>35</v>
      </c>
      <c r="U826" s="1" t="s">
        <v>48</v>
      </c>
      <c r="V826" s="1" t="s">
        <v>37</v>
      </c>
      <c r="W826">
        <v>2</v>
      </c>
      <c r="X826" s="1" t="str">
        <f t="shared" si="36"/>
        <v>diego.perez177@mail.com</v>
      </c>
      <c r="Y826" s="1" t="str">
        <f>INDEX(V:V,MATCH(orders_desnormalizado_prueba3[[#This Row],[acquisition_channel]],U:U,0))</f>
        <v>Bodega Propia CO - envio 2-3 dias</v>
      </c>
      <c r="Z826" s="1" t="str">
        <f>INDEX(T:T,MATCH(orders_desnormalizado_prueba3[[#This Row],[shipping_cost]],W:W,0))</f>
        <v>Colombia</v>
      </c>
      <c r="AA826" s="1" t="str">
        <f t="shared" si="37"/>
        <v>Medellin</v>
      </c>
      <c r="AB826" s="1"/>
      <c r="AC826" s="1" t="str">
        <f t="shared" si="38"/>
        <v xml:space="preserve"> </v>
      </c>
    </row>
    <row r="827" spans="1:29" x14ac:dyDescent="0.3">
      <c r="A827" s="1" t="s">
        <v>1911</v>
      </c>
      <c r="B827">
        <v>2</v>
      </c>
      <c r="C827">
        <v>18.989999999999998</v>
      </c>
      <c r="D827">
        <v>32.83</v>
      </c>
      <c r="E827" s="1" t="s">
        <v>1240</v>
      </c>
      <c r="F827" s="1" t="s">
        <v>51</v>
      </c>
      <c r="G827">
        <v>0</v>
      </c>
      <c r="H827" s="1" t="s">
        <v>96</v>
      </c>
      <c r="I827" s="1" t="s">
        <v>97</v>
      </c>
      <c r="J827">
        <v>6</v>
      </c>
      <c r="K827">
        <v>18.989999999999998</v>
      </c>
      <c r="L827" s="1" t="s">
        <v>60</v>
      </c>
      <c r="M827" s="1" t="s">
        <v>43</v>
      </c>
      <c r="N827" s="1" t="s">
        <v>44</v>
      </c>
      <c r="O827" s="1" t="s">
        <v>31</v>
      </c>
      <c r="P827" s="2">
        <v>45823</v>
      </c>
      <c r="Q827" s="1" t="s">
        <v>979</v>
      </c>
      <c r="R827" s="1" t="s">
        <v>1912</v>
      </c>
      <c r="S827" s="1" t="s">
        <v>105</v>
      </c>
      <c r="T827" s="1" t="s">
        <v>35</v>
      </c>
      <c r="U827" s="1" t="s">
        <v>82</v>
      </c>
      <c r="V827" s="1" t="s">
        <v>100</v>
      </c>
      <c r="W827">
        <v>3.2</v>
      </c>
      <c r="X827" s="1" t="str">
        <f t="shared" si="36"/>
        <v>sofia.ramirez104@mail.com</v>
      </c>
      <c r="Y827" s="1" t="str">
        <f>INDEX(V:V,MATCH(orders_desnormalizado_prueba3[[#This Row],[acquisition_channel]],U:U,0))</f>
        <v>Bodega Propia CO - envio 2-3 dias</v>
      </c>
      <c r="Z827" s="1" t="str">
        <f>INDEX(T:T,MATCH(orders_desnormalizado_prueba3[[#This Row],[shipping_cost]],W:W,0))</f>
        <v>Colombia</v>
      </c>
      <c r="AA827" s="1" t="str">
        <f t="shared" si="37"/>
        <v>Cartagena</v>
      </c>
      <c r="AB827" s="1"/>
      <c r="AC827" s="1" t="str">
        <f t="shared" si="38"/>
        <v xml:space="preserve"> </v>
      </c>
    </row>
    <row r="828" spans="1:29" x14ac:dyDescent="0.3">
      <c r="A828" s="1" t="s">
        <v>1913</v>
      </c>
      <c r="B828">
        <v>1</v>
      </c>
      <c r="C828">
        <v>27.99</v>
      </c>
      <c r="D828">
        <v>27.99</v>
      </c>
      <c r="E828" s="1" t="s">
        <v>775</v>
      </c>
      <c r="F828" s="1" t="s">
        <v>188</v>
      </c>
      <c r="G828">
        <v>0</v>
      </c>
      <c r="H828" s="1" t="s">
        <v>26</v>
      </c>
      <c r="I828" s="1" t="s">
        <v>75</v>
      </c>
      <c r="J828">
        <v>9</v>
      </c>
      <c r="K828">
        <v>27.99</v>
      </c>
      <c r="L828" s="1" t="s">
        <v>28</v>
      </c>
      <c r="M828" s="1" t="s">
        <v>61</v>
      </c>
      <c r="N828" s="1" t="s">
        <v>62</v>
      </c>
      <c r="O828" s="1" t="s">
        <v>31</v>
      </c>
      <c r="P828" s="2">
        <v>45726</v>
      </c>
      <c r="Q828" s="1" t="s">
        <v>1204</v>
      </c>
      <c r="R828" s="1" t="s">
        <v>1205</v>
      </c>
      <c r="S828" s="1" t="s">
        <v>34</v>
      </c>
      <c r="T828" s="1" t="s">
        <v>35</v>
      </c>
      <c r="U828" s="1" t="s">
        <v>48</v>
      </c>
      <c r="V828" s="1" t="s">
        <v>37</v>
      </c>
      <c r="W828">
        <v>2</v>
      </c>
      <c r="X828" s="1" t="str">
        <f t="shared" si="36"/>
        <v>sofia.moreno38@mail.com</v>
      </c>
      <c r="Y828" s="1" t="str">
        <f>INDEX(V:V,MATCH(orders_desnormalizado_prueba3[[#This Row],[acquisition_channel]],U:U,0))</f>
        <v>Bodega Propia CO - envio 2-3 dias</v>
      </c>
      <c r="Z828" s="1" t="str">
        <f>INDEX(T:T,MATCH(orders_desnormalizado_prueba3[[#This Row],[shipping_cost]],W:W,0))</f>
        <v>Colombia</v>
      </c>
      <c r="AA828" s="1" t="str">
        <f t="shared" si="37"/>
        <v>Cartagena</v>
      </c>
      <c r="AB828" s="1"/>
      <c r="AC828" s="1" t="str">
        <f t="shared" si="38"/>
        <v xml:space="preserve"> </v>
      </c>
    </row>
    <row r="829" spans="1:29" x14ac:dyDescent="0.3">
      <c r="A829" s="1" t="s">
        <v>1914</v>
      </c>
      <c r="B829">
        <v>3</v>
      </c>
      <c r="C829">
        <v>18.989999999999998</v>
      </c>
      <c r="D829">
        <v>45.36</v>
      </c>
      <c r="E829" s="1" t="s">
        <v>1915</v>
      </c>
      <c r="F829" s="1" t="s">
        <v>25</v>
      </c>
      <c r="G829">
        <v>15</v>
      </c>
      <c r="H829" s="1" t="s">
        <v>26</v>
      </c>
      <c r="I829" s="1" t="s">
        <v>97</v>
      </c>
      <c r="J829">
        <v>6</v>
      </c>
      <c r="K829">
        <v>18.989999999999998</v>
      </c>
      <c r="L829" s="1" t="s">
        <v>60</v>
      </c>
      <c r="M829" s="1" t="s">
        <v>43</v>
      </c>
      <c r="N829" s="1" t="s">
        <v>44</v>
      </c>
      <c r="O829" s="1" t="s">
        <v>31</v>
      </c>
      <c r="P829" s="2">
        <v>45823</v>
      </c>
      <c r="Q829" s="1" t="s">
        <v>1793</v>
      </c>
      <c r="R829" s="1" t="s">
        <v>1916</v>
      </c>
      <c r="S829" s="1" t="s">
        <v>88</v>
      </c>
      <c r="T829" s="1" t="s">
        <v>35</v>
      </c>
      <c r="U829" s="1" t="s">
        <v>36</v>
      </c>
      <c r="V829" s="1" t="s">
        <v>100</v>
      </c>
      <c r="W829">
        <v>3.2</v>
      </c>
      <c r="X829" s="1" t="str">
        <f t="shared" si="36"/>
        <v>camila.ramirez98@mail.com</v>
      </c>
      <c r="Y829" s="1" t="str">
        <f>INDEX(V:V,MATCH(orders_desnormalizado_prueba3[[#This Row],[acquisition_channel]],U:U,0))</f>
        <v>Bodega Propia CO - envio 2-3 dias</v>
      </c>
      <c r="Z829" s="1" t="str">
        <f>INDEX(T:T,MATCH(orders_desnormalizado_prueba3[[#This Row],[shipping_cost]],W:W,0))</f>
        <v>Colombia</v>
      </c>
      <c r="AA829" s="1" t="str">
        <f t="shared" si="37"/>
        <v>Barranquilla</v>
      </c>
      <c r="AB829" s="1"/>
      <c r="AC829" s="1" t="str">
        <f t="shared" si="38"/>
        <v xml:space="preserve"> </v>
      </c>
    </row>
    <row r="830" spans="1:29" x14ac:dyDescent="0.3">
      <c r="A830" s="1" t="s">
        <v>1917</v>
      </c>
      <c r="B830">
        <v>1</v>
      </c>
      <c r="C830">
        <v>16.989999999999998</v>
      </c>
      <c r="D830">
        <v>16.989999999999998</v>
      </c>
      <c r="E830" s="1" t="s">
        <v>1556</v>
      </c>
      <c r="F830" s="1" t="s">
        <v>25</v>
      </c>
      <c r="G830">
        <v>19</v>
      </c>
      <c r="H830" s="1" t="s">
        <v>26</v>
      </c>
      <c r="I830" s="1" t="s">
        <v>59</v>
      </c>
      <c r="J830">
        <v>5</v>
      </c>
      <c r="K830">
        <v>16.989999999999998</v>
      </c>
      <c r="L830" s="1" t="s">
        <v>60</v>
      </c>
      <c r="M830" s="1" t="s">
        <v>61</v>
      </c>
      <c r="N830" s="1" t="s">
        <v>62</v>
      </c>
      <c r="O830" s="1" t="s">
        <v>31</v>
      </c>
      <c r="P830" s="2">
        <v>45726</v>
      </c>
      <c r="Q830" s="1" t="s">
        <v>817</v>
      </c>
      <c r="R830" s="1" t="s">
        <v>1478</v>
      </c>
      <c r="S830" s="1" t="s">
        <v>65</v>
      </c>
      <c r="T830" s="1" t="s">
        <v>35</v>
      </c>
      <c r="U830" s="1" t="s">
        <v>82</v>
      </c>
      <c r="V830" s="1" t="s">
        <v>67</v>
      </c>
      <c r="W830">
        <v>3</v>
      </c>
      <c r="X830" s="1" t="str">
        <f t="shared" si="36"/>
        <v>juan.perez187@mail.com</v>
      </c>
      <c r="Y830" s="1" t="str">
        <f>INDEX(V:V,MATCH(orders_desnormalizado_prueba3[[#This Row],[acquisition_channel]],U:U,0))</f>
        <v>Bodega Propia CO - envio 2-3 dias</v>
      </c>
      <c r="Z830" s="1" t="str">
        <f>INDEX(T:T,MATCH(orders_desnormalizado_prueba3[[#This Row],[shipping_cost]],W:W,0))</f>
        <v>Colombia</v>
      </c>
      <c r="AA830" s="1" t="str">
        <f t="shared" si="37"/>
        <v>Bogota</v>
      </c>
      <c r="AB830" s="1"/>
      <c r="AC830" s="1" t="str">
        <f t="shared" si="38"/>
        <v xml:space="preserve"> </v>
      </c>
    </row>
    <row r="831" spans="1:29" x14ac:dyDescent="0.3">
      <c r="A831" s="1" t="s">
        <v>1918</v>
      </c>
      <c r="B831">
        <v>2</v>
      </c>
      <c r="C831">
        <v>27.99</v>
      </c>
      <c r="D831">
        <v>48.13</v>
      </c>
      <c r="E831" s="1" t="s">
        <v>1626</v>
      </c>
      <c r="F831" s="1" t="s">
        <v>188</v>
      </c>
      <c r="G831">
        <v>0</v>
      </c>
      <c r="H831" s="1" t="s">
        <v>26</v>
      </c>
      <c r="I831" s="1" t="s">
        <v>75</v>
      </c>
      <c r="J831">
        <v>9</v>
      </c>
      <c r="K831">
        <v>27.99</v>
      </c>
      <c r="L831" s="1" t="s">
        <v>28</v>
      </c>
      <c r="M831" s="1" t="s">
        <v>61</v>
      </c>
      <c r="N831" s="1" t="s">
        <v>62</v>
      </c>
      <c r="O831" s="1" t="s">
        <v>31</v>
      </c>
      <c r="P831" s="2">
        <v>45726</v>
      </c>
      <c r="Q831" s="1" t="s">
        <v>1385</v>
      </c>
      <c r="R831" s="1" t="s">
        <v>1386</v>
      </c>
      <c r="S831" s="1" t="s">
        <v>47</v>
      </c>
      <c r="T831" s="1" t="s">
        <v>35</v>
      </c>
      <c r="U831" s="1" t="s">
        <v>66</v>
      </c>
      <c r="V831" s="1" t="s">
        <v>37</v>
      </c>
      <c r="W831">
        <v>2</v>
      </c>
      <c r="X831" s="1" t="str">
        <f t="shared" si="36"/>
        <v>catalina.torres188@mail.com</v>
      </c>
      <c r="Y831" s="1" t="str">
        <f>INDEX(V:V,MATCH(orders_desnormalizado_prueba3[[#This Row],[acquisition_channel]],U:U,0))</f>
        <v>AliDropship CN - envio 15-20 dias</v>
      </c>
      <c r="Z831" s="1" t="str">
        <f>INDEX(T:T,MATCH(orders_desnormalizado_prueba3[[#This Row],[shipping_cost]],W:W,0))</f>
        <v>Colombia</v>
      </c>
      <c r="AA831" s="1" t="str">
        <f t="shared" si="37"/>
        <v>Cartagena</v>
      </c>
      <c r="AB831" s="1"/>
      <c r="AC831" s="1" t="str">
        <f t="shared" si="38"/>
        <v xml:space="preserve"> </v>
      </c>
    </row>
    <row r="832" spans="1:29" x14ac:dyDescent="0.3">
      <c r="A832" s="1" t="s">
        <v>1919</v>
      </c>
      <c r="B832">
        <v>1</v>
      </c>
      <c r="C832">
        <v>30.99</v>
      </c>
      <c r="D832">
        <v>30.99</v>
      </c>
      <c r="E832" s="1" t="s">
        <v>175</v>
      </c>
      <c r="F832" s="1" t="s">
        <v>40</v>
      </c>
      <c r="G832">
        <v>3</v>
      </c>
      <c r="H832" s="1" t="s">
        <v>96</v>
      </c>
      <c r="I832" s="1" t="s">
        <v>42</v>
      </c>
      <c r="J832">
        <v>10.5</v>
      </c>
      <c r="K832">
        <v>30.99</v>
      </c>
      <c r="L832" s="1" t="s">
        <v>28</v>
      </c>
      <c r="M832" s="1" t="s">
        <v>43</v>
      </c>
      <c r="N832" s="1" t="s">
        <v>44</v>
      </c>
      <c r="O832" s="1" t="s">
        <v>31</v>
      </c>
      <c r="P832" s="2">
        <v>45823</v>
      </c>
      <c r="Q832" s="1" t="s">
        <v>1342</v>
      </c>
      <c r="R832" s="1" t="s">
        <v>1343</v>
      </c>
      <c r="S832" s="1" t="s">
        <v>88</v>
      </c>
      <c r="T832" s="1" t="s">
        <v>35</v>
      </c>
      <c r="U832" s="1" t="s">
        <v>48</v>
      </c>
      <c r="V832" s="1" t="s">
        <v>37</v>
      </c>
      <c r="W832">
        <v>2</v>
      </c>
      <c r="X832" s="1" t="str">
        <f t="shared" si="36"/>
        <v>david.torres153@mail.com</v>
      </c>
      <c r="Y832" s="1" t="str">
        <f>INDEX(V:V,MATCH(orders_desnormalizado_prueba3[[#This Row],[acquisition_channel]],U:U,0))</f>
        <v>Bodega Propia CO - envio 2-3 dias</v>
      </c>
      <c r="Z832" s="1" t="str">
        <f>INDEX(T:T,MATCH(orders_desnormalizado_prueba3[[#This Row],[shipping_cost]],W:W,0))</f>
        <v>Colombia</v>
      </c>
      <c r="AA832" s="1" t="str">
        <f t="shared" si="37"/>
        <v>Barranquilla</v>
      </c>
      <c r="AB832" s="1"/>
      <c r="AC832" s="1" t="str">
        <f t="shared" si="38"/>
        <v xml:space="preserve"> </v>
      </c>
    </row>
    <row r="833" spans="1:29" x14ac:dyDescent="0.3">
      <c r="A833" s="1" t="s">
        <v>1920</v>
      </c>
      <c r="B833">
        <v>1</v>
      </c>
      <c r="C833">
        <v>16.989999999999998</v>
      </c>
      <c r="D833">
        <v>16.989999999999998</v>
      </c>
      <c r="E833" s="1" t="s">
        <v>1031</v>
      </c>
      <c r="F833" s="1" t="s">
        <v>40</v>
      </c>
      <c r="G833">
        <v>20</v>
      </c>
      <c r="H833" s="1" t="s">
        <v>96</v>
      </c>
      <c r="I833" s="1" t="s">
        <v>59</v>
      </c>
      <c r="J833">
        <v>5</v>
      </c>
      <c r="K833">
        <v>16.989999999999998</v>
      </c>
      <c r="L833" s="1" t="s">
        <v>60</v>
      </c>
      <c r="M833" s="1" t="s">
        <v>61</v>
      </c>
      <c r="N833" s="1" t="s">
        <v>62</v>
      </c>
      <c r="O833" s="1" t="s">
        <v>31</v>
      </c>
      <c r="P833" s="2">
        <v>45726</v>
      </c>
      <c r="Q833" s="1" t="s">
        <v>797</v>
      </c>
      <c r="R833" s="1" t="s">
        <v>1921</v>
      </c>
      <c r="S833" s="1" t="s">
        <v>88</v>
      </c>
      <c r="T833" s="1" t="s">
        <v>35</v>
      </c>
      <c r="U833" s="1" t="s">
        <v>36</v>
      </c>
      <c r="V833" s="1" t="s">
        <v>67</v>
      </c>
      <c r="W833">
        <v>3</v>
      </c>
      <c r="X833" s="1" t="str">
        <f t="shared" si="36"/>
        <v>miguel.gomez127@mail.com</v>
      </c>
      <c r="Y833" s="1" t="str">
        <f>INDEX(V:V,MATCH(orders_desnormalizado_prueba3[[#This Row],[acquisition_channel]],U:U,0))</f>
        <v>Bodega Propia CO - envio 2-3 dias</v>
      </c>
      <c r="Z833" s="1" t="str">
        <f>INDEX(T:T,MATCH(orders_desnormalizado_prueba3[[#This Row],[shipping_cost]],W:W,0))</f>
        <v>Colombia</v>
      </c>
      <c r="AA833" s="1" t="str">
        <f t="shared" si="37"/>
        <v>Bucaramanga</v>
      </c>
      <c r="AB833" s="1"/>
      <c r="AC833" s="1" t="str">
        <f t="shared" si="38"/>
        <v xml:space="preserve"> </v>
      </c>
    </row>
    <row r="834" spans="1:29" x14ac:dyDescent="0.3">
      <c r="A834" s="1" t="s">
        <v>1922</v>
      </c>
      <c r="B834">
        <v>1</v>
      </c>
      <c r="C834">
        <v>18.989999999999998</v>
      </c>
      <c r="D834">
        <v>18.989999999999998</v>
      </c>
      <c r="E834" s="1" t="s">
        <v>1590</v>
      </c>
      <c r="F834" s="1" t="s">
        <v>70</v>
      </c>
      <c r="G834">
        <v>0</v>
      </c>
      <c r="H834" s="1" t="s">
        <v>41</v>
      </c>
      <c r="I834" s="1" t="s">
        <v>97</v>
      </c>
      <c r="J834">
        <v>6</v>
      </c>
      <c r="K834">
        <v>18.989999999999998</v>
      </c>
      <c r="L834" s="1" t="s">
        <v>60</v>
      </c>
      <c r="M834" s="1" t="s">
        <v>43</v>
      </c>
      <c r="N834" s="1" t="s">
        <v>44</v>
      </c>
      <c r="O834" s="1" t="s">
        <v>31</v>
      </c>
      <c r="P834" s="2">
        <v>45823</v>
      </c>
      <c r="Q834" s="1" t="s">
        <v>544</v>
      </c>
      <c r="R834" s="1" t="s">
        <v>1923</v>
      </c>
      <c r="S834" s="1" t="s">
        <v>105</v>
      </c>
      <c r="T834" s="1" t="s">
        <v>35</v>
      </c>
      <c r="U834" s="1" t="s">
        <v>36</v>
      </c>
      <c r="V834" s="1" t="s">
        <v>100</v>
      </c>
      <c r="W834">
        <v>3.2</v>
      </c>
      <c r="X834" s="1" t="str">
        <f t="shared" ref="X834:X897" si="39">INDEX(R:R,MATCH(Q834,Q:Q,0))</f>
        <v>maria.diaz102@mail.com</v>
      </c>
      <c r="Y834" s="1" t="str">
        <f>INDEX(V:V,MATCH(orders_desnormalizado_prueba3[[#This Row],[acquisition_channel]],U:U,0))</f>
        <v>Bodega Propia CO - envio 2-3 dias</v>
      </c>
      <c r="Z834" s="1" t="str">
        <f>INDEX(T:T,MATCH(orders_desnormalizado_prueba3[[#This Row],[shipping_cost]],W:W,0))</f>
        <v>Colombia</v>
      </c>
      <c r="AA834" s="1" t="str">
        <f t="shared" ref="AA834:AA897" si="40">INDEX(S:S,MATCH(G834,G:G,0))</f>
        <v>Cartagena</v>
      </c>
      <c r="AB834" s="1"/>
      <c r="AC834" s="1" t="str">
        <f t="shared" ref="AC834:AC897" si="41">IFERROR(INDEX($V:$V,MATCH(AB834,$R:$R,0)), " ")</f>
        <v xml:space="preserve"> </v>
      </c>
    </row>
    <row r="835" spans="1:29" x14ac:dyDescent="0.3">
      <c r="A835" s="1" t="s">
        <v>1924</v>
      </c>
      <c r="B835">
        <v>1</v>
      </c>
      <c r="C835">
        <v>34.99</v>
      </c>
      <c r="D835">
        <v>34.99</v>
      </c>
      <c r="E835" s="1" t="s">
        <v>800</v>
      </c>
      <c r="F835" s="1" t="s">
        <v>51</v>
      </c>
      <c r="G835">
        <v>0</v>
      </c>
      <c r="H835" s="1" t="s">
        <v>26</v>
      </c>
      <c r="I835" s="1" t="s">
        <v>85</v>
      </c>
      <c r="J835">
        <v>12.5</v>
      </c>
      <c r="K835">
        <v>34.99</v>
      </c>
      <c r="L835" s="1" t="s">
        <v>60</v>
      </c>
      <c r="M835" s="1" t="s">
        <v>29</v>
      </c>
      <c r="N835" s="1" t="s">
        <v>30</v>
      </c>
      <c r="O835" s="1" t="s">
        <v>31</v>
      </c>
      <c r="P835" s="2">
        <v>45778</v>
      </c>
      <c r="Q835" s="1" t="s">
        <v>1494</v>
      </c>
      <c r="R835" s="1" t="s">
        <v>1925</v>
      </c>
      <c r="S835" s="1" t="s">
        <v>34</v>
      </c>
      <c r="T835" s="1" t="s">
        <v>35</v>
      </c>
      <c r="U835" s="1" t="s">
        <v>66</v>
      </c>
      <c r="V835" s="1" t="s">
        <v>89</v>
      </c>
      <c r="W835">
        <v>2.4</v>
      </c>
      <c r="X835" s="1" t="str">
        <f t="shared" si="39"/>
        <v>catalina.ortiz48@mail.com</v>
      </c>
      <c r="Y835" s="1" t="str">
        <f>INDEX(V:V,MATCH(orders_desnormalizado_prueba3[[#This Row],[acquisition_channel]],U:U,0))</f>
        <v>AliDropship CN - envio 15-20 dias</v>
      </c>
      <c r="Z835" s="1" t="str">
        <f>INDEX(T:T,MATCH(orders_desnormalizado_prueba3[[#This Row],[shipping_cost]],W:W,0))</f>
        <v>Colombia</v>
      </c>
      <c r="AA835" s="1" t="str">
        <f t="shared" si="40"/>
        <v>Cartagena</v>
      </c>
      <c r="AB835" s="1"/>
      <c r="AC835" s="1" t="str">
        <f t="shared" si="41"/>
        <v xml:space="preserve"> </v>
      </c>
    </row>
    <row r="836" spans="1:29" x14ac:dyDescent="0.3">
      <c r="A836" s="1" t="s">
        <v>1926</v>
      </c>
      <c r="B836">
        <v>3</v>
      </c>
      <c r="C836">
        <v>21.99</v>
      </c>
      <c r="D836">
        <v>52.26</v>
      </c>
      <c r="E836" s="1" t="s">
        <v>1832</v>
      </c>
      <c r="F836" s="1" t="s">
        <v>40</v>
      </c>
      <c r="G836">
        <v>2</v>
      </c>
      <c r="H836" s="1" t="s">
        <v>26</v>
      </c>
      <c r="I836" s="1" t="s">
        <v>27</v>
      </c>
      <c r="J836">
        <v>7</v>
      </c>
      <c r="K836">
        <v>21.99</v>
      </c>
      <c r="L836" s="1" t="s">
        <v>28</v>
      </c>
      <c r="M836" s="1" t="s">
        <v>29</v>
      </c>
      <c r="N836" s="1" t="s">
        <v>30</v>
      </c>
      <c r="O836" s="1" t="s">
        <v>31</v>
      </c>
      <c r="P836" s="2">
        <v>45778</v>
      </c>
      <c r="Q836" s="1" t="s">
        <v>960</v>
      </c>
      <c r="R836" s="1" t="s">
        <v>961</v>
      </c>
      <c r="S836" s="1" t="s">
        <v>47</v>
      </c>
      <c r="T836" s="1" t="s">
        <v>35</v>
      </c>
      <c r="U836" s="1" t="s">
        <v>48</v>
      </c>
      <c r="V836" s="1" t="s">
        <v>37</v>
      </c>
      <c r="W836">
        <v>2</v>
      </c>
      <c r="X836" s="1" t="str">
        <f t="shared" si="39"/>
        <v>ximena.jimenez193@mail.com</v>
      </c>
      <c r="Y836" s="1" t="str">
        <f>INDEX(V:V,MATCH(orders_desnormalizado_prueba3[[#This Row],[acquisition_channel]],U:U,0))</f>
        <v>Bodega Propia CO - envio 2-3 dias</v>
      </c>
      <c r="Z836" s="1" t="str">
        <f>INDEX(T:T,MATCH(orders_desnormalizado_prueba3[[#This Row],[shipping_cost]],W:W,0))</f>
        <v>Colombia</v>
      </c>
      <c r="AA836" s="1" t="str">
        <f t="shared" si="40"/>
        <v>Medellin</v>
      </c>
      <c r="AB836" s="1"/>
      <c r="AC836" s="1" t="str">
        <f t="shared" si="41"/>
        <v xml:space="preserve"> </v>
      </c>
    </row>
    <row r="837" spans="1:29" x14ac:dyDescent="0.3">
      <c r="A837" s="1" t="s">
        <v>1927</v>
      </c>
      <c r="B837">
        <v>1</v>
      </c>
      <c r="C837">
        <v>21.99</v>
      </c>
      <c r="D837">
        <v>21.99</v>
      </c>
      <c r="E837" s="1" t="s">
        <v>246</v>
      </c>
      <c r="F837" s="1" t="s">
        <v>40</v>
      </c>
      <c r="G837">
        <v>3</v>
      </c>
      <c r="H837" s="1" t="s">
        <v>26</v>
      </c>
      <c r="I837" s="1" t="s">
        <v>27</v>
      </c>
      <c r="J837">
        <v>7</v>
      </c>
      <c r="K837">
        <v>21.99</v>
      </c>
      <c r="L837" s="1" t="s">
        <v>28</v>
      </c>
      <c r="M837" s="1" t="s">
        <v>29</v>
      </c>
      <c r="N837" s="1" t="s">
        <v>30</v>
      </c>
      <c r="O837" s="1" t="s">
        <v>31</v>
      </c>
      <c r="P837" s="2">
        <v>45778</v>
      </c>
      <c r="Q837" s="1" t="s">
        <v>869</v>
      </c>
      <c r="R837" s="1" t="s">
        <v>870</v>
      </c>
      <c r="S837" s="1" t="s">
        <v>88</v>
      </c>
      <c r="T837" s="1" t="s">
        <v>35</v>
      </c>
      <c r="U837" s="1" t="s">
        <v>55</v>
      </c>
      <c r="V837" s="1" t="s">
        <v>37</v>
      </c>
      <c r="W837">
        <v>2</v>
      </c>
      <c r="X837" s="1" t="str">
        <f t="shared" si="39"/>
        <v>sofia.jimenez82@mail.com</v>
      </c>
      <c r="Y837" s="1" t="str">
        <f>INDEX(V:V,MATCH(orders_desnormalizado_prueba3[[#This Row],[acquisition_channel]],U:U,0))</f>
        <v>Bodega Propia CO - envio 2-3 dias</v>
      </c>
      <c r="Z837" s="1" t="str">
        <f>INDEX(T:T,MATCH(orders_desnormalizado_prueba3[[#This Row],[shipping_cost]],W:W,0))</f>
        <v>Colombia</v>
      </c>
      <c r="AA837" s="1" t="str">
        <f t="shared" si="40"/>
        <v>Barranquilla</v>
      </c>
      <c r="AB837" s="1"/>
      <c r="AC837" s="1" t="str">
        <f t="shared" si="41"/>
        <v xml:space="preserve"> </v>
      </c>
    </row>
    <row r="838" spans="1:29" x14ac:dyDescent="0.3">
      <c r="A838" s="1" t="s">
        <v>1928</v>
      </c>
      <c r="B838">
        <v>3</v>
      </c>
      <c r="C838">
        <v>27.99</v>
      </c>
      <c r="D838">
        <v>67.010000000000005</v>
      </c>
      <c r="E838" s="1" t="s">
        <v>1111</v>
      </c>
      <c r="F838" s="1" t="s">
        <v>25</v>
      </c>
      <c r="G838">
        <v>3</v>
      </c>
      <c r="H838" s="1" t="s">
        <v>96</v>
      </c>
      <c r="I838" s="1" t="s">
        <v>75</v>
      </c>
      <c r="J838">
        <v>9</v>
      </c>
      <c r="K838">
        <v>27.99</v>
      </c>
      <c r="L838" s="1" t="s">
        <v>28</v>
      </c>
      <c r="M838" s="1" t="s">
        <v>61</v>
      </c>
      <c r="N838" s="1" t="s">
        <v>62</v>
      </c>
      <c r="O838" s="1" t="s">
        <v>31</v>
      </c>
      <c r="P838" s="2">
        <v>45726</v>
      </c>
      <c r="Q838" s="1" t="s">
        <v>893</v>
      </c>
      <c r="R838" s="1" t="s">
        <v>1405</v>
      </c>
      <c r="S838" s="1" t="s">
        <v>65</v>
      </c>
      <c r="T838" s="1" t="s">
        <v>35</v>
      </c>
      <c r="U838" s="1" t="s">
        <v>82</v>
      </c>
      <c r="V838" s="1" t="s">
        <v>37</v>
      </c>
      <c r="W838">
        <v>2</v>
      </c>
      <c r="X838" s="1" t="str">
        <f t="shared" si="39"/>
        <v>gabriela.jimenez17@mail.com</v>
      </c>
      <c r="Y838" s="1" t="str">
        <f>INDEX(V:V,MATCH(orders_desnormalizado_prueba3[[#This Row],[acquisition_channel]],U:U,0))</f>
        <v>Bodega Propia CO - envio 2-3 dias</v>
      </c>
      <c r="Z838" s="1" t="str">
        <f>INDEX(T:T,MATCH(orders_desnormalizado_prueba3[[#This Row],[shipping_cost]],W:W,0))</f>
        <v>Colombia</v>
      </c>
      <c r="AA838" s="1" t="str">
        <f t="shared" si="40"/>
        <v>Barranquilla</v>
      </c>
      <c r="AB838" s="1"/>
      <c r="AC838" s="1" t="str">
        <f t="shared" si="41"/>
        <v xml:space="preserve"> </v>
      </c>
    </row>
    <row r="839" spans="1:29" x14ac:dyDescent="0.3">
      <c r="A839" s="1" t="s">
        <v>1929</v>
      </c>
      <c r="B839">
        <v>2</v>
      </c>
      <c r="C839">
        <v>34.99</v>
      </c>
      <c r="D839">
        <v>60.34</v>
      </c>
      <c r="E839" s="1" t="s">
        <v>1930</v>
      </c>
      <c r="F839" s="1" t="s">
        <v>40</v>
      </c>
      <c r="G839">
        <v>6</v>
      </c>
      <c r="H839" s="1" t="s">
        <v>58</v>
      </c>
      <c r="I839" s="1" t="s">
        <v>85</v>
      </c>
      <c r="J839">
        <v>12.5</v>
      </c>
      <c r="K839">
        <v>34.99</v>
      </c>
      <c r="L839" s="1" t="s">
        <v>60</v>
      </c>
      <c r="M839" s="1" t="s">
        <v>29</v>
      </c>
      <c r="N839" s="1" t="s">
        <v>30</v>
      </c>
      <c r="O839" s="1" t="s">
        <v>31</v>
      </c>
      <c r="P839" s="2">
        <v>45778</v>
      </c>
      <c r="Q839" s="1" t="s">
        <v>1931</v>
      </c>
      <c r="R839" s="1" t="s">
        <v>1932</v>
      </c>
      <c r="S839" s="1" t="s">
        <v>105</v>
      </c>
      <c r="T839" s="1" t="s">
        <v>35</v>
      </c>
      <c r="U839" s="1" t="s">
        <v>82</v>
      </c>
      <c r="V839" s="1" t="s">
        <v>89</v>
      </c>
      <c r="W839">
        <v>2.4</v>
      </c>
      <c r="X839" s="1" t="str">
        <f t="shared" si="39"/>
        <v>diego.hernandez121@mail.com</v>
      </c>
      <c r="Y839" s="1" t="str">
        <f>INDEX(V:V,MATCH(orders_desnormalizado_prueba3[[#This Row],[acquisition_channel]],U:U,0))</f>
        <v>Bodega Propia CO - envio 2-3 dias</v>
      </c>
      <c r="Z839" s="1" t="str">
        <f>INDEX(T:T,MATCH(orders_desnormalizado_prueba3[[#This Row],[shipping_cost]],W:W,0))</f>
        <v>Colombia</v>
      </c>
      <c r="AA839" s="1" t="str">
        <f t="shared" si="40"/>
        <v>Medellin</v>
      </c>
      <c r="AB839" s="1"/>
      <c r="AC839" s="1" t="str">
        <f t="shared" si="41"/>
        <v xml:space="preserve"> </v>
      </c>
    </row>
    <row r="840" spans="1:29" x14ac:dyDescent="0.3">
      <c r="A840" s="1" t="s">
        <v>1933</v>
      </c>
      <c r="B840">
        <v>1</v>
      </c>
      <c r="C840">
        <v>16.989999999999998</v>
      </c>
      <c r="D840">
        <v>16.989999999999998</v>
      </c>
      <c r="E840" s="1" t="s">
        <v>1934</v>
      </c>
      <c r="F840" s="1" t="s">
        <v>51</v>
      </c>
      <c r="G840">
        <v>0</v>
      </c>
      <c r="H840" s="1" t="s">
        <v>41</v>
      </c>
      <c r="I840" s="1" t="s">
        <v>59</v>
      </c>
      <c r="J840">
        <v>5</v>
      </c>
      <c r="K840">
        <v>16.989999999999998</v>
      </c>
      <c r="L840" s="1" t="s">
        <v>60</v>
      </c>
      <c r="M840" s="1" t="s">
        <v>61</v>
      </c>
      <c r="N840" s="1" t="s">
        <v>62</v>
      </c>
      <c r="O840" s="1" t="s">
        <v>31</v>
      </c>
      <c r="P840" s="2">
        <v>45726</v>
      </c>
      <c r="Q840" s="1" t="s">
        <v>63</v>
      </c>
      <c r="R840" s="1" t="s">
        <v>1803</v>
      </c>
      <c r="S840" s="1" t="s">
        <v>105</v>
      </c>
      <c r="T840" s="1" t="s">
        <v>35</v>
      </c>
      <c r="U840" s="1" t="s">
        <v>48</v>
      </c>
      <c r="V840" s="1" t="s">
        <v>67</v>
      </c>
      <c r="W840">
        <v>3</v>
      </c>
      <c r="X840" s="1" t="str">
        <f t="shared" si="39"/>
        <v>laura.rodriguez85@mail.com</v>
      </c>
      <c r="Y840" s="1" t="str">
        <f>INDEX(V:V,MATCH(orders_desnormalizado_prueba3[[#This Row],[acquisition_channel]],U:U,0))</f>
        <v>Bodega Propia CO - envio 2-3 dias</v>
      </c>
      <c r="Z840" s="1" t="str">
        <f>INDEX(T:T,MATCH(orders_desnormalizado_prueba3[[#This Row],[shipping_cost]],W:W,0))</f>
        <v>Colombia</v>
      </c>
      <c r="AA840" s="1" t="str">
        <f t="shared" si="40"/>
        <v>Cartagena</v>
      </c>
      <c r="AB840" s="1"/>
      <c r="AC840" s="1" t="str">
        <f t="shared" si="41"/>
        <v xml:space="preserve"> </v>
      </c>
    </row>
    <row r="841" spans="1:29" x14ac:dyDescent="0.3">
      <c r="A841" s="1" t="s">
        <v>1935</v>
      </c>
      <c r="B841">
        <v>3</v>
      </c>
      <c r="C841">
        <v>18.989999999999998</v>
      </c>
      <c r="D841">
        <v>44.92</v>
      </c>
      <c r="E841" s="1" t="s">
        <v>1936</v>
      </c>
      <c r="F841" s="1" t="s">
        <v>40</v>
      </c>
      <c r="G841">
        <v>15</v>
      </c>
      <c r="H841" s="1" t="s">
        <v>58</v>
      </c>
      <c r="I841" s="1" t="s">
        <v>97</v>
      </c>
      <c r="J841">
        <v>6</v>
      </c>
      <c r="K841">
        <v>18.989999999999998</v>
      </c>
      <c r="L841" s="1" t="s">
        <v>60</v>
      </c>
      <c r="M841" s="1" t="s">
        <v>43</v>
      </c>
      <c r="N841" s="1" t="s">
        <v>44</v>
      </c>
      <c r="O841" s="1" t="s">
        <v>31</v>
      </c>
      <c r="P841" s="2">
        <v>45823</v>
      </c>
      <c r="Q841" s="1" t="s">
        <v>934</v>
      </c>
      <c r="R841" s="1" t="s">
        <v>935</v>
      </c>
      <c r="S841" s="1" t="s">
        <v>105</v>
      </c>
      <c r="T841" s="1" t="s">
        <v>35</v>
      </c>
      <c r="U841" s="1" t="s">
        <v>82</v>
      </c>
      <c r="V841" s="1" t="s">
        <v>100</v>
      </c>
      <c r="W841">
        <v>3.2</v>
      </c>
      <c r="X841" s="1" t="str">
        <f t="shared" si="39"/>
        <v>felipe.gomez104@mail.com</v>
      </c>
      <c r="Y841" s="1" t="str">
        <f>INDEX(V:V,MATCH(orders_desnormalizado_prueba3[[#This Row],[acquisition_channel]],U:U,0))</f>
        <v>Bodega Propia CO - envio 2-3 dias</v>
      </c>
      <c r="Z841" s="1" t="str">
        <f>INDEX(T:T,MATCH(orders_desnormalizado_prueba3[[#This Row],[shipping_cost]],W:W,0))</f>
        <v>Colombia</v>
      </c>
      <c r="AA841" s="1" t="str">
        <f t="shared" si="40"/>
        <v>Barranquilla</v>
      </c>
      <c r="AB841" s="1"/>
      <c r="AC841" s="1" t="str">
        <f t="shared" si="41"/>
        <v xml:space="preserve"> </v>
      </c>
    </row>
    <row r="842" spans="1:29" x14ac:dyDescent="0.3">
      <c r="A842" s="1" t="s">
        <v>1937</v>
      </c>
      <c r="B842">
        <v>2</v>
      </c>
      <c r="C842">
        <v>34.99</v>
      </c>
      <c r="D842">
        <v>61.11</v>
      </c>
      <c r="E842" s="1" t="s">
        <v>334</v>
      </c>
      <c r="F842" s="1" t="s">
        <v>40</v>
      </c>
      <c r="G842">
        <v>12</v>
      </c>
      <c r="H842" s="1" t="s">
        <v>96</v>
      </c>
      <c r="I842" s="1" t="s">
        <v>85</v>
      </c>
      <c r="J842">
        <v>12.5</v>
      </c>
      <c r="K842">
        <v>34.99</v>
      </c>
      <c r="L842" s="1" t="s">
        <v>60</v>
      </c>
      <c r="M842" s="1" t="s">
        <v>29</v>
      </c>
      <c r="N842" s="1" t="s">
        <v>30</v>
      </c>
      <c r="O842" s="1" t="s">
        <v>31</v>
      </c>
      <c r="P842" s="2">
        <v>45778</v>
      </c>
      <c r="Q842" s="1" t="s">
        <v>801</v>
      </c>
      <c r="R842" s="1" t="s">
        <v>802</v>
      </c>
      <c r="S842" s="1" t="s">
        <v>88</v>
      </c>
      <c r="T842" s="1" t="s">
        <v>35</v>
      </c>
      <c r="U842" s="1" t="s">
        <v>82</v>
      </c>
      <c r="V842" s="1" t="s">
        <v>89</v>
      </c>
      <c r="W842">
        <v>2.4</v>
      </c>
      <c r="X842" s="1" t="str">
        <f t="shared" si="39"/>
        <v>catalina.vargas107@mail.com</v>
      </c>
      <c r="Y842" s="1" t="str">
        <f>INDEX(V:V,MATCH(orders_desnormalizado_prueba3[[#This Row],[acquisition_channel]],U:U,0))</f>
        <v>Bodega Propia CO - envio 2-3 dias</v>
      </c>
      <c r="Z842" s="1" t="str">
        <f>INDEX(T:T,MATCH(orders_desnormalizado_prueba3[[#This Row],[shipping_cost]],W:W,0))</f>
        <v>Colombia</v>
      </c>
      <c r="AA842" s="1" t="str">
        <f t="shared" si="40"/>
        <v>Cartagena</v>
      </c>
      <c r="AB842" s="1"/>
      <c r="AC842" s="1" t="str">
        <f t="shared" si="41"/>
        <v xml:space="preserve"> </v>
      </c>
    </row>
    <row r="843" spans="1:29" x14ac:dyDescent="0.3">
      <c r="A843" s="1" t="s">
        <v>1938</v>
      </c>
      <c r="B843">
        <v>1</v>
      </c>
      <c r="C843">
        <v>34.99</v>
      </c>
      <c r="D843">
        <v>34.99</v>
      </c>
      <c r="E843" s="1" t="s">
        <v>1749</v>
      </c>
      <c r="F843" s="1" t="s">
        <v>40</v>
      </c>
      <c r="G843">
        <v>6</v>
      </c>
      <c r="H843" s="1" t="s">
        <v>96</v>
      </c>
      <c r="I843" s="1" t="s">
        <v>85</v>
      </c>
      <c r="J843">
        <v>12.5</v>
      </c>
      <c r="K843">
        <v>34.99</v>
      </c>
      <c r="L843" s="1" t="s">
        <v>60</v>
      </c>
      <c r="M843" s="1" t="s">
        <v>29</v>
      </c>
      <c r="N843" s="1" t="s">
        <v>30</v>
      </c>
      <c r="O843" s="1" t="s">
        <v>31</v>
      </c>
      <c r="P843" s="2">
        <v>45778</v>
      </c>
      <c r="Q843" s="1" t="s">
        <v>1191</v>
      </c>
      <c r="R843" s="1" t="s">
        <v>1365</v>
      </c>
      <c r="S843" s="1" t="s">
        <v>54</v>
      </c>
      <c r="T843" s="1" t="s">
        <v>35</v>
      </c>
      <c r="U843" s="1" t="s">
        <v>82</v>
      </c>
      <c r="V843" s="1" t="s">
        <v>89</v>
      </c>
      <c r="W843">
        <v>2.4</v>
      </c>
      <c r="X843" s="1" t="str">
        <f t="shared" si="39"/>
        <v>esteban.ramirez113@mail.com</v>
      </c>
      <c r="Y843" s="1" t="str">
        <f>INDEX(V:V,MATCH(orders_desnormalizado_prueba3[[#This Row],[acquisition_channel]],U:U,0))</f>
        <v>Bodega Propia CO - envio 2-3 dias</v>
      </c>
      <c r="Z843" s="1" t="str">
        <f>INDEX(T:T,MATCH(orders_desnormalizado_prueba3[[#This Row],[shipping_cost]],W:W,0))</f>
        <v>Colombia</v>
      </c>
      <c r="AA843" s="1" t="str">
        <f t="shared" si="40"/>
        <v>Medellin</v>
      </c>
      <c r="AB843" s="1"/>
      <c r="AC843" s="1" t="str">
        <f t="shared" si="41"/>
        <v xml:space="preserve"> </v>
      </c>
    </row>
    <row r="844" spans="1:29" x14ac:dyDescent="0.3">
      <c r="A844" s="1" t="s">
        <v>1939</v>
      </c>
      <c r="B844">
        <v>1</v>
      </c>
      <c r="C844">
        <v>21.99</v>
      </c>
      <c r="D844">
        <v>21.99</v>
      </c>
      <c r="E844" s="1" t="s">
        <v>327</v>
      </c>
      <c r="F844" s="1" t="s">
        <v>40</v>
      </c>
      <c r="G844">
        <v>3</v>
      </c>
      <c r="H844" s="1" t="s">
        <v>26</v>
      </c>
      <c r="I844" s="1" t="s">
        <v>27</v>
      </c>
      <c r="J844">
        <v>7</v>
      </c>
      <c r="K844">
        <v>21.99</v>
      </c>
      <c r="L844" s="1" t="s">
        <v>28</v>
      </c>
      <c r="M844" s="1" t="s">
        <v>29</v>
      </c>
      <c r="N844" s="1" t="s">
        <v>30</v>
      </c>
      <c r="O844" s="1" t="s">
        <v>31</v>
      </c>
      <c r="P844" s="2">
        <v>45778</v>
      </c>
      <c r="Q844" s="1" t="s">
        <v>1940</v>
      </c>
      <c r="R844" s="1" t="s">
        <v>1941</v>
      </c>
      <c r="S844" s="1" t="s">
        <v>34</v>
      </c>
      <c r="T844" s="1" t="s">
        <v>35</v>
      </c>
      <c r="U844" s="1" t="s">
        <v>48</v>
      </c>
      <c r="V844" s="1" t="s">
        <v>37</v>
      </c>
      <c r="W844">
        <v>2</v>
      </c>
      <c r="X844" s="1" t="str">
        <f t="shared" si="39"/>
        <v>carlos.ramirez199@mail.com</v>
      </c>
      <c r="Y844" s="1" t="str">
        <f>INDEX(V:V,MATCH(orders_desnormalizado_prueba3[[#This Row],[acquisition_channel]],U:U,0))</f>
        <v>Bodega Propia CO - envio 2-3 dias</v>
      </c>
      <c r="Z844" s="1" t="str">
        <f>INDEX(T:T,MATCH(orders_desnormalizado_prueba3[[#This Row],[shipping_cost]],W:W,0))</f>
        <v>Colombia</v>
      </c>
      <c r="AA844" s="1" t="str">
        <f t="shared" si="40"/>
        <v>Barranquilla</v>
      </c>
      <c r="AB844" s="1"/>
      <c r="AC844" s="1" t="str">
        <f t="shared" si="41"/>
        <v xml:space="preserve"> </v>
      </c>
    </row>
    <row r="845" spans="1:29" x14ac:dyDescent="0.3">
      <c r="A845" s="1" t="s">
        <v>1942</v>
      </c>
      <c r="B845">
        <v>1</v>
      </c>
      <c r="C845">
        <v>34.99</v>
      </c>
      <c r="D845">
        <v>34.99</v>
      </c>
      <c r="E845" s="1" t="s">
        <v>214</v>
      </c>
      <c r="F845" s="1" t="s">
        <v>70</v>
      </c>
      <c r="G845">
        <v>0</v>
      </c>
      <c r="H845" s="1" t="s">
        <v>41</v>
      </c>
      <c r="I845" s="1" t="s">
        <v>85</v>
      </c>
      <c r="J845">
        <v>12.5</v>
      </c>
      <c r="K845">
        <v>34.99</v>
      </c>
      <c r="L845" s="1" t="s">
        <v>60</v>
      </c>
      <c r="M845" s="1" t="s">
        <v>29</v>
      </c>
      <c r="N845" s="1" t="s">
        <v>30</v>
      </c>
      <c r="O845" s="1" t="s">
        <v>31</v>
      </c>
      <c r="P845" s="2">
        <v>45778</v>
      </c>
      <c r="Q845" s="1" t="s">
        <v>1943</v>
      </c>
      <c r="R845" s="1" t="s">
        <v>1944</v>
      </c>
      <c r="S845" s="1" t="s">
        <v>105</v>
      </c>
      <c r="T845" s="1" t="s">
        <v>35</v>
      </c>
      <c r="U845" s="1" t="s">
        <v>48</v>
      </c>
      <c r="V845" s="1" t="s">
        <v>89</v>
      </c>
      <c r="W845">
        <v>2.4</v>
      </c>
      <c r="X845" s="1" t="str">
        <f t="shared" si="39"/>
        <v>natalia.gomez32@mail.com</v>
      </c>
      <c r="Y845" s="1" t="str">
        <f>INDEX(V:V,MATCH(orders_desnormalizado_prueba3[[#This Row],[acquisition_channel]],U:U,0))</f>
        <v>Bodega Propia CO - envio 2-3 dias</v>
      </c>
      <c r="Z845" s="1" t="str">
        <f>INDEX(T:T,MATCH(orders_desnormalizado_prueba3[[#This Row],[shipping_cost]],W:W,0))</f>
        <v>Colombia</v>
      </c>
      <c r="AA845" s="1" t="str">
        <f t="shared" si="40"/>
        <v>Cartagena</v>
      </c>
      <c r="AB845" s="1"/>
      <c r="AC845" s="1" t="str">
        <f t="shared" si="41"/>
        <v xml:space="preserve"> </v>
      </c>
    </row>
    <row r="846" spans="1:29" x14ac:dyDescent="0.3">
      <c r="A846" s="1" t="s">
        <v>1945</v>
      </c>
      <c r="B846">
        <v>3</v>
      </c>
      <c r="C846">
        <v>21.99</v>
      </c>
      <c r="D846">
        <v>52.63</v>
      </c>
      <c r="E846" s="1" t="s">
        <v>1592</v>
      </c>
      <c r="F846" s="1" t="s">
        <v>40</v>
      </c>
      <c r="G846">
        <v>8</v>
      </c>
      <c r="H846" s="1" t="s">
        <v>41</v>
      </c>
      <c r="I846" s="1" t="s">
        <v>27</v>
      </c>
      <c r="J846">
        <v>7</v>
      </c>
      <c r="K846">
        <v>21.99</v>
      </c>
      <c r="L846" s="1" t="s">
        <v>28</v>
      </c>
      <c r="M846" s="1" t="s">
        <v>29</v>
      </c>
      <c r="N846" s="1" t="s">
        <v>30</v>
      </c>
      <c r="O846" s="1" t="s">
        <v>31</v>
      </c>
      <c r="P846" s="2">
        <v>45778</v>
      </c>
      <c r="Q846" s="1" t="s">
        <v>1009</v>
      </c>
      <c r="R846" s="1" t="s">
        <v>1010</v>
      </c>
      <c r="S846" s="1" t="s">
        <v>47</v>
      </c>
      <c r="T846" s="1" t="s">
        <v>35</v>
      </c>
      <c r="U846" s="1" t="s">
        <v>82</v>
      </c>
      <c r="V846" s="1" t="s">
        <v>37</v>
      </c>
      <c r="W846">
        <v>2</v>
      </c>
      <c r="X846" s="1" t="str">
        <f t="shared" si="39"/>
        <v>manuela.martinez152@mail.com</v>
      </c>
      <c r="Y846" s="1" t="str">
        <f>INDEX(V:V,MATCH(orders_desnormalizado_prueba3[[#This Row],[acquisition_channel]],U:U,0))</f>
        <v>Bodega Propia CO - envio 2-3 dias</v>
      </c>
      <c r="Z846" s="1" t="str">
        <f>INDEX(T:T,MATCH(orders_desnormalizado_prueba3[[#This Row],[shipping_cost]],W:W,0))</f>
        <v>Colombia</v>
      </c>
      <c r="AA846" s="1" t="str">
        <f t="shared" si="40"/>
        <v>Barranquilla</v>
      </c>
      <c r="AB846" s="1"/>
      <c r="AC846" s="1" t="str">
        <f t="shared" si="41"/>
        <v xml:space="preserve"> </v>
      </c>
    </row>
    <row r="847" spans="1:29" x14ac:dyDescent="0.3">
      <c r="A847" s="1" t="s">
        <v>1946</v>
      </c>
      <c r="B847">
        <v>1</v>
      </c>
      <c r="C847">
        <v>21.99</v>
      </c>
      <c r="D847">
        <v>21.99</v>
      </c>
      <c r="E847" s="1" t="s">
        <v>868</v>
      </c>
      <c r="F847" s="1" t="s">
        <v>40</v>
      </c>
      <c r="G847">
        <v>3</v>
      </c>
      <c r="H847" s="1" t="s">
        <v>96</v>
      </c>
      <c r="I847" s="1" t="s">
        <v>27</v>
      </c>
      <c r="J847">
        <v>7</v>
      </c>
      <c r="K847">
        <v>21.99</v>
      </c>
      <c r="L847" s="1" t="s">
        <v>28</v>
      </c>
      <c r="M847" s="1" t="s">
        <v>29</v>
      </c>
      <c r="N847" s="1" t="s">
        <v>30</v>
      </c>
      <c r="O847" s="1" t="s">
        <v>31</v>
      </c>
      <c r="P847" s="2">
        <v>45778</v>
      </c>
      <c r="Q847" s="1" t="s">
        <v>1947</v>
      </c>
      <c r="R847" s="1" t="s">
        <v>1948</v>
      </c>
      <c r="S847" s="1" t="s">
        <v>34</v>
      </c>
      <c r="T847" s="1" t="s">
        <v>35</v>
      </c>
      <c r="U847" s="1" t="s">
        <v>55</v>
      </c>
      <c r="V847" s="1" t="s">
        <v>37</v>
      </c>
      <c r="W847">
        <v>2</v>
      </c>
      <c r="X847" s="1" t="str">
        <f t="shared" si="39"/>
        <v>laura.sanchez152@mail.com</v>
      </c>
      <c r="Y847" s="1" t="str">
        <f>INDEX(V:V,MATCH(orders_desnormalizado_prueba3[[#This Row],[acquisition_channel]],U:U,0))</f>
        <v>Bodega Propia CO - envio 2-3 dias</v>
      </c>
      <c r="Z847" s="1" t="str">
        <f>INDEX(T:T,MATCH(orders_desnormalizado_prueba3[[#This Row],[shipping_cost]],W:W,0))</f>
        <v>Colombia</v>
      </c>
      <c r="AA847" s="1" t="str">
        <f t="shared" si="40"/>
        <v>Barranquilla</v>
      </c>
      <c r="AB847" s="1"/>
      <c r="AC847" s="1" t="str">
        <f t="shared" si="41"/>
        <v xml:space="preserve"> </v>
      </c>
    </row>
    <row r="848" spans="1:29" x14ac:dyDescent="0.3">
      <c r="A848" s="1" t="s">
        <v>1949</v>
      </c>
      <c r="B848">
        <v>1</v>
      </c>
      <c r="C848">
        <v>34.99</v>
      </c>
      <c r="D848">
        <v>34.99</v>
      </c>
      <c r="E848" s="1" t="s">
        <v>753</v>
      </c>
      <c r="F848" s="1" t="s">
        <v>40</v>
      </c>
      <c r="G848">
        <v>12</v>
      </c>
      <c r="H848" s="1" t="s">
        <v>96</v>
      </c>
      <c r="I848" s="1" t="s">
        <v>85</v>
      </c>
      <c r="J848">
        <v>12.5</v>
      </c>
      <c r="K848">
        <v>34.99</v>
      </c>
      <c r="L848" s="1" t="s">
        <v>60</v>
      </c>
      <c r="M848" s="1" t="s">
        <v>29</v>
      </c>
      <c r="N848" s="1" t="s">
        <v>30</v>
      </c>
      <c r="O848" s="1" t="s">
        <v>31</v>
      </c>
      <c r="P848" s="2">
        <v>45778</v>
      </c>
      <c r="Q848" s="1" t="s">
        <v>1316</v>
      </c>
      <c r="R848" s="1" t="s">
        <v>1317</v>
      </c>
      <c r="S848" s="1" t="s">
        <v>105</v>
      </c>
      <c r="T848" s="1" t="s">
        <v>35</v>
      </c>
      <c r="U848" s="1" t="s">
        <v>66</v>
      </c>
      <c r="V848" s="1" t="s">
        <v>89</v>
      </c>
      <c r="W848">
        <v>2.4</v>
      </c>
      <c r="X848" s="1" t="str">
        <f t="shared" si="39"/>
        <v>juan.moreno182@mail.com</v>
      </c>
      <c r="Y848" s="1" t="str">
        <f>INDEX(V:V,MATCH(orders_desnormalizado_prueba3[[#This Row],[acquisition_channel]],U:U,0))</f>
        <v>AliDropship CN - envio 15-20 dias</v>
      </c>
      <c r="Z848" s="1" t="str">
        <f>INDEX(T:T,MATCH(orders_desnormalizado_prueba3[[#This Row],[shipping_cost]],W:W,0))</f>
        <v>Colombia</v>
      </c>
      <c r="AA848" s="1" t="str">
        <f t="shared" si="40"/>
        <v>Cartagena</v>
      </c>
      <c r="AB848" s="1"/>
      <c r="AC848" s="1" t="str">
        <f t="shared" si="41"/>
        <v xml:space="preserve"> </v>
      </c>
    </row>
    <row r="849" spans="1:29" x14ac:dyDescent="0.3">
      <c r="A849" s="1" t="s">
        <v>1950</v>
      </c>
      <c r="B849">
        <v>1</v>
      </c>
      <c r="C849">
        <v>18.989999999999998</v>
      </c>
      <c r="D849">
        <v>18.989999999999998</v>
      </c>
      <c r="E849" s="1" t="s">
        <v>1331</v>
      </c>
      <c r="F849" s="1" t="s">
        <v>40</v>
      </c>
      <c r="G849">
        <v>19</v>
      </c>
      <c r="H849" s="1" t="s">
        <v>26</v>
      </c>
      <c r="I849" s="1" t="s">
        <v>97</v>
      </c>
      <c r="J849">
        <v>6</v>
      </c>
      <c r="K849">
        <v>18.989999999999998</v>
      </c>
      <c r="L849" s="1" t="s">
        <v>60</v>
      </c>
      <c r="M849" s="1" t="s">
        <v>43</v>
      </c>
      <c r="N849" s="1" t="s">
        <v>44</v>
      </c>
      <c r="O849" s="1" t="s">
        <v>31</v>
      </c>
      <c r="P849" s="2">
        <v>45823</v>
      </c>
      <c r="Q849" s="1" t="s">
        <v>1234</v>
      </c>
      <c r="R849" s="1" t="s">
        <v>1671</v>
      </c>
      <c r="S849" s="1" t="s">
        <v>47</v>
      </c>
      <c r="T849" s="1" t="s">
        <v>35</v>
      </c>
      <c r="U849" s="1" t="s">
        <v>82</v>
      </c>
      <c r="V849" s="1" t="s">
        <v>100</v>
      </c>
      <c r="W849">
        <v>3.2</v>
      </c>
      <c r="X849" s="1" t="str">
        <f t="shared" si="39"/>
        <v>antonia.ortiz67@mail.com</v>
      </c>
      <c r="Y849" s="1" t="str">
        <f>INDEX(V:V,MATCH(orders_desnormalizado_prueba3[[#This Row],[acquisition_channel]],U:U,0))</f>
        <v>Bodega Propia CO - envio 2-3 dias</v>
      </c>
      <c r="Z849" s="1" t="str">
        <f>INDEX(T:T,MATCH(orders_desnormalizado_prueba3[[#This Row],[shipping_cost]],W:W,0))</f>
        <v>Colombia</v>
      </c>
      <c r="AA849" s="1" t="str">
        <f t="shared" si="40"/>
        <v>Bogota</v>
      </c>
      <c r="AB849" s="1"/>
      <c r="AC849" s="1" t="str">
        <f t="shared" si="41"/>
        <v xml:space="preserve"> </v>
      </c>
    </row>
    <row r="850" spans="1:29" x14ac:dyDescent="0.3">
      <c r="A850" s="1" t="s">
        <v>1951</v>
      </c>
      <c r="B850">
        <v>1</v>
      </c>
      <c r="C850">
        <v>30.99</v>
      </c>
      <c r="D850">
        <v>30.99</v>
      </c>
      <c r="E850" s="1" t="s">
        <v>950</v>
      </c>
      <c r="F850" s="1" t="s">
        <v>51</v>
      </c>
      <c r="G850">
        <v>0</v>
      </c>
      <c r="H850" s="1" t="s">
        <v>26</v>
      </c>
      <c r="I850" s="1" t="s">
        <v>42</v>
      </c>
      <c r="J850">
        <v>10.5</v>
      </c>
      <c r="K850">
        <v>30.99</v>
      </c>
      <c r="L850" s="1" t="s">
        <v>28</v>
      </c>
      <c r="M850" s="1" t="s">
        <v>43</v>
      </c>
      <c r="N850" s="1" t="s">
        <v>44</v>
      </c>
      <c r="O850" s="1" t="s">
        <v>31</v>
      </c>
      <c r="P850" s="2">
        <v>45823</v>
      </c>
      <c r="Q850" s="1" t="s">
        <v>1241</v>
      </c>
      <c r="R850" s="1" t="s">
        <v>1242</v>
      </c>
      <c r="S850" s="1" t="s">
        <v>54</v>
      </c>
      <c r="T850" s="1" t="s">
        <v>35</v>
      </c>
      <c r="U850" s="1" t="s">
        <v>48</v>
      </c>
      <c r="V850" s="1" t="s">
        <v>37</v>
      </c>
      <c r="W850">
        <v>2</v>
      </c>
      <c r="X850" s="1" t="str">
        <f t="shared" si="39"/>
        <v>antonia.torres55@mail.com</v>
      </c>
      <c r="Y850" s="1" t="str">
        <f>INDEX(V:V,MATCH(orders_desnormalizado_prueba3[[#This Row],[acquisition_channel]],U:U,0))</f>
        <v>Bodega Propia CO - envio 2-3 dias</v>
      </c>
      <c r="Z850" s="1" t="str">
        <f>INDEX(T:T,MATCH(orders_desnormalizado_prueba3[[#This Row],[shipping_cost]],W:W,0))</f>
        <v>Colombia</v>
      </c>
      <c r="AA850" s="1" t="str">
        <f t="shared" si="40"/>
        <v>Cartagena</v>
      </c>
      <c r="AB850" s="1"/>
      <c r="AC850" s="1" t="str">
        <f t="shared" si="41"/>
        <v xml:space="preserve"> </v>
      </c>
    </row>
    <row r="851" spans="1:29" x14ac:dyDescent="0.3">
      <c r="A851" s="1" t="s">
        <v>1952</v>
      </c>
      <c r="B851">
        <v>3</v>
      </c>
      <c r="C851">
        <v>27.99</v>
      </c>
      <c r="D851">
        <v>65.92</v>
      </c>
      <c r="E851" s="1" t="s">
        <v>1953</v>
      </c>
      <c r="F851" s="1" t="s">
        <v>40</v>
      </c>
      <c r="G851">
        <v>2</v>
      </c>
      <c r="H851" s="1" t="s">
        <v>41</v>
      </c>
      <c r="I851" s="1" t="s">
        <v>75</v>
      </c>
      <c r="J851">
        <v>9</v>
      </c>
      <c r="K851">
        <v>27.99</v>
      </c>
      <c r="L851" s="1" t="s">
        <v>28</v>
      </c>
      <c r="M851" s="1" t="s">
        <v>61</v>
      </c>
      <c r="N851" s="1" t="s">
        <v>62</v>
      </c>
      <c r="O851" s="1" t="s">
        <v>31</v>
      </c>
      <c r="P851" s="2">
        <v>45726</v>
      </c>
      <c r="Q851" s="1" t="s">
        <v>428</v>
      </c>
      <c r="R851" s="1" t="s">
        <v>1094</v>
      </c>
      <c r="S851" s="1" t="s">
        <v>105</v>
      </c>
      <c r="T851" s="1" t="s">
        <v>35</v>
      </c>
      <c r="U851" s="1" t="s">
        <v>36</v>
      </c>
      <c r="V851" s="1" t="s">
        <v>37</v>
      </c>
      <c r="W851">
        <v>2</v>
      </c>
      <c r="X851" s="1" t="str">
        <f t="shared" si="39"/>
        <v>andres.castro163@mail.com</v>
      </c>
      <c r="Y851" s="1" t="str">
        <f>INDEX(V:V,MATCH(orders_desnormalizado_prueba3[[#This Row],[acquisition_channel]],U:U,0))</f>
        <v>Bodega Propia CO - envio 2-3 dias</v>
      </c>
      <c r="Z851" s="1" t="str">
        <f>INDEX(T:T,MATCH(orders_desnormalizado_prueba3[[#This Row],[shipping_cost]],W:W,0))</f>
        <v>Colombia</v>
      </c>
      <c r="AA851" s="1" t="str">
        <f t="shared" si="40"/>
        <v>Medellin</v>
      </c>
      <c r="AB851" s="1"/>
      <c r="AC851" s="1" t="str">
        <f t="shared" si="41"/>
        <v xml:space="preserve"> </v>
      </c>
    </row>
    <row r="852" spans="1:29" x14ac:dyDescent="0.3">
      <c r="A852" s="1" t="s">
        <v>1954</v>
      </c>
      <c r="B852">
        <v>1</v>
      </c>
      <c r="C852">
        <v>18.989999999999998</v>
      </c>
      <c r="D852">
        <v>18.989999999999998</v>
      </c>
      <c r="E852" s="1" t="s">
        <v>1953</v>
      </c>
      <c r="F852" s="1" t="s">
        <v>40</v>
      </c>
      <c r="G852">
        <v>12</v>
      </c>
      <c r="H852" s="1" t="s">
        <v>41</v>
      </c>
      <c r="I852" s="1" t="s">
        <v>97</v>
      </c>
      <c r="J852">
        <v>6</v>
      </c>
      <c r="K852">
        <v>18.989999999999998</v>
      </c>
      <c r="L852" s="1" t="s">
        <v>60</v>
      </c>
      <c r="M852" s="1" t="s">
        <v>43</v>
      </c>
      <c r="N852" s="1" t="s">
        <v>44</v>
      </c>
      <c r="O852" s="1" t="s">
        <v>31</v>
      </c>
      <c r="P852" s="2">
        <v>45823</v>
      </c>
      <c r="Q852" s="1" t="s">
        <v>1955</v>
      </c>
      <c r="R852" s="1" t="s">
        <v>1956</v>
      </c>
      <c r="S852" s="1" t="s">
        <v>34</v>
      </c>
      <c r="T852" s="1" t="s">
        <v>35</v>
      </c>
      <c r="U852" s="1" t="s">
        <v>66</v>
      </c>
      <c r="V852" s="1" t="s">
        <v>100</v>
      </c>
      <c r="W852">
        <v>3.2</v>
      </c>
      <c r="X852" s="1" t="str">
        <f t="shared" si="39"/>
        <v>santiago.diaz113@mail.com</v>
      </c>
      <c r="Y852" s="1" t="str">
        <f>INDEX(V:V,MATCH(orders_desnormalizado_prueba3[[#This Row],[acquisition_channel]],U:U,0))</f>
        <v>AliDropship CN - envio 15-20 dias</v>
      </c>
      <c r="Z852" s="1" t="str">
        <f>INDEX(T:T,MATCH(orders_desnormalizado_prueba3[[#This Row],[shipping_cost]],W:W,0))</f>
        <v>Colombia</v>
      </c>
      <c r="AA852" s="1" t="str">
        <f t="shared" si="40"/>
        <v>Cartagena</v>
      </c>
      <c r="AB852" s="1"/>
      <c r="AC852" s="1" t="str">
        <f t="shared" si="41"/>
        <v xml:space="preserve"> </v>
      </c>
    </row>
    <row r="853" spans="1:29" x14ac:dyDescent="0.3">
      <c r="A853" s="1" t="s">
        <v>1957</v>
      </c>
      <c r="B853">
        <v>1</v>
      </c>
      <c r="C853">
        <v>34.99</v>
      </c>
      <c r="D853">
        <v>34.99</v>
      </c>
      <c r="E853" s="1" t="s">
        <v>419</v>
      </c>
      <c r="F853" s="1" t="s">
        <v>51</v>
      </c>
      <c r="G853">
        <v>0</v>
      </c>
      <c r="H853" s="1" t="s">
        <v>41</v>
      </c>
      <c r="I853" s="1" t="s">
        <v>85</v>
      </c>
      <c r="J853">
        <v>12.5</v>
      </c>
      <c r="K853">
        <v>34.99</v>
      </c>
      <c r="L853" s="1" t="s">
        <v>60</v>
      </c>
      <c r="M853" s="1" t="s">
        <v>29</v>
      </c>
      <c r="N853" s="1" t="s">
        <v>30</v>
      </c>
      <c r="O853" s="1" t="s">
        <v>31</v>
      </c>
      <c r="P853" s="2">
        <v>45778</v>
      </c>
      <c r="Q853" s="1" t="s">
        <v>1009</v>
      </c>
      <c r="R853" s="1" t="s">
        <v>1010</v>
      </c>
      <c r="S853" s="1" t="s">
        <v>47</v>
      </c>
      <c r="T853" s="1" t="s">
        <v>35</v>
      </c>
      <c r="U853" s="1" t="s">
        <v>82</v>
      </c>
      <c r="V853" s="1" t="s">
        <v>89</v>
      </c>
      <c r="W853">
        <v>2.4</v>
      </c>
      <c r="X853" s="1" t="str">
        <f t="shared" si="39"/>
        <v>manuela.martinez152@mail.com</v>
      </c>
      <c r="Y853" s="1" t="str">
        <f>INDEX(V:V,MATCH(orders_desnormalizado_prueba3[[#This Row],[acquisition_channel]],U:U,0))</f>
        <v>Bodega Propia CO - envio 2-3 dias</v>
      </c>
      <c r="Z853" s="1" t="str">
        <f>INDEX(T:T,MATCH(orders_desnormalizado_prueba3[[#This Row],[shipping_cost]],W:W,0))</f>
        <v>Colombia</v>
      </c>
      <c r="AA853" s="1" t="str">
        <f t="shared" si="40"/>
        <v>Cartagena</v>
      </c>
      <c r="AB853" s="1"/>
      <c r="AC853" s="1" t="str">
        <f t="shared" si="41"/>
        <v xml:space="preserve"> </v>
      </c>
    </row>
    <row r="854" spans="1:29" x14ac:dyDescent="0.3">
      <c r="A854" s="1" t="s">
        <v>1958</v>
      </c>
      <c r="B854">
        <v>1</v>
      </c>
      <c r="C854">
        <v>27.99</v>
      </c>
      <c r="D854">
        <v>27.99</v>
      </c>
      <c r="E854" s="1" t="s">
        <v>168</v>
      </c>
      <c r="F854" s="1" t="s">
        <v>70</v>
      </c>
      <c r="G854">
        <v>0</v>
      </c>
      <c r="H854" s="1" t="s">
        <v>58</v>
      </c>
      <c r="I854" s="1" t="s">
        <v>75</v>
      </c>
      <c r="J854">
        <v>9</v>
      </c>
      <c r="K854">
        <v>27.99</v>
      </c>
      <c r="L854" s="1" t="s">
        <v>28</v>
      </c>
      <c r="M854" s="1" t="s">
        <v>61</v>
      </c>
      <c r="N854" s="1" t="s">
        <v>62</v>
      </c>
      <c r="O854" s="1" t="s">
        <v>31</v>
      </c>
      <c r="P854" s="2">
        <v>45726</v>
      </c>
      <c r="Q854" s="1" t="s">
        <v>118</v>
      </c>
      <c r="R854" s="1" t="s">
        <v>1959</v>
      </c>
      <c r="S854" s="1" t="s">
        <v>65</v>
      </c>
      <c r="T854" s="1" t="s">
        <v>35</v>
      </c>
      <c r="U854" s="1" t="s">
        <v>36</v>
      </c>
      <c r="V854" s="1" t="s">
        <v>37</v>
      </c>
      <c r="W854">
        <v>2</v>
      </c>
      <c r="X854" s="1" t="str">
        <f t="shared" si="39"/>
        <v>camila.torres36@mail.com</v>
      </c>
      <c r="Y854" s="1" t="str">
        <f>INDEX(V:V,MATCH(orders_desnormalizado_prueba3[[#This Row],[acquisition_channel]],U:U,0))</f>
        <v>Bodega Propia CO - envio 2-3 dias</v>
      </c>
      <c r="Z854" s="1" t="str">
        <f>INDEX(T:T,MATCH(orders_desnormalizado_prueba3[[#This Row],[shipping_cost]],W:W,0))</f>
        <v>Colombia</v>
      </c>
      <c r="AA854" s="1" t="str">
        <f t="shared" si="40"/>
        <v>Cartagena</v>
      </c>
      <c r="AB854" s="1"/>
      <c r="AC854" s="1" t="str">
        <f t="shared" si="41"/>
        <v xml:space="preserve"> </v>
      </c>
    </row>
    <row r="855" spans="1:29" x14ac:dyDescent="0.3">
      <c r="A855" s="1" t="s">
        <v>1960</v>
      </c>
      <c r="B855">
        <v>3</v>
      </c>
      <c r="C855">
        <v>30.99</v>
      </c>
      <c r="D855">
        <v>73.27</v>
      </c>
      <c r="E855" s="1" t="s">
        <v>1961</v>
      </c>
      <c r="F855" s="1" t="s">
        <v>70</v>
      </c>
      <c r="G855">
        <v>0</v>
      </c>
      <c r="H855" s="1" t="s">
        <v>41</v>
      </c>
      <c r="I855" s="1" t="s">
        <v>42</v>
      </c>
      <c r="J855">
        <v>10.5</v>
      </c>
      <c r="K855">
        <v>30.99</v>
      </c>
      <c r="L855" s="1" t="s">
        <v>28</v>
      </c>
      <c r="M855" s="1" t="s">
        <v>43</v>
      </c>
      <c r="N855" s="1" t="s">
        <v>44</v>
      </c>
      <c r="O855" s="1" t="s">
        <v>31</v>
      </c>
      <c r="P855" s="2">
        <v>45823</v>
      </c>
      <c r="Q855" s="1" t="s">
        <v>140</v>
      </c>
      <c r="R855" s="1" t="s">
        <v>1199</v>
      </c>
      <c r="S855" s="1" t="s">
        <v>65</v>
      </c>
      <c r="T855" s="1" t="s">
        <v>35</v>
      </c>
      <c r="U855" s="1" t="s">
        <v>36</v>
      </c>
      <c r="V855" s="1" t="s">
        <v>37</v>
      </c>
      <c r="W855">
        <v>2</v>
      </c>
      <c r="X855" s="1" t="str">
        <f t="shared" si="39"/>
        <v>david.rodriguez33@mail.com</v>
      </c>
      <c r="Y855" s="1" t="str">
        <f>INDEX(V:V,MATCH(orders_desnormalizado_prueba3[[#This Row],[acquisition_channel]],U:U,0))</f>
        <v>Bodega Propia CO - envio 2-3 dias</v>
      </c>
      <c r="Z855" s="1" t="str">
        <f>INDEX(T:T,MATCH(orders_desnormalizado_prueba3[[#This Row],[shipping_cost]],W:W,0))</f>
        <v>Colombia</v>
      </c>
      <c r="AA855" s="1" t="str">
        <f t="shared" si="40"/>
        <v>Cartagena</v>
      </c>
      <c r="AB855" s="1"/>
      <c r="AC855" s="1" t="str">
        <f t="shared" si="41"/>
        <v xml:space="preserve"> </v>
      </c>
    </row>
    <row r="856" spans="1:29" x14ac:dyDescent="0.3">
      <c r="A856" s="1" t="s">
        <v>1962</v>
      </c>
      <c r="B856">
        <v>3</v>
      </c>
      <c r="C856">
        <v>16.989999999999998</v>
      </c>
      <c r="D856">
        <v>41.23</v>
      </c>
      <c r="E856" s="1" t="s">
        <v>1749</v>
      </c>
      <c r="F856" s="1" t="s">
        <v>40</v>
      </c>
      <c r="G856">
        <v>19</v>
      </c>
      <c r="H856" s="1" t="s">
        <v>96</v>
      </c>
      <c r="I856" s="1" t="s">
        <v>59</v>
      </c>
      <c r="J856">
        <v>5</v>
      </c>
      <c r="K856">
        <v>16.989999999999998</v>
      </c>
      <c r="L856" s="1" t="s">
        <v>60</v>
      </c>
      <c r="M856" s="1" t="s">
        <v>61</v>
      </c>
      <c r="N856" s="1" t="s">
        <v>62</v>
      </c>
      <c r="O856" s="1" t="s">
        <v>31</v>
      </c>
      <c r="P856" s="2">
        <v>45726</v>
      </c>
      <c r="Q856" s="1" t="s">
        <v>118</v>
      </c>
      <c r="R856" s="1" t="s">
        <v>751</v>
      </c>
      <c r="S856" s="1" t="s">
        <v>65</v>
      </c>
      <c r="T856" s="1" t="s">
        <v>35</v>
      </c>
      <c r="U856" s="1" t="s">
        <v>82</v>
      </c>
      <c r="V856" s="1" t="s">
        <v>67</v>
      </c>
      <c r="W856">
        <v>3</v>
      </c>
      <c r="X856" s="1" t="str">
        <f t="shared" si="39"/>
        <v>camila.torres36@mail.com</v>
      </c>
      <c r="Y856" s="1" t="str">
        <f>INDEX(V:V,MATCH(orders_desnormalizado_prueba3[[#This Row],[acquisition_channel]],U:U,0))</f>
        <v>Bodega Propia CO - envio 2-3 dias</v>
      </c>
      <c r="Z856" s="1" t="str">
        <f>INDEX(T:T,MATCH(orders_desnormalizado_prueba3[[#This Row],[shipping_cost]],W:W,0))</f>
        <v>Colombia</v>
      </c>
      <c r="AA856" s="1" t="str">
        <f t="shared" si="40"/>
        <v>Bogota</v>
      </c>
      <c r="AB856" s="1"/>
      <c r="AC856" s="1" t="str">
        <f t="shared" si="41"/>
        <v xml:space="preserve"> </v>
      </c>
    </row>
    <row r="857" spans="1:29" x14ac:dyDescent="0.3">
      <c r="A857" s="1" t="s">
        <v>1963</v>
      </c>
      <c r="B857">
        <v>3</v>
      </c>
      <c r="C857">
        <v>34.99</v>
      </c>
      <c r="D857">
        <v>83.89</v>
      </c>
      <c r="E857" s="1" t="s">
        <v>252</v>
      </c>
      <c r="F857" s="1" t="s">
        <v>40</v>
      </c>
      <c r="G857">
        <v>5</v>
      </c>
      <c r="H857" s="1" t="s">
        <v>96</v>
      </c>
      <c r="I857" s="1" t="s">
        <v>85</v>
      </c>
      <c r="J857">
        <v>12.5</v>
      </c>
      <c r="K857">
        <v>34.99</v>
      </c>
      <c r="L857" s="1" t="s">
        <v>60</v>
      </c>
      <c r="M857" s="1" t="s">
        <v>29</v>
      </c>
      <c r="N857" s="1" t="s">
        <v>30</v>
      </c>
      <c r="O857" s="1" t="s">
        <v>31</v>
      </c>
      <c r="P857" s="2">
        <v>45778</v>
      </c>
      <c r="Q857" s="1" t="s">
        <v>884</v>
      </c>
      <c r="R857" s="1" t="s">
        <v>885</v>
      </c>
      <c r="S857" s="1" t="s">
        <v>34</v>
      </c>
      <c r="T857" s="1" t="s">
        <v>35</v>
      </c>
      <c r="U857" s="1" t="s">
        <v>36</v>
      </c>
      <c r="V857" s="1" t="s">
        <v>89</v>
      </c>
      <c r="W857">
        <v>2.4</v>
      </c>
      <c r="X857" s="1" t="str">
        <f t="shared" si="39"/>
        <v>paula.martinez72@mail.com</v>
      </c>
      <c r="Y857" s="1" t="str">
        <f>INDEX(V:V,MATCH(orders_desnormalizado_prueba3[[#This Row],[acquisition_channel]],U:U,0))</f>
        <v>Bodega Propia CO - envio 2-3 dias</v>
      </c>
      <c r="Z857" s="1" t="str">
        <f>INDEX(T:T,MATCH(orders_desnormalizado_prueba3[[#This Row],[shipping_cost]],W:W,0))</f>
        <v>Colombia</v>
      </c>
      <c r="AA857" s="1" t="str">
        <f t="shared" si="40"/>
        <v>Cali</v>
      </c>
      <c r="AB857" s="1"/>
      <c r="AC857" s="1" t="str">
        <f t="shared" si="41"/>
        <v xml:space="preserve"> </v>
      </c>
    </row>
    <row r="858" spans="1:29" x14ac:dyDescent="0.3">
      <c r="A858" s="1" t="s">
        <v>1964</v>
      </c>
      <c r="B858">
        <v>1</v>
      </c>
      <c r="C858">
        <v>18.989999999999998</v>
      </c>
      <c r="D858">
        <v>18.989999999999998</v>
      </c>
      <c r="E858" s="1" t="s">
        <v>1965</v>
      </c>
      <c r="F858" s="1" t="s">
        <v>40</v>
      </c>
      <c r="G858">
        <v>11</v>
      </c>
      <c r="H858" s="1" t="s">
        <v>96</v>
      </c>
      <c r="I858" s="1" t="s">
        <v>97</v>
      </c>
      <c r="J858">
        <v>6</v>
      </c>
      <c r="K858">
        <v>18.989999999999998</v>
      </c>
      <c r="L858" s="1" t="s">
        <v>60</v>
      </c>
      <c r="M858" s="1" t="s">
        <v>43</v>
      </c>
      <c r="N858" s="1" t="s">
        <v>44</v>
      </c>
      <c r="O858" s="1" t="s">
        <v>31</v>
      </c>
      <c r="P858" s="2">
        <v>45823</v>
      </c>
      <c r="Q858" s="1" t="s">
        <v>1112</v>
      </c>
      <c r="R858" s="1" t="s">
        <v>1113</v>
      </c>
      <c r="S858" s="1" t="s">
        <v>105</v>
      </c>
      <c r="T858" s="1" t="s">
        <v>35</v>
      </c>
      <c r="U858" s="1" t="s">
        <v>66</v>
      </c>
      <c r="V858" s="1" t="s">
        <v>100</v>
      </c>
      <c r="W858">
        <v>3.2</v>
      </c>
      <c r="X858" s="1" t="str">
        <f t="shared" si="39"/>
        <v>felipe.moreno124@mail.com</v>
      </c>
      <c r="Y858" s="1" t="str">
        <f>INDEX(V:V,MATCH(orders_desnormalizado_prueba3[[#This Row],[acquisition_channel]],U:U,0))</f>
        <v>AliDropship CN - envio 15-20 dias</v>
      </c>
      <c r="Z858" s="1" t="str">
        <f>INDEX(T:T,MATCH(orders_desnormalizado_prueba3[[#This Row],[shipping_cost]],W:W,0))</f>
        <v>Colombia</v>
      </c>
      <c r="AA858" s="1" t="str">
        <f t="shared" si="40"/>
        <v>Cali</v>
      </c>
      <c r="AB858" s="1"/>
      <c r="AC858" s="1" t="str">
        <f t="shared" si="41"/>
        <v xml:space="preserve"> </v>
      </c>
    </row>
    <row r="859" spans="1:29" x14ac:dyDescent="0.3">
      <c r="A859" s="1" t="s">
        <v>1966</v>
      </c>
      <c r="B859">
        <v>1</v>
      </c>
      <c r="C859">
        <v>18.989999999999998</v>
      </c>
      <c r="D859">
        <v>18.989999999999998</v>
      </c>
      <c r="E859" s="1" t="s">
        <v>1832</v>
      </c>
      <c r="F859" s="1" t="s">
        <v>40</v>
      </c>
      <c r="G859">
        <v>14</v>
      </c>
      <c r="H859" s="1" t="s">
        <v>41</v>
      </c>
      <c r="I859" s="1" t="s">
        <v>97</v>
      </c>
      <c r="J859">
        <v>6</v>
      </c>
      <c r="K859">
        <v>18.989999999999998</v>
      </c>
      <c r="L859" s="1" t="s">
        <v>60</v>
      </c>
      <c r="M859" s="1" t="s">
        <v>43</v>
      </c>
      <c r="N859" s="1" t="s">
        <v>44</v>
      </c>
      <c r="O859" s="1" t="s">
        <v>31</v>
      </c>
      <c r="P859" s="2">
        <v>45823</v>
      </c>
      <c r="Q859" s="1" t="s">
        <v>358</v>
      </c>
      <c r="R859" s="1" t="s">
        <v>1391</v>
      </c>
      <c r="S859" s="1" t="s">
        <v>34</v>
      </c>
      <c r="T859" s="1" t="s">
        <v>35</v>
      </c>
      <c r="U859" s="1" t="s">
        <v>82</v>
      </c>
      <c r="V859" s="1" t="s">
        <v>100</v>
      </c>
      <c r="W859">
        <v>3.2</v>
      </c>
      <c r="X859" s="1" t="str">
        <f t="shared" si="39"/>
        <v>valentina.sanchez97@mail.com</v>
      </c>
      <c r="Y859" s="1" t="str">
        <f>INDEX(V:V,MATCH(orders_desnormalizado_prueba3[[#This Row],[acquisition_channel]],U:U,0))</f>
        <v>Bodega Propia CO - envio 2-3 dias</v>
      </c>
      <c r="Z859" s="1" t="str">
        <f>INDEX(T:T,MATCH(orders_desnormalizado_prueba3[[#This Row],[shipping_cost]],W:W,0))</f>
        <v>Colombia</v>
      </c>
      <c r="AA859" s="1" t="str">
        <f t="shared" si="40"/>
        <v>Bogota</v>
      </c>
      <c r="AB859" s="1"/>
      <c r="AC859" s="1" t="str">
        <f t="shared" si="41"/>
        <v xml:space="preserve"> </v>
      </c>
    </row>
    <row r="860" spans="1:29" x14ac:dyDescent="0.3">
      <c r="A860" s="1" t="s">
        <v>1967</v>
      </c>
      <c r="B860">
        <v>1</v>
      </c>
      <c r="C860">
        <v>18.989999999999998</v>
      </c>
      <c r="D860">
        <v>18.989999999999998</v>
      </c>
      <c r="E860" s="1" t="s">
        <v>1968</v>
      </c>
      <c r="F860" s="1" t="s">
        <v>25</v>
      </c>
      <c r="G860">
        <v>11</v>
      </c>
      <c r="H860" s="1" t="s">
        <v>26</v>
      </c>
      <c r="I860" s="1" t="s">
        <v>97</v>
      </c>
      <c r="J860">
        <v>6</v>
      </c>
      <c r="K860">
        <v>18.989999999999998</v>
      </c>
      <c r="L860" s="1" t="s">
        <v>60</v>
      </c>
      <c r="M860" s="1" t="s">
        <v>43</v>
      </c>
      <c r="N860" s="1" t="s">
        <v>44</v>
      </c>
      <c r="O860" s="1" t="s">
        <v>31</v>
      </c>
      <c r="P860" s="2">
        <v>45823</v>
      </c>
      <c r="Q860" s="1" t="s">
        <v>1969</v>
      </c>
      <c r="R860" s="1" t="s">
        <v>1970</v>
      </c>
      <c r="S860" s="1" t="s">
        <v>34</v>
      </c>
      <c r="T860" s="1" t="s">
        <v>35</v>
      </c>
      <c r="U860" s="1" t="s">
        <v>55</v>
      </c>
      <c r="V860" s="1" t="s">
        <v>100</v>
      </c>
      <c r="W860">
        <v>3.2</v>
      </c>
      <c r="X860" s="1" t="str">
        <f t="shared" si="39"/>
        <v>esteban.castro8@mail.com</v>
      </c>
      <c r="Y860" s="1" t="str">
        <f>INDEX(V:V,MATCH(orders_desnormalizado_prueba3[[#This Row],[acquisition_channel]],U:U,0))</f>
        <v>Bodega Propia CO - envio 2-3 dias</v>
      </c>
      <c r="Z860" s="1" t="str">
        <f>INDEX(T:T,MATCH(orders_desnormalizado_prueba3[[#This Row],[shipping_cost]],W:W,0))</f>
        <v>Colombia</v>
      </c>
      <c r="AA860" s="1" t="str">
        <f t="shared" si="40"/>
        <v>Cali</v>
      </c>
      <c r="AB860" s="1"/>
      <c r="AC860" s="1" t="str">
        <f t="shared" si="41"/>
        <v xml:space="preserve"> </v>
      </c>
    </row>
    <row r="861" spans="1:29" x14ac:dyDescent="0.3">
      <c r="A861" s="1" t="s">
        <v>1971</v>
      </c>
      <c r="B861">
        <v>1</v>
      </c>
      <c r="C861">
        <v>34.99</v>
      </c>
      <c r="D861">
        <v>34.99</v>
      </c>
      <c r="E861" s="1" t="s">
        <v>252</v>
      </c>
      <c r="F861" s="1" t="s">
        <v>51</v>
      </c>
      <c r="G861">
        <v>0</v>
      </c>
      <c r="H861" s="1" t="s">
        <v>41</v>
      </c>
      <c r="I861" s="1" t="s">
        <v>85</v>
      </c>
      <c r="J861">
        <v>12.5</v>
      </c>
      <c r="K861">
        <v>34.99</v>
      </c>
      <c r="L861" s="1" t="s">
        <v>60</v>
      </c>
      <c r="M861" s="1" t="s">
        <v>29</v>
      </c>
      <c r="N861" s="1" t="s">
        <v>30</v>
      </c>
      <c r="O861" s="1" t="s">
        <v>31</v>
      </c>
      <c r="P861" s="2">
        <v>45778</v>
      </c>
      <c r="Q861" s="1" t="s">
        <v>842</v>
      </c>
      <c r="R861" s="1" t="s">
        <v>1972</v>
      </c>
      <c r="S861" s="1" t="s">
        <v>88</v>
      </c>
      <c r="T861" s="1" t="s">
        <v>35</v>
      </c>
      <c r="U861" s="1" t="s">
        <v>36</v>
      </c>
      <c r="V861" s="1" t="s">
        <v>89</v>
      </c>
      <c r="W861">
        <v>2.4</v>
      </c>
      <c r="X861" s="1" t="str">
        <f t="shared" si="39"/>
        <v>manuela.moreno133@mail.com</v>
      </c>
      <c r="Y861" s="1" t="str">
        <f>INDEX(V:V,MATCH(orders_desnormalizado_prueba3[[#This Row],[acquisition_channel]],U:U,0))</f>
        <v>Bodega Propia CO - envio 2-3 dias</v>
      </c>
      <c r="Z861" s="1" t="str">
        <f>INDEX(T:T,MATCH(orders_desnormalizado_prueba3[[#This Row],[shipping_cost]],W:W,0))</f>
        <v>Colombia</v>
      </c>
      <c r="AA861" s="1" t="str">
        <f t="shared" si="40"/>
        <v>Cartagena</v>
      </c>
      <c r="AB861" s="1"/>
      <c r="AC861" s="1" t="str">
        <f t="shared" si="41"/>
        <v xml:space="preserve"> </v>
      </c>
    </row>
    <row r="862" spans="1:29" x14ac:dyDescent="0.3">
      <c r="A862" s="1" t="s">
        <v>1973</v>
      </c>
      <c r="B862">
        <v>2</v>
      </c>
      <c r="C862">
        <v>30.99</v>
      </c>
      <c r="D862">
        <v>54.18</v>
      </c>
      <c r="E862" s="1" t="s">
        <v>1285</v>
      </c>
      <c r="F862" s="1" t="s">
        <v>40</v>
      </c>
      <c r="G862">
        <v>2</v>
      </c>
      <c r="H862" s="1" t="s">
        <v>41</v>
      </c>
      <c r="I862" s="1" t="s">
        <v>42</v>
      </c>
      <c r="J862">
        <v>10.5</v>
      </c>
      <c r="K862">
        <v>30.99</v>
      </c>
      <c r="L862" s="1" t="s">
        <v>28</v>
      </c>
      <c r="M862" s="1" t="s">
        <v>43</v>
      </c>
      <c r="N862" s="1" t="s">
        <v>44</v>
      </c>
      <c r="O862" s="1" t="s">
        <v>31</v>
      </c>
      <c r="P862" s="2">
        <v>45823</v>
      </c>
      <c r="Q862" s="1" t="s">
        <v>909</v>
      </c>
      <c r="R862" s="1" t="s">
        <v>996</v>
      </c>
      <c r="S862" s="1" t="s">
        <v>88</v>
      </c>
      <c r="T862" s="1" t="s">
        <v>35</v>
      </c>
      <c r="U862" s="1" t="s">
        <v>66</v>
      </c>
      <c r="V862" s="1" t="s">
        <v>37</v>
      </c>
      <c r="W862">
        <v>2</v>
      </c>
      <c r="X862" s="1" t="str">
        <f t="shared" si="39"/>
        <v>juan.hernandez64@mail.com</v>
      </c>
      <c r="Y862" s="1" t="str">
        <f>INDEX(V:V,MATCH(orders_desnormalizado_prueba3[[#This Row],[acquisition_channel]],U:U,0))</f>
        <v>AliDropship CN - envio 15-20 dias</v>
      </c>
      <c r="Z862" s="1" t="str">
        <f>INDEX(T:T,MATCH(orders_desnormalizado_prueba3[[#This Row],[shipping_cost]],W:W,0))</f>
        <v>Colombia</v>
      </c>
      <c r="AA862" s="1" t="str">
        <f t="shared" si="40"/>
        <v>Medellin</v>
      </c>
      <c r="AB862" s="1"/>
      <c r="AC862" s="1" t="str">
        <f t="shared" si="41"/>
        <v xml:space="preserve"> </v>
      </c>
    </row>
    <row r="863" spans="1:29" x14ac:dyDescent="0.3">
      <c r="A863" s="1" t="s">
        <v>1974</v>
      </c>
      <c r="B863">
        <v>1</v>
      </c>
      <c r="C863">
        <v>30.99</v>
      </c>
      <c r="D863">
        <v>30.99</v>
      </c>
      <c r="E863" s="1" t="s">
        <v>1230</v>
      </c>
      <c r="F863" s="1" t="s">
        <v>25</v>
      </c>
      <c r="G863">
        <v>3</v>
      </c>
      <c r="H863" s="1" t="s">
        <v>26</v>
      </c>
      <c r="I863" s="1" t="s">
        <v>42</v>
      </c>
      <c r="J863">
        <v>10.5</v>
      </c>
      <c r="K863">
        <v>30.99</v>
      </c>
      <c r="L863" s="1" t="s">
        <v>28</v>
      </c>
      <c r="M863" s="1" t="s">
        <v>43</v>
      </c>
      <c r="N863" s="1" t="s">
        <v>44</v>
      </c>
      <c r="O863" s="1" t="s">
        <v>31</v>
      </c>
      <c r="P863" s="2">
        <v>45823</v>
      </c>
      <c r="Q863" s="1" t="s">
        <v>1058</v>
      </c>
      <c r="R863" s="1" t="s">
        <v>1059</v>
      </c>
      <c r="S863" s="1" t="s">
        <v>65</v>
      </c>
      <c r="T863" s="1" t="s">
        <v>35</v>
      </c>
      <c r="U863" s="1" t="s">
        <v>82</v>
      </c>
      <c r="V863" s="1" t="s">
        <v>37</v>
      </c>
      <c r="W863">
        <v>2</v>
      </c>
      <c r="X863" s="1" t="str">
        <f t="shared" si="39"/>
        <v>felipe.castro82@mail.com</v>
      </c>
      <c r="Y863" s="1" t="str">
        <f>INDEX(V:V,MATCH(orders_desnormalizado_prueba3[[#This Row],[acquisition_channel]],U:U,0))</f>
        <v>Bodega Propia CO - envio 2-3 dias</v>
      </c>
      <c r="Z863" s="1" t="str">
        <f>INDEX(T:T,MATCH(orders_desnormalizado_prueba3[[#This Row],[shipping_cost]],W:W,0))</f>
        <v>Colombia</v>
      </c>
      <c r="AA863" s="1" t="str">
        <f t="shared" si="40"/>
        <v>Barranquilla</v>
      </c>
      <c r="AB863" s="1"/>
      <c r="AC863" s="1" t="str">
        <f t="shared" si="41"/>
        <v xml:space="preserve"> </v>
      </c>
    </row>
    <row r="864" spans="1:29" x14ac:dyDescent="0.3">
      <c r="A864" s="1" t="s">
        <v>1975</v>
      </c>
      <c r="B864">
        <v>1</v>
      </c>
      <c r="C864">
        <v>34.99</v>
      </c>
      <c r="D864">
        <v>34.99</v>
      </c>
      <c r="E864" s="1" t="s">
        <v>1509</v>
      </c>
      <c r="F864" s="1" t="s">
        <v>40</v>
      </c>
      <c r="G864">
        <v>8</v>
      </c>
      <c r="H864" s="1" t="s">
        <v>58</v>
      </c>
      <c r="I864" s="1" t="s">
        <v>85</v>
      </c>
      <c r="J864">
        <v>12.5</v>
      </c>
      <c r="K864">
        <v>34.99</v>
      </c>
      <c r="L864" s="1" t="s">
        <v>60</v>
      </c>
      <c r="M864" s="1" t="s">
        <v>29</v>
      </c>
      <c r="N864" s="1" t="s">
        <v>30</v>
      </c>
      <c r="O864" s="1" t="s">
        <v>31</v>
      </c>
      <c r="P864" s="2">
        <v>45778</v>
      </c>
      <c r="Q864" s="1" t="s">
        <v>793</v>
      </c>
      <c r="R864" s="1" t="s">
        <v>794</v>
      </c>
      <c r="S864" s="1" t="s">
        <v>34</v>
      </c>
      <c r="T864" s="1" t="s">
        <v>35</v>
      </c>
      <c r="U864" s="1" t="s">
        <v>82</v>
      </c>
      <c r="V864" s="1" t="s">
        <v>89</v>
      </c>
      <c r="W864">
        <v>2.4</v>
      </c>
      <c r="X864" s="1" t="str">
        <f t="shared" si="39"/>
        <v>esteban.ortiz133@mail.com</v>
      </c>
      <c r="Y864" s="1" t="str">
        <f>INDEX(V:V,MATCH(orders_desnormalizado_prueba3[[#This Row],[acquisition_channel]],U:U,0))</f>
        <v>Bodega Propia CO - envio 2-3 dias</v>
      </c>
      <c r="Z864" s="1" t="str">
        <f>INDEX(T:T,MATCH(orders_desnormalizado_prueba3[[#This Row],[shipping_cost]],W:W,0))</f>
        <v>Colombia</v>
      </c>
      <c r="AA864" s="1" t="str">
        <f t="shared" si="40"/>
        <v>Barranquilla</v>
      </c>
      <c r="AB864" s="1"/>
      <c r="AC864" s="1" t="str">
        <f t="shared" si="41"/>
        <v xml:space="preserve"> </v>
      </c>
    </row>
    <row r="865" spans="1:29" x14ac:dyDescent="0.3">
      <c r="A865" s="1" t="s">
        <v>1976</v>
      </c>
      <c r="B865">
        <v>1</v>
      </c>
      <c r="C865">
        <v>34.99</v>
      </c>
      <c r="D865">
        <v>34.99</v>
      </c>
      <c r="E865" s="1" t="s">
        <v>1977</v>
      </c>
      <c r="F865" s="1" t="s">
        <v>40</v>
      </c>
      <c r="G865">
        <v>8</v>
      </c>
      <c r="H865" s="1" t="s">
        <v>96</v>
      </c>
      <c r="I865" s="1" t="s">
        <v>85</v>
      </c>
      <c r="J865">
        <v>12.5</v>
      </c>
      <c r="K865">
        <v>34.99</v>
      </c>
      <c r="L865" s="1" t="s">
        <v>60</v>
      </c>
      <c r="M865" s="1" t="s">
        <v>29</v>
      </c>
      <c r="N865" s="1" t="s">
        <v>30</v>
      </c>
      <c r="O865" s="1" t="s">
        <v>31</v>
      </c>
      <c r="P865" s="2">
        <v>45778</v>
      </c>
      <c r="Q865" s="1" t="s">
        <v>231</v>
      </c>
      <c r="R865" s="1" t="s">
        <v>1978</v>
      </c>
      <c r="S865" s="1" t="s">
        <v>65</v>
      </c>
      <c r="T865" s="1" t="s">
        <v>35</v>
      </c>
      <c r="U865" s="1" t="s">
        <v>66</v>
      </c>
      <c r="V865" s="1" t="s">
        <v>89</v>
      </c>
      <c r="W865">
        <v>2.4</v>
      </c>
      <c r="X865" s="1" t="str">
        <f t="shared" si="39"/>
        <v>miguel.ramirez82@mail.com</v>
      </c>
      <c r="Y865" s="1" t="str">
        <f>INDEX(V:V,MATCH(orders_desnormalizado_prueba3[[#This Row],[acquisition_channel]],U:U,0))</f>
        <v>AliDropship CN - envio 15-20 dias</v>
      </c>
      <c r="Z865" s="1" t="str">
        <f>INDEX(T:T,MATCH(orders_desnormalizado_prueba3[[#This Row],[shipping_cost]],W:W,0))</f>
        <v>Colombia</v>
      </c>
      <c r="AA865" s="1" t="str">
        <f t="shared" si="40"/>
        <v>Barranquilla</v>
      </c>
      <c r="AB865" s="1"/>
      <c r="AC865" s="1" t="str">
        <f t="shared" si="41"/>
        <v xml:space="preserve"> </v>
      </c>
    </row>
    <row r="866" spans="1:29" x14ac:dyDescent="0.3">
      <c r="A866" s="1" t="s">
        <v>1979</v>
      </c>
      <c r="B866">
        <v>1</v>
      </c>
      <c r="C866">
        <v>16.989999999999998</v>
      </c>
      <c r="D866">
        <v>16.989999999999998</v>
      </c>
      <c r="E866" s="1" t="s">
        <v>881</v>
      </c>
      <c r="F866" s="1" t="s">
        <v>188</v>
      </c>
      <c r="G866">
        <v>0</v>
      </c>
      <c r="H866" s="1" t="s">
        <v>41</v>
      </c>
      <c r="I866" s="1" t="s">
        <v>59</v>
      </c>
      <c r="J866">
        <v>5</v>
      </c>
      <c r="K866">
        <v>16.989999999999998</v>
      </c>
      <c r="L866" s="1" t="s">
        <v>60</v>
      </c>
      <c r="M866" s="1" t="s">
        <v>61</v>
      </c>
      <c r="N866" s="1" t="s">
        <v>62</v>
      </c>
      <c r="O866" s="1" t="s">
        <v>31</v>
      </c>
      <c r="P866" s="2">
        <v>45726</v>
      </c>
      <c r="Q866" s="1" t="s">
        <v>1980</v>
      </c>
      <c r="R866" s="1" t="s">
        <v>1981</v>
      </c>
      <c r="S866" s="1" t="s">
        <v>34</v>
      </c>
      <c r="T866" s="1" t="s">
        <v>35</v>
      </c>
      <c r="U866" s="1" t="s">
        <v>66</v>
      </c>
      <c r="V866" s="1" t="s">
        <v>67</v>
      </c>
      <c r="W866">
        <v>3</v>
      </c>
      <c r="X866" s="1" t="str">
        <f t="shared" si="39"/>
        <v>diego.torres163@mail.com</v>
      </c>
      <c r="Y866" s="1" t="str">
        <f>INDEX(V:V,MATCH(orders_desnormalizado_prueba3[[#This Row],[acquisition_channel]],U:U,0))</f>
        <v>AliDropship CN - envio 15-20 dias</v>
      </c>
      <c r="Z866" s="1" t="str">
        <f>INDEX(T:T,MATCH(orders_desnormalizado_prueba3[[#This Row],[shipping_cost]],W:W,0))</f>
        <v>Colombia</v>
      </c>
      <c r="AA866" s="1" t="str">
        <f t="shared" si="40"/>
        <v>Cartagena</v>
      </c>
      <c r="AB866" s="1"/>
      <c r="AC866" s="1" t="str">
        <f t="shared" si="41"/>
        <v xml:space="preserve"> </v>
      </c>
    </row>
    <row r="867" spans="1:29" x14ac:dyDescent="0.3">
      <c r="A867" s="1" t="s">
        <v>1982</v>
      </c>
      <c r="B867">
        <v>1</v>
      </c>
      <c r="C867">
        <v>18.989999999999998</v>
      </c>
      <c r="D867">
        <v>18.989999999999998</v>
      </c>
      <c r="E867" s="1" t="s">
        <v>1592</v>
      </c>
      <c r="F867" s="1" t="s">
        <v>70</v>
      </c>
      <c r="G867">
        <v>0</v>
      </c>
      <c r="H867" s="1" t="s">
        <v>41</v>
      </c>
      <c r="I867" s="1" t="s">
        <v>97</v>
      </c>
      <c r="J867">
        <v>6</v>
      </c>
      <c r="K867">
        <v>18.989999999999998</v>
      </c>
      <c r="L867" s="1" t="s">
        <v>60</v>
      </c>
      <c r="M867" s="1" t="s">
        <v>43</v>
      </c>
      <c r="N867" s="1" t="s">
        <v>44</v>
      </c>
      <c r="O867" s="1" t="s">
        <v>31</v>
      </c>
      <c r="P867" s="2">
        <v>45823</v>
      </c>
      <c r="Q867" s="1" t="s">
        <v>990</v>
      </c>
      <c r="R867" s="1" t="s">
        <v>1490</v>
      </c>
      <c r="S867" s="1" t="s">
        <v>88</v>
      </c>
      <c r="T867" s="1" t="s">
        <v>35</v>
      </c>
      <c r="U867" s="1" t="s">
        <v>82</v>
      </c>
      <c r="V867" s="1" t="s">
        <v>100</v>
      </c>
      <c r="W867">
        <v>3.2</v>
      </c>
      <c r="X867" s="1" t="str">
        <f t="shared" si="39"/>
        <v>fernanda.diaz94@mail.com</v>
      </c>
      <c r="Y867" s="1" t="str">
        <f>INDEX(V:V,MATCH(orders_desnormalizado_prueba3[[#This Row],[acquisition_channel]],U:U,0))</f>
        <v>Bodega Propia CO - envio 2-3 dias</v>
      </c>
      <c r="Z867" s="1" t="str">
        <f>INDEX(T:T,MATCH(orders_desnormalizado_prueba3[[#This Row],[shipping_cost]],W:W,0))</f>
        <v>Colombia</v>
      </c>
      <c r="AA867" s="1" t="str">
        <f t="shared" si="40"/>
        <v>Cartagena</v>
      </c>
      <c r="AB867" s="1"/>
      <c r="AC867" s="1" t="str">
        <f t="shared" si="41"/>
        <v xml:space="preserve"> </v>
      </c>
    </row>
    <row r="868" spans="1:29" x14ac:dyDescent="0.3">
      <c r="A868" s="1" t="s">
        <v>1983</v>
      </c>
      <c r="B868">
        <v>1</v>
      </c>
      <c r="C868">
        <v>18.989999999999998</v>
      </c>
      <c r="D868">
        <v>18.989999999999998</v>
      </c>
      <c r="E868" s="1" t="s">
        <v>1424</v>
      </c>
      <c r="F868" s="1" t="s">
        <v>40</v>
      </c>
      <c r="G868">
        <v>15</v>
      </c>
      <c r="H868" s="1" t="s">
        <v>41</v>
      </c>
      <c r="I868" s="1" t="s">
        <v>97</v>
      </c>
      <c r="J868">
        <v>6</v>
      </c>
      <c r="K868">
        <v>18.989999999999998</v>
      </c>
      <c r="L868" s="1" t="s">
        <v>60</v>
      </c>
      <c r="M868" s="1" t="s">
        <v>43</v>
      </c>
      <c r="N868" s="1" t="s">
        <v>44</v>
      </c>
      <c r="O868" s="1" t="s">
        <v>31</v>
      </c>
      <c r="P868" s="2">
        <v>45823</v>
      </c>
      <c r="Q868" s="1" t="s">
        <v>1984</v>
      </c>
      <c r="R868" s="1" t="s">
        <v>1985</v>
      </c>
      <c r="S868" s="1" t="s">
        <v>65</v>
      </c>
      <c r="T868" s="1" t="s">
        <v>35</v>
      </c>
      <c r="U868" s="1" t="s">
        <v>82</v>
      </c>
      <c r="V868" s="1" t="s">
        <v>100</v>
      </c>
      <c r="W868">
        <v>3.2</v>
      </c>
      <c r="X868" s="1" t="str">
        <f t="shared" si="39"/>
        <v>gabriela.rodriguez57@mail.com</v>
      </c>
      <c r="Y868" s="1" t="str">
        <f>INDEX(V:V,MATCH(orders_desnormalizado_prueba3[[#This Row],[acquisition_channel]],U:U,0))</f>
        <v>Bodega Propia CO - envio 2-3 dias</v>
      </c>
      <c r="Z868" s="1" t="str">
        <f>INDEX(T:T,MATCH(orders_desnormalizado_prueba3[[#This Row],[shipping_cost]],W:W,0))</f>
        <v>Colombia</v>
      </c>
      <c r="AA868" s="1" t="str">
        <f t="shared" si="40"/>
        <v>Barranquilla</v>
      </c>
      <c r="AB868" s="1"/>
      <c r="AC868" s="1" t="str">
        <f t="shared" si="41"/>
        <v xml:space="preserve"> </v>
      </c>
    </row>
    <row r="869" spans="1:29" x14ac:dyDescent="0.3">
      <c r="A869" s="1" t="s">
        <v>1986</v>
      </c>
      <c r="B869">
        <v>3</v>
      </c>
      <c r="C869">
        <v>21.99</v>
      </c>
      <c r="D869">
        <v>53.16</v>
      </c>
      <c r="E869" s="1" t="s">
        <v>1115</v>
      </c>
      <c r="F869" s="1" t="s">
        <v>40</v>
      </c>
      <c r="G869">
        <v>6</v>
      </c>
      <c r="H869" s="1" t="s">
        <v>58</v>
      </c>
      <c r="I869" s="1" t="s">
        <v>27</v>
      </c>
      <c r="J869">
        <v>7</v>
      </c>
      <c r="K869">
        <v>21.99</v>
      </c>
      <c r="L869" s="1" t="s">
        <v>28</v>
      </c>
      <c r="M869" s="1" t="s">
        <v>29</v>
      </c>
      <c r="N869" s="1" t="s">
        <v>30</v>
      </c>
      <c r="O869" s="1" t="s">
        <v>31</v>
      </c>
      <c r="P869" s="2">
        <v>45778</v>
      </c>
      <c r="Q869" s="1" t="s">
        <v>1533</v>
      </c>
      <c r="R869" s="1" t="s">
        <v>1635</v>
      </c>
      <c r="S869" s="1" t="s">
        <v>105</v>
      </c>
      <c r="T869" s="1" t="s">
        <v>35</v>
      </c>
      <c r="U869" s="1" t="s">
        <v>36</v>
      </c>
      <c r="V869" s="1" t="s">
        <v>37</v>
      </c>
      <c r="W869">
        <v>2</v>
      </c>
      <c r="X869" s="1" t="str">
        <f t="shared" si="39"/>
        <v>laura.lopez49@mail.com</v>
      </c>
      <c r="Y869" s="1" t="str">
        <f>INDEX(V:V,MATCH(orders_desnormalizado_prueba3[[#This Row],[acquisition_channel]],U:U,0))</f>
        <v>Bodega Propia CO - envio 2-3 dias</v>
      </c>
      <c r="Z869" s="1" t="str">
        <f>INDEX(T:T,MATCH(orders_desnormalizado_prueba3[[#This Row],[shipping_cost]],W:W,0))</f>
        <v>Colombia</v>
      </c>
      <c r="AA869" s="1" t="str">
        <f t="shared" si="40"/>
        <v>Medellin</v>
      </c>
      <c r="AB869" s="1"/>
      <c r="AC869" s="1" t="str">
        <f t="shared" si="41"/>
        <v xml:space="preserve"> </v>
      </c>
    </row>
    <row r="870" spans="1:29" x14ac:dyDescent="0.3">
      <c r="A870" s="1" t="s">
        <v>1987</v>
      </c>
      <c r="B870">
        <v>3</v>
      </c>
      <c r="C870">
        <v>18.989999999999998</v>
      </c>
      <c r="D870">
        <v>45.8</v>
      </c>
      <c r="E870" s="1" t="s">
        <v>185</v>
      </c>
      <c r="F870" s="1" t="s">
        <v>40</v>
      </c>
      <c r="G870">
        <v>20</v>
      </c>
      <c r="H870" s="1" t="s">
        <v>26</v>
      </c>
      <c r="I870" s="1" t="s">
        <v>97</v>
      </c>
      <c r="J870">
        <v>6</v>
      </c>
      <c r="K870">
        <v>18.989999999999998</v>
      </c>
      <c r="L870" s="1" t="s">
        <v>60</v>
      </c>
      <c r="M870" s="1" t="s">
        <v>43</v>
      </c>
      <c r="N870" s="1" t="s">
        <v>44</v>
      </c>
      <c r="O870" s="1" t="s">
        <v>31</v>
      </c>
      <c r="P870" s="2">
        <v>45823</v>
      </c>
      <c r="Q870" s="1" t="s">
        <v>1988</v>
      </c>
      <c r="R870" s="1" t="s">
        <v>1989</v>
      </c>
      <c r="S870" s="1" t="s">
        <v>105</v>
      </c>
      <c r="T870" s="1" t="s">
        <v>35</v>
      </c>
      <c r="U870" s="1" t="s">
        <v>55</v>
      </c>
      <c r="V870" s="1" t="s">
        <v>100</v>
      </c>
      <c r="W870">
        <v>3.2</v>
      </c>
      <c r="X870" s="1" t="str">
        <f t="shared" si="39"/>
        <v>valentina.moreno45@mail.com</v>
      </c>
      <c r="Y870" s="1" t="str">
        <f>INDEX(V:V,MATCH(orders_desnormalizado_prueba3[[#This Row],[acquisition_channel]],U:U,0))</f>
        <v>Bodega Propia CO - envio 2-3 dias</v>
      </c>
      <c r="Z870" s="1" t="str">
        <f>INDEX(T:T,MATCH(orders_desnormalizado_prueba3[[#This Row],[shipping_cost]],W:W,0))</f>
        <v>Colombia</v>
      </c>
      <c r="AA870" s="1" t="str">
        <f t="shared" si="40"/>
        <v>Bucaramanga</v>
      </c>
      <c r="AB870" s="1"/>
      <c r="AC870" s="1" t="str">
        <f t="shared" si="41"/>
        <v xml:space="preserve"> </v>
      </c>
    </row>
    <row r="871" spans="1:29" x14ac:dyDescent="0.3">
      <c r="A871" s="1" t="s">
        <v>1990</v>
      </c>
      <c r="B871">
        <v>1</v>
      </c>
      <c r="C871">
        <v>18.989999999999998</v>
      </c>
      <c r="D871">
        <v>18.989999999999998</v>
      </c>
      <c r="E871" s="1" t="s">
        <v>325</v>
      </c>
      <c r="F871" s="1" t="s">
        <v>40</v>
      </c>
      <c r="G871">
        <v>15</v>
      </c>
      <c r="H871" s="1" t="s">
        <v>41</v>
      </c>
      <c r="I871" s="1" t="s">
        <v>97</v>
      </c>
      <c r="J871">
        <v>6</v>
      </c>
      <c r="K871">
        <v>18.989999999999998</v>
      </c>
      <c r="L871" s="1" t="s">
        <v>60</v>
      </c>
      <c r="M871" s="1" t="s">
        <v>43</v>
      </c>
      <c r="N871" s="1" t="s">
        <v>44</v>
      </c>
      <c r="O871" s="1" t="s">
        <v>31</v>
      </c>
      <c r="P871" s="2">
        <v>45823</v>
      </c>
      <c r="Q871" s="1" t="s">
        <v>1101</v>
      </c>
      <c r="R871" s="1" t="s">
        <v>1991</v>
      </c>
      <c r="S871" s="1" t="s">
        <v>411</v>
      </c>
      <c r="T871" s="1" t="s">
        <v>35</v>
      </c>
      <c r="U871" s="1" t="s">
        <v>82</v>
      </c>
      <c r="V871" s="1" t="s">
        <v>100</v>
      </c>
      <c r="W871">
        <v>3.2</v>
      </c>
      <c r="X871" s="1" t="str">
        <f t="shared" si="39"/>
        <v>ricardo.gomez12@mail.com</v>
      </c>
      <c r="Y871" s="1" t="str">
        <f>INDEX(V:V,MATCH(orders_desnormalizado_prueba3[[#This Row],[acquisition_channel]],U:U,0))</f>
        <v>Bodega Propia CO - envio 2-3 dias</v>
      </c>
      <c r="Z871" s="1" t="str">
        <f>INDEX(T:T,MATCH(orders_desnormalizado_prueba3[[#This Row],[shipping_cost]],W:W,0))</f>
        <v>Colombia</v>
      </c>
      <c r="AA871" s="1" t="str">
        <f t="shared" si="40"/>
        <v>Barranquilla</v>
      </c>
      <c r="AB871" s="1"/>
      <c r="AC871" s="1" t="str">
        <f t="shared" si="41"/>
        <v xml:space="preserve"> </v>
      </c>
    </row>
    <row r="872" spans="1:29" x14ac:dyDescent="0.3">
      <c r="A872" s="1" t="s">
        <v>1992</v>
      </c>
      <c r="B872">
        <v>1</v>
      </c>
      <c r="C872">
        <v>16.989999999999998</v>
      </c>
      <c r="D872">
        <v>16.989999999999998</v>
      </c>
      <c r="E872" s="1" t="s">
        <v>1993</v>
      </c>
      <c r="F872" s="1" t="s">
        <v>25</v>
      </c>
      <c r="G872">
        <v>16</v>
      </c>
      <c r="H872" s="1" t="s">
        <v>58</v>
      </c>
      <c r="I872" s="1" t="s">
        <v>59</v>
      </c>
      <c r="J872">
        <v>5</v>
      </c>
      <c r="K872">
        <v>16.989999999999998</v>
      </c>
      <c r="L872" s="1" t="s">
        <v>60</v>
      </c>
      <c r="M872" s="1" t="s">
        <v>61</v>
      </c>
      <c r="N872" s="1" t="s">
        <v>62</v>
      </c>
      <c r="O872" s="1" t="s">
        <v>31</v>
      </c>
      <c r="P872" s="2">
        <v>45726</v>
      </c>
      <c r="Q872" s="1" t="s">
        <v>1994</v>
      </c>
      <c r="R872" s="1" t="s">
        <v>1995</v>
      </c>
      <c r="S872" s="1" t="s">
        <v>88</v>
      </c>
      <c r="T872" s="1" t="s">
        <v>35</v>
      </c>
      <c r="U872" s="1" t="s">
        <v>48</v>
      </c>
      <c r="V872" s="1" t="s">
        <v>67</v>
      </c>
      <c r="W872">
        <v>3</v>
      </c>
      <c r="X872" s="1" t="str">
        <f t="shared" si="39"/>
        <v>isabella.hernandez120@mail.com</v>
      </c>
      <c r="Y872" s="1" t="str">
        <f>INDEX(V:V,MATCH(orders_desnormalizado_prueba3[[#This Row],[acquisition_channel]],U:U,0))</f>
        <v>Bodega Propia CO - envio 2-3 dias</v>
      </c>
      <c r="Z872" s="1" t="str">
        <f>INDEX(T:T,MATCH(orders_desnormalizado_prueba3[[#This Row],[shipping_cost]],W:W,0))</f>
        <v>Colombia</v>
      </c>
      <c r="AA872" s="1" t="str">
        <f t="shared" si="40"/>
        <v>Bogota</v>
      </c>
      <c r="AB872" s="1"/>
      <c r="AC872" s="1" t="str">
        <f t="shared" si="41"/>
        <v xml:space="preserve"> </v>
      </c>
    </row>
    <row r="873" spans="1:29" x14ac:dyDescent="0.3">
      <c r="A873" s="1" t="s">
        <v>1996</v>
      </c>
      <c r="B873">
        <v>1</v>
      </c>
      <c r="C873">
        <v>18.989999999999998</v>
      </c>
      <c r="D873">
        <v>18.989999999999998</v>
      </c>
      <c r="E873" s="1" t="s">
        <v>224</v>
      </c>
      <c r="F873" s="1" t="s">
        <v>70</v>
      </c>
      <c r="G873">
        <v>0</v>
      </c>
      <c r="H873" s="1" t="s">
        <v>58</v>
      </c>
      <c r="I873" s="1" t="s">
        <v>97</v>
      </c>
      <c r="J873">
        <v>6</v>
      </c>
      <c r="K873">
        <v>18.989999999999998</v>
      </c>
      <c r="L873" s="1" t="s">
        <v>60</v>
      </c>
      <c r="M873" s="1" t="s">
        <v>43</v>
      </c>
      <c r="N873" s="1" t="s">
        <v>44</v>
      </c>
      <c r="O873" s="1" t="s">
        <v>31</v>
      </c>
      <c r="P873" s="2">
        <v>45823</v>
      </c>
      <c r="Q873" s="1" t="s">
        <v>951</v>
      </c>
      <c r="R873" s="1" t="s">
        <v>952</v>
      </c>
      <c r="S873" s="1" t="s">
        <v>65</v>
      </c>
      <c r="T873" s="1" t="s">
        <v>35</v>
      </c>
      <c r="U873" s="1" t="s">
        <v>48</v>
      </c>
      <c r="V873" s="1" t="s">
        <v>100</v>
      </c>
      <c r="W873">
        <v>3.2</v>
      </c>
      <c r="X873" s="1" t="str">
        <f t="shared" si="39"/>
        <v>maria.moreno57@mail.com</v>
      </c>
      <c r="Y873" s="1" t="str">
        <f>INDEX(V:V,MATCH(orders_desnormalizado_prueba3[[#This Row],[acquisition_channel]],U:U,0))</f>
        <v>Bodega Propia CO - envio 2-3 dias</v>
      </c>
      <c r="Z873" s="1" t="str">
        <f>INDEX(T:T,MATCH(orders_desnormalizado_prueba3[[#This Row],[shipping_cost]],W:W,0))</f>
        <v>Colombia</v>
      </c>
      <c r="AA873" s="1" t="str">
        <f t="shared" si="40"/>
        <v>Cartagena</v>
      </c>
      <c r="AB873" s="1"/>
      <c r="AC873" s="1" t="str">
        <f t="shared" si="41"/>
        <v xml:space="preserve"> </v>
      </c>
    </row>
    <row r="874" spans="1:29" x14ac:dyDescent="0.3">
      <c r="A874" s="1" t="s">
        <v>1997</v>
      </c>
      <c r="B874">
        <v>1</v>
      </c>
      <c r="C874">
        <v>34.99</v>
      </c>
      <c r="D874">
        <v>34.99</v>
      </c>
      <c r="E874" s="1" t="s">
        <v>1998</v>
      </c>
      <c r="F874" s="1" t="s">
        <v>40</v>
      </c>
      <c r="G874">
        <v>8</v>
      </c>
      <c r="H874" s="1" t="s">
        <v>41</v>
      </c>
      <c r="I874" s="1" t="s">
        <v>85</v>
      </c>
      <c r="J874">
        <v>12.5</v>
      </c>
      <c r="K874">
        <v>34.99</v>
      </c>
      <c r="L874" s="1" t="s">
        <v>60</v>
      </c>
      <c r="M874" s="1" t="s">
        <v>29</v>
      </c>
      <c r="N874" s="1" t="s">
        <v>30</v>
      </c>
      <c r="O874" s="1" t="s">
        <v>31</v>
      </c>
      <c r="P874" s="2">
        <v>45778</v>
      </c>
      <c r="Q874" s="1" t="s">
        <v>1112</v>
      </c>
      <c r="R874" s="1" t="s">
        <v>1113</v>
      </c>
      <c r="S874" s="1" t="s">
        <v>105</v>
      </c>
      <c r="T874" s="1" t="s">
        <v>35</v>
      </c>
      <c r="U874" s="1" t="s">
        <v>66</v>
      </c>
      <c r="V874" s="1" t="s">
        <v>89</v>
      </c>
      <c r="W874">
        <v>2.4</v>
      </c>
      <c r="X874" s="1" t="str">
        <f t="shared" si="39"/>
        <v>felipe.moreno124@mail.com</v>
      </c>
      <c r="Y874" s="1" t="str">
        <f>INDEX(V:V,MATCH(orders_desnormalizado_prueba3[[#This Row],[acquisition_channel]],U:U,0))</f>
        <v>AliDropship CN - envio 15-20 dias</v>
      </c>
      <c r="Z874" s="1" t="str">
        <f>INDEX(T:T,MATCH(orders_desnormalizado_prueba3[[#This Row],[shipping_cost]],W:W,0))</f>
        <v>Colombia</v>
      </c>
      <c r="AA874" s="1" t="str">
        <f t="shared" si="40"/>
        <v>Barranquilla</v>
      </c>
      <c r="AB874" s="1"/>
      <c r="AC874" s="1" t="str">
        <f t="shared" si="41"/>
        <v xml:space="preserve"> </v>
      </c>
    </row>
    <row r="875" spans="1:29" x14ac:dyDescent="0.3">
      <c r="A875" s="1" t="s">
        <v>1999</v>
      </c>
      <c r="B875">
        <v>1</v>
      </c>
      <c r="C875">
        <v>30.99</v>
      </c>
      <c r="D875">
        <v>30.99</v>
      </c>
      <c r="E875" s="1" t="s">
        <v>228</v>
      </c>
      <c r="F875" s="1" t="s">
        <v>51</v>
      </c>
      <c r="G875">
        <v>0</v>
      </c>
      <c r="H875" s="1" t="s">
        <v>26</v>
      </c>
      <c r="I875" s="1" t="s">
        <v>42</v>
      </c>
      <c r="J875">
        <v>10.5</v>
      </c>
      <c r="K875">
        <v>30.99</v>
      </c>
      <c r="L875" s="1" t="s">
        <v>28</v>
      </c>
      <c r="M875" s="1" t="s">
        <v>43</v>
      </c>
      <c r="N875" s="1" t="s">
        <v>44</v>
      </c>
      <c r="O875" s="1" t="s">
        <v>31</v>
      </c>
      <c r="P875" s="2">
        <v>45823</v>
      </c>
      <c r="Q875" s="1" t="s">
        <v>2000</v>
      </c>
      <c r="R875" s="1" t="s">
        <v>2001</v>
      </c>
      <c r="S875" s="1" t="s">
        <v>54</v>
      </c>
      <c r="T875" s="1" t="s">
        <v>35</v>
      </c>
      <c r="U875" s="1" t="s">
        <v>55</v>
      </c>
      <c r="V875" s="1" t="s">
        <v>37</v>
      </c>
      <c r="W875">
        <v>2</v>
      </c>
      <c r="X875" s="1" t="str">
        <f t="shared" si="39"/>
        <v>gabriela.ramirez127@mail.com</v>
      </c>
      <c r="Y875" s="1" t="str">
        <f>INDEX(V:V,MATCH(orders_desnormalizado_prueba3[[#This Row],[acquisition_channel]],U:U,0))</f>
        <v>Bodega Propia CO - envio 2-3 dias</v>
      </c>
      <c r="Z875" s="1" t="str">
        <f>INDEX(T:T,MATCH(orders_desnormalizado_prueba3[[#This Row],[shipping_cost]],W:W,0))</f>
        <v>Colombia</v>
      </c>
      <c r="AA875" s="1" t="str">
        <f t="shared" si="40"/>
        <v>Cartagena</v>
      </c>
      <c r="AB875" s="1"/>
      <c r="AC875" s="1" t="str">
        <f t="shared" si="41"/>
        <v xml:space="preserve"> </v>
      </c>
    </row>
    <row r="876" spans="1:29" x14ac:dyDescent="0.3">
      <c r="A876" s="1" t="s">
        <v>2002</v>
      </c>
      <c r="B876">
        <v>1</v>
      </c>
      <c r="C876">
        <v>16.989999999999998</v>
      </c>
      <c r="D876">
        <v>16.989999999999998</v>
      </c>
      <c r="E876" s="1" t="s">
        <v>908</v>
      </c>
      <c r="F876" s="1" t="s">
        <v>40</v>
      </c>
      <c r="G876">
        <v>17</v>
      </c>
      <c r="H876" s="1" t="s">
        <v>26</v>
      </c>
      <c r="I876" s="1" t="s">
        <v>59</v>
      </c>
      <c r="J876">
        <v>5</v>
      </c>
      <c r="K876">
        <v>16.989999999999998</v>
      </c>
      <c r="L876" s="1" t="s">
        <v>60</v>
      </c>
      <c r="M876" s="1" t="s">
        <v>61</v>
      </c>
      <c r="N876" s="1" t="s">
        <v>62</v>
      </c>
      <c r="O876" s="1" t="s">
        <v>31</v>
      </c>
      <c r="P876" s="2">
        <v>45726</v>
      </c>
      <c r="Q876" s="1" t="s">
        <v>290</v>
      </c>
      <c r="R876" s="1" t="s">
        <v>1123</v>
      </c>
      <c r="S876" s="1" t="s">
        <v>34</v>
      </c>
      <c r="T876" s="1" t="s">
        <v>35</v>
      </c>
      <c r="U876" s="1" t="s">
        <v>55</v>
      </c>
      <c r="V876" s="1" t="s">
        <v>67</v>
      </c>
      <c r="W876">
        <v>3</v>
      </c>
      <c r="X876" s="1" t="str">
        <f t="shared" si="39"/>
        <v>isabella.perez64@mail.com</v>
      </c>
      <c r="Y876" s="1" t="str">
        <f>INDEX(V:V,MATCH(orders_desnormalizado_prueba3[[#This Row],[acquisition_channel]],U:U,0))</f>
        <v>Bodega Propia CO - envio 2-3 dias</v>
      </c>
      <c r="Z876" s="1" t="str">
        <f>INDEX(T:T,MATCH(orders_desnormalizado_prueba3[[#This Row],[shipping_cost]],W:W,0))</f>
        <v>Colombia</v>
      </c>
      <c r="AA876" s="1" t="str">
        <f t="shared" si="40"/>
        <v>Barranquilla</v>
      </c>
      <c r="AB876" s="1"/>
      <c r="AC876" s="1" t="str">
        <f t="shared" si="41"/>
        <v xml:space="preserve"> </v>
      </c>
    </row>
    <row r="877" spans="1:29" x14ac:dyDescent="0.3">
      <c r="A877" s="1" t="s">
        <v>2003</v>
      </c>
      <c r="B877">
        <v>2</v>
      </c>
      <c r="C877">
        <v>16.989999999999998</v>
      </c>
      <c r="D877">
        <v>29.71</v>
      </c>
      <c r="E877" s="1" t="s">
        <v>933</v>
      </c>
      <c r="F877" s="1" t="s">
        <v>40</v>
      </c>
      <c r="G877">
        <v>17</v>
      </c>
      <c r="H877" s="1" t="s">
        <v>41</v>
      </c>
      <c r="I877" s="1" t="s">
        <v>59</v>
      </c>
      <c r="J877">
        <v>5</v>
      </c>
      <c r="K877">
        <v>16.989999999999998</v>
      </c>
      <c r="L877" s="1" t="s">
        <v>60</v>
      </c>
      <c r="M877" s="1" t="s">
        <v>61</v>
      </c>
      <c r="N877" s="1" t="s">
        <v>62</v>
      </c>
      <c r="O877" s="1" t="s">
        <v>31</v>
      </c>
      <c r="P877" s="2">
        <v>45726</v>
      </c>
      <c r="Q877" s="1" t="s">
        <v>947</v>
      </c>
      <c r="R877" s="1" t="s">
        <v>948</v>
      </c>
      <c r="S877" s="1" t="s">
        <v>65</v>
      </c>
      <c r="T877" s="1" t="s">
        <v>35</v>
      </c>
      <c r="U877" s="1" t="s">
        <v>82</v>
      </c>
      <c r="V877" s="1" t="s">
        <v>67</v>
      </c>
      <c r="W877">
        <v>3</v>
      </c>
      <c r="X877" s="1" t="str">
        <f t="shared" si="39"/>
        <v>valentina.hernandez179@mail.com</v>
      </c>
      <c r="Y877" s="1" t="str">
        <f>INDEX(V:V,MATCH(orders_desnormalizado_prueba3[[#This Row],[acquisition_channel]],U:U,0))</f>
        <v>Bodega Propia CO - envio 2-3 dias</v>
      </c>
      <c r="Z877" s="1" t="str">
        <f>INDEX(T:T,MATCH(orders_desnormalizado_prueba3[[#This Row],[shipping_cost]],W:W,0))</f>
        <v>Colombia</v>
      </c>
      <c r="AA877" s="1" t="str">
        <f t="shared" si="40"/>
        <v>Barranquilla</v>
      </c>
      <c r="AB877" s="1"/>
      <c r="AC877" s="1" t="str">
        <f t="shared" si="41"/>
        <v xml:space="preserve"> </v>
      </c>
    </row>
    <row r="878" spans="1:29" x14ac:dyDescent="0.3">
      <c r="A878" s="1" t="s">
        <v>2004</v>
      </c>
      <c r="B878">
        <v>1</v>
      </c>
      <c r="C878">
        <v>30.99</v>
      </c>
      <c r="D878">
        <v>30.99</v>
      </c>
      <c r="E878" s="1" t="s">
        <v>224</v>
      </c>
      <c r="F878" s="1" t="s">
        <v>51</v>
      </c>
      <c r="G878">
        <v>0</v>
      </c>
      <c r="H878" s="1" t="s">
        <v>96</v>
      </c>
      <c r="I878" s="1" t="s">
        <v>42</v>
      </c>
      <c r="J878">
        <v>10.5</v>
      </c>
      <c r="K878">
        <v>30.99</v>
      </c>
      <c r="L878" s="1" t="s">
        <v>28</v>
      </c>
      <c r="M878" s="1" t="s">
        <v>43</v>
      </c>
      <c r="N878" s="1" t="s">
        <v>44</v>
      </c>
      <c r="O878" s="1" t="s">
        <v>31</v>
      </c>
      <c r="P878" s="2">
        <v>45823</v>
      </c>
      <c r="Q878" s="1" t="s">
        <v>2005</v>
      </c>
      <c r="R878" s="1" t="s">
        <v>2006</v>
      </c>
      <c r="S878" s="1" t="s">
        <v>88</v>
      </c>
      <c r="T878" s="1" t="s">
        <v>35</v>
      </c>
      <c r="U878" s="1" t="s">
        <v>82</v>
      </c>
      <c r="V878" s="1" t="s">
        <v>37</v>
      </c>
      <c r="W878">
        <v>2</v>
      </c>
      <c r="X878" s="1" t="str">
        <f t="shared" si="39"/>
        <v>carlos.hernandez187@mail.com</v>
      </c>
      <c r="Y878" s="1" t="str">
        <f>INDEX(V:V,MATCH(orders_desnormalizado_prueba3[[#This Row],[acquisition_channel]],U:U,0))</f>
        <v>Bodega Propia CO - envio 2-3 dias</v>
      </c>
      <c r="Z878" s="1" t="str">
        <f>INDEX(T:T,MATCH(orders_desnormalizado_prueba3[[#This Row],[shipping_cost]],W:W,0))</f>
        <v>Colombia</v>
      </c>
      <c r="AA878" s="1" t="str">
        <f t="shared" si="40"/>
        <v>Cartagena</v>
      </c>
      <c r="AB878" s="1"/>
      <c r="AC878" s="1" t="str">
        <f t="shared" si="41"/>
        <v xml:space="preserve"> </v>
      </c>
    </row>
    <row r="879" spans="1:29" x14ac:dyDescent="0.3">
      <c r="A879" s="1" t="s">
        <v>2007</v>
      </c>
      <c r="B879">
        <v>1</v>
      </c>
      <c r="C879">
        <v>30.99</v>
      </c>
      <c r="D879">
        <v>30.99</v>
      </c>
      <c r="E879" s="1" t="s">
        <v>807</v>
      </c>
      <c r="F879" s="1" t="s">
        <v>40</v>
      </c>
      <c r="G879">
        <v>2</v>
      </c>
      <c r="H879" s="1" t="s">
        <v>96</v>
      </c>
      <c r="I879" s="1" t="s">
        <v>42</v>
      </c>
      <c r="J879">
        <v>10.5</v>
      </c>
      <c r="K879">
        <v>30.99</v>
      </c>
      <c r="L879" s="1" t="s">
        <v>28</v>
      </c>
      <c r="M879" s="1" t="s">
        <v>43</v>
      </c>
      <c r="N879" s="1" t="s">
        <v>44</v>
      </c>
      <c r="O879" s="1" t="s">
        <v>31</v>
      </c>
      <c r="P879" s="2">
        <v>45823</v>
      </c>
      <c r="Q879" s="1" t="s">
        <v>975</v>
      </c>
      <c r="R879" s="1" t="s">
        <v>1518</v>
      </c>
      <c r="S879" s="1" t="s">
        <v>105</v>
      </c>
      <c r="T879" s="1" t="s">
        <v>35</v>
      </c>
      <c r="U879" s="1" t="s">
        <v>48</v>
      </c>
      <c r="V879" s="1" t="s">
        <v>37</v>
      </c>
      <c r="W879">
        <v>2</v>
      </c>
      <c r="X879" s="1" t="str">
        <f t="shared" si="39"/>
        <v>mateo.moreno84@mail.com</v>
      </c>
      <c r="Y879" s="1" t="str">
        <f>INDEX(V:V,MATCH(orders_desnormalizado_prueba3[[#This Row],[acquisition_channel]],U:U,0))</f>
        <v>Bodega Propia CO - envio 2-3 dias</v>
      </c>
      <c r="Z879" s="1" t="str">
        <f>INDEX(T:T,MATCH(orders_desnormalizado_prueba3[[#This Row],[shipping_cost]],W:W,0))</f>
        <v>Colombia</v>
      </c>
      <c r="AA879" s="1" t="str">
        <f t="shared" si="40"/>
        <v>Medellin</v>
      </c>
      <c r="AB879" s="1"/>
      <c r="AC879" s="1" t="str">
        <f t="shared" si="41"/>
        <v xml:space="preserve"> </v>
      </c>
    </row>
    <row r="880" spans="1:29" x14ac:dyDescent="0.3">
      <c r="A880" s="1" t="s">
        <v>2008</v>
      </c>
      <c r="B880">
        <v>1</v>
      </c>
      <c r="C880">
        <v>21.99</v>
      </c>
      <c r="D880">
        <v>21.99</v>
      </c>
      <c r="E880" s="1" t="s">
        <v>1570</v>
      </c>
      <c r="F880" s="1" t="s">
        <v>40</v>
      </c>
      <c r="G880">
        <v>3</v>
      </c>
      <c r="H880" s="1" t="s">
        <v>26</v>
      </c>
      <c r="I880" s="1" t="s">
        <v>27</v>
      </c>
      <c r="J880">
        <v>7</v>
      </c>
      <c r="K880">
        <v>21.99</v>
      </c>
      <c r="L880" s="1" t="s">
        <v>28</v>
      </c>
      <c r="M880" s="1" t="s">
        <v>29</v>
      </c>
      <c r="N880" s="1" t="s">
        <v>30</v>
      </c>
      <c r="O880" s="1" t="s">
        <v>31</v>
      </c>
      <c r="P880" s="2">
        <v>45778</v>
      </c>
      <c r="Q880" s="1" t="s">
        <v>1878</v>
      </c>
      <c r="R880" s="1" t="s">
        <v>1879</v>
      </c>
      <c r="S880" s="1" t="s">
        <v>54</v>
      </c>
      <c r="T880" s="1" t="s">
        <v>35</v>
      </c>
      <c r="U880" s="1" t="s">
        <v>66</v>
      </c>
      <c r="V880" s="1" t="s">
        <v>37</v>
      </c>
      <c r="W880">
        <v>2</v>
      </c>
      <c r="X880" s="1" t="str">
        <f t="shared" si="39"/>
        <v>ximena.vargas192@mail.com</v>
      </c>
      <c r="Y880" s="1" t="str">
        <f>INDEX(V:V,MATCH(orders_desnormalizado_prueba3[[#This Row],[acquisition_channel]],U:U,0))</f>
        <v>AliDropship CN - envio 15-20 dias</v>
      </c>
      <c r="Z880" s="1" t="str">
        <f>INDEX(T:T,MATCH(orders_desnormalizado_prueba3[[#This Row],[shipping_cost]],W:W,0))</f>
        <v>Colombia</v>
      </c>
      <c r="AA880" s="1" t="str">
        <f t="shared" si="40"/>
        <v>Barranquilla</v>
      </c>
      <c r="AB880" s="1"/>
      <c r="AC880" s="1" t="str">
        <f t="shared" si="41"/>
        <v xml:space="preserve"> </v>
      </c>
    </row>
    <row r="881" spans="1:29" x14ac:dyDescent="0.3">
      <c r="A881" s="1" t="s">
        <v>2009</v>
      </c>
      <c r="B881">
        <v>1</v>
      </c>
      <c r="C881">
        <v>30.99</v>
      </c>
      <c r="D881">
        <v>30.99</v>
      </c>
      <c r="E881" s="1" t="s">
        <v>1291</v>
      </c>
      <c r="F881" s="1" t="s">
        <v>40</v>
      </c>
      <c r="G881">
        <v>2</v>
      </c>
      <c r="H881" s="1" t="s">
        <v>41</v>
      </c>
      <c r="I881" s="1" t="s">
        <v>42</v>
      </c>
      <c r="J881">
        <v>10.5</v>
      </c>
      <c r="K881">
        <v>30.99</v>
      </c>
      <c r="L881" s="1" t="s">
        <v>28</v>
      </c>
      <c r="M881" s="1" t="s">
        <v>43</v>
      </c>
      <c r="N881" s="1" t="s">
        <v>44</v>
      </c>
      <c r="O881" s="1" t="s">
        <v>31</v>
      </c>
      <c r="P881" s="2">
        <v>45823</v>
      </c>
      <c r="Q881" s="1" t="s">
        <v>814</v>
      </c>
      <c r="R881" s="1" t="s">
        <v>1041</v>
      </c>
      <c r="S881" s="1" t="s">
        <v>54</v>
      </c>
      <c r="T881" s="1" t="s">
        <v>35</v>
      </c>
      <c r="U881" s="1" t="s">
        <v>36</v>
      </c>
      <c r="V881" s="1" t="s">
        <v>37</v>
      </c>
      <c r="W881">
        <v>2</v>
      </c>
      <c r="X881" s="1" t="str">
        <f t="shared" si="39"/>
        <v>isabella.jimenez172@mail.com</v>
      </c>
      <c r="Y881" s="1" t="str">
        <f>INDEX(V:V,MATCH(orders_desnormalizado_prueba3[[#This Row],[acquisition_channel]],U:U,0))</f>
        <v>Bodega Propia CO - envio 2-3 dias</v>
      </c>
      <c r="Z881" s="1" t="str">
        <f>INDEX(T:T,MATCH(orders_desnormalizado_prueba3[[#This Row],[shipping_cost]],W:W,0))</f>
        <v>Colombia</v>
      </c>
      <c r="AA881" s="1" t="str">
        <f t="shared" si="40"/>
        <v>Medellin</v>
      </c>
      <c r="AB881" s="1"/>
      <c r="AC881" s="1" t="str">
        <f t="shared" si="41"/>
        <v xml:space="preserve"> </v>
      </c>
    </row>
    <row r="882" spans="1:29" x14ac:dyDescent="0.3">
      <c r="A882" s="1" t="s">
        <v>2010</v>
      </c>
      <c r="B882">
        <v>1</v>
      </c>
      <c r="C882">
        <v>21.99</v>
      </c>
      <c r="D882">
        <v>21.99</v>
      </c>
      <c r="E882" s="1" t="s">
        <v>719</v>
      </c>
      <c r="F882" s="1" t="s">
        <v>40</v>
      </c>
      <c r="G882">
        <v>3</v>
      </c>
      <c r="H882" s="1" t="s">
        <v>58</v>
      </c>
      <c r="I882" s="1" t="s">
        <v>27</v>
      </c>
      <c r="J882">
        <v>7</v>
      </c>
      <c r="K882">
        <v>21.99</v>
      </c>
      <c r="L882" s="1" t="s">
        <v>28</v>
      </c>
      <c r="M882" s="1" t="s">
        <v>29</v>
      </c>
      <c r="N882" s="1" t="s">
        <v>30</v>
      </c>
      <c r="O882" s="1" t="s">
        <v>31</v>
      </c>
      <c r="P882" s="2">
        <v>45778</v>
      </c>
      <c r="Q882" s="1" t="s">
        <v>544</v>
      </c>
      <c r="R882" s="1" t="s">
        <v>1923</v>
      </c>
      <c r="S882" s="1" t="s">
        <v>105</v>
      </c>
      <c r="T882" s="1" t="s">
        <v>35</v>
      </c>
      <c r="U882" s="1" t="s">
        <v>36</v>
      </c>
      <c r="V882" s="1" t="s">
        <v>37</v>
      </c>
      <c r="W882">
        <v>2</v>
      </c>
      <c r="X882" s="1" t="str">
        <f t="shared" si="39"/>
        <v>maria.diaz102@mail.com</v>
      </c>
      <c r="Y882" s="1" t="str">
        <f>INDEX(V:V,MATCH(orders_desnormalizado_prueba3[[#This Row],[acquisition_channel]],U:U,0))</f>
        <v>Bodega Propia CO - envio 2-3 dias</v>
      </c>
      <c r="Z882" s="1" t="str">
        <f>INDEX(T:T,MATCH(orders_desnormalizado_prueba3[[#This Row],[shipping_cost]],W:W,0))</f>
        <v>Colombia</v>
      </c>
      <c r="AA882" s="1" t="str">
        <f t="shared" si="40"/>
        <v>Barranquilla</v>
      </c>
      <c r="AB882" s="1"/>
      <c r="AC882" s="1" t="str">
        <f t="shared" si="41"/>
        <v xml:space="preserve"> </v>
      </c>
    </row>
    <row r="883" spans="1:29" x14ac:dyDescent="0.3">
      <c r="A883" s="1" t="s">
        <v>2011</v>
      </c>
      <c r="B883">
        <v>1</v>
      </c>
      <c r="C883">
        <v>34.99</v>
      </c>
      <c r="D883">
        <v>34.99</v>
      </c>
      <c r="E883" s="1" t="s">
        <v>796</v>
      </c>
      <c r="F883" s="1" t="s">
        <v>25</v>
      </c>
      <c r="G883">
        <v>5</v>
      </c>
      <c r="H883" s="1" t="s">
        <v>41</v>
      </c>
      <c r="I883" s="1" t="s">
        <v>85</v>
      </c>
      <c r="J883">
        <v>12.5</v>
      </c>
      <c r="K883">
        <v>34.99</v>
      </c>
      <c r="L883" s="1" t="s">
        <v>60</v>
      </c>
      <c r="M883" s="1" t="s">
        <v>29</v>
      </c>
      <c r="N883" s="1" t="s">
        <v>30</v>
      </c>
      <c r="O883" s="1" t="s">
        <v>31</v>
      </c>
      <c r="P883" s="2">
        <v>45778</v>
      </c>
      <c r="Q883" s="1" t="s">
        <v>1494</v>
      </c>
      <c r="R883" s="1" t="s">
        <v>2012</v>
      </c>
      <c r="S883" s="1" t="s">
        <v>88</v>
      </c>
      <c r="T883" s="1" t="s">
        <v>35</v>
      </c>
      <c r="U883" s="1" t="s">
        <v>66</v>
      </c>
      <c r="V883" s="1" t="s">
        <v>89</v>
      </c>
      <c r="W883">
        <v>2.4</v>
      </c>
      <c r="X883" s="1" t="str">
        <f t="shared" si="39"/>
        <v>catalina.ortiz48@mail.com</v>
      </c>
      <c r="Y883" s="1" t="str">
        <f>INDEX(V:V,MATCH(orders_desnormalizado_prueba3[[#This Row],[acquisition_channel]],U:U,0))</f>
        <v>AliDropship CN - envio 15-20 dias</v>
      </c>
      <c r="Z883" s="1" t="str">
        <f>INDEX(T:T,MATCH(orders_desnormalizado_prueba3[[#This Row],[shipping_cost]],W:W,0))</f>
        <v>Colombia</v>
      </c>
      <c r="AA883" s="1" t="str">
        <f t="shared" si="40"/>
        <v>Cali</v>
      </c>
      <c r="AB883" s="1"/>
      <c r="AC883" s="1" t="str">
        <f t="shared" si="41"/>
        <v xml:space="preserve"> </v>
      </c>
    </row>
    <row r="884" spans="1:29" x14ac:dyDescent="0.3">
      <c r="A884" s="1" t="s">
        <v>2013</v>
      </c>
      <c r="B884">
        <v>1</v>
      </c>
      <c r="C884">
        <v>21.99</v>
      </c>
      <c r="D884">
        <v>21.99</v>
      </c>
      <c r="E884" s="1" t="s">
        <v>908</v>
      </c>
      <c r="F884" s="1" t="s">
        <v>51</v>
      </c>
      <c r="G884">
        <v>0</v>
      </c>
      <c r="H884" s="1" t="s">
        <v>26</v>
      </c>
      <c r="I884" s="1" t="s">
        <v>27</v>
      </c>
      <c r="J884">
        <v>7</v>
      </c>
      <c r="K884">
        <v>21.99</v>
      </c>
      <c r="L884" s="1" t="s">
        <v>28</v>
      </c>
      <c r="M884" s="1" t="s">
        <v>29</v>
      </c>
      <c r="N884" s="1" t="s">
        <v>30</v>
      </c>
      <c r="O884" s="1" t="s">
        <v>31</v>
      </c>
      <c r="P884" s="2">
        <v>45778</v>
      </c>
      <c r="Q884" s="1" t="s">
        <v>1286</v>
      </c>
      <c r="R884" s="1" t="s">
        <v>1861</v>
      </c>
      <c r="S884" s="1" t="s">
        <v>88</v>
      </c>
      <c r="T884" s="1" t="s">
        <v>35</v>
      </c>
      <c r="U884" s="1" t="s">
        <v>48</v>
      </c>
      <c r="V884" s="1" t="s">
        <v>37</v>
      </c>
      <c r="W884">
        <v>2</v>
      </c>
      <c r="X884" s="1" t="str">
        <f t="shared" si="39"/>
        <v>nicolas.sanchez19@mail.com</v>
      </c>
      <c r="Y884" s="1" t="str">
        <f>INDEX(V:V,MATCH(orders_desnormalizado_prueba3[[#This Row],[acquisition_channel]],U:U,0))</f>
        <v>Bodega Propia CO - envio 2-3 dias</v>
      </c>
      <c r="Z884" s="1" t="str">
        <f>INDEX(T:T,MATCH(orders_desnormalizado_prueba3[[#This Row],[shipping_cost]],W:W,0))</f>
        <v>Colombia</v>
      </c>
      <c r="AA884" s="1" t="str">
        <f t="shared" si="40"/>
        <v>Cartagena</v>
      </c>
      <c r="AB884" s="1"/>
      <c r="AC884" s="1" t="str">
        <f t="shared" si="41"/>
        <v xml:space="preserve"> </v>
      </c>
    </row>
    <row r="885" spans="1:29" x14ac:dyDescent="0.3">
      <c r="A885" s="1" t="s">
        <v>2014</v>
      </c>
      <c r="B885">
        <v>1</v>
      </c>
      <c r="C885">
        <v>34.99</v>
      </c>
      <c r="D885">
        <v>34.99</v>
      </c>
      <c r="E885" s="1" t="s">
        <v>881</v>
      </c>
      <c r="F885" s="1" t="s">
        <v>40</v>
      </c>
      <c r="G885">
        <v>8</v>
      </c>
      <c r="H885" s="1" t="s">
        <v>26</v>
      </c>
      <c r="I885" s="1" t="s">
        <v>85</v>
      </c>
      <c r="J885">
        <v>12.5</v>
      </c>
      <c r="K885">
        <v>34.99</v>
      </c>
      <c r="L885" s="1" t="s">
        <v>60</v>
      </c>
      <c r="M885" s="1" t="s">
        <v>29</v>
      </c>
      <c r="N885" s="1" t="s">
        <v>30</v>
      </c>
      <c r="O885" s="1" t="s">
        <v>31</v>
      </c>
      <c r="P885" s="2">
        <v>45778</v>
      </c>
      <c r="Q885" s="1" t="s">
        <v>2015</v>
      </c>
      <c r="R885" s="1" t="s">
        <v>2016</v>
      </c>
      <c r="S885" s="1" t="s">
        <v>65</v>
      </c>
      <c r="T885" s="1" t="s">
        <v>35</v>
      </c>
      <c r="U885" s="1" t="s">
        <v>48</v>
      </c>
      <c r="V885" s="1" t="s">
        <v>89</v>
      </c>
      <c r="W885">
        <v>2.4</v>
      </c>
      <c r="X885" s="1" t="str">
        <f t="shared" si="39"/>
        <v>carlos.ortiz198@mail.com</v>
      </c>
      <c r="Y885" s="1" t="str">
        <f>INDEX(V:V,MATCH(orders_desnormalizado_prueba3[[#This Row],[acquisition_channel]],U:U,0))</f>
        <v>Bodega Propia CO - envio 2-3 dias</v>
      </c>
      <c r="Z885" s="1" t="str">
        <f>INDEX(T:T,MATCH(orders_desnormalizado_prueba3[[#This Row],[shipping_cost]],W:W,0))</f>
        <v>Colombia</v>
      </c>
      <c r="AA885" s="1" t="str">
        <f t="shared" si="40"/>
        <v>Barranquilla</v>
      </c>
      <c r="AB885" s="1"/>
      <c r="AC885" s="1" t="str">
        <f t="shared" si="41"/>
        <v xml:space="preserve"> </v>
      </c>
    </row>
    <row r="886" spans="1:29" x14ac:dyDescent="0.3">
      <c r="A886" s="1" t="s">
        <v>2017</v>
      </c>
      <c r="B886">
        <v>2</v>
      </c>
      <c r="C886">
        <v>34.99</v>
      </c>
      <c r="D886">
        <v>61.09</v>
      </c>
      <c r="E886" s="1" t="s">
        <v>2018</v>
      </c>
      <c r="F886" s="1" t="s">
        <v>40</v>
      </c>
      <c r="G886">
        <v>8</v>
      </c>
      <c r="H886" s="1" t="s">
        <v>58</v>
      </c>
      <c r="I886" s="1" t="s">
        <v>85</v>
      </c>
      <c r="J886">
        <v>12.5</v>
      </c>
      <c r="K886">
        <v>34.99</v>
      </c>
      <c r="L886" s="1" t="s">
        <v>60</v>
      </c>
      <c r="M886" s="1" t="s">
        <v>29</v>
      </c>
      <c r="N886" s="1" t="s">
        <v>30</v>
      </c>
      <c r="O886" s="1" t="s">
        <v>31</v>
      </c>
      <c r="P886" s="2">
        <v>45778</v>
      </c>
      <c r="Q886" s="1" t="s">
        <v>654</v>
      </c>
      <c r="R886" s="1" t="s">
        <v>983</v>
      </c>
      <c r="S886" s="1" t="s">
        <v>88</v>
      </c>
      <c r="T886" s="1" t="s">
        <v>35</v>
      </c>
      <c r="U886" s="1" t="s">
        <v>48</v>
      </c>
      <c r="V886" s="1" t="s">
        <v>89</v>
      </c>
      <c r="W886">
        <v>2.4</v>
      </c>
      <c r="X886" s="1" t="str">
        <f t="shared" si="39"/>
        <v>alejandro.diaz133@mail.com</v>
      </c>
      <c r="Y886" s="1" t="str">
        <f>INDEX(V:V,MATCH(orders_desnormalizado_prueba3[[#This Row],[acquisition_channel]],U:U,0))</f>
        <v>Bodega Propia CO - envio 2-3 dias</v>
      </c>
      <c r="Z886" s="1" t="str">
        <f>INDEX(T:T,MATCH(orders_desnormalizado_prueba3[[#This Row],[shipping_cost]],W:W,0))</f>
        <v>Colombia</v>
      </c>
      <c r="AA886" s="1" t="str">
        <f t="shared" si="40"/>
        <v>Barranquilla</v>
      </c>
      <c r="AB886" s="1"/>
      <c r="AC886" s="1" t="str">
        <f t="shared" si="41"/>
        <v xml:space="preserve"> </v>
      </c>
    </row>
    <row r="887" spans="1:29" x14ac:dyDescent="0.3">
      <c r="A887" s="1" t="s">
        <v>2019</v>
      </c>
      <c r="B887">
        <v>1</v>
      </c>
      <c r="C887">
        <v>21.99</v>
      </c>
      <c r="D887">
        <v>21.99</v>
      </c>
      <c r="E887" s="1" t="s">
        <v>187</v>
      </c>
      <c r="F887" s="1" t="s">
        <v>40</v>
      </c>
      <c r="G887">
        <v>3</v>
      </c>
      <c r="H887" s="1" t="s">
        <v>96</v>
      </c>
      <c r="I887" s="1" t="s">
        <v>27</v>
      </c>
      <c r="J887">
        <v>7</v>
      </c>
      <c r="K887">
        <v>21.99</v>
      </c>
      <c r="L887" s="1" t="s">
        <v>28</v>
      </c>
      <c r="M887" s="1" t="s">
        <v>29</v>
      </c>
      <c r="N887" s="1" t="s">
        <v>30</v>
      </c>
      <c r="O887" s="1" t="s">
        <v>31</v>
      </c>
      <c r="P887" s="2">
        <v>45778</v>
      </c>
      <c r="Q887" s="1" t="s">
        <v>793</v>
      </c>
      <c r="R887" s="1" t="s">
        <v>794</v>
      </c>
      <c r="S887" s="1" t="s">
        <v>34</v>
      </c>
      <c r="T887" s="1" t="s">
        <v>35</v>
      </c>
      <c r="U887" s="1" t="s">
        <v>82</v>
      </c>
      <c r="V887" s="1" t="s">
        <v>37</v>
      </c>
      <c r="W887">
        <v>2</v>
      </c>
      <c r="X887" s="1" t="str">
        <f t="shared" si="39"/>
        <v>esteban.ortiz133@mail.com</v>
      </c>
      <c r="Y887" s="1" t="str">
        <f>INDEX(V:V,MATCH(orders_desnormalizado_prueba3[[#This Row],[acquisition_channel]],U:U,0))</f>
        <v>Bodega Propia CO - envio 2-3 dias</v>
      </c>
      <c r="Z887" s="1" t="str">
        <f>INDEX(T:T,MATCH(orders_desnormalizado_prueba3[[#This Row],[shipping_cost]],W:W,0))</f>
        <v>Colombia</v>
      </c>
      <c r="AA887" s="1" t="str">
        <f t="shared" si="40"/>
        <v>Barranquilla</v>
      </c>
      <c r="AB887" s="1"/>
      <c r="AC887" s="1" t="str">
        <f t="shared" si="41"/>
        <v xml:space="preserve"> </v>
      </c>
    </row>
    <row r="888" spans="1:29" x14ac:dyDescent="0.3">
      <c r="A888" s="1" t="s">
        <v>2020</v>
      </c>
      <c r="B888">
        <v>2</v>
      </c>
      <c r="C888">
        <v>16.989999999999998</v>
      </c>
      <c r="D888">
        <v>29.26</v>
      </c>
      <c r="E888" s="1" t="s">
        <v>1832</v>
      </c>
      <c r="F888" s="1" t="s">
        <v>40</v>
      </c>
      <c r="G888">
        <v>19</v>
      </c>
      <c r="H888" s="1" t="s">
        <v>96</v>
      </c>
      <c r="I888" s="1" t="s">
        <v>59</v>
      </c>
      <c r="J888">
        <v>5</v>
      </c>
      <c r="K888">
        <v>16.989999999999998</v>
      </c>
      <c r="L888" s="1" t="s">
        <v>60</v>
      </c>
      <c r="M888" s="1" t="s">
        <v>61</v>
      </c>
      <c r="N888" s="1" t="s">
        <v>62</v>
      </c>
      <c r="O888" s="1" t="s">
        <v>31</v>
      </c>
      <c r="P888" s="2">
        <v>45726</v>
      </c>
      <c r="Q888" s="1" t="s">
        <v>1012</v>
      </c>
      <c r="R888" s="1" t="s">
        <v>1013</v>
      </c>
      <c r="S888" s="1" t="s">
        <v>65</v>
      </c>
      <c r="T888" s="1" t="s">
        <v>35</v>
      </c>
      <c r="U888" s="1" t="s">
        <v>36</v>
      </c>
      <c r="V888" s="1" t="s">
        <v>67</v>
      </c>
      <c r="W888">
        <v>3</v>
      </c>
      <c r="X888" s="1" t="str">
        <f t="shared" si="39"/>
        <v>mateo.vargas175@mail.com</v>
      </c>
      <c r="Y888" s="1" t="str">
        <f>INDEX(V:V,MATCH(orders_desnormalizado_prueba3[[#This Row],[acquisition_channel]],U:U,0))</f>
        <v>Bodega Propia CO - envio 2-3 dias</v>
      </c>
      <c r="Z888" s="1" t="str">
        <f>INDEX(T:T,MATCH(orders_desnormalizado_prueba3[[#This Row],[shipping_cost]],W:W,0))</f>
        <v>Colombia</v>
      </c>
      <c r="AA888" s="1" t="str">
        <f t="shared" si="40"/>
        <v>Bogota</v>
      </c>
      <c r="AB888" s="1"/>
      <c r="AC888" s="1" t="str">
        <f t="shared" si="41"/>
        <v xml:space="preserve"> </v>
      </c>
    </row>
    <row r="889" spans="1:29" x14ac:dyDescent="0.3">
      <c r="A889" s="1" t="s">
        <v>2021</v>
      </c>
      <c r="B889">
        <v>1</v>
      </c>
      <c r="C889">
        <v>27.99</v>
      </c>
      <c r="D889">
        <v>27.99</v>
      </c>
      <c r="E889" s="1" t="s">
        <v>856</v>
      </c>
      <c r="F889" s="1" t="s">
        <v>40</v>
      </c>
      <c r="G889">
        <v>2</v>
      </c>
      <c r="H889" s="1" t="s">
        <v>58</v>
      </c>
      <c r="I889" s="1" t="s">
        <v>75</v>
      </c>
      <c r="J889">
        <v>9</v>
      </c>
      <c r="K889">
        <v>27.99</v>
      </c>
      <c r="L889" s="1" t="s">
        <v>28</v>
      </c>
      <c r="M889" s="1" t="s">
        <v>61</v>
      </c>
      <c r="N889" s="1" t="s">
        <v>62</v>
      </c>
      <c r="O889" s="1" t="s">
        <v>31</v>
      </c>
      <c r="P889" s="2">
        <v>45726</v>
      </c>
      <c r="Q889" s="1" t="s">
        <v>1157</v>
      </c>
      <c r="R889" s="1" t="s">
        <v>2022</v>
      </c>
      <c r="S889" s="1" t="s">
        <v>34</v>
      </c>
      <c r="T889" s="1" t="s">
        <v>35</v>
      </c>
      <c r="U889" s="1" t="s">
        <v>82</v>
      </c>
      <c r="V889" s="1" t="s">
        <v>37</v>
      </c>
      <c r="W889">
        <v>2</v>
      </c>
      <c r="X889" s="1" t="str">
        <f t="shared" si="39"/>
        <v>alejandro.ramirez94@mail.com</v>
      </c>
      <c r="Y889" s="1" t="str">
        <f>INDEX(V:V,MATCH(orders_desnormalizado_prueba3[[#This Row],[acquisition_channel]],U:U,0))</f>
        <v>Bodega Propia CO - envio 2-3 dias</v>
      </c>
      <c r="Z889" s="1" t="str">
        <f>INDEX(T:T,MATCH(orders_desnormalizado_prueba3[[#This Row],[shipping_cost]],W:W,0))</f>
        <v>Colombia</v>
      </c>
      <c r="AA889" s="1" t="str">
        <f t="shared" si="40"/>
        <v>Medellin</v>
      </c>
      <c r="AB889" s="1"/>
      <c r="AC889" s="1" t="str">
        <f t="shared" si="41"/>
        <v xml:space="preserve"> </v>
      </c>
    </row>
    <row r="890" spans="1:29" x14ac:dyDescent="0.3">
      <c r="A890" s="1" t="s">
        <v>2023</v>
      </c>
      <c r="B890">
        <v>1</v>
      </c>
      <c r="C890">
        <v>30.99</v>
      </c>
      <c r="D890">
        <v>30.99</v>
      </c>
      <c r="E890" s="1" t="s">
        <v>228</v>
      </c>
      <c r="F890" s="1" t="s">
        <v>40</v>
      </c>
      <c r="G890">
        <v>2</v>
      </c>
      <c r="H890" s="1" t="s">
        <v>41</v>
      </c>
      <c r="I890" s="1" t="s">
        <v>42</v>
      </c>
      <c r="J890">
        <v>10.5</v>
      </c>
      <c r="K890">
        <v>30.99</v>
      </c>
      <c r="L890" s="1" t="s">
        <v>28</v>
      </c>
      <c r="M890" s="1" t="s">
        <v>43</v>
      </c>
      <c r="N890" s="1" t="s">
        <v>44</v>
      </c>
      <c r="O890" s="1" t="s">
        <v>31</v>
      </c>
      <c r="P890" s="2">
        <v>45823</v>
      </c>
      <c r="Q890" s="1" t="s">
        <v>2000</v>
      </c>
      <c r="R890" s="1" t="s">
        <v>2001</v>
      </c>
      <c r="S890" s="1" t="s">
        <v>54</v>
      </c>
      <c r="T890" s="1" t="s">
        <v>35</v>
      </c>
      <c r="U890" s="1" t="s">
        <v>55</v>
      </c>
      <c r="V890" s="1" t="s">
        <v>37</v>
      </c>
      <c r="W890">
        <v>2</v>
      </c>
      <c r="X890" s="1" t="str">
        <f t="shared" si="39"/>
        <v>gabriela.ramirez127@mail.com</v>
      </c>
      <c r="Y890" s="1" t="str">
        <f>INDEX(V:V,MATCH(orders_desnormalizado_prueba3[[#This Row],[acquisition_channel]],U:U,0))</f>
        <v>Bodega Propia CO - envio 2-3 dias</v>
      </c>
      <c r="Z890" s="1" t="str">
        <f>INDEX(T:T,MATCH(orders_desnormalizado_prueba3[[#This Row],[shipping_cost]],W:W,0))</f>
        <v>Colombia</v>
      </c>
      <c r="AA890" s="1" t="str">
        <f t="shared" si="40"/>
        <v>Medellin</v>
      </c>
      <c r="AB890" s="1"/>
      <c r="AC890" s="1" t="str">
        <f t="shared" si="41"/>
        <v xml:space="preserve"> </v>
      </c>
    </row>
    <row r="891" spans="1:29" x14ac:dyDescent="0.3">
      <c r="A891" s="1" t="s">
        <v>2024</v>
      </c>
      <c r="B891">
        <v>3</v>
      </c>
      <c r="C891">
        <v>27.99</v>
      </c>
      <c r="D891">
        <v>67.02</v>
      </c>
      <c r="E891" s="1" t="s">
        <v>69</v>
      </c>
      <c r="F891" s="1" t="s">
        <v>40</v>
      </c>
      <c r="G891">
        <v>3</v>
      </c>
      <c r="H891" s="1" t="s">
        <v>41</v>
      </c>
      <c r="I891" s="1" t="s">
        <v>75</v>
      </c>
      <c r="J891">
        <v>9</v>
      </c>
      <c r="K891">
        <v>27.99</v>
      </c>
      <c r="L891" s="1" t="s">
        <v>28</v>
      </c>
      <c r="M891" s="1" t="s">
        <v>61</v>
      </c>
      <c r="N891" s="1" t="s">
        <v>62</v>
      </c>
      <c r="O891" s="1" t="s">
        <v>31</v>
      </c>
      <c r="P891" s="2">
        <v>45726</v>
      </c>
      <c r="Q891" s="1" t="s">
        <v>1466</v>
      </c>
      <c r="R891" s="1" t="s">
        <v>1467</v>
      </c>
      <c r="S891" s="1" t="s">
        <v>65</v>
      </c>
      <c r="T891" s="1" t="s">
        <v>35</v>
      </c>
      <c r="U891" s="1" t="s">
        <v>48</v>
      </c>
      <c r="V891" s="1" t="s">
        <v>37</v>
      </c>
      <c r="W891">
        <v>2</v>
      </c>
      <c r="X891" s="1" t="str">
        <f t="shared" si="39"/>
        <v>maria.rodriguez64@mail.com</v>
      </c>
      <c r="Y891" s="1" t="str">
        <f>INDEX(V:V,MATCH(orders_desnormalizado_prueba3[[#This Row],[acquisition_channel]],U:U,0))</f>
        <v>Bodega Propia CO - envio 2-3 dias</v>
      </c>
      <c r="Z891" s="1" t="str">
        <f>INDEX(T:T,MATCH(orders_desnormalizado_prueba3[[#This Row],[shipping_cost]],W:W,0))</f>
        <v>Colombia</v>
      </c>
      <c r="AA891" s="1" t="str">
        <f t="shared" si="40"/>
        <v>Barranquilla</v>
      </c>
      <c r="AB891" s="1"/>
      <c r="AC891" s="1" t="str">
        <f t="shared" si="41"/>
        <v xml:space="preserve"> </v>
      </c>
    </row>
    <row r="892" spans="1:29" x14ac:dyDescent="0.3">
      <c r="A892" s="1" t="s">
        <v>2025</v>
      </c>
      <c r="B892">
        <v>3</v>
      </c>
      <c r="C892">
        <v>30.99</v>
      </c>
      <c r="D892">
        <v>73.319999999999993</v>
      </c>
      <c r="E892" s="1" t="s">
        <v>1227</v>
      </c>
      <c r="F892" s="1" t="s">
        <v>188</v>
      </c>
      <c r="G892">
        <v>0</v>
      </c>
      <c r="H892" s="1" t="s">
        <v>41</v>
      </c>
      <c r="I892" s="1" t="s">
        <v>42</v>
      </c>
      <c r="J892">
        <v>10.5</v>
      </c>
      <c r="K892">
        <v>30.99</v>
      </c>
      <c r="L892" s="1" t="s">
        <v>28</v>
      </c>
      <c r="M892" s="1" t="s">
        <v>43</v>
      </c>
      <c r="N892" s="1" t="s">
        <v>44</v>
      </c>
      <c r="O892" s="1" t="s">
        <v>31</v>
      </c>
      <c r="P892" s="2">
        <v>45823</v>
      </c>
      <c r="Q892" s="1" t="s">
        <v>1887</v>
      </c>
      <c r="R892" s="1" t="s">
        <v>1888</v>
      </c>
      <c r="S892" s="1" t="s">
        <v>88</v>
      </c>
      <c r="T892" s="1" t="s">
        <v>35</v>
      </c>
      <c r="U892" s="1" t="s">
        <v>82</v>
      </c>
      <c r="V892" s="1" t="s">
        <v>37</v>
      </c>
      <c r="W892">
        <v>2</v>
      </c>
      <c r="X892" s="1" t="str">
        <f t="shared" si="39"/>
        <v>daniela.perez170@mail.com</v>
      </c>
      <c r="Y892" s="1" t="str">
        <f>INDEX(V:V,MATCH(orders_desnormalizado_prueba3[[#This Row],[acquisition_channel]],U:U,0))</f>
        <v>Bodega Propia CO - envio 2-3 dias</v>
      </c>
      <c r="Z892" s="1" t="str">
        <f>INDEX(T:T,MATCH(orders_desnormalizado_prueba3[[#This Row],[shipping_cost]],W:W,0))</f>
        <v>Colombia</v>
      </c>
      <c r="AA892" s="1" t="str">
        <f t="shared" si="40"/>
        <v>Cartagena</v>
      </c>
      <c r="AB892" s="1"/>
      <c r="AC892" s="1" t="str">
        <f t="shared" si="41"/>
        <v xml:space="preserve"> </v>
      </c>
    </row>
    <row r="893" spans="1:29" x14ac:dyDescent="0.3">
      <c r="A893" s="1" t="s">
        <v>2026</v>
      </c>
      <c r="B893">
        <v>1</v>
      </c>
      <c r="C893">
        <v>16.989999999999998</v>
      </c>
      <c r="D893">
        <v>16.989999999999998</v>
      </c>
      <c r="E893" s="1" t="s">
        <v>2027</v>
      </c>
      <c r="F893" s="1" t="s">
        <v>40</v>
      </c>
      <c r="G893">
        <v>16</v>
      </c>
      <c r="H893" s="1" t="s">
        <v>41</v>
      </c>
      <c r="I893" s="1" t="s">
        <v>59</v>
      </c>
      <c r="J893">
        <v>5</v>
      </c>
      <c r="K893">
        <v>16.989999999999998</v>
      </c>
      <c r="L893" s="1" t="s">
        <v>60</v>
      </c>
      <c r="M893" s="1" t="s">
        <v>61</v>
      </c>
      <c r="N893" s="1" t="s">
        <v>62</v>
      </c>
      <c r="O893" s="1" t="s">
        <v>31</v>
      </c>
      <c r="P893" s="2">
        <v>45726</v>
      </c>
      <c r="Q893" s="1" t="s">
        <v>1184</v>
      </c>
      <c r="R893" s="1" t="s">
        <v>2028</v>
      </c>
      <c r="S893" s="1" t="s">
        <v>105</v>
      </c>
      <c r="T893" s="1" t="s">
        <v>35</v>
      </c>
      <c r="U893" s="1" t="s">
        <v>36</v>
      </c>
      <c r="V893" s="1" t="s">
        <v>67</v>
      </c>
      <c r="W893">
        <v>3</v>
      </c>
      <c r="X893" s="1" t="str">
        <f t="shared" si="39"/>
        <v>nicolas.torres168@mail.com</v>
      </c>
      <c r="Y893" s="1" t="str">
        <f>INDEX(V:V,MATCH(orders_desnormalizado_prueba3[[#This Row],[acquisition_channel]],U:U,0))</f>
        <v>Bodega Propia CO - envio 2-3 dias</v>
      </c>
      <c r="Z893" s="1" t="str">
        <f>INDEX(T:T,MATCH(orders_desnormalizado_prueba3[[#This Row],[shipping_cost]],W:W,0))</f>
        <v>Colombia</v>
      </c>
      <c r="AA893" s="1" t="str">
        <f t="shared" si="40"/>
        <v>Bogota</v>
      </c>
      <c r="AB893" s="1"/>
      <c r="AC893" s="1" t="str">
        <f t="shared" si="41"/>
        <v xml:space="preserve"> </v>
      </c>
    </row>
    <row r="894" spans="1:29" x14ac:dyDescent="0.3">
      <c r="A894" s="1" t="s">
        <v>2029</v>
      </c>
      <c r="B894">
        <v>3</v>
      </c>
      <c r="C894">
        <v>27.99</v>
      </c>
      <c r="D894">
        <v>67.39</v>
      </c>
      <c r="E894" s="1" t="s">
        <v>181</v>
      </c>
      <c r="F894" s="1" t="s">
        <v>40</v>
      </c>
      <c r="G894">
        <v>2</v>
      </c>
      <c r="H894" s="1" t="s">
        <v>96</v>
      </c>
      <c r="I894" s="1" t="s">
        <v>75</v>
      </c>
      <c r="J894">
        <v>9</v>
      </c>
      <c r="K894">
        <v>27.99</v>
      </c>
      <c r="L894" s="1" t="s">
        <v>28</v>
      </c>
      <c r="M894" s="1" t="s">
        <v>61</v>
      </c>
      <c r="N894" s="1" t="s">
        <v>62</v>
      </c>
      <c r="O894" s="1" t="s">
        <v>31</v>
      </c>
      <c r="P894" s="2">
        <v>45726</v>
      </c>
      <c r="Q894" s="1" t="s">
        <v>1739</v>
      </c>
      <c r="R894" s="1" t="s">
        <v>1740</v>
      </c>
      <c r="S894" s="1" t="s">
        <v>65</v>
      </c>
      <c r="T894" s="1" t="s">
        <v>35</v>
      </c>
      <c r="U894" s="1" t="s">
        <v>36</v>
      </c>
      <c r="V894" s="1" t="s">
        <v>37</v>
      </c>
      <c r="W894">
        <v>2</v>
      </c>
      <c r="X894" s="1" t="str">
        <f t="shared" si="39"/>
        <v>andres.ortiz83@mail.com</v>
      </c>
      <c r="Y894" s="1" t="str">
        <f>INDEX(V:V,MATCH(orders_desnormalizado_prueba3[[#This Row],[acquisition_channel]],U:U,0))</f>
        <v>Bodega Propia CO - envio 2-3 dias</v>
      </c>
      <c r="Z894" s="1" t="str">
        <f>INDEX(T:T,MATCH(orders_desnormalizado_prueba3[[#This Row],[shipping_cost]],W:W,0))</f>
        <v>Colombia</v>
      </c>
      <c r="AA894" s="1" t="str">
        <f t="shared" si="40"/>
        <v>Medellin</v>
      </c>
      <c r="AB894" s="1"/>
      <c r="AC894" s="1" t="str">
        <f t="shared" si="41"/>
        <v xml:space="preserve"> </v>
      </c>
    </row>
    <row r="895" spans="1:29" x14ac:dyDescent="0.3">
      <c r="A895" s="1" t="s">
        <v>2030</v>
      </c>
      <c r="B895">
        <v>3</v>
      </c>
      <c r="C895">
        <v>18.989999999999998</v>
      </c>
      <c r="D895">
        <v>45.14</v>
      </c>
      <c r="E895" s="1" t="s">
        <v>348</v>
      </c>
      <c r="F895" s="1" t="s">
        <v>40</v>
      </c>
      <c r="G895">
        <v>19</v>
      </c>
      <c r="H895" s="1" t="s">
        <v>96</v>
      </c>
      <c r="I895" s="1" t="s">
        <v>97</v>
      </c>
      <c r="J895">
        <v>6</v>
      </c>
      <c r="K895">
        <v>18.989999999999998</v>
      </c>
      <c r="L895" s="1" t="s">
        <v>60</v>
      </c>
      <c r="M895" s="1" t="s">
        <v>43</v>
      </c>
      <c r="N895" s="1" t="s">
        <v>44</v>
      </c>
      <c r="O895" s="1" t="s">
        <v>31</v>
      </c>
      <c r="P895" s="2">
        <v>45823</v>
      </c>
      <c r="Q895" s="1" t="s">
        <v>1349</v>
      </c>
      <c r="R895" s="1" t="s">
        <v>1439</v>
      </c>
      <c r="S895" s="1" t="s">
        <v>65</v>
      </c>
      <c r="T895" s="1" t="s">
        <v>35</v>
      </c>
      <c r="U895" s="1" t="s">
        <v>36</v>
      </c>
      <c r="V895" s="1" t="s">
        <v>100</v>
      </c>
      <c r="W895">
        <v>3.2</v>
      </c>
      <c r="X895" s="1" t="str">
        <f t="shared" si="39"/>
        <v>catalina.moreno180@mail.com</v>
      </c>
      <c r="Y895" s="1" t="str">
        <f>INDEX(V:V,MATCH(orders_desnormalizado_prueba3[[#This Row],[acquisition_channel]],U:U,0))</f>
        <v>Bodega Propia CO - envio 2-3 dias</v>
      </c>
      <c r="Z895" s="1" t="str">
        <f>INDEX(T:T,MATCH(orders_desnormalizado_prueba3[[#This Row],[shipping_cost]],W:W,0))</f>
        <v>Colombia</v>
      </c>
      <c r="AA895" s="1" t="str">
        <f t="shared" si="40"/>
        <v>Bogota</v>
      </c>
      <c r="AB895" s="1"/>
      <c r="AC895" s="1" t="str">
        <f t="shared" si="41"/>
        <v xml:space="preserve"> </v>
      </c>
    </row>
    <row r="896" spans="1:29" x14ac:dyDescent="0.3">
      <c r="A896" s="1" t="s">
        <v>2031</v>
      </c>
      <c r="B896">
        <v>1</v>
      </c>
      <c r="C896">
        <v>30.99</v>
      </c>
      <c r="D896">
        <v>30.99</v>
      </c>
      <c r="E896" s="1" t="s">
        <v>1194</v>
      </c>
      <c r="F896" s="1" t="s">
        <v>40</v>
      </c>
      <c r="G896">
        <v>3</v>
      </c>
      <c r="H896" s="1" t="s">
        <v>41</v>
      </c>
      <c r="I896" s="1" t="s">
        <v>42</v>
      </c>
      <c r="J896">
        <v>10.5</v>
      </c>
      <c r="K896">
        <v>30.99</v>
      </c>
      <c r="L896" s="1" t="s">
        <v>28</v>
      </c>
      <c r="M896" s="1" t="s">
        <v>43</v>
      </c>
      <c r="N896" s="1" t="s">
        <v>44</v>
      </c>
      <c r="O896" s="1" t="s">
        <v>31</v>
      </c>
      <c r="P896" s="2">
        <v>45823</v>
      </c>
      <c r="Q896" s="1" t="s">
        <v>305</v>
      </c>
      <c r="R896" s="1" t="s">
        <v>1560</v>
      </c>
      <c r="S896" s="1" t="s">
        <v>65</v>
      </c>
      <c r="T896" s="1" t="s">
        <v>35</v>
      </c>
      <c r="U896" s="1" t="s">
        <v>55</v>
      </c>
      <c r="V896" s="1" t="s">
        <v>37</v>
      </c>
      <c r="W896">
        <v>2</v>
      </c>
      <c r="X896" s="1" t="str">
        <f t="shared" si="39"/>
        <v>sebastian.sanchez117@mail.com</v>
      </c>
      <c r="Y896" s="1" t="str">
        <f>INDEX(V:V,MATCH(orders_desnormalizado_prueba3[[#This Row],[acquisition_channel]],U:U,0))</f>
        <v>Bodega Propia CO - envio 2-3 dias</v>
      </c>
      <c r="Z896" s="1" t="str">
        <f>INDEX(T:T,MATCH(orders_desnormalizado_prueba3[[#This Row],[shipping_cost]],W:W,0))</f>
        <v>Colombia</v>
      </c>
      <c r="AA896" s="1" t="str">
        <f t="shared" si="40"/>
        <v>Barranquilla</v>
      </c>
      <c r="AB896" s="1"/>
      <c r="AC896" s="1" t="str">
        <f t="shared" si="41"/>
        <v xml:space="preserve"> </v>
      </c>
    </row>
    <row r="897" spans="1:29" x14ac:dyDescent="0.3">
      <c r="A897" s="1" t="s">
        <v>2032</v>
      </c>
      <c r="B897">
        <v>1</v>
      </c>
      <c r="C897">
        <v>34.99</v>
      </c>
      <c r="D897">
        <v>34.99</v>
      </c>
      <c r="E897" s="1" t="s">
        <v>933</v>
      </c>
      <c r="F897" s="1" t="s">
        <v>51</v>
      </c>
      <c r="G897">
        <v>0</v>
      </c>
      <c r="H897" s="1" t="s">
        <v>96</v>
      </c>
      <c r="I897" s="1" t="s">
        <v>85</v>
      </c>
      <c r="J897">
        <v>12.5</v>
      </c>
      <c r="K897">
        <v>34.99</v>
      </c>
      <c r="L897" s="1" t="s">
        <v>60</v>
      </c>
      <c r="M897" s="1" t="s">
        <v>29</v>
      </c>
      <c r="N897" s="1" t="s">
        <v>30</v>
      </c>
      <c r="O897" s="1" t="s">
        <v>31</v>
      </c>
      <c r="P897" s="2">
        <v>45778</v>
      </c>
      <c r="Q897" s="1" t="s">
        <v>909</v>
      </c>
      <c r="R897" s="1" t="s">
        <v>1247</v>
      </c>
      <c r="S897" s="1" t="s">
        <v>88</v>
      </c>
      <c r="T897" s="1" t="s">
        <v>35</v>
      </c>
      <c r="U897" s="1" t="s">
        <v>55</v>
      </c>
      <c r="V897" s="1" t="s">
        <v>89</v>
      </c>
      <c r="W897">
        <v>2.4</v>
      </c>
      <c r="X897" s="1" t="str">
        <f t="shared" si="39"/>
        <v>juan.hernandez64@mail.com</v>
      </c>
      <c r="Y897" s="1" t="str">
        <f>INDEX(V:V,MATCH(orders_desnormalizado_prueba3[[#This Row],[acquisition_channel]],U:U,0))</f>
        <v>Bodega Propia CO - envio 2-3 dias</v>
      </c>
      <c r="Z897" s="1" t="str">
        <f>INDEX(T:T,MATCH(orders_desnormalizado_prueba3[[#This Row],[shipping_cost]],W:W,0))</f>
        <v>Colombia</v>
      </c>
      <c r="AA897" s="1" t="str">
        <f t="shared" si="40"/>
        <v>Cartagena</v>
      </c>
      <c r="AB897" s="1"/>
      <c r="AC897" s="1" t="str">
        <f t="shared" si="41"/>
        <v xml:space="preserve"> </v>
      </c>
    </row>
    <row r="898" spans="1:29" x14ac:dyDescent="0.3">
      <c r="A898" s="1" t="s">
        <v>2033</v>
      </c>
      <c r="B898">
        <v>3</v>
      </c>
      <c r="C898">
        <v>34.99</v>
      </c>
      <c r="D898">
        <v>83.76</v>
      </c>
      <c r="E898" s="1" t="s">
        <v>946</v>
      </c>
      <c r="F898" s="1" t="s">
        <v>40</v>
      </c>
      <c r="G898">
        <v>8</v>
      </c>
      <c r="H898" s="1" t="s">
        <v>26</v>
      </c>
      <c r="I898" s="1" t="s">
        <v>85</v>
      </c>
      <c r="J898">
        <v>12.5</v>
      </c>
      <c r="K898">
        <v>34.99</v>
      </c>
      <c r="L898" s="1" t="s">
        <v>60</v>
      </c>
      <c r="M898" s="1" t="s">
        <v>29</v>
      </c>
      <c r="N898" s="1" t="s">
        <v>30</v>
      </c>
      <c r="O898" s="1" t="s">
        <v>31</v>
      </c>
      <c r="P898" s="2">
        <v>45778</v>
      </c>
      <c r="Q898" s="1" t="s">
        <v>1204</v>
      </c>
      <c r="R898" s="1" t="s">
        <v>1205</v>
      </c>
      <c r="S898" s="1" t="s">
        <v>34</v>
      </c>
      <c r="T898" s="1" t="s">
        <v>35</v>
      </c>
      <c r="U898" s="1" t="s">
        <v>48</v>
      </c>
      <c r="V898" s="1" t="s">
        <v>89</v>
      </c>
      <c r="W898">
        <v>2.4</v>
      </c>
      <c r="X898" s="1" t="str">
        <f t="shared" ref="X898:X961" si="42">INDEX(R:R,MATCH(Q898,Q:Q,0))</f>
        <v>sofia.moreno38@mail.com</v>
      </c>
      <c r="Y898" s="1" t="str">
        <f>INDEX(V:V,MATCH(orders_desnormalizado_prueba3[[#This Row],[acquisition_channel]],U:U,0))</f>
        <v>Bodega Propia CO - envio 2-3 dias</v>
      </c>
      <c r="Z898" s="1" t="str">
        <f>INDEX(T:T,MATCH(orders_desnormalizado_prueba3[[#This Row],[shipping_cost]],W:W,0))</f>
        <v>Colombia</v>
      </c>
      <c r="AA898" s="1" t="str">
        <f t="shared" ref="AA898:AA961" si="43">INDEX(S:S,MATCH(G898,G:G,0))</f>
        <v>Barranquilla</v>
      </c>
      <c r="AB898" s="1"/>
      <c r="AC898" s="1" t="str">
        <f t="shared" ref="AC898:AC961" si="44">IFERROR(INDEX($V:$V,MATCH(AB898,$R:$R,0)), " ")</f>
        <v xml:space="preserve"> </v>
      </c>
    </row>
    <row r="899" spans="1:29" x14ac:dyDescent="0.3">
      <c r="A899" s="1" t="s">
        <v>2034</v>
      </c>
      <c r="B899">
        <v>2</v>
      </c>
      <c r="C899">
        <v>27.99</v>
      </c>
      <c r="D899">
        <v>48.78</v>
      </c>
      <c r="E899" s="1" t="s">
        <v>168</v>
      </c>
      <c r="F899" s="1" t="s">
        <v>40</v>
      </c>
      <c r="G899">
        <v>2</v>
      </c>
      <c r="H899" s="1" t="s">
        <v>96</v>
      </c>
      <c r="I899" s="1" t="s">
        <v>75</v>
      </c>
      <c r="J899">
        <v>9</v>
      </c>
      <c r="K899">
        <v>27.99</v>
      </c>
      <c r="L899" s="1" t="s">
        <v>28</v>
      </c>
      <c r="M899" s="1" t="s">
        <v>61</v>
      </c>
      <c r="N899" s="1" t="s">
        <v>62</v>
      </c>
      <c r="O899" s="1" t="s">
        <v>31</v>
      </c>
      <c r="P899" s="2">
        <v>45726</v>
      </c>
      <c r="Q899" s="1" t="s">
        <v>873</v>
      </c>
      <c r="R899" s="1" t="s">
        <v>874</v>
      </c>
      <c r="S899" s="1" t="s">
        <v>105</v>
      </c>
      <c r="T899" s="1" t="s">
        <v>35</v>
      </c>
      <c r="U899" s="1" t="s">
        <v>48</v>
      </c>
      <c r="V899" s="1" t="s">
        <v>37</v>
      </c>
      <c r="W899">
        <v>2</v>
      </c>
      <c r="X899" s="1" t="str">
        <f t="shared" si="42"/>
        <v>fernanda.sanchez183@mail.com</v>
      </c>
      <c r="Y899" s="1" t="str">
        <f>INDEX(V:V,MATCH(orders_desnormalizado_prueba3[[#This Row],[acquisition_channel]],U:U,0))</f>
        <v>Bodega Propia CO - envio 2-3 dias</v>
      </c>
      <c r="Z899" s="1" t="str">
        <f>INDEX(T:T,MATCH(orders_desnormalizado_prueba3[[#This Row],[shipping_cost]],W:W,0))</f>
        <v>Colombia</v>
      </c>
      <c r="AA899" s="1" t="str">
        <f t="shared" si="43"/>
        <v>Medellin</v>
      </c>
      <c r="AB899" s="1"/>
      <c r="AC899" s="1" t="str">
        <f t="shared" si="44"/>
        <v xml:space="preserve"> </v>
      </c>
    </row>
    <row r="900" spans="1:29" x14ac:dyDescent="0.3">
      <c r="A900" s="1" t="s">
        <v>2035</v>
      </c>
      <c r="B900">
        <v>1</v>
      </c>
      <c r="C900">
        <v>30.99</v>
      </c>
      <c r="D900">
        <v>30.99</v>
      </c>
      <c r="E900" s="1" t="s">
        <v>1100</v>
      </c>
      <c r="F900" s="1" t="s">
        <v>40</v>
      </c>
      <c r="G900">
        <v>6</v>
      </c>
      <c r="H900" s="1" t="s">
        <v>96</v>
      </c>
      <c r="I900" s="1" t="s">
        <v>42</v>
      </c>
      <c r="J900">
        <v>10.5</v>
      </c>
      <c r="K900">
        <v>30.99</v>
      </c>
      <c r="L900" s="1" t="s">
        <v>28</v>
      </c>
      <c r="M900" s="1" t="s">
        <v>43</v>
      </c>
      <c r="N900" s="1" t="s">
        <v>44</v>
      </c>
      <c r="O900" s="1" t="s">
        <v>31</v>
      </c>
      <c r="P900" s="2">
        <v>45823</v>
      </c>
      <c r="Q900" s="1" t="s">
        <v>1147</v>
      </c>
      <c r="R900" s="1" t="s">
        <v>1148</v>
      </c>
      <c r="S900" s="1" t="s">
        <v>34</v>
      </c>
      <c r="T900" s="1" t="s">
        <v>35</v>
      </c>
      <c r="U900" s="1" t="s">
        <v>55</v>
      </c>
      <c r="V900" s="1" t="s">
        <v>37</v>
      </c>
      <c r="W900">
        <v>2</v>
      </c>
      <c r="X900" s="1" t="str">
        <f t="shared" si="42"/>
        <v>catalina.ramirez74@mail.com</v>
      </c>
      <c r="Y900" s="1" t="str">
        <f>INDEX(V:V,MATCH(orders_desnormalizado_prueba3[[#This Row],[acquisition_channel]],U:U,0))</f>
        <v>Bodega Propia CO - envio 2-3 dias</v>
      </c>
      <c r="Z900" s="1" t="str">
        <f>INDEX(T:T,MATCH(orders_desnormalizado_prueba3[[#This Row],[shipping_cost]],W:W,0))</f>
        <v>Colombia</v>
      </c>
      <c r="AA900" s="1" t="str">
        <f t="shared" si="43"/>
        <v>Medellin</v>
      </c>
      <c r="AB900" s="1"/>
      <c r="AC900" s="1" t="str">
        <f t="shared" si="44"/>
        <v xml:space="preserve"> </v>
      </c>
    </row>
    <row r="901" spans="1:29" x14ac:dyDescent="0.3">
      <c r="A901" s="1" t="s">
        <v>2036</v>
      </c>
      <c r="B901">
        <v>1</v>
      </c>
      <c r="C901">
        <v>27.99</v>
      </c>
      <c r="D901">
        <v>27.99</v>
      </c>
      <c r="E901" s="1" t="s">
        <v>274</v>
      </c>
      <c r="F901" s="1" t="s">
        <v>40</v>
      </c>
      <c r="G901">
        <v>6</v>
      </c>
      <c r="H901" s="1" t="s">
        <v>58</v>
      </c>
      <c r="I901" s="1" t="s">
        <v>75</v>
      </c>
      <c r="J901">
        <v>9</v>
      </c>
      <c r="K901">
        <v>27.99</v>
      </c>
      <c r="L901" s="1" t="s">
        <v>28</v>
      </c>
      <c r="M901" s="1" t="s">
        <v>61</v>
      </c>
      <c r="N901" s="1" t="s">
        <v>62</v>
      </c>
      <c r="O901" s="1" t="s">
        <v>31</v>
      </c>
      <c r="P901" s="2">
        <v>45726</v>
      </c>
      <c r="Q901" s="1" t="s">
        <v>518</v>
      </c>
      <c r="R901" s="1" t="s">
        <v>1463</v>
      </c>
      <c r="S901" s="1" t="s">
        <v>34</v>
      </c>
      <c r="T901" s="1" t="s">
        <v>35</v>
      </c>
      <c r="U901" s="1" t="s">
        <v>66</v>
      </c>
      <c r="V901" s="1" t="s">
        <v>37</v>
      </c>
      <c r="W901">
        <v>2</v>
      </c>
      <c r="X901" s="1" t="str">
        <f t="shared" si="42"/>
        <v>juan.castro151@mail.com</v>
      </c>
      <c r="Y901" s="1" t="str">
        <f>INDEX(V:V,MATCH(orders_desnormalizado_prueba3[[#This Row],[acquisition_channel]],U:U,0))</f>
        <v>AliDropship CN - envio 15-20 dias</v>
      </c>
      <c r="Z901" s="1" t="str">
        <f>INDEX(T:T,MATCH(orders_desnormalizado_prueba3[[#This Row],[shipping_cost]],W:W,0))</f>
        <v>Colombia</v>
      </c>
      <c r="AA901" s="1" t="str">
        <f t="shared" si="43"/>
        <v>Medellin</v>
      </c>
      <c r="AB901" s="1"/>
      <c r="AC901" s="1" t="str">
        <f t="shared" si="44"/>
        <v xml:space="preserve"> </v>
      </c>
    </row>
    <row r="902" spans="1:29" x14ac:dyDescent="0.3">
      <c r="A902" s="1" t="s">
        <v>2037</v>
      </c>
      <c r="B902">
        <v>3</v>
      </c>
      <c r="C902">
        <v>27.99</v>
      </c>
      <c r="D902">
        <v>65.98</v>
      </c>
      <c r="E902" s="1" t="s">
        <v>2038</v>
      </c>
      <c r="F902" s="1" t="s">
        <v>51</v>
      </c>
      <c r="G902">
        <v>0</v>
      </c>
      <c r="H902" s="1" t="s">
        <v>41</v>
      </c>
      <c r="I902" s="1" t="s">
        <v>75</v>
      </c>
      <c r="J902">
        <v>9</v>
      </c>
      <c r="K902">
        <v>27.99</v>
      </c>
      <c r="L902" s="1" t="s">
        <v>28</v>
      </c>
      <c r="M902" s="1" t="s">
        <v>61</v>
      </c>
      <c r="N902" s="1" t="s">
        <v>62</v>
      </c>
      <c r="O902" s="1" t="s">
        <v>31</v>
      </c>
      <c r="P902" s="2">
        <v>45726</v>
      </c>
      <c r="Q902" s="1" t="s">
        <v>1272</v>
      </c>
      <c r="R902" s="1" t="s">
        <v>1273</v>
      </c>
      <c r="S902" s="1" t="s">
        <v>88</v>
      </c>
      <c r="T902" s="1" t="s">
        <v>35</v>
      </c>
      <c r="U902" s="1" t="s">
        <v>48</v>
      </c>
      <c r="V902" s="1" t="s">
        <v>37</v>
      </c>
      <c r="W902">
        <v>2</v>
      </c>
      <c r="X902" s="1" t="str">
        <f t="shared" si="42"/>
        <v>natalia.torres177@mail.com</v>
      </c>
      <c r="Y902" s="1" t="str">
        <f>INDEX(V:V,MATCH(orders_desnormalizado_prueba3[[#This Row],[acquisition_channel]],U:U,0))</f>
        <v>Bodega Propia CO - envio 2-3 dias</v>
      </c>
      <c r="Z902" s="1" t="str">
        <f>INDEX(T:T,MATCH(orders_desnormalizado_prueba3[[#This Row],[shipping_cost]],W:W,0))</f>
        <v>Colombia</v>
      </c>
      <c r="AA902" s="1" t="str">
        <f t="shared" si="43"/>
        <v>Cartagena</v>
      </c>
      <c r="AB902" s="1"/>
      <c r="AC902" s="1" t="str">
        <f t="shared" si="44"/>
        <v xml:space="preserve"> </v>
      </c>
    </row>
    <row r="903" spans="1:29" x14ac:dyDescent="0.3">
      <c r="A903" s="1" t="s">
        <v>2039</v>
      </c>
      <c r="B903">
        <v>1</v>
      </c>
      <c r="C903">
        <v>27.99</v>
      </c>
      <c r="D903">
        <v>27.99</v>
      </c>
      <c r="E903" s="1" t="s">
        <v>2040</v>
      </c>
      <c r="F903" s="1" t="s">
        <v>70</v>
      </c>
      <c r="G903">
        <v>0</v>
      </c>
      <c r="H903" s="1" t="s">
        <v>41</v>
      </c>
      <c r="I903" s="1" t="s">
        <v>75</v>
      </c>
      <c r="J903">
        <v>9</v>
      </c>
      <c r="K903">
        <v>27.99</v>
      </c>
      <c r="L903" s="1" t="s">
        <v>28</v>
      </c>
      <c r="M903" s="1" t="s">
        <v>61</v>
      </c>
      <c r="N903" s="1" t="s">
        <v>62</v>
      </c>
      <c r="O903" s="1" t="s">
        <v>31</v>
      </c>
      <c r="P903" s="2">
        <v>45726</v>
      </c>
      <c r="Q903" s="1" t="s">
        <v>738</v>
      </c>
      <c r="R903" s="1" t="s">
        <v>739</v>
      </c>
      <c r="S903" s="1" t="s">
        <v>34</v>
      </c>
      <c r="T903" s="1" t="s">
        <v>35</v>
      </c>
      <c r="U903" s="1" t="s">
        <v>82</v>
      </c>
      <c r="V903" s="1" t="s">
        <v>37</v>
      </c>
      <c r="W903">
        <v>2</v>
      </c>
      <c r="X903" s="1" t="str">
        <f t="shared" si="42"/>
        <v>esteban.moreno150@mail.com</v>
      </c>
      <c r="Y903" s="1" t="str">
        <f>INDEX(V:V,MATCH(orders_desnormalizado_prueba3[[#This Row],[acquisition_channel]],U:U,0))</f>
        <v>Bodega Propia CO - envio 2-3 dias</v>
      </c>
      <c r="Z903" s="1" t="str">
        <f>INDEX(T:T,MATCH(orders_desnormalizado_prueba3[[#This Row],[shipping_cost]],W:W,0))</f>
        <v>Colombia</v>
      </c>
      <c r="AA903" s="1" t="str">
        <f t="shared" si="43"/>
        <v>Cartagena</v>
      </c>
      <c r="AB903" s="1"/>
      <c r="AC903" s="1" t="str">
        <f t="shared" si="44"/>
        <v xml:space="preserve"> </v>
      </c>
    </row>
    <row r="904" spans="1:29" x14ac:dyDescent="0.3">
      <c r="A904" s="1" t="s">
        <v>2041</v>
      </c>
      <c r="B904">
        <v>1</v>
      </c>
      <c r="C904">
        <v>21.99</v>
      </c>
      <c r="D904">
        <v>21.99</v>
      </c>
      <c r="E904" s="1" t="s">
        <v>1895</v>
      </c>
      <c r="F904" s="1" t="s">
        <v>40</v>
      </c>
      <c r="G904">
        <v>3</v>
      </c>
      <c r="H904" s="1" t="s">
        <v>41</v>
      </c>
      <c r="I904" s="1" t="s">
        <v>27</v>
      </c>
      <c r="J904">
        <v>7</v>
      </c>
      <c r="K904">
        <v>21.99</v>
      </c>
      <c r="L904" s="1" t="s">
        <v>28</v>
      </c>
      <c r="M904" s="1" t="s">
        <v>29</v>
      </c>
      <c r="N904" s="1" t="s">
        <v>30</v>
      </c>
      <c r="O904" s="1" t="s">
        <v>31</v>
      </c>
      <c r="P904" s="2">
        <v>45778</v>
      </c>
      <c r="Q904" s="1" t="s">
        <v>2042</v>
      </c>
      <c r="R904" s="1" t="s">
        <v>2043</v>
      </c>
      <c r="S904" s="1" t="s">
        <v>65</v>
      </c>
      <c r="T904" s="1" t="s">
        <v>35</v>
      </c>
      <c r="U904" s="1" t="s">
        <v>36</v>
      </c>
      <c r="V904" s="1" t="s">
        <v>37</v>
      </c>
      <c r="W904">
        <v>2</v>
      </c>
      <c r="X904" s="1" t="str">
        <f t="shared" si="42"/>
        <v>antonia.hernandez62@mail.com</v>
      </c>
      <c r="Y904" s="1" t="str">
        <f>INDEX(V:V,MATCH(orders_desnormalizado_prueba3[[#This Row],[acquisition_channel]],U:U,0))</f>
        <v>Bodega Propia CO - envio 2-3 dias</v>
      </c>
      <c r="Z904" s="1" t="str">
        <f>INDEX(T:T,MATCH(orders_desnormalizado_prueba3[[#This Row],[shipping_cost]],W:W,0))</f>
        <v>Colombia</v>
      </c>
      <c r="AA904" s="1" t="str">
        <f t="shared" si="43"/>
        <v>Barranquilla</v>
      </c>
      <c r="AB904" s="1"/>
      <c r="AC904" s="1" t="str">
        <f t="shared" si="44"/>
        <v xml:space="preserve"> </v>
      </c>
    </row>
    <row r="905" spans="1:29" x14ac:dyDescent="0.3">
      <c r="A905" s="1" t="s">
        <v>2044</v>
      </c>
      <c r="B905">
        <v>1</v>
      </c>
      <c r="C905">
        <v>34.99</v>
      </c>
      <c r="D905">
        <v>34.99</v>
      </c>
      <c r="E905" s="1" t="s">
        <v>2045</v>
      </c>
      <c r="F905" s="1" t="s">
        <v>40</v>
      </c>
      <c r="G905">
        <v>6</v>
      </c>
      <c r="H905" s="1" t="s">
        <v>41</v>
      </c>
      <c r="I905" s="1" t="s">
        <v>85</v>
      </c>
      <c r="J905">
        <v>12.5</v>
      </c>
      <c r="K905">
        <v>34.99</v>
      </c>
      <c r="L905" s="1" t="s">
        <v>60</v>
      </c>
      <c r="M905" s="1" t="s">
        <v>29</v>
      </c>
      <c r="N905" s="1" t="s">
        <v>30</v>
      </c>
      <c r="O905" s="1" t="s">
        <v>31</v>
      </c>
      <c r="P905" s="2">
        <v>45778</v>
      </c>
      <c r="Q905" s="1" t="s">
        <v>926</v>
      </c>
      <c r="R905" s="1" t="s">
        <v>2046</v>
      </c>
      <c r="S905" s="1" t="s">
        <v>34</v>
      </c>
      <c r="T905" s="1" t="s">
        <v>35</v>
      </c>
      <c r="U905" s="1" t="s">
        <v>55</v>
      </c>
      <c r="V905" s="1" t="s">
        <v>89</v>
      </c>
      <c r="W905">
        <v>2.4</v>
      </c>
      <c r="X905" s="1" t="str">
        <f t="shared" si="42"/>
        <v>fernanda.castro167@mail.com</v>
      </c>
      <c r="Y905" s="1" t="str">
        <f>INDEX(V:V,MATCH(orders_desnormalizado_prueba3[[#This Row],[acquisition_channel]],U:U,0))</f>
        <v>Bodega Propia CO - envio 2-3 dias</v>
      </c>
      <c r="Z905" s="1" t="str">
        <f>INDEX(T:T,MATCH(orders_desnormalizado_prueba3[[#This Row],[shipping_cost]],W:W,0))</f>
        <v>Colombia</v>
      </c>
      <c r="AA905" s="1" t="str">
        <f t="shared" si="43"/>
        <v>Medellin</v>
      </c>
      <c r="AB905" s="1"/>
      <c r="AC905" s="1" t="str">
        <f t="shared" si="44"/>
        <v xml:space="preserve"> </v>
      </c>
    </row>
    <row r="906" spans="1:29" x14ac:dyDescent="0.3">
      <c r="A906" s="1" t="s">
        <v>2047</v>
      </c>
      <c r="B906">
        <v>2</v>
      </c>
      <c r="C906">
        <v>18.989999999999998</v>
      </c>
      <c r="D906">
        <v>32.76</v>
      </c>
      <c r="E906" s="1" t="s">
        <v>2048</v>
      </c>
      <c r="F906" s="1" t="s">
        <v>25</v>
      </c>
      <c r="G906">
        <v>15</v>
      </c>
      <c r="H906" s="1" t="s">
        <v>96</v>
      </c>
      <c r="I906" s="1" t="s">
        <v>97</v>
      </c>
      <c r="J906">
        <v>6</v>
      </c>
      <c r="K906">
        <v>18.989999999999998</v>
      </c>
      <c r="L906" s="1" t="s">
        <v>60</v>
      </c>
      <c r="M906" s="1" t="s">
        <v>43</v>
      </c>
      <c r="N906" s="1" t="s">
        <v>44</v>
      </c>
      <c r="O906" s="1" t="s">
        <v>31</v>
      </c>
      <c r="P906" s="2">
        <v>45823</v>
      </c>
      <c r="Q906" s="1" t="s">
        <v>385</v>
      </c>
      <c r="R906" s="1" t="s">
        <v>998</v>
      </c>
      <c r="S906" s="1" t="s">
        <v>54</v>
      </c>
      <c r="T906" s="1" t="s">
        <v>35</v>
      </c>
      <c r="U906" s="1" t="s">
        <v>48</v>
      </c>
      <c r="V906" s="1" t="s">
        <v>100</v>
      </c>
      <c r="W906">
        <v>3.2</v>
      </c>
      <c r="X906" s="1" t="str">
        <f t="shared" si="42"/>
        <v>isabella.sanchez53@mail.com</v>
      </c>
      <c r="Y906" s="1" t="str">
        <f>INDEX(V:V,MATCH(orders_desnormalizado_prueba3[[#This Row],[acquisition_channel]],U:U,0))</f>
        <v>Bodega Propia CO - envio 2-3 dias</v>
      </c>
      <c r="Z906" s="1" t="str">
        <f>INDEX(T:T,MATCH(orders_desnormalizado_prueba3[[#This Row],[shipping_cost]],W:W,0))</f>
        <v>Colombia</v>
      </c>
      <c r="AA906" s="1" t="str">
        <f t="shared" si="43"/>
        <v>Barranquilla</v>
      </c>
      <c r="AB906" s="1"/>
      <c r="AC906" s="1" t="str">
        <f t="shared" si="44"/>
        <v xml:space="preserve"> </v>
      </c>
    </row>
    <row r="907" spans="1:29" x14ac:dyDescent="0.3">
      <c r="A907" s="1" t="s">
        <v>2049</v>
      </c>
      <c r="B907">
        <v>3</v>
      </c>
      <c r="C907">
        <v>34.99</v>
      </c>
      <c r="D907">
        <v>83.85</v>
      </c>
      <c r="E907" s="1" t="s">
        <v>457</v>
      </c>
      <c r="F907" s="1" t="s">
        <v>40</v>
      </c>
      <c r="G907">
        <v>5</v>
      </c>
      <c r="H907" s="1" t="s">
        <v>96</v>
      </c>
      <c r="I907" s="1" t="s">
        <v>85</v>
      </c>
      <c r="J907">
        <v>12.5</v>
      </c>
      <c r="K907">
        <v>34.99</v>
      </c>
      <c r="L907" s="1" t="s">
        <v>60</v>
      </c>
      <c r="M907" s="1" t="s">
        <v>29</v>
      </c>
      <c r="N907" s="1" t="s">
        <v>30</v>
      </c>
      <c r="O907" s="1" t="s">
        <v>31</v>
      </c>
      <c r="P907" s="2">
        <v>45778</v>
      </c>
      <c r="Q907" s="1" t="s">
        <v>1032</v>
      </c>
      <c r="R907" s="1" t="s">
        <v>1033</v>
      </c>
      <c r="S907" s="1" t="s">
        <v>105</v>
      </c>
      <c r="T907" s="1" t="s">
        <v>35</v>
      </c>
      <c r="U907" s="1" t="s">
        <v>55</v>
      </c>
      <c r="V907" s="1" t="s">
        <v>89</v>
      </c>
      <c r="W907">
        <v>2.4</v>
      </c>
      <c r="X907" s="1" t="str">
        <f t="shared" si="42"/>
        <v>antonia.sanchez54@mail.com</v>
      </c>
      <c r="Y907" s="1" t="str">
        <f>INDEX(V:V,MATCH(orders_desnormalizado_prueba3[[#This Row],[acquisition_channel]],U:U,0))</f>
        <v>Bodega Propia CO - envio 2-3 dias</v>
      </c>
      <c r="Z907" s="1" t="str">
        <f>INDEX(T:T,MATCH(orders_desnormalizado_prueba3[[#This Row],[shipping_cost]],W:W,0))</f>
        <v>Colombia</v>
      </c>
      <c r="AA907" s="1" t="str">
        <f t="shared" si="43"/>
        <v>Cali</v>
      </c>
      <c r="AB907" s="1"/>
      <c r="AC907" s="1" t="str">
        <f t="shared" si="44"/>
        <v xml:space="preserve"> </v>
      </c>
    </row>
    <row r="908" spans="1:29" x14ac:dyDescent="0.3">
      <c r="A908" s="1" t="s">
        <v>2050</v>
      </c>
      <c r="B908">
        <v>2</v>
      </c>
      <c r="C908">
        <v>30.99</v>
      </c>
      <c r="D908">
        <v>53.47</v>
      </c>
      <c r="E908" s="1" t="s">
        <v>1570</v>
      </c>
      <c r="F908" s="1" t="s">
        <v>40</v>
      </c>
      <c r="G908">
        <v>2</v>
      </c>
      <c r="H908" s="1" t="s">
        <v>58</v>
      </c>
      <c r="I908" s="1" t="s">
        <v>42</v>
      </c>
      <c r="J908">
        <v>10.5</v>
      </c>
      <c r="K908">
        <v>30.99</v>
      </c>
      <c r="L908" s="1" t="s">
        <v>28</v>
      </c>
      <c r="M908" s="1" t="s">
        <v>43</v>
      </c>
      <c r="N908" s="1" t="s">
        <v>44</v>
      </c>
      <c r="O908" s="1" t="s">
        <v>31</v>
      </c>
      <c r="P908" s="2">
        <v>45823</v>
      </c>
      <c r="Q908" s="1" t="s">
        <v>975</v>
      </c>
      <c r="R908" s="1" t="s">
        <v>1518</v>
      </c>
      <c r="S908" s="1" t="s">
        <v>105</v>
      </c>
      <c r="T908" s="1" t="s">
        <v>35</v>
      </c>
      <c r="U908" s="1" t="s">
        <v>48</v>
      </c>
      <c r="V908" s="1" t="s">
        <v>37</v>
      </c>
      <c r="W908">
        <v>2</v>
      </c>
      <c r="X908" s="1" t="str">
        <f t="shared" si="42"/>
        <v>mateo.moreno84@mail.com</v>
      </c>
      <c r="Y908" s="1" t="str">
        <f>INDEX(V:V,MATCH(orders_desnormalizado_prueba3[[#This Row],[acquisition_channel]],U:U,0))</f>
        <v>Bodega Propia CO - envio 2-3 dias</v>
      </c>
      <c r="Z908" s="1" t="str">
        <f>INDEX(T:T,MATCH(orders_desnormalizado_prueba3[[#This Row],[shipping_cost]],W:W,0))</f>
        <v>Colombia</v>
      </c>
      <c r="AA908" s="1" t="str">
        <f t="shared" si="43"/>
        <v>Medellin</v>
      </c>
      <c r="AB908" s="1"/>
      <c r="AC908" s="1" t="str">
        <f t="shared" si="44"/>
        <v xml:space="preserve"> </v>
      </c>
    </row>
    <row r="909" spans="1:29" x14ac:dyDescent="0.3">
      <c r="A909" s="1" t="s">
        <v>2051</v>
      </c>
      <c r="B909">
        <v>1</v>
      </c>
      <c r="C909">
        <v>27.99</v>
      </c>
      <c r="D909">
        <v>27.99</v>
      </c>
      <c r="E909" s="1" t="s">
        <v>57</v>
      </c>
      <c r="F909" s="1" t="s">
        <v>51</v>
      </c>
      <c r="G909">
        <v>0</v>
      </c>
      <c r="H909" s="1" t="s">
        <v>58</v>
      </c>
      <c r="I909" s="1" t="s">
        <v>75</v>
      </c>
      <c r="J909">
        <v>9</v>
      </c>
      <c r="K909">
        <v>27.99</v>
      </c>
      <c r="L909" s="1" t="s">
        <v>28</v>
      </c>
      <c r="M909" s="1" t="s">
        <v>61</v>
      </c>
      <c r="N909" s="1" t="s">
        <v>62</v>
      </c>
      <c r="O909" s="1" t="s">
        <v>31</v>
      </c>
      <c r="P909" s="2">
        <v>45726</v>
      </c>
      <c r="Q909" s="1" t="s">
        <v>1676</v>
      </c>
      <c r="R909" s="1" t="s">
        <v>1677</v>
      </c>
      <c r="S909" s="1" t="s">
        <v>105</v>
      </c>
      <c r="T909" s="1" t="s">
        <v>35</v>
      </c>
      <c r="U909" s="1" t="s">
        <v>66</v>
      </c>
      <c r="V909" s="1" t="s">
        <v>37</v>
      </c>
      <c r="W909">
        <v>2</v>
      </c>
      <c r="X909" s="1" t="str">
        <f t="shared" si="42"/>
        <v>antonia.perez1@mail.com</v>
      </c>
      <c r="Y909" s="1" t="str">
        <f>INDEX(V:V,MATCH(orders_desnormalizado_prueba3[[#This Row],[acquisition_channel]],U:U,0))</f>
        <v>AliDropship CN - envio 15-20 dias</v>
      </c>
      <c r="Z909" s="1" t="str">
        <f>INDEX(T:T,MATCH(orders_desnormalizado_prueba3[[#This Row],[shipping_cost]],W:W,0))</f>
        <v>Colombia</v>
      </c>
      <c r="AA909" s="1" t="str">
        <f t="shared" si="43"/>
        <v>Cartagena</v>
      </c>
      <c r="AB909" s="1"/>
      <c r="AC909" s="1" t="str">
        <f t="shared" si="44"/>
        <v xml:space="preserve"> </v>
      </c>
    </row>
    <row r="910" spans="1:29" x14ac:dyDescent="0.3">
      <c r="A910" s="1" t="s">
        <v>2052</v>
      </c>
      <c r="B910">
        <v>1</v>
      </c>
      <c r="C910">
        <v>27.99</v>
      </c>
      <c r="D910">
        <v>27.99</v>
      </c>
      <c r="E910" s="1" t="s">
        <v>1002</v>
      </c>
      <c r="F910" s="1" t="s">
        <v>51</v>
      </c>
      <c r="G910">
        <v>0</v>
      </c>
      <c r="H910" s="1" t="s">
        <v>41</v>
      </c>
      <c r="I910" s="1" t="s">
        <v>75</v>
      </c>
      <c r="J910">
        <v>9</v>
      </c>
      <c r="K910">
        <v>27.99</v>
      </c>
      <c r="L910" s="1" t="s">
        <v>28</v>
      </c>
      <c r="M910" s="1" t="s">
        <v>61</v>
      </c>
      <c r="N910" s="1" t="s">
        <v>62</v>
      </c>
      <c r="O910" s="1" t="s">
        <v>31</v>
      </c>
      <c r="P910" s="2">
        <v>45726</v>
      </c>
      <c r="Q910" s="1" t="s">
        <v>147</v>
      </c>
      <c r="R910" s="1" t="s">
        <v>1601</v>
      </c>
      <c r="S910" s="1" t="s">
        <v>105</v>
      </c>
      <c r="T910" s="1" t="s">
        <v>35</v>
      </c>
      <c r="U910" s="1" t="s">
        <v>55</v>
      </c>
      <c r="V910" s="1" t="s">
        <v>37</v>
      </c>
      <c r="W910">
        <v>2</v>
      </c>
      <c r="X910" s="1" t="str">
        <f t="shared" si="42"/>
        <v>natalia.castro19@mail.com</v>
      </c>
      <c r="Y910" s="1" t="str">
        <f>INDEX(V:V,MATCH(orders_desnormalizado_prueba3[[#This Row],[acquisition_channel]],U:U,0))</f>
        <v>Bodega Propia CO - envio 2-3 dias</v>
      </c>
      <c r="Z910" s="1" t="str">
        <f>INDEX(T:T,MATCH(orders_desnormalizado_prueba3[[#This Row],[shipping_cost]],W:W,0))</f>
        <v>Colombia</v>
      </c>
      <c r="AA910" s="1" t="str">
        <f t="shared" si="43"/>
        <v>Cartagena</v>
      </c>
      <c r="AB910" s="1"/>
      <c r="AC910" s="1" t="str">
        <f t="shared" si="44"/>
        <v xml:space="preserve"> </v>
      </c>
    </row>
    <row r="911" spans="1:29" x14ac:dyDescent="0.3">
      <c r="A911" s="1" t="s">
        <v>2053</v>
      </c>
      <c r="B911">
        <v>3</v>
      </c>
      <c r="C911">
        <v>27.99</v>
      </c>
      <c r="D911">
        <v>66.14</v>
      </c>
      <c r="E911" s="1" t="s">
        <v>2054</v>
      </c>
      <c r="F911" s="1" t="s">
        <v>40</v>
      </c>
      <c r="G911">
        <v>2</v>
      </c>
      <c r="H911" s="1" t="s">
        <v>96</v>
      </c>
      <c r="I911" s="1" t="s">
        <v>75</v>
      </c>
      <c r="J911">
        <v>9</v>
      </c>
      <c r="K911">
        <v>27.99</v>
      </c>
      <c r="L911" s="1" t="s">
        <v>28</v>
      </c>
      <c r="M911" s="1" t="s">
        <v>61</v>
      </c>
      <c r="N911" s="1" t="s">
        <v>62</v>
      </c>
      <c r="O911" s="1" t="s">
        <v>31</v>
      </c>
      <c r="P911" s="2">
        <v>45726</v>
      </c>
      <c r="Q911" s="1" t="s">
        <v>1408</v>
      </c>
      <c r="R911" s="1" t="s">
        <v>2055</v>
      </c>
      <c r="S911" s="1" t="s">
        <v>54</v>
      </c>
      <c r="T911" s="1" t="s">
        <v>35</v>
      </c>
      <c r="U911" s="1" t="s">
        <v>82</v>
      </c>
      <c r="V911" s="1" t="s">
        <v>37</v>
      </c>
      <c r="W911">
        <v>2</v>
      </c>
      <c r="X911" s="1" t="str">
        <f t="shared" si="42"/>
        <v>gabriela.moreno85@mail.com</v>
      </c>
      <c r="Y911" s="1" t="str">
        <f>INDEX(V:V,MATCH(orders_desnormalizado_prueba3[[#This Row],[acquisition_channel]],U:U,0))</f>
        <v>Bodega Propia CO - envio 2-3 dias</v>
      </c>
      <c r="Z911" s="1" t="str">
        <f>INDEX(T:T,MATCH(orders_desnormalizado_prueba3[[#This Row],[shipping_cost]],W:W,0))</f>
        <v>Colombia</v>
      </c>
      <c r="AA911" s="1" t="str">
        <f t="shared" si="43"/>
        <v>Medellin</v>
      </c>
      <c r="AB911" s="1"/>
      <c r="AC911" s="1" t="str">
        <f t="shared" si="44"/>
        <v xml:space="preserve"> </v>
      </c>
    </row>
    <row r="912" spans="1:29" x14ac:dyDescent="0.3">
      <c r="A912" s="1" t="s">
        <v>2056</v>
      </c>
      <c r="B912">
        <v>1</v>
      </c>
      <c r="C912">
        <v>27.99</v>
      </c>
      <c r="D912">
        <v>27.99</v>
      </c>
      <c r="E912" s="1" t="s">
        <v>1002</v>
      </c>
      <c r="F912" s="1" t="s">
        <v>40</v>
      </c>
      <c r="G912">
        <v>2</v>
      </c>
      <c r="H912" s="1" t="s">
        <v>58</v>
      </c>
      <c r="I912" s="1" t="s">
        <v>75</v>
      </c>
      <c r="J912">
        <v>9</v>
      </c>
      <c r="K912">
        <v>27.99</v>
      </c>
      <c r="L912" s="1" t="s">
        <v>28</v>
      </c>
      <c r="M912" s="1" t="s">
        <v>61</v>
      </c>
      <c r="N912" s="1" t="s">
        <v>62</v>
      </c>
      <c r="O912" s="1" t="s">
        <v>31</v>
      </c>
      <c r="P912" s="2">
        <v>45726</v>
      </c>
      <c r="Q912" s="1" t="s">
        <v>797</v>
      </c>
      <c r="R912" s="1" t="s">
        <v>1810</v>
      </c>
      <c r="S912" s="1" t="s">
        <v>88</v>
      </c>
      <c r="T912" s="1" t="s">
        <v>35</v>
      </c>
      <c r="U912" s="1" t="s">
        <v>66</v>
      </c>
      <c r="V912" s="1" t="s">
        <v>37</v>
      </c>
      <c r="W912">
        <v>2</v>
      </c>
      <c r="X912" s="1" t="str">
        <f t="shared" si="42"/>
        <v>miguel.gomez127@mail.com</v>
      </c>
      <c r="Y912" s="1" t="str">
        <f>INDEX(V:V,MATCH(orders_desnormalizado_prueba3[[#This Row],[acquisition_channel]],U:U,0))</f>
        <v>AliDropship CN - envio 15-20 dias</v>
      </c>
      <c r="Z912" s="1" t="str">
        <f>INDEX(T:T,MATCH(orders_desnormalizado_prueba3[[#This Row],[shipping_cost]],W:W,0))</f>
        <v>Colombia</v>
      </c>
      <c r="AA912" s="1" t="str">
        <f t="shared" si="43"/>
        <v>Medellin</v>
      </c>
      <c r="AB912" s="1"/>
      <c r="AC912" s="1" t="str">
        <f t="shared" si="44"/>
        <v xml:space="preserve"> </v>
      </c>
    </row>
    <row r="913" spans="1:29" x14ac:dyDescent="0.3">
      <c r="A913" s="1" t="s">
        <v>2057</v>
      </c>
      <c r="B913">
        <v>1</v>
      </c>
      <c r="C913">
        <v>21.99</v>
      </c>
      <c r="D913">
        <v>21.99</v>
      </c>
      <c r="E913" s="1" t="s">
        <v>143</v>
      </c>
      <c r="F913" s="1" t="s">
        <v>40</v>
      </c>
      <c r="G913">
        <v>2</v>
      </c>
      <c r="H913" s="1" t="s">
        <v>26</v>
      </c>
      <c r="I913" s="1" t="s">
        <v>27</v>
      </c>
      <c r="J913">
        <v>7</v>
      </c>
      <c r="K913">
        <v>21.99</v>
      </c>
      <c r="L913" s="1" t="s">
        <v>28</v>
      </c>
      <c r="M913" s="1" t="s">
        <v>29</v>
      </c>
      <c r="N913" s="1" t="s">
        <v>30</v>
      </c>
      <c r="O913" s="1" t="s">
        <v>31</v>
      </c>
      <c r="P913" s="2">
        <v>45778</v>
      </c>
      <c r="Q913" s="1" t="s">
        <v>335</v>
      </c>
      <c r="R913" s="1" t="s">
        <v>2058</v>
      </c>
      <c r="S913" s="1" t="s">
        <v>65</v>
      </c>
      <c r="T913" s="1" t="s">
        <v>35</v>
      </c>
      <c r="U913" s="1" t="s">
        <v>48</v>
      </c>
      <c r="V913" s="1" t="s">
        <v>37</v>
      </c>
      <c r="W913">
        <v>2</v>
      </c>
      <c r="X913" s="1" t="str">
        <f t="shared" si="42"/>
        <v>daniela.castro130@mail.com</v>
      </c>
      <c r="Y913" s="1" t="str">
        <f>INDEX(V:V,MATCH(orders_desnormalizado_prueba3[[#This Row],[acquisition_channel]],U:U,0))</f>
        <v>Bodega Propia CO - envio 2-3 dias</v>
      </c>
      <c r="Z913" s="1" t="str">
        <f>INDEX(T:T,MATCH(orders_desnormalizado_prueba3[[#This Row],[shipping_cost]],W:W,0))</f>
        <v>Colombia</v>
      </c>
      <c r="AA913" s="1" t="str">
        <f t="shared" si="43"/>
        <v>Medellin</v>
      </c>
      <c r="AB913" s="1"/>
      <c r="AC913" s="1" t="str">
        <f t="shared" si="44"/>
        <v xml:space="preserve"> </v>
      </c>
    </row>
    <row r="914" spans="1:29" x14ac:dyDescent="0.3">
      <c r="A914" s="1" t="s">
        <v>2059</v>
      </c>
      <c r="B914">
        <v>1</v>
      </c>
      <c r="C914">
        <v>30.99</v>
      </c>
      <c r="D914">
        <v>30.99</v>
      </c>
      <c r="E914" s="1" t="s">
        <v>1881</v>
      </c>
      <c r="F914" s="1" t="s">
        <v>40</v>
      </c>
      <c r="G914">
        <v>3</v>
      </c>
      <c r="H914" s="1" t="s">
        <v>96</v>
      </c>
      <c r="I914" s="1" t="s">
        <v>42</v>
      </c>
      <c r="J914">
        <v>10.5</v>
      </c>
      <c r="K914">
        <v>30.99</v>
      </c>
      <c r="L914" s="1" t="s">
        <v>28</v>
      </c>
      <c r="M914" s="1" t="s">
        <v>43</v>
      </c>
      <c r="N914" s="1" t="s">
        <v>44</v>
      </c>
      <c r="O914" s="1" t="s">
        <v>31</v>
      </c>
      <c r="P914" s="2">
        <v>45823</v>
      </c>
      <c r="Q914" s="1" t="s">
        <v>1191</v>
      </c>
      <c r="R914" s="1" t="s">
        <v>1192</v>
      </c>
      <c r="S914" s="1" t="s">
        <v>88</v>
      </c>
      <c r="T914" s="1" t="s">
        <v>35</v>
      </c>
      <c r="U914" s="1" t="s">
        <v>55</v>
      </c>
      <c r="V914" s="1" t="s">
        <v>37</v>
      </c>
      <c r="W914">
        <v>2</v>
      </c>
      <c r="X914" s="1" t="str">
        <f t="shared" si="42"/>
        <v>esteban.ramirez113@mail.com</v>
      </c>
      <c r="Y914" s="1" t="str">
        <f>INDEX(V:V,MATCH(orders_desnormalizado_prueba3[[#This Row],[acquisition_channel]],U:U,0))</f>
        <v>Bodega Propia CO - envio 2-3 dias</v>
      </c>
      <c r="Z914" s="1" t="str">
        <f>INDEX(T:T,MATCH(orders_desnormalizado_prueba3[[#This Row],[shipping_cost]],W:W,0))</f>
        <v>Colombia</v>
      </c>
      <c r="AA914" s="1" t="str">
        <f t="shared" si="43"/>
        <v>Barranquilla</v>
      </c>
      <c r="AB914" s="1"/>
      <c r="AC914" s="1" t="str">
        <f t="shared" si="44"/>
        <v xml:space="preserve"> </v>
      </c>
    </row>
    <row r="915" spans="1:29" x14ac:dyDescent="0.3">
      <c r="A915" s="1" t="s">
        <v>2060</v>
      </c>
      <c r="B915">
        <v>1</v>
      </c>
      <c r="C915">
        <v>16.989999999999998</v>
      </c>
      <c r="D915">
        <v>16.989999999999998</v>
      </c>
      <c r="E915" s="1" t="s">
        <v>91</v>
      </c>
      <c r="F915" s="1" t="s">
        <v>40</v>
      </c>
      <c r="G915">
        <v>20</v>
      </c>
      <c r="H915" s="1" t="s">
        <v>26</v>
      </c>
      <c r="I915" s="1" t="s">
        <v>59</v>
      </c>
      <c r="J915">
        <v>5</v>
      </c>
      <c r="K915">
        <v>16.989999999999998</v>
      </c>
      <c r="L915" s="1" t="s">
        <v>60</v>
      </c>
      <c r="M915" s="1" t="s">
        <v>61</v>
      </c>
      <c r="N915" s="1" t="s">
        <v>62</v>
      </c>
      <c r="O915" s="1" t="s">
        <v>31</v>
      </c>
      <c r="P915" s="2">
        <v>45726</v>
      </c>
      <c r="Q915" s="1" t="s">
        <v>1028</v>
      </c>
      <c r="R915" s="1" t="s">
        <v>1029</v>
      </c>
      <c r="S915" s="1" t="s">
        <v>105</v>
      </c>
      <c r="T915" s="1" t="s">
        <v>35</v>
      </c>
      <c r="U915" s="1" t="s">
        <v>36</v>
      </c>
      <c r="V915" s="1" t="s">
        <v>67</v>
      </c>
      <c r="W915">
        <v>3</v>
      </c>
      <c r="X915" s="1" t="str">
        <f t="shared" si="42"/>
        <v>miguel.martinez162@mail.com</v>
      </c>
      <c r="Y915" s="1" t="str">
        <f>INDEX(V:V,MATCH(orders_desnormalizado_prueba3[[#This Row],[acquisition_channel]],U:U,0))</f>
        <v>Bodega Propia CO - envio 2-3 dias</v>
      </c>
      <c r="Z915" s="1" t="str">
        <f>INDEX(T:T,MATCH(orders_desnormalizado_prueba3[[#This Row],[shipping_cost]],W:W,0))</f>
        <v>Colombia</v>
      </c>
      <c r="AA915" s="1" t="str">
        <f t="shared" si="43"/>
        <v>Bucaramanga</v>
      </c>
      <c r="AB915" s="1"/>
      <c r="AC915" s="1" t="str">
        <f t="shared" si="44"/>
        <v xml:space="preserve"> </v>
      </c>
    </row>
    <row r="916" spans="1:29" x14ac:dyDescent="0.3">
      <c r="A916" s="1" t="s">
        <v>2061</v>
      </c>
      <c r="B916">
        <v>1</v>
      </c>
      <c r="C916">
        <v>30.99</v>
      </c>
      <c r="D916">
        <v>30.99</v>
      </c>
      <c r="E916" s="1" t="s">
        <v>2062</v>
      </c>
      <c r="F916" s="1" t="s">
        <v>40</v>
      </c>
      <c r="G916">
        <v>3</v>
      </c>
      <c r="H916" s="1" t="s">
        <v>26</v>
      </c>
      <c r="I916" s="1" t="s">
        <v>42</v>
      </c>
      <c r="J916">
        <v>10.5</v>
      </c>
      <c r="K916">
        <v>30.99</v>
      </c>
      <c r="L916" s="1" t="s">
        <v>28</v>
      </c>
      <c r="M916" s="1" t="s">
        <v>43</v>
      </c>
      <c r="N916" s="1" t="s">
        <v>44</v>
      </c>
      <c r="O916" s="1" t="s">
        <v>31</v>
      </c>
      <c r="P916" s="2">
        <v>45823</v>
      </c>
      <c r="Q916" s="1" t="s">
        <v>1018</v>
      </c>
      <c r="R916" s="1" t="s">
        <v>1725</v>
      </c>
      <c r="S916" s="1" t="s">
        <v>47</v>
      </c>
      <c r="T916" s="1" t="s">
        <v>35</v>
      </c>
      <c r="U916" s="1" t="s">
        <v>55</v>
      </c>
      <c r="V916" s="1" t="s">
        <v>37</v>
      </c>
      <c r="W916">
        <v>2</v>
      </c>
      <c r="X916" s="1" t="str">
        <f t="shared" si="42"/>
        <v>catalina.jimenez76@mail.com</v>
      </c>
      <c r="Y916" s="1" t="str">
        <f>INDEX(V:V,MATCH(orders_desnormalizado_prueba3[[#This Row],[acquisition_channel]],U:U,0))</f>
        <v>Bodega Propia CO - envio 2-3 dias</v>
      </c>
      <c r="Z916" s="1" t="str">
        <f>INDEX(T:T,MATCH(orders_desnormalizado_prueba3[[#This Row],[shipping_cost]],W:W,0))</f>
        <v>Colombia</v>
      </c>
      <c r="AA916" s="1" t="str">
        <f t="shared" si="43"/>
        <v>Barranquilla</v>
      </c>
      <c r="AB916" s="1"/>
      <c r="AC916" s="1" t="str">
        <f t="shared" si="44"/>
        <v xml:space="preserve"> </v>
      </c>
    </row>
    <row r="917" spans="1:29" x14ac:dyDescent="0.3">
      <c r="A917" s="1" t="s">
        <v>2063</v>
      </c>
      <c r="B917">
        <v>1</v>
      </c>
      <c r="C917">
        <v>18.989999999999998</v>
      </c>
      <c r="D917">
        <v>18.989999999999998</v>
      </c>
      <c r="E917" s="1" t="s">
        <v>2064</v>
      </c>
      <c r="F917" s="1" t="s">
        <v>40</v>
      </c>
      <c r="G917">
        <v>14</v>
      </c>
      <c r="H917" s="1" t="s">
        <v>96</v>
      </c>
      <c r="I917" s="1" t="s">
        <v>97</v>
      </c>
      <c r="J917">
        <v>6</v>
      </c>
      <c r="K917">
        <v>18.989999999999998</v>
      </c>
      <c r="L917" s="1" t="s">
        <v>60</v>
      </c>
      <c r="M917" s="1" t="s">
        <v>43</v>
      </c>
      <c r="N917" s="1" t="s">
        <v>44</v>
      </c>
      <c r="O917" s="1" t="s">
        <v>31</v>
      </c>
      <c r="P917" s="2">
        <v>45823</v>
      </c>
      <c r="Q917" s="1" t="s">
        <v>2065</v>
      </c>
      <c r="R917" s="1" t="s">
        <v>2066</v>
      </c>
      <c r="S917" s="1" t="s">
        <v>47</v>
      </c>
      <c r="T917" s="1" t="s">
        <v>35</v>
      </c>
      <c r="U917" s="1" t="s">
        <v>66</v>
      </c>
      <c r="V917" s="1" t="s">
        <v>100</v>
      </c>
      <c r="W917">
        <v>3.2</v>
      </c>
      <c r="X917" s="1" t="str">
        <f t="shared" si="42"/>
        <v>maria.jimenez50@mail.com</v>
      </c>
      <c r="Y917" s="1" t="str">
        <f>INDEX(V:V,MATCH(orders_desnormalizado_prueba3[[#This Row],[acquisition_channel]],U:U,0))</f>
        <v>AliDropship CN - envio 15-20 dias</v>
      </c>
      <c r="Z917" s="1" t="str">
        <f>INDEX(T:T,MATCH(orders_desnormalizado_prueba3[[#This Row],[shipping_cost]],W:W,0))</f>
        <v>Colombia</v>
      </c>
      <c r="AA917" s="1" t="str">
        <f t="shared" si="43"/>
        <v>Bogota</v>
      </c>
      <c r="AB917" s="1"/>
      <c r="AC917" s="1" t="str">
        <f t="shared" si="44"/>
        <v xml:space="preserve"> </v>
      </c>
    </row>
    <row r="918" spans="1:29" x14ac:dyDescent="0.3">
      <c r="A918" s="1" t="s">
        <v>2067</v>
      </c>
      <c r="B918">
        <v>1</v>
      </c>
      <c r="C918">
        <v>34.99</v>
      </c>
      <c r="D918">
        <v>34.99</v>
      </c>
      <c r="E918" s="1" t="s">
        <v>187</v>
      </c>
      <c r="F918" s="1" t="s">
        <v>40</v>
      </c>
      <c r="G918">
        <v>8</v>
      </c>
      <c r="H918" s="1" t="s">
        <v>58</v>
      </c>
      <c r="I918" s="1" t="s">
        <v>85</v>
      </c>
      <c r="J918">
        <v>12.5</v>
      </c>
      <c r="K918">
        <v>34.99</v>
      </c>
      <c r="L918" s="1" t="s">
        <v>60</v>
      </c>
      <c r="M918" s="1" t="s">
        <v>29</v>
      </c>
      <c r="N918" s="1" t="s">
        <v>30</v>
      </c>
      <c r="O918" s="1" t="s">
        <v>31</v>
      </c>
      <c r="P918" s="2">
        <v>45778</v>
      </c>
      <c r="Q918" s="1" t="s">
        <v>1116</v>
      </c>
      <c r="R918" s="1" t="s">
        <v>1117</v>
      </c>
      <c r="S918" s="1" t="s">
        <v>88</v>
      </c>
      <c r="T918" s="1" t="s">
        <v>35</v>
      </c>
      <c r="U918" s="1" t="s">
        <v>55</v>
      </c>
      <c r="V918" s="1" t="s">
        <v>89</v>
      </c>
      <c r="W918">
        <v>2.4</v>
      </c>
      <c r="X918" s="1" t="str">
        <f t="shared" si="42"/>
        <v>ximena.hernandez20@mail.com</v>
      </c>
      <c r="Y918" s="1" t="str">
        <f>INDEX(V:V,MATCH(orders_desnormalizado_prueba3[[#This Row],[acquisition_channel]],U:U,0))</f>
        <v>Bodega Propia CO - envio 2-3 dias</v>
      </c>
      <c r="Z918" s="1" t="str">
        <f>INDEX(T:T,MATCH(orders_desnormalizado_prueba3[[#This Row],[shipping_cost]],W:W,0))</f>
        <v>Colombia</v>
      </c>
      <c r="AA918" s="1" t="str">
        <f t="shared" si="43"/>
        <v>Barranquilla</v>
      </c>
      <c r="AB918" s="1"/>
      <c r="AC918" s="1" t="str">
        <f t="shared" si="44"/>
        <v xml:space="preserve"> </v>
      </c>
    </row>
    <row r="919" spans="1:29" x14ac:dyDescent="0.3">
      <c r="A919" s="1" t="s">
        <v>2068</v>
      </c>
      <c r="B919">
        <v>1</v>
      </c>
      <c r="C919">
        <v>34.99</v>
      </c>
      <c r="D919">
        <v>34.99</v>
      </c>
      <c r="E919" s="1" t="s">
        <v>1153</v>
      </c>
      <c r="F919" s="1" t="s">
        <v>188</v>
      </c>
      <c r="G919">
        <v>0</v>
      </c>
      <c r="H919" s="1" t="s">
        <v>41</v>
      </c>
      <c r="I919" s="1" t="s">
        <v>85</v>
      </c>
      <c r="J919">
        <v>12.5</v>
      </c>
      <c r="K919">
        <v>34.99</v>
      </c>
      <c r="L919" s="1" t="s">
        <v>60</v>
      </c>
      <c r="M919" s="1" t="s">
        <v>29</v>
      </c>
      <c r="N919" s="1" t="s">
        <v>30</v>
      </c>
      <c r="O919" s="1" t="s">
        <v>31</v>
      </c>
      <c r="P919" s="2">
        <v>45778</v>
      </c>
      <c r="Q919" s="1" t="s">
        <v>1052</v>
      </c>
      <c r="R919" s="1" t="s">
        <v>1053</v>
      </c>
      <c r="S919" s="1" t="s">
        <v>105</v>
      </c>
      <c r="T919" s="1" t="s">
        <v>35</v>
      </c>
      <c r="U919" s="1" t="s">
        <v>55</v>
      </c>
      <c r="V919" s="1" t="s">
        <v>89</v>
      </c>
      <c r="W919">
        <v>2.4</v>
      </c>
      <c r="X919" s="1" t="str">
        <f t="shared" si="42"/>
        <v>ximena.sanchez17@mail.com</v>
      </c>
      <c r="Y919" s="1" t="str">
        <f>INDEX(V:V,MATCH(orders_desnormalizado_prueba3[[#This Row],[acquisition_channel]],U:U,0))</f>
        <v>Bodega Propia CO - envio 2-3 dias</v>
      </c>
      <c r="Z919" s="1" t="str">
        <f>INDEX(T:T,MATCH(orders_desnormalizado_prueba3[[#This Row],[shipping_cost]],W:W,0))</f>
        <v>Colombia</v>
      </c>
      <c r="AA919" s="1" t="str">
        <f t="shared" si="43"/>
        <v>Cartagena</v>
      </c>
      <c r="AB919" s="1"/>
      <c r="AC919" s="1" t="str">
        <f t="shared" si="44"/>
        <v xml:space="preserve"> </v>
      </c>
    </row>
    <row r="920" spans="1:29" x14ac:dyDescent="0.3">
      <c r="A920" s="1" t="s">
        <v>2069</v>
      </c>
      <c r="B920">
        <v>2</v>
      </c>
      <c r="C920">
        <v>16.989999999999998</v>
      </c>
      <c r="D920">
        <v>29.3</v>
      </c>
      <c r="E920" s="1" t="s">
        <v>2070</v>
      </c>
      <c r="F920" s="1" t="s">
        <v>40</v>
      </c>
      <c r="G920">
        <v>16</v>
      </c>
      <c r="H920" s="1" t="s">
        <v>96</v>
      </c>
      <c r="I920" s="1" t="s">
        <v>59</v>
      </c>
      <c r="J920">
        <v>5</v>
      </c>
      <c r="K920">
        <v>16.989999999999998</v>
      </c>
      <c r="L920" s="1" t="s">
        <v>60</v>
      </c>
      <c r="M920" s="1" t="s">
        <v>61</v>
      </c>
      <c r="N920" s="1" t="s">
        <v>62</v>
      </c>
      <c r="O920" s="1" t="s">
        <v>31</v>
      </c>
      <c r="P920" s="2">
        <v>45726</v>
      </c>
      <c r="Q920" s="1" t="s">
        <v>1275</v>
      </c>
      <c r="R920" s="1" t="s">
        <v>1276</v>
      </c>
      <c r="S920" s="1" t="s">
        <v>47</v>
      </c>
      <c r="T920" s="1" t="s">
        <v>35</v>
      </c>
      <c r="U920" s="1" t="s">
        <v>66</v>
      </c>
      <c r="V920" s="1" t="s">
        <v>67</v>
      </c>
      <c r="W920">
        <v>3</v>
      </c>
      <c r="X920" s="1" t="str">
        <f t="shared" si="42"/>
        <v>laura.ramirez173@mail.com</v>
      </c>
      <c r="Y920" s="1" t="str">
        <f>INDEX(V:V,MATCH(orders_desnormalizado_prueba3[[#This Row],[acquisition_channel]],U:U,0))</f>
        <v>AliDropship CN - envio 15-20 dias</v>
      </c>
      <c r="Z920" s="1" t="str">
        <f>INDEX(T:T,MATCH(orders_desnormalizado_prueba3[[#This Row],[shipping_cost]],W:W,0))</f>
        <v>Colombia</v>
      </c>
      <c r="AA920" s="1" t="str">
        <f t="shared" si="43"/>
        <v>Bogota</v>
      </c>
      <c r="AB920" s="1"/>
      <c r="AC920" s="1" t="str">
        <f t="shared" si="44"/>
        <v xml:space="preserve"> </v>
      </c>
    </row>
    <row r="921" spans="1:29" x14ac:dyDescent="0.3">
      <c r="A921" s="1" t="s">
        <v>2071</v>
      </c>
      <c r="B921">
        <v>3</v>
      </c>
      <c r="C921">
        <v>16.989999999999998</v>
      </c>
      <c r="D921">
        <v>40.96</v>
      </c>
      <c r="E921" s="1" t="s">
        <v>763</v>
      </c>
      <c r="F921" s="1" t="s">
        <v>40</v>
      </c>
      <c r="G921">
        <v>17</v>
      </c>
      <c r="H921" s="1" t="s">
        <v>41</v>
      </c>
      <c r="I921" s="1" t="s">
        <v>59</v>
      </c>
      <c r="J921">
        <v>5</v>
      </c>
      <c r="K921">
        <v>16.989999999999998</v>
      </c>
      <c r="L921" s="1" t="s">
        <v>60</v>
      </c>
      <c r="M921" s="1" t="s">
        <v>61</v>
      </c>
      <c r="N921" s="1" t="s">
        <v>62</v>
      </c>
      <c r="O921" s="1" t="s">
        <v>31</v>
      </c>
      <c r="P921" s="2">
        <v>45726</v>
      </c>
      <c r="Q921" s="1" t="s">
        <v>118</v>
      </c>
      <c r="R921" s="1" t="s">
        <v>751</v>
      </c>
      <c r="S921" s="1" t="s">
        <v>65</v>
      </c>
      <c r="T921" s="1" t="s">
        <v>35</v>
      </c>
      <c r="U921" s="1" t="s">
        <v>82</v>
      </c>
      <c r="V921" s="1" t="s">
        <v>67</v>
      </c>
      <c r="W921">
        <v>3</v>
      </c>
      <c r="X921" s="1" t="str">
        <f t="shared" si="42"/>
        <v>camila.torres36@mail.com</v>
      </c>
      <c r="Y921" s="1" t="str">
        <f>INDEX(V:V,MATCH(orders_desnormalizado_prueba3[[#This Row],[acquisition_channel]],U:U,0))</f>
        <v>Bodega Propia CO - envio 2-3 dias</v>
      </c>
      <c r="Z921" s="1" t="str">
        <f>INDEX(T:T,MATCH(orders_desnormalizado_prueba3[[#This Row],[shipping_cost]],W:W,0))</f>
        <v>Colombia</v>
      </c>
      <c r="AA921" s="1" t="str">
        <f t="shared" si="43"/>
        <v>Barranquilla</v>
      </c>
      <c r="AB921" s="1"/>
      <c r="AC921" s="1" t="str">
        <f t="shared" si="44"/>
        <v xml:space="preserve"> </v>
      </c>
    </row>
    <row r="922" spans="1:29" x14ac:dyDescent="0.3">
      <c r="A922" s="1" t="s">
        <v>2072</v>
      </c>
      <c r="B922">
        <v>3</v>
      </c>
      <c r="C922">
        <v>27.99</v>
      </c>
      <c r="D922">
        <v>66.09</v>
      </c>
      <c r="E922" s="1" t="s">
        <v>900</v>
      </c>
      <c r="F922" s="1" t="s">
        <v>40</v>
      </c>
      <c r="G922">
        <v>3</v>
      </c>
      <c r="H922" s="1" t="s">
        <v>26</v>
      </c>
      <c r="I922" s="1" t="s">
        <v>75</v>
      </c>
      <c r="J922">
        <v>9</v>
      </c>
      <c r="K922">
        <v>27.99</v>
      </c>
      <c r="L922" s="1" t="s">
        <v>28</v>
      </c>
      <c r="M922" s="1" t="s">
        <v>61</v>
      </c>
      <c r="N922" s="1" t="s">
        <v>62</v>
      </c>
      <c r="O922" s="1" t="s">
        <v>31</v>
      </c>
      <c r="P922" s="2">
        <v>45726</v>
      </c>
      <c r="Q922" s="1" t="s">
        <v>947</v>
      </c>
      <c r="R922" s="1" t="s">
        <v>1425</v>
      </c>
      <c r="S922" s="1" t="s">
        <v>88</v>
      </c>
      <c r="T922" s="1" t="s">
        <v>35</v>
      </c>
      <c r="U922" s="1" t="s">
        <v>55</v>
      </c>
      <c r="V922" s="1" t="s">
        <v>37</v>
      </c>
      <c r="W922">
        <v>2</v>
      </c>
      <c r="X922" s="1" t="str">
        <f t="shared" si="42"/>
        <v>valentina.hernandez179@mail.com</v>
      </c>
      <c r="Y922" s="1" t="str">
        <f>INDEX(V:V,MATCH(orders_desnormalizado_prueba3[[#This Row],[acquisition_channel]],U:U,0))</f>
        <v>Bodega Propia CO - envio 2-3 dias</v>
      </c>
      <c r="Z922" s="1" t="str">
        <f>INDEX(T:T,MATCH(orders_desnormalizado_prueba3[[#This Row],[shipping_cost]],W:W,0))</f>
        <v>Colombia</v>
      </c>
      <c r="AA922" s="1" t="str">
        <f t="shared" si="43"/>
        <v>Barranquilla</v>
      </c>
      <c r="AB922" s="1"/>
      <c r="AC922" s="1" t="str">
        <f t="shared" si="44"/>
        <v xml:space="preserve"> </v>
      </c>
    </row>
    <row r="923" spans="1:29" x14ac:dyDescent="0.3">
      <c r="A923" s="1" t="s">
        <v>2073</v>
      </c>
      <c r="B923">
        <v>1</v>
      </c>
      <c r="C923">
        <v>27.99</v>
      </c>
      <c r="D923">
        <v>27.99</v>
      </c>
      <c r="E923" s="1" t="s">
        <v>577</v>
      </c>
      <c r="F923" s="1" t="s">
        <v>40</v>
      </c>
      <c r="G923">
        <v>3</v>
      </c>
      <c r="H923" s="1" t="s">
        <v>41</v>
      </c>
      <c r="I923" s="1" t="s">
        <v>75</v>
      </c>
      <c r="J923">
        <v>9</v>
      </c>
      <c r="K923">
        <v>27.99</v>
      </c>
      <c r="L923" s="1" t="s">
        <v>28</v>
      </c>
      <c r="M923" s="1" t="s">
        <v>61</v>
      </c>
      <c r="N923" s="1" t="s">
        <v>62</v>
      </c>
      <c r="O923" s="1" t="s">
        <v>31</v>
      </c>
      <c r="P923" s="2">
        <v>45726</v>
      </c>
      <c r="Q923" s="1" t="s">
        <v>140</v>
      </c>
      <c r="R923" s="1" t="s">
        <v>1199</v>
      </c>
      <c r="S923" s="1" t="s">
        <v>65</v>
      </c>
      <c r="T923" s="1" t="s">
        <v>35</v>
      </c>
      <c r="U923" s="1" t="s">
        <v>36</v>
      </c>
      <c r="V923" s="1" t="s">
        <v>37</v>
      </c>
      <c r="W923">
        <v>2</v>
      </c>
      <c r="X923" s="1" t="str">
        <f t="shared" si="42"/>
        <v>david.rodriguez33@mail.com</v>
      </c>
      <c r="Y923" s="1" t="str">
        <f>INDEX(V:V,MATCH(orders_desnormalizado_prueba3[[#This Row],[acquisition_channel]],U:U,0))</f>
        <v>Bodega Propia CO - envio 2-3 dias</v>
      </c>
      <c r="Z923" s="1" t="str">
        <f>INDEX(T:T,MATCH(orders_desnormalizado_prueba3[[#This Row],[shipping_cost]],W:W,0))</f>
        <v>Colombia</v>
      </c>
      <c r="AA923" s="1" t="str">
        <f t="shared" si="43"/>
        <v>Barranquilla</v>
      </c>
      <c r="AB923" s="1"/>
      <c r="AC923" s="1" t="str">
        <f t="shared" si="44"/>
        <v xml:space="preserve"> </v>
      </c>
    </row>
    <row r="924" spans="1:29" x14ac:dyDescent="0.3">
      <c r="A924" s="1" t="s">
        <v>2074</v>
      </c>
      <c r="B924">
        <v>1</v>
      </c>
      <c r="C924">
        <v>21.99</v>
      </c>
      <c r="D924">
        <v>21.99</v>
      </c>
      <c r="E924" s="1" t="s">
        <v>1006</v>
      </c>
      <c r="F924" s="1" t="s">
        <v>40</v>
      </c>
      <c r="G924">
        <v>3</v>
      </c>
      <c r="H924" s="1" t="s">
        <v>41</v>
      </c>
      <c r="I924" s="1" t="s">
        <v>27</v>
      </c>
      <c r="J924">
        <v>7</v>
      </c>
      <c r="K924">
        <v>21.99</v>
      </c>
      <c r="L924" s="1" t="s">
        <v>28</v>
      </c>
      <c r="M924" s="1" t="s">
        <v>29</v>
      </c>
      <c r="N924" s="1" t="s">
        <v>30</v>
      </c>
      <c r="O924" s="1" t="s">
        <v>31</v>
      </c>
      <c r="P924" s="2">
        <v>45778</v>
      </c>
      <c r="Q924" s="1" t="s">
        <v>2015</v>
      </c>
      <c r="R924" s="1" t="s">
        <v>2016</v>
      </c>
      <c r="S924" s="1" t="s">
        <v>65</v>
      </c>
      <c r="T924" s="1" t="s">
        <v>35</v>
      </c>
      <c r="U924" s="1" t="s">
        <v>48</v>
      </c>
      <c r="V924" s="1" t="s">
        <v>37</v>
      </c>
      <c r="W924">
        <v>2</v>
      </c>
      <c r="X924" s="1" t="str">
        <f t="shared" si="42"/>
        <v>carlos.ortiz198@mail.com</v>
      </c>
      <c r="Y924" s="1" t="str">
        <f>INDEX(V:V,MATCH(orders_desnormalizado_prueba3[[#This Row],[acquisition_channel]],U:U,0))</f>
        <v>Bodega Propia CO - envio 2-3 dias</v>
      </c>
      <c r="Z924" s="1" t="str">
        <f>INDEX(T:T,MATCH(orders_desnormalizado_prueba3[[#This Row],[shipping_cost]],W:W,0))</f>
        <v>Colombia</v>
      </c>
      <c r="AA924" s="1" t="str">
        <f t="shared" si="43"/>
        <v>Barranquilla</v>
      </c>
      <c r="AB924" s="1"/>
      <c r="AC924" s="1" t="str">
        <f t="shared" si="44"/>
        <v xml:space="preserve"> </v>
      </c>
    </row>
    <row r="925" spans="1:29" x14ac:dyDescent="0.3">
      <c r="A925" s="1" t="s">
        <v>2075</v>
      </c>
      <c r="B925">
        <v>3</v>
      </c>
      <c r="C925">
        <v>16.989999999999998</v>
      </c>
      <c r="D925">
        <v>40.92</v>
      </c>
      <c r="E925" s="1" t="s">
        <v>929</v>
      </c>
      <c r="F925" s="1" t="s">
        <v>25</v>
      </c>
      <c r="G925">
        <v>18</v>
      </c>
      <c r="H925" s="1" t="s">
        <v>58</v>
      </c>
      <c r="I925" s="1" t="s">
        <v>59</v>
      </c>
      <c r="J925">
        <v>5</v>
      </c>
      <c r="K925">
        <v>16.989999999999998</v>
      </c>
      <c r="L925" s="1" t="s">
        <v>60</v>
      </c>
      <c r="M925" s="1" t="s">
        <v>61</v>
      </c>
      <c r="N925" s="1" t="s">
        <v>62</v>
      </c>
      <c r="O925" s="1" t="s">
        <v>31</v>
      </c>
      <c r="P925" s="2">
        <v>45726</v>
      </c>
      <c r="Q925" s="1" t="s">
        <v>1018</v>
      </c>
      <c r="R925" s="1" t="s">
        <v>1019</v>
      </c>
      <c r="S925" s="1" t="s">
        <v>34</v>
      </c>
      <c r="T925" s="1" t="s">
        <v>35</v>
      </c>
      <c r="U925" s="1" t="s">
        <v>82</v>
      </c>
      <c r="V925" s="1" t="s">
        <v>67</v>
      </c>
      <c r="W925">
        <v>3</v>
      </c>
      <c r="X925" s="1" t="str">
        <f t="shared" si="42"/>
        <v>catalina.jimenez76@mail.com</v>
      </c>
      <c r="Y925" s="1" t="str">
        <f>INDEX(V:V,MATCH(orders_desnormalizado_prueba3[[#This Row],[acquisition_channel]],U:U,0))</f>
        <v>Bodega Propia CO - envio 2-3 dias</v>
      </c>
      <c r="Z925" s="1" t="str">
        <f>INDEX(T:T,MATCH(orders_desnormalizado_prueba3[[#This Row],[shipping_cost]],W:W,0))</f>
        <v>Colombia</v>
      </c>
      <c r="AA925" s="1" t="str">
        <f t="shared" si="43"/>
        <v>Medellin</v>
      </c>
      <c r="AB925" s="1"/>
      <c r="AC925" s="1" t="str">
        <f t="shared" si="44"/>
        <v xml:space="preserve"> </v>
      </c>
    </row>
    <row r="926" spans="1:29" x14ac:dyDescent="0.3">
      <c r="A926" s="1" t="s">
        <v>2076</v>
      </c>
      <c r="B926">
        <v>1</v>
      </c>
      <c r="C926">
        <v>30.99</v>
      </c>
      <c r="D926">
        <v>30.99</v>
      </c>
      <c r="E926" s="1" t="s">
        <v>1572</v>
      </c>
      <c r="F926" s="1" t="s">
        <v>40</v>
      </c>
      <c r="G926">
        <v>2</v>
      </c>
      <c r="H926" s="1" t="s">
        <v>58</v>
      </c>
      <c r="I926" s="1" t="s">
        <v>42</v>
      </c>
      <c r="J926">
        <v>10.5</v>
      </c>
      <c r="K926">
        <v>30.99</v>
      </c>
      <c r="L926" s="1" t="s">
        <v>28</v>
      </c>
      <c r="M926" s="1" t="s">
        <v>43</v>
      </c>
      <c r="N926" s="1" t="s">
        <v>44</v>
      </c>
      <c r="O926" s="1" t="s">
        <v>31</v>
      </c>
      <c r="P926" s="2">
        <v>45823</v>
      </c>
      <c r="Q926" s="1" t="s">
        <v>814</v>
      </c>
      <c r="R926" s="1" t="s">
        <v>2077</v>
      </c>
      <c r="S926" s="1" t="s">
        <v>34</v>
      </c>
      <c r="T926" s="1" t="s">
        <v>35</v>
      </c>
      <c r="U926" s="1" t="s">
        <v>55</v>
      </c>
      <c r="V926" s="1" t="s">
        <v>37</v>
      </c>
      <c r="W926">
        <v>2</v>
      </c>
      <c r="X926" s="1" t="str">
        <f t="shared" si="42"/>
        <v>isabella.jimenez172@mail.com</v>
      </c>
      <c r="Y926" s="1" t="str">
        <f>INDEX(V:V,MATCH(orders_desnormalizado_prueba3[[#This Row],[acquisition_channel]],U:U,0))</f>
        <v>Bodega Propia CO - envio 2-3 dias</v>
      </c>
      <c r="Z926" s="1" t="str">
        <f>INDEX(T:T,MATCH(orders_desnormalizado_prueba3[[#This Row],[shipping_cost]],W:W,0))</f>
        <v>Colombia</v>
      </c>
      <c r="AA926" s="1" t="str">
        <f t="shared" si="43"/>
        <v>Medellin</v>
      </c>
      <c r="AB926" s="1"/>
      <c r="AC926" s="1" t="str">
        <f t="shared" si="44"/>
        <v xml:space="preserve"> </v>
      </c>
    </row>
    <row r="927" spans="1:29" x14ac:dyDescent="0.3">
      <c r="A927" s="1" t="s">
        <v>2078</v>
      </c>
      <c r="B927">
        <v>3</v>
      </c>
      <c r="C927">
        <v>18.989999999999998</v>
      </c>
      <c r="D927">
        <v>45.8</v>
      </c>
      <c r="E927" s="1" t="s">
        <v>493</v>
      </c>
      <c r="F927" s="1" t="s">
        <v>40</v>
      </c>
      <c r="G927">
        <v>14</v>
      </c>
      <c r="H927" s="1" t="s">
        <v>96</v>
      </c>
      <c r="I927" s="1" t="s">
        <v>97</v>
      </c>
      <c r="J927">
        <v>6</v>
      </c>
      <c r="K927">
        <v>18.989999999999998</v>
      </c>
      <c r="L927" s="1" t="s">
        <v>60</v>
      </c>
      <c r="M927" s="1" t="s">
        <v>43</v>
      </c>
      <c r="N927" s="1" t="s">
        <v>44</v>
      </c>
      <c r="O927" s="1" t="s">
        <v>31</v>
      </c>
      <c r="P927" s="2">
        <v>45823</v>
      </c>
      <c r="Q927" s="1" t="s">
        <v>842</v>
      </c>
      <c r="R927" s="1" t="s">
        <v>843</v>
      </c>
      <c r="S927" s="1" t="s">
        <v>54</v>
      </c>
      <c r="T927" s="1" t="s">
        <v>35</v>
      </c>
      <c r="U927" s="1" t="s">
        <v>36</v>
      </c>
      <c r="V927" s="1" t="s">
        <v>100</v>
      </c>
      <c r="W927">
        <v>3.2</v>
      </c>
      <c r="X927" s="1" t="str">
        <f t="shared" si="42"/>
        <v>manuela.moreno133@mail.com</v>
      </c>
      <c r="Y927" s="1" t="str">
        <f>INDEX(V:V,MATCH(orders_desnormalizado_prueba3[[#This Row],[acquisition_channel]],U:U,0))</f>
        <v>Bodega Propia CO - envio 2-3 dias</v>
      </c>
      <c r="Z927" s="1" t="str">
        <f>INDEX(T:T,MATCH(orders_desnormalizado_prueba3[[#This Row],[shipping_cost]],W:W,0))</f>
        <v>Colombia</v>
      </c>
      <c r="AA927" s="1" t="str">
        <f t="shared" si="43"/>
        <v>Bogota</v>
      </c>
      <c r="AB927" s="1"/>
      <c r="AC927" s="1" t="str">
        <f t="shared" si="44"/>
        <v xml:space="preserve"> </v>
      </c>
    </row>
    <row r="928" spans="1:29" x14ac:dyDescent="0.3">
      <c r="A928" s="1" t="s">
        <v>2079</v>
      </c>
      <c r="B928">
        <v>1</v>
      </c>
      <c r="C928">
        <v>16.989999999999998</v>
      </c>
      <c r="D928">
        <v>16.989999999999998</v>
      </c>
      <c r="E928" s="1" t="s">
        <v>1877</v>
      </c>
      <c r="F928" s="1" t="s">
        <v>40</v>
      </c>
      <c r="G928">
        <v>20</v>
      </c>
      <c r="H928" s="1" t="s">
        <v>26</v>
      </c>
      <c r="I928" s="1" t="s">
        <v>59</v>
      </c>
      <c r="J928">
        <v>5</v>
      </c>
      <c r="K928">
        <v>16.989999999999998</v>
      </c>
      <c r="L928" s="1" t="s">
        <v>60</v>
      </c>
      <c r="M928" s="1" t="s">
        <v>61</v>
      </c>
      <c r="N928" s="1" t="s">
        <v>62</v>
      </c>
      <c r="O928" s="1" t="s">
        <v>31</v>
      </c>
      <c r="P928" s="2">
        <v>45726</v>
      </c>
      <c r="Q928" s="1" t="s">
        <v>2042</v>
      </c>
      <c r="R928" s="1" t="s">
        <v>2043</v>
      </c>
      <c r="S928" s="1" t="s">
        <v>65</v>
      </c>
      <c r="T928" s="1" t="s">
        <v>35</v>
      </c>
      <c r="U928" s="1" t="s">
        <v>36</v>
      </c>
      <c r="V928" s="1" t="s">
        <v>67</v>
      </c>
      <c r="W928">
        <v>3</v>
      </c>
      <c r="X928" s="1" t="str">
        <f t="shared" si="42"/>
        <v>antonia.hernandez62@mail.com</v>
      </c>
      <c r="Y928" s="1" t="str">
        <f>INDEX(V:V,MATCH(orders_desnormalizado_prueba3[[#This Row],[acquisition_channel]],U:U,0))</f>
        <v>Bodega Propia CO - envio 2-3 dias</v>
      </c>
      <c r="Z928" s="1" t="str">
        <f>INDEX(T:T,MATCH(orders_desnormalizado_prueba3[[#This Row],[shipping_cost]],W:W,0))</f>
        <v>Colombia</v>
      </c>
      <c r="AA928" s="1" t="str">
        <f t="shared" si="43"/>
        <v>Bucaramanga</v>
      </c>
      <c r="AB928" s="1"/>
      <c r="AC928" s="1" t="str">
        <f t="shared" si="44"/>
        <v xml:space="preserve"> </v>
      </c>
    </row>
    <row r="929" spans="1:29" x14ac:dyDescent="0.3">
      <c r="A929" s="1" t="s">
        <v>2080</v>
      </c>
      <c r="B929">
        <v>1</v>
      </c>
      <c r="C929">
        <v>27.99</v>
      </c>
      <c r="D929">
        <v>27.99</v>
      </c>
      <c r="E929" s="1" t="s">
        <v>1285</v>
      </c>
      <c r="F929" s="1" t="s">
        <v>40</v>
      </c>
      <c r="G929">
        <v>3</v>
      </c>
      <c r="H929" s="1" t="s">
        <v>26</v>
      </c>
      <c r="I929" s="1" t="s">
        <v>75</v>
      </c>
      <c r="J929">
        <v>9</v>
      </c>
      <c r="K929">
        <v>27.99</v>
      </c>
      <c r="L929" s="1" t="s">
        <v>28</v>
      </c>
      <c r="M929" s="1" t="s">
        <v>61</v>
      </c>
      <c r="N929" s="1" t="s">
        <v>62</v>
      </c>
      <c r="O929" s="1" t="s">
        <v>31</v>
      </c>
      <c r="P929" s="2">
        <v>45726</v>
      </c>
      <c r="Q929" s="1" t="s">
        <v>1003</v>
      </c>
      <c r="R929" s="1" t="s">
        <v>1542</v>
      </c>
      <c r="S929" s="1" t="s">
        <v>54</v>
      </c>
      <c r="T929" s="1" t="s">
        <v>35</v>
      </c>
      <c r="U929" s="1" t="s">
        <v>48</v>
      </c>
      <c r="V929" s="1" t="s">
        <v>37</v>
      </c>
      <c r="W929">
        <v>2</v>
      </c>
      <c r="X929" s="1" t="str">
        <f t="shared" si="42"/>
        <v>julian.castro40@mail.com</v>
      </c>
      <c r="Y929" s="1" t="str">
        <f>INDEX(V:V,MATCH(orders_desnormalizado_prueba3[[#This Row],[acquisition_channel]],U:U,0))</f>
        <v>Bodega Propia CO - envio 2-3 dias</v>
      </c>
      <c r="Z929" s="1" t="str">
        <f>INDEX(T:T,MATCH(orders_desnormalizado_prueba3[[#This Row],[shipping_cost]],W:W,0))</f>
        <v>Colombia</v>
      </c>
      <c r="AA929" s="1" t="str">
        <f t="shared" si="43"/>
        <v>Barranquilla</v>
      </c>
      <c r="AB929" s="1"/>
      <c r="AC929" s="1" t="str">
        <f t="shared" si="44"/>
        <v xml:space="preserve"> </v>
      </c>
    </row>
    <row r="930" spans="1:29" x14ac:dyDescent="0.3">
      <c r="A930" s="1" t="s">
        <v>2081</v>
      </c>
      <c r="B930">
        <v>1</v>
      </c>
      <c r="C930">
        <v>34.99</v>
      </c>
      <c r="D930">
        <v>34.99</v>
      </c>
      <c r="E930" s="1" t="s">
        <v>2082</v>
      </c>
      <c r="F930" s="1" t="s">
        <v>51</v>
      </c>
      <c r="G930">
        <v>0</v>
      </c>
      <c r="H930" s="1" t="s">
        <v>58</v>
      </c>
      <c r="I930" s="1" t="s">
        <v>85</v>
      </c>
      <c r="J930">
        <v>12.5</v>
      </c>
      <c r="K930">
        <v>34.99</v>
      </c>
      <c r="L930" s="1" t="s">
        <v>60</v>
      </c>
      <c r="M930" s="1" t="s">
        <v>29</v>
      </c>
      <c r="N930" s="1" t="s">
        <v>30</v>
      </c>
      <c r="O930" s="1" t="s">
        <v>31</v>
      </c>
      <c r="P930" s="2">
        <v>45778</v>
      </c>
      <c r="Q930" s="1" t="s">
        <v>1018</v>
      </c>
      <c r="R930" s="1" t="s">
        <v>1019</v>
      </c>
      <c r="S930" s="1" t="s">
        <v>34</v>
      </c>
      <c r="T930" s="1" t="s">
        <v>35</v>
      </c>
      <c r="U930" s="1" t="s">
        <v>82</v>
      </c>
      <c r="V930" s="1" t="s">
        <v>89</v>
      </c>
      <c r="W930">
        <v>2.4</v>
      </c>
      <c r="X930" s="1" t="str">
        <f t="shared" si="42"/>
        <v>catalina.jimenez76@mail.com</v>
      </c>
      <c r="Y930" s="1" t="str">
        <f>INDEX(V:V,MATCH(orders_desnormalizado_prueba3[[#This Row],[acquisition_channel]],U:U,0))</f>
        <v>Bodega Propia CO - envio 2-3 dias</v>
      </c>
      <c r="Z930" s="1" t="str">
        <f>INDEX(T:T,MATCH(orders_desnormalizado_prueba3[[#This Row],[shipping_cost]],W:W,0))</f>
        <v>Colombia</v>
      </c>
      <c r="AA930" s="1" t="str">
        <f t="shared" si="43"/>
        <v>Cartagena</v>
      </c>
      <c r="AB930" s="1"/>
      <c r="AC930" s="1" t="str">
        <f t="shared" si="44"/>
        <v xml:space="preserve"> </v>
      </c>
    </row>
    <row r="931" spans="1:29" x14ac:dyDescent="0.3">
      <c r="A931" s="1" t="s">
        <v>2083</v>
      </c>
      <c r="B931">
        <v>1</v>
      </c>
      <c r="C931">
        <v>21.99</v>
      </c>
      <c r="D931">
        <v>21.99</v>
      </c>
      <c r="E931" s="1" t="s">
        <v>2084</v>
      </c>
      <c r="F931" s="1" t="s">
        <v>40</v>
      </c>
      <c r="G931">
        <v>2</v>
      </c>
      <c r="H931" s="1" t="s">
        <v>26</v>
      </c>
      <c r="I931" s="1" t="s">
        <v>27</v>
      </c>
      <c r="J931">
        <v>7</v>
      </c>
      <c r="K931">
        <v>21.99</v>
      </c>
      <c r="L931" s="1" t="s">
        <v>28</v>
      </c>
      <c r="M931" s="1" t="s">
        <v>29</v>
      </c>
      <c r="N931" s="1" t="s">
        <v>30</v>
      </c>
      <c r="O931" s="1" t="s">
        <v>31</v>
      </c>
      <c r="P931" s="2">
        <v>45778</v>
      </c>
      <c r="Q931" s="1" t="s">
        <v>1822</v>
      </c>
      <c r="R931" s="1" t="s">
        <v>1823</v>
      </c>
      <c r="S931" s="1" t="s">
        <v>105</v>
      </c>
      <c r="T931" s="1" t="s">
        <v>35</v>
      </c>
      <c r="U931" s="1" t="s">
        <v>82</v>
      </c>
      <c r="V931" s="1" t="s">
        <v>37</v>
      </c>
      <c r="W931">
        <v>2</v>
      </c>
      <c r="X931" s="1" t="str">
        <f t="shared" si="42"/>
        <v>daniela.moreno56@mail.com</v>
      </c>
      <c r="Y931" s="1" t="str">
        <f>INDEX(V:V,MATCH(orders_desnormalizado_prueba3[[#This Row],[acquisition_channel]],U:U,0))</f>
        <v>Bodega Propia CO - envio 2-3 dias</v>
      </c>
      <c r="Z931" s="1" t="str">
        <f>INDEX(T:T,MATCH(orders_desnormalizado_prueba3[[#This Row],[shipping_cost]],W:W,0))</f>
        <v>Colombia</v>
      </c>
      <c r="AA931" s="1" t="str">
        <f t="shared" si="43"/>
        <v>Medellin</v>
      </c>
      <c r="AB931" s="1"/>
      <c r="AC931" s="1" t="str">
        <f t="shared" si="44"/>
        <v xml:space="preserve"> </v>
      </c>
    </row>
    <row r="932" spans="1:29" x14ac:dyDescent="0.3">
      <c r="A932" s="1" t="s">
        <v>2085</v>
      </c>
      <c r="B932">
        <v>3</v>
      </c>
      <c r="C932">
        <v>16.989999999999998</v>
      </c>
      <c r="D932">
        <v>40.619999999999997</v>
      </c>
      <c r="E932" s="1" t="s">
        <v>1168</v>
      </c>
      <c r="F932" s="1" t="s">
        <v>40</v>
      </c>
      <c r="G932">
        <v>19</v>
      </c>
      <c r="H932" s="1" t="s">
        <v>26</v>
      </c>
      <c r="I932" s="1" t="s">
        <v>59</v>
      </c>
      <c r="J932">
        <v>5</v>
      </c>
      <c r="K932">
        <v>16.989999999999998</v>
      </c>
      <c r="L932" s="1" t="s">
        <v>60</v>
      </c>
      <c r="M932" s="1" t="s">
        <v>61</v>
      </c>
      <c r="N932" s="1" t="s">
        <v>62</v>
      </c>
      <c r="O932" s="1" t="s">
        <v>31</v>
      </c>
      <c r="P932" s="2">
        <v>45726</v>
      </c>
      <c r="Q932" s="1" t="s">
        <v>724</v>
      </c>
      <c r="R932" s="1" t="s">
        <v>725</v>
      </c>
      <c r="S932" s="1" t="s">
        <v>65</v>
      </c>
      <c r="T932" s="1" t="s">
        <v>35</v>
      </c>
      <c r="U932" s="1" t="s">
        <v>66</v>
      </c>
      <c r="V932" s="1" t="s">
        <v>67</v>
      </c>
      <c r="W932">
        <v>3</v>
      </c>
      <c r="X932" s="1" t="str">
        <f t="shared" si="42"/>
        <v>fernanda.lopez19@mail.com</v>
      </c>
      <c r="Y932" s="1" t="str">
        <f>INDEX(V:V,MATCH(orders_desnormalizado_prueba3[[#This Row],[acquisition_channel]],U:U,0))</f>
        <v>AliDropship CN - envio 15-20 dias</v>
      </c>
      <c r="Z932" s="1" t="str">
        <f>INDEX(T:T,MATCH(orders_desnormalizado_prueba3[[#This Row],[shipping_cost]],W:W,0))</f>
        <v>Colombia</v>
      </c>
      <c r="AA932" s="1" t="str">
        <f t="shared" si="43"/>
        <v>Bogota</v>
      </c>
      <c r="AB932" s="1"/>
      <c r="AC932" s="1" t="str">
        <f t="shared" si="44"/>
        <v xml:space="preserve"> </v>
      </c>
    </row>
    <row r="933" spans="1:29" x14ac:dyDescent="0.3">
      <c r="A933" s="1" t="s">
        <v>2086</v>
      </c>
      <c r="B933">
        <v>1</v>
      </c>
      <c r="C933">
        <v>16.989999999999998</v>
      </c>
      <c r="D933">
        <v>16.989999999999998</v>
      </c>
      <c r="E933" s="1" t="s">
        <v>246</v>
      </c>
      <c r="F933" s="1" t="s">
        <v>40</v>
      </c>
      <c r="G933">
        <v>18</v>
      </c>
      <c r="H933" s="1" t="s">
        <v>41</v>
      </c>
      <c r="I933" s="1" t="s">
        <v>59</v>
      </c>
      <c r="J933">
        <v>5</v>
      </c>
      <c r="K933">
        <v>16.989999999999998</v>
      </c>
      <c r="L933" s="1" t="s">
        <v>60</v>
      </c>
      <c r="M933" s="1" t="s">
        <v>61</v>
      </c>
      <c r="N933" s="1" t="s">
        <v>62</v>
      </c>
      <c r="O933" s="1" t="s">
        <v>31</v>
      </c>
      <c r="P933" s="2">
        <v>45726</v>
      </c>
      <c r="Q933" s="1" t="s">
        <v>133</v>
      </c>
      <c r="R933" s="1" t="s">
        <v>776</v>
      </c>
      <c r="S933" s="1" t="s">
        <v>88</v>
      </c>
      <c r="T933" s="1" t="s">
        <v>35</v>
      </c>
      <c r="U933" s="1" t="s">
        <v>48</v>
      </c>
      <c r="V933" s="1" t="s">
        <v>67</v>
      </c>
      <c r="W933">
        <v>3</v>
      </c>
      <c r="X933" s="1" t="str">
        <f t="shared" si="42"/>
        <v>isabella.diaz18@mail.com</v>
      </c>
      <c r="Y933" s="1" t="str">
        <f>INDEX(V:V,MATCH(orders_desnormalizado_prueba3[[#This Row],[acquisition_channel]],U:U,0))</f>
        <v>Bodega Propia CO - envio 2-3 dias</v>
      </c>
      <c r="Z933" s="1" t="str">
        <f>INDEX(T:T,MATCH(orders_desnormalizado_prueba3[[#This Row],[shipping_cost]],W:W,0))</f>
        <v>Colombia</v>
      </c>
      <c r="AA933" s="1" t="str">
        <f t="shared" si="43"/>
        <v>Medellin</v>
      </c>
      <c r="AB933" s="1"/>
      <c r="AC933" s="1" t="str">
        <f t="shared" si="44"/>
        <v xml:space="preserve"> </v>
      </c>
    </row>
    <row r="934" spans="1:29" x14ac:dyDescent="0.3">
      <c r="A934" s="1" t="s">
        <v>2087</v>
      </c>
      <c r="B934">
        <v>1</v>
      </c>
      <c r="C934">
        <v>18.989999999999998</v>
      </c>
      <c r="D934">
        <v>18.989999999999998</v>
      </c>
      <c r="E934" s="1" t="s">
        <v>107</v>
      </c>
      <c r="F934" s="1" t="s">
        <v>40</v>
      </c>
      <c r="G934">
        <v>14</v>
      </c>
      <c r="H934" s="1" t="s">
        <v>41</v>
      </c>
      <c r="I934" s="1" t="s">
        <v>97</v>
      </c>
      <c r="J934">
        <v>6</v>
      </c>
      <c r="K934">
        <v>18.989999999999998</v>
      </c>
      <c r="L934" s="1" t="s">
        <v>60</v>
      </c>
      <c r="M934" s="1" t="s">
        <v>43</v>
      </c>
      <c r="N934" s="1" t="s">
        <v>44</v>
      </c>
      <c r="O934" s="1" t="s">
        <v>31</v>
      </c>
      <c r="P934" s="2">
        <v>45823</v>
      </c>
      <c r="Q934" s="1" t="s">
        <v>1116</v>
      </c>
      <c r="R934" s="1" t="s">
        <v>1117</v>
      </c>
      <c r="S934" s="1" t="s">
        <v>88</v>
      </c>
      <c r="T934" s="1" t="s">
        <v>35</v>
      </c>
      <c r="U934" s="1" t="s">
        <v>55</v>
      </c>
      <c r="V934" s="1" t="s">
        <v>100</v>
      </c>
      <c r="W934">
        <v>3.2</v>
      </c>
      <c r="X934" s="1" t="str">
        <f t="shared" si="42"/>
        <v>ximena.hernandez20@mail.com</v>
      </c>
      <c r="Y934" s="1" t="str">
        <f>INDEX(V:V,MATCH(orders_desnormalizado_prueba3[[#This Row],[acquisition_channel]],U:U,0))</f>
        <v>Bodega Propia CO - envio 2-3 dias</v>
      </c>
      <c r="Z934" s="1" t="str">
        <f>INDEX(T:T,MATCH(orders_desnormalizado_prueba3[[#This Row],[shipping_cost]],W:W,0))</f>
        <v>Colombia</v>
      </c>
      <c r="AA934" s="1" t="str">
        <f t="shared" si="43"/>
        <v>Bogota</v>
      </c>
      <c r="AB934" s="1"/>
      <c r="AC934" s="1" t="str">
        <f t="shared" si="44"/>
        <v xml:space="preserve"> </v>
      </c>
    </row>
    <row r="935" spans="1:29" x14ac:dyDescent="0.3">
      <c r="A935" s="1" t="s">
        <v>2088</v>
      </c>
      <c r="B935">
        <v>1</v>
      </c>
      <c r="C935">
        <v>16.989999999999998</v>
      </c>
      <c r="D935">
        <v>16.989999999999998</v>
      </c>
      <c r="E935" s="1" t="s">
        <v>2048</v>
      </c>
      <c r="F935" s="1" t="s">
        <v>40</v>
      </c>
      <c r="G935">
        <v>19</v>
      </c>
      <c r="H935" s="1" t="s">
        <v>26</v>
      </c>
      <c r="I935" s="1" t="s">
        <v>59</v>
      </c>
      <c r="J935">
        <v>5</v>
      </c>
      <c r="K935">
        <v>16.989999999999998</v>
      </c>
      <c r="L935" s="1" t="s">
        <v>60</v>
      </c>
      <c r="M935" s="1" t="s">
        <v>61</v>
      </c>
      <c r="N935" s="1" t="s">
        <v>62</v>
      </c>
      <c r="O935" s="1" t="s">
        <v>31</v>
      </c>
      <c r="P935" s="2">
        <v>45726</v>
      </c>
      <c r="Q935" s="1" t="s">
        <v>2089</v>
      </c>
      <c r="R935" s="1" t="s">
        <v>2090</v>
      </c>
      <c r="S935" s="1" t="s">
        <v>105</v>
      </c>
      <c r="T935" s="1" t="s">
        <v>35</v>
      </c>
      <c r="U935" s="1" t="s">
        <v>36</v>
      </c>
      <c r="V935" s="1" t="s">
        <v>67</v>
      </c>
      <c r="W935">
        <v>3</v>
      </c>
      <c r="X935" s="1" t="str">
        <f t="shared" si="42"/>
        <v>mateo.gomez165@mail.com</v>
      </c>
      <c r="Y935" s="1" t="str">
        <f>INDEX(V:V,MATCH(orders_desnormalizado_prueba3[[#This Row],[acquisition_channel]],U:U,0))</f>
        <v>Bodega Propia CO - envio 2-3 dias</v>
      </c>
      <c r="Z935" s="1" t="str">
        <f>INDEX(T:T,MATCH(orders_desnormalizado_prueba3[[#This Row],[shipping_cost]],W:W,0))</f>
        <v>Colombia</v>
      </c>
      <c r="AA935" s="1" t="str">
        <f t="shared" si="43"/>
        <v>Bogota</v>
      </c>
      <c r="AB935" s="1"/>
      <c r="AC935" s="1" t="str">
        <f t="shared" si="44"/>
        <v xml:space="preserve"> </v>
      </c>
    </row>
    <row r="936" spans="1:29" x14ac:dyDescent="0.3">
      <c r="A936" s="1" t="s">
        <v>2091</v>
      </c>
      <c r="B936">
        <v>1</v>
      </c>
      <c r="C936">
        <v>16.989999999999998</v>
      </c>
      <c r="D936">
        <v>16.989999999999998</v>
      </c>
      <c r="E936" s="1" t="s">
        <v>272</v>
      </c>
      <c r="F936" s="1" t="s">
        <v>40</v>
      </c>
      <c r="G936">
        <v>15</v>
      </c>
      <c r="H936" s="1" t="s">
        <v>26</v>
      </c>
      <c r="I936" s="1" t="s">
        <v>59</v>
      </c>
      <c r="J936">
        <v>5</v>
      </c>
      <c r="K936">
        <v>16.989999999999998</v>
      </c>
      <c r="L936" s="1" t="s">
        <v>60</v>
      </c>
      <c r="M936" s="1" t="s">
        <v>61</v>
      </c>
      <c r="N936" s="1" t="s">
        <v>62</v>
      </c>
      <c r="O936" s="1" t="s">
        <v>31</v>
      </c>
      <c r="P936" s="2">
        <v>45726</v>
      </c>
      <c r="Q936" s="1" t="s">
        <v>1856</v>
      </c>
      <c r="R936" s="1" t="s">
        <v>1857</v>
      </c>
      <c r="S936" s="1" t="s">
        <v>34</v>
      </c>
      <c r="T936" s="1" t="s">
        <v>35</v>
      </c>
      <c r="U936" s="1" t="s">
        <v>36</v>
      </c>
      <c r="V936" s="1" t="s">
        <v>67</v>
      </c>
      <c r="W936">
        <v>3</v>
      </c>
      <c r="X936" s="1" t="str">
        <f t="shared" si="42"/>
        <v>paula.perez26@mail.com</v>
      </c>
      <c r="Y936" s="1" t="str">
        <f>INDEX(V:V,MATCH(orders_desnormalizado_prueba3[[#This Row],[acquisition_channel]],U:U,0))</f>
        <v>Bodega Propia CO - envio 2-3 dias</v>
      </c>
      <c r="Z936" s="1" t="str">
        <f>INDEX(T:T,MATCH(orders_desnormalizado_prueba3[[#This Row],[shipping_cost]],W:W,0))</f>
        <v>Colombia</v>
      </c>
      <c r="AA936" s="1" t="str">
        <f t="shared" si="43"/>
        <v>Barranquilla</v>
      </c>
      <c r="AB936" s="1"/>
      <c r="AC936" s="1" t="str">
        <f t="shared" si="44"/>
        <v xml:space="preserve"> </v>
      </c>
    </row>
    <row r="937" spans="1:29" x14ac:dyDescent="0.3">
      <c r="A937" s="1" t="s">
        <v>2092</v>
      </c>
      <c r="B937">
        <v>1</v>
      </c>
      <c r="C937">
        <v>18.989999999999998</v>
      </c>
      <c r="D937">
        <v>18.989999999999998</v>
      </c>
      <c r="E937" s="1" t="s">
        <v>2093</v>
      </c>
      <c r="F937" s="1" t="s">
        <v>40</v>
      </c>
      <c r="G937">
        <v>13</v>
      </c>
      <c r="H937" s="1" t="s">
        <v>96</v>
      </c>
      <c r="I937" s="1" t="s">
        <v>97</v>
      </c>
      <c r="J937">
        <v>6</v>
      </c>
      <c r="K937">
        <v>18.989999999999998</v>
      </c>
      <c r="L937" s="1" t="s">
        <v>60</v>
      </c>
      <c r="M937" s="1" t="s">
        <v>43</v>
      </c>
      <c r="N937" s="1" t="s">
        <v>44</v>
      </c>
      <c r="O937" s="1" t="s">
        <v>31</v>
      </c>
      <c r="P937" s="2">
        <v>45823</v>
      </c>
      <c r="Q937" s="1" t="s">
        <v>1112</v>
      </c>
      <c r="R937" s="1" t="s">
        <v>1215</v>
      </c>
      <c r="S937" s="1" t="s">
        <v>54</v>
      </c>
      <c r="T937" s="1" t="s">
        <v>35</v>
      </c>
      <c r="U937" s="1" t="s">
        <v>48</v>
      </c>
      <c r="V937" s="1" t="s">
        <v>100</v>
      </c>
      <c r="W937">
        <v>3.2</v>
      </c>
      <c r="X937" s="1" t="str">
        <f t="shared" si="42"/>
        <v>felipe.moreno124@mail.com</v>
      </c>
      <c r="Y937" s="1" t="str">
        <f>INDEX(V:V,MATCH(orders_desnormalizado_prueba3[[#This Row],[acquisition_channel]],U:U,0))</f>
        <v>Bodega Propia CO - envio 2-3 dias</v>
      </c>
      <c r="Z937" s="1" t="str">
        <f>INDEX(T:T,MATCH(orders_desnormalizado_prueba3[[#This Row],[shipping_cost]],W:W,0))</f>
        <v>Colombia</v>
      </c>
      <c r="AA937" s="1" t="str">
        <f t="shared" si="43"/>
        <v>Barranquilla</v>
      </c>
      <c r="AB937" s="1"/>
      <c r="AC937" s="1" t="str">
        <f t="shared" si="44"/>
        <v xml:space="preserve"> </v>
      </c>
    </row>
    <row r="938" spans="1:29" x14ac:dyDescent="0.3">
      <c r="A938" s="1" t="s">
        <v>2094</v>
      </c>
      <c r="B938">
        <v>2</v>
      </c>
      <c r="C938">
        <v>27.99</v>
      </c>
      <c r="D938">
        <v>48.98</v>
      </c>
      <c r="E938" s="1" t="s">
        <v>1883</v>
      </c>
      <c r="F938" s="1" t="s">
        <v>40</v>
      </c>
      <c r="G938">
        <v>5</v>
      </c>
      <c r="H938" s="1" t="s">
        <v>41</v>
      </c>
      <c r="I938" s="1" t="s">
        <v>75</v>
      </c>
      <c r="J938">
        <v>9</v>
      </c>
      <c r="K938">
        <v>27.99</v>
      </c>
      <c r="L938" s="1" t="s">
        <v>28</v>
      </c>
      <c r="M938" s="1" t="s">
        <v>61</v>
      </c>
      <c r="N938" s="1" t="s">
        <v>62</v>
      </c>
      <c r="O938" s="1" t="s">
        <v>31</v>
      </c>
      <c r="P938" s="2">
        <v>45726</v>
      </c>
      <c r="Q938" s="1" t="s">
        <v>1112</v>
      </c>
      <c r="R938" s="1" t="s">
        <v>1113</v>
      </c>
      <c r="S938" s="1" t="s">
        <v>105</v>
      </c>
      <c r="T938" s="1" t="s">
        <v>35</v>
      </c>
      <c r="U938" s="1" t="s">
        <v>66</v>
      </c>
      <c r="V938" s="1" t="s">
        <v>37</v>
      </c>
      <c r="W938">
        <v>2</v>
      </c>
      <c r="X938" s="1" t="str">
        <f t="shared" si="42"/>
        <v>felipe.moreno124@mail.com</v>
      </c>
      <c r="Y938" s="1" t="str">
        <f>INDEX(V:V,MATCH(orders_desnormalizado_prueba3[[#This Row],[acquisition_channel]],U:U,0))</f>
        <v>AliDropship CN - envio 15-20 dias</v>
      </c>
      <c r="Z938" s="1" t="str">
        <f>INDEX(T:T,MATCH(orders_desnormalizado_prueba3[[#This Row],[shipping_cost]],W:W,0))</f>
        <v>Colombia</v>
      </c>
      <c r="AA938" s="1" t="str">
        <f t="shared" si="43"/>
        <v>Cali</v>
      </c>
      <c r="AB938" s="1"/>
      <c r="AC938" s="1" t="str">
        <f t="shared" si="44"/>
        <v xml:space="preserve"> </v>
      </c>
    </row>
    <row r="939" spans="1:29" x14ac:dyDescent="0.3">
      <c r="A939" s="1" t="s">
        <v>2095</v>
      </c>
      <c r="B939">
        <v>1</v>
      </c>
      <c r="C939">
        <v>18.989999999999998</v>
      </c>
      <c r="D939">
        <v>18.989999999999998</v>
      </c>
      <c r="E939" s="1" t="s">
        <v>202</v>
      </c>
      <c r="F939" s="1" t="s">
        <v>188</v>
      </c>
      <c r="G939">
        <v>0</v>
      </c>
      <c r="H939" s="1" t="s">
        <v>96</v>
      </c>
      <c r="I939" s="1" t="s">
        <v>97</v>
      </c>
      <c r="J939">
        <v>6</v>
      </c>
      <c r="K939">
        <v>18.989999999999998</v>
      </c>
      <c r="L939" s="1" t="s">
        <v>60</v>
      </c>
      <c r="M939" s="1" t="s">
        <v>43</v>
      </c>
      <c r="N939" s="1" t="s">
        <v>44</v>
      </c>
      <c r="O939" s="1" t="s">
        <v>31</v>
      </c>
      <c r="P939" s="2">
        <v>45823</v>
      </c>
      <c r="Q939" s="1" t="s">
        <v>161</v>
      </c>
      <c r="R939" s="1" t="s">
        <v>2096</v>
      </c>
      <c r="S939" s="1" t="s">
        <v>34</v>
      </c>
      <c r="T939" s="1" t="s">
        <v>35</v>
      </c>
      <c r="U939" s="1" t="s">
        <v>48</v>
      </c>
      <c r="V939" s="1" t="s">
        <v>100</v>
      </c>
      <c r="W939">
        <v>3.2</v>
      </c>
      <c r="X939" s="1" t="str">
        <f t="shared" si="42"/>
        <v>miguel.vargas74@mail.com</v>
      </c>
      <c r="Y939" s="1" t="str">
        <f>INDEX(V:V,MATCH(orders_desnormalizado_prueba3[[#This Row],[acquisition_channel]],U:U,0))</f>
        <v>Bodega Propia CO - envio 2-3 dias</v>
      </c>
      <c r="Z939" s="1" t="str">
        <f>INDEX(T:T,MATCH(orders_desnormalizado_prueba3[[#This Row],[shipping_cost]],W:W,0))</f>
        <v>Colombia</v>
      </c>
      <c r="AA939" s="1" t="str">
        <f t="shared" si="43"/>
        <v>Cartagena</v>
      </c>
      <c r="AB939" s="1"/>
      <c r="AC939" s="1" t="str">
        <f t="shared" si="44"/>
        <v xml:space="preserve"> </v>
      </c>
    </row>
    <row r="940" spans="1:29" x14ac:dyDescent="0.3">
      <c r="A940" s="1" t="s">
        <v>2097</v>
      </c>
      <c r="B940">
        <v>1</v>
      </c>
      <c r="C940">
        <v>16.989999999999998</v>
      </c>
      <c r="D940">
        <v>16.989999999999998</v>
      </c>
      <c r="E940" s="1" t="s">
        <v>2098</v>
      </c>
      <c r="F940" s="1" t="s">
        <v>51</v>
      </c>
      <c r="G940">
        <v>0</v>
      </c>
      <c r="H940" s="1" t="s">
        <v>41</v>
      </c>
      <c r="I940" s="1" t="s">
        <v>59</v>
      </c>
      <c r="J940">
        <v>5</v>
      </c>
      <c r="K940">
        <v>16.989999999999998</v>
      </c>
      <c r="L940" s="1" t="s">
        <v>60</v>
      </c>
      <c r="M940" s="1" t="s">
        <v>61</v>
      </c>
      <c r="N940" s="1" t="s">
        <v>62</v>
      </c>
      <c r="O940" s="1" t="s">
        <v>31</v>
      </c>
      <c r="P940" s="2">
        <v>45726</v>
      </c>
      <c r="Q940" s="1" t="s">
        <v>1712</v>
      </c>
      <c r="R940" s="1" t="s">
        <v>1713</v>
      </c>
      <c r="S940" s="1" t="s">
        <v>34</v>
      </c>
      <c r="T940" s="1" t="s">
        <v>35</v>
      </c>
      <c r="U940" s="1" t="s">
        <v>48</v>
      </c>
      <c r="V940" s="1" t="s">
        <v>67</v>
      </c>
      <c r="W940">
        <v>3</v>
      </c>
      <c r="X940" s="1" t="str">
        <f t="shared" si="42"/>
        <v>gabriela.hernandez179@mail.com</v>
      </c>
      <c r="Y940" s="1" t="str">
        <f>INDEX(V:V,MATCH(orders_desnormalizado_prueba3[[#This Row],[acquisition_channel]],U:U,0))</f>
        <v>Bodega Propia CO - envio 2-3 dias</v>
      </c>
      <c r="Z940" s="1" t="str">
        <f>INDEX(T:T,MATCH(orders_desnormalizado_prueba3[[#This Row],[shipping_cost]],W:W,0))</f>
        <v>Colombia</v>
      </c>
      <c r="AA940" s="1" t="str">
        <f t="shared" si="43"/>
        <v>Cartagena</v>
      </c>
      <c r="AB940" s="1"/>
      <c r="AC940" s="1" t="str">
        <f t="shared" si="44"/>
        <v xml:space="preserve"> </v>
      </c>
    </row>
    <row r="941" spans="1:29" x14ac:dyDescent="0.3">
      <c r="A941" s="1" t="s">
        <v>2099</v>
      </c>
      <c r="B941">
        <v>1</v>
      </c>
      <c r="C941">
        <v>16.989999999999998</v>
      </c>
      <c r="D941">
        <v>16.989999999999998</v>
      </c>
      <c r="E941" s="1" t="s">
        <v>723</v>
      </c>
      <c r="F941" s="1" t="s">
        <v>25</v>
      </c>
      <c r="G941">
        <v>23</v>
      </c>
      <c r="H941" s="1" t="s">
        <v>58</v>
      </c>
      <c r="I941" s="1" t="s">
        <v>59</v>
      </c>
      <c r="J941">
        <v>5</v>
      </c>
      <c r="K941">
        <v>16.989999999999998</v>
      </c>
      <c r="L941" s="1" t="s">
        <v>60</v>
      </c>
      <c r="M941" s="1" t="s">
        <v>61</v>
      </c>
      <c r="N941" s="1" t="s">
        <v>62</v>
      </c>
      <c r="O941" s="1" t="s">
        <v>31</v>
      </c>
      <c r="P941" s="2">
        <v>45726</v>
      </c>
      <c r="Q941" s="1" t="s">
        <v>1256</v>
      </c>
      <c r="R941" s="1" t="s">
        <v>2100</v>
      </c>
      <c r="S941" s="1" t="s">
        <v>88</v>
      </c>
      <c r="T941" s="1" t="s">
        <v>35</v>
      </c>
      <c r="U941" s="1" t="s">
        <v>55</v>
      </c>
      <c r="V941" s="1" t="s">
        <v>67</v>
      </c>
      <c r="W941">
        <v>3</v>
      </c>
      <c r="X941" s="1" t="str">
        <f t="shared" si="42"/>
        <v>antonia.diaz128@mail.com</v>
      </c>
      <c r="Y941" s="1" t="str">
        <f>INDEX(V:V,MATCH(orders_desnormalizado_prueba3[[#This Row],[acquisition_channel]],U:U,0))</f>
        <v>Bodega Propia CO - envio 2-3 dias</v>
      </c>
      <c r="Z941" s="1" t="str">
        <f>INDEX(T:T,MATCH(orders_desnormalizado_prueba3[[#This Row],[shipping_cost]],W:W,0))</f>
        <v>Colombia</v>
      </c>
      <c r="AA941" s="1" t="str">
        <f t="shared" si="43"/>
        <v>Medellin</v>
      </c>
      <c r="AB941" s="1"/>
      <c r="AC941" s="1" t="str">
        <f t="shared" si="44"/>
        <v xml:space="preserve"> </v>
      </c>
    </row>
    <row r="942" spans="1:29" x14ac:dyDescent="0.3">
      <c r="A942" s="1" t="s">
        <v>2101</v>
      </c>
      <c r="B942">
        <v>1</v>
      </c>
      <c r="C942">
        <v>30.99</v>
      </c>
      <c r="D942">
        <v>30.99</v>
      </c>
      <c r="E942" s="1" t="s">
        <v>862</v>
      </c>
      <c r="F942" s="1" t="s">
        <v>70</v>
      </c>
      <c r="G942">
        <v>0</v>
      </c>
      <c r="H942" s="1" t="s">
        <v>41</v>
      </c>
      <c r="I942" s="1" t="s">
        <v>42</v>
      </c>
      <c r="J942">
        <v>10.5</v>
      </c>
      <c r="K942">
        <v>30.99</v>
      </c>
      <c r="L942" s="1" t="s">
        <v>28</v>
      </c>
      <c r="M942" s="1" t="s">
        <v>43</v>
      </c>
      <c r="N942" s="1" t="s">
        <v>44</v>
      </c>
      <c r="O942" s="1" t="s">
        <v>31</v>
      </c>
      <c r="P942" s="2">
        <v>45823</v>
      </c>
      <c r="Q942" s="1" t="s">
        <v>917</v>
      </c>
      <c r="R942" s="1" t="s">
        <v>918</v>
      </c>
      <c r="S942" s="1" t="s">
        <v>54</v>
      </c>
      <c r="T942" s="1" t="s">
        <v>35</v>
      </c>
      <c r="U942" s="1" t="s">
        <v>36</v>
      </c>
      <c r="V942" s="1" t="s">
        <v>37</v>
      </c>
      <c r="W942">
        <v>2</v>
      </c>
      <c r="X942" s="1" t="str">
        <f t="shared" si="42"/>
        <v>manuela.lopez93@mail.com</v>
      </c>
      <c r="Y942" s="1" t="str">
        <f>INDEX(V:V,MATCH(orders_desnormalizado_prueba3[[#This Row],[acquisition_channel]],U:U,0))</f>
        <v>Bodega Propia CO - envio 2-3 dias</v>
      </c>
      <c r="Z942" s="1" t="str">
        <f>INDEX(T:T,MATCH(orders_desnormalizado_prueba3[[#This Row],[shipping_cost]],W:W,0))</f>
        <v>Colombia</v>
      </c>
      <c r="AA942" s="1" t="str">
        <f t="shared" si="43"/>
        <v>Cartagena</v>
      </c>
      <c r="AB942" s="1"/>
      <c r="AC942" s="1" t="str">
        <f t="shared" si="44"/>
        <v xml:space="preserve"> </v>
      </c>
    </row>
    <row r="943" spans="1:29" x14ac:dyDescent="0.3">
      <c r="A943" s="1" t="s">
        <v>2102</v>
      </c>
      <c r="B943">
        <v>1</v>
      </c>
      <c r="C943">
        <v>18.989999999999998</v>
      </c>
      <c r="D943">
        <v>18.989999999999998</v>
      </c>
      <c r="E943" s="1" t="s">
        <v>156</v>
      </c>
      <c r="F943" s="1" t="s">
        <v>51</v>
      </c>
      <c r="G943">
        <v>0</v>
      </c>
      <c r="H943" s="1" t="s">
        <v>58</v>
      </c>
      <c r="I943" s="1" t="s">
        <v>97</v>
      </c>
      <c r="J943">
        <v>6</v>
      </c>
      <c r="K943">
        <v>18.989999999999998</v>
      </c>
      <c r="L943" s="1" t="s">
        <v>60</v>
      </c>
      <c r="M943" s="1" t="s">
        <v>43</v>
      </c>
      <c r="N943" s="1" t="s">
        <v>44</v>
      </c>
      <c r="O943" s="1" t="s">
        <v>31</v>
      </c>
      <c r="P943" s="2">
        <v>45823</v>
      </c>
      <c r="Q943" s="1" t="s">
        <v>947</v>
      </c>
      <c r="R943" s="1" t="s">
        <v>1425</v>
      </c>
      <c r="S943" s="1" t="s">
        <v>88</v>
      </c>
      <c r="T943" s="1" t="s">
        <v>35</v>
      </c>
      <c r="U943" s="1" t="s">
        <v>55</v>
      </c>
      <c r="V943" s="1" t="s">
        <v>100</v>
      </c>
      <c r="W943">
        <v>3.2</v>
      </c>
      <c r="X943" s="1" t="str">
        <f t="shared" si="42"/>
        <v>valentina.hernandez179@mail.com</v>
      </c>
      <c r="Y943" s="1" t="str">
        <f>INDEX(V:V,MATCH(orders_desnormalizado_prueba3[[#This Row],[acquisition_channel]],U:U,0))</f>
        <v>Bodega Propia CO - envio 2-3 dias</v>
      </c>
      <c r="Z943" s="1" t="str">
        <f>INDEX(T:T,MATCH(orders_desnormalizado_prueba3[[#This Row],[shipping_cost]],W:W,0))</f>
        <v>Colombia</v>
      </c>
      <c r="AA943" s="1" t="str">
        <f t="shared" si="43"/>
        <v>Cartagena</v>
      </c>
      <c r="AB943" s="1"/>
      <c r="AC943" s="1" t="str">
        <f t="shared" si="44"/>
        <v xml:space="preserve"> </v>
      </c>
    </row>
    <row r="944" spans="1:29" x14ac:dyDescent="0.3">
      <c r="A944" s="1" t="s">
        <v>2103</v>
      </c>
      <c r="B944">
        <v>1</v>
      </c>
      <c r="C944">
        <v>34.99</v>
      </c>
      <c r="D944">
        <v>34.99</v>
      </c>
      <c r="E944" s="1" t="s">
        <v>2104</v>
      </c>
      <c r="F944" s="1" t="s">
        <v>25</v>
      </c>
      <c r="G944">
        <v>7</v>
      </c>
      <c r="H944" s="1" t="s">
        <v>58</v>
      </c>
      <c r="I944" s="1" t="s">
        <v>85</v>
      </c>
      <c r="J944">
        <v>12.5</v>
      </c>
      <c r="K944">
        <v>34.99</v>
      </c>
      <c r="L944" s="1" t="s">
        <v>60</v>
      </c>
      <c r="M944" s="1" t="s">
        <v>29</v>
      </c>
      <c r="N944" s="1" t="s">
        <v>30</v>
      </c>
      <c r="O944" s="1" t="s">
        <v>31</v>
      </c>
      <c r="P944" s="2">
        <v>45778</v>
      </c>
      <c r="Q944" s="1" t="s">
        <v>1654</v>
      </c>
      <c r="R944" s="1" t="s">
        <v>2105</v>
      </c>
      <c r="S944" s="1" t="s">
        <v>34</v>
      </c>
      <c r="T944" s="1" t="s">
        <v>35</v>
      </c>
      <c r="U944" s="1" t="s">
        <v>48</v>
      </c>
      <c r="V944" s="1" t="s">
        <v>89</v>
      </c>
      <c r="W944">
        <v>2.4</v>
      </c>
      <c r="X944" s="1" t="str">
        <f t="shared" si="42"/>
        <v>miguel.torres117@mail.com</v>
      </c>
      <c r="Y944" s="1" t="str">
        <f>INDEX(V:V,MATCH(orders_desnormalizado_prueba3[[#This Row],[acquisition_channel]],U:U,0))</f>
        <v>Bodega Propia CO - envio 2-3 dias</v>
      </c>
      <c r="Z944" s="1" t="str">
        <f>INDEX(T:T,MATCH(orders_desnormalizado_prueba3[[#This Row],[shipping_cost]],W:W,0))</f>
        <v>Colombia</v>
      </c>
      <c r="AA944" s="1" t="str">
        <f t="shared" si="43"/>
        <v>Bogota</v>
      </c>
      <c r="AB944" s="1"/>
      <c r="AC944" s="1" t="str">
        <f t="shared" si="44"/>
        <v xml:space="preserve"> </v>
      </c>
    </row>
    <row r="945" spans="1:29" x14ac:dyDescent="0.3">
      <c r="A945" s="1" t="s">
        <v>2106</v>
      </c>
      <c r="B945">
        <v>1</v>
      </c>
      <c r="C945">
        <v>21.99</v>
      </c>
      <c r="D945">
        <v>21.99</v>
      </c>
      <c r="E945" s="1" t="s">
        <v>1111</v>
      </c>
      <c r="F945" s="1" t="s">
        <v>25</v>
      </c>
      <c r="G945">
        <v>8</v>
      </c>
      <c r="H945" s="1" t="s">
        <v>41</v>
      </c>
      <c r="I945" s="1" t="s">
        <v>27</v>
      </c>
      <c r="J945">
        <v>7</v>
      </c>
      <c r="K945">
        <v>21.99</v>
      </c>
      <c r="L945" s="1" t="s">
        <v>28</v>
      </c>
      <c r="M945" s="1" t="s">
        <v>29</v>
      </c>
      <c r="N945" s="1" t="s">
        <v>30</v>
      </c>
      <c r="O945" s="1" t="s">
        <v>31</v>
      </c>
      <c r="P945" s="2">
        <v>45778</v>
      </c>
      <c r="Q945" s="1" t="s">
        <v>2107</v>
      </c>
      <c r="R945" s="1" t="s">
        <v>2108</v>
      </c>
      <c r="S945" s="1" t="s">
        <v>88</v>
      </c>
      <c r="T945" s="1" t="s">
        <v>35</v>
      </c>
      <c r="U945" s="1" t="s">
        <v>82</v>
      </c>
      <c r="V945" s="1" t="s">
        <v>37</v>
      </c>
      <c r="W945">
        <v>2</v>
      </c>
      <c r="X945" s="1" t="str">
        <f t="shared" si="42"/>
        <v>alejandro.moreno10@mail.com</v>
      </c>
      <c r="Y945" s="1" t="str">
        <f>INDEX(V:V,MATCH(orders_desnormalizado_prueba3[[#This Row],[acquisition_channel]],U:U,0))</f>
        <v>Bodega Propia CO - envio 2-3 dias</v>
      </c>
      <c r="Z945" s="1" t="str">
        <f>INDEX(T:T,MATCH(orders_desnormalizado_prueba3[[#This Row],[shipping_cost]],W:W,0))</f>
        <v>Colombia</v>
      </c>
      <c r="AA945" s="1" t="str">
        <f t="shared" si="43"/>
        <v>Barranquilla</v>
      </c>
      <c r="AB945" s="1"/>
      <c r="AC945" s="1" t="str">
        <f t="shared" si="44"/>
        <v xml:space="preserve"> </v>
      </c>
    </row>
    <row r="946" spans="1:29" x14ac:dyDescent="0.3">
      <c r="A946" s="1" t="s">
        <v>2109</v>
      </c>
      <c r="B946">
        <v>1</v>
      </c>
      <c r="C946">
        <v>18.989999999999998</v>
      </c>
      <c r="D946">
        <v>18.989999999999998</v>
      </c>
      <c r="E946" s="1" t="s">
        <v>113</v>
      </c>
      <c r="F946" s="1" t="s">
        <v>25</v>
      </c>
      <c r="G946">
        <v>11</v>
      </c>
      <c r="H946" s="1" t="s">
        <v>41</v>
      </c>
      <c r="I946" s="1" t="s">
        <v>97</v>
      </c>
      <c r="J946">
        <v>6</v>
      </c>
      <c r="K946">
        <v>18.989999999999998</v>
      </c>
      <c r="L946" s="1" t="s">
        <v>60</v>
      </c>
      <c r="M946" s="1" t="s">
        <v>43</v>
      </c>
      <c r="N946" s="1" t="s">
        <v>44</v>
      </c>
      <c r="O946" s="1" t="s">
        <v>31</v>
      </c>
      <c r="P946" s="2">
        <v>45823</v>
      </c>
      <c r="Q946" s="1" t="s">
        <v>797</v>
      </c>
      <c r="R946" s="1" t="s">
        <v>798</v>
      </c>
      <c r="S946" s="1" t="s">
        <v>65</v>
      </c>
      <c r="T946" s="1" t="s">
        <v>35</v>
      </c>
      <c r="U946" s="1" t="s">
        <v>66</v>
      </c>
      <c r="V946" s="1" t="s">
        <v>100</v>
      </c>
      <c r="W946">
        <v>3.2</v>
      </c>
      <c r="X946" s="1" t="str">
        <f t="shared" si="42"/>
        <v>miguel.gomez127@mail.com</v>
      </c>
      <c r="Y946" s="1" t="str">
        <f>INDEX(V:V,MATCH(orders_desnormalizado_prueba3[[#This Row],[acquisition_channel]],U:U,0))</f>
        <v>AliDropship CN - envio 15-20 dias</v>
      </c>
      <c r="Z946" s="1" t="str">
        <f>INDEX(T:T,MATCH(orders_desnormalizado_prueba3[[#This Row],[shipping_cost]],W:W,0))</f>
        <v>Colombia</v>
      </c>
      <c r="AA946" s="1" t="str">
        <f t="shared" si="43"/>
        <v>Cali</v>
      </c>
      <c r="AB946" s="1"/>
      <c r="AC946" s="1" t="str">
        <f t="shared" si="44"/>
        <v xml:space="preserve"> </v>
      </c>
    </row>
    <row r="947" spans="1:29" x14ac:dyDescent="0.3">
      <c r="A947" s="1" t="s">
        <v>2110</v>
      </c>
      <c r="B947">
        <v>1</v>
      </c>
      <c r="C947">
        <v>18.989999999999998</v>
      </c>
      <c r="D947">
        <v>18.989999999999998</v>
      </c>
      <c r="E947" s="1" t="s">
        <v>1379</v>
      </c>
      <c r="F947" s="1" t="s">
        <v>40</v>
      </c>
      <c r="G947">
        <v>16</v>
      </c>
      <c r="H947" s="1" t="s">
        <v>96</v>
      </c>
      <c r="I947" s="1" t="s">
        <v>97</v>
      </c>
      <c r="J947">
        <v>6</v>
      </c>
      <c r="K947">
        <v>18.989999999999998</v>
      </c>
      <c r="L947" s="1" t="s">
        <v>60</v>
      </c>
      <c r="M947" s="1" t="s">
        <v>43</v>
      </c>
      <c r="N947" s="1" t="s">
        <v>44</v>
      </c>
      <c r="O947" s="1" t="s">
        <v>31</v>
      </c>
      <c r="P947" s="2">
        <v>45823</v>
      </c>
      <c r="Q947" s="1" t="s">
        <v>147</v>
      </c>
      <c r="R947" s="1" t="s">
        <v>1601</v>
      </c>
      <c r="S947" s="1" t="s">
        <v>105</v>
      </c>
      <c r="T947" s="1" t="s">
        <v>35</v>
      </c>
      <c r="U947" s="1" t="s">
        <v>55</v>
      </c>
      <c r="V947" s="1" t="s">
        <v>100</v>
      </c>
      <c r="W947">
        <v>3.2</v>
      </c>
      <c r="X947" s="1" t="str">
        <f t="shared" si="42"/>
        <v>natalia.castro19@mail.com</v>
      </c>
      <c r="Y947" s="1" t="str">
        <f>INDEX(V:V,MATCH(orders_desnormalizado_prueba3[[#This Row],[acquisition_channel]],U:U,0))</f>
        <v>Bodega Propia CO - envio 2-3 dias</v>
      </c>
      <c r="Z947" s="1" t="str">
        <f>INDEX(T:T,MATCH(orders_desnormalizado_prueba3[[#This Row],[shipping_cost]],W:W,0))</f>
        <v>Colombia</v>
      </c>
      <c r="AA947" s="1" t="str">
        <f t="shared" si="43"/>
        <v>Bogota</v>
      </c>
      <c r="AB947" s="1"/>
      <c r="AC947" s="1" t="str">
        <f t="shared" si="44"/>
        <v xml:space="preserve"> </v>
      </c>
    </row>
    <row r="948" spans="1:29" x14ac:dyDescent="0.3">
      <c r="A948" s="1" t="s">
        <v>2111</v>
      </c>
      <c r="B948">
        <v>1</v>
      </c>
      <c r="C948">
        <v>27.99</v>
      </c>
      <c r="D948">
        <v>27.99</v>
      </c>
      <c r="E948" s="1" t="s">
        <v>1393</v>
      </c>
      <c r="F948" s="1" t="s">
        <v>40</v>
      </c>
      <c r="G948">
        <v>5</v>
      </c>
      <c r="H948" s="1" t="s">
        <v>26</v>
      </c>
      <c r="I948" s="1" t="s">
        <v>75</v>
      </c>
      <c r="J948">
        <v>9</v>
      </c>
      <c r="K948">
        <v>27.99</v>
      </c>
      <c r="L948" s="1" t="s">
        <v>28</v>
      </c>
      <c r="M948" s="1" t="s">
        <v>61</v>
      </c>
      <c r="N948" s="1" t="s">
        <v>62</v>
      </c>
      <c r="O948" s="1" t="s">
        <v>31</v>
      </c>
      <c r="P948" s="2">
        <v>45726</v>
      </c>
      <c r="Q948" s="1" t="s">
        <v>1032</v>
      </c>
      <c r="R948" s="1" t="s">
        <v>2112</v>
      </c>
      <c r="S948" s="1" t="s">
        <v>105</v>
      </c>
      <c r="T948" s="1" t="s">
        <v>35</v>
      </c>
      <c r="U948" s="1" t="s">
        <v>82</v>
      </c>
      <c r="V948" s="1" t="s">
        <v>37</v>
      </c>
      <c r="W948">
        <v>2</v>
      </c>
      <c r="X948" s="1" t="str">
        <f t="shared" si="42"/>
        <v>antonia.sanchez54@mail.com</v>
      </c>
      <c r="Y948" s="1" t="str">
        <f>INDEX(V:V,MATCH(orders_desnormalizado_prueba3[[#This Row],[acquisition_channel]],U:U,0))</f>
        <v>Bodega Propia CO - envio 2-3 dias</v>
      </c>
      <c r="Z948" s="1" t="str">
        <f>INDEX(T:T,MATCH(orders_desnormalizado_prueba3[[#This Row],[shipping_cost]],W:W,0))</f>
        <v>Colombia</v>
      </c>
      <c r="AA948" s="1" t="str">
        <f t="shared" si="43"/>
        <v>Cali</v>
      </c>
      <c r="AB948" s="1"/>
      <c r="AC948" s="1" t="str">
        <f t="shared" si="44"/>
        <v xml:space="preserve"> </v>
      </c>
    </row>
    <row r="949" spans="1:29" x14ac:dyDescent="0.3">
      <c r="A949" s="1" t="s">
        <v>2113</v>
      </c>
      <c r="B949">
        <v>1</v>
      </c>
      <c r="C949">
        <v>30.99</v>
      </c>
      <c r="D949">
        <v>30.99</v>
      </c>
      <c r="E949" s="1" t="s">
        <v>1375</v>
      </c>
      <c r="F949" s="1" t="s">
        <v>40</v>
      </c>
      <c r="G949">
        <v>4</v>
      </c>
      <c r="H949" s="1" t="s">
        <v>58</v>
      </c>
      <c r="I949" s="1" t="s">
        <v>42</v>
      </c>
      <c r="J949">
        <v>10.5</v>
      </c>
      <c r="K949">
        <v>30.99</v>
      </c>
      <c r="L949" s="1" t="s">
        <v>28</v>
      </c>
      <c r="M949" s="1" t="s">
        <v>43</v>
      </c>
      <c r="N949" s="1" t="s">
        <v>44</v>
      </c>
      <c r="O949" s="1" t="s">
        <v>31</v>
      </c>
      <c r="P949" s="2">
        <v>45823</v>
      </c>
      <c r="Q949" s="1" t="s">
        <v>1328</v>
      </c>
      <c r="R949" s="1" t="s">
        <v>1329</v>
      </c>
      <c r="S949" s="1" t="s">
        <v>105</v>
      </c>
      <c r="T949" s="1" t="s">
        <v>35</v>
      </c>
      <c r="U949" s="1" t="s">
        <v>36</v>
      </c>
      <c r="V949" s="1" t="s">
        <v>37</v>
      </c>
      <c r="W949">
        <v>2</v>
      </c>
      <c r="X949" s="1" t="str">
        <f t="shared" si="42"/>
        <v>camila.ortiz78@mail.com</v>
      </c>
      <c r="Y949" s="1" t="str">
        <f>INDEX(V:V,MATCH(orders_desnormalizado_prueba3[[#This Row],[acquisition_channel]],U:U,0))</f>
        <v>Bodega Propia CO - envio 2-3 dias</v>
      </c>
      <c r="Z949" s="1" t="str">
        <f>INDEX(T:T,MATCH(orders_desnormalizado_prueba3[[#This Row],[shipping_cost]],W:W,0))</f>
        <v>Colombia</v>
      </c>
      <c r="AA949" s="1" t="str">
        <f t="shared" si="43"/>
        <v>Barranquilla</v>
      </c>
      <c r="AB949" s="1"/>
      <c r="AC949" s="1" t="str">
        <f t="shared" si="44"/>
        <v xml:space="preserve"> </v>
      </c>
    </row>
    <row r="950" spans="1:29" x14ac:dyDescent="0.3">
      <c r="A950" s="1" t="s">
        <v>2114</v>
      </c>
      <c r="B950">
        <v>1</v>
      </c>
      <c r="C950">
        <v>18.989999999999998</v>
      </c>
      <c r="D950">
        <v>18.989999999999998</v>
      </c>
      <c r="E950" s="1" t="s">
        <v>1411</v>
      </c>
      <c r="F950" s="1" t="s">
        <v>40</v>
      </c>
      <c r="G950">
        <v>10</v>
      </c>
      <c r="H950" s="1" t="s">
        <v>26</v>
      </c>
      <c r="I950" s="1" t="s">
        <v>97</v>
      </c>
      <c r="J950">
        <v>6</v>
      </c>
      <c r="K950">
        <v>18.989999999999998</v>
      </c>
      <c r="L950" s="1" t="s">
        <v>60</v>
      </c>
      <c r="M950" s="1" t="s">
        <v>43</v>
      </c>
      <c r="N950" s="1" t="s">
        <v>44</v>
      </c>
      <c r="O950" s="1" t="s">
        <v>31</v>
      </c>
      <c r="P950" s="2">
        <v>45823</v>
      </c>
      <c r="Q950" s="1" t="s">
        <v>975</v>
      </c>
      <c r="R950" s="1" t="s">
        <v>976</v>
      </c>
      <c r="S950" s="1" t="s">
        <v>54</v>
      </c>
      <c r="T950" s="1" t="s">
        <v>35</v>
      </c>
      <c r="U950" s="1" t="s">
        <v>66</v>
      </c>
      <c r="V950" s="1" t="s">
        <v>100</v>
      </c>
      <c r="W950">
        <v>3.2</v>
      </c>
      <c r="X950" s="1" t="str">
        <f t="shared" si="42"/>
        <v>mateo.moreno84@mail.com</v>
      </c>
      <c r="Y950" s="1" t="str">
        <f>INDEX(V:V,MATCH(orders_desnormalizado_prueba3[[#This Row],[acquisition_channel]],U:U,0))</f>
        <v>AliDropship CN - envio 15-20 dias</v>
      </c>
      <c r="Z950" s="1" t="str">
        <f>INDEX(T:T,MATCH(orders_desnormalizado_prueba3[[#This Row],[shipping_cost]],W:W,0))</f>
        <v>Colombia</v>
      </c>
      <c r="AA950" s="1" t="str">
        <f t="shared" si="43"/>
        <v>Bogota</v>
      </c>
      <c r="AB950" s="1"/>
      <c r="AC950" s="1" t="str">
        <f t="shared" si="44"/>
        <v xml:space="preserve"> </v>
      </c>
    </row>
    <row r="951" spans="1:29" x14ac:dyDescent="0.3">
      <c r="A951" s="1" t="s">
        <v>2115</v>
      </c>
      <c r="B951">
        <v>2</v>
      </c>
      <c r="C951">
        <v>18.989999999999998</v>
      </c>
      <c r="D951">
        <v>32.880000000000003</v>
      </c>
      <c r="E951" s="1" t="s">
        <v>2116</v>
      </c>
      <c r="F951" s="1" t="s">
        <v>51</v>
      </c>
      <c r="G951">
        <v>0</v>
      </c>
      <c r="H951" s="1" t="s">
        <v>41</v>
      </c>
      <c r="I951" s="1" t="s">
        <v>97</v>
      </c>
      <c r="J951">
        <v>6</v>
      </c>
      <c r="K951">
        <v>18.989999999999998</v>
      </c>
      <c r="L951" s="1" t="s">
        <v>60</v>
      </c>
      <c r="M951" s="1" t="s">
        <v>43</v>
      </c>
      <c r="N951" s="1" t="s">
        <v>44</v>
      </c>
      <c r="O951" s="1" t="s">
        <v>31</v>
      </c>
      <c r="P951" s="2">
        <v>45823</v>
      </c>
      <c r="Q951" s="1" t="s">
        <v>934</v>
      </c>
      <c r="R951" s="1" t="s">
        <v>2117</v>
      </c>
      <c r="S951" s="1" t="s">
        <v>105</v>
      </c>
      <c r="T951" s="1" t="s">
        <v>35</v>
      </c>
      <c r="U951" s="1" t="s">
        <v>55</v>
      </c>
      <c r="V951" s="1" t="s">
        <v>100</v>
      </c>
      <c r="W951">
        <v>3.2</v>
      </c>
      <c r="X951" s="1" t="str">
        <f t="shared" si="42"/>
        <v>felipe.gomez104@mail.com</v>
      </c>
      <c r="Y951" s="1" t="str">
        <f>INDEX(V:V,MATCH(orders_desnormalizado_prueba3[[#This Row],[acquisition_channel]],U:U,0))</f>
        <v>Bodega Propia CO - envio 2-3 dias</v>
      </c>
      <c r="Z951" s="1" t="str">
        <f>INDEX(T:T,MATCH(orders_desnormalizado_prueba3[[#This Row],[shipping_cost]],W:W,0))</f>
        <v>Colombia</v>
      </c>
      <c r="AA951" s="1" t="str">
        <f t="shared" si="43"/>
        <v>Cartagena</v>
      </c>
      <c r="AB951" s="1"/>
      <c r="AC951" s="1" t="str">
        <f t="shared" si="44"/>
        <v xml:space="preserve"> </v>
      </c>
    </row>
    <row r="952" spans="1:29" x14ac:dyDescent="0.3">
      <c r="A952" s="1" t="s">
        <v>2118</v>
      </c>
      <c r="B952">
        <v>1</v>
      </c>
      <c r="C952">
        <v>18.989999999999998</v>
      </c>
      <c r="D952">
        <v>18.989999999999998</v>
      </c>
      <c r="E952" s="1" t="s">
        <v>248</v>
      </c>
      <c r="F952" s="1" t="s">
        <v>188</v>
      </c>
      <c r="G952">
        <v>0</v>
      </c>
      <c r="H952" s="1" t="s">
        <v>41</v>
      </c>
      <c r="I952" s="1" t="s">
        <v>97</v>
      </c>
      <c r="J952">
        <v>6</v>
      </c>
      <c r="K952">
        <v>18.989999999999998</v>
      </c>
      <c r="L952" s="1" t="s">
        <v>60</v>
      </c>
      <c r="M952" s="1" t="s">
        <v>43</v>
      </c>
      <c r="N952" s="1" t="s">
        <v>44</v>
      </c>
      <c r="O952" s="1" t="s">
        <v>31</v>
      </c>
      <c r="P952" s="2">
        <v>45823</v>
      </c>
      <c r="Q952" s="1" t="s">
        <v>884</v>
      </c>
      <c r="R952" s="1" t="s">
        <v>885</v>
      </c>
      <c r="S952" s="1" t="s">
        <v>34</v>
      </c>
      <c r="T952" s="1" t="s">
        <v>35</v>
      </c>
      <c r="U952" s="1" t="s">
        <v>36</v>
      </c>
      <c r="V952" s="1" t="s">
        <v>100</v>
      </c>
      <c r="W952">
        <v>3.2</v>
      </c>
      <c r="X952" s="1" t="str">
        <f t="shared" si="42"/>
        <v>paula.martinez72@mail.com</v>
      </c>
      <c r="Y952" s="1" t="str">
        <f>INDEX(V:V,MATCH(orders_desnormalizado_prueba3[[#This Row],[acquisition_channel]],U:U,0))</f>
        <v>Bodega Propia CO - envio 2-3 dias</v>
      </c>
      <c r="Z952" s="1" t="str">
        <f>INDEX(T:T,MATCH(orders_desnormalizado_prueba3[[#This Row],[shipping_cost]],W:W,0))</f>
        <v>Colombia</v>
      </c>
      <c r="AA952" s="1" t="str">
        <f t="shared" si="43"/>
        <v>Cartagena</v>
      </c>
      <c r="AB952" s="1"/>
      <c r="AC952" s="1" t="str">
        <f t="shared" si="44"/>
        <v xml:space="preserve"> </v>
      </c>
    </row>
    <row r="953" spans="1:29" x14ac:dyDescent="0.3">
      <c r="A953" s="1" t="s">
        <v>2119</v>
      </c>
      <c r="B953">
        <v>2</v>
      </c>
      <c r="C953">
        <v>27.99</v>
      </c>
      <c r="D953">
        <v>48</v>
      </c>
      <c r="E953" s="1" t="s">
        <v>181</v>
      </c>
      <c r="F953" s="1" t="s">
        <v>40</v>
      </c>
      <c r="G953">
        <v>2</v>
      </c>
      <c r="H953" s="1" t="s">
        <v>41</v>
      </c>
      <c r="I953" s="1" t="s">
        <v>75</v>
      </c>
      <c r="J953">
        <v>9</v>
      </c>
      <c r="K953">
        <v>27.99</v>
      </c>
      <c r="L953" s="1" t="s">
        <v>28</v>
      </c>
      <c r="M953" s="1" t="s">
        <v>61</v>
      </c>
      <c r="N953" s="1" t="s">
        <v>62</v>
      </c>
      <c r="O953" s="1" t="s">
        <v>31</v>
      </c>
      <c r="P953" s="2">
        <v>45726</v>
      </c>
      <c r="Q953" s="1" t="s">
        <v>1048</v>
      </c>
      <c r="R953" s="1" t="s">
        <v>1701</v>
      </c>
      <c r="S953" s="1" t="s">
        <v>105</v>
      </c>
      <c r="T953" s="1" t="s">
        <v>35</v>
      </c>
      <c r="U953" s="1" t="s">
        <v>82</v>
      </c>
      <c r="V953" s="1" t="s">
        <v>37</v>
      </c>
      <c r="W953">
        <v>2</v>
      </c>
      <c r="X953" s="1" t="str">
        <f t="shared" si="42"/>
        <v>andres.perez17@mail.com</v>
      </c>
      <c r="Y953" s="1" t="str">
        <f>INDEX(V:V,MATCH(orders_desnormalizado_prueba3[[#This Row],[acquisition_channel]],U:U,0))</f>
        <v>Bodega Propia CO - envio 2-3 dias</v>
      </c>
      <c r="Z953" s="1" t="str">
        <f>INDEX(T:T,MATCH(orders_desnormalizado_prueba3[[#This Row],[shipping_cost]],W:W,0))</f>
        <v>Colombia</v>
      </c>
      <c r="AA953" s="1" t="str">
        <f t="shared" si="43"/>
        <v>Medellin</v>
      </c>
      <c r="AB953" s="1"/>
      <c r="AC953" s="1" t="str">
        <f t="shared" si="44"/>
        <v xml:space="preserve"> </v>
      </c>
    </row>
    <row r="954" spans="1:29" x14ac:dyDescent="0.3">
      <c r="A954" s="1" t="s">
        <v>2120</v>
      </c>
      <c r="B954">
        <v>1</v>
      </c>
      <c r="C954">
        <v>16.989999999999998</v>
      </c>
      <c r="D954">
        <v>16.989999999999998</v>
      </c>
      <c r="E954" s="1" t="s">
        <v>84</v>
      </c>
      <c r="F954" s="1" t="s">
        <v>70</v>
      </c>
      <c r="G954">
        <v>0</v>
      </c>
      <c r="H954" s="1" t="s">
        <v>26</v>
      </c>
      <c r="I954" s="1" t="s">
        <v>59</v>
      </c>
      <c r="J954">
        <v>5</v>
      </c>
      <c r="K954">
        <v>16.989999999999998</v>
      </c>
      <c r="L954" s="1" t="s">
        <v>60</v>
      </c>
      <c r="M954" s="1" t="s">
        <v>61</v>
      </c>
      <c r="N954" s="1" t="s">
        <v>62</v>
      </c>
      <c r="O954" s="1" t="s">
        <v>31</v>
      </c>
      <c r="P954" s="2">
        <v>45726</v>
      </c>
      <c r="Q954" s="1" t="s">
        <v>990</v>
      </c>
      <c r="R954" s="1" t="s">
        <v>991</v>
      </c>
      <c r="S954" s="1" t="s">
        <v>54</v>
      </c>
      <c r="T954" s="1" t="s">
        <v>35</v>
      </c>
      <c r="U954" s="1" t="s">
        <v>48</v>
      </c>
      <c r="V954" s="1" t="s">
        <v>67</v>
      </c>
      <c r="W954">
        <v>3</v>
      </c>
      <c r="X954" s="1" t="str">
        <f t="shared" si="42"/>
        <v>fernanda.diaz94@mail.com</v>
      </c>
      <c r="Y954" s="1" t="str">
        <f>INDEX(V:V,MATCH(orders_desnormalizado_prueba3[[#This Row],[acquisition_channel]],U:U,0))</f>
        <v>Bodega Propia CO - envio 2-3 dias</v>
      </c>
      <c r="Z954" s="1" t="str">
        <f>INDEX(T:T,MATCH(orders_desnormalizado_prueba3[[#This Row],[shipping_cost]],W:W,0))</f>
        <v>Colombia</v>
      </c>
      <c r="AA954" s="1" t="str">
        <f t="shared" si="43"/>
        <v>Cartagena</v>
      </c>
      <c r="AB954" s="1"/>
      <c r="AC954" s="1" t="str">
        <f t="shared" si="44"/>
        <v xml:space="preserve"> </v>
      </c>
    </row>
    <row r="955" spans="1:29" x14ac:dyDescent="0.3">
      <c r="A955" s="1" t="s">
        <v>2121</v>
      </c>
      <c r="B955">
        <v>3</v>
      </c>
      <c r="C955">
        <v>21.99</v>
      </c>
      <c r="D955">
        <v>52.91</v>
      </c>
      <c r="E955" s="1" t="s">
        <v>1345</v>
      </c>
      <c r="F955" s="1" t="s">
        <v>40</v>
      </c>
      <c r="G955">
        <v>3</v>
      </c>
      <c r="H955" s="1" t="s">
        <v>58</v>
      </c>
      <c r="I955" s="1" t="s">
        <v>27</v>
      </c>
      <c r="J955">
        <v>7</v>
      </c>
      <c r="K955">
        <v>21.99</v>
      </c>
      <c r="L955" s="1" t="s">
        <v>28</v>
      </c>
      <c r="M955" s="1" t="s">
        <v>29</v>
      </c>
      <c r="N955" s="1" t="s">
        <v>30</v>
      </c>
      <c r="O955" s="1" t="s">
        <v>31</v>
      </c>
      <c r="P955" s="2">
        <v>45778</v>
      </c>
      <c r="Q955" s="1" t="s">
        <v>1157</v>
      </c>
      <c r="R955" s="1" t="s">
        <v>1158</v>
      </c>
      <c r="S955" s="1" t="s">
        <v>105</v>
      </c>
      <c r="T955" s="1" t="s">
        <v>35</v>
      </c>
      <c r="U955" s="1" t="s">
        <v>55</v>
      </c>
      <c r="V955" s="1" t="s">
        <v>37</v>
      </c>
      <c r="W955">
        <v>2</v>
      </c>
      <c r="X955" s="1" t="str">
        <f t="shared" si="42"/>
        <v>alejandro.ramirez94@mail.com</v>
      </c>
      <c r="Y955" s="1" t="str">
        <f>INDEX(V:V,MATCH(orders_desnormalizado_prueba3[[#This Row],[acquisition_channel]],U:U,0))</f>
        <v>Bodega Propia CO - envio 2-3 dias</v>
      </c>
      <c r="Z955" s="1" t="str">
        <f>INDEX(T:T,MATCH(orders_desnormalizado_prueba3[[#This Row],[shipping_cost]],W:W,0))</f>
        <v>Colombia</v>
      </c>
      <c r="AA955" s="1" t="str">
        <f t="shared" si="43"/>
        <v>Barranquilla</v>
      </c>
      <c r="AB955" s="1"/>
      <c r="AC955" s="1" t="str">
        <f t="shared" si="44"/>
        <v xml:space="preserve"> </v>
      </c>
    </row>
    <row r="956" spans="1:29" x14ac:dyDescent="0.3">
      <c r="A956" s="1" t="s">
        <v>2122</v>
      </c>
      <c r="B956">
        <v>1</v>
      </c>
      <c r="C956">
        <v>27.99</v>
      </c>
      <c r="D956">
        <v>27.99</v>
      </c>
      <c r="E956" s="1" t="s">
        <v>771</v>
      </c>
      <c r="F956" s="1" t="s">
        <v>40</v>
      </c>
      <c r="G956">
        <v>7</v>
      </c>
      <c r="H956" s="1" t="s">
        <v>58</v>
      </c>
      <c r="I956" s="1" t="s">
        <v>75</v>
      </c>
      <c r="J956">
        <v>9</v>
      </c>
      <c r="K956">
        <v>27.99</v>
      </c>
      <c r="L956" s="1" t="s">
        <v>28</v>
      </c>
      <c r="M956" s="1" t="s">
        <v>61</v>
      </c>
      <c r="N956" s="1" t="s">
        <v>62</v>
      </c>
      <c r="O956" s="1" t="s">
        <v>31</v>
      </c>
      <c r="P956" s="2">
        <v>45726</v>
      </c>
      <c r="Q956" s="1" t="s">
        <v>801</v>
      </c>
      <c r="R956" s="1" t="s">
        <v>802</v>
      </c>
      <c r="S956" s="1" t="s">
        <v>88</v>
      </c>
      <c r="T956" s="1" t="s">
        <v>35</v>
      </c>
      <c r="U956" s="1" t="s">
        <v>82</v>
      </c>
      <c r="V956" s="1" t="s">
        <v>37</v>
      </c>
      <c r="W956">
        <v>2</v>
      </c>
      <c r="X956" s="1" t="str">
        <f t="shared" si="42"/>
        <v>catalina.vargas107@mail.com</v>
      </c>
      <c r="Y956" s="1" t="str">
        <f>INDEX(V:V,MATCH(orders_desnormalizado_prueba3[[#This Row],[acquisition_channel]],U:U,0))</f>
        <v>Bodega Propia CO - envio 2-3 dias</v>
      </c>
      <c r="Z956" s="1" t="str">
        <f>INDEX(T:T,MATCH(orders_desnormalizado_prueba3[[#This Row],[shipping_cost]],W:W,0))</f>
        <v>Colombia</v>
      </c>
      <c r="AA956" s="1" t="str">
        <f t="shared" si="43"/>
        <v>Bogota</v>
      </c>
      <c r="AB956" s="1"/>
      <c r="AC956" s="1" t="str">
        <f t="shared" si="44"/>
        <v xml:space="preserve"> </v>
      </c>
    </row>
    <row r="957" spans="1:29" x14ac:dyDescent="0.3">
      <c r="A957" s="1" t="s">
        <v>2123</v>
      </c>
      <c r="B957">
        <v>1</v>
      </c>
      <c r="C957">
        <v>27.99</v>
      </c>
      <c r="D957">
        <v>27.99</v>
      </c>
      <c r="E957" s="1" t="s">
        <v>2124</v>
      </c>
      <c r="F957" s="1" t="s">
        <v>40</v>
      </c>
      <c r="G957">
        <v>2</v>
      </c>
      <c r="H957" s="1" t="s">
        <v>41</v>
      </c>
      <c r="I957" s="1" t="s">
        <v>75</v>
      </c>
      <c r="J957">
        <v>9</v>
      </c>
      <c r="K957">
        <v>27.99</v>
      </c>
      <c r="L957" s="1" t="s">
        <v>28</v>
      </c>
      <c r="M957" s="1" t="s">
        <v>61</v>
      </c>
      <c r="N957" s="1" t="s">
        <v>62</v>
      </c>
      <c r="O957" s="1" t="s">
        <v>31</v>
      </c>
      <c r="P957" s="2">
        <v>45726</v>
      </c>
      <c r="Q957" s="1" t="s">
        <v>2065</v>
      </c>
      <c r="R957" s="1" t="s">
        <v>2066</v>
      </c>
      <c r="S957" s="1" t="s">
        <v>47</v>
      </c>
      <c r="T957" s="1" t="s">
        <v>35</v>
      </c>
      <c r="U957" s="1" t="s">
        <v>66</v>
      </c>
      <c r="V957" s="1" t="s">
        <v>37</v>
      </c>
      <c r="W957">
        <v>2</v>
      </c>
      <c r="X957" s="1" t="str">
        <f t="shared" si="42"/>
        <v>maria.jimenez50@mail.com</v>
      </c>
      <c r="Y957" s="1" t="str">
        <f>INDEX(V:V,MATCH(orders_desnormalizado_prueba3[[#This Row],[acquisition_channel]],U:U,0))</f>
        <v>AliDropship CN - envio 15-20 dias</v>
      </c>
      <c r="Z957" s="1" t="str">
        <f>INDEX(T:T,MATCH(orders_desnormalizado_prueba3[[#This Row],[shipping_cost]],W:W,0))</f>
        <v>Colombia</v>
      </c>
      <c r="AA957" s="1" t="str">
        <f t="shared" si="43"/>
        <v>Medellin</v>
      </c>
      <c r="AB957" s="1"/>
      <c r="AC957" s="1" t="str">
        <f t="shared" si="44"/>
        <v xml:space="preserve"> </v>
      </c>
    </row>
    <row r="958" spans="1:29" x14ac:dyDescent="0.3">
      <c r="A958" s="1" t="s">
        <v>2125</v>
      </c>
      <c r="B958">
        <v>3</v>
      </c>
      <c r="C958">
        <v>21.99</v>
      </c>
      <c r="D958">
        <v>52.38</v>
      </c>
      <c r="E958" s="1" t="s">
        <v>325</v>
      </c>
      <c r="F958" s="1" t="s">
        <v>40</v>
      </c>
      <c r="G958">
        <v>3</v>
      </c>
      <c r="H958" s="1" t="s">
        <v>26</v>
      </c>
      <c r="I958" s="1" t="s">
        <v>27</v>
      </c>
      <c r="J958">
        <v>7</v>
      </c>
      <c r="K958">
        <v>21.99</v>
      </c>
      <c r="L958" s="1" t="s">
        <v>28</v>
      </c>
      <c r="M958" s="1" t="s">
        <v>29</v>
      </c>
      <c r="N958" s="1" t="s">
        <v>30</v>
      </c>
      <c r="O958" s="1" t="s">
        <v>31</v>
      </c>
      <c r="P958" s="2">
        <v>45778</v>
      </c>
      <c r="Q958" s="1" t="s">
        <v>1408</v>
      </c>
      <c r="R958" s="1" t="s">
        <v>2055</v>
      </c>
      <c r="S958" s="1" t="s">
        <v>54</v>
      </c>
      <c r="T958" s="1" t="s">
        <v>35</v>
      </c>
      <c r="U958" s="1" t="s">
        <v>82</v>
      </c>
      <c r="V958" s="1" t="s">
        <v>37</v>
      </c>
      <c r="W958">
        <v>2</v>
      </c>
      <c r="X958" s="1" t="str">
        <f t="shared" si="42"/>
        <v>gabriela.moreno85@mail.com</v>
      </c>
      <c r="Y958" s="1" t="str">
        <f>INDEX(V:V,MATCH(orders_desnormalizado_prueba3[[#This Row],[acquisition_channel]],U:U,0))</f>
        <v>Bodega Propia CO - envio 2-3 dias</v>
      </c>
      <c r="Z958" s="1" t="str">
        <f>INDEX(T:T,MATCH(orders_desnormalizado_prueba3[[#This Row],[shipping_cost]],W:W,0))</f>
        <v>Colombia</v>
      </c>
      <c r="AA958" s="1" t="str">
        <f t="shared" si="43"/>
        <v>Barranquilla</v>
      </c>
      <c r="AB958" s="1"/>
      <c r="AC958" s="1" t="str">
        <f t="shared" si="44"/>
        <v xml:space="preserve"> </v>
      </c>
    </row>
    <row r="959" spans="1:29" x14ac:dyDescent="0.3">
      <c r="A959" s="1" t="s">
        <v>2126</v>
      </c>
      <c r="B959">
        <v>1</v>
      </c>
      <c r="C959">
        <v>18.989999999999998</v>
      </c>
      <c r="D959">
        <v>18.989999999999998</v>
      </c>
      <c r="E959" s="1" t="s">
        <v>1136</v>
      </c>
      <c r="F959" s="1" t="s">
        <v>40</v>
      </c>
      <c r="G959">
        <v>10</v>
      </c>
      <c r="H959" s="1" t="s">
        <v>58</v>
      </c>
      <c r="I959" s="1" t="s">
        <v>97</v>
      </c>
      <c r="J959">
        <v>6</v>
      </c>
      <c r="K959">
        <v>18.989999999999998</v>
      </c>
      <c r="L959" s="1" t="s">
        <v>60</v>
      </c>
      <c r="M959" s="1" t="s">
        <v>43</v>
      </c>
      <c r="N959" s="1" t="s">
        <v>44</v>
      </c>
      <c r="O959" s="1" t="s">
        <v>31</v>
      </c>
      <c r="P959" s="2">
        <v>45823</v>
      </c>
      <c r="Q959" s="1" t="s">
        <v>2127</v>
      </c>
      <c r="R959" s="1" t="s">
        <v>2128</v>
      </c>
      <c r="S959" s="1" t="s">
        <v>88</v>
      </c>
      <c r="T959" s="1" t="s">
        <v>35</v>
      </c>
      <c r="U959" s="1" t="s">
        <v>66</v>
      </c>
      <c r="V959" s="1" t="s">
        <v>100</v>
      </c>
      <c r="W959">
        <v>3.2</v>
      </c>
      <c r="X959" s="1" t="str">
        <f t="shared" si="42"/>
        <v>alejandro.hernandez159@mail.com</v>
      </c>
      <c r="Y959" s="1" t="str">
        <f>INDEX(V:V,MATCH(orders_desnormalizado_prueba3[[#This Row],[acquisition_channel]],U:U,0))</f>
        <v>AliDropship CN - envio 15-20 dias</v>
      </c>
      <c r="Z959" s="1" t="str">
        <f>INDEX(T:T,MATCH(orders_desnormalizado_prueba3[[#This Row],[shipping_cost]],W:W,0))</f>
        <v>Colombia</v>
      </c>
      <c r="AA959" s="1" t="str">
        <f t="shared" si="43"/>
        <v>Bogota</v>
      </c>
      <c r="AB959" s="1"/>
      <c r="AC959" s="1" t="str">
        <f t="shared" si="44"/>
        <v xml:space="preserve"> </v>
      </c>
    </row>
    <row r="960" spans="1:29" x14ac:dyDescent="0.3">
      <c r="A960" s="1" t="s">
        <v>2129</v>
      </c>
      <c r="B960">
        <v>1</v>
      </c>
      <c r="C960">
        <v>30.99</v>
      </c>
      <c r="D960">
        <v>30.99</v>
      </c>
      <c r="E960" s="1" t="s">
        <v>989</v>
      </c>
      <c r="F960" s="1" t="s">
        <v>40</v>
      </c>
      <c r="G960">
        <v>2</v>
      </c>
      <c r="H960" s="1" t="s">
        <v>96</v>
      </c>
      <c r="I960" s="1" t="s">
        <v>42</v>
      </c>
      <c r="J960">
        <v>10.5</v>
      </c>
      <c r="K960">
        <v>30.99</v>
      </c>
      <c r="L960" s="1" t="s">
        <v>28</v>
      </c>
      <c r="M960" s="1" t="s">
        <v>43</v>
      </c>
      <c r="N960" s="1" t="s">
        <v>44</v>
      </c>
      <c r="O960" s="1" t="s">
        <v>31</v>
      </c>
      <c r="P960" s="2">
        <v>45823</v>
      </c>
      <c r="Q960" s="1" t="s">
        <v>1024</v>
      </c>
      <c r="R960" s="1" t="s">
        <v>1854</v>
      </c>
      <c r="S960" s="1" t="s">
        <v>65</v>
      </c>
      <c r="T960" s="1" t="s">
        <v>35</v>
      </c>
      <c r="U960" s="1" t="s">
        <v>82</v>
      </c>
      <c r="V960" s="1" t="s">
        <v>37</v>
      </c>
      <c r="W960">
        <v>2</v>
      </c>
      <c r="X960" s="1" t="str">
        <f t="shared" si="42"/>
        <v>camila.gomez147@mail.com</v>
      </c>
      <c r="Y960" s="1" t="str">
        <f>INDEX(V:V,MATCH(orders_desnormalizado_prueba3[[#This Row],[acquisition_channel]],U:U,0))</f>
        <v>Bodega Propia CO - envio 2-3 dias</v>
      </c>
      <c r="Z960" s="1" t="str">
        <f>INDEX(T:T,MATCH(orders_desnormalizado_prueba3[[#This Row],[shipping_cost]],W:W,0))</f>
        <v>Colombia</v>
      </c>
      <c r="AA960" s="1" t="str">
        <f t="shared" si="43"/>
        <v>Medellin</v>
      </c>
      <c r="AB960" s="1"/>
      <c r="AC960" s="1" t="str">
        <f t="shared" si="44"/>
        <v xml:space="preserve"> </v>
      </c>
    </row>
    <row r="961" spans="1:29" x14ac:dyDescent="0.3">
      <c r="A961" s="1" t="s">
        <v>2130</v>
      </c>
      <c r="B961">
        <v>3</v>
      </c>
      <c r="C961">
        <v>16.989999999999998</v>
      </c>
      <c r="D961">
        <v>40.51</v>
      </c>
      <c r="E961" s="1" t="s">
        <v>1082</v>
      </c>
      <c r="F961" s="1" t="s">
        <v>51</v>
      </c>
      <c r="G961">
        <v>0</v>
      </c>
      <c r="H961" s="1" t="s">
        <v>96</v>
      </c>
      <c r="I961" s="1" t="s">
        <v>59</v>
      </c>
      <c r="J961">
        <v>5</v>
      </c>
      <c r="K961">
        <v>16.989999999999998</v>
      </c>
      <c r="L961" s="1" t="s">
        <v>60</v>
      </c>
      <c r="M961" s="1" t="s">
        <v>61</v>
      </c>
      <c r="N961" s="1" t="s">
        <v>62</v>
      </c>
      <c r="O961" s="1" t="s">
        <v>31</v>
      </c>
      <c r="P961" s="2">
        <v>45726</v>
      </c>
      <c r="Q961" s="1" t="s">
        <v>266</v>
      </c>
      <c r="R961" s="1" t="s">
        <v>764</v>
      </c>
      <c r="S961" s="1" t="s">
        <v>105</v>
      </c>
      <c r="T961" s="1" t="s">
        <v>35</v>
      </c>
      <c r="U961" s="1" t="s">
        <v>36</v>
      </c>
      <c r="V961" s="1" t="s">
        <v>67</v>
      </c>
      <c r="W961">
        <v>3</v>
      </c>
      <c r="X961" s="1" t="str">
        <f t="shared" si="42"/>
        <v>alejandro.rodriguez7@mail.com</v>
      </c>
      <c r="Y961" s="1" t="str">
        <f>INDEX(V:V,MATCH(orders_desnormalizado_prueba3[[#This Row],[acquisition_channel]],U:U,0))</f>
        <v>Bodega Propia CO - envio 2-3 dias</v>
      </c>
      <c r="Z961" s="1" t="str">
        <f>INDEX(T:T,MATCH(orders_desnormalizado_prueba3[[#This Row],[shipping_cost]],W:W,0))</f>
        <v>Colombia</v>
      </c>
      <c r="AA961" s="1" t="str">
        <f t="shared" si="43"/>
        <v>Cartagena</v>
      </c>
      <c r="AB961" s="1"/>
      <c r="AC961" s="1" t="str">
        <f t="shared" si="44"/>
        <v xml:space="preserve"> </v>
      </c>
    </row>
    <row r="962" spans="1:29" x14ac:dyDescent="0.3">
      <c r="A962" s="1" t="s">
        <v>2131</v>
      </c>
      <c r="B962">
        <v>1</v>
      </c>
      <c r="C962">
        <v>16.989999999999998</v>
      </c>
      <c r="D962">
        <v>16.989999999999998</v>
      </c>
      <c r="E962" s="1" t="s">
        <v>1051</v>
      </c>
      <c r="F962" s="1" t="s">
        <v>40</v>
      </c>
      <c r="G962">
        <v>19</v>
      </c>
      <c r="H962" s="1" t="s">
        <v>26</v>
      </c>
      <c r="I962" s="1" t="s">
        <v>59</v>
      </c>
      <c r="J962">
        <v>5</v>
      </c>
      <c r="K962">
        <v>16.989999999999998</v>
      </c>
      <c r="L962" s="1" t="s">
        <v>60</v>
      </c>
      <c r="M962" s="1" t="s">
        <v>61</v>
      </c>
      <c r="N962" s="1" t="s">
        <v>62</v>
      </c>
      <c r="O962" s="1" t="s">
        <v>31</v>
      </c>
      <c r="P962" s="2">
        <v>45726</v>
      </c>
      <c r="Q962" s="1" t="s">
        <v>1414</v>
      </c>
      <c r="R962" s="1" t="s">
        <v>1415</v>
      </c>
      <c r="S962" s="1" t="s">
        <v>88</v>
      </c>
      <c r="T962" s="1" t="s">
        <v>35</v>
      </c>
      <c r="U962" s="1" t="s">
        <v>48</v>
      </c>
      <c r="V962" s="1" t="s">
        <v>67</v>
      </c>
      <c r="W962">
        <v>3</v>
      </c>
      <c r="X962" s="1" t="str">
        <f t="shared" ref="X962:X1025" si="45">INDEX(R:R,MATCH(Q962,Q:Q,0))</f>
        <v>paula.lopez179@mail.com</v>
      </c>
      <c r="Y962" s="1" t="str">
        <f>INDEX(V:V,MATCH(orders_desnormalizado_prueba3[[#This Row],[acquisition_channel]],U:U,0))</f>
        <v>Bodega Propia CO - envio 2-3 dias</v>
      </c>
      <c r="Z962" s="1" t="str">
        <f>INDEX(T:T,MATCH(orders_desnormalizado_prueba3[[#This Row],[shipping_cost]],W:W,0))</f>
        <v>Colombia</v>
      </c>
      <c r="AA962" s="1" t="str">
        <f t="shared" ref="AA962:AA1025" si="46">INDEX(S:S,MATCH(G962,G:G,0))</f>
        <v>Bogota</v>
      </c>
      <c r="AB962" s="1"/>
      <c r="AC962" s="1" t="str">
        <f t="shared" ref="AC962:AC1025" si="47">IFERROR(INDEX($V:$V,MATCH(AB962,$R:$R,0)), " ")</f>
        <v xml:space="preserve"> </v>
      </c>
    </row>
    <row r="963" spans="1:29" x14ac:dyDescent="0.3">
      <c r="A963" s="1" t="s">
        <v>2132</v>
      </c>
      <c r="B963">
        <v>2</v>
      </c>
      <c r="C963">
        <v>30.99</v>
      </c>
      <c r="D963">
        <v>53.02</v>
      </c>
      <c r="E963" s="1" t="s">
        <v>2133</v>
      </c>
      <c r="F963" s="1" t="s">
        <v>70</v>
      </c>
      <c r="G963">
        <v>0</v>
      </c>
      <c r="H963" s="1" t="s">
        <v>58</v>
      </c>
      <c r="I963" s="1" t="s">
        <v>42</v>
      </c>
      <c r="J963">
        <v>10.5</v>
      </c>
      <c r="K963">
        <v>30.99</v>
      </c>
      <c r="L963" s="1" t="s">
        <v>28</v>
      </c>
      <c r="M963" s="1" t="s">
        <v>43</v>
      </c>
      <c r="N963" s="1" t="s">
        <v>44</v>
      </c>
      <c r="O963" s="1" t="s">
        <v>31</v>
      </c>
      <c r="P963" s="2">
        <v>45823</v>
      </c>
      <c r="Q963" s="1" t="s">
        <v>865</v>
      </c>
      <c r="R963" s="1" t="s">
        <v>866</v>
      </c>
      <c r="S963" s="1" t="s">
        <v>105</v>
      </c>
      <c r="T963" s="1" t="s">
        <v>35</v>
      </c>
      <c r="U963" s="1" t="s">
        <v>36</v>
      </c>
      <c r="V963" s="1" t="s">
        <v>37</v>
      </c>
      <c r="W963">
        <v>2</v>
      </c>
      <c r="X963" s="1" t="str">
        <f t="shared" si="45"/>
        <v>juan.ortiz87@mail.com</v>
      </c>
      <c r="Y963" s="1" t="str">
        <f>INDEX(V:V,MATCH(orders_desnormalizado_prueba3[[#This Row],[acquisition_channel]],U:U,0))</f>
        <v>Bodega Propia CO - envio 2-3 dias</v>
      </c>
      <c r="Z963" s="1" t="str">
        <f>INDEX(T:T,MATCH(orders_desnormalizado_prueba3[[#This Row],[shipping_cost]],W:W,0))</f>
        <v>Colombia</v>
      </c>
      <c r="AA963" s="1" t="str">
        <f t="shared" si="46"/>
        <v>Cartagena</v>
      </c>
      <c r="AB963" s="1"/>
      <c r="AC963" s="1" t="str">
        <f t="shared" si="47"/>
        <v xml:space="preserve"> </v>
      </c>
    </row>
    <row r="964" spans="1:29" x14ac:dyDescent="0.3">
      <c r="A964" s="1" t="s">
        <v>2134</v>
      </c>
      <c r="B964">
        <v>3</v>
      </c>
      <c r="C964">
        <v>30.99</v>
      </c>
      <c r="D964">
        <v>74.400000000000006</v>
      </c>
      <c r="E964" s="1" t="s">
        <v>1865</v>
      </c>
      <c r="F964" s="1" t="s">
        <v>40</v>
      </c>
      <c r="G964">
        <v>3</v>
      </c>
      <c r="H964" s="1" t="s">
        <v>41</v>
      </c>
      <c r="I964" s="1" t="s">
        <v>42</v>
      </c>
      <c r="J964">
        <v>10.5</v>
      </c>
      <c r="K964">
        <v>30.99</v>
      </c>
      <c r="L964" s="1" t="s">
        <v>28</v>
      </c>
      <c r="M964" s="1" t="s">
        <v>43</v>
      </c>
      <c r="N964" s="1" t="s">
        <v>44</v>
      </c>
      <c r="O964" s="1" t="s">
        <v>31</v>
      </c>
      <c r="P964" s="2">
        <v>45823</v>
      </c>
      <c r="Q964" s="1" t="s">
        <v>1234</v>
      </c>
      <c r="R964" s="1" t="s">
        <v>1235</v>
      </c>
      <c r="S964" s="1" t="s">
        <v>88</v>
      </c>
      <c r="T964" s="1" t="s">
        <v>35</v>
      </c>
      <c r="U964" s="1" t="s">
        <v>48</v>
      </c>
      <c r="V964" s="1" t="s">
        <v>37</v>
      </c>
      <c r="W964">
        <v>2</v>
      </c>
      <c r="X964" s="1" t="str">
        <f t="shared" si="45"/>
        <v>antonia.ortiz67@mail.com</v>
      </c>
      <c r="Y964" s="1" t="str">
        <f>INDEX(V:V,MATCH(orders_desnormalizado_prueba3[[#This Row],[acquisition_channel]],U:U,0))</f>
        <v>Bodega Propia CO - envio 2-3 dias</v>
      </c>
      <c r="Z964" s="1" t="str">
        <f>INDEX(T:T,MATCH(orders_desnormalizado_prueba3[[#This Row],[shipping_cost]],W:W,0))</f>
        <v>Colombia</v>
      </c>
      <c r="AA964" s="1" t="str">
        <f t="shared" si="46"/>
        <v>Barranquilla</v>
      </c>
      <c r="AB964" s="1"/>
      <c r="AC964" s="1" t="str">
        <f t="shared" si="47"/>
        <v xml:space="preserve"> </v>
      </c>
    </row>
    <row r="965" spans="1:29" x14ac:dyDescent="0.3">
      <c r="A965" s="1" t="s">
        <v>2135</v>
      </c>
      <c r="B965">
        <v>1</v>
      </c>
      <c r="C965">
        <v>21.99</v>
      </c>
      <c r="D965">
        <v>21.99</v>
      </c>
      <c r="E965" s="1" t="s">
        <v>701</v>
      </c>
      <c r="F965" s="1" t="s">
        <v>40</v>
      </c>
      <c r="G965">
        <v>3</v>
      </c>
      <c r="H965" s="1" t="s">
        <v>41</v>
      </c>
      <c r="I965" s="1" t="s">
        <v>27</v>
      </c>
      <c r="J965">
        <v>7</v>
      </c>
      <c r="K965">
        <v>21.99</v>
      </c>
      <c r="L965" s="1" t="s">
        <v>28</v>
      </c>
      <c r="M965" s="1" t="s">
        <v>29</v>
      </c>
      <c r="N965" s="1" t="s">
        <v>30</v>
      </c>
      <c r="O965" s="1" t="s">
        <v>31</v>
      </c>
      <c r="P965" s="2">
        <v>45778</v>
      </c>
      <c r="Q965" s="1" t="s">
        <v>1349</v>
      </c>
      <c r="R965" s="1" t="s">
        <v>1439</v>
      </c>
      <c r="S965" s="1" t="s">
        <v>65</v>
      </c>
      <c r="T965" s="1" t="s">
        <v>35</v>
      </c>
      <c r="U965" s="1" t="s">
        <v>36</v>
      </c>
      <c r="V965" s="1" t="s">
        <v>37</v>
      </c>
      <c r="W965">
        <v>2</v>
      </c>
      <c r="X965" s="1" t="str">
        <f t="shared" si="45"/>
        <v>catalina.moreno180@mail.com</v>
      </c>
      <c r="Y965" s="1" t="str">
        <f>INDEX(V:V,MATCH(orders_desnormalizado_prueba3[[#This Row],[acquisition_channel]],U:U,0))</f>
        <v>Bodega Propia CO - envio 2-3 dias</v>
      </c>
      <c r="Z965" s="1" t="str">
        <f>INDEX(T:T,MATCH(orders_desnormalizado_prueba3[[#This Row],[shipping_cost]],W:W,0))</f>
        <v>Colombia</v>
      </c>
      <c r="AA965" s="1" t="str">
        <f t="shared" si="46"/>
        <v>Barranquilla</v>
      </c>
      <c r="AB965" s="1"/>
      <c r="AC965" s="1" t="str">
        <f t="shared" si="47"/>
        <v xml:space="preserve"> </v>
      </c>
    </row>
    <row r="966" spans="1:29" x14ac:dyDescent="0.3">
      <c r="A966" s="1" t="s">
        <v>2136</v>
      </c>
      <c r="B966">
        <v>1</v>
      </c>
      <c r="C966">
        <v>18.989999999999998</v>
      </c>
      <c r="D966">
        <v>18.989999999999998</v>
      </c>
      <c r="E966" s="1" t="s">
        <v>1574</v>
      </c>
      <c r="F966" s="1" t="s">
        <v>40</v>
      </c>
      <c r="G966">
        <v>12</v>
      </c>
      <c r="H966" s="1" t="s">
        <v>96</v>
      </c>
      <c r="I966" s="1" t="s">
        <v>97</v>
      </c>
      <c r="J966">
        <v>6</v>
      </c>
      <c r="K966">
        <v>18.989999999999998</v>
      </c>
      <c r="L966" s="1" t="s">
        <v>60</v>
      </c>
      <c r="M966" s="1" t="s">
        <v>43</v>
      </c>
      <c r="N966" s="1" t="s">
        <v>44</v>
      </c>
      <c r="O966" s="1" t="s">
        <v>31</v>
      </c>
      <c r="P966" s="2">
        <v>45823</v>
      </c>
      <c r="Q966" s="1" t="s">
        <v>1024</v>
      </c>
      <c r="R966" s="1" t="s">
        <v>1854</v>
      </c>
      <c r="S966" s="1" t="s">
        <v>65</v>
      </c>
      <c r="T966" s="1" t="s">
        <v>35</v>
      </c>
      <c r="U966" s="1" t="s">
        <v>82</v>
      </c>
      <c r="V966" s="1" t="s">
        <v>100</v>
      </c>
      <c r="W966">
        <v>3.2</v>
      </c>
      <c r="X966" s="1" t="str">
        <f t="shared" si="45"/>
        <v>camila.gomez147@mail.com</v>
      </c>
      <c r="Y966" s="1" t="str">
        <f>INDEX(V:V,MATCH(orders_desnormalizado_prueba3[[#This Row],[acquisition_channel]],U:U,0))</f>
        <v>Bodega Propia CO - envio 2-3 dias</v>
      </c>
      <c r="Z966" s="1" t="str">
        <f>INDEX(T:T,MATCH(orders_desnormalizado_prueba3[[#This Row],[shipping_cost]],W:W,0))</f>
        <v>Colombia</v>
      </c>
      <c r="AA966" s="1" t="str">
        <f t="shared" si="46"/>
        <v>Cartagena</v>
      </c>
      <c r="AB966" s="1"/>
      <c r="AC966" s="1" t="str">
        <f t="shared" si="47"/>
        <v xml:space="preserve"> </v>
      </c>
    </row>
    <row r="967" spans="1:29" x14ac:dyDescent="0.3">
      <c r="A967" s="1" t="s">
        <v>2137</v>
      </c>
      <c r="B967">
        <v>1</v>
      </c>
      <c r="C967">
        <v>16.989999999999998</v>
      </c>
      <c r="D967">
        <v>16.989999999999998</v>
      </c>
      <c r="E967" s="1" t="s">
        <v>1082</v>
      </c>
      <c r="F967" s="1" t="s">
        <v>40</v>
      </c>
      <c r="G967">
        <v>20</v>
      </c>
      <c r="H967" s="1" t="s">
        <v>26</v>
      </c>
      <c r="I967" s="1" t="s">
        <v>59</v>
      </c>
      <c r="J967">
        <v>5</v>
      </c>
      <c r="K967">
        <v>16.989999999999998</v>
      </c>
      <c r="L967" s="1" t="s">
        <v>60</v>
      </c>
      <c r="M967" s="1" t="s">
        <v>61</v>
      </c>
      <c r="N967" s="1" t="s">
        <v>62</v>
      </c>
      <c r="O967" s="1" t="s">
        <v>31</v>
      </c>
      <c r="P967" s="2">
        <v>45726</v>
      </c>
      <c r="Q967" s="1" t="s">
        <v>1140</v>
      </c>
      <c r="R967" s="1" t="s">
        <v>1141</v>
      </c>
      <c r="S967" s="1" t="s">
        <v>34</v>
      </c>
      <c r="T967" s="1" t="s">
        <v>35</v>
      </c>
      <c r="U967" s="1" t="s">
        <v>36</v>
      </c>
      <c r="V967" s="1" t="s">
        <v>67</v>
      </c>
      <c r="W967">
        <v>3</v>
      </c>
      <c r="X967" s="1" t="str">
        <f t="shared" si="45"/>
        <v>laura.castro41@mail.com</v>
      </c>
      <c r="Y967" s="1" t="str">
        <f>INDEX(V:V,MATCH(orders_desnormalizado_prueba3[[#This Row],[acquisition_channel]],U:U,0))</f>
        <v>Bodega Propia CO - envio 2-3 dias</v>
      </c>
      <c r="Z967" s="1" t="str">
        <f>INDEX(T:T,MATCH(orders_desnormalizado_prueba3[[#This Row],[shipping_cost]],W:W,0))</f>
        <v>Colombia</v>
      </c>
      <c r="AA967" s="1" t="str">
        <f t="shared" si="46"/>
        <v>Bucaramanga</v>
      </c>
      <c r="AB967" s="1"/>
      <c r="AC967" s="1" t="str">
        <f t="shared" si="47"/>
        <v xml:space="preserve"> </v>
      </c>
    </row>
    <row r="968" spans="1:29" x14ac:dyDescent="0.3">
      <c r="A968" s="1" t="s">
        <v>2138</v>
      </c>
      <c r="B968">
        <v>1</v>
      </c>
      <c r="C968">
        <v>27.99</v>
      </c>
      <c r="D968">
        <v>27.99</v>
      </c>
      <c r="E968" s="1" t="s">
        <v>1000</v>
      </c>
      <c r="F968" s="1" t="s">
        <v>40</v>
      </c>
      <c r="G968">
        <v>3</v>
      </c>
      <c r="H968" s="1" t="s">
        <v>26</v>
      </c>
      <c r="I968" s="1" t="s">
        <v>75</v>
      </c>
      <c r="J968">
        <v>9</v>
      </c>
      <c r="K968">
        <v>27.99</v>
      </c>
      <c r="L968" s="1" t="s">
        <v>28</v>
      </c>
      <c r="M968" s="1" t="s">
        <v>61</v>
      </c>
      <c r="N968" s="1" t="s">
        <v>62</v>
      </c>
      <c r="O968" s="1" t="s">
        <v>31</v>
      </c>
      <c r="P968" s="2">
        <v>45726</v>
      </c>
      <c r="Q968" s="1" t="s">
        <v>1012</v>
      </c>
      <c r="R968" s="1" t="s">
        <v>2139</v>
      </c>
      <c r="S968" s="1" t="s">
        <v>65</v>
      </c>
      <c r="T968" s="1" t="s">
        <v>35</v>
      </c>
      <c r="U968" s="1" t="s">
        <v>55</v>
      </c>
      <c r="V968" s="1" t="s">
        <v>37</v>
      </c>
      <c r="W968">
        <v>2</v>
      </c>
      <c r="X968" s="1" t="str">
        <f t="shared" si="45"/>
        <v>mateo.vargas175@mail.com</v>
      </c>
      <c r="Y968" s="1" t="str">
        <f>INDEX(V:V,MATCH(orders_desnormalizado_prueba3[[#This Row],[acquisition_channel]],U:U,0))</f>
        <v>Bodega Propia CO - envio 2-3 dias</v>
      </c>
      <c r="Z968" s="1" t="str">
        <f>INDEX(T:T,MATCH(orders_desnormalizado_prueba3[[#This Row],[shipping_cost]],W:W,0))</f>
        <v>Colombia</v>
      </c>
      <c r="AA968" s="1" t="str">
        <f t="shared" si="46"/>
        <v>Barranquilla</v>
      </c>
      <c r="AB968" s="1"/>
      <c r="AC968" s="1" t="str">
        <f t="shared" si="47"/>
        <v xml:space="preserve"> </v>
      </c>
    </row>
    <row r="969" spans="1:29" x14ac:dyDescent="0.3">
      <c r="A969" s="1" t="s">
        <v>2140</v>
      </c>
      <c r="B969">
        <v>3</v>
      </c>
      <c r="C969">
        <v>30.99</v>
      </c>
      <c r="D969">
        <v>75.11</v>
      </c>
      <c r="E969" s="1" t="s">
        <v>1359</v>
      </c>
      <c r="F969" s="1" t="s">
        <v>188</v>
      </c>
      <c r="G969">
        <v>0</v>
      </c>
      <c r="H969" s="1" t="s">
        <v>96</v>
      </c>
      <c r="I969" s="1" t="s">
        <v>42</v>
      </c>
      <c r="J969">
        <v>10.5</v>
      </c>
      <c r="K969">
        <v>30.99</v>
      </c>
      <c r="L969" s="1" t="s">
        <v>28</v>
      </c>
      <c r="M969" s="1" t="s">
        <v>43</v>
      </c>
      <c r="N969" s="1" t="s">
        <v>44</v>
      </c>
      <c r="O969" s="1" t="s">
        <v>31</v>
      </c>
      <c r="P969" s="2">
        <v>45823</v>
      </c>
      <c r="Q969" s="1" t="s">
        <v>738</v>
      </c>
      <c r="R969" s="1" t="s">
        <v>739</v>
      </c>
      <c r="S969" s="1" t="s">
        <v>34</v>
      </c>
      <c r="T969" s="1" t="s">
        <v>35</v>
      </c>
      <c r="U969" s="1" t="s">
        <v>82</v>
      </c>
      <c r="V969" s="1" t="s">
        <v>37</v>
      </c>
      <c r="W969">
        <v>2</v>
      </c>
      <c r="X969" s="1" t="str">
        <f t="shared" si="45"/>
        <v>esteban.moreno150@mail.com</v>
      </c>
      <c r="Y969" s="1" t="str">
        <f>INDEX(V:V,MATCH(orders_desnormalizado_prueba3[[#This Row],[acquisition_channel]],U:U,0))</f>
        <v>Bodega Propia CO - envio 2-3 dias</v>
      </c>
      <c r="Z969" s="1" t="str">
        <f>INDEX(T:T,MATCH(orders_desnormalizado_prueba3[[#This Row],[shipping_cost]],W:W,0))</f>
        <v>Colombia</v>
      </c>
      <c r="AA969" s="1" t="str">
        <f t="shared" si="46"/>
        <v>Cartagena</v>
      </c>
      <c r="AB969" s="1"/>
      <c r="AC969" s="1" t="str">
        <f t="shared" si="47"/>
        <v xml:space="preserve"> </v>
      </c>
    </row>
    <row r="970" spans="1:29" x14ac:dyDescent="0.3">
      <c r="A970" s="1" t="s">
        <v>2141</v>
      </c>
      <c r="B970">
        <v>3</v>
      </c>
      <c r="C970">
        <v>21.99</v>
      </c>
      <c r="D970">
        <v>52.23</v>
      </c>
      <c r="E970" s="1" t="s">
        <v>2142</v>
      </c>
      <c r="F970" s="1" t="s">
        <v>40</v>
      </c>
      <c r="G970">
        <v>2</v>
      </c>
      <c r="H970" s="1" t="s">
        <v>26</v>
      </c>
      <c r="I970" s="1" t="s">
        <v>27</v>
      </c>
      <c r="J970">
        <v>7</v>
      </c>
      <c r="K970">
        <v>21.99</v>
      </c>
      <c r="L970" s="1" t="s">
        <v>28</v>
      </c>
      <c r="M970" s="1" t="s">
        <v>29</v>
      </c>
      <c r="N970" s="1" t="s">
        <v>30</v>
      </c>
      <c r="O970" s="1" t="s">
        <v>31</v>
      </c>
      <c r="P970" s="2">
        <v>45778</v>
      </c>
      <c r="Q970" s="1" t="s">
        <v>790</v>
      </c>
      <c r="R970" s="1" t="s">
        <v>791</v>
      </c>
      <c r="S970" s="1" t="s">
        <v>47</v>
      </c>
      <c r="T970" s="1" t="s">
        <v>35</v>
      </c>
      <c r="U970" s="1" t="s">
        <v>55</v>
      </c>
      <c r="V970" s="1" t="s">
        <v>37</v>
      </c>
      <c r="W970">
        <v>2</v>
      </c>
      <c r="X970" s="1" t="str">
        <f t="shared" si="45"/>
        <v>maria.lopez133@mail.com</v>
      </c>
      <c r="Y970" s="1" t="str">
        <f>INDEX(V:V,MATCH(orders_desnormalizado_prueba3[[#This Row],[acquisition_channel]],U:U,0))</f>
        <v>Bodega Propia CO - envio 2-3 dias</v>
      </c>
      <c r="Z970" s="1" t="str">
        <f>INDEX(T:T,MATCH(orders_desnormalizado_prueba3[[#This Row],[shipping_cost]],W:W,0))</f>
        <v>Colombia</v>
      </c>
      <c r="AA970" s="1" t="str">
        <f t="shared" si="46"/>
        <v>Medellin</v>
      </c>
      <c r="AB970" s="1"/>
      <c r="AC970" s="1" t="str">
        <f t="shared" si="47"/>
        <v xml:space="preserve"> </v>
      </c>
    </row>
    <row r="971" spans="1:29" x14ac:dyDescent="0.3">
      <c r="A971" s="1" t="s">
        <v>2143</v>
      </c>
      <c r="B971">
        <v>1</v>
      </c>
      <c r="C971">
        <v>21.99</v>
      </c>
      <c r="D971">
        <v>21.99</v>
      </c>
      <c r="E971" s="1" t="s">
        <v>1180</v>
      </c>
      <c r="F971" s="1" t="s">
        <v>40</v>
      </c>
      <c r="G971">
        <v>3</v>
      </c>
      <c r="H971" s="1" t="s">
        <v>96</v>
      </c>
      <c r="I971" s="1" t="s">
        <v>27</v>
      </c>
      <c r="J971">
        <v>7</v>
      </c>
      <c r="K971">
        <v>21.99</v>
      </c>
      <c r="L971" s="1" t="s">
        <v>28</v>
      </c>
      <c r="M971" s="1" t="s">
        <v>29</v>
      </c>
      <c r="N971" s="1" t="s">
        <v>30</v>
      </c>
      <c r="O971" s="1" t="s">
        <v>31</v>
      </c>
      <c r="P971" s="2">
        <v>45778</v>
      </c>
      <c r="Q971" s="1" t="s">
        <v>814</v>
      </c>
      <c r="R971" s="1" t="s">
        <v>891</v>
      </c>
      <c r="S971" s="1" t="s">
        <v>88</v>
      </c>
      <c r="T971" s="1" t="s">
        <v>35</v>
      </c>
      <c r="U971" s="1" t="s">
        <v>82</v>
      </c>
      <c r="V971" s="1" t="s">
        <v>37</v>
      </c>
      <c r="W971">
        <v>2</v>
      </c>
      <c r="X971" s="1" t="str">
        <f t="shared" si="45"/>
        <v>isabella.jimenez172@mail.com</v>
      </c>
      <c r="Y971" s="1" t="str">
        <f>INDEX(V:V,MATCH(orders_desnormalizado_prueba3[[#This Row],[acquisition_channel]],U:U,0))</f>
        <v>Bodega Propia CO - envio 2-3 dias</v>
      </c>
      <c r="Z971" s="1" t="str">
        <f>INDEX(T:T,MATCH(orders_desnormalizado_prueba3[[#This Row],[shipping_cost]],W:W,0))</f>
        <v>Colombia</v>
      </c>
      <c r="AA971" s="1" t="str">
        <f t="shared" si="46"/>
        <v>Barranquilla</v>
      </c>
      <c r="AB971" s="1"/>
      <c r="AC971" s="1" t="str">
        <f t="shared" si="47"/>
        <v xml:space="preserve"> </v>
      </c>
    </row>
    <row r="972" spans="1:29" x14ac:dyDescent="0.3">
      <c r="A972" s="1" t="s">
        <v>2144</v>
      </c>
      <c r="B972">
        <v>2</v>
      </c>
      <c r="C972">
        <v>34.99</v>
      </c>
      <c r="D972">
        <v>60.42</v>
      </c>
      <c r="E972" s="1" t="s">
        <v>704</v>
      </c>
      <c r="F972" s="1" t="s">
        <v>25</v>
      </c>
      <c r="G972">
        <v>8</v>
      </c>
      <c r="H972" s="1" t="s">
        <v>58</v>
      </c>
      <c r="I972" s="1" t="s">
        <v>85</v>
      </c>
      <c r="J972">
        <v>12.5</v>
      </c>
      <c r="K972">
        <v>34.99</v>
      </c>
      <c r="L972" s="1" t="s">
        <v>60</v>
      </c>
      <c r="M972" s="1" t="s">
        <v>29</v>
      </c>
      <c r="N972" s="1" t="s">
        <v>30</v>
      </c>
      <c r="O972" s="1" t="s">
        <v>31</v>
      </c>
      <c r="P972" s="2">
        <v>45778</v>
      </c>
      <c r="Q972" s="1" t="s">
        <v>1654</v>
      </c>
      <c r="R972" s="1" t="s">
        <v>2145</v>
      </c>
      <c r="S972" s="1" t="s">
        <v>34</v>
      </c>
      <c r="T972" s="1" t="s">
        <v>35</v>
      </c>
      <c r="U972" s="1" t="s">
        <v>48</v>
      </c>
      <c r="V972" s="1" t="s">
        <v>89</v>
      </c>
      <c r="W972">
        <v>2.4</v>
      </c>
      <c r="X972" s="1" t="str">
        <f t="shared" si="45"/>
        <v>miguel.torres117@mail.com</v>
      </c>
      <c r="Y972" s="1" t="str">
        <f>INDEX(V:V,MATCH(orders_desnormalizado_prueba3[[#This Row],[acquisition_channel]],U:U,0))</f>
        <v>Bodega Propia CO - envio 2-3 dias</v>
      </c>
      <c r="Z972" s="1" t="str">
        <f>INDEX(T:T,MATCH(orders_desnormalizado_prueba3[[#This Row],[shipping_cost]],W:W,0))</f>
        <v>Colombia</v>
      </c>
      <c r="AA972" s="1" t="str">
        <f t="shared" si="46"/>
        <v>Barranquilla</v>
      </c>
      <c r="AB972" s="1"/>
      <c r="AC972" s="1" t="str">
        <f t="shared" si="47"/>
        <v xml:space="preserve"> </v>
      </c>
    </row>
    <row r="973" spans="1:29" x14ac:dyDescent="0.3">
      <c r="A973" s="1" t="s">
        <v>2146</v>
      </c>
      <c r="B973">
        <v>1</v>
      </c>
      <c r="C973">
        <v>34.99</v>
      </c>
      <c r="D973">
        <v>34.99</v>
      </c>
      <c r="E973" s="1" t="s">
        <v>577</v>
      </c>
      <c r="F973" s="1" t="s">
        <v>51</v>
      </c>
      <c r="G973">
        <v>0</v>
      </c>
      <c r="H973" s="1" t="s">
        <v>58</v>
      </c>
      <c r="I973" s="1" t="s">
        <v>85</v>
      </c>
      <c r="J973">
        <v>12.5</v>
      </c>
      <c r="K973">
        <v>34.99</v>
      </c>
      <c r="L973" s="1" t="s">
        <v>60</v>
      </c>
      <c r="M973" s="1" t="s">
        <v>29</v>
      </c>
      <c r="N973" s="1" t="s">
        <v>30</v>
      </c>
      <c r="O973" s="1" t="s">
        <v>31</v>
      </c>
      <c r="P973" s="2">
        <v>45778</v>
      </c>
      <c r="Q973" s="1" t="s">
        <v>1286</v>
      </c>
      <c r="R973" s="1" t="s">
        <v>1287</v>
      </c>
      <c r="S973" s="1" t="s">
        <v>47</v>
      </c>
      <c r="T973" s="1" t="s">
        <v>35</v>
      </c>
      <c r="U973" s="1" t="s">
        <v>66</v>
      </c>
      <c r="V973" s="1" t="s">
        <v>89</v>
      </c>
      <c r="W973">
        <v>2.4</v>
      </c>
      <c r="X973" s="1" t="str">
        <f t="shared" si="45"/>
        <v>nicolas.sanchez19@mail.com</v>
      </c>
      <c r="Y973" s="1" t="str">
        <f>INDEX(V:V,MATCH(orders_desnormalizado_prueba3[[#This Row],[acquisition_channel]],U:U,0))</f>
        <v>AliDropship CN - envio 15-20 dias</v>
      </c>
      <c r="Z973" s="1" t="str">
        <f>INDEX(T:T,MATCH(orders_desnormalizado_prueba3[[#This Row],[shipping_cost]],W:W,0))</f>
        <v>Colombia</v>
      </c>
      <c r="AA973" s="1" t="str">
        <f t="shared" si="46"/>
        <v>Cartagena</v>
      </c>
      <c r="AB973" s="1"/>
      <c r="AC973" s="1" t="str">
        <f t="shared" si="47"/>
        <v xml:space="preserve"> </v>
      </c>
    </row>
    <row r="974" spans="1:29" x14ac:dyDescent="0.3">
      <c r="A974" s="1" t="s">
        <v>2147</v>
      </c>
      <c r="B974">
        <v>1</v>
      </c>
      <c r="C974">
        <v>18.989999999999998</v>
      </c>
      <c r="D974">
        <v>18.989999999999998</v>
      </c>
      <c r="E974" s="1" t="s">
        <v>929</v>
      </c>
      <c r="F974" s="1" t="s">
        <v>40</v>
      </c>
      <c r="G974">
        <v>10</v>
      </c>
      <c r="H974" s="1" t="s">
        <v>41</v>
      </c>
      <c r="I974" s="1" t="s">
        <v>97</v>
      </c>
      <c r="J974">
        <v>6</v>
      </c>
      <c r="K974">
        <v>18.989999999999998</v>
      </c>
      <c r="L974" s="1" t="s">
        <v>60</v>
      </c>
      <c r="M974" s="1" t="s">
        <v>43</v>
      </c>
      <c r="N974" s="1" t="s">
        <v>44</v>
      </c>
      <c r="O974" s="1" t="s">
        <v>31</v>
      </c>
      <c r="P974" s="2">
        <v>45823</v>
      </c>
      <c r="Q974" s="1" t="s">
        <v>1097</v>
      </c>
      <c r="R974" s="1" t="s">
        <v>1098</v>
      </c>
      <c r="S974" s="1" t="s">
        <v>65</v>
      </c>
      <c r="T974" s="1" t="s">
        <v>35</v>
      </c>
      <c r="U974" s="1" t="s">
        <v>48</v>
      </c>
      <c r="V974" s="1" t="s">
        <v>100</v>
      </c>
      <c r="W974">
        <v>3.2</v>
      </c>
      <c r="X974" s="1" t="str">
        <f t="shared" si="45"/>
        <v>isabella.rodriguez3@mail.com</v>
      </c>
      <c r="Y974" s="1" t="str">
        <f>INDEX(V:V,MATCH(orders_desnormalizado_prueba3[[#This Row],[acquisition_channel]],U:U,0))</f>
        <v>Bodega Propia CO - envio 2-3 dias</v>
      </c>
      <c r="Z974" s="1" t="str">
        <f>INDEX(T:T,MATCH(orders_desnormalizado_prueba3[[#This Row],[shipping_cost]],W:W,0))</f>
        <v>Colombia</v>
      </c>
      <c r="AA974" s="1" t="str">
        <f t="shared" si="46"/>
        <v>Bogota</v>
      </c>
      <c r="AB974" s="1"/>
      <c r="AC974" s="1" t="str">
        <f t="shared" si="47"/>
        <v xml:space="preserve"> </v>
      </c>
    </row>
    <row r="975" spans="1:29" x14ac:dyDescent="0.3">
      <c r="A975" s="1" t="s">
        <v>2148</v>
      </c>
      <c r="B975">
        <v>3</v>
      </c>
      <c r="C975">
        <v>34.99</v>
      </c>
      <c r="D975">
        <v>84.02</v>
      </c>
      <c r="E975" s="1" t="s">
        <v>2149</v>
      </c>
      <c r="F975" s="1" t="s">
        <v>40</v>
      </c>
      <c r="G975">
        <v>5</v>
      </c>
      <c r="H975" s="1" t="s">
        <v>41</v>
      </c>
      <c r="I975" s="1" t="s">
        <v>85</v>
      </c>
      <c r="J975">
        <v>12.5</v>
      </c>
      <c r="K975">
        <v>34.99</v>
      </c>
      <c r="L975" s="1" t="s">
        <v>60</v>
      </c>
      <c r="M975" s="1" t="s">
        <v>29</v>
      </c>
      <c r="N975" s="1" t="s">
        <v>30</v>
      </c>
      <c r="O975" s="1" t="s">
        <v>31</v>
      </c>
      <c r="P975" s="2">
        <v>45778</v>
      </c>
      <c r="Q975" s="1" t="s">
        <v>266</v>
      </c>
      <c r="R975" s="1" t="s">
        <v>764</v>
      </c>
      <c r="S975" s="1" t="s">
        <v>105</v>
      </c>
      <c r="T975" s="1" t="s">
        <v>35</v>
      </c>
      <c r="U975" s="1" t="s">
        <v>36</v>
      </c>
      <c r="V975" s="1" t="s">
        <v>89</v>
      </c>
      <c r="W975">
        <v>2.4</v>
      </c>
      <c r="X975" s="1" t="str">
        <f t="shared" si="45"/>
        <v>alejandro.rodriguez7@mail.com</v>
      </c>
      <c r="Y975" s="1" t="str">
        <f>INDEX(V:V,MATCH(orders_desnormalizado_prueba3[[#This Row],[acquisition_channel]],U:U,0))</f>
        <v>Bodega Propia CO - envio 2-3 dias</v>
      </c>
      <c r="Z975" s="1" t="str">
        <f>INDEX(T:T,MATCH(orders_desnormalizado_prueba3[[#This Row],[shipping_cost]],W:W,0))</f>
        <v>Colombia</v>
      </c>
      <c r="AA975" s="1" t="str">
        <f t="shared" si="46"/>
        <v>Cali</v>
      </c>
      <c r="AB975" s="1"/>
      <c r="AC975" s="1" t="str">
        <f t="shared" si="47"/>
        <v xml:space="preserve"> </v>
      </c>
    </row>
    <row r="976" spans="1:29" x14ac:dyDescent="0.3">
      <c r="A976" s="1" t="s">
        <v>2150</v>
      </c>
      <c r="B976">
        <v>2</v>
      </c>
      <c r="C976">
        <v>30.99</v>
      </c>
      <c r="D976">
        <v>54.22</v>
      </c>
      <c r="E976" s="1" t="s">
        <v>2151</v>
      </c>
      <c r="F976" s="1" t="s">
        <v>40</v>
      </c>
      <c r="G976">
        <v>3</v>
      </c>
      <c r="H976" s="1" t="s">
        <v>26</v>
      </c>
      <c r="I976" s="1" t="s">
        <v>42</v>
      </c>
      <c r="J976">
        <v>10.5</v>
      </c>
      <c r="K976">
        <v>30.99</v>
      </c>
      <c r="L976" s="1" t="s">
        <v>28</v>
      </c>
      <c r="M976" s="1" t="s">
        <v>43</v>
      </c>
      <c r="N976" s="1" t="s">
        <v>44</v>
      </c>
      <c r="O976" s="1" t="s">
        <v>31</v>
      </c>
      <c r="P976" s="2">
        <v>45823</v>
      </c>
      <c r="Q976" s="1" t="s">
        <v>1119</v>
      </c>
      <c r="R976" s="1" t="s">
        <v>1120</v>
      </c>
      <c r="S976" s="1" t="s">
        <v>34</v>
      </c>
      <c r="T976" s="1" t="s">
        <v>35</v>
      </c>
      <c r="U976" s="1" t="s">
        <v>66</v>
      </c>
      <c r="V976" s="1" t="s">
        <v>37</v>
      </c>
      <c r="W976">
        <v>2</v>
      </c>
      <c r="X976" s="1" t="str">
        <f t="shared" si="45"/>
        <v>laura.ortiz181@mail.com</v>
      </c>
      <c r="Y976" s="1" t="str">
        <f>INDEX(V:V,MATCH(orders_desnormalizado_prueba3[[#This Row],[acquisition_channel]],U:U,0))</f>
        <v>AliDropship CN - envio 15-20 dias</v>
      </c>
      <c r="Z976" s="1" t="str">
        <f>INDEX(T:T,MATCH(orders_desnormalizado_prueba3[[#This Row],[shipping_cost]],W:W,0))</f>
        <v>Colombia</v>
      </c>
      <c r="AA976" s="1" t="str">
        <f t="shared" si="46"/>
        <v>Barranquilla</v>
      </c>
      <c r="AB976" s="1"/>
      <c r="AC976" s="1" t="str">
        <f t="shared" si="47"/>
        <v xml:space="preserve"> </v>
      </c>
    </row>
    <row r="977" spans="1:29" x14ac:dyDescent="0.3">
      <c r="A977" s="1" t="s">
        <v>2152</v>
      </c>
      <c r="B977">
        <v>3</v>
      </c>
      <c r="C977">
        <v>34.99</v>
      </c>
      <c r="D977">
        <v>84.97</v>
      </c>
      <c r="E977" s="1" t="s">
        <v>1156</v>
      </c>
      <c r="F977" s="1" t="s">
        <v>188</v>
      </c>
      <c r="G977">
        <v>0</v>
      </c>
      <c r="H977" s="1" t="s">
        <v>41</v>
      </c>
      <c r="I977" s="1" t="s">
        <v>85</v>
      </c>
      <c r="J977">
        <v>12.5</v>
      </c>
      <c r="K977">
        <v>34.99</v>
      </c>
      <c r="L977" s="1" t="s">
        <v>60</v>
      </c>
      <c r="M977" s="1" t="s">
        <v>29</v>
      </c>
      <c r="N977" s="1" t="s">
        <v>30</v>
      </c>
      <c r="O977" s="1" t="s">
        <v>31</v>
      </c>
      <c r="P977" s="2">
        <v>45778</v>
      </c>
      <c r="Q977" s="1" t="s">
        <v>1028</v>
      </c>
      <c r="R977" s="1" t="s">
        <v>1029</v>
      </c>
      <c r="S977" s="1" t="s">
        <v>105</v>
      </c>
      <c r="T977" s="1" t="s">
        <v>35</v>
      </c>
      <c r="U977" s="1" t="s">
        <v>36</v>
      </c>
      <c r="V977" s="1" t="s">
        <v>89</v>
      </c>
      <c r="W977">
        <v>2.4</v>
      </c>
      <c r="X977" s="1" t="str">
        <f t="shared" si="45"/>
        <v>miguel.martinez162@mail.com</v>
      </c>
      <c r="Y977" s="1" t="str">
        <f>INDEX(V:V,MATCH(orders_desnormalizado_prueba3[[#This Row],[acquisition_channel]],U:U,0))</f>
        <v>Bodega Propia CO - envio 2-3 dias</v>
      </c>
      <c r="Z977" s="1" t="str">
        <f>INDEX(T:T,MATCH(orders_desnormalizado_prueba3[[#This Row],[shipping_cost]],W:W,0))</f>
        <v>Colombia</v>
      </c>
      <c r="AA977" s="1" t="str">
        <f t="shared" si="46"/>
        <v>Cartagena</v>
      </c>
      <c r="AB977" s="1"/>
      <c r="AC977" s="1" t="str">
        <f t="shared" si="47"/>
        <v xml:space="preserve"> </v>
      </c>
    </row>
    <row r="978" spans="1:29" x14ac:dyDescent="0.3">
      <c r="A978" s="1" t="s">
        <v>2153</v>
      </c>
      <c r="B978">
        <v>1</v>
      </c>
      <c r="C978">
        <v>30.99</v>
      </c>
      <c r="D978">
        <v>30.99</v>
      </c>
      <c r="E978" s="1" t="s">
        <v>84</v>
      </c>
      <c r="F978" s="1" t="s">
        <v>40</v>
      </c>
      <c r="G978">
        <v>2</v>
      </c>
      <c r="H978" s="1" t="s">
        <v>26</v>
      </c>
      <c r="I978" s="1" t="s">
        <v>42</v>
      </c>
      <c r="J978">
        <v>10.5</v>
      </c>
      <c r="K978">
        <v>30.99</v>
      </c>
      <c r="L978" s="1" t="s">
        <v>28</v>
      </c>
      <c r="M978" s="1" t="s">
        <v>43</v>
      </c>
      <c r="N978" s="1" t="s">
        <v>44</v>
      </c>
      <c r="O978" s="1" t="s">
        <v>31</v>
      </c>
      <c r="P978" s="2">
        <v>45823</v>
      </c>
      <c r="Q978" s="1" t="s">
        <v>1899</v>
      </c>
      <c r="R978" s="1" t="s">
        <v>1900</v>
      </c>
      <c r="S978" s="1" t="s">
        <v>65</v>
      </c>
      <c r="T978" s="1" t="s">
        <v>35</v>
      </c>
      <c r="U978" s="1" t="s">
        <v>48</v>
      </c>
      <c r="V978" s="1" t="s">
        <v>37</v>
      </c>
      <c r="W978">
        <v>2</v>
      </c>
      <c r="X978" s="1" t="str">
        <f t="shared" si="45"/>
        <v>felipe.sanchez44@mail.com</v>
      </c>
      <c r="Y978" s="1" t="str">
        <f>INDEX(V:V,MATCH(orders_desnormalizado_prueba3[[#This Row],[acquisition_channel]],U:U,0))</f>
        <v>Bodega Propia CO - envio 2-3 dias</v>
      </c>
      <c r="Z978" s="1" t="str">
        <f>INDEX(T:T,MATCH(orders_desnormalizado_prueba3[[#This Row],[shipping_cost]],W:W,0))</f>
        <v>Colombia</v>
      </c>
      <c r="AA978" s="1" t="str">
        <f t="shared" si="46"/>
        <v>Medellin</v>
      </c>
      <c r="AB978" s="1"/>
      <c r="AC978" s="1" t="str">
        <f t="shared" si="47"/>
        <v xml:space="preserve"> </v>
      </c>
    </row>
    <row r="979" spans="1:29" x14ac:dyDescent="0.3">
      <c r="A979" s="1" t="s">
        <v>2154</v>
      </c>
      <c r="B979">
        <v>3</v>
      </c>
      <c r="C979">
        <v>18.989999999999998</v>
      </c>
      <c r="D979">
        <v>44.98</v>
      </c>
      <c r="E979" s="1" t="s">
        <v>1411</v>
      </c>
      <c r="F979" s="1" t="s">
        <v>70</v>
      </c>
      <c r="G979">
        <v>0</v>
      </c>
      <c r="H979" s="1" t="s">
        <v>41</v>
      </c>
      <c r="I979" s="1" t="s">
        <v>97</v>
      </c>
      <c r="J979">
        <v>6</v>
      </c>
      <c r="K979">
        <v>18.989999999999998</v>
      </c>
      <c r="L979" s="1" t="s">
        <v>60</v>
      </c>
      <c r="M979" s="1" t="s">
        <v>43</v>
      </c>
      <c r="N979" s="1" t="s">
        <v>44</v>
      </c>
      <c r="O979" s="1" t="s">
        <v>31</v>
      </c>
      <c r="P979" s="2">
        <v>45823</v>
      </c>
      <c r="Q979" s="1" t="s">
        <v>1421</v>
      </c>
      <c r="R979" s="1" t="s">
        <v>1422</v>
      </c>
      <c r="S979" s="1" t="s">
        <v>105</v>
      </c>
      <c r="T979" s="1" t="s">
        <v>35</v>
      </c>
      <c r="U979" s="1" t="s">
        <v>82</v>
      </c>
      <c r="V979" s="1" t="s">
        <v>100</v>
      </c>
      <c r="W979">
        <v>3.2</v>
      </c>
      <c r="X979" s="1" t="str">
        <f t="shared" si="45"/>
        <v>camila.jimenez104@mail.com</v>
      </c>
      <c r="Y979" s="1" t="str">
        <f>INDEX(V:V,MATCH(orders_desnormalizado_prueba3[[#This Row],[acquisition_channel]],U:U,0))</f>
        <v>Bodega Propia CO - envio 2-3 dias</v>
      </c>
      <c r="Z979" s="1" t="str">
        <f>INDEX(T:T,MATCH(orders_desnormalizado_prueba3[[#This Row],[shipping_cost]],W:W,0))</f>
        <v>Colombia</v>
      </c>
      <c r="AA979" s="1" t="str">
        <f t="shared" si="46"/>
        <v>Cartagena</v>
      </c>
      <c r="AB979" s="1"/>
      <c r="AC979" s="1" t="str">
        <f t="shared" si="47"/>
        <v xml:space="preserve"> </v>
      </c>
    </row>
    <row r="980" spans="1:29" x14ac:dyDescent="0.3">
      <c r="A980" s="1" t="s">
        <v>2155</v>
      </c>
      <c r="B980">
        <v>1</v>
      </c>
      <c r="C980">
        <v>27.99</v>
      </c>
      <c r="D980">
        <v>27.99</v>
      </c>
      <c r="E980" s="1" t="s">
        <v>2156</v>
      </c>
      <c r="F980" s="1" t="s">
        <v>51</v>
      </c>
      <c r="G980">
        <v>0</v>
      </c>
      <c r="H980" s="1" t="s">
        <v>26</v>
      </c>
      <c r="I980" s="1" t="s">
        <v>75</v>
      </c>
      <c r="J980">
        <v>9</v>
      </c>
      <c r="K980">
        <v>27.99</v>
      </c>
      <c r="L980" s="1" t="s">
        <v>28</v>
      </c>
      <c r="M980" s="1" t="s">
        <v>61</v>
      </c>
      <c r="N980" s="1" t="s">
        <v>62</v>
      </c>
      <c r="O980" s="1" t="s">
        <v>31</v>
      </c>
      <c r="P980" s="2">
        <v>45726</v>
      </c>
      <c r="Q980" s="1" t="s">
        <v>1401</v>
      </c>
      <c r="R980" s="1" t="s">
        <v>1632</v>
      </c>
      <c r="S980" s="1" t="s">
        <v>88</v>
      </c>
      <c r="T980" s="1" t="s">
        <v>35</v>
      </c>
      <c r="U980" s="1" t="s">
        <v>36</v>
      </c>
      <c r="V980" s="1" t="s">
        <v>37</v>
      </c>
      <c r="W980">
        <v>2</v>
      </c>
      <c r="X980" s="1" t="str">
        <f t="shared" si="45"/>
        <v>nicolas.ramirez77@mail.com</v>
      </c>
      <c r="Y980" s="1" t="str">
        <f>INDEX(V:V,MATCH(orders_desnormalizado_prueba3[[#This Row],[acquisition_channel]],U:U,0))</f>
        <v>Bodega Propia CO - envio 2-3 dias</v>
      </c>
      <c r="Z980" s="1" t="str">
        <f>INDEX(T:T,MATCH(orders_desnormalizado_prueba3[[#This Row],[shipping_cost]],W:W,0))</f>
        <v>Colombia</v>
      </c>
      <c r="AA980" s="1" t="str">
        <f t="shared" si="46"/>
        <v>Cartagena</v>
      </c>
      <c r="AB980" s="1"/>
      <c r="AC980" s="1" t="str">
        <f t="shared" si="47"/>
        <v xml:space="preserve"> </v>
      </c>
    </row>
    <row r="981" spans="1:29" x14ac:dyDescent="0.3">
      <c r="A981" s="1" t="s">
        <v>2157</v>
      </c>
      <c r="B981">
        <v>1</v>
      </c>
      <c r="C981">
        <v>27.99</v>
      </c>
      <c r="D981">
        <v>27.99</v>
      </c>
      <c r="E981" s="1" t="s">
        <v>1207</v>
      </c>
      <c r="F981" s="1" t="s">
        <v>51</v>
      </c>
      <c r="G981">
        <v>0</v>
      </c>
      <c r="H981" s="1" t="s">
        <v>58</v>
      </c>
      <c r="I981" s="1" t="s">
        <v>75</v>
      </c>
      <c r="J981">
        <v>9</v>
      </c>
      <c r="K981">
        <v>27.99</v>
      </c>
      <c r="L981" s="1" t="s">
        <v>28</v>
      </c>
      <c r="M981" s="1" t="s">
        <v>61</v>
      </c>
      <c r="N981" s="1" t="s">
        <v>62</v>
      </c>
      <c r="O981" s="1" t="s">
        <v>31</v>
      </c>
      <c r="P981" s="2">
        <v>45726</v>
      </c>
      <c r="Q981" s="1" t="s">
        <v>589</v>
      </c>
      <c r="R981" s="1" t="s">
        <v>2158</v>
      </c>
      <c r="S981" s="1" t="s">
        <v>34</v>
      </c>
      <c r="T981" s="1" t="s">
        <v>35</v>
      </c>
      <c r="U981" s="1" t="s">
        <v>82</v>
      </c>
      <c r="V981" s="1" t="s">
        <v>37</v>
      </c>
      <c r="W981">
        <v>2</v>
      </c>
      <c r="X981" s="1" t="str">
        <f t="shared" si="45"/>
        <v>natalia.perez25@mail.com</v>
      </c>
      <c r="Y981" s="1" t="str">
        <f>INDEX(V:V,MATCH(orders_desnormalizado_prueba3[[#This Row],[acquisition_channel]],U:U,0))</f>
        <v>Bodega Propia CO - envio 2-3 dias</v>
      </c>
      <c r="Z981" s="1" t="str">
        <f>INDEX(T:T,MATCH(orders_desnormalizado_prueba3[[#This Row],[shipping_cost]],W:W,0))</f>
        <v>Colombia</v>
      </c>
      <c r="AA981" s="1" t="str">
        <f t="shared" si="46"/>
        <v>Cartagena</v>
      </c>
      <c r="AB981" s="1"/>
      <c r="AC981" s="1" t="str">
        <f t="shared" si="47"/>
        <v xml:space="preserve"> </v>
      </c>
    </row>
    <row r="982" spans="1:29" x14ac:dyDescent="0.3">
      <c r="A982" s="1" t="s">
        <v>2159</v>
      </c>
      <c r="B982">
        <v>3</v>
      </c>
      <c r="C982">
        <v>21.99</v>
      </c>
      <c r="D982">
        <v>52.52</v>
      </c>
      <c r="E982" s="1" t="s">
        <v>1807</v>
      </c>
      <c r="F982" s="1" t="s">
        <v>70</v>
      </c>
      <c r="G982">
        <v>0</v>
      </c>
      <c r="H982" s="1" t="s">
        <v>58</v>
      </c>
      <c r="I982" s="1" t="s">
        <v>27</v>
      </c>
      <c r="J982">
        <v>7</v>
      </c>
      <c r="K982">
        <v>21.99</v>
      </c>
      <c r="L982" s="1" t="s">
        <v>28</v>
      </c>
      <c r="M982" s="1" t="s">
        <v>29</v>
      </c>
      <c r="N982" s="1" t="s">
        <v>30</v>
      </c>
      <c r="O982" s="1" t="s">
        <v>31</v>
      </c>
      <c r="P982" s="2">
        <v>45778</v>
      </c>
      <c r="Q982" s="1" t="s">
        <v>1175</v>
      </c>
      <c r="R982" s="1" t="s">
        <v>1176</v>
      </c>
      <c r="S982" s="1" t="s">
        <v>34</v>
      </c>
      <c r="T982" s="1" t="s">
        <v>35</v>
      </c>
      <c r="U982" s="1" t="s">
        <v>48</v>
      </c>
      <c r="V982" s="1" t="s">
        <v>37</v>
      </c>
      <c r="W982">
        <v>2</v>
      </c>
      <c r="X982" s="1" t="str">
        <f t="shared" si="45"/>
        <v>paula.ortiz107@mail.com</v>
      </c>
      <c r="Y982" s="1" t="str">
        <f>INDEX(V:V,MATCH(orders_desnormalizado_prueba3[[#This Row],[acquisition_channel]],U:U,0))</f>
        <v>Bodega Propia CO - envio 2-3 dias</v>
      </c>
      <c r="Z982" s="1" t="str">
        <f>INDEX(T:T,MATCH(orders_desnormalizado_prueba3[[#This Row],[shipping_cost]],W:W,0))</f>
        <v>Colombia</v>
      </c>
      <c r="AA982" s="1" t="str">
        <f t="shared" si="46"/>
        <v>Cartagena</v>
      </c>
      <c r="AB982" s="1"/>
      <c r="AC982" s="1" t="str">
        <f t="shared" si="47"/>
        <v xml:space="preserve"> </v>
      </c>
    </row>
    <row r="983" spans="1:29" x14ac:dyDescent="0.3">
      <c r="A983" s="1" t="s">
        <v>2160</v>
      </c>
      <c r="B983">
        <v>1</v>
      </c>
      <c r="C983">
        <v>30.99</v>
      </c>
      <c r="D983">
        <v>30.99</v>
      </c>
      <c r="E983" s="1" t="s">
        <v>1626</v>
      </c>
      <c r="F983" s="1" t="s">
        <v>25</v>
      </c>
      <c r="G983">
        <v>3</v>
      </c>
      <c r="H983" s="1" t="s">
        <v>58</v>
      </c>
      <c r="I983" s="1" t="s">
        <v>42</v>
      </c>
      <c r="J983">
        <v>10.5</v>
      </c>
      <c r="K983">
        <v>30.99</v>
      </c>
      <c r="L983" s="1" t="s">
        <v>28</v>
      </c>
      <c r="M983" s="1" t="s">
        <v>43</v>
      </c>
      <c r="N983" s="1" t="s">
        <v>44</v>
      </c>
      <c r="O983" s="1" t="s">
        <v>31</v>
      </c>
      <c r="P983" s="2">
        <v>45823</v>
      </c>
      <c r="Q983" s="1" t="s">
        <v>1512</v>
      </c>
      <c r="R983" s="1" t="s">
        <v>1513</v>
      </c>
      <c r="S983" s="1" t="s">
        <v>88</v>
      </c>
      <c r="T983" s="1" t="s">
        <v>35</v>
      </c>
      <c r="U983" s="1" t="s">
        <v>36</v>
      </c>
      <c r="V983" s="1" t="s">
        <v>37</v>
      </c>
      <c r="W983">
        <v>2</v>
      </c>
      <c r="X983" s="1" t="str">
        <f t="shared" si="45"/>
        <v>paula.castro13@mail.com</v>
      </c>
      <c r="Y983" s="1" t="str">
        <f>INDEX(V:V,MATCH(orders_desnormalizado_prueba3[[#This Row],[acquisition_channel]],U:U,0))</f>
        <v>Bodega Propia CO - envio 2-3 dias</v>
      </c>
      <c r="Z983" s="1" t="str">
        <f>INDEX(T:T,MATCH(orders_desnormalizado_prueba3[[#This Row],[shipping_cost]],W:W,0))</f>
        <v>Colombia</v>
      </c>
      <c r="AA983" s="1" t="str">
        <f t="shared" si="46"/>
        <v>Barranquilla</v>
      </c>
      <c r="AB983" s="1"/>
      <c r="AC983" s="1" t="str">
        <f t="shared" si="47"/>
        <v xml:space="preserve"> </v>
      </c>
    </row>
    <row r="984" spans="1:29" x14ac:dyDescent="0.3">
      <c r="A984" s="1" t="s">
        <v>2161</v>
      </c>
      <c r="B984">
        <v>1</v>
      </c>
      <c r="C984">
        <v>30.99</v>
      </c>
      <c r="D984">
        <v>30.99</v>
      </c>
      <c r="E984" s="1" t="s">
        <v>2162</v>
      </c>
      <c r="F984" s="1" t="s">
        <v>25</v>
      </c>
      <c r="G984">
        <v>2</v>
      </c>
      <c r="H984" s="1" t="s">
        <v>26</v>
      </c>
      <c r="I984" s="1" t="s">
        <v>42</v>
      </c>
      <c r="J984">
        <v>10.5</v>
      </c>
      <c r="K984">
        <v>30.99</v>
      </c>
      <c r="L984" s="1" t="s">
        <v>28</v>
      </c>
      <c r="M984" s="1" t="s">
        <v>43</v>
      </c>
      <c r="N984" s="1" t="s">
        <v>44</v>
      </c>
      <c r="O984" s="1" t="s">
        <v>31</v>
      </c>
      <c r="P984" s="2">
        <v>45823</v>
      </c>
      <c r="Q984" s="1" t="s">
        <v>1593</v>
      </c>
      <c r="R984" s="1" t="s">
        <v>1594</v>
      </c>
      <c r="S984" s="1" t="s">
        <v>47</v>
      </c>
      <c r="T984" s="1" t="s">
        <v>35</v>
      </c>
      <c r="U984" s="1" t="s">
        <v>48</v>
      </c>
      <c r="V984" s="1" t="s">
        <v>37</v>
      </c>
      <c r="W984">
        <v>2</v>
      </c>
      <c r="X984" s="1" t="str">
        <f t="shared" si="45"/>
        <v>sofia.martinez113@mail.com</v>
      </c>
      <c r="Y984" s="1" t="str">
        <f>INDEX(V:V,MATCH(orders_desnormalizado_prueba3[[#This Row],[acquisition_channel]],U:U,0))</f>
        <v>Bodega Propia CO - envio 2-3 dias</v>
      </c>
      <c r="Z984" s="1" t="str">
        <f>INDEX(T:T,MATCH(orders_desnormalizado_prueba3[[#This Row],[shipping_cost]],W:W,0))</f>
        <v>Colombia</v>
      </c>
      <c r="AA984" s="1" t="str">
        <f t="shared" si="46"/>
        <v>Medellin</v>
      </c>
      <c r="AB984" s="1"/>
      <c r="AC984" s="1" t="str">
        <f t="shared" si="47"/>
        <v xml:space="preserve"> </v>
      </c>
    </row>
    <row r="985" spans="1:29" x14ac:dyDescent="0.3">
      <c r="A985" s="1" t="s">
        <v>2163</v>
      </c>
      <c r="B985">
        <v>1</v>
      </c>
      <c r="C985">
        <v>27.99</v>
      </c>
      <c r="D985">
        <v>27.99</v>
      </c>
      <c r="E985" s="1" t="s">
        <v>2164</v>
      </c>
      <c r="F985" s="1" t="s">
        <v>51</v>
      </c>
      <c r="G985">
        <v>0</v>
      </c>
      <c r="H985" s="1" t="s">
        <v>58</v>
      </c>
      <c r="I985" s="1" t="s">
        <v>75</v>
      </c>
      <c r="J985">
        <v>9</v>
      </c>
      <c r="K985">
        <v>27.99</v>
      </c>
      <c r="L985" s="1" t="s">
        <v>28</v>
      </c>
      <c r="M985" s="1" t="s">
        <v>61</v>
      </c>
      <c r="N985" s="1" t="s">
        <v>62</v>
      </c>
      <c r="O985" s="1" t="s">
        <v>31</v>
      </c>
      <c r="P985" s="2">
        <v>45726</v>
      </c>
      <c r="Q985" s="1" t="s">
        <v>1940</v>
      </c>
      <c r="R985" s="1" t="s">
        <v>2165</v>
      </c>
      <c r="S985" s="1" t="s">
        <v>65</v>
      </c>
      <c r="T985" s="1" t="s">
        <v>35</v>
      </c>
      <c r="U985" s="1" t="s">
        <v>36</v>
      </c>
      <c r="V985" s="1" t="s">
        <v>37</v>
      </c>
      <c r="W985">
        <v>2</v>
      </c>
      <c r="X985" s="1" t="str">
        <f t="shared" si="45"/>
        <v>carlos.ramirez199@mail.com</v>
      </c>
      <c r="Y985" s="1" t="str">
        <f>INDEX(V:V,MATCH(orders_desnormalizado_prueba3[[#This Row],[acquisition_channel]],U:U,0))</f>
        <v>Bodega Propia CO - envio 2-3 dias</v>
      </c>
      <c r="Z985" s="1" t="str">
        <f>INDEX(T:T,MATCH(orders_desnormalizado_prueba3[[#This Row],[shipping_cost]],W:W,0))</f>
        <v>Colombia</v>
      </c>
      <c r="AA985" s="1" t="str">
        <f t="shared" si="46"/>
        <v>Cartagena</v>
      </c>
      <c r="AB985" s="1"/>
      <c r="AC985" s="1" t="str">
        <f t="shared" si="47"/>
        <v xml:space="preserve"> </v>
      </c>
    </row>
    <row r="986" spans="1:29" x14ac:dyDescent="0.3">
      <c r="A986" s="1" t="s">
        <v>2166</v>
      </c>
      <c r="B986">
        <v>1</v>
      </c>
      <c r="C986">
        <v>27.99</v>
      </c>
      <c r="D986">
        <v>27.99</v>
      </c>
      <c r="E986" s="1" t="s">
        <v>2167</v>
      </c>
      <c r="F986" s="1" t="s">
        <v>40</v>
      </c>
      <c r="G986">
        <v>2</v>
      </c>
      <c r="H986" s="1" t="s">
        <v>41</v>
      </c>
      <c r="I986" s="1" t="s">
        <v>75</v>
      </c>
      <c r="J986">
        <v>9</v>
      </c>
      <c r="K986">
        <v>27.99</v>
      </c>
      <c r="L986" s="1" t="s">
        <v>28</v>
      </c>
      <c r="M986" s="1" t="s">
        <v>61</v>
      </c>
      <c r="N986" s="1" t="s">
        <v>62</v>
      </c>
      <c r="O986" s="1" t="s">
        <v>31</v>
      </c>
      <c r="P986" s="2">
        <v>45726</v>
      </c>
      <c r="Q986" s="1" t="s">
        <v>960</v>
      </c>
      <c r="R986" s="1" t="s">
        <v>961</v>
      </c>
      <c r="S986" s="1" t="s">
        <v>47</v>
      </c>
      <c r="T986" s="1" t="s">
        <v>35</v>
      </c>
      <c r="U986" s="1" t="s">
        <v>48</v>
      </c>
      <c r="V986" s="1" t="s">
        <v>37</v>
      </c>
      <c r="W986">
        <v>2</v>
      </c>
      <c r="X986" s="1" t="str">
        <f t="shared" si="45"/>
        <v>ximena.jimenez193@mail.com</v>
      </c>
      <c r="Y986" s="1" t="str">
        <f>INDEX(V:V,MATCH(orders_desnormalizado_prueba3[[#This Row],[acquisition_channel]],U:U,0))</f>
        <v>Bodega Propia CO - envio 2-3 dias</v>
      </c>
      <c r="Z986" s="1" t="str">
        <f>INDEX(T:T,MATCH(orders_desnormalizado_prueba3[[#This Row],[shipping_cost]],W:W,0))</f>
        <v>Colombia</v>
      </c>
      <c r="AA986" s="1" t="str">
        <f t="shared" si="46"/>
        <v>Medellin</v>
      </c>
      <c r="AB986" s="1"/>
      <c r="AC986" s="1" t="str">
        <f t="shared" si="47"/>
        <v xml:space="preserve"> </v>
      </c>
    </row>
    <row r="987" spans="1:29" x14ac:dyDescent="0.3">
      <c r="A987" s="1" t="s">
        <v>2168</v>
      </c>
      <c r="B987">
        <v>1</v>
      </c>
      <c r="C987">
        <v>34.99</v>
      </c>
      <c r="D987">
        <v>34.99</v>
      </c>
      <c r="E987" s="1" t="s">
        <v>2169</v>
      </c>
      <c r="F987" s="1" t="s">
        <v>40</v>
      </c>
      <c r="G987">
        <v>8</v>
      </c>
      <c r="H987" s="1" t="s">
        <v>96</v>
      </c>
      <c r="I987" s="1" t="s">
        <v>85</v>
      </c>
      <c r="J987">
        <v>12.5</v>
      </c>
      <c r="K987">
        <v>34.99</v>
      </c>
      <c r="L987" s="1" t="s">
        <v>60</v>
      </c>
      <c r="M987" s="1" t="s">
        <v>29</v>
      </c>
      <c r="N987" s="1" t="s">
        <v>30</v>
      </c>
      <c r="O987" s="1" t="s">
        <v>31</v>
      </c>
      <c r="P987" s="2">
        <v>45778</v>
      </c>
      <c r="Q987" s="1" t="s">
        <v>2170</v>
      </c>
      <c r="R987" s="1" t="s">
        <v>2171</v>
      </c>
      <c r="S987" s="1" t="s">
        <v>54</v>
      </c>
      <c r="T987" s="1" t="s">
        <v>35</v>
      </c>
      <c r="U987" s="1" t="s">
        <v>55</v>
      </c>
      <c r="V987" s="1" t="s">
        <v>89</v>
      </c>
      <c r="W987">
        <v>2.4</v>
      </c>
      <c r="X987" s="1" t="str">
        <f t="shared" si="45"/>
        <v>juan.lopez97@mail.com</v>
      </c>
      <c r="Y987" s="1" t="str">
        <f>INDEX(V:V,MATCH(orders_desnormalizado_prueba3[[#This Row],[acquisition_channel]],U:U,0))</f>
        <v>Bodega Propia CO - envio 2-3 dias</v>
      </c>
      <c r="Z987" s="1" t="str">
        <f>INDEX(T:T,MATCH(orders_desnormalizado_prueba3[[#This Row],[shipping_cost]],W:W,0))</f>
        <v>Colombia</v>
      </c>
      <c r="AA987" s="1" t="str">
        <f t="shared" si="46"/>
        <v>Barranquilla</v>
      </c>
      <c r="AB987" s="1"/>
      <c r="AC987" s="1" t="str">
        <f t="shared" si="47"/>
        <v xml:space="preserve"> </v>
      </c>
    </row>
    <row r="988" spans="1:29" x14ac:dyDescent="0.3">
      <c r="A988" s="1" t="s">
        <v>2172</v>
      </c>
      <c r="B988">
        <v>3</v>
      </c>
      <c r="C988">
        <v>18.989999999999998</v>
      </c>
      <c r="D988">
        <v>45.19</v>
      </c>
      <c r="E988" s="1" t="s">
        <v>1562</v>
      </c>
      <c r="F988" s="1" t="s">
        <v>51</v>
      </c>
      <c r="G988">
        <v>0</v>
      </c>
      <c r="H988" s="1" t="s">
        <v>26</v>
      </c>
      <c r="I988" s="1" t="s">
        <v>97</v>
      </c>
      <c r="J988">
        <v>6</v>
      </c>
      <c r="K988">
        <v>18.989999999999998</v>
      </c>
      <c r="L988" s="1" t="s">
        <v>60</v>
      </c>
      <c r="M988" s="1" t="s">
        <v>43</v>
      </c>
      <c r="N988" s="1" t="s">
        <v>44</v>
      </c>
      <c r="O988" s="1" t="s">
        <v>31</v>
      </c>
      <c r="P988" s="2">
        <v>45823</v>
      </c>
      <c r="Q988" s="1" t="s">
        <v>203</v>
      </c>
      <c r="R988" s="1" t="s">
        <v>876</v>
      </c>
      <c r="S988" s="1" t="s">
        <v>54</v>
      </c>
      <c r="T988" s="1" t="s">
        <v>35</v>
      </c>
      <c r="U988" s="1" t="s">
        <v>82</v>
      </c>
      <c r="V988" s="1" t="s">
        <v>100</v>
      </c>
      <c r="W988">
        <v>3.2</v>
      </c>
      <c r="X988" s="1" t="str">
        <f t="shared" si="45"/>
        <v>daniela.martinez158@mail.com</v>
      </c>
      <c r="Y988" s="1" t="str">
        <f>INDEX(V:V,MATCH(orders_desnormalizado_prueba3[[#This Row],[acquisition_channel]],U:U,0))</f>
        <v>Bodega Propia CO - envio 2-3 dias</v>
      </c>
      <c r="Z988" s="1" t="str">
        <f>INDEX(T:T,MATCH(orders_desnormalizado_prueba3[[#This Row],[shipping_cost]],W:W,0))</f>
        <v>Colombia</v>
      </c>
      <c r="AA988" s="1" t="str">
        <f t="shared" si="46"/>
        <v>Cartagena</v>
      </c>
      <c r="AB988" s="1"/>
      <c r="AC988" s="1" t="str">
        <f t="shared" si="47"/>
        <v xml:space="preserve"> </v>
      </c>
    </row>
    <row r="989" spans="1:29" x14ac:dyDescent="0.3">
      <c r="A989" s="1" t="s">
        <v>2173</v>
      </c>
      <c r="B989">
        <v>2</v>
      </c>
      <c r="C989">
        <v>21.99</v>
      </c>
      <c r="D989">
        <v>38.130000000000003</v>
      </c>
      <c r="E989" s="1" t="s">
        <v>214</v>
      </c>
      <c r="F989" s="1" t="s">
        <v>40</v>
      </c>
      <c r="G989">
        <v>3</v>
      </c>
      <c r="H989" s="1" t="s">
        <v>96</v>
      </c>
      <c r="I989" s="1" t="s">
        <v>27</v>
      </c>
      <c r="J989">
        <v>7</v>
      </c>
      <c r="K989">
        <v>21.99</v>
      </c>
      <c r="L989" s="1" t="s">
        <v>28</v>
      </c>
      <c r="M989" s="1" t="s">
        <v>29</v>
      </c>
      <c r="N989" s="1" t="s">
        <v>30</v>
      </c>
      <c r="O989" s="1" t="s">
        <v>31</v>
      </c>
      <c r="P989" s="2">
        <v>45778</v>
      </c>
      <c r="Q989" s="1" t="s">
        <v>741</v>
      </c>
      <c r="R989" s="1" t="s">
        <v>742</v>
      </c>
      <c r="S989" s="1" t="s">
        <v>47</v>
      </c>
      <c r="T989" s="1" t="s">
        <v>35</v>
      </c>
      <c r="U989" s="1" t="s">
        <v>48</v>
      </c>
      <c r="V989" s="1" t="s">
        <v>37</v>
      </c>
      <c r="W989">
        <v>2</v>
      </c>
      <c r="X989" s="1" t="str">
        <f t="shared" si="45"/>
        <v>maria.hernandez83@mail.com</v>
      </c>
      <c r="Y989" s="1" t="str">
        <f>INDEX(V:V,MATCH(orders_desnormalizado_prueba3[[#This Row],[acquisition_channel]],U:U,0))</f>
        <v>Bodega Propia CO - envio 2-3 dias</v>
      </c>
      <c r="Z989" s="1" t="str">
        <f>INDEX(T:T,MATCH(orders_desnormalizado_prueba3[[#This Row],[shipping_cost]],W:W,0))</f>
        <v>Colombia</v>
      </c>
      <c r="AA989" s="1" t="str">
        <f t="shared" si="46"/>
        <v>Barranquilla</v>
      </c>
      <c r="AB989" s="1"/>
      <c r="AC989" s="1" t="str">
        <f t="shared" si="47"/>
        <v xml:space="preserve"> </v>
      </c>
    </row>
    <row r="990" spans="1:29" x14ac:dyDescent="0.3">
      <c r="A990" s="1" t="s">
        <v>2174</v>
      </c>
      <c r="B990">
        <v>2</v>
      </c>
      <c r="C990">
        <v>16.989999999999998</v>
      </c>
      <c r="D990">
        <v>29.31</v>
      </c>
      <c r="E990" s="1" t="s">
        <v>1796</v>
      </c>
      <c r="F990" s="1" t="s">
        <v>40</v>
      </c>
      <c r="G990">
        <v>19</v>
      </c>
      <c r="H990" s="1" t="s">
        <v>58</v>
      </c>
      <c r="I990" s="1" t="s">
        <v>59</v>
      </c>
      <c r="J990">
        <v>5</v>
      </c>
      <c r="K990">
        <v>16.989999999999998</v>
      </c>
      <c r="L990" s="1" t="s">
        <v>60</v>
      </c>
      <c r="M990" s="1" t="s">
        <v>61</v>
      </c>
      <c r="N990" s="1" t="s">
        <v>62</v>
      </c>
      <c r="O990" s="1" t="s">
        <v>31</v>
      </c>
      <c r="P990" s="2">
        <v>45726</v>
      </c>
      <c r="Q990" s="1" t="s">
        <v>425</v>
      </c>
      <c r="R990" s="1" t="s">
        <v>1469</v>
      </c>
      <c r="S990" s="1" t="s">
        <v>88</v>
      </c>
      <c r="T990" s="1" t="s">
        <v>35</v>
      </c>
      <c r="U990" s="1" t="s">
        <v>82</v>
      </c>
      <c r="V990" s="1" t="s">
        <v>67</v>
      </c>
      <c r="W990">
        <v>3</v>
      </c>
      <c r="X990" s="1" t="str">
        <f t="shared" si="45"/>
        <v>paula.ramirez47@mail.com</v>
      </c>
      <c r="Y990" s="1" t="str">
        <f>INDEX(V:V,MATCH(orders_desnormalizado_prueba3[[#This Row],[acquisition_channel]],U:U,0))</f>
        <v>Bodega Propia CO - envio 2-3 dias</v>
      </c>
      <c r="Z990" s="1" t="str">
        <f>INDEX(T:T,MATCH(orders_desnormalizado_prueba3[[#This Row],[shipping_cost]],W:W,0))</f>
        <v>Colombia</v>
      </c>
      <c r="AA990" s="1" t="str">
        <f t="shared" si="46"/>
        <v>Bogota</v>
      </c>
      <c r="AB990" s="1"/>
      <c r="AC990" s="1" t="str">
        <f t="shared" si="47"/>
        <v xml:space="preserve"> </v>
      </c>
    </row>
    <row r="991" spans="1:29" x14ac:dyDescent="0.3">
      <c r="A991" s="1" t="s">
        <v>2175</v>
      </c>
      <c r="B991">
        <v>1</v>
      </c>
      <c r="C991">
        <v>16.989999999999998</v>
      </c>
      <c r="D991">
        <v>16.989999999999998</v>
      </c>
      <c r="E991" s="1" t="s">
        <v>2018</v>
      </c>
      <c r="F991" s="1" t="s">
        <v>40</v>
      </c>
      <c r="G991">
        <v>16</v>
      </c>
      <c r="H991" s="1" t="s">
        <v>26</v>
      </c>
      <c r="I991" s="1" t="s">
        <v>59</v>
      </c>
      <c r="J991">
        <v>5</v>
      </c>
      <c r="K991">
        <v>16.989999999999998</v>
      </c>
      <c r="L991" s="1" t="s">
        <v>60</v>
      </c>
      <c r="M991" s="1" t="s">
        <v>61</v>
      </c>
      <c r="N991" s="1" t="s">
        <v>62</v>
      </c>
      <c r="O991" s="1" t="s">
        <v>31</v>
      </c>
      <c r="P991" s="2">
        <v>45726</v>
      </c>
      <c r="Q991" s="1" t="s">
        <v>2176</v>
      </c>
      <c r="R991" s="1" t="s">
        <v>2177</v>
      </c>
      <c r="S991" s="1" t="s">
        <v>105</v>
      </c>
      <c r="T991" s="1" t="s">
        <v>35</v>
      </c>
      <c r="U991" s="1" t="s">
        <v>82</v>
      </c>
      <c r="V991" s="1" t="s">
        <v>67</v>
      </c>
      <c r="W991">
        <v>3</v>
      </c>
      <c r="X991" s="1" t="str">
        <f t="shared" si="45"/>
        <v>ricardo.castro175@mail.com</v>
      </c>
      <c r="Y991" s="1" t="str">
        <f>INDEX(V:V,MATCH(orders_desnormalizado_prueba3[[#This Row],[acquisition_channel]],U:U,0))</f>
        <v>Bodega Propia CO - envio 2-3 dias</v>
      </c>
      <c r="Z991" s="1" t="str">
        <f>INDEX(T:T,MATCH(orders_desnormalizado_prueba3[[#This Row],[shipping_cost]],W:W,0))</f>
        <v>Colombia</v>
      </c>
      <c r="AA991" s="1" t="str">
        <f t="shared" si="46"/>
        <v>Bogota</v>
      </c>
      <c r="AB991" s="1"/>
      <c r="AC991" s="1" t="str">
        <f t="shared" si="47"/>
        <v xml:space="preserve"> </v>
      </c>
    </row>
    <row r="992" spans="1:29" x14ac:dyDescent="0.3">
      <c r="A992" s="1" t="s">
        <v>2178</v>
      </c>
      <c r="B992">
        <v>1</v>
      </c>
      <c r="C992">
        <v>30.99</v>
      </c>
      <c r="D992">
        <v>30.99</v>
      </c>
      <c r="E992" s="1" t="s">
        <v>727</v>
      </c>
      <c r="F992" s="1" t="s">
        <v>51</v>
      </c>
      <c r="G992">
        <v>0</v>
      </c>
      <c r="H992" s="1" t="s">
        <v>41</v>
      </c>
      <c r="I992" s="1" t="s">
        <v>42</v>
      </c>
      <c r="J992">
        <v>10.5</v>
      </c>
      <c r="K992">
        <v>30.99</v>
      </c>
      <c r="L992" s="1" t="s">
        <v>28</v>
      </c>
      <c r="M992" s="1" t="s">
        <v>43</v>
      </c>
      <c r="N992" s="1" t="s">
        <v>44</v>
      </c>
      <c r="O992" s="1" t="s">
        <v>31</v>
      </c>
      <c r="P992" s="2">
        <v>45823</v>
      </c>
      <c r="Q992" s="1" t="s">
        <v>133</v>
      </c>
      <c r="R992" s="1" t="s">
        <v>2179</v>
      </c>
      <c r="S992" s="1" t="s">
        <v>65</v>
      </c>
      <c r="T992" s="1" t="s">
        <v>35</v>
      </c>
      <c r="U992" s="1" t="s">
        <v>66</v>
      </c>
      <c r="V992" s="1" t="s">
        <v>37</v>
      </c>
      <c r="W992">
        <v>2</v>
      </c>
      <c r="X992" s="1" t="str">
        <f t="shared" si="45"/>
        <v>isabella.diaz18@mail.com</v>
      </c>
      <c r="Y992" s="1" t="str">
        <f>INDEX(V:V,MATCH(orders_desnormalizado_prueba3[[#This Row],[acquisition_channel]],U:U,0))</f>
        <v>AliDropship CN - envio 15-20 dias</v>
      </c>
      <c r="Z992" s="1" t="str">
        <f>INDEX(T:T,MATCH(orders_desnormalizado_prueba3[[#This Row],[shipping_cost]],W:W,0))</f>
        <v>Colombia</v>
      </c>
      <c r="AA992" s="1" t="str">
        <f t="shared" si="46"/>
        <v>Cartagena</v>
      </c>
      <c r="AB992" s="1"/>
      <c r="AC992" s="1" t="str">
        <f t="shared" si="47"/>
        <v xml:space="preserve"> </v>
      </c>
    </row>
    <row r="993" spans="1:29" x14ac:dyDescent="0.3">
      <c r="A993" s="1" t="s">
        <v>2180</v>
      </c>
      <c r="B993">
        <v>3</v>
      </c>
      <c r="C993">
        <v>34.99</v>
      </c>
      <c r="D993">
        <v>82.82</v>
      </c>
      <c r="E993" s="1" t="s">
        <v>2181</v>
      </c>
      <c r="F993" s="1" t="s">
        <v>51</v>
      </c>
      <c r="G993">
        <v>0</v>
      </c>
      <c r="H993" s="1" t="s">
        <v>41</v>
      </c>
      <c r="I993" s="1" t="s">
        <v>85</v>
      </c>
      <c r="J993">
        <v>12.5</v>
      </c>
      <c r="K993">
        <v>34.99</v>
      </c>
      <c r="L993" s="1" t="s">
        <v>60</v>
      </c>
      <c r="M993" s="1" t="s">
        <v>29</v>
      </c>
      <c r="N993" s="1" t="s">
        <v>30</v>
      </c>
      <c r="O993" s="1" t="s">
        <v>31</v>
      </c>
      <c r="P993" s="2">
        <v>45778</v>
      </c>
      <c r="Q993" s="1" t="s">
        <v>990</v>
      </c>
      <c r="R993" s="1" t="s">
        <v>1623</v>
      </c>
      <c r="S993" s="1" t="s">
        <v>54</v>
      </c>
      <c r="T993" s="1" t="s">
        <v>35</v>
      </c>
      <c r="U993" s="1" t="s">
        <v>48</v>
      </c>
      <c r="V993" s="1" t="s">
        <v>89</v>
      </c>
      <c r="W993">
        <v>2.4</v>
      </c>
      <c r="X993" s="1" t="str">
        <f t="shared" si="45"/>
        <v>fernanda.diaz94@mail.com</v>
      </c>
      <c r="Y993" s="1" t="str">
        <f>INDEX(V:V,MATCH(orders_desnormalizado_prueba3[[#This Row],[acquisition_channel]],U:U,0))</f>
        <v>Bodega Propia CO - envio 2-3 dias</v>
      </c>
      <c r="Z993" s="1" t="str">
        <f>INDEX(T:T,MATCH(orders_desnormalizado_prueba3[[#This Row],[shipping_cost]],W:W,0))</f>
        <v>Colombia</v>
      </c>
      <c r="AA993" s="1" t="str">
        <f t="shared" si="46"/>
        <v>Cartagena</v>
      </c>
      <c r="AB993" s="1"/>
      <c r="AC993" s="1" t="str">
        <f t="shared" si="47"/>
        <v xml:space="preserve"> </v>
      </c>
    </row>
    <row r="994" spans="1:29" x14ac:dyDescent="0.3">
      <c r="A994" s="1" t="s">
        <v>2182</v>
      </c>
      <c r="B994">
        <v>1</v>
      </c>
      <c r="C994">
        <v>27.99</v>
      </c>
      <c r="D994">
        <v>27.99</v>
      </c>
      <c r="E994" s="1" t="s">
        <v>1724</v>
      </c>
      <c r="F994" s="1" t="s">
        <v>40</v>
      </c>
      <c r="G994">
        <v>2</v>
      </c>
      <c r="H994" s="1" t="s">
        <v>41</v>
      </c>
      <c r="I994" s="1" t="s">
        <v>75</v>
      </c>
      <c r="J994">
        <v>9</v>
      </c>
      <c r="K994">
        <v>27.99</v>
      </c>
      <c r="L994" s="1" t="s">
        <v>28</v>
      </c>
      <c r="M994" s="1" t="s">
        <v>61</v>
      </c>
      <c r="N994" s="1" t="s">
        <v>62</v>
      </c>
      <c r="O994" s="1" t="s">
        <v>31</v>
      </c>
      <c r="P994" s="2">
        <v>45726</v>
      </c>
      <c r="Q994" s="1" t="s">
        <v>2183</v>
      </c>
      <c r="R994" s="1" t="s">
        <v>2184</v>
      </c>
      <c r="S994" s="1" t="s">
        <v>34</v>
      </c>
      <c r="T994" s="1" t="s">
        <v>35</v>
      </c>
      <c r="U994" s="1" t="s">
        <v>48</v>
      </c>
      <c r="V994" s="1" t="s">
        <v>37</v>
      </c>
      <c r="W994">
        <v>2</v>
      </c>
      <c r="X994" s="1" t="str">
        <f t="shared" si="45"/>
        <v>santiago.lopez161@mail.com</v>
      </c>
      <c r="Y994" s="1" t="str">
        <f>INDEX(V:V,MATCH(orders_desnormalizado_prueba3[[#This Row],[acquisition_channel]],U:U,0))</f>
        <v>Bodega Propia CO - envio 2-3 dias</v>
      </c>
      <c r="Z994" s="1" t="str">
        <f>INDEX(T:T,MATCH(orders_desnormalizado_prueba3[[#This Row],[shipping_cost]],W:W,0))</f>
        <v>Colombia</v>
      </c>
      <c r="AA994" s="1" t="str">
        <f t="shared" si="46"/>
        <v>Medellin</v>
      </c>
      <c r="AB994" s="1"/>
      <c r="AC994" s="1" t="str">
        <f t="shared" si="47"/>
        <v xml:space="preserve"> </v>
      </c>
    </row>
    <row r="995" spans="1:29" x14ac:dyDescent="0.3">
      <c r="A995" s="1" t="s">
        <v>2185</v>
      </c>
      <c r="B995">
        <v>1</v>
      </c>
      <c r="C995">
        <v>18.989999999999998</v>
      </c>
      <c r="D995">
        <v>18.989999999999998</v>
      </c>
      <c r="E995" s="1" t="s">
        <v>1724</v>
      </c>
      <c r="F995" s="1" t="s">
        <v>40</v>
      </c>
      <c r="G995">
        <v>19</v>
      </c>
      <c r="H995" s="1" t="s">
        <v>26</v>
      </c>
      <c r="I995" s="1" t="s">
        <v>97</v>
      </c>
      <c r="J995">
        <v>6</v>
      </c>
      <c r="K995">
        <v>18.989999999999998</v>
      </c>
      <c r="L995" s="1" t="s">
        <v>60</v>
      </c>
      <c r="M995" s="1" t="s">
        <v>43</v>
      </c>
      <c r="N995" s="1" t="s">
        <v>44</v>
      </c>
      <c r="O995" s="1" t="s">
        <v>31</v>
      </c>
      <c r="P995" s="2">
        <v>45823</v>
      </c>
      <c r="Q995" s="1" t="s">
        <v>1012</v>
      </c>
      <c r="R995" s="1" t="s">
        <v>1013</v>
      </c>
      <c r="S995" s="1" t="s">
        <v>65</v>
      </c>
      <c r="T995" s="1" t="s">
        <v>35</v>
      </c>
      <c r="U995" s="1" t="s">
        <v>36</v>
      </c>
      <c r="V995" s="1" t="s">
        <v>100</v>
      </c>
      <c r="W995">
        <v>3.2</v>
      </c>
      <c r="X995" s="1" t="str">
        <f t="shared" si="45"/>
        <v>mateo.vargas175@mail.com</v>
      </c>
      <c r="Y995" s="1" t="str">
        <f>INDEX(V:V,MATCH(orders_desnormalizado_prueba3[[#This Row],[acquisition_channel]],U:U,0))</f>
        <v>Bodega Propia CO - envio 2-3 dias</v>
      </c>
      <c r="Z995" s="1" t="str">
        <f>INDEX(T:T,MATCH(orders_desnormalizado_prueba3[[#This Row],[shipping_cost]],W:W,0))</f>
        <v>Colombia</v>
      </c>
      <c r="AA995" s="1" t="str">
        <f t="shared" si="46"/>
        <v>Bogota</v>
      </c>
      <c r="AB995" s="1"/>
      <c r="AC995" s="1" t="str">
        <f t="shared" si="47"/>
        <v xml:space="preserve"> </v>
      </c>
    </row>
    <row r="996" spans="1:29" x14ac:dyDescent="0.3">
      <c r="A996" s="1" t="s">
        <v>2186</v>
      </c>
      <c r="B996">
        <v>1</v>
      </c>
      <c r="C996">
        <v>16.989999999999998</v>
      </c>
      <c r="D996">
        <v>16.989999999999998</v>
      </c>
      <c r="E996" s="1" t="s">
        <v>2187</v>
      </c>
      <c r="F996" s="1" t="s">
        <v>40</v>
      </c>
      <c r="G996">
        <v>18</v>
      </c>
      <c r="H996" s="1" t="s">
        <v>26</v>
      </c>
      <c r="I996" s="1" t="s">
        <v>59</v>
      </c>
      <c r="J996">
        <v>5</v>
      </c>
      <c r="K996">
        <v>16.989999999999998</v>
      </c>
      <c r="L996" s="1" t="s">
        <v>60</v>
      </c>
      <c r="M996" s="1" t="s">
        <v>61</v>
      </c>
      <c r="N996" s="1" t="s">
        <v>62</v>
      </c>
      <c r="O996" s="1" t="s">
        <v>31</v>
      </c>
      <c r="P996" s="2">
        <v>45726</v>
      </c>
      <c r="Q996" s="1" t="s">
        <v>1642</v>
      </c>
      <c r="R996" s="1" t="s">
        <v>1736</v>
      </c>
      <c r="S996" s="1" t="s">
        <v>47</v>
      </c>
      <c r="T996" s="1" t="s">
        <v>35</v>
      </c>
      <c r="U996" s="1" t="s">
        <v>48</v>
      </c>
      <c r="V996" s="1" t="s">
        <v>67</v>
      </c>
      <c r="W996">
        <v>3</v>
      </c>
      <c r="X996" s="1" t="str">
        <f t="shared" si="45"/>
        <v>diego.perez177@mail.com</v>
      </c>
      <c r="Y996" s="1" t="str">
        <f>INDEX(V:V,MATCH(orders_desnormalizado_prueba3[[#This Row],[acquisition_channel]],U:U,0))</f>
        <v>Bodega Propia CO - envio 2-3 dias</v>
      </c>
      <c r="Z996" s="1" t="str">
        <f>INDEX(T:T,MATCH(orders_desnormalizado_prueba3[[#This Row],[shipping_cost]],W:W,0))</f>
        <v>Colombia</v>
      </c>
      <c r="AA996" s="1" t="str">
        <f t="shared" si="46"/>
        <v>Medellin</v>
      </c>
      <c r="AB996" s="1"/>
      <c r="AC996" s="1" t="str">
        <f t="shared" si="47"/>
        <v xml:space="preserve"> </v>
      </c>
    </row>
    <row r="997" spans="1:29" x14ac:dyDescent="0.3">
      <c r="A997" s="1" t="s">
        <v>2188</v>
      </c>
      <c r="B997">
        <v>1</v>
      </c>
      <c r="C997">
        <v>27.99</v>
      </c>
      <c r="D997">
        <v>27.99</v>
      </c>
      <c r="E997" s="1" t="s">
        <v>348</v>
      </c>
      <c r="F997" s="1" t="s">
        <v>40</v>
      </c>
      <c r="G997">
        <v>2</v>
      </c>
      <c r="H997" s="1" t="s">
        <v>41</v>
      </c>
      <c r="I997" s="1" t="s">
        <v>75</v>
      </c>
      <c r="J997">
        <v>9</v>
      </c>
      <c r="K997">
        <v>27.99</v>
      </c>
      <c r="L997" s="1" t="s">
        <v>28</v>
      </c>
      <c r="M997" s="1" t="s">
        <v>61</v>
      </c>
      <c r="N997" s="1" t="s">
        <v>62</v>
      </c>
      <c r="O997" s="1" t="s">
        <v>31</v>
      </c>
      <c r="P997" s="2">
        <v>45726</v>
      </c>
      <c r="Q997" s="1" t="s">
        <v>80</v>
      </c>
      <c r="R997" s="1" t="s">
        <v>1244</v>
      </c>
      <c r="S997" s="1" t="s">
        <v>54</v>
      </c>
      <c r="T997" s="1" t="s">
        <v>35</v>
      </c>
      <c r="U997" s="1" t="s">
        <v>82</v>
      </c>
      <c r="V997" s="1" t="s">
        <v>37</v>
      </c>
      <c r="W997">
        <v>2</v>
      </c>
      <c r="X997" s="1" t="str">
        <f t="shared" si="45"/>
        <v>laura.martinez145@mail.com</v>
      </c>
      <c r="Y997" s="1" t="str">
        <f>INDEX(V:V,MATCH(orders_desnormalizado_prueba3[[#This Row],[acquisition_channel]],U:U,0))</f>
        <v>Bodega Propia CO - envio 2-3 dias</v>
      </c>
      <c r="Z997" s="1" t="str">
        <f>INDEX(T:T,MATCH(orders_desnormalizado_prueba3[[#This Row],[shipping_cost]],W:W,0))</f>
        <v>Colombia</v>
      </c>
      <c r="AA997" s="1" t="str">
        <f t="shared" si="46"/>
        <v>Medellin</v>
      </c>
      <c r="AB997" s="1"/>
      <c r="AC997" s="1" t="str">
        <f t="shared" si="47"/>
        <v xml:space="preserve"> </v>
      </c>
    </row>
    <row r="998" spans="1:29" x14ac:dyDescent="0.3">
      <c r="A998" s="1" t="s">
        <v>2189</v>
      </c>
      <c r="B998">
        <v>1</v>
      </c>
      <c r="C998">
        <v>21.99</v>
      </c>
      <c r="D998">
        <v>21.99</v>
      </c>
      <c r="E998" s="1" t="s">
        <v>1652</v>
      </c>
      <c r="F998" s="1" t="s">
        <v>40</v>
      </c>
      <c r="G998">
        <v>2</v>
      </c>
      <c r="H998" s="1" t="s">
        <v>96</v>
      </c>
      <c r="I998" s="1" t="s">
        <v>27</v>
      </c>
      <c r="J998">
        <v>7</v>
      </c>
      <c r="K998">
        <v>21.99</v>
      </c>
      <c r="L998" s="1" t="s">
        <v>28</v>
      </c>
      <c r="M998" s="1" t="s">
        <v>29</v>
      </c>
      <c r="N998" s="1" t="s">
        <v>30</v>
      </c>
      <c r="O998" s="1" t="s">
        <v>31</v>
      </c>
      <c r="P998" s="2">
        <v>45778</v>
      </c>
      <c r="Q998" s="1" t="s">
        <v>783</v>
      </c>
      <c r="R998" s="1" t="s">
        <v>784</v>
      </c>
      <c r="S998" s="1" t="s">
        <v>34</v>
      </c>
      <c r="T998" s="1" t="s">
        <v>35</v>
      </c>
      <c r="U998" s="1" t="s">
        <v>55</v>
      </c>
      <c r="V998" s="1" t="s">
        <v>37</v>
      </c>
      <c r="W998">
        <v>2</v>
      </c>
      <c r="X998" s="1" t="str">
        <f t="shared" si="45"/>
        <v>santiago.castro71@mail.com</v>
      </c>
      <c r="Y998" s="1" t="str">
        <f>INDEX(V:V,MATCH(orders_desnormalizado_prueba3[[#This Row],[acquisition_channel]],U:U,0))</f>
        <v>Bodega Propia CO - envio 2-3 dias</v>
      </c>
      <c r="Z998" s="1" t="str">
        <f>INDEX(T:T,MATCH(orders_desnormalizado_prueba3[[#This Row],[shipping_cost]],W:W,0))</f>
        <v>Colombia</v>
      </c>
      <c r="AA998" s="1" t="str">
        <f t="shared" si="46"/>
        <v>Medellin</v>
      </c>
      <c r="AB998" s="1"/>
      <c r="AC998" s="1" t="str">
        <f t="shared" si="47"/>
        <v xml:space="preserve"> </v>
      </c>
    </row>
    <row r="999" spans="1:29" x14ac:dyDescent="0.3">
      <c r="A999" s="1" t="s">
        <v>2190</v>
      </c>
      <c r="B999">
        <v>2</v>
      </c>
      <c r="C999">
        <v>34.99</v>
      </c>
      <c r="D999">
        <v>61.02</v>
      </c>
      <c r="E999" s="1" t="s">
        <v>723</v>
      </c>
      <c r="F999" s="1" t="s">
        <v>40</v>
      </c>
      <c r="G999">
        <v>7</v>
      </c>
      <c r="H999" s="1" t="s">
        <v>41</v>
      </c>
      <c r="I999" s="1" t="s">
        <v>85</v>
      </c>
      <c r="J999">
        <v>12.5</v>
      </c>
      <c r="K999">
        <v>34.99</v>
      </c>
      <c r="L999" s="1" t="s">
        <v>60</v>
      </c>
      <c r="M999" s="1" t="s">
        <v>29</v>
      </c>
      <c r="N999" s="1" t="s">
        <v>30</v>
      </c>
      <c r="O999" s="1" t="s">
        <v>31</v>
      </c>
      <c r="P999" s="2">
        <v>45778</v>
      </c>
      <c r="Q999" s="1" t="s">
        <v>934</v>
      </c>
      <c r="R999" s="1" t="s">
        <v>1165</v>
      </c>
      <c r="S999" s="1" t="s">
        <v>65</v>
      </c>
      <c r="T999" s="1" t="s">
        <v>35</v>
      </c>
      <c r="U999" s="1" t="s">
        <v>82</v>
      </c>
      <c r="V999" s="1" t="s">
        <v>89</v>
      </c>
      <c r="W999">
        <v>2.4</v>
      </c>
      <c r="X999" s="1" t="str">
        <f t="shared" si="45"/>
        <v>felipe.gomez104@mail.com</v>
      </c>
      <c r="Y999" s="1" t="str">
        <f>INDEX(V:V,MATCH(orders_desnormalizado_prueba3[[#This Row],[acquisition_channel]],U:U,0))</f>
        <v>Bodega Propia CO - envio 2-3 dias</v>
      </c>
      <c r="Z999" s="1" t="str">
        <f>INDEX(T:T,MATCH(orders_desnormalizado_prueba3[[#This Row],[shipping_cost]],W:W,0))</f>
        <v>Colombia</v>
      </c>
      <c r="AA999" s="1" t="str">
        <f t="shared" si="46"/>
        <v>Bogota</v>
      </c>
      <c r="AB999" s="1"/>
      <c r="AC999" s="1" t="str">
        <f t="shared" si="47"/>
        <v xml:space="preserve"> </v>
      </c>
    </row>
    <row r="1000" spans="1:29" x14ac:dyDescent="0.3">
      <c r="A1000" s="1" t="s">
        <v>2191</v>
      </c>
      <c r="B1000">
        <v>1</v>
      </c>
      <c r="C1000">
        <v>34.99</v>
      </c>
      <c r="D1000">
        <v>34.99</v>
      </c>
      <c r="E1000" s="1" t="s">
        <v>2192</v>
      </c>
      <c r="F1000" s="1" t="s">
        <v>40</v>
      </c>
      <c r="G1000">
        <v>6</v>
      </c>
      <c r="H1000" s="1" t="s">
        <v>41</v>
      </c>
      <c r="I1000" s="1" t="s">
        <v>85</v>
      </c>
      <c r="J1000">
        <v>12.5</v>
      </c>
      <c r="K1000">
        <v>34.99</v>
      </c>
      <c r="L1000" s="1" t="s">
        <v>60</v>
      </c>
      <c r="M1000" s="1" t="s">
        <v>29</v>
      </c>
      <c r="N1000" s="1" t="s">
        <v>30</v>
      </c>
      <c r="O1000" s="1" t="s">
        <v>31</v>
      </c>
      <c r="P1000" s="2">
        <v>45778</v>
      </c>
      <c r="Q1000" s="1" t="s">
        <v>425</v>
      </c>
      <c r="R1000" s="1" t="s">
        <v>1435</v>
      </c>
      <c r="S1000" s="1" t="s">
        <v>54</v>
      </c>
      <c r="T1000" s="1" t="s">
        <v>35</v>
      </c>
      <c r="U1000" s="1" t="s">
        <v>48</v>
      </c>
      <c r="V1000" s="1" t="s">
        <v>89</v>
      </c>
      <c r="W1000">
        <v>2.4</v>
      </c>
      <c r="X1000" s="1" t="str">
        <f t="shared" si="45"/>
        <v>paula.ramirez47@mail.com</v>
      </c>
      <c r="Y1000" s="1" t="str">
        <f>INDEX(V:V,MATCH(orders_desnormalizado_prueba3[[#This Row],[acquisition_channel]],U:U,0))</f>
        <v>Bodega Propia CO - envio 2-3 dias</v>
      </c>
      <c r="Z1000" s="1" t="str">
        <f>INDEX(T:T,MATCH(orders_desnormalizado_prueba3[[#This Row],[shipping_cost]],W:W,0))</f>
        <v>Colombia</v>
      </c>
      <c r="AA1000" s="1" t="str">
        <f t="shared" si="46"/>
        <v>Medellin</v>
      </c>
      <c r="AB1000" s="1"/>
      <c r="AC1000" s="1" t="str">
        <f t="shared" si="47"/>
        <v xml:space="preserve"> </v>
      </c>
    </row>
    <row r="1001" spans="1:29" x14ac:dyDescent="0.3">
      <c r="A1001" s="1" t="s">
        <v>2193</v>
      </c>
      <c r="B1001">
        <v>1</v>
      </c>
      <c r="C1001">
        <v>34.99</v>
      </c>
      <c r="D1001">
        <v>34.99</v>
      </c>
      <c r="E1001" s="1" t="s">
        <v>1015</v>
      </c>
      <c r="F1001" s="1" t="s">
        <v>51</v>
      </c>
      <c r="G1001">
        <v>0</v>
      </c>
      <c r="H1001" s="1" t="s">
        <v>58</v>
      </c>
      <c r="I1001" s="1" t="s">
        <v>85</v>
      </c>
      <c r="J1001">
        <v>12.5</v>
      </c>
      <c r="K1001">
        <v>34.99</v>
      </c>
      <c r="L1001" s="1" t="s">
        <v>60</v>
      </c>
      <c r="M1001" s="1" t="s">
        <v>29</v>
      </c>
      <c r="N1001" s="1" t="s">
        <v>30</v>
      </c>
      <c r="O1001" s="1" t="s">
        <v>31</v>
      </c>
      <c r="P1001" s="2">
        <v>45778</v>
      </c>
      <c r="Q1001" s="1" t="s">
        <v>1385</v>
      </c>
      <c r="R1001" s="1" t="s">
        <v>1386</v>
      </c>
      <c r="S1001" s="1" t="s">
        <v>47</v>
      </c>
      <c r="T1001" s="1" t="s">
        <v>35</v>
      </c>
      <c r="U1001" s="1" t="s">
        <v>66</v>
      </c>
      <c r="V1001" s="1" t="s">
        <v>89</v>
      </c>
      <c r="W1001">
        <v>2.4</v>
      </c>
      <c r="X1001" s="1" t="str">
        <f t="shared" si="45"/>
        <v>catalina.torres188@mail.com</v>
      </c>
      <c r="Y1001" s="1" t="str">
        <f>INDEX(V:V,MATCH(orders_desnormalizado_prueba3[[#This Row],[acquisition_channel]],U:U,0))</f>
        <v>AliDropship CN - envio 15-20 dias</v>
      </c>
      <c r="Z1001" s="1" t="str">
        <f>INDEX(T:T,MATCH(orders_desnormalizado_prueba3[[#This Row],[shipping_cost]],W:W,0))</f>
        <v>Colombia</v>
      </c>
      <c r="AA1001" s="1" t="str">
        <f t="shared" si="46"/>
        <v>Cartagena</v>
      </c>
      <c r="AB1001" s="1"/>
      <c r="AC1001" s="1" t="str">
        <f t="shared" si="47"/>
        <v xml:space="preserve"> </v>
      </c>
    </row>
    <row r="1002" spans="1:29" x14ac:dyDescent="0.3">
      <c r="A1002" s="1" t="s">
        <v>2194</v>
      </c>
      <c r="B1002">
        <v>1</v>
      </c>
      <c r="C1002">
        <v>30.99</v>
      </c>
      <c r="D1002">
        <v>30.99</v>
      </c>
      <c r="E1002" s="1" t="s">
        <v>1008</v>
      </c>
      <c r="F1002" s="1" t="s">
        <v>40</v>
      </c>
      <c r="G1002">
        <v>2</v>
      </c>
      <c r="H1002" s="1" t="s">
        <v>58</v>
      </c>
      <c r="I1002" s="1" t="s">
        <v>42</v>
      </c>
      <c r="J1002">
        <v>10.5</v>
      </c>
      <c r="K1002">
        <v>30.99</v>
      </c>
      <c r="L1002" s="1" t="s">
        <v>28</v>
      </c>
      <c r="M1002" s="1" t="s">
        <v>43</v>
      </c>
      <c r="N1002" s="1" t="s">
        <v>44</v>
      </c>
      <c r="O1002" s="1" t="s">
        <v>31</v>
      </c>
      <c r="P1002" s="2">
        <v>45823</v>
      </c>
      <c r="Q1002" s="1" t="s">
        <v>2195</v>
      </c>
      <c r="R1002" s="1" t="s">
        <v>2196</v>
      </c>
      <c r="S1002" s="1" t="s">
        <v>34</v>
      </c>
      <c r="T1002" s="1" t="s">
        <v>35</v>
      </c>
      <c r="U1002" s="1" t="s">
        <v>66</v>
      </c>
      <c r="V1002" s="1" t="s">
        <v>37</v>
      </c>
      <c r="W1002">
        <v>2</v>
      </c>
      <c r="X1002" s="1" t="str">
        <f t="shared" si="45"/>
        <v>sebastian.ramirez112@mail.com</v>
      </c>
      <c r="Y1002" s="1" t="str">
        <f>INDEX(V:V,MATCH(orders_desnormalizado_prueba3[[#This Row],[acquisition_channel]],U:U,0))</f>
        <v>AliDropship CN - envio 15-20 dias</v>
      </c>
      <c r="Z1002" s="1" t="str">
        <f>INDEX(T:T,MATCH(orders_desnormalizado_prueba3[[#This Row],[shipping_cost]],W:W,0))</f>
        <v>Colombia</v>
      </c>
      <c r="AA1002" s="1" t="str">
        <f t="shared" si="46"/>
        <v>Medellin</v>
      </c>
      <c r="AB1002" s="1"/>
      <c r="AC1002" s="1" t="str">
        <f t="shared" si="47"/>
        <v xml:space="preserve"> </v>
      </c>
    </row>
    <row r="1003" spans="1:29" x14ac:dyDescent="0.3">
      <c r="A1003" s="1" t="s">
        <v>2197</v>
      </c>
      <c r="B1003">
        <v>2</v>
      </c>
      <c r="C1003">
        <v>27.99</v>
      </c>
      <c r="D1003">
        <v>48.61</v>
      </c>
      <c r="E1003" s="1" t="s">
        <v>1388</v>
      </c>
      <c r="F1003" s="1" t="s">
        <v>188</v>
      </c>
      <c r="G1003">
        <v>0</v>
      </c>
      <c r="H1003" s="1" t="s">
        <v>96</v>
      </c>
      <c r="I1003" s="1" t="s">
        <v>75</v>
      </c>
      <c r="J1003">
        <v>9</v>
      </c>
      <c r="K1003">
        <v>27.99</v>
      </c>
      <c r="L1003" s="1" t="s">
        <v>28</v>
      </c>
      <c r="M1003" s="1" t="s">
        <v>61</v>
      </c>
      <c r="N1003" s="1" t="s">
        <v>62</v>
      </c>
      <c r="O1003" s="1" t="s">
        <v>31</v>
      </c>
      <c r="P1003" s="2">
        <v>45726</v>
      </c>
      <c r="Q1003" s="1" t="s">
        <v>1719</v>
      </c>
      <c r="R1003" s="1" t="s">
        <v>2198</v>
      </c>
      <c r="S1003" s="1" t="s">
        <v>34</v>
      </c>
      <c r="T1003" s="1" t="s">
        <v>35</v>
      </c>
      <c r="U1003" s="1" t="s">
        <v>36</v>
      </c>
      <c r="V1003" s="1" t="s">
        <v>37</v>
      </c>
      <c r="W1003">
        <v>2</v>
      </c>
      <c r="X1003" s="1" t="str">
        <f t="shared" si="45"/>
        <v>julian.diaz162@mail.com</v>
      </c>
      <c r="Y1003" s="1" t="str">
        <f>INDEX(V:V,MATCH(orders_desnormalizado_prueba3[[#This Row],[acquisition_channel]],U:U,0))</f>
        <v>Bodega Propia CO - envio 2-3 dias</v>
      </c>
      <c r="Z1003" s="1" t="str">
        <f>INDEX(T:T,MATCH(orders_desnormalizado_prueba3[[#This Row],[shipping_cost]],W:W,0))</f>
        <v>Colombia</v>
      </c>
      <c r="AA1003" s="1" t="str">
        <f t="shared" si="46"/>
        <v>Cartagena</v>
      </c>
      <c r="AB1003" s="1"/>
      <c r="AC1003" s="1" t="str">
        <f t="shared" si="47"/>
        <v xml:space="preserve"> </v>
      </c>
    </row>
    <row r="1004" spans="1:29" x14ac:dyDescent="0.3">
      <c r="A1004" s="1" t="s">
        <v>2199</v>
      </c>
      <c r="B1004">
        <v>1</v>
      </c>
      <c r="C1004">
        <v>34.99</v>
      </c>
      <c r="D1004">
        <v>34.99</v>
      </c>
      <c r="E1004" s="1" t="s">
        <v>1359</v>
      </c>
      <c r="F1004" s="1" t="s">
        <v>70</v>
      </c>
      <c r="G1004">
        <v>0</v>
      </c>
      <c r="H1004" s="1" t="s">
        <v>58</v>
      </c>
      <c r="I1004" s="1" t="s">
        <v>85</v>
      </c>
      <c r="J1004">
        <v>12.5</v>
      </c>
      <c r="K1004">
        <v>34.99</v>
      </c>
      <c r="L1004" s="1" t="s">
        <v>60</v>
      </c>
      <c r="M1004" s="1" t="s">
        <v>29</v>
      </c>
      <c r="N1004" s="1" t="s">
        <v>30</v>
      </c>
      <c r="O1004" s="1" t="s">
        <v>31</v>
      </c>
      <c r="P1004" s="2">
        <v>45778</v>
      </c>
      <c r="Q1004" s="1" t="s">
        <v>1850</v>
      </c>
      <c r="R1004" s="1" t="s">
        <v>1851</v>
      </c>
      <c r="S1004" s="1" t="s">
        <v>47</v>
      </c>
      <c r="T1004" s="1" t="s">
        <v>35</v>
      </c>
      <c r="U1004" s="1" t="s">
        <v>66</v>
      </c>
      <c r="V1004" s="1" t="s">
        <v>89</v>
      </c>
      <c r="W1004">
        <v>2.4</v>
      </c>
      <c r="X1004" s="1" t="str">
        <f t="shared" si="45"/>
        <v>catalina.perez151@mail.com</v>
      </c>
      <c r="Y1004" s="1" t="str">
        <f>INDEX(V:V,MATCH(orders_desnormalizado_prueba3[[#This Row],[acquisition_channel]],U:U,0))</f>
        <v>AliDropship CN - envio 15-20 dias</v>
      </c>
      <c r="Z1004" s="1" t="str">
        <f>INDEX(T:T,MATCH(orders_desnormalizado_prueba3[[#This Row],[shipping_cost]],W:W,0))</f>
        <v>Colombia</v>
      </c>
      <c r="AA1004" s="1" t="str">
        <f t="shared" si="46"/>
        <v>Cartagena</v>
      </c>
      <c r="AB1004" s="1"/>
      <c r="AC1004" s="1" t="str">
        <f t="shared" si="47"/>
        <v xml:space="preserve"> </v>
      </c>
    </row>
    <row r="1005" spans="1:29" x14ac:dyDescent="0.3">
      <c r="A1005" s="1" t="s">
        <v>2200</v>
      </c>
      <c r="B1005">
        <v>1</v>
      </c>
      <c r="C1005">
        <v>27.99</v>
      </c>
      <c r="D1005">
        <v>27.99</v>
      </c>
      <c r="E1005" s="1" t="s">
        <v>1936</v>
      </c>
      <c r="F1005" s="1" t="s">
        <v>40</v>
      </c>
      <c r="G1005">
        <v>3</v>
      </c>
      <c r="H1005" s="1" t="s">
        <v>58</v>
      </c>
      <c r="I1005" s="1" t="s">
        <v>75</v>
      </c>
      <c r="J1005">
        <v>9</v>
      </c>
      <c r="K1005">
        <v>27.99</v>
      </c>
      <c r="L1005" s="1" t="s">
        <v>28</v>
      </c>
      <c r="M1005" s="1" t="s">
        <v>61</v>
      </c>
      <c r="N1005" s="1" t="s">
        <v>62</v>
      </c>
      <c r="O1005" s="1" t="s">
        <v>31</v>
      </c>
      <c r="P1005" s="2">
        <v>45726</v>
      </c>
      <c r="Q1005" s="1" t="s">
        <v>1275</v>
      </c>
      <c r="R1005" s="1" t="s">
        <v>1276</v>
      </c>
      <c r="S1005" s="1" t="s">
        <v>47</v>
      </c>
      <c r="T1005" s="1" t="s">
        <v>35</v>
      </c>
      <c r="U1005" s="1" t="s">
        <v>66</v>
      </c>
      <c r="V1005" s="1" t="s">
        <v>37</v>
      </c>
      <c r="W1005">
        <v>2</v>
      </c>
      <c r="X1005" s="1" t="str">
        <f t="shared" si="45"/>
        <v>laura.ramirez173@mail.com</v>
      </c>
      <c r="Y1005" s="1" t="str">
        <f>INDEX(V:V,MATCH(orders_desnormalizado_prueba3[[#This Row],[acquisition_channel]],U:U,0))</f>
        <v>AliDropship CN - envio 15-20 dias</v>
      </c>
      <c r="Z1005" s="1" t="str">
        <f>INDEX(T:T,MATCH(orders_desnormalizado_prueba3[[#This Row],[shipping_cost]],W:W,0))</f>
        <v>Colombia</v>
      </c>
      <c r="AA1005" s="1" t="str">
        <f t="shared" si="46"/>
        <v>Barranquilla</v>
      </c>
      <c r="AB1005" s="1"/>
      <c r="AC1005" s="1" t="str">
        <f t="shared" si="47"/>
        <v xml:space="preserve"> </v>
      </c>
    </row>
    <row r="1006" spans="1:29" x14ac:dyDescent="0.3">
      <c r="A1006" s="1" t="s">
        <v>2201</v>
      </c>
      <c r="B1006">
        <v>1</v>
      </c>
      <c r="C1006">
        <v>16.989999999999998</v>
      </c>
      <c r="D1006">
        <v>16.989999999999998</v>
      </c>
      <c r="E1006" s="1" t="s">
        <v>2202</v>
      </c>
      <c r="F1006" s="1" t="s">
        <v>40</v>
      </c>
      <c r="G1006">
        <v>16</v>
      </c>
      <c r="H1006" s="1" t="s">
        <v>26</v>
      </c>
      <c r="I1006" s="1" t="s">
        <v>59</v>
      </c>
      <c r="J1006">
        <v>5</v>
      </c>
      <c r="K1006">
        <v>16.989999999999998</v>
      </c>
      <c r="L1006" s="1" t="s">
        <v>60</v>
      </c>
      <c r="M1006" s="1" t="s">
        <v>61</v>
      </c>
      <c r="N1006" s="1" t="s">
        <v>62</v>
      </c>
      <c r="O1006" s="1" t="s">
        <v>31</v>
      </c>
      <c r="P1006" s="2">
        <v>45726</v>
      </c>
      <c r="Q1006" s="1" t="s">
        <v>1642</v>
      </c>
      <c r="R1006" s="1" t="s">
        <v>1643</v>
      </c>
      <c r="S1006" s="1" t="s">
        <v>88</v>
      </c>
      <c r="T1006" s="1" t="s">
        <v>35</v>
      </c>
      <c r="U1006" s="1" t="s">
        <v>36</v>
      </c>
      <c r="V1006" s="1" t="s">
        <v>67</v>
      </c>
      <c r="W1006">
        <v>3</v>
      </c>
      <c r="X1006" s="1" t="str">
        <f t="shared" si="45"/>
        <v>diego.perez177@mail.com</v>
      </c>
      <c r="Y1006" s="1" t="str">
        <f>INDEX(V:V,MATCH(orders_desnormalizado_prueba3[[#This Row],[acquisition_channel]],U:U,0))</f>
        <v>Bodega Propia CO - envio 2-3 dias</v>
      </c>
      <c r="Z1006" s="1" t="str">
        <f>INDEX(T:T,MATCH(orders_desnormalizado_prueba3[[#This Row],[shipping_cost]],W:W,0))</f>
        <v>Colombia</v>
      </c>
      <c r="AA1006" s="1" t="str">
        <f t="shared" si="46"/>
        <v>Bogota</v>
      </c>
      <c r="AB1006" s="1"/>
      <c r="AC1006" s="1" t="str">
        <f t="shared" si="47"/>
        <v xml:space="preserve"> </v>
      </c>
    </row>
    <row r="1007" spans="1:29" x14ac:dyDescent="0.3">
      <c r="A1007" s="1" t="s">
        <v>2203</v>
      </c>
      <c r="B1007">
        <v>3</v>
      </c>
      <c r="C1007">
        <v>21.99</v>
      </c>
      <c r="D1007">
        <v>52.66</v>
      </c>
      <c r="E1007" s="1" t="s">
        <v>1156</v>
      </c>
      <c r="F1007" s="1" t="s">
        <v>40</v>
      </c>
      <c r="G1007">
        <v>3</v>
      </c>
      <c r="H1007" s="1" t="s">
        <v>41</v>
      </c>
      <c r="I1007" s="1" t="s">
        <v>27</v>
      </c>
      <c r="J1007">
        <v>7</v>
      </c>
      <c r="K1007">
        <v>21.99</v>
      </c>
      <c r="L1007" s="1" t="s">
        <v>28</v>
      </c>
      <c r="M1007" s="1" t="s">
        <v>29</v>
      </c>
      <c r="N1007" s="1" t="s">
        <v>30</v>
      </c>
      <c r="O1007" s="1" t="s">
        <v>31</v>
      </c>
      <c r="P1007" s="2">
        <v>45778</v>
      </c>
      <c r="Q1007" s="1" t="s">
        <v>1187</v>
      </c>
      <c r="R1007" s="1" t="s">
        <v>2204</v>
      </c>
      <c r="S1007" s="1" t="s">
        <v>88</v>
      </c>
      <c r="T1007" s="1" t="s">
        <v>35</v>
      </c>
      <c r="U1007" s="1" t="s">
        <v>55</v>
      </c>
      <c r="V1007" s="1" t="s">
        <v>37</v>
      </c>
      <c r="W1007">
        <v>2</v>
      </c>
      <c r="X1007" s="1" t="str">
        <f t="shared" si="45"/>
        <v>nicolas.jimenez67@mail.com</v>
      </c>
      <c r="Y1007" s="1" t="str">
        <f>INDEX(V:V,MATCH(orders_desnormalizado_prueba3[[#This Row],[acquisition_channel]],U:U,0))</f>
        <v>Bodega Propia CO - envio 2-3 dias</v>
      </c>
      <c r="Z1007" s="1" t="str">
        <f>INDEX(T:T,MATCH(orders_desnormalizado_prueba3[[#This Row],[shipping_cost]],W:W,0))</f>
        <v>Colombia</v>
      </c>
      <c r="AA1007" s="1" t="str">
        <f t="shared" si="46"/>
        <v>Barranquilla</v>
      </c>
      <c r="AB1007" s="1"/>
      <c r="AC1007" s="1" t="str">
        <f t="shared" si="47"/>
        <v xml:space="preserve"> </v>
      </c>
    </row>
    <row r="1008" spans="1:29" x14ac:dyDescent="0.3">
      <c r="A1008" s="1" t="s">
        <v>2205</v>
      </c>
      <c r="B1008">
        <v>1</v>
      </c>
      <c r="C1008">
        <v>30.99</v>
      </c>
      <c r="D1008">
        <v>30.99</v>
      </c>
      <c r="E1008" s="1" t="s">
        <v>185</v>
      </c>
      <c r="F1008" s="1" t="s">
        <v>40</v>
      </c>
      <c r="G1008">
        <v>2</v>
      </c>
      <c r="H1008" s="1" t="s">
        <v>41</v>
      </c>
      <c r="I1008" s="1" t="s">
        <v>42</v>
      </c>
      <c r="J1008">
        <v>10.5</v>
      </c>
      <c r="K1008">
        <v>30.99</v>
      </c>
      <c r="L1008" s="1" t="s">
        <v>28</v>
      </c>
      <c r="M1008" s="1" t="s">
        <v>43</v>
      </c>
      <c r="N1008" s="1" t="s">
        <v>44</v>
      </c>
      <c r="O1008" s="1" t="s">
        <v>31</v>
      </c>
      <c r="P1008" s="2">
        <v>45823</v>
      </c>
      <c r="Q1008" s="1" t="s">
        <v>1639</v>
      </c>
      <c r="R1008" s="1" t="s">
        <v>1640</v>
      </c>
      <c r="S1008" s="1" t="s">
        <v>105</v>
      </c>
      <c r="T1008" s="1" t="s">
        <v>35</v>
      </c>
      <c r="U1008" s="1" t="s">
        <v>36</v>
      </c>
      <c r="V1008" s="1" t="s">
        <v>37</v>
      </c>
      <c r="W1008">
        <v>2</v>
      </c>
      <c r="X1008" s="1" t="str">
        <f t="shared" si="45"/>
        <v>miguel.perez86@mail.com</v>
      </c>
      <c r="Y1008" s="1" t="str">
        <f>INDEX(V:V,MATCH(orders_desnormalizado_prueba3[[#This Row],[acquisition_channel]],U:U,0))</f>
        <v>Bodega Propia CO - envio 2-3 dias</v>
      </c>
      <c r="Z1008" s="1" t="str">
        <f>INDEX(T:T,MATCH(orders_desnormalizado_prueba3[[#This Row],[shipping_cost]],W:W,0))</f>
        <v>Colombia</v>
      </c>
      <c r="AA1008" s="1" t="str">
        <f t="shared" si="46"/>
        <v>Medellin</v>
      </c>
      <c r="AB1008" s="1"/>
      <c r="AC1008" s="1" t="str">
        <f t="shared" si="47"/>
        <v xml:space="preserve"> </v>
      </c>
    </row>
    <row r="1009" spans="1:29" x14ac:dyDescent="0.3">
      <c r="A1009" s="1" t="s">
        <v>2206</v>
      </c>
      <c r="B1009">
        <v>3</v>
      </c>
      <c r="C1009">
        <v>21.99</v>
      </c>
      <c r="D1009">
        <v>51.96</v>
      </c>
      <c r="E1009" s="1" t="s">
        <v>2142</v>
      </c>
      <c r="F1009" s="1" t="s">
        <v>188</v>
      </c>
      <c r="G1009">
        <v>0</v>
      </c>
      <c r="H1009" s="1" t="s">
        <v>58</v>
      </c>
      <c r="I1009" s="1" t="s">
        <v>27</v>
      </c>
      <c r="J1009">
        <v>7</v>
      </c>
      <c r="K1009">
        <v>21.99</v>
      </c>
      <c r="L1009" s="1" t="s">
        <v>28</v>
      </c>
      <c r="M1009" s="1" t="s">
        <v>29</v>
      </c>
      <c r="N1009" s="1" t="s">
        <v>30</v>
      </c>
      <c r="O1009" s="1" t="s">
        <v>31</v>
      </c>
      <c r="P1009" s="2">
        <v>45778</v>
      </c>
      <c r="Q1009" s="1" t="s">
        <v>865</v>
      </c>
      <c r="R1009" s="1" t="s">
        <v>866</v>
      </c>
      <c r="S1009" s="1" t="s">
        <v>105</v>
      </c>
      <c r="T1009" s="1" t="s">
        <v>35</v>
      </c>
      <c r="U1009" s="1" t="s">
        <v>36</v>
      </c>
      <c r="V1009" s="1" t="s">
        <v>37</v>
      </c>
      <c r="W1009">
        <v>2</v>
      </c>
      <c r="X1009" s="1" t="str">
        <f t="shared" si="45"/>
        <v>juan.ortiz87@mail.com</v>
      </c>
      <c r="Y1009" s="1" t="str">
        <f>INDEX(V:V,MATCH(orders_desnormalizado_prueba3[[#This Row],[acquisition_channel]],U:U,0))</f>
        <v>Bodega Propia CO - envio 2-3 dias</v>
      </c>
      <c r="Z1009" s="1" t="str">
        <f>INDEX(T:T,MATCH(orders_desnormalizado_prueba3[[#This Row],[shipping_cost]],W:W,0))</f>
        <v>Colombia</v>
      </c>
      <c r="AA1009" s="1" t="str">
        <f t="shared" si="46"/>
        <v>Cartagena</v>
      </c>
      <c r="AB1009" s="1"/>
      <c r="AC1009" s="1" t="str">
        <f t="shared" si="47"/>
        <v xml:space="preserve"> </v>
      </c>
    </row>
    <row r="1010" spans="1:29" x14ac:dyDescent="0.3">
      <c r="A1010" s="1" t="s">
        <v>2207</v>
      </c>
      <c r="B1010">
        <v>2</v>
      </c>
      <c r="C1010">
        <v>27.99</v>
      </c>
      <c r="D1010">
        <v>48.1</v>
      </c>
      <c r="E1010" s="1" t="s">
        <v>727</v>
      </c>
      <c r="F1010" s="1" t="s">
        <v>40</v>
      </c>
      <c r="G1010">
        <v>2</v>
      </c>
      <c r="H1010" s="1" t="s">
        <v>58</v>
      </c>
      <c r="I1010" s="1" t="s">
        <v>75</v>
      </c>
      <c r="J1010">
        <v>9</v>
      </c>
      <c r="K1010">
        <v>27.99</v>
      </c>
      <c r="L1010" s="1" t="s">
        <v>28</v>
      </c>
      <c r="M1010" s="1" t="s">
        <v>61</v>
      </c>
      <c r="N1010" s="1" t="s">
        <v>62</v>
      </c>
      <c r="O1010" s="1" t="s">
        <v>31</v>
      </c>
      <c r="P1010" s="2">
        <v>45726</v>
      </c>
      <c r="Q1010" s="1" t="s">
        <v>234</v>
      </c>
      <c r="R1010" s="1" t="s">
        <v>1646</v>
      </c>
      <c r="S1010" s="1" t="s">
        <v>54</v>
      </c>
      <c r="T1010" s="1" t="s">
        <v>35</v>
      </c>
      <c r="U1010" s="1" t="s">
        <v>36</v>
      </c>
      <c r="V1010" s="1" t="s">
        <v>37</v>
      </c>
      <c r="W1010">
        <v>2</v>
      </c>
      <c r="X1010" s="1" t="str">
        <f t="shared" si="45"/>
        <v>david.sanchez5@mail.com</v>
      </c>
      <c r="Y1010" s="1" t="str">
        <f>INDEX(V:V,MATCH(orders_desnormalizado_prueba3[[#This Row],[acquisition_channel]],U:U,0))</f>
        <v>Bodega Propia CO - envio 2-3 dias</v>
      </c>
      <c r="Z1010" s="1" t="str">
        <f>INDEX(T:T,MATCH(orders_desnormalizado_prueba3[[#This Row],[shipping_cost]],W:W,0))</f>
        <v>Colombia</v>
      </c>
      <c r="AA1010" s="1" t="str">
        <f t="shared" si="46"/>
        <v>Medellin</v>
      </c>
      <c r="AB1010" s="1"/>
      <c r="AC1010" s="1" t="str">
        <f t="shared" si="47"/>
        <v xml:space="preserve"> </v>
      </c>
    </row>
    <row r="1011" spans="1:29" x14ac:dyDescent="0.3">
      <c r="A1011" s="1" t="s">
        <v>2208</v>
      </c>
      <c r="B1011">
        <v>1</v>
      </c>
      <c r="C1011">
        <v>30.99</v>
      </c>
      <c r="D1011">
        <v>30.99</v>
      </c>
      <c r="E1011" s="1" t="s">
        <v>348</v>
      </c>
      <c r="F1011" s="1" t="s">
        <v>40</v>
      </c>
      <c r="G1011">
        <v>3</v>
      </c>
      <c r="H1011" s="1" t="s">
        <v>96</v>
      </c>
      <c r="I1011" s="1" t="s">
        <v>42</v>
      </c>
      <c r="J1011">
        <v>10.5</v>
      </c>
      <c r="K1011">
        <v>30.99</v>
      </c>
      <c r="L1011" s="1" t="s">
        <v>28</v>
      </c>
      <c r="M1011" s="1" t="s">
        <v>43</v>
      </c>
      <c r="N1011" s="1" t="s">
        <v>44</v>
      </c>
      <c r="O1011" s="1" t="s">
        <v>31</v>
      </c>
      <c r="P1011" s="2">
        <v>45823</v>
      </c>
      <c r="Q1011" s="1" t="s">
        <v>1620</v>
      </c>
      <c r="R1011" s="1" t="s">
        <v>1621</v>
      </c>
      <c r="S1011" s="1" t="s">
        <v>88</v>
      </c>
      <c r="T1011" s="1" t="s">
        <v>35</v>
      </c>
      <c r="U1011" s="1" t="s">
        <v>82</v>
      </c>
      <c r="V1011" s="1" t="s">
        <v>37</v>
      </c>
      <c r="W1011">
        <v>2</v>
      </c>
      <c r="X1011" s="1" t="str">
        <f t="shared" si="45"/>
        <v>catalina.diaz162@mail.com</v>
      </c>
      <c r="Y1011" s="1" t="str">
        <f>INDEX(V:V,MATCH(orders_desnormalizado_prueba3[[#This Row],[acquisition_channel]],U:U,0))</f>
        <v>Bodega Propia CO - envio 2-3 dias</v>
      </c>
      <c r="Z1011" s="1" t="str">
        <f>INDEX(T:T,MATCH(orders_desnormalizado_prueba3[[#This Row],[shipping_cost]],W:W,0))</f>
        <v>Colombia</v>
      </c>
      <c r="AA1011" s="1" t="str">
        <f t="shared" si="46"/>
        <v>Barranquilla</v>
      </c>
      <c r="AB1011" s="1"/>
      <c r="AC1011" s="1" t="str">
        <f t="shared" si="47"/>
        <v xml:space="preserve"> </v>
      </c>
    </row>
    <row r="1012" spans="1:29" x14ac:dyDescent="0.3">
      <c r="A1012" s="1" t="s">
        <v>2209</v>
      </c>
      <c r="B1012">
        <v>3</v>
      </c>
      <c r="C1012">
        <v>18.989999999999998</v>
      </c>
      <c r="D1012">
        <v>45.28</v>
      </c>
      <c r="E1012" s="1" t="s">
        <v>1749</v>
      </c>
      <c r="F1012" s="1" t="s">
        <v>40</v>
      </c>
      <c r="G1012">
        <v>14</v>
      </c>
      <c r="H1012" s="1" t="s">
        <v>26</v>
      </c>
      <c r="I1012" s="1" t="s">
        <v>97</v>
      </c>
      <c r="J1012">
        <v>6</v>
      </c>
      <c r="K1012">
        <v>18.989999999999998</v>
      </c>
      <c r="L1012" s="1" t="s">
        <v>60</v>
      </c>
      <c r="M1012" s="1" t="s">
        <v>43</v>
      </c>
      <c r="N1012" s="1" t="s">
        <v>44</v>
      </c>
      <c r="O1012" s="1" t="s">
        <v>31</v>
      </c>
      <c r="P1012" s="2">
        <v>45823</v>
      </c>
      <c r="Q1012" s="1" t="s">
        <v>1097</v>
      </c>
      <c r="R1012" s="1" t="s">
        <v>1098</v>
      </c>
      <c r="S1012" s="1" t="s">
        <v>65</v>
      </c>
      <c r="T1012" s="1" t="s">
        <v>35</v>
      </c>
      <c r="U1012" s="1" t="s">
        <v>48</v>
      </c>
      <c r="V1012" s="1" t="s">
        <v>100</v>
      </c>
      <c r="W1012">
        <v>3.2</v>
      </c>
      <c r="X1012" s="1" t="str">
        <f t="shared" si="45"/>
        <v>isabella.rodriguez3@mail.com</v>
      </c>
      <c r="Y1012" s="1" t="str">
        <f>INDEX(V:V,MATCH(orders_desnormalizado_prueba3[[#This Row],[acquisition_channel]],U:U,0))</f>
        <v>Bodega Propia CO - envio 2-3 dias</v>
      </c>
      <c r="Z1012" s="1" t="str">
        <f>INDEX(T:T,MATCH(orders_desnormalizado_prueba3[[#This Row],[shipping_cost]],W:W,0))</f>
        <v>Colombia</v>
      </c>
      <c r="AA1012" s="1" t="str">
        <f t="shared" si="46"/>
        <v>Bogota</v>
      </c>
      <c r="AB1012" s="1"/>
      <c r="AC1012" s="1" t="str">
        <f t="shared" si="47"/>
        <v xml:space="preserve"> </v>
      </c>
    </row>
    <row r="1013" spans="1:29" x14ac:dyDescent="0.3">
      <c r="A1013" s="1" t="s">
        <v>2210</v>
      </c>
      <c r="B1013">
        <v>3</v>
      </c>
      <c r="C1013">
        <v>27.99</v>
      </c>
      <c r="D1013">
        <v>66.239999999999995</v>
      </c>
      <c r="E1013" s="1" t="s">
        <v>2093</v>
      </c>
      <c r="F1013" s="1" t="s">
        <v>51</v>
      </c>
      <c r="G1013">
        <v>0</v>
      </c>
      <c r="H1013" s="1" t="s">
        <v>41</v>
      </c>
      <c r="I1013" s="1" t="s">
        <v>75</v>
      </c>
      <c r="J1013">
        <v>9</v>
      </c>
      <c r="K1013">
        <v>27.99</v>
      </c>
      <c r="L1013" s="1" t="s">
        <v>28</v>
      </c>
      <c r="M1013" s="1" t="s">
        <v>61</v>
      </c>
      <c r="N1013" s="1" t="s">
        <v>62</v>
      </c>
      <c r="O1013" s="1" t="s">
        <v>31</v>
      </c>
      <c r="P1013" s="2">
        <v>45726</v>
      </c>
      <c r="Q1013" s="1" t="s">
        <v>140</v>
      </c>
      <c r="R1013" s="1" t="s">
        <v>1199</v>
      </c>
      <c r="S1013" s="1" t="s">
        <v>65</v>
      </c>
      <c r="T1013" s="1" t="s">
        <v>35</v>
      </c>
      <c r="U1013" s="1" t="s">
        <v>36</v>
      </c>
      <c r="V1013" s="1" t="s">
        <v>37</v>
      </c>
      <c r="W1013">
        <v>2</v>
      </c>
      <c r="X1013" s="1" t="str">
        <f t="shared" si="45"/>
        <v>david.rodriguez33@mail.com</v>
      </c>
      <c r="Y1013" s="1" t="str">
        <f>INDEX(V:V,MATCH(orders_desnormalizado_prueba3[[#This Row],[acquisition_channel]],U:U,0))</f>
        <v>Bodega Propia CO - envio 2-3 dias</v>
      </c>
      <c r="Z1013" s="1" t="str">
        <f>INDEX(T:T,MATCH(orders_desnormalizado_prueba3[[#This Row],[shipping_cost]],W:W,0))</f>
        <v>Colombia</v>
      </c>
      <c r="AA1013" s="1" t="str">
        <f t="shared" si="46"/>
        <v>Cartagena</v>
      </c>
      <c r="AB1013" s="1"/>
      <c r="AC1013" s="1" t="str">
        <f t="shared" si="47"/>
        <v xml:space="preserve"> </v>
      </c>
    </row>
    <row r="1014" spans="1:29" x14ac:dyDescent="0.3">
      <c r="A1014" s="1" t="s">
        <v>2211</v>
      </c>
      <c r="B1014">
        <v>1</v>
      </c>
      <c r="C1014">
        <v>27.99</v>
      </c>
      <c r="D1014">
        <v>27.99</v>
      </c>
      <c r="E1014" s="1" t="s">
        <v>252</v>
      </c>
      <c r="F1014" s="1" t="s">
        <v>40</v>
      </c>
      <c r="G1014">
        <v>3</v>
      </c>
      <c r="H1014" s="1" t="s">
        <v>58</v>
      </c>
      <c r="I1014" s="1" t="s">
        <v>75</v>
      </c>
      <c r="J1014">
        <v>9</v>
      </c>
      <c r="K1014">
        <v>27.99</v>
      </c>
      <c r="L1014" s="1" t="s">
        <v>28</v>
      </c>
      <c r="M1014" s="1" t="s">
        <v>61</v>
      </c>
      <c r="N1014" s="1" t="s">
        <v>62</v>
      </c>
      <c r="O1014" s="1" t="s">
        <v>31</v>
      </c>
      <c r="P1014" s="2">
        <v>45726</v>
      </c>
      <c r="Q1014" s="1" t="s">
        <v>1940</v>
      </c>
      <c r="R1014" s="1" t="s">
        <v>1941</v>
      </c>
      <c r="S1014" s="1" t="s">
        <v>34</v>
      </c>
      <c r="T1014" s="1" t="s">
        <v>35</v>
      </c>
      <c r="U1014" s="1" t="s">
        <v>48</v>
      </c>
      <c r="V1014" s="1" t="s">
        <v>37</v>
      </c>
      <c r="W1014">
        <v>2</v>
      </c>
      <c r="X1014" s="1" t="str">
        <f t="shared" si="45"/>
        <v>carlos.ramirez199@mail.com</v>
      </c>
      <c r="Y1014" s="1" t="str">
        <f>INDEX(V:V,MATCH(orders_desnormalizado_prueba3[[#This Row],[acquisition_channel]],U:U,0))</f>
        <v>Bodega Propia CO - envio 2-3 dias</v>
      </c>
      <c r="Z1014" s="1" t="str">
        <f>INDEX(T:T,MATCH(orders_desnormalizado_prueba3[[#This Row],[shipping_cost]],W:W,0))</f>
        <v>Colombia</v>
      </c>
      <c r="AA1014" s="1" t="str">
        <f t="shared" si="46"/>
        <v>Barranquilla</v>
      </c>
      <c r="AB1014" s="1"/>
      <c r="AC1014" s="1" t="str">
        <f t="shared" si="47"/>
        <v xml:space="preserve"> </v>
      </c>
    </row>
    <row r="1015" spans="1:29" x14ac:dyDescent="0.3">
      <c r="A1015" s="1" t="s">
        <v>2212</v>
      </c>
      <c r="B1015">
        <v>1</v>
      </c>
      <c r="C1015">
        <v>18.989999999999998</v>
      </c>
      <c r="D1015">
        <v>18.989999999999998</v>
      </c>
      <c r="E1015" s="1" t="s">
        <v>297</v>
      </c>
      <c r="F1015" s="1" t="s">
        <v>40</v>
      </c>
      <c r="G1015">
        <v>10</v>
      </c>
      <c r="H1015" s="1" t="s">
        <v>26</v>
      </c>
      <c r="I1015" s="1" t="s">
        <v>97</v>
      </c>
      <c r="J1015">
        <v>6</v>
      </c>
      <c r="K1015">
        <v>18.989999999999998</v>
      </c>
      <c r="L1015" s="1" t="s">
        <v>60</v>
      </c>
      <c r="M1015" s="1" t="s">
        <v>43</v>
      </c>
      <c r="N1015" s="1" t="s">
        <v>44</v>
      </c>
      <c r="O1015" s="1" t="s">
        <v>31</v>
      </c>
      <c r="P1015" s="2">
        <v>45823</v>
      </c>
      <c r="Q1015" s="1" t="s">
        <v>865</v>
      </c>
      <c r="R1015" s="1" t="s">
        <v>866</v>
      </c>
      <c r="S1015" s="1" t="s">
        <v>105</v>
      </c>
      <c r="T1015" s="1" t="s">
        <v>35</v>
      </c>
      <c r="U1015" s="1" t="s">
        <v>36</v>
      </c>
      <c r="V1015" s="1" t="s">
        <v>100</v>
      </c>
      <c r="W1015">
        <v>3.2</v>
      </c>
      <c r="X1015" s="1" t="str">
        <f t="shared" si="45"/>
        <v>juan.ortiz87@mail.com</v>
      </c>
      <c r="Y1015" s="1" t="str">
        <f>INDEX(V:V,MATCH(orders_desnormalizado_prueba3[[#This Row],[acquisition_channel]],U:U,0))</f>
        <v>Bodega Propia CO - envio 2-3 dias</v>
      </c>
      <c r="Z1015" s="1" t="str">
        <f>INDEX(T:T,MATCH(orders_desnormalizado_prueba3[[#This Row],[shipping_cost]],W:W,0))</f>
        <v>Colombia</v>
      </c>
      <c r="AA1015" s="1" t="str">
        <f t="shared" si="46"/>
        <v>Bogota</v>
      </c>
      <c r="AB1015" s="1"/>
      <c r="AC1015" s="1" t="str">
        <f t="shared" si="47"/>
        <v xml:space="preserve"> </v>
      </c>
    </row>
    <row r="1016" spans="1:29" x14ac:dyDescent="0.3">
      <c r="A1016" s="1" t="s">
        <v>2213</v>
      </c>
      <c r="B1016">
        <v>2</v>
      </c>
      <c r="C1016">
        <v>27.99</v>
      </c>
      <c r="D1016">
        <v>48.54</v>
      </c>
      <c r="E1016" s="1" t="s">
        <v>1492</v>
      </c>
      <c r="F1016" s="1" t="s">
        <v>70</v>
      </c>
      <c r="G1016">
        <v>0</v>
      </c>
      <c r="H1016" s="1" t="s">
        <v>41</v>
      </c>
      <c r="I1016" s="1" t="s">
        <v>75</v>
      </c>
      <c r="J1016">
        <v>9</v>
      </c>
      <c r="K1016">
        <v>27.99</v>
      </c>
      <c r="L1016" s="1" t="s">
        <v>28</v>
      </c>
      <c r="M1016" s="1" t="s">
        <v>61</v>
      </c>
      <c r="N1016" s="1" t="s">
        <v>62</v>
      </c>
      <c r="O1016" s="1" t="s">
        <v>31</v>
      </c>
      <c r="P1016" s="2">
        <v>45726</v>
      </c>
      <c r="Q1016" s="1" t="s">
        <v>1887</v>
      </c>
      <c r="R1016" s="1" t="s">
        <v>1888</v>
      </c>
      <c r="S1016" s="1" t="s">
        <v>88</v>
      </c>
      <c r="T1016" s="1" t="s">
        <v>35</v>
      </c>
      <c r="U1016" s="1" t="s">
        <v>82</v>
      </c>
      <c r="V1016" s="1" t="s">
        <v>37</v>
      </c>
      <c r="W1016">
        <v>2</v>
      </c>
      <c r="X1016" s="1" t="str">
        <f t="shared" si="45"/>
        <v>daniela.perez170@mail.com</v>
      </c>
      <c r="Y1016" s="1" t="str">
        <f>INDEX(V:V,MATCH(orders_desnormalizado_prueba3[[#This Row],[acquisition_channel]],U:U,0))</f>
        <v>Bodega Propia CO - envio 2-3 dias</v>
      </c>
      <c r="Z1016" s="1" t="str">
        <f>INDEX(T:T,MATCH(orders_desnormalizado_prueba3[[#This Row],[shipping_cost]],W:W,0))</f>
        <v>Colombia</v>
      </c>
      <c r="AA1016" s="1" t="str">
        <f t="shared" si="46"/>
        <v>Cartagena</v>
      </c>
      <c r="AB1016" s="1"/>
      <c r="AC1016" s="1" t="str">
        <f t="shared" si="47"/>
        <v xml:space="preserve"> </v>
      </c>
    </row>
    <row r="1017" spans="1:29" x14ac:dyDescent="0.3">
      <c r="A1017" s="1" t="s">
        <v>2214</v>
      </c>
      <c r="B1017">
        <v>3</v>
      </c>
      <c r="C1017">
        <v>16.989999999999998</v>
      </c>
      <c r="D1017">
        <v>41.09</v>
      </c>
      <c r="E1017" s="1" t="s">
        <v>1227</v>
      </c>
      <c r="F1017" s="1" t="s">
        <v>188</v>
      </c>
      <c r="G1017">
        <v>0</v>
      </c>
      <c r="H1017" s="1" t="s">
        <v>26</v>
      </c>
      <c r="I1017" s="1" t="s">
        <v>59</v>
      </c>
      <c r="J1017">
        <v>5</v>
      </c>
      <c r="K1017">
        <v>16.989999999999998</v>
      </c>
      <c r="L1017" s="1" t="s">
        <v>60</v>
      </c>
      <c r="M1017" s="1" t="s">
        <v>61</v>
      </c>
      <c r="N1017" s="1" t="s">
        <v>62</v>
      </c>
      <c r="O1017" s="1" t="s">
        <v>31</v>
      </c>
      <c r="P1017" s="2">
        <v>45726</v>
      </c>
      <c r="Q1017" s="1" t="s">
        <v>1218</v>
      </c>
      <c r="R1017" s="1" t="s">
        <v>1219</v>
      </c>
      <c r="S1017" s="1" t="s">
        <v>105</v>
      </c>
      <c r="T1017" s="1" t="s">
        <v>35</v>
      </c>
      <c r="U1017" s="1" t="s">
        <v>82</v>
      </c>
      <c r="V1017" s="1" t="s">
        <v>67</v>
      </c>
      <c r="W1017">
        <v>3</v>
      </c>
      <c r="X1017" s="1" t="str">
        <f t="shared" si="45"/>
        <v>mateo.jimenez97@mail.com</v>
      </c>
      <c r="Y1017" s="1" t="str">
        <f>INDEX(V:V,MATCH(orders_desnormalizado_prueba3[[#This Row],[acquisition_channel]],U:U,0))</f>
        <v>Bodega Propia CO - envio 2-3 dias</v>
      </c>
      <c r="Z1017" s="1" t="str">
        <f>INDEX(T:T,MATCH(orders_desnormalizado_prueba3[[#This Row],[shipping_cost]],W:W,0))</f>
        <v>Colombia</v>
      </c>
      <c r="AA1017" s="1" t="str">
        <f t="shared" si="46"/>
        <v>Cartagena</v>
      </c>
      <c r="AB1017" s="1"/>
      <c r="AC1017" s="1" t="str">
        <f t="shared" si="47"/>
        <v xml:space="preserve"> </v>
      </c>
    </row>
    <row r="1018" spans="1:29" x14ac:dyDescent="0.3">
      <c r="A1018" s="1" t="s">
        <v>2215</v>
      </c>
      <c r="B1018">
        <v>1</v>
      </c>
      <c r="C1018">
        <v>30.99</v>
      </c>
      <c r="D1018">
        <v>30.99</v>
      </c>
      <c r="E1018" s="1" t="s">
        <v>1881</v>
      </c>
      <c r="F1018" s="1" t="s">
        <v>40</v>
      </c>
      <c r="G1018">
        <v>3</v>
      </c>
      <c r="H1018" s="1" t="s">
        <v>96</v>
      </c>
      <c r="I1018" s="1" t="s">
        <v>42</v>
      </c>
      <c r="J1018">
        <v>10.5</v>
      </c>
      <c r="K1018">
        <v>30.99</v>
      </c>
      <c r="L1018" s="1" t="s">
        <v>28</v>
      </c>
      <c r="M1018" s="1" t="s">
        <v>43</v>
      </c>
      <c r="N1018" s="1" t="s">
        <v>44</v>
      </c>
      <c r="O1018" s="1" t="s">
        <v>31</v>
      </c>
      <c r="P1018" s="2">
        <v>45823</v>
      </c>
      <c r="Q1018" s="1" t="s">
        <v>893</v>
      </c>
      <c r="R1018" s="1" t="s">
        <v>1300</v>
      </c>
      <c r="S1018" s="1" t="s">
        <v>34</v>
      </c>
      <c r="T1018" s="1" t="s">
        <v>35</v>
      </c>
      <c r="U1018" s="1" t="s">
        <v>66</v>
      </c>
      <c r="V1018" s="1" t="s">
        <v>37</v>
      </c>
      <c r="W1018">
        <v>2</v>
      </c>
      <c r="X1018" s="1" t="str">
        <f t="shared" si="45"/>
        <v>gabriela.jimenez17@mail.com</v>
      </c>
      <c r="Y1018" s="1" t="str">
        <f>INDEX(V:V,MATCH(orders_desnormalizado_prueba3[[#This Row],[acquisition_channel]],U:U,0))</f>
        <v>AliDropship CN - envio 15-20 dias</v>
      </c>
      <c r="Z1018" s="1" t="str">
        <f>INDEX(T:T,MATCH(orders_desnormalizado_prueba3[[#This Row],[shipping_cost]],W:W,0))</f>
        <v>Colombia</v>
      </c>
      <c r="AA1018" s="1" t="str">
        <f t="shared" si="46"/>
        <v>Barranquilla</v>
      </c>
      <c r="AB1018" s="1"/>
      <c r="AC1018" s="1" t="str">
        <f t="shared" si="47"/>
        <v xml:space="preserve"> </v>
      </c>
    </row>
    <row r="1019" spans="1:29" x14ac:dyDescent="0.3">
      <c r="A1019" s="1" t="s">
        <v>2216</v>
      </c>
      <c r="B1019">
        <v>1</v>
      </c>
      <c r="C1019">
        <v>18.989999999999998</v>
      </c>
      <c r="D1019">
        <v>18.989999999999998</v>
      </c>
      <c r="E1019" s="1" t="s">
        <v>1233</v>
      </c>
      <c r="F1019" s="1" t="s">
        <v>51</v>
      </c>
      <c r="G1019">
        <v>0</v>
      </c>
      <c r="H1019" s="1" t="s">
        <v>26</v>
      </c>
      <c r="I1019" s="1" t="s">
        <v>97</v>
      </c>
      <c r="J1019">
        <v>6</v>
      </c>
      <c r="K1019">
        <v>18.989999999999998</v>
      </c>
      <c r="L1019" s="1" t="s">
        <v>60</v>
      </c>
      <c r="M1019" s="1" t="s">
        <v>43</v>
      </c>
      <c r="N1019" s="1" t="s">
        <v>44</v>
      </c>
      <c r="O1019" s="1" t="s">
        <v>31</v>
      </c>
      <c r="P1019" s="2">
        <v>45823</v>
      </c>
      <c r="Q1019" s="1" t="s">
        <v>1728</v>
      </c>
      <c r="R1019" s="1" t="s">
        <v>1729</v>
      </c>
      <c r="S1019" s="1" t="s">
        <v>65</v>
      </c>
      <c r="T1019" s="1" t="s">
        <v>35</v>
      </c>
      <c r="U1019" s="1" t="s">
        <v>55</v>
      </c>
      <c r="V1019" s="1" t="s">
        <v>100</v>
      </c>
      <c r="W1019">
        <v>3.2</v>
      </c>
      <c r="X1019" s="1" t="str">
        <f t="shared" si="45"/>
        <v>santiago.rodriguez157@mail.com</v>
      </c>
      <c r="Y1019" s="1" t="str">
        <f>INDEX(V:V,MATCH(orders_desnormalizado_prueba3[[#This Row],[acquisition_channel]],U:U,0))</f>
        <v>Bodega Propia CO - envio 2-3 dias</v>
      </c>
      <c r="Z1019" s="1" t="str">
        <f>INDEX(T:T,MATCH(orders_desnormalizado_prueba3[[#This Row],[shipping_cost]],W:W,0))</f>
        <v>Colombia</v>
      </c>
      <c r="AA1019" s="1" t="str">
        <f t="shared" si="46"/>
        <v>Cartagena</v>
      </c>
      <c r="AB1019" s="1"/>
      <c r="AC1019" s="1" t="str">
        <f t="shared" si="47"/>
        <v xml:space="preserve"> </v>
      </c>
    </row>
    <row r="1020" spans="1:29" x14ac:dyDescent="0.3">
      <c r="A1020" s="1" t="s">
        <v>2217</v>
      </c>
      <c r="B1020">
        <v>3</v>
      </c>
      <c r="C1020">
        <v>16.989999999999998</v>
      </c>
      <c r="D1020">
        <v>41.25</v>
      </c>
      <c r="E1020" s="1" t="s">
        <v>2218</v>
      </c>
      <c r="F1020" s="1" t="s">
        <v>40</v>
      </c>
      <c r="G1020">
        <v>18</v>
      </c>
      <c r="H1020" s="1" t="s">
        <v>96</v>
      </c>
      <c r="I1020" s="1" t="s">
        <v>59</v>
      </c>
      <c r="J1020">
        <v>5</v>
      </c>
      <c r="K1020">
        <v>16.989999999999998</v>
      </c>
      <c r="L1020" s="1" t="s">
        <v>60</v>
      </c>
      <c r="M1020" s="1" t="s">
        <v>61</v>
      </c>
      <c r="N1020" s="1" t="s">
        <v>62</v>
      </c>
      <c r="O1020" s="1" t="s">
        <v>31</v>
      </c>
      <c r="P1020" s="2">
        <v>45726</v>
      </c>
      <c r="Q1020" s="1" t="s">
        <v>779</v>
      </c>
      <c r="R1020" s="1" t="s">
        <v>780</v>
      </c>
      <c r="S1020" s="1" t="s">
        <v>88</v>
      </c>
      <c r="T1020" s="1" t="s">
        <v>35</v>
      </c>
      <c r="U1020" s="1" t="s">
        <v>48</v>
      </c>
      <c r="V1020" s="1" t="s">
        <v>67</v>
      </c>
      <c r="W1020">
        <v>3</v>
      </c>
      <c r="X1020" s="1" t="str">
        <f t="shared" si="45"/>
        <v>alejandro.lopez109@mail.com</v>
      </c>
      <c r="Y1020" s="1" t="str">
        <f>INDEX(V:V,MATCH(orders_desnormalizado_prueba3[[#This Row],[acquisition_channel]],U:U,0))</f>
        <v>Bodega Propia CO - envio 2-3 dias</v>
      </c>
      <c r="Z1020" s="1" t="str">
        <f>INDEX(T:T,MATCH(orders_desnormalizado_prueba3[[#This Row],[shipping_cost]],W:W,0))</f>
        <v>Colombia</v>
      </c>
      <c r="AA1020" s="1" t="str">
        <f t="shared" si="46"/>
        <v>Medellin</v>
      </c>
      <c r="AB1020" s="1"/>
      <c r="AC1020" s="1" t="str">
        <f t="shared" si="47"/>
        <v xml:space="preserve"> </v>
      </c>
    </row>
    <row r="1021" spans="1:29" x14ac:dyDescent="0.3">
      <c r="A1021" s="1" t="s">
        <v>2219</v>
      </c>
      <c r="B1021">
        <v>2</v>
      </c>
      <c r="C1021">
        <v>27.99</v>
      </c>
      <c r="D1021">
        <v>48.89</v>
      </c>
      <c r="E1021" s="1" t="s">
        <v>2220</v>
      </c>
      <c r="F1021" s="1" t="s">
        <v>40</v>
      </c>
      <c r="G1021">
        <v>3</v>
      </c>
      <c r="H1021" s="1" t="s">
        <v>58</v>
      </c>
      <c r="I1021" s="1" t="s">
        <v>75</v>
      </c>
      <c r="J1021">
        <v>9</v>
      </c>
      <c r="K1021">
        <v>27.99</v>
      </c>
      <c r="L1021" s="1" t="s">
        <v>28</v>
      </c>
      <c r="M1021" s="1" t="s">
        <v>61</v>
      </c>
      <c r="N1021" s="1" t="s">
        <v>62</v>
      </c>
      <c r="O1021" s="1" t="s">
        <v>31</v>
      </c>
      <c r="P1021" s="2">
        <v>45726</v>
      </c>
      <c r="Q1021" s="1" t="s">
        <v>804</v>
      </c>
      <c r="R1021" s="1" t="s">
        <v>805</v>
      </c>
      <c r="S1021" s="1" t="s">
        <v>88</v>
      </c>
      <c r="T1021" s="1" t="s">
        <v>35</v>
      </c>
      <c r="U1021" s="1" t="s">
        <v>82</v>
      </c>
      <c r="V1021" s="1" t="s">
        <v>37</v>
      </c>
      <c r="W1021">
        <v>2</v>
      </c>
      <c r="X1021" s="1" t="str">
        <f t="shared" si="45"/>
        <v>ricardo.perez175@mail.com</v>
      </c>
      <c r="Y1021" s="1" t="str">
        <f>INDEX(V:V,MATCH(orders_desnormalizado_prueba3[[#This Row],[acquisition_channel]],U:U,0))</f>
        <v>Bodega Propia CO - envio 2-3 dias</v>
      </c>
      <c r="Z1021" s="1" t="str">
        <f>INDEX(T:T,MATCH(orders_desnormalizado_prueba3[[#This Row],[shipping_cost]],W:W,0))</f>
        <v>Colombia</v>
      </c>
      <c r="AA1021" s="1" t="str">
        <f t="shared" si="46"/>
        <v>Barranquilla</v>
      </c>
      <c r="AB1021" s="1"/>
      <c r="AC1021" s="1" t="str">
        <f t="shared" si="47"/>
        <v xml:space="preserve"> </v>
      </c>
    </row>
    <row r="1022" spans="1:29" x14ac:dyDescent="0.3">
      <c r="A1022" s="1" t="s">
        <v>2221</v>
      </c>
      <c r="B1022">
        <v>1</v>
      </c>
      <c r="C1022">
        <v>34.99</v>
      </c>
      <c r="D1022">
        <v>34.99</v>
      </c>
      <c r="E1022" s="1" t="s">
        <v>1153</v>
      </c>
      <c r="F1022" s="1" t="s">
        <v>51</v>
      </c>
      <c r="G1022">
        <v>0</v>
      </c>
      <c r="H1022" s="1" t="s">
        <v>41</v>
      </c>
      <c r="I1022" s="1" t="s">
        <v>85</v>
      </c>
      <c r="J1022">
        <v>12.5</v>
      </c>
      <c r="K1022">
        <v>34.99</v>
      </c>
      <c r="L1022" s="1" t="s">
        <v>60</v>
      </c>
      <c r="M1022" s="1" t="s">
        <v>29</v>
      </c>
      <c r="N1022" s="1" t="s">
        <v>30</v>
      </c>
      <c r="O1022" s="1" t="s">
        <v>31</v>
      </c>
      <c r="P1022" s="2">
        <v>45778</v>
      </c>
      <c r="Q1022" s="1" t="s">
        <v>1101</v>
      </c>
      <c r="R1022" s="1" t="s">
        <v>1102</v>
      </c>
      <c r="S1022" s="1" t="s">
        <v>47</v>
      </c>
      <c r="T1022" s="1" t="s">
        <v>35</v>
      </c>
      <c r="U1022" s="1" t="s">
        <v>48</v>
      </c>
      <c r="V1022" s="1" t="s">
        <v>89</v>
      </c>
      <c r="W1022">
        <v>2.4</v>
      </c>
      <c r="X1022" s="1" t="str">
        <f t="shared" si="45"/>
        <v>ricardo.gomez12@mail.com</v>
      </c>
      <c r="Y1022" s="1" t="str">
        <f>INDEX(V:V,MATCH(orders_desnormalizado_prueba3[[#This Row],[acquisition_channel]],U:U,0))</f>
        <v>Bodega Propia CO - envio 2-3 dias</v>
      </c>
      <c r="Z1022" s="1" t="str">
        <f>INDEX(T:T,MATCH(orders_desnormalizado_prueba3[[#This Row],[shipping_cost]],W:W,0))</f>
        <v>Colombia</v>
      </c>
      <c r="AA1022" s="1" t="str">
        <f t="shared" si="46"/>
        <v>Cartagena</v>
      </c>
      <c r="AB1022" s="1"/>
      <c r="AC1022" s="1" t="str">
        <f t="shared" si="47"/>
        <v xml:space="preserve"> </v>
      </c>
    </row>
    <row r="1023" spans="1:29" x14ac:dyDescent="0.3">
      <c r="A1023" s="1" t="s">
        <v>2222</v>
      </c>
      <c r="B1023">
        <v>2</v>
      </c>
      <c r="C1023">
        <v>30.99</v>
      </c>
      <c r="D1023">
        <v>53.02</v>
      </c>
      <c r="E1023" s="1" t="s">
        <v>274</v>
      </c>
      <c r="F1023" s="1" t="s">
        <v>40</v>
      </c>
      <c r="G1023">
        <v>3</v>
      </c>
      <c r="H1023" s="1" t="s">
        <v>26</v>
      </c>
      <c r="I1023" s="1" t="s">
        <v>42</v>
      </c>
      <c r="J1023">
        <v>10.5</v>
      </c>
      <c r="K1023">
        <v>30.99</v>
      </c>
      <c r="L1023" s="1" t="s">
        <v>28</v>
      </c>
      <c r="M1023" s="1" t="s">
        <v>43</v>
      </c>
      <c r="N1023" s="1" t="s">
        <v>44</v>
      </c>
      <c r="O1023" s="1" t="s">
        <v>31</v>
      </c>
      <c r="P1023" s="2">
        <v>45823</v>
      </c>
      <c r="Q1023" s="1" t="s">
        <v>137</v>
      </c>
      <c r="R1023" s="1" t="s">
        <v>1278</v>
      </c>
      <c r="S1023" s="1" t="s">
        <v>34</v>
      </c>
      <c r="T1023" s="1" t="s">
        <v>35</v>
      </c>
      <c r="U1023" s="1" t="s">
        <v>36</v>
      </c>
      <c r="V1023" s="1" t="s">
        <v>37</v>
      </c>
      <c r="W1023">
        <v>2</v>
      </c>
      <c r="X1023" s="1" t="str">
        <f t="shared" si="45"/>
        <v>camila.martinez65@mail.com</v>
      </c>
      <c r="Y1023" s="1" t="str">
        <f>INDEX(V:V,MATCH(orders_desnormalizado_prueba3[[#This Row],[acquisition_channel]],U:U,0))</f>
        <v>Bodega Propia CO - envio 2-3 dias</v>
      </c>
      <c r="Z1023" s="1" t="str">
        <f>INDEX(T:T,MATCH(orders_desnormalizado_prueba3[[#This Row],[shipping_cost]],W:W,0))</f>
        <v>Colombia</v>
      </c>
      <c r="AA1023" s="1" t="str">
        <f t="shared" si="46"/>
        <v>Barranquilla</v>
      </c>
      <c r="AB1023" s="1"/>
      <c r="AC1023" s="1" t="str">
        <f t="shared" si="47"/>
        <v xml:space="preserve"> </v>
      </c>
    </row>
    <row r="1024" spans="1:29" x14ac:dyDescent="0.3">
      <c r="A1024" s="1" t="s">
        <v>2223</v>
      </c>
      <c r="B1024">
        <v>2</v>
      </c>
      <c r="C1024">
        <v>18.989999999999998</v>
      </c>
      <c r="D1024">
        <v>32.770000000000003</v>
      </c>
      <c r="E1024" s="1" t="s">
        <v>1596</v>
      </c>
      <c r="F1024" s="1" t="s">
        <v>188</v>
      </c>
      <c r="G1024">
        <v>0</v>
      </c>
      <c r="H1024" s="1" t="s">
        <v>26</v>
      </c>
      <c r="I1024" s="1" t="s">
        <v>97</v>
      </c>
      <c r="J1024">
        <v>6</v>
      </c>
      <c r="K1024">
        <v>18.989999999999998</v>
      </c>
      <c r="L1024" s="1" t="s">
        <v>60</v>
      </c>
      <c r="M1024" s="1" t="s">
        <v>43</v>
      </c>
      <c r="N1024" s="1" t="s">
        <v>44</v>
      </c>
      <c r="O1024" s="1" t="s">
        <v>31</v>
      </c>
      <c r="P1024" s="2">
        <v>45823</v>
      </c>
      <c r="Q1024" s="1" t="s">
        <v>1533</v>
      </c>
      <c r="R1024" s="1" t="s">
        <v>1635</v>
      </c>
      <c r="S1024" s="1" t="s">
        <v>105</v>
      </c>
      <c r="T1024" s="1" t="s">
        <v>35</v>
      </c>
      <c r="U1024" s="1" t="s">
        <v>36</v>
      </c>
      <c r="V1024" s="1" t="s">
        <v>100</v>
      </c>
      <c r="W1024">
        <v>3.2</v>
      </c>
      <c r="X1024" s="1" t="str">
        <f t="shared" si="45"/>
        <v>laura.lopez49@mail.com</v>
      </c>
      <c r="Y1024" s="1" t="str">
        <f>INDEX(V:V,MATCH(orders_desnormalizado_prueba3[[#This Row],[acquisition_channel]],U:U,0))</f>
        <v>Bodega Propia CO - envio 2-3 dias</v>
      </c>
      <c r="Z1024" s="1" t="str">
        <f>INDEX(T:T,MATCH(orders_desnormalizado_prueba3[[#This Row],[shipping_cost]],W:W,0))</f>
        <v>Colombia</v>
      </c>
      <c r="AA1024" s="1" t="str">
        <f t="shared" si="46"/>
        <v>Cartagena</v>
      </c>
      <c r="AB1024" s="1"/>
      <c r="AC1024" s="1" t="str">
        <f t="shared" si="47"/>
        <v xml:space="preserve"> </v>
      </c>
    </row>
    <row r="1025" spans="1:29" x14ac:dyDescent="0.3">
      <c r="A1025" s="1" t="s">
        <v>2224</v>
      </c>
      <c r="B1025">
        <v>1</v>
      </c>
      <c r="C1025">
        <v>27.99</v>
      </c>
      <c r="D1025">
        <v>27.99</v>
      </c>
      <c r="E1025" s="1" t="s">
        <v>950</v>
      </c>
      <c r="F1025" s="1" t="s">
        <v>25</v>
      </c>
      <c r="G1025">
        <v>2</v>
      </c>
      <c r="H1025" s="1" t="s">
        <v>26</v>
      </c>
      <c r="I1025" s="1" t="s">
        <v>75</v>
      </c>
      <c r="J1025">
        <v>9</v>
      </c>
      <c r="K1025">
        <v>27.99</v>
      </c>
      <c r="L1025" s="1" t="s">
        <v>28</v>
      </c>
      <c r="M1025" s="1" t="s">
        <v>61</v>
      </c>
      <c r="N1025" s="1" t="s">
        <v>62</v>
      </c>
      <c r="O1025" s="1" t="s">
        <v>31</v>
      </c>
      <c r="P1025" s="2">
        <v>45726</v>
      </c>
      <c r="Q1025" s="1" t="s">
        <v>2225</v>
      </c>
      <c r="R1025" s="1" t="s">
        <v>2226</v>
      </c>
      <c r="S1025" s="1" t="s">
        <v>65</v>
      </c>
      <c r="T1025" s="1" t="s">
        <v>35</v>
      </c>
      <c r="U1025" s="1" t="s">
        <v>55</v>
      </c>
      <c r="V1025" s="1" t="s">
        <v>37</v>
      </c>
      <c r="W1025">
        <v>2</v>
      </c>
      <c r="X1025" s="1" t="str">
        <f t="shared" si="45"/>
        <v>carlos.lopez162@mail.com</v>
      </c>
      <c r="Y1025" s="1" t="str">
        <f>INDEX(V:V,MATCH(orders_desnormalizado_prueba3[[#This Row],[acquisition_channel]],U:U,0))</f>
        <v>Bodega Propia CO - envio 2-3 dias</v>
      </c>
      <c r="Z1025" s="1" t="str">
        <f>INDEX(T:T,MATCH(orders_desnormalizado_prueba3[[#This Row],[shipping_cost]],W:W,0))</f>
        <v>Colombia</v>
      </c>
      <c r="AA1025" s="1" t="str">
        <f t="shared" si="46"/>
        <v>Medellin</v>
      </c>
      <c r="AB1025" s="1"/>
      <c r="AC1025" s="1" t="str">
        <f t="shared" si="47"/>
        <v xml:space="preserve"> </v>
      </c>
    </row>
    <row r="1026" spans="1:29" x14ac:dyDescent="0.3">
      <c r="A1026" s="1" t="s">
        <v>2227</v>
      </c>
      <c r="B1026">
        <v>1</v>
      </c>
      <c r="C1026">
        <v>21.99</v>
      </c>
      <c r="D1026">
        <v>21.99</v>
      </c>
      <c r="E1026" s="1" t="s">
        <v>1893</v>
      </c>
      <c r="F1026" s="1" t="s">
        <v>25</v>
      </c>
      <c r="G1026">
        <v>3</v>
      </c>
      <c r="H1026" s="1" t="s">
        <v>58</v>
      </c>
      <c r="I1026" s="1" t="s">
        <v>27</v>
      </c>
      <c r="J1026">
        <v>7</v>
      </c>
      <c r="K1026">
        <v>21.99</v>
      </c>
      <c r="L1026" s="1" t="s">
        <v>28</v>
      </c>
      <c r="M1026" s="1" t="s">
        <v>29</v>
      </c>
      <c r="N1026" s="1" t="s">
        <v>30</v>
      </c>
      <c r="O1026" s="1" t="s">
        <v>31</v>
      </c>
      <c r="P1026" s="2">
        <v>45778</v>
      </c>
      <c r="Q1026" s="1" t="s">
        <v>1878</v>
      </c>
      <c r="R1026" s="1" t="s">
        <v>1879</v>
      </c>
      <c r="S1026" s="1" t="s">
        <v>54</v>
      </c>
      <c r="T1026" s="1" t="s">
        <v>35</v>
      </c>
      <c r="U1026" s="1" t="s">
        <v>66</v>
      </c>
      <c r="V1026" s="1" t="s">
        <v>37</v>
      </c>
      <c r="W1026">
        <v>2</v>
      </c>
      <c r="X1026" s="1" t="str">
        <f t="shared" ref="X1026:X1089" si="48">INDEX(R:R,MATCH(Q1026,Q:Q,0))</f>
        <v>ximena.vargas192@mail.com</v>
      </c>
      <c r="Y1026" s="1" t="str">
        <f>INDEX(V:V,MATCH(orders_desnormalizado_prueba3[[#This Row],[acquisition_channel]],U:U,0))</f>
        <v>AliDropship CN - envio 15-20 dias</v>
      </c>
      <c r="Z1026" s="1" t="str">
        <f>INDEX(T:T,MATCH(orders_desnormalizado_prueba3[[#This Row],[shipping_cost]],W:W,0))</f>
        <v>Colombia</v>
      </c>
      <c r="AA1026" s="1" t="str">
        <f t="shared" ref="AA1026:AA1089" si="49">INDEX(S:S,MATCH(G1026,G:G,0))</f>
        <v>Barranquilla</v>
      </c>
      <c r="AB1026" s="1"/>
      <c r="AC1026" s="1" t="str">
        <f t="shared" ref="AC1026:AC1089" si="50">IFERROR(INDEX($V:$V,MATCH(AB1026,$R:$R,0)), " ")</f>
        <v xml:space="preserve"> </v>
      </c>
    </row>
    <row r="1027" spans="1:29" x14ac:dyDescent="0.3">
      <c r="A1027" s="1" t="s">
        <v>2228</v>
      </c>
      <c r="B1027">
        <v>1</v>
      </c>
      <c r="C1027">
        <v>21.99</v>
      </c>
      <c r="D1027">
        <v>21.99</v>
      </c>
      <c r="E1027" s="1" t="s">
        <v>2229</v>
      </c>
      <c r="F1027" s="1" t="s">
        <v>188</v>
      </c>
      <c r="G1027">
        <v>0</v>
      </c>
      <c r="H1027" s="1" t="s">
        <v>41</v>
      </c>
      <c r="I1027" s="1" t="s">
        <v>27</v>
      </c>
      <c r="J1027">
        <v>7</v>
      </c>
      <c r="K1027">
        <v>21.99</v>
      </c>
      <c r="L1027" s="1" t="s">
        <v>28</v>
      </c>
      <c r="M1027" s="1" t="s">
        <v>29</v>
      </c>
      <c r="N1027" s="1" t="s">
        <v>30</v>
      </c>
      <c r="O1027" s="1" t="s">
        <v>31</v>
      </c>
      <c r="P1027" s="2">
        <v>45778</v>
      </c>
      <c r="Q1027" s="1" t="s">
        <v>1157</v>
      </c>
      <c r="R1027" s="1" t="s">
        <v>1158</v>
      </c>
      <c r="S1027" s="1" t="s">
        <v>105</v>
      </c>
      <c r="T1027" s="1" t="s">
        <v>35</v>
      </c>
      <c r="U1027" s="1" t="s">
        <v>55</v>
      </c>
      <c r="V1027" s="1" t="s">
        <v>37</v>
      </c>
      <c r="W1027">
        <v>2</v>
      </c>
      <c r="X1027" s="1" t="str">
        <f t="shared" si="48"/>
        <v>alejandro.ramirez94@mail.com</v>
      </c>
      <c r="Y1027" s="1" t="str">
        <f>INDEX(V:V,MATCH(orders_desnormalizado_prueba3[[#This Row],[acquisition_channel]],U:U,0))</f>
        <v>Bodega Propia CO - envio 2-3 dias</v>
      </c>
      <c r="Z1027" s="1" t="str">
        <f>INDEX(T:T,MATCH(orders_desnormalizado_prueba3[[#This Row],[shipping_cost]],W:W,0))</f>
        <v>Colombia</v>
      </c>
      <c r="AA1027" s="1" t="str">
        <f t="shared" si="49"/>
        <v>Cartagena</v>
      </c>
      <c r="AB1027" s="1"/>
      <c r="AC1027" s="1" t="str">
        <f t="shared" si="50"/>
        <v xml:space="preserve"> </v>
      </c>
    </row>
    <row r="1028" spans="1:29" x14ac:dyDescent="0.3">
      <c r="A1028" s="1" t="s">
        <v>2230</v>
      </c>
      <c r="B1028">
        <v>2</v>
      </c>
      <c r="C1028">
        <v>34.99</v>
      </c>
      <c r="D1028">
        <v>61.18</v>
      </c>
      <c r="E1028" s="1" t="s">
        <v>146</v>
      </c>
      <c r="F1028" s="1" t="s">
        <v>40</v>
      </c>
      <c r="G1028">
        <v>8</v>
      </c>
      <c r="H1028" s="1" t="s">
        <v>58</v>
      </c>
      <c r="I1028" s="1" t="s">
        <v>85</v>
      </c>
      <c r="J1028">
        <v>12.5</v>
      </c>
      <c r="K1028">
        <v>34.99</v>
      </c>
      <c r="L1028" s="1" t="s">
        <v>60</v>
      </c>
      <c r="M1028" s="1" t="s">
        <v>29</v>
      </c>
      <c r="N1028" s="1" t="s">
        <v>30</v>
      </c>
      <c r="O1028" s="1" t="s">
        <v>31</v>
      </c>
      <c r="P1028" s="2">
        <v>45778</v>
      </c>
      <c r="Q1028" s="1" t="s">
        <v>1466</v>
      </c>
      <c r="R1028" s="1" t="s">
        <v>1467</v>
      </c>
      <c r="S1028" s="1" t="s">
        <v>65</v>
      </c>
      <c r="T1028" s="1" t="s">
        <v>35</v>
      </c>
      <c r="U1028" s="1" t="s">
        <v>48</v>
      </c>
      <c r="V1028" s="1" t="s">
        <v>89</v>
      </c>
      <c r="W1028">
        <v>2.4</v>
      </c>
      <c r="X1028" s="1" t="str">
        <f t="shared" si="48"/>
        <v>maria.rodriguez64@mail.com</v>
      </c>
      <c r="Y1028" s="1" t="str">
        <f>INDEX(V:V,MATCH(orders_desnormalizado_prueba3[[#This Row],[acquisition_channel]],U:U,0))</f>
        <v>Bodega Propia CO - envio 2-3 dias</v>
      </c>
      <c r="Z1028" s="1" t="str">
        <f>INDEX(T:T,MATCH(orders_desnormalizado_prueba3[[#This Row],[shipping_cost]],W:W,0))</f>
        <v>Colombia</v>
      </c>
      <c r="AA1028" s="1" t="str">
        <f t="shared" si="49"/>
        <v>Barranquilla</v>
      </c>
      <c r="AB1028" s="1"/>
      <c r="AC1028" s="1" t="str">
        <f t="shared" si="50"/>
        <v xml:space="preserve"> </v>
      </c>
    </row>
    <row r="1029" spans="1:29" x14ac:dyDescent="0.3">
      <c r="A1029" s="1" t="s">
        <v>2231</v>
      </c>
      <c r="B1029">
        <v>1</v>
      </c>
      <c r="C1029">
        <v>16.989999999999998</v>
      </c>
      <c r="D1029">
        <v>16.989999999999998</v>
      </c>
      <c r="E1029" s="1" t="s">
        <v>1172</v>
      </c>
      <c r="F1029" s="1" t="s">
        <v>40</v>
      </c>
      <c r="G1029">
        <v>16</v>
      </c>
      <c r="H1029" s="1" t="s">
        <v>41</v>
      </c>
      <c r="I1029" s="1" t="s">
        <v>59</v>
      </c>
      <c r="J1029">
        <v>5</v>
      </c>
      <c r="K1029">
        <v>16.989999999999998</v>
      </c>
      <c r="L1029" s="1" t="s">
        <v>60</v>
      </c>
      <c r="M1029" s="1" t="s">
        <v>61</v>
      </c>
      <c r="N1029" s="1" t="s">
        <v>62</v>
      </c>
      <c r="O1029" s="1" t="s">
        <v>31</v>
      </c>
      <c r="P1029" s="2">
        <v>45726</v>
      </c>
      <c r="Q1029" s="1" t="s">
        <v>1549</v>
      </c>
      <c r="R1029" s="1" t="s">
        <v>1550</v>
      </c>
      <c r="S1029" s="1" t="s">
        <v>34</v>
      </c>
      <c r="T1029" s="1" t="s">
        <v>35</v>
      </c>
      <c r="U1029" s="1" t="s">
        <v>48</v>
      </c>
      <c r="V1029" s="1" t="s">
        <v>67</v>
      </c>
      <c r="W1029">
        <v>3</v>
      </c>
      <c r="X1029" s="1" t="str">
        <f t="shared" si="48"/>
        <v>juan.jimenez86@mail.com</v>
      </c>
      <c r="Y1029" s="1" t="str">
        <f>INDEX(V:V,MATCH(orders_desnormalizado_prueba3[[#This Row],[acquisition_channel]],U:U,0))</f>
        <v>Bodega Propia CO - envio 2-3 dias</v>
      </c>
      <c r="Z1029" s="1" t="str">
        <f>INDEX(T:T,MATCH(orders_desnormalizado_prueba3[[#This Row],[shipping_cost]],W:W,0))</f>
        <v>Colombia</v>
      </c>
      <c r="AA1029" s="1" t="str">
        <f t="shared" si="49"/>
        <v>Bogota</v>
      </c>
      <c r="AB1029" s="1"/>
      <c r="AC1029" s="1" t="str">
        <f t="shared" si="50"/>
        <v xml:space="preserve"> </v>
      </c>
    </row>
    <row r="1030" spans="1:29" x14ac:dyDescent="0.3">
      <c r="A1030" s="1" t="s">
        <v>2232</v>
      </c>
      <c r="B1030">
        <v>3</v>
      </c>
      <c r="C1030">
        <v>27.99</v>
      </c>
      <c r="D1030">
        <v>66.2</v>
      </c>
      <c r="E1030" s="1" t="s">
        <v>771</v>
      </c>
      <c r="F1030" s="1" t="s">
        <v>51</v>
      </c>
      <c r="G1030">
        <v>0</v>
      </c>
      <c r="H1030" s="1" t="s">
        <v>41</v>
      </c>
      <c r="I1030" s="1" t="s">
        <v>75</v>
      </c>
      <c r="J1030">
        <v>9</v>
      </c>
      <c r="K1030">
        <v>27.99</v>
      </c>
      <c r="L1030" s="1" t="s">
        <v>28</v>
      </c>
      <c r="M1030" s="1" t="s">
        <v>61</v>
      </c>
      <c r="N1030" s="1" t="s">
        <v>62</v>
      </c>
      <c r="O1030" s="1" t="s">
        <v>31</v>
      </c>
      <c r="P1030" s="2">
        <v>45726</v>
      </c>
      <c r="Q1030" s="1" t="s">
        <v>828</v>
      </c>
      <c r="R1030" s="1" t="s">
        <v>829</v>
      </c>
      <c r="S1030" s="1" t="s">
        <v>65</v>
      </c>
      <c r="T1030" s="1" t="s">
        <v>35</v>
      </c>
      <c r="U1030" s="1" t="s">
        <v>48</v>
      </c>
      <c r="V1030" s="1" t="s">
        <v>37</v>
      </c>
      <c r="W1030">
        <v>2</v>
      </c>
      <c r="X1030" s="1" t="str">
        <f t="shared" si="48"/>
        <v>catalina.martinez83@mail.com</v>
      </c>
      <c r="Y1030" s="1" t="str">
        <f>INDEX(V:V,MATCH(orders_desnormalizado_prueba3[[#This Row],[acquisition_channel]],U:U,0))</f>
        <v>Bodega Propia CO - envio 2-3 dias</v>
      </c>
      <c r="Z1030" s="1" t="str">
        <f>INDEX(T:T,MATCH(orders_desnormalizado_prueba3[[#This Row],[shipping_cost]],W:W,0))</f>
        <v>Colombia</v>
      </c>
      <c r="AA1030" s="1" t="str">
        <f t="shared" si="49"/>
        <v>Cartagena</v>
      </c>
      <c r="AB1030" s="1"/>
      <c r="AC1030" s="1" t="str">
        <f t="shared" si="50"/>
        <v xml:space="preserve"> </v>
      </c>
    </row>
    <row r="1031" spans="1:29" x14ac:dyDescent="0.3">
      <c r="A1031" s="1" t="s">
        <v>2233</v>
      </c>
      <c r="B1031">
        <v>1</v>
      </c>
      <c r="C1031">
        <v>34.99</v>
      </c>
      <c r="D1031">
        <v>34.99</v>
      </c>
      <c r="E1031" s="1" t="s">
        <v>1648</v>
      </c>
      <c r="F1031" s="1" t="s">
        <v>25</v>
      </c>
      <c r="G1031">
        <v>8</v>
      </c>
      <c r="H1031" s="1" t="s">
        <v>26</v>
      </c>
      <c r="I1031" s="1" t="s">
        <v>85</v>
      </c>
      <c r="J1031">
        <v>12.5</v>
      </c>
      <c r="K1031">
        <v>34.99</v>
      </c>
      <c r="L1031" s="1" t="s">
        <v>60</v>
      </c>
      <c r="M1031" s="1" t="s">
        <v>29</v>
      </c>
      <c r="N1031" s="1" t="s">
        <v>30</v>
      </c>
      <c r="O1031" s="1" t="s">
        <v>31</v>
      </c>
      <c r="P1031" s="2">
        <v>45778</v>
      </c>
      <c r="Q1031" s="1" t="s">
        <v>934</v>
      </c>
      <c r="R1031" s="1" t="s">
        <v>1165</v>
      </c>
      <c r="S1031" s="1" t="s">
        <v>65</v>
      </c>
      <c r="T1031" s="1" t="s">
        <v>35</v>
      </c>
      <c r="U1031" s="1" t="s">
        <v>82</v>
      </c>
      <c r="V1031" s="1" t="s">
        <v>89</v>
      </c>
      <c r="W1031">
        <v>2.4</v>
      </c>
      <c r="X1031" s="1" t="str">
        <f t="shared" si="48"/>
        <v>felipe.gomez104@mail.com</v>
      </c>
      <c r="Y1031" s="1" t="str">
        <f>INDEX(V:V,MATCH(orders_desnormalizado_prueba3[[#This Row],[acquisition_channel]],U:U,0))</f>
        <v>Bodega Propia CO - envio 2-3 dias</v>
      </c>
      <c r="Z1031" s="1" t="str">
        <f>INDEX(T:T,MATCH(orders_desnormalizado_prueba3[[#This Row],[shipping_cost]],W:W,0))</f>
        <v>Colombia</v>
      </c>
      <c r="AA1031" s="1" t="str">
        <f t="shared" si="49"/>
        <v>Barranquilla</v>
      </c>
      <c r="AB1031" s="1"/>
      <c r="AC1031" s="1" t="str">
        <f t="shared" si="50"/>
        <v xml:space="preserve"> </v>
      </c>
    </row>
    <row r="1032" spans="1:29" x14ac:dyDescent="0.3">
      <c r="A1032" s="1" t="s">
        <v>2234</v>
      </c>
      <c r="B1032">
        <v>1</v>
      </c>
      <c r="C1032">
        <v>34.99</v>
      </c>
      <c r="D1032">
        <v>34.99</v>
      </c>
      <c r="E1032" s="1" t="s">
        <v>989</v>
      </c>
      <c r="F1032" s="1" t="s">
        <v>40</v>
      </c>
      <c r="G1032">
        <v>5</v>
      </c>
      <c r="H1032" s="1" t="s">
        <v>41</v>
      </c>
      <c r="I1032" s="1" t="s">
        <v>85</v>
      </c>
      <c r="J1032">
        <v>12.5</v>
      </c>
      <c r="K1032">
        <v>34.99</v>
      </c>
      <c r="L1032" s="1" t="s">
        <v>60</v>
      </c>
      <c r="M1032" s="1" t="s">
        <v>29</v>
      </c>
      <c r="N1032" s="1" t="s">
        <v>30</v>
      </c>
      <c r="O1032" s="1" t="s">
        <v>31</v>
      </c>
      <c r="P1032" s="2">
        <v>45778</v>
      </c>
      <c r="Q1032" s="1" t="s">
        <v>1187</v>
      </c>
      <c r="R1032" s="1" t="s">
        <v>2204</v>
      </c>
      <c r="S1032" s="1" t="s">
        <v>88</v>
      </c>
      <c r="T1032" s="1" t="s">
        <v>35</v>
      </c>
      <c r="U1032" s="1" t="s">
        <v>55</v>
      </c>
      <c r="V1032" s="1" t="s">
        <v>89</v>
      </c>
      <c r="W1032">
        <v>2.4</v>
      </c>
      <c r="X1032" s="1" t="str">
        <f t="shared" si="48"/>
        <v>nicolas.jimenez67@mail.com</v>
      </c>
      <c r="Y1032" s="1" t="str">
        <f>INDEX(V:V,MATCH(orders_desnormalizado_prueba3[[#This Row],[acquisition_channel]],U:U,0))</f>
        <v>Bodega Propia CO - envio 2-3 dias</v>
      </c>
      <c r="Z1032" s="1" t="str">
        <f>INDEX(T:T,MATCH(orders_desnormalizado_prueba3[[#This Row],[shipping_cost]],W:W,0))</f>
        <v>Colombia</v>
      </c>
      <c r="AA1032" s="1" t="str">
        <f t="shared" si="49"/>
        <v>Cali</v>
      </c>
      <c r="AB1032" s="1"/>
      <c r="AC1032" s="1" t="str">
        <f t="shared" si="50"/>
        <v xml:space="preserve"> </v>
      </c>
    </row>
    <row r="1033" spans="1:29" x14ac:dyDescent="0.3">
      <c r="A1033" s="1" t="s">
        <v>2235</v>
      </c>
      <c r="B1033">
        <v>1</v>
      </c>
      <c r="C1033">
        <v>34.99</v>
      </c>
      <c r="D1033">
        <v>34.99</v>
      </c>
      <c r="E1033" s="1" t="s">
        <v>457</v>
      </c>
      <c r="F1033" s="1" t="s">
        <v>40</v>
      </c>
      <c r="G1033">
        <v>5</v>
      </c>
      <c r="H1033" s="1" t="s">
        <v>41</v>
      </c>
      <c r="I1033" s="1" t="s">
        <v>85</v>
      </c>
      <c r="J1033">
        <v>12.5</v>
      </c>
      <c r="K1033">
        <v>34.99</v>
      </c>
      <c r="L1033" s="1" t="s">
        <v>60</v>
      </c>
      <c r="M1033" s="1" t="s">
        <v>29</v>
      </c>
      <c r="N1033" s="1" t="s">
        <v>30</v>
      </c>
      <c r="O1033" s="1" t="s">
        <v>31</v>
      </c>
      <c r="P1033" s="2">
        <v>45778</v>
      </c>
      <c r="Q1033" s="1" t="s">
        <v>219</v>
      </c>
      <c r="R1033" s="1" t="s">
        <v>2236</v>
      </c>
      <c r="S1033" s="1" t="s">
        <v>34</v>
      </c>
      <c r="T1033" s="1" t="s">
        <v>35</v>
      </c>
      <c r="U1033" s="1" t="s">
        <v>55</v>
      </c>
      <c r="V1033" s="1" t="s">
        <v>89</v>
      </c>
      <c r="W1033">
        <v>2.4</v>
      </c>
      <c r="X1033" s="1" t="str">
        <f t="shared" si="48"/>
        <v>mateo.castro43@mail.com</v>
      </c>
      <c r="Y1033" s="1" t="str">
        <f>INDEX(V:V,MATCH(orders_desnormalizado_prueba3[[#This Row],[acquisition_channel]],U:U,0))</f>
        <v>Bodega Propia CO - envio 2-3 dias</v>
      </c>
      <c r="Z1033" s="1" t="str">
        <f>INDEX(T:T,MATCH(orders_desnormalizado_prueba3[[#This Row],[shipping_cost]],W:W,0))</f>
        <v>Colombia</v>
      </c>
      <c r="AA1033" s="1" t="str">
        <f t="shared" si="49"/>
        <v>Cali</v>
      </c>
      <c r="AB1033" s="1"/>
      <c r="AC1033" s="1" t="str">
        <f t="shared" si="50"/>
        <v xml:space="preserve"> </v>
      </c>
    </row>
    <row r="1034" spans="1:29" x14ac:dyDescent="0.3">
      <c r="A1034" s="1" t="s">
        <v>2237</v>
      </c>
      <c r="B1034">
        <v>1</v>
      </c>
      <c r="C1034">
        <v>30.99</v>
      </c>
      <c r="D1034">
        <v>30.99</v>
      </c>
      <c r="E1034" s="1" t="s">
        <v>1096</v>
      </c>
      <c r="F1034" s="1" t="s">
        <v>51</v>
      </c>
      <c r="G1034">
        <v>0</v>
      </c>
      <c r="H1034" s="1" t="s">
        <v>96</v>
      </c>
      <c r="I1034" s="1" t="s">
        <v>42</v>
      </c>
      <c r="J1034">
        <v>10.5</v>
      </c>
      <c r="K1034">
        <v>30.99</v>
      </c>
      <c r="L1034" s="1" t="s">
        <v>28</v>
      </c>
      <c r="M1034" s="1" t="s">
        <v>43</v>
      </c>
      <c r="N1034" s="1" t="s">
        <v>44</v>
      </c>
      <c r="O1034" s="1" t="s">
        <v>31</v>
      </c>
      <c r="P1034" s="2">
        <v>45823</v>
      </c>
      <c r="Q1034" s="1" t="s">
        <v>544</v>
      </c>
      <c r="R1034" s="1" t="s">
        <v>1756</v>
      </c>
      <c r="S1034" s="1" t="s">
        <v>54</v>
      </c>
      <c r="T1034" s="1" t="s">
        <v>35</v>
      </c>
      <c r="U1034" s="1" t="s">
        <v>55</v>
      </c>
      <c r="V1034" s="1" t="s">
        <v>37</v>
      </c>
      <c r="W1034">
        <v>2</v>
      </c>
      <c r="X1034" s="1" t="str">
        <f t="shared" si="48"/>
        <v>maria.diaz102@mail.com</v>
      </c>
      <c r="Y1034" s="1" t="str">
        <f>INDEX(V:V,MATCH(orders_desnormalizado_prueba3[[#This Row],[acquisition_channel]],U:U,0))</f>
        <v>Bodega Propia CO - envio 2-3 dias</v>
      </c>
      <c r="Z1034" s="1" t="str">
        <f>INDEX(T:T,MATCH(orders_desnormalizado_prueba3[[#This Row],[shipping_cost]],W:W,0))</f>
        <v>Colombia</v>
      </c>
      <c r="AA1034" s="1" t="str">
        <f t="shared" si="49"/>
        <v>Cartagena</v>
      </c>
      <c r="AB1034" s="1"/>
      <c r="AC1034" s="1" t="str">
        <f t="shared" si="50"/>
        <v xml:space="preserve"> </v>
      </c>
    </row>
    <row r="1035" spans="1:29" x14ac:dyDescent="0.3">
      <c r="A1035" s="1" t="s">
        <v>2238</v>
      </c>
      <c r="B1035">
        <v>1</v>
      </c>
      <c r="C1035">
        <v>21.99</v>
      </c>
      <c r="D1035">
        <v>21.99</v>
      </c>
      <c r="E1035" s="1" t="s">
        <v>1552</v>
      </c>
      <c r="F1035" s="1" t="s">
        <v>51</v>
      </c>
      <c r="G1035">
        <v>0</v>
      </c>
      <c r="H1035" s="1" t="s">
        <v>58</v>
      </c>
      <c r="I1035" s="1" t="s">
        <v>27</v>
      </c>
      <c r="J1035">
        <v>7</v>
      </c>
      <c r="K1035">
        <v>21.99</v>
      </c>
      <c r="L1035" s="1" t="s">
        <v>28</v>
      </c>
      <c r="M1035" s="1" t="s">
        <v>29</v>
      </c>
      <c r="N1035" s="1" t="s">
        <v>30</v>
      </c>
      <c r="O1035" s="1" t="s">
        <v>31</v>
      </c>
      <c r="P1035" s="2">
        <v>45778</v>
      </c>
      <c r="Q1035" s="1" t="s">
        <v>1069</v>
      </c>
      <c r="R1035" s="1" t="s">
        <v>1070</v>
      </c>
      <c r="S1035" s="1" t="s">
        <v>65</v>
      </c>
      <c r="T1035" s="1" t="s">
        <v>35</v>
      </c>
      <c r="U1035" s="1" t="s">
        <v>66</v>
      </c>
      <c r="V1035" s="1" t="s">
        <v>37</v>
      </c>
      <c r="W1035">
        <v>2</v>
      </c>
      <c r="X1035" s="1" t="str">
        <f t="shared" si="48"/>
        <v>diego.jimenez145@mail.com</v>
      </c>
      <c r="Y1035" s="1" t="str">
        <f>INDEX(V:V,MATCH(orders_desnormalizado_prueba3[[#This Row],[acquisition_channel]],U:U,0))</f>
        <v>AliDropship CN - envio 15-20 dias</v>
      </c>
      <c r="Z1035" s="1" t="str">
        <f>INDEX(T:T,MATCH(orders_desnormalizado_prueba3[[#This Row],[shipping_cost]],W:W,0))</f>
        <v>Colombia</v>
      </c>
      <c r="AA1035" s="1" t="str">
        <f t="shared" si="49"/>
        <v>Cartagena</v>
      </c>
      <c r="AB1035" s="1"/>
      <c r="AC1035" s="1" t="str">
        <f t="shared" si="50"/>
        <v xml:space="preserve"> </v>
      </c>
    </row>
    <row r="1036" spans="1:29" x14ac:dyDescent="0.3">
      <c r="A1036" s="1" t="s">
        <v>2239</v>
      </c>
      <c r="B1036">
        <v>1</v>
      </c>
      <c r="C1036">
        <v>21.99</v>
      </c>
      <c r="D1036">
        <v>21.99</v>
      </c>
      <c r="E1036" s="1" t="s">
        <v>2240</v>
      </c>
      <c r="F1036" s="1" t="s">
        <v>40</v>
      </c>
      <c r="G1036">
        <v>3</v>
      </c>
      <c r="H1036" s="1" t="s">
        <v>41</v>
      </c>
      <c r="I1036" s="1" t="s">
        <v>27</v>
      </c>
      <c r="J1036">
        <v>7</v>
      </c>
      <c r="K1036">
        <v>21.99</v>
      </c>
      <c r="L1036" s="1" t="s">
        <v>28</v>
      </c>
      <c r="M1036" s="1" t="s">
        <v>29</v>
      </c>
      <c r="N1036" s="1" t="s">
        <v>30</v>
      </c>
      <c r="O1036" s="1" t="s">
        <v>31</v>
      </c>
      <c r="P1036" s="2">
        <v>45778</v>
      </c>
      <c r="Q1036" s="1" t="s">
        <v>140</v>
      </c>
      <c r="R1036" s="1" t="s">
        <v>2241</v>
      </c>
      <c r="S1036" s="1" t="s">
        <v>65</v>
      </c>
      <c r="T1036" s="1" t="s">
        <v>35</v>
      </c>
      <c r="U1036" s="1" t="s">
        <v>66</v>
      </c>
      <c r="V1036" s="1" t="s">
        <v>37</v>
      </c>
      <c r="W1036">
        <v>2</v>
      </c>
      <c r="X1036" s="1" t="str">
        <f t="shared" si="48"/>
        <v>david.rodriguez33@mail.com</v>
      </c>
      <c r="Y1036" s="1" t="str">
        <f>INDEX(V:V,MATCH(orders_desnormalizado_prueba3[[#This Row],[acquisition_channel]],U:U,0))</f>
        <v>AliDropship CN - envio 15-20 dias</v>
      </c>
      <c r="Z1036" s="1" t="str">
        <f>INDEX(T:T,MATCH(orders_desnormalizado_prueba3[[#This Row],[shipping_cost]],W:W,0))</f>
        <v>Colombia</v>
      </c>
      <c r="AA1036" s="1" t="str">
        <f t="shared" si="49"/>
        <v>Barranquilla</v>
      </c>
      <c r="AB1036" s="1"/>
      <c r="AC1036" s="1" t="str">
        <f t="shared" si="50"/>
        <v xml:space="preserve"> </v>
      </c>
    </row>
    <row r="1037" spans="1:29" x14ac:dyDescent="0.3">
      <c r="A1037" s="1" t="s">
        <v>2242</v>
      </c>
      <c r="B1037">
        <v>1</v>
      </c>
      <c r="C1037">
        <v>34.99</v>
      </c>
      <c r="D1037">
        <v>34.99</v>
      </c>
      <c r="E1037" s="1" t="s">
        <v>1289</v>
      </c>
      <c r="F1037" s="1" t="s">
        <v>25</v>
      </c>
      <c r="G1037">
        <v>10</v>
      </c>
      <c r="H1037" s="1" t="s">
        <v>41</v>
      </c>
      <c r="I1037" s="1" t="s">
        <v>85</v>
      </c>
      <c r="J1037">
        <v>12.5</v>
      </c>
      <c r="K1037">
        <v>34.99</v>
      </c>
      <c r="L1037" s="1" t="s">
        <v>60</v>
      </c>
      <c r="M1037" s="1" t="s">
        <v>29</v>
      </c>
      <c r="N1037" s="1" t="s">
        <v>30</v>
      </c>
      <c r="O1037" s="1" t="s">
        <v>31</v>
      </c>
      <c r="P1037" s="2">
        <v>45778</v>
      </c>
      <c r="Q1037" s="1" t="s">
        <v>1994</v>
      </c>
      <c r="R1037" s="1" t="s">
        <v>1995</v>
      </c>
      <c r="S1037" s="1" t="s">
        <v>88</v>
      </c>
      <c r="T1037" s="1" t="s">
        <v>35</v>
      </c>
      <c r="U1037" s="1" t="s">
        <v>48</v>
      </c>
      <c r="V1037" s="1" t="s">
        <v>89</v>
      </c>
      <c r="W1037">
        <v>2.4</v>
      </c>
      <c r="X1037" s="1" t="str">
        <f t="shared" si="48"/>
        <v>isabella.hernandez120@mail.com</v>
      </c>
      <c r="Y1037" s="1" t="str">
        <f>INDEX(V:V,MATCH(orders_desnormalizado_prueba3[[#This Row],[acquisition_channel]],U:U,0))</f>
        <v>Bodega Propia CO - envio 2-3 dias</v>
      </c>
      <c r="Z1037" s="1" t="str">
        <f>INDEX(T:T,MATCH(orders_desnormalizado_prueba3[[#This Row],[shipping_cost]],W:W,0))</f>
        <v>Colombia</v>
      </c>
      <c r="AA1037" s="1" t="str">
        <f t="shared" si="49"/>
        <v>Bogota</v>
      </c>
      <c r="AB1037" s="1"/>
      <c r="AC1037" s="1" t="str">
        <f t="shared" si="50"/>
        <v xml:space="preserve"> </v>
      </c>
    </row>
    <row r="1038" spans="1:29" x14ac:dyDescent="0.3">
      <c r="A1038" s="1" t="s">
        <v>2243</v>
      </c>
      <c r="B1038">
        <v>1</v>
      </c>
      <c r="C1038">
        <v>27.99</v>
      </c>
      <c r="D1038">
        <v>27.99</v>
      </c>
      <c r="E1038" s="1" t="s">
        <v>1446</v>
      </c>
      <c r="F1038" s="1" t="s">
        <v>188</v>
      </c>
      <c r="G1038">
        <v>0</v>
      </c>
      <c r="H1038" s="1" t="s">
        <v>26</v>
      </c>
      <c r="I1038" s="1" t="s">
        <v>75</v>
      </c>
      <c r="J1038">
        <v>9</v>
      </c>
      <c r="K1038">
        <v>27.99</v>
      </c>
      <c r="L1038" s="1" t="s">
        <v>28</v>
      </c>
      <c r="M1038" s="1" t="s">
        <v>61</v>
      </c>
      <c r="N1038" s="1" t="s">
        <v>62</v>
      </c>
      <c r="O1038" s="1" t="s">
        <v>31</v>
      </c>
      <c r="P1038" s="2">
        <v>45726</v>
      </c>
      <c r="Q1038" s="1" t="s">
        <v>194</v>
      </c>
      <c r="R1038" s="1" t="s">
        <v>1872</v>
      </c>
      <c r="S1038" s="1" t="s">
        <v>34</v>
      </c>
      <c r="T1038" s="1" t="s">
        <v>35</v>
      </c>
      <c r="U1038" s="1" t="s">
        <v>66</v>
      </c>
      <c r="V1038" s="1" t="s">
        <v>37</v>
      </c>
      <c r="W1038">
        <v>2</v>
      </c>
      <c r="X1038" s="1" t="str">
        <f t="shared" si="48"/>
        <v>mateo.torres90@mail.com</v>
      </c>
      <c r="Y1038" s="1" t="str">
        <f>INDEX(V:V,MATCH(orders_desnormalizado_prueba3[[#This Row],[acquisition_channel]],U:U,0))</f>
        <v>AliDropship CN - envio 15-20 dias</v>
      </c>
      <c r="Z1038" s="1" t="str">
        <f>INDEX(T:T,MATCH(orders_desnormalizado_prueba3[[#This Row],[shipping_cost]],W:W,0))</f>
        <v>Colombia</v>
      </c>
      <c r="AA1038" s="1" t="str">
        <f t="shared" si="49"/>
        <v>Cartagena</v>
      </c>
      <c r="AB1038" s="1"/>
      <c r="AC1038" s="1" t="str">
        <f t="shared" si="50"/>
        <v xml:space="preserve"> </v>
      </c>
    </row>
    <row r="1039" spans="1:29" x14ac:dyDescent="0.3">
      <c r="A1039" s="1" t="s">
        <v>2244</v>
      </c>
      <c r="B1039">
        <v>3</v>
      </c>
      <c r="C1039">
        <v>16.989999999999998</v>
      </c>
      <c r="D1039">
        <v>41.07</v>
      </c>
      <c r="E1039" s="1" t="s">
        <v>260</v>
      </c>
      <c r="F1039" s="1" t="s">
        <v>188</v>
      </c>
      <c r="G1039">
        <v>0</v>
      </c>
      <c r="H1039" s="1" t="s">
        <v>26</v>
      </c>
      <c r="I1039" s="1" t="s">
        <v>59</v>
      </c>
      <c r="J1039">
        <v>5</v>
      </c>
      <c r="K1039">
        <v>16.989999999999998</v>
      </c>
      <c r="L1039" s="1" t="s">
        <v>60</v>
      </c>
      <c r="M1039" s="1" t="s">
        <v>61</v>
      </c>
      <c r="N1039" s="1" t="s">
        <v>62</v>
      </c>
      <c r="O1039" s="1" t="s">
        <v>31</v>
      </c>
      <c r="P1039" s="2">
        <v>45726</v>
      </c>
      <c r="Q1039" s="1" t="s">
        <v>1545</v>
      </c>
      <c r="R1039" s="1" t="s">
        <v>1546</v>
      </c>
      <c r="S1039" s="1" t="s">
        <v>105</v>
      </c>
      <c r="T1039" s="1" t="s">
        <v>35</v>
      </c>
      <c r="U1039" s="1" t="s">
        <v>48</v>
      </c>
      <c r="V1039" s="1" t="s">
        <v>67</v>
      </c>
      <c r="W1039">
        <v>3</v>
      </c>
      <c r="X1039" s="1" t="str">
        <f t="shared" si="48"/>
        <v>ricardo.sanchez162@mail.com</v>
      </c>
      <c r="Y1039" s="1" t="str">
        <f>INDEX(V:V,MATCH(orders_desnormalizado_prueba3[[#This Row],[acquisition_channel]],U:U,0))</f>
        <v>Bodega Propia CO - envio 2-3 dias</v>
      </c>
      <c r="Z1039" s="1" t="str">
        <f>INDEX(T:T,MATCH(orders_desnormalizado_prueba3[[#This Row],[shipping_cost]],W:W,0))</f>
        <v>Colombia</v>
      </c>
      <c r="AA1039" s="1" t="str">
        <f t="shared" si="49"/>
        <v>Cartagena</v>
      </c>
      <c r="AB1039" s="1"/>
      <c r="AC1039" s="1" t="str">
        <f t="shared" si="50"/>
        <v xml:space="preserve"> </v>
      </c>
    </row>
    <row r="1040" spans="1:29" x14ac:dyDescent="0.3">
      <c r="A1040" s="1" t="s">
        <v>2245</v>
      </c>
      <c r="B1040">
        <v>1</v>
      </c>
      <c r="C1040">
        <v>18.989999999999998</v>
      </c>
      <c r="D1040">
        <v>18.989999999999998</v>
      </c>
      <c r="E1040" s="1" t="s">
        <v>1965</v>
      </c>
      <c r="F1040" s="1" t="s">
        <v>40</v>
      </c>
      <c r="G1040">
        <v>13</v>
      </c>
      <c r="H1040" s="1" t="s">
        <v>26</v>
      </c>
      <c r="I1040" s="1" t="s">
        <v>97</v>
      </c>
      <c r="J1040">
        <v>6</v>
      </c>
      <c r="K1040">
        <v>18.989999999999998</v>
      </c>
      <c r="L1040" s="1" t="s">
        <v>60</v>
      </c>
      <c r="M1040" s="1" t="s">
        <v>43</v>
      </c>
      <c r="N1040" s="1" t="s">
        <v>44</v>
      </c>
      <c r="O1040" s="1" t="s">
        <v>31</v>
      </c>
      <c r="P1040" s="2">
        <v>45823</v>
      </c>
      <c r="Q1040" s="1" t="s">
        <v>1887</v>
      </c>
      <c r="R1040" s="1" t="s">
        <v>1888</v>
      </c>
      <c r="S1040" s="1" t="s">
        <v>88</v>
      </c>
      <c r="T1040" s="1" t="s">
        <v>35</v>
      </c>
      <c r="U1040" s="1" t="s">
        <v>82</v>
      </c>
      <c r="V1040" s="1" t="s">
        <v>100</v>
      </c>
      <c r="W1040">
        <v>3.2</v>
      </c>
      <c r="X1040" s="1" t="str">
        <f t="shared" si="48"/>
        <v>daniela.perez170@mail.com</v>
      </c>
      <c r="Y1040" s="1" t="str">
        <f>INDEX(V:V,MATCH(orders_desnormalizado_prueba3[[#This Row],[acquisition_channel]],U:U,0))</f>
        <v>Bodega Propia CO - envio 2-3 dias</v>
      </c>
      <c r="Z1040" s="1" t="str">
        <f>INDEX(T:T,MATCH(orders_desnormalizado_prueba3[[#This Row],[shipping_cost]],W:W,0))</f>
        <v>Colombia</v>
      </c>
      <c r="AA1040" s="1" t="str">
        <f t="shared" si="49"/>
        <v>Barranquilla</v>
      </c>
      <c r="AB1040" s="1"/>
      <c r="AC1040" s="1" t="str">
        <f t="shared" si="50"/>
        <v xml:space="preserve"> </v>
      </c>
    </row>
    <row r="1041" spans="1:29" x14ac:dyDescent="0.3">
      <c r="A1041" s="1" t="s">
        <v>2246</v>
      </c>
      <c r="B1041">
        <v>3</v>
      </c>
      <c r="C1041">
        <v>18.989999999999998</v>
      </c>
      <c r="D1041">
        <v>45.69</v>
      </c>
      <c r="E1041" s="1" t="s">
        <v>2240</v>
      </c>
      <c r="F1041" s="1" t="s">
        <v>40</v>
      </c>
      <c r="G1041">
        <v>11</v>
      </c>
      <c r="H1041" s="1" t="s">
        <v>58</v>
      </c>
      <c r="I1041" s="1" t="s">
        <v>97</v>
      </c>
      <c r="J1041">
        <v>6</v>
      </c>
      <c r="K1041">
        <v>18.989999999999998</v>
      </c>
      <c r="L1041" s="1" t="s">
        <v>60</v>
      </c>
      <c r="M1041" s="1" t="s">
        <v>43</v>
      </c>
      <c r="N1041" s="1" t="s">
        <v>44</v>
      </c>
      <c r="O1041" s="1" t="s">
        <v>31</v>
      </c>
      <c r="P1041" s="2">
        <v>45823</v>
      </c>
      <c r="Q1041" s="1" t="s">
        <v>745</v>
      </c>
      <c r="R1041" s="1" t="s">
        <v>746</v>
      </c>
      <c r="S1041" s="1" t="s">
        <v>105</v>
      </c>
      <c r="T1041" s="1" t="s">
        <v>35</v>
      </c>
      <c r="U1041" s="1" t="s">
        <v>48</v>
      </c>
      <c r="V1041" s="1" t="s">
        <v>100</v>
      </c>
      <c r="W1041">
        <v>3.2</v>
      </c>
      <c r="X1041" s="1" t="str">
        <f t="shared" si="48"/>
        <v>david.jimenez192@mail.com</v>
      </c>
      <c r="Y1041" s="1" t="str">
        <f>INDEX(V:V,MATCH(orders_desnormalizado_prueba3[[#This Row],[acquisition_channel]],U:U,0))</f>
        <v>Bodega Propia CO - envio 2-3 dias</v>
      </c>
      <c r="Z1041" s="1" t="str">
        <f>INDEX(T:T,MATCH(orders_desnormalizado_prueba3[[#This Row],[shipping_cost]],W:W,0))</f>
        <v>Colombia</v>
      </c>
      <c r="AA1041" s="1" t="str">
        <f t="shared" si="49"/>
        <v>Cali</v>
      </c>
      <c r="AB1041" s="1"/>
      <c r="AC1041" s="1" t="str">
        <f t="shared" si="50"/>
        <v xml:space="preserve"> </v>
      </c>
    </row>
    <row r="1042" spans="1:29" x14ac:dyDescent="0.3">
      <c r="A1042" s="1" t="s">
        <v>2247</v>
      </c>
      <c r="B1042">
        <v>1</v>
      </c>
      <c r="C1042">
        <v>34.99</v>
      </c>
      <c r="D1042">
        <v>34.99</v>
      </c>
      <c r="E1042" s="1" t="s">
        <v>2048</v>
      </c>
      <c r="F1042" s="1" t="s">
        <v>70</v>
      </c>
      <c r="G1042">
        <v>0</v>
      </c>
      <c r="H1042" s="1" t="s">
        <v>26</v>
      </c>
      <c r="I1042" s="1" t="s">
        <v>85</v>
      </c>
      <c r="J1042">
        <v>12.5</v>
      </c>
      <c r="K1042">
        <v>34.99</v>
      </c>
      <c r="L1042" s="1" t="s">
        <v>60</v>
      </c>
      <c r="M1042" s="1" t="s">
        <v>29</v>
      </c>
      <c r="N1042" s="1" t="s">
        <v>30</v>
      </c>
      <c r="O1042" s="1" t="s">
        <v>31</v>
      </c>
      <c r="P1042" s="2">
        <v>45778</v>
      </c>
      <c r="Q1042" s="1" t="s">
        <v>2042</v>
      </c>
      <c r="R1042" s="1" t="s">
        <v>2248</v>
      </c>
      <c r="S1042" s="1" t="s">
        <v>47</v>
      </c>
      <c r="T1042" s="1" t="s">
        <v>35</v>
      </c>
      <c r="U1042" s="1" t="s">
        <v>82</v>
      </c>
      <c r="V1042" s="1" t="s">
        <v>89</v>
      </c>
      <c r="W1042">
        <v>2.4</v>
      </c>
      <c r="X1042" s="1" t="str">
        <f t="shared" si="48"/>
        <v>antonia.hernandez62@mail.com</v>
      </c>
      <c r="Y1042" s="1" t="str">
        <f>INDEX(V:V,MATCH(orders_desnormalizado_prueba3[[#This Row],[acquisition_channel]],U:U,0))</f>
        <v>Bodega Propia CO - envio 2-3 dias</v>
      </c>
      <c r="Z1042" s="1" t="str">
        <f>INDEX(T:T,MATCH(orders_desnormalizado_prueba3[[#This Row],[shipping_cost]],W:W,0))</f>
        <v>Colombia</v>
      </c>
      <c r="AA1042" s="1" t="str">
        <f t="shared" si="49"/>
        <v>Cartagena</v>
      </c>
      <c r="AB1042" s="1"/>
      <c r="AC1042" s="1" t="str">
        <f t="shared" si="50"/>
        <v xml:space="preserve"> </v>
      </c>
    </row>
    <row r="1043" spans="1:29" x14ac:dyDescent="0.3">
      <c r="A1043" s="1" t="s">
        <v>2249</v>
      </c>
      <c r="B1043">
        <v>2</v>
      </c>
      <c r="C1043">
        <v>27.99</v>
      </c>
      <c r="D1043">
        <v>48.8</v>
      </c>
      <c r="E1043" s="1" t="s">
        <v>1168</v>
      </c>
      <c r="F1043" s="1" t="s">
        <v>25</v>
      </c>
      <c r="G1043">
        <v>3</v>
      </c>
      <c r="H1043" s="1" t="s">
        <v>58</v>
      </c>
      <c r="I1043" s="1" t="s">
        <v>75</v>
      </c>
      <c r="J1043">
        <v>9</v>
      </c>
      <c r="K1043">
        <v>27.99</v>
      </c>
      <c r="L1043" s="1" t="s">
        <v>28</v>
      </c>
      <c r="M1043" s="1" t="s">
        <v>61</v>
      </c>
      <c r="N1043" s="1" t="s">
        <v>62</v>
      </c>
      <c r="O1043" s="1" t="s">
        <v>31</v>
      </c>
      <c r="P1043" s="2">
        <v>45726</v>
      </c>
      <c r="Q1043" s="1" t="s">
        <v>1187</v>
      </c>
      <c r="R1043" s="1" t="s">
        <v>2204</v>
      </c>
      <c r="S1043" s="1" t="s">
        <v>88</v>
      </c>
      <c r="T1043" s="1" t="s">
        <v>35</v>
      </c>
      <c r="U1043" s="1" t="s">
        <v>55</v>
      </c>
      <c r="V1043" s="1" t="s">
        <v>37</v>
      </c>
      <c r="W1043">
        <v>2</v>
      </c>
      <c r="X1043" s="1" t="str">
        <f t="shared" si="48"/>
        <v>nicolas.jimenez67@mail.com</v>
      </c>
      <c r="Y1043" s="1" t="str">
        <f>INDEX(V:V,MATCH(orders_desnormalizado_prueba3[[#This Row],[acquisition_channel]],U:U,0))</f>
        <v>Bodega Propia CO - envio 2-3 dias</v>
      </c>
      <c r="Z1043" s="1" t="str">
        <f>INDEX(T:T,MATCH(orders_desnormalizado_prueba3[[#This Row],[shipping_cost]],W:W,0))</f>
        <v>Colombia</v>
      </c>
      <c r="AA1043" s="1" t="str">
        <f t="shared" si="49"/>
        <v>Barranquilla</v>
      </c>
      <c r="AB1043" s="1"/>
      <c r="AC1043" s="1" t="str">
        <f t="shared" si="50"/>
        <v xml:space="preserve"> </v>
      </c>
    </row>
    <row r="1044" spans="1:29" x14ac:dyDescent="0.3">
      <c r="A1044" s="1" t="s">
        <v>2250</v>
      </c>
      <c r="B1044">
        <v>3</v>
      </c>
      <c r="C1044">
        <v>30.99</v>
      </c>
      <c r="D1044">
        <v>73.47</v>
      </c>
      <c r="E1044" s="1" t="s">
        <v>2156</v>
      </c>
      <c r="F1044" s="1" t="s">
        <v>40</v>
      </c>
      <c r="G1044">
        <v>2</v>
      </c>
      <c r="H1044" s="1" t="s">
        <v>58</v>
      </c>
      <c r="I1044" s="1" t="s">
        <v>42</v>
      </c>
      <c r="J1044">
        <v>10.5</v>
      </c>
      <c r="K1044">
        <v>30.99</v>
      </c>
      <c r="L1044" s="1" t="s">
        <v>28</v>
      </c>
      <c r="M1044" s="1" t="s">
        <v>43</v>
      </c>
      <c r="N1044" s="1" t="s">
        <v>44</v>
      </c>
      <c r="O1044" s="1" t="s">
        <v>31</v>
      </c>
      <c r="P1044" s="2">
        <v>45823</v>
      </c>
      <c r="Q1044" s="1" t="s">
        <v>836</v>
      </c>
      <c r="R1044" s="1" t="s">
        <v>1847</v>
      </c>
      <c r="S1044" s="1" t="s">
        <v>105</v>
      </c>
      <c r="T1044" s="1" t="s">
        <v>35</v>
      </c>
      <c r="U1044" s="1" t="s">
        <v>66</v>
      </c>
      <c r="V1044" s="1" t="s">
        <v>37</v>
      </c>
      <c r="W1044">
        <v>2</v>
      </c>
      <c r="X1044" s="1" t="str">
        <f t="shared" si="48"/>
        <v>esteban.martinez139@mail.com</v>
      </c>
      <c r="Y1044" s="1" t="str">
        <f>INDEX(V:V,MATCH(orders_desnormalizado_prueba3[[#This Row],[acquisition_channel]],U:U,0))</f>
        <v>AliDropship CN - envio 15-20 dias</v>
      </c>
      <c r="Z1044" s="1" t="str">
        <f>INDEX(T:T,MATCH(orders_desnormalizado_prueba3[[#This Row],[shipping_cost]],W:W,0))</f>
        <v>Colombia</v>
      </c>
      <c r="AA1044" s="1" t="str">
        <f t="shared" si="49"/>
        <v>Medellin</v>
      </c>
      <c r="AB1044" s="1"/>
      <c r="AC1044" s="1" t="str">
        <f t="shared" si="50"/>
        <v xml:space="preserve"> </v>
      </c>
    </row>
    <row r="1045" spans="1:29" x14ac:dyDescent="0.3">
      <c r="A1045" s="1" t="s">
        <v>2251</v>
      </c>
      <c r="B1045">
        <v>1</v>
      </c>
      <c r="C1045">
        <v>18.989999999999998</v>
      </c>
      <c r="D1045">
        <v>18.989999999999998</v>
      </c>
      <c r="E1045" s="1" t="s">
        <v>185</v>
      </c>
      <c r="F1045" s="1" t="s">
        <v>51</v>
      </c>
      <c r="G1045">
        <v>0</v>
      </c>
      <c r="H1045" s="1" t="s">
        <v>58</v>
      </c>
      <c r="I1045" s="1" t="s">
        <v>97</v>
      </c>
      <c r="J1045">
        <v>6</v>
      </c>
      <c r="K1045">
        <v>18.989999999999998</v>
      </c>
      <c r="L1045" s="1" t="s">
        <v>60</v>
      </c>
      <c r="M1045" s="1" t="s">
        <v>43</v>
      </c>
      <c r="N1045" s="1" t="s">
        <v>44</v>
      </c>
      <c r="O1045" s="1" t="s">
        <v>31</v>
      </c>
      <c r="P1045" s="2">
        <v>45823</v>
      </c>
      <c r="Q1045" s="1" t="s">
        <v>893</v>
      </c>
      <c r="R1045" s="1" t="s">
        <v>1300</v>
      </c>
      <c r="S1045" s="1" t="s">
        <v>34</v>
      </c>
      <c r="T1045" s="1" t="s">
        <v>35</v>
      </c>
      <c r="U1045" s="1" t="s">
        <v>66</v>
      </c>
      <c r="V1045" s="1" t="s">
        <v>100</v>
      </c>
      <c r="W1045">
        <v>3.2</v>
      </c>
      <c r="X1045" s="1" t="str">
        <f t="shared" si="48"/>
        <v>gabriela.jimenez17@mail.com</v>
      </c>
      <c r="Y1045" s="1" t="str">
        <f>INDEX(V:V,MATCH(orders_desnormalizado_prueba3[[#This Row],[acquisition_channel]],U:U,0))</f>
        <v>AliDropship CN - envio 15-20 dias</v>
      </c>
      <c r="Z1045" s="1" t="str">
        <f>INDEX(T:T,MATCH(orders_desnormalizado_prueba3[[#This Row],[shipping_cost]],W:W,0))</f>
        <v>Colombia</v>
      </c>
      <c r="AA1045" s="1" t="str">
        <f t="shared" si="49"/>
        <v>Cartagena</v>
      </c>
      <c r="AB1045" s="1"/>
      <c r="AC1045" s="1" t="str">
        <f t="shared" si="50"/>
        <v xml:space="preserve"> </v>
      </c>
    </row>
    <row r="1046" spans="1:29" x14ac:dyDescent="0.3">
      <c r="A1046" s="1" t="s">
        <v>2252</v>
      </c>
      <c r="B1046">
        <v>1</v>
      </c>
      <c r="C1046">
        <v>16.989999999999998</v>
      </c>
      <c r="D1046">
        <v>16.989999999999998</v>
      </c>
      <c r="E1046" s="1" t="s">
        <v>2253</v>
      </c>
      <c r="F1046" s="1" t="s">
        <v>51</v>
      </c>
      <c r="G1046">
        <v>0</v>
      </c>
      <c r="H1046" s="1" t="s">
        <v>96</v>
      </c>
      <c r="I1046" s="1" t="s">
        <v>59</v>
      </c>
      <c r="J1046">
        <v>5</v>
      </c>
      <c r="K1046">
        <v>16.989999999999998</v>
      </c>
      <c r="L1046" s="1" t="s">
        <v>60</v>
      </c>
      <c r="M1046" s="1" t="s">
        <v>61</v>
      </c>
      <c r="N1046" s="1" t="s">
        <v>62</v>
      </c>
      <c r="O1046" s="1" t="s">
        <v>31</v>
      </c>
      <c r="P1046" s="2">
        <v>45726</v>
      </c>
      <c r="Q1046" s="1" t="s">
        <v>1048</v>
      </c>
      <c r="R1046" s="1" t="s">
        <v>1701</v>
      </c>
      <c r="S1046" s="1" t="s">
        <v>105</v>
      </c>
      <c r="T1046" s="1" t="s">
        <v>35</v>
      </c>
      <c r="U1046" s="1" t="s">
        <v>82</v>
      </c>
      <c r="V1046" s="1" t="s">
        <v>67</v>
      </c>
      <c r="W1046">
        <v>3</v>
      </c>
      <c r="X1046" s="1" t="str">
        <f t="shared" si="48"/>
        <v>andres.perez17@mail.com</v>
      </c>
      <c r="Y1046" s="1" t="str">
        <f>INDEX(V:V,MATCH(orders_desnormalizado_prueba3[[#This Row],[acquisition_channel]],U:U,0))</f>
        <v>Bodega Propia CO - envio 2-3 dias</v>
      </c>
      <c r="Z1046" s="1" t="str">
        <f>INDEX(T:T,MATCH(orders_desnormalizado_prueba3[[#This Row],[shipping_cost]],W:W,0))</f>
        <v>Colombia</v>
      </c>
      <c r="AA1046" s="1" t="str">
        <f t="shared" si="49"/>
        <v>Cartagena</v>
      </c>
      <c r="AB1046" s="1"/>
      <c r="AC1046" s="1" t="str">
        <f t="shared" si="50"/>
        <v xml:space="preserve"> </v>
      </c>
    </row>
    <row r="1047" spans="1:29" x14ac:dyDescent="0.3">
      <c r="A1047" s="1" t="s">
        <v>2254</v>
      </c>
      <c r="B1047">
        <v>1</v>
      </c>
      <c r="C1047">
        <v>18.989999999999998</v>
      </c>
      <c r="D1047">
        <v>18.989999999999998</v>
      </c>
      <c r="E1047" s="1" t="s">
        <v>1407</v>
      </c>
      <c r="F1047" s="1" t="s">
        <v>40</v>
      </c>
      <c r="G1047">
        <v>12</v>
      </c>
      <c r="H1047" s="1" t="s">
        <v>58</v>
      </c>
      <c r="I1047" s="1" t="s">
        <v>97</v>
      </c>
      <c r="J1047">
        <v>6</v>
      </c>
      <c r="K1047">
        <v>18.989999999999998</v>
      </c>
      <c r="L1047" s="1" t="s">
        <v>60</v>
      </c>
      <c r="M1047" s="1" t="s">
        <v>43</v>
      </c>
      <c r="N1047" s="1" t="s">
        <v>44</v>
      </c>
      <c r="O1047" s="1" t="s">
        <v>31</v>
      </c>
      <c r="P1047" s="2">
        <v>45823</v>
      </c>
      <c r="Q1047" s="1" t="s">
        <v>1137</v>
      </c>
      <c r="R1047" s="1" t="s">
        <v>2255</v>
      </c>
      <c r="S1047" s="1" t="s">
        <v>65</v>
      </c>
      <c r="T1047" s="1" t="s">
        <v>35</v>
      </c>
      <c r="U1047" s="1" t="s">
        <v>36</v>
      </c>
      <c r="V1047" s="1" t="s">
        <v>100</v>
      </c>
      <c r="W1047">
        <v>3.2</v>
      </c>
      <c r="X1047" s="1" t="str">
        <f t="shared" si="48"/>
        <v>santiago.ortiz166@mail.com</v>
      </c>
      <c r="Y1047" s="1" t="str">
        <f>INDEX(V:V,MATCH(orders_desnormalizado_prueba3[[#This Row],[acquisition_channel]],U:U,0))</f>
        <v>Bodega Propia CO - envio 2-3 dias</v>
      </c>
      <c r="Z1047" s="1" t="str">
        <f>INDEX(T:T,MATCH(orders_desnormalizado_prueba3[[#This Row],[shipping_cost]],W:W,0))</f>
        <v>Colombia</v>
      </c>
      <c r="AA1047" s="1" t="str">
        <f t="shared" si="49"/>
        <v>Cartagena</v>
      </c>
      <c r="AB1047" s="1"/>
      <c r="AC1047" s="1" t="str">
        <f t="shared" si="50"/>
        <v xml:space="preserve"> </v>
      </c>
    </row>
    <row r="1048" spans="1:29" x14ac:dyDescent="0.3">
      <c r="A1048" s="1" t="s">
        <v>2256</v>
      </c>
      <c r="B1048">
        <v>1</v>
      </c>
      <c r="C1048">
        <v>16.989999999999998</v>
      </c>
      <c r="D1048">
        <v>16.989999999999998</v>
      </c>
      <c r="E1048" s="1" t="s">
        <v>117</v>
      </c>
      <c r="F1048" s="1" t="s">
        <v>25</v>
      </c>
      <c r="G1048">
        <v>15</v>
      </c>
      <c r="H1048" s="1" t="s">
        <v>58</v>
      </c>
      <c r="I1048" s="1" t="s">
        <v>59</v>
      </c>
      <c r="J1048">
        <v>5</v>
      </c>
      <c r="K1048">
        <v>16.989999999999998</v>
      </c>
      <c r="L1048" s="1" t="s">
        <v>60</v>
      </c>
      <c r="M1048" s="1" t="s">
        <v>61</v>
      </c>
      <c r="N1048" s="1" t="s">
        <v>62</v>
      </c>
      <c r="O1048" s="1" t="s">
        <v>31</v>
      </c>
      <c r="P1048" s="2">
        <v>45726</v>
      </c>
      <c r="Q1048" s="1" t="s">
        <v>1253</v>
      </c>
      <c r="R1048" s="1" t="s">
        <v>1875</v>
      </c>
      <c r="S1048" s="1" t="s">
        <v>105</v>
      </c>
      <c r="T1048" s="1" t="s">
        <v>35</v>
      </c>
      <c r="U1048" s="1" t="s">
        <v>66</v>
      </c>
      <c r="V1048" s="1" t="s">
        <v>67</v>
      </c>
      <c r="W1048">
        <v>3</v>
      </c>
      <c r="X1048" s="1" t="str">
        <f t="shared" si="48"/>
        <v>sofia.ortiz121@mail.com</v>
      </c>
      <c r="Y1048" s="1" t="str">
        <f>INDEX(V:V,MATCH(orders_desnormalizado_prueba3[[#This Row],[acquisition_channel]],U:U,0))</f>
        <v>AliDropship CN - envio 15-20 dias</v>
      </c>
      <c r="Z1048" s="1" t="str">
        <f>INDEX(T:T,MATCH(orders_desnormalizado_prueba3[[#This Row],[shipping_cost]],W:W,0))</f>
        <v>Colombia</v>
      </c>
      <c r="AA1048" s="1" t="str">
        <f t="shared" si="49"/>
        <v>Barranquilla</v>
      </c>
      <c r="AB1048" s="1"/>
      <c r="AC1048" s="1" t="str">
        <f t="shared" si="50"/>
        <v xml:space="preserve"> </v>
      </c>
    </row>
    <row r="1049" spans="1:29" x14ac:dyDescent="0.3">
      <c r="A1049" s="1" t="s">
        <v>2257</v>
      </c>
      <c r="B1049">
        <v>1</v>
      </c>
      <c r="C1049">
        <v>27.99</v>
      </c>
      <c r="D1049">
        <v>27.99</v>
      </c>
      <c r="E1049" s="1" t="s">
        <v>858</v>
      </c>
      <c r="F1049" s="1" t="s">
        <v>51</v>
      </c>
      <c r="G1049">
        <v>0</v>
      </c>
      <c r="H1049" s="1" t="s">
        <v>58</v>
      </c>
      <c r="I1049" s="1" t="s">
        <v>75</v>
      </c>
      <c r="J1049">
        <v>9</v>
      </c>
      <c r="K1049">
        <v>27.99</v>
      </c>
      <c r="L1049" s="1" t="s">
        <v>28</v>
      </c>
      <c r="M1049" s="1" t="s">
        <v>61</v>
      </c>
      <c r="N1049" s="1" t="s">
        <v>62</v>
      </c>
      <c r="O1049" s="1" t="s">
        <v>31</v>
      </c>
      <c r="P1049" s="2">
        <v>45726</v>
      </c>
      <c r="Q1049" s="1" t="s">
        <v>1780</v>
      </c>
      <c r="R1049" s="1" t="s">
        <v>1781</v>
      </c>
      <c r="S1049" s="1" t="s">
        <v>65</v>
      </c>
      <c r="T1049" s="1" t="s">
        <v>35</v>
      </c>
      <c r="U1049" s="1" t="s">
        <v>36</v>
      </c>
      <c r="V1049" s="1" t="s">
        <v>37</v>
      </c>
      <c r="W1049">
        <v>2</v>
      </c>
      <c r="X1049" s="1" t="str">
        <f t="shared" si="48"/>
        <v>manuela.jimenez173@mail.com</v>
      </c>
      <c r="Y1049" s="1" t="str">
        <f>INDEX(V:V,MATCH(orders_desnormalizado_prueba3[[#This Row],[acquisition_channel]],U:U,0))</f>
        <v>Bodega Propia CO - envio 2-3 dias</v>
      </c>
      <c r="Z1049" s="1" t="str">
        <f>INDEX(T:T,MATCH(orders_desnormalizado_prueba3[[#This Row],[shipping_cost]],W:W,0))</f>
        <v>Colombia</v>
      </c>
      <c r="AA1049" s="1" t="str">
        <f t="shared" si="49"/>
        <v>Cartagena</v>
      </c>
      <c r="AB1049" s="1"/>
      <c r="AC1049" s="1" t="str">
        <f t="shared" si="50"/>
        <v xml:space="preserve"> </v>
      </c>
    </row>
    <row r="1050" spans="1:29" x14ac:dyDescent="0.3">
      <c r="A1050" s="1" t="s">
        <v>2258</v>
      </c>
      <c r="B1050">
        <v>1</v>
      </c>
      <c r="C1050">
        <v>18.989999999999998</v>
      </c>
      <c r="D1050">
        <v>18.989999999999998</v>
      </c>
      <c r="E1050" s="1" t="s">
        <v>224</v>
      </c>
      <c r="F1050" s="1" t="s">
        <v>188</v>
      </c>
      <c r="G1050">
        <v>0</v>
      </c>
      <c r="H1050" s="1" t="s">
        <v>26</v>
      </c>
      <c r="I1050" s="1" t="s">
        <v>97</v>
      </c>
      <c r="J1050">
        <v>6</v>
      </c>
      <c r="K1050">
        <v>18.989999999999998</v>
      </c>
      <c r="L1050" s="1" t="s">
        <v>60</v>
      </c>
      <c r="M1050" s="1" t="s">
        <v>43</v>
      </c>
      <c r="N1050" s="1" t="s">
        <v>44</v>
      </c>
      <c r="O1050" s="1" t="s">
        <v>31</v>
      </c>
      <c r="P1050" s="2">
        <v>45823</v>
      </c>
      <c r="Q1050" s="1" t="s">
        <v>689</v>
      </c>
      <c r="R1050" s="1" t="s">
        <v>766</v>
      </c>
      <c r="S1050" s="1" t="s">
        <v>105</v>
      </c>
      <c r="T1050" s="1" t="s">
        <v>35</v>
      </c>
      <c r="U1050" s="1" t="s">
        <v>48</v>
      </c>
      <c r="V1050" s="1" t="s">
        <v>100</v>
      </c>
      <c r="W1050">
        <v>3.2</v>
      </c>
      <c r="X1050" s="1" t="str">
        <f t="shared" si="48"/>
        <v>mateo.martinez177@mail.com</v>
      </c>
      <c r="Y1050" s="1" t="str">
        <f>INDEX(V:V,MATCH(orders_desnormalizado_prueba3[[#This Row],[acquisition_channel]],U:U,0))</f>
        <v>Bodega Propia CO - envio 2-3 dias</v>
      </c>
      <c r="Z1050" s="1" t="str">
        <f>INDEX(T:T,MATCH(orders_desnormalizado_prueba3[[#This Row],[shipping_cost]],W:W,0))</f>
        <v>Colombia</v>
      </c>
      <c r="AA1050" s="1" t="str">
        <f t="shared" si="49"/>
        <v>Cartagena</v>
      </c>
      <c r="AB1050" s="1"/>
      <c r="AC1050" s="1" t="str">
        <f t="shared" si="50"/>
        <v xml:space="preserve"> </v>
      </c>
    </row>
    <row r="1051" spans="1:29" x14ac:dyDescent="0.3">
      <c r="A1051" s="1" t="s">
        <v>2259</v>
      </c>
      <c r="B1051">
        <v>1</v>
      </c>
      <c r="C1051">
        <v>21.99</v>
      </c>
      <c r="D1051">
        <v>21.99</v>
      </c>
      <c r="E1051" s="1" t="s">
        <v>1068</v>
      </c>
      <c r="F1051" s="1" t="s">
        <v>40</v>
      </c>
      <c r="G1051">
        <v>3</v>
      </c>
      <c r="H1051" s="1" t="s">
        <v>26</v>
      </c>
      <c r="I1051" s="1" t="s">
        <v>27</v>
      </c>
      <c r="J1051">
        <v>7</v>
      </c>
      <c r="K1051">
        <v>21.99</v>
      </c>
      <c r="L1051" s="1" t="s">
        <v>28</v>
      </c>
      <c r="M1051" s="1" t="s">
        <v>29</v>
      </c>
      <c r="N1051" s="1" t="s">
        <v>30</v>
      </c>
      <c r="O1051" s="1" t="s">
        <v>31</v>
      </c>
      <c r="P1051" s="2">
        <v>45778</v>
      </c>
      <c r="Q1051" s="1" t="s">
        <v>938</v>
      </c>
      <c r="R1051" s="1" t="s">
        <v>939</v>
      </c>
      <c r="S1051" s="1" t="s">
        <v>54</v>
      </c>
      <c r="T1051" s="1" t="s">
        <v>35</v>
      </c>
      <c r="U1051" s="1" t="s">
        <v>66</v>
      </c>
      <c r="V1051" s="1" t="s">
        <v>37</v>
      </c>
      <c r="W1051">
        <v>2</v>
      </c>
      <c r="X1051" s="1" t="str">
        <f t="shared" si="48"/>
        <v>andres.hernandez92@mail.com</v>
      </c>
      <c r="Y1051" s="1" t="str">
        <f>INDEX(V:V,MATCH(orders_desnormalizado_prueba3[[#This Row],[acquisition_channel]],U:U,0))</f>
        <v>AliDropship CN - envio 15-20 dias</v>
      </c>
      <c r="Z1051" s="1" t="str">
        <f>INDEX(T:T,MATCH(orders_desnormalizado_prueba3[[#This Row],[shipping_cost]],W:W,0))</f>
        <v>Colombia</v>
      </c>
      <c r="AA1051" s="1" t="str">
        <f t="shared" si="49"/>
        <v>Barranquilla</v>
      </c>
      <c r="AB1051" s="1"/>
      <c r="AC1051" s="1" t="str">
        <f t="shared" si="50"/>
        <v xml:space="preserve"> </v>
      </c>
    </row>
    <row r="1052" spans="1:29" x14ac:dyDescent="0.3">
      <c r="A1052" s="1" t="s">
        <v>2260</v>
      </c>
      <c r="B1052">
        <v>1</v>
      </c>
      <c r="C1052">
        <v>30.99</v>
      </c>
      <c r="D1052">
        <v>30.99</v>
      </c>
      <c r="E1052" s="1" t="s">
        <v>2261</v>
      </c>
      <c r="F1052" s="1" t="s">
        <v>40</v>
      </c>
      <c r="G1052">
        <v>3</v>
      </c>
      <c r="H1052" s="1" t="s">
        <v>96</v>
      </c>
      <c r="I1052" s="1" t="s">
        <v>42</v>
      </c>
      <c r="J1052">
        <v>10.5</v>
      </c>
      <c r="K1052">
        <v>30.99</v>
      </c>
      <c r="L1052" s="1" t="s">
        <v>28</v>
      </c>
      <c r="M1052" s="1" t="s">
        <v>43</v>
      </c>
      <c r="N1052" s="1" t="s">
        <v>44</v>
      </c>
      <c r="O1052" s="1" t="s">
        <v>31</v>
      </c>
      <c r="P1052" s="2">
        <v>45823</v>
      </c>
      <c r="Q1052" s="1" t="s">
        <v>842</v>
      </c>
      <c r="R1052" s="1" t="s">
        <v>1504</v>
      </c>
      <c r="S1052" s="1" t="s">
        <v>47</v>
      </c>
      <c r="T1052" s="1" t="s">
        <v>35</v>
      </c>
      <c r="U1052" s="1" t="s">
        <v>66</v>
      </c>
      <c r="V1052" s="1" t="s">
        <v>37</v>
      </c>
      <c r="W1052">
        <v>2</v>
      </c>
      <c r="X1052" s="1" t="str">
        <f t="shared" si="48"/>
        <v>manuela.moreno133@mail.com</v>
      </c>
      <c r="Y1052" s="1" t="str">
        <f>INDEX(V:V,MATCH(orders_desnormalizado_prueba3[[#This Row],[acquisition_channel]],U:U,0))</f>
        <v>AliDropship CN - envio 15-20 dias</v>
      </c>
      <c r="Z1052" s="1" t="str">
        <f>INDEX(T:T,MATCH(orders_desnormalizado_prueba3[[#This Row],[shipping_cost]],W:W,0))</f>
        <v>Colombia</v>
      </c>
      <c r="AA1052" s="1" t="str">
        <f t="shared" si="49"/>
        <v>Barranquilla</v>
      </c>
      <c r="AB1052" s="1"/>
      <c r="AC1052" s="1" t="str">
        <f t="shared" si="50"/>
        <v xml:space="preserve"> </v>
      </c>
    </row>
    <row r="1053" spans="1:29" x14ac:dyDescent="0.3">
      <c r="A1053" s="1" t="s">
        <v>2262</v>
      </c>
      <c r="B1053">
        <v>3</v>
      </c>
      <c r="C1053">
        <v>30.99</v>
      </c>
      <c r="D1053">
        <v>74.77</v>
      </c>
      <c r="E1053" s="1" t="s">
        <v>113</v>
      </c>
      <c r="F1053" s="1" t="s">
        <v>51</v>
      </c>
      <c r="G1053">
        <v>0</v>
      </c>
      <c r="H1053" s="1" t="s">
        <v>58</v>
      </c>
      <c r="I1053" s="1" t="s">
        <v>42</v>
      </c>
      <c r="J1053">
        <v>10.5</v>
      </c>
      <c r="K1053">
        <v>30.99</v>
      </c>
      <c r="L1053" s="1" t="s">
        <v>28</v>
      </c>
      <c r="M1053" s="1" t="s">
        <v>43</v>
      </c>
      <c r="N1053" s="1" t="s">
        <v>44</v>
      </c>
      <c r="O1053" s="1" t="s">
        <v>31</v>
      </c>
      <c r="P1053" s="2">
        <v>45823</v>
      </c>
      <c r="Q1053" s="1" t="s">
        <v>943</v>
      </c>
      <c r="R1053" s="1" t="s">
        <v>1346</v>
      </c>
      <c r="S1053" s="1" t="s">
        <v>54</v>
      </c>
      <c r="T1053" s="1" t="s">
        <v>35</v>
      </c>
      <c r="U1053" s="1" t="s">
        <v>55</v>
      </c>
      <c r="V1053" s="1" t="s">
        <v>37</v>
      </c>
      <c r="W1053">
        <v>2</v>
      </c>
      <c r="X1053" s="1" t="str">
        <f t="shared" si="48"/>
        <v>diego.lopez18@mail.com</v>
      </c>
      <c r="Y1053" s="1" t="str">
        <f>INDEX(V:V,MATCH(orders_desnormalizado_prueba3[[#This Row],[acquisition_channel]],U:U,0))</f>
        <v>Bodega Propia CO - envio 2-3 dias</v>
      </c>
      <c r="Z1053" s="1" t="str">
        <f>INDEX(T:T,MATCH(orders_desnormalizado_prueba3[[#This Row],[shipping_cost]],W:W,0))</f>
        <v>Colombia</v>
      </c>
      <c r="AA1053" s="1" t="str">
        <f t="shared" si="49"/>
        <v>Cartagena</v>
      </c>
      <c r="AB1053" s="1"/>
      <c r="AC1053" s="1" t="str">
        <f t="shared" si="50"/>
        <v xml:space="preserve"> </v>
      </c>
    </row>
    <row r="1054" spans="1:29" x14ac:dyDescent="0.3">
      <c r="A1054" s="1" t="s">
        <v>2263</v>
      </c>
      <c r="B1054">
        <v>1</v>
      </c>
      <c r="C1054">
        <v>16.989999999999998</v>
      </c>
      <c r="D1054">
        <v>16.989999999999998</v>
      </c>
      <c r="E1054" s="1" t="s">
        <v>382</v>
      </c>
      <c r="F1054" s="1" t="s">
        <v>40</v>
      </c>
      <c r="G1054">
        <v>15</v>
      </c>
      <c r="H1054" s="1" t="s">
        <v>26</v>
      </c>
      <c r="I1054" s="1" t="s">
        <v>59</v>
      </c>
      <c r="J1054">
        <v>5</v>
      </c>
      <c r="K1054">
        <v>16.989999999999998</v>
      </c>
      <c r="L1054" s="1" t="s">
        <v>60</v>
      </c>
      <c r="M1054" s="1" t="s">
        <v>61</v>
      </c>
      <c r="N1054" s="1" t="s">
        <v>62</v>
      </c>
      <c r="O1054" s="1" t="s">
        <v>31</v>
      </c>
      <c r="P1054" s="2">
        <v>45726</v>
      </c>
      <c r="Q1054" s="1" t="s">
        <v>930</v>
      </c>
      <c r="R1054" s="1" t="s">
        <v>1251</v>
      </c>
      <c r="S1054" s="1" t="s">
        <v>47</v>
      </c>
      <c r="T1054" s="1" t="s">
        <v>35</v>
      </c>
      <c r="U1054" s="1" t="s">
        <v>66</v>
      </c>
      <c r="V1054" s="1" t="s">
        <v>67</v>
      </c>
      <c r="W1054">
        <v>3</v>
      </c>
      <c r="X1054" s="1" t="str">
        <f t="shared" si="48"/>
        <v>fernanda.vargas118@mail.com</v>
      </c>
      <c r="Y1054" s="1" t="str">
        <f>INDEX(V:V,MATCH(orders_desnormalizado_prueba3[[#This Row],[acquisition_channel]],U:U,0))</f>
        <v>AliDropship CN - envio 15-20 dias</v>
      </c>
      <c r="Z1054" s="1" t="str">
        <f>INDEX(T:T,MATCH(orders_desnormalizado_prueba3[[#This Row],[shipping_cost]],W:W,0))</f>
        <v>Colombia</v>
      </c>
      <c r="AA1054" s="1" t="str">
        <f t="shared" si="49"/>
        <v>Barranquilla</v>
      </c>
      <c r="AB1054" s="1"/>
      <c r="AC1054" s="1" t="str">
        <f t="shared" si="50"/>
        <v xml:space="preserve"> </v>
      </c>
    </row>
    <row r="1055" spans="1:29" x14ac:dyDescent="0.3">
      <c r="A1055" s="1" t="s">
        <v>2264</v>
      </c>
      <c r="B1055">
        <v>2</v>
      </c>
      <c r="C1055">
        <v>34.99</v>
      </c>
      <c r="D1055">
        <v>59.89</v>
      </c>
      <c r="E1055" s="1" t="s">
        <v>989</v>
      </c>
      <c r="F1055" s="1" t="s">
        <v>25</v>
      </c>
      <c r="G1055">
        <v>8</v>
      </c>
      <c r="H1055" s="1" t="s">
        <v>96</v>
      </c>
      <c r="I1055" s="1" t="s">
        <v>85</v>
      </c>
      <c r="J1055">
        <v>12.5</v>
      </c>
      <c r="K1055">
        <v>34.99</v>
      </c>
      <c r="L1055" s="1" t="s">
        <v>60</v>
      </c>
      <c r="M1055" s="1" t="s">
        <v>29</v>
      </c>
      <c r="N1055" s="1" t="s">
        <v>30</v>
      </c>
      <c r="O1055" s="1" t="s">
        <v>31</v>
      </c>
      <c r="P1055" s="2">
        <v>45778</v>
      </c>
      <c r="Q1055" s="1" t="s">
        <v>1024</v>
      </c>
      <c r="R1055" s="1" t="s">
        <v>1854</v>
      </c>
      <c r="S1055" s="1" t="s">
        <v>65</v>
      </c>
      <c r="T1055" s="1" t="s">
        <v>35</v>
      </c>
      <c r="U1055" s="1" t="s">
        <v>82</v>
      </c>
      <c r="V1055" s="1" t="s">
        <v>89</v>
      </c>
      <c r="W1055">
        <v>2.4</v>
      </c>
      <c r="X1055" s="1" t="str">
        <f t="shared" si="48"/>
        <v>camila.gomez147@mail.com</v>
      </c>
      <c r="Y1055" s="1" t="str">
        <f>INDEX(V:V,MATCH(orders_desnormalizado_prueba3[[#This Row],[acquisition_channel]],U:U,0))</f>
        <v>Bodega Propia CO - envio 2-3 dias</v>
      </c>
      <c r="Z1055" s="1" t="str">
        <f>INDEX(T:T,MATCH(orders_desnormalizado_prueba3[[#This Row],[shipping_cost]],W:W,0))</f>
        <v>Colombia</v>
      </c>
      <c r="AA1055" s="1" t="str">
        <f t="shared" si="49"/>
        <v>Barranquilla</v>
      </c>
      <c r="AB1055" s="1"/>
      <c r="AC1055" s="1" t="str">
        <f t="shared" si="50"/>
        <v xml:space="preserve"> </v>
      </c>
    </row>
    <row r="1056" spans="1:29" x14ac:dyDescent="0.3">
      <c r="A1056" s="1" t="s">
        <v>2265</v>
      </c>
      <c r="B1056">
        <v>1</v>
      </c>
      <c r="C1056">
        <v>30.99</v>
      </c>
      <c r="D1056">
        <v>30.99</v>
      </c>
      <c r="E1056" s="1" t="s">
        <v>1302</v>
      </c>
      <c r="F1056" s="1" t="s">
        <v>40</v>
      </c>
      <c r="G1056">
        <v>3</v>
      </c>
      <c r="H1056" s="1" t="s">
        <v>41</v>
      </c>
      <c r="I1056" s="1" t="s">
        <v>42</v>
      </c>
      <c r="J1056">
        <v>10.5</v>
      </c>
      <c r="K1056">
        <v>30.99</v>
      </c>
      <c r="L1056" s="1" t="s">
        <v>28</v>
      </c>
      <c r="M1056" s="1" t="s">
        <v>43</v>
      </c>
      <c r="N1056" s="1" t="s">
        <v>44</v>
      </c>
      <c r="O1056" s="1" t="s">
        <v>31</v>
      </c>
      <c r="P1056" s="2">
        <v>45823</v>
      </c>
      <c r="Q1056" s="1" t="s">
        <v>278</v>
      </c>
      <c r="R1056" s="1" t="s">
        <v>1202</v>
      </c>
      <c r="S1056" s="1" t="s">
        <v>54</v>
      </c>
      <c r="T1056" s="1" t="s">
        <v>35</v>
      </c>
      <c r="U1056" s="1" t="s">
        <v>36</v>
      </c>
      <c r="V1056" s="1" t="s">
        <v>37</v>
      </c>
      <c r="W1056">
        <v>2</v>
      </c>
      <c r="X1056" s="1" t="str">
        <f t="shared" si="48"/>
        <v>gabriela.diaz40@mail.com</v>
      </c>
      <c r="Y1056" s="1" t="str">
        <f>INDEX(V:V,MATCH(orders_desnormalizado_prueba3[[#This Row],[acquisition_channel]],U:U,0))</f>
        <v>Bodega Propia CO - envio 2-3 dias</v>
      </c>
      <c r="Z1056" s="1" t="str">
        <f>INDEX(T:T,MATCH(orders_desnormalizado_prueba3[[#This Row],[shipping_cost]],W:W,0))</f>
        <v>Colombia</v>
      </c>
      <c r="AA1056" s="1" t="str">
        <f t="shared" si="49"/>
        <v>Barranquilla</v>
      </c>
      <c r="AB1056" s="1"/>
      <c r="AC1056" s="1" t="str">
        <f t="shared" si="50"/>
        <v xml:space="preserve"> </v>
      </c>
    </row>
    <row r="1057" spans="1:29" x14ac:dyDescent="0.3">
      <c r="A1057" s="1" t="s">
        <v>2266</v>
      </c>
      <c r="B1057">
        <v>1</v>
      </c>
      <c r="C1057">
        <v>16.989999999999998</v>
      </c>
      <c r="D1057">
        <v>16.989999999999998</v>
      </c>
      <c r="E1057" s="1" t="s">
        <v>2267</v>
      </c>
      <c r="F1057" s="1" t="s">
        <v>40</v>
      </c>
      <c r="G1057">
        <v>17</v>
      </c>
      <c r="H1057" s="1" t="s">
        <v>26</v>
      </c>
      <c r="I1057" s="1" t="s">
        <v>59</v>
      </c>
      <c r="J1057">
        <v>5</v>
      </c>
      <c r="K1057">
        <v>16.989999999999998</v>
      </c>
      <c r="L1057" s="1" t="s">
        <v>60</v>
      </c>
      <c r="M1057" s="1" t="s">
        <v>61</v>
      </c>
      <c r="N1057" s="1" t="s">
        <v>62</v>
      </c>
      <c r="O1057" s="1" t="s">
        <v>31</v>
      </c>
      <c r="P1057" s="2">
        <v>45726</v>
      </c>
      <c r="Q1057" s="1" t="s">
        <v>990</v>
      </c>
      <c r="R1057" s="1" t="s">
        <v>1623</v>
      </c>
      <c r="S1057" s="1" t="s">
        <v>54</v>
      </c>
      <c r="T1057" s="1" t="s">
        <v>35</v>
      </c>
      <c r="U1057" s="1" t="s">
        <v>48</v>
      </c>
      <c r="V1057" s="1" t="s">
        <v>67</v>
      </c>
      <c r="W1057">
        <v>3</v>
      </c>
      <c r="X1057" s="1" t="str">
        <f t="shared" si="48"/>
        <v>fernanda.diaz94@mail.com</v>
      </c>
      <c r="Y1057" s="1" t="str">
        <f>INDEX(V:V,MATCH(orders_desnormalizado_prueba3[[#This Row],[acquisition_channel]],U:U,0))</f>
        <v>Bodega Propia CO - envio 2-3 dias</v>
      </c>
      <c r="Z1057" s="1" t="str">
        <f>INDEX(T:T,MATCH(orders_desnormalizado_prueba3[[#This Row],[shipping_cost]],W:W,0))</f>
        <v>Colombia</v>
      </c>
      <c r="AA1057" s="1" t="str">
        <f t="shared" si="49"/>
        <v>Barranquilla</v>
      </c>
      <c r="AB1057" s="1"/>
      <c r="AC1057" s="1" t="str">
        <f t="shared" si="50"/>
        <v xml:space="preserve"> </v>
      </c>
    </row>
    <row r="1058" spans="1:29" x14ac:dyDescent="0.3">
      <c r="A1058" s="1" t="s">
        <v>2268</v>
      </c>
      <c r="B1058">
        <v>1</v>
      </c>
      <c r="C1058">
        <v>18.989999999999998</v>
      </c>
      <c r="D1058">
        <v>18.989999999999998</v>
      </c>
      <c r="E1058" s="1" t="s">
        <v>1953</v>
      </c>
      <c r="F1058" s="1" t="s">
        <v>25</v>
      </c>
      <c r="G1058">
        <v>14</v>
      </c>
      <c r="H1058" s="1" t="s">
        <v>41</v>
      </c>
      <c r="I1058" s="1" t="s">
        <v>97</v>
      </c>
      <c r="J1058">
        <v>6</v>
      </c>
      <c r="K1058">
        <v>18.989999999999998</v>
      </c>
      <c r="L1058" s="1" t="s">
        <v>60</v>
      </c>
      <c r="M1058" s="1" t="s">
        <v>43</v>
      </c>
      <c r="N1058" s="1" t="s">
        <v>44</v>
      </c>
      <c r="O1058" s="1" t="s">
        <v>31</v>
      </c>
      <c r="P1058" s="2">
        <v>45823</v>
      </c>
      <c r="Q1058" s="1" t="s">
        <v>969</v>
      </c>
      <c r="R1058" s="1" t="s">
        <v>970</v>
      </c>
      <c r="S1058" s="1" t="s">
        <v>105</v>
      </c>
      <c r="T1058" s="1" t="s">
        <v>35</v>
      </c>
      <c r="U1058" s="1" t="s">
        <v>36</v>
      </c>
      <c r="V1058" s="1" t="s">
        <v>100</v>
      </c>
      <c r="W1058">
        <v>3.2</v>
      </c>
      <c r="X1058" s="1" t="str">
        <f t="shared" si="48"/>
        <v>fernanda.ortiz98@mail.com</v>
      </c>
      <c r="Y1058" s="1" t="str">
        <f>INDEX(V:V,MATCH(orders_desnormalizado_prueba3[[#This Row],[acquisition_channel]],U:U,0))</f>
        <v>Bodega Propia CO - envio 2-3 dias</v>
      </c>
      <c r="Z1058" s="1" t="str">
        <f>INDEX(T:T,MATCH(orders_desnormalizado_prueba3[[#This Row],[shipping_cost]],W:W,0))</f>
        <v>Colombia</v>
      </c>
      <c r="AA1058" s="1" t="str">
        <f t="shared" si="49"/>
        <v>Bogota</v>
      </c>
      <c r="AB1058" s="1"/>
      <c r="AC1058" s="1" t="str">
        <f t="shared" si="50"/>
        <v xml:space="preserve"> </v>
      </c>
    </row>
    <row r="1059" spans="1:29" x14ac:dyDescent="0.3">
      <c r="A1059" s="1" t="s">
        <v>2269</v>
      </c>
      <c r="B1059">
        <v>3</v>
      </c>
      <c r="C1059">
        <v>21.99</v>
      </c>
      <c r="D1059">
        <v>53.17</v>
      </c>
      <c r="E1059" s="1" t="s">
        <v>1096</v>
      </c>
      <c r="F1059" s="1" t="s">
        <v>40</v>
      </c>
      <c r="G1059">
        <v>6</v>
      </c>
      <c r="H1059" s="1" t="s">
        <v>96</v>
      </c>
      <c r="I1059" s="1" t="s">
        <v>27</v>
      </c>
      <c r="J1059">
        <v>7</v>
      </c>
      <c r="K1059">
        <v>21.99</v>
      </c>
      <c r="L1059" s="1" t="s">
        <v>28</v>
      </c>
      <c r="M1059" s="1" t="s">
        <v>29</v>
      </c>
      <c r="N1059" s="1" t="s">
        <v>30</v>
      </c>
      <c r="O1059" s="1" t="s">
        <v>31</v>
      </c>
      <c r="P1059" s="2">
        <v>45778</v>
      </c>
      <c r="Q1059" s="1" t="s">
        <v>1211</v>
      </c>
      <c r="R1059" s="1" t="s">
        <v>1212</v>
      </c>
      <c r="S1059" s="1" t="s">
        <v>34</v>
      </c>
      <c r="T1059" s="1" t="s">
        <v>35</v>
      </c>
      <c r="U1059" s="1" t="s">
        <v>66</v>
      </c>
      <c r="V1059" s="1" t="s">
        <v>37</v>
      </c>
      <c r="W1059">
        <v>2</v>
      </c>
      <c r="X1059" s="1" t="str">
        <f t="shared" si="48"/>
        <v>gabriela.lopez37@mail.com</v>
      </c>
      <c r="Y1059" s="1" t="str">
        <f>INDEX(V:V,MATCH(orders_desnormalizado_prueba3[[#This Row],[acquisition_channel]],U:U,0))</f>
        <v>AliDropship CN - envio 15-20 dias</v>
      </c>
      <c r="Z1059" s="1" t="str">
        <f>INDEX(T:T,MATCH(orders_desnormalizado_prueba3[[#This Row],[shipping_cost]],W:W,0))</f>
        <v>Colombia</v>
      </c>
      <c r="AA1059" s="1" t="str">
        <f t="shared" si="49"/>
        <v>Medellin</v>
      </c>
      <c r="AB1059" s="1"/>
      <c r="AC1059" s="1" t="str">
        <f t="shared" si="50"/>
        <v xml:space="preserve"> </v>
      </c>
    </row>
    <row r="1060" spans="1:29" x14ac:dyDescent="0.3">
      <c r="A1060" s="1" t="s">
        <v>2270</v>
      </c>
      <c r="B1060">
        <v>2</v>
      </c>
      <c r="C1060">
        <v>16.989999999999998</v>
      </c>
      <c r="D1060">
        <v>29.69</v>
      </c>
      <c r="E1060" s="1" t="s">
        <v>2082</v>
      </c>
      <c r="F1060" s="1" t="s">
        <v>40</v>
      </c>
      <c r="G1060">
        <v>19</v>
      </c>
      <c r="H1060" s="1" t="s">
        <v>41</v>
      </c>
      <c r="I1060" s="1" t="s">
        <v>59</v>
      </c>
      <c r="J1060">
        <v>5</v>
      </c>
      <c r="K1060">
        <v>16.989999999999998</v>
      </c>
      <c r="L1060" s="1" t="s">
        <v>60</v>
      </c>
      <c r="M1060" s="1" t="s">
        <v>61</v>
      </c>
      <c r="N1060" s="1" t="s">
        <v>62</v>
      </c>
      <c r="O1060" s="1" t="s">
        <v>31</v>
      </c>
      <c r="P1060" s="2">
        <v>45726</v>
      </c>
      <c r="Q1060" s="1" t="s">
        <v>1187</v>
      </c>
      <c r="R1060" s="1" t="s">
        <v>2204</v>
      </c>
      <c r="S1060" s="1" t="s">
        <v>88</v>
      </c>
      <c r="T1060" s="1" t="s">
        <v>35</v>
      </c>
      <c r="U1060" s="1" t="s">
        <v>55</v>
      </c>
      <c r="V1060" s="1" t="s">
        <v>67</v>
      </c>
      <c r="W1060">
        <v>3</v>
      </c>
      <c r="X1060" s="1" t="str">
        <f t="shared" si="48"/>
        <v>nicolas.jimenez67@mail.com</v>
      </c>
      <c r="Y1060" s="1" t="str">
        <f>INDEX(V:V,MATCH(orders_desnormalizado_prueba3[[#This Row],[acquisition_channel]],U:U,0))</f>
        <v>Bodega Propia CO - envio 2-3 dias</v>
      </c>
      <c r="Z1060" s="1" t="str">
        <f>INDEX(T:T,MATCH(orders_desnormalizado_prueba3[[#This Row],[shipping_cost]],W:W,0))</f>
        <v>Colombia</v>
      </c>
      <c r="AA1060" s="1" t="str">
        <f t="shared" si="49"/>
        <v>Bogota</v>
      </c>
      <c r="AB1060" s="1"/>
      <c r="AC1060" s="1" t="str">
        <f t="shared" si="50"/>
        <v xml:space="preserve"> </v>
      </c>
    </row>
    <row r="1061" spans="1:29" x14ac:dyDescent="0.3">
      <c r="A1061" s="1" t="s">
        <v>2271</v>
      </c>
      <c r="B1061">
        <v>3</v>
      </c>
      <c r="C1061">
        <v>27.99</v>
      </c>
      <c r="D1061">
        <v>67.5</v>
      </c>
      <c r="E1061" s="1" t="s">
        <v>435</v>
      </c>
      <c r="F1061" s="1" t="s">
        <v>40</v>
      </c>
      <c r="G1061">
        <v>2</v>
      </c>
      <c r="H1061" s="1" t="s">
        <v>96</v>
      </c>
      <c r="I1061" s="1" t="s">
        <v>75</v>
      </c>
      <c r="J1061">
        <v>9</v>
      </c>
      <c r="K1061">
        <v>27.99</v>
      </c>
      <c r="L1061" s="1" t="s">
        <v>28</v>
      </c>
      <c r="M1061" s="1" t="s">
        <v>61</v>
      </c>
      <c r="N1061" s="1" t="s">
        <v>62</v>
      </c>
      <c r="O1061" s="1" t="s">
        <v>31</v>
      </c>
      <c r="P1061" s="2">
        <v>45726</v>
      </c>
      <c r="Q1061" s="1" t="s">
        <v>1458</v>
      </c>
      <c r="R1061" s="1" t="s">
        <v>1459</v>
      </c>
      <c r="S1061" s="1" t="s">
        <v>88</v>
      </c>
      <c r="T1061" s="1" t="s">
        <v>35</v>
      </c>
      <c r="U1061" s="1" t="s">
        <v>82</v>
      </c>
      <c r="V1061" s="1" t="s">
        <v>37</v>
      </c>
      <c r="W1061">
        <v>2</v>
      </c>
      <c r="X1061" s="1" t="str">
        <f t="shared" si="48"/>
        <v>julian.perez48@mail.com</v>
      </c>
      <c r="Y1061" s="1" t="str">
        <f>INDEX(V:V,MATCH(orders_desnormalizado_prueba3[[#This Row],[acquisition_channel]],U:U,0))</f>
        <v>Bodega Propia CO - envio 2-3 dias</v>
      </c>
      <c r="Z1061" s="1" t="str">
        <f>INDEX(T:T,MATCH(orders_desnormalizado_prueba3[[#This Row],[shipping_cost]],W:W,0))</f>
        <v>Colombia</v>
      </c>
      <c r="AA1061" s="1" t="str">
        <f t="shared" si="49"/>
        <v>Medellin</v>
      </c>
      <c r="AB1061" s="1"/>
      <c r="AC1061" s="1" t="str">
        <f t="shared" si="50"/>
        <v xml:space="preserve"> </v>
      </c>
    </row>
    <row r="1062" spans="1:29" x14ac:dyDescent="0.3">
      <c r="A1062" s="1" t="s">
        <v>2272</v>
      </c>
      <c r="B1062">
        <v>1</v>
      </c>
      <c r="C1062">
        <v>16.989999999999998</v>
      </c>
      <c r="D1062">
        <v>16.989999999999998</v>
      </c>
      <c r="E1062" s="1" t="s">
        <v>989</v>
      </c>
      <c r="F1062" s="1" t="s">
        <v>40</v>
      </c>
      <c r="G1062">
        <v>19</v>
      </c>
      <c r="H1062" s="1" t="s">
        <v>58</v>
      </c>
      <c r="I1062" s="1" t="s">
        <v>59</v>
      </c>
      <c r="J1062">
        <v>5</v>
      </c>
      <c r="K1062">
        <v>16.989999999999998</v>
      </c>
      <c r="L1062" s="1" t="s">
        <v>60</v>
      </c>
      <c r="M1062" s="1" t="s">
        <v>61</v>
      </c>
      <c r="N1062" s="1" t="s">
        <v>62</v>
      </c>
      <c r="O1062" s="1" t="s">
        <v>31</v>
      </c>
      <c r="P1062" s="2">
        <v>45726</v>
      </c>
      <c r="Q1062" s="1" t="s">
        <v>938</v>
      </c>
      <c r="R1062" s="1" t="s">
        <v>939</v>
      </c>
      <c r="S1062" s="1" t="s">
        <v>54</v>
      </c>
      <c r="T1062" s="1" t="s">
        <v>35</v>
      </c>
      <c r="U1062" s="1" t="s">
        <v>66</v>
      </c>
      <c r="V1062" s="1" t="s">
        <v>67</v>
      </c>
      <c r="W1062">
        <v>3</v>
      </c>
      <c r="X1062" s="1" t="str">
        <f t="shared" si="48"/>
        <v>andres.hernandez92@mail.com</v>
      </c>
      <c r="Y1062" s="1" t="str">
        <f>INDEX(V:V,MATCH(orders_desnormalizado_prueba3[[#This Row],[acquisition_channel]],U:U,0))</f>
        <v>AliDropship CN - envio 15-20 dias</v>
      </c>
      <c r="Z1062" s="1" t="str">
        <f>INDEX(T:T,MATCH(orders_desnormalizado_prueba3[[#This Row],[shipping_cost]],W:W,0))</f>
        <v>Colombia</v>
      </c>
      <c r="AA1062" s="1" t="str">
        <f t="shared" si="49"/>
        <v>Bogota</v>
      </c>
      <c r="AB1062" s="1"/>
      <c r="AC1062" s="1" t="str">
        <f t="shared" si="50"/>
        <v xml:space="preserve"> </v>
      </c>
    </row>
    <row r="1063" spans="1:29" x14ac:dyDescent="0.3">
      <c r="A1063" s="1" t="s">
        <v>2273</v>
      </c>
      <c r="B1063">
        <v>2</v>
      </c>
      <c r="C1063">
        <v>34.99</v>
      </c>
      <c r="D1063">
        <v>60.72</v>
      </c>
      <c r="E1063" s="1" t="s">
        <v>2274</v>
      </c>
      <c r="F1063" s="1" t="s">
        <v>40</v>
      </c>
      <c r="G1063">
        <v>6</v>
      </c>
      <c r="H1063" s="1" t="s">
        <v>26</v>
      </c>
      <c r="I1063" s="1" t="s">
        <v>85</v>
      </c>
      <c r="J1063">
        <v>12.5</v>
      </c>
      <c r="K1063">
        <v>34.99</v>
      </c>
      <c r="L1063" s="1" t="s">
        <v>60</v>
      </c>
      <c r="M1063" s="1" t="s">
        <v>29</v>
      </c>
      <c r="N1063" s="1" t="s">
        <v>30</v>
      </c>
      <c r="O1063" s="1" t="s">
        <v>31</v>
      </c>
      <c r="P1063" s="2">
        <v>45778</v>
      </c>
      <c r="Q1063" s="1" t="s">
        <v>1947</v>
      </c>
      <c r="R1063" s="1" t="s">
        <v>1948</v>
      </c>
      <c r="S1063" s="1" t="s">
        <v>34</v>
      </c>
      <c r="T1063" s="1" t="s">
        <v>35</v>
      </c>
      <c r="U1063" s="1" t="s">
        <v>55</v>
      </c>
      <c r="V1063" s="1" t="s">
        <v>89</v>
      </c>
      <c r="W1063">
        <v>2.4</v>
      </c>
      <c r="X1063" s="1" t="str">
        <f t="shared" si="48"/>
        <v>laura.sanchez152@mail.com</v>
      </c>
      <c r="Y1063" s="1" t="str">
        <f>INDEX(V:V,MATCH(orders_desnormalizado_prueba3[[#This Row],[acquisition_channel]],U:U,0))</f>
        <v>Bodega Propia CO - envio 2-3 dias</v>
      </c>
      <c r="Z1063" s="1" t="str">
        <f>INDEX(T:T,MATCH(orders_desnormalizado_prueba3[[#This Row],[shipping_cost]],W:W,0))</f>
        <v>Colombia</v>
      </c>
      <c r="AA1063" s="1" t="str">
        <f t="shared" si="49"/>
        <v>Medellin</v>
      </c>
      <c r="AB1063" s="1"/>
      <c r="AC1063" s="1" t="str">
        <f t="shared" si="50"/>
        <v xml:space="preserve"> </v>
      </c>
    </row>
    <row r="1064" spans="1:29" x14ac:dyDescent="0.3">
      <c r="A1064" s="1" t="s">
        <v>2275</v>
      </c>
      <c r="B1064">
        <v>1</v>
      </c>
      <c r="C1064">
        <v>18.989999999999998</v>
      </c>
      <c r="D1064">
        <v>18.989999999999998</v>
      </c>
      <c r="E1064" s="1" t="s">
        <v>1930</v>
      </c>
      <c r="F1064" s="1" t="s">
        <v>188</v>
      </c>
      <c r="G1064">
        <v>0</v>
      </c>
      <c r="H1064" s="1" t="s">
        <v>96</v>
      </c>
      <c r="I1064" s="1" t="s">
        <v>97</v>
      </c>
      <c r="J1064">
        <v>6</v>
      </c>
      <c r="K1064">
        <v>18.989999999999998</v>
      </c>
      <c r="L1064" s="1" t="s">
        <v>60</v>
      </c>
      <c r="M1064" s="1" t="s">
        <v>43</v>
      </c>
      <c r="N1064" s="1" t="s">
        <v>44</v>
      </c>
      <c r="O1064" s="1" t="s">
        <v>31</v>
      </c>
      <c r="P1064" s="2">
        <v>45823</v>
      </c>
      <c r="Q1064" s="1" t="s">
        <v>2276</v>
      </c>
      <c r="R1064" s="1" t="s">
        <v>2277</v>
      </c>
      <c r="S1064" s="1" t="s">
        <v>105</v>
      </c>
      <c r="T1064" s="1" t="s">
        <v>35</v>
      </c>
      <c r="U1064" s="1" t="s">
        <v>48</v>
      </c>
      <c r="V1064" s="1" t="s">
        <v>100</v>
      </c>
      <c r="W1064">
        <v>3.2</v>
      </c>
      <c r="X1064" s="1" t="str">
        <f t="shared" si="48"/>
        <v>esteban.lopez36@mail.com</v>
      </c>
      <c r="Y1064" s="1" t="str">
        <f>INDEX(V:V,MATCH(orders_desnormalizado_prueba3[[#This Row],[acquisition_channel]],U:U,0))</f>
        <v>Bodega Propia CO - envio 2-3 dias</v>
      </c>
      <c r="Z1064" s="1" t="str">
        <f>INDEX(T:T,MATCH(orders_desnormalizado_prueba3[[#This Row],[shipping_cost]],W:W,0))</f>
        <v>Colombia</v>
      </c>
      <c r="AA1064" s="1" t="str">
        <f t="shared" si="49"/>
        <v>Cartagena</v>
      </c>
      <c r="AB1064" s="1"/>
      <c r="AC1064" s="1" t="str">
        <f t="shared" si="50"/>
        <v xml:space="preserve"> </v>
      </c>
    </row>
    <row r="1065" spans="1:29" x14ac:dyDescent="0.3">
      <c r="A1065" s="1" t="s">
        <v>2278</v>
      </c>
      <c r="B1065">
        <v>3</v>
      </c>
      <c r="C1065">
        <v>34.99</v>
      </c>
      <c r="D1065">
        <v>83.42</v>
      </c>
      <c r="E1065" s="1" t="s">
        <v>1106</v>
      </c>
      <c r="F1065" s="1" t="s">
        <v>40</v>
      </c>
      <c r="G1065">
        <v>7</v>
      </c>
      <c r="H1065" s="1" t="s">
        <v>96</v>
      </c>
      <c r="I1065" s="1" t="s">
        <v>85</v>
      </c>
      <c r="J1065">
        <v>12.5</v>
      </c>
      <c r="K1065">
        <v>34.99</v>
      </c>
      <c r="L1065" s="1" t="s">
        <v>60</v>
      </c>
      <c r="M1065" s="1" t="s">
        <v>29</v>
      </c>
      <c r="N1065" s="1" t="s">
        <v>30</v>
      </c>
      <c r="O1065" s="1" t="s">
        <v>31</v>
      </c>
      <c r="P1065" s="2">
        <v>45778</v>
      </c>
      <c r="Q1065" s="1" t="s">
        <v>1083</v>
      </c>
      <c r="R1065" s="1" t="s">
        <v>1084</v>
      </c>
      <c r="S1065" s="1" t="s">
        <v>47</v>
      </c>
      <c r="T1065" s="1" t="s">
        <v>35</v>
      </c>
      <c r="U1065" s="1" t="s">
        <v>36</v>
      </c>
      <c r="V1065" s="1" t="s">
        <v>89</v>
      </c>
      <c r="W1065">
        <v>2.4</v>
      </c>
      <c r="X1065" s="1" t="str">
        <f t="shared" si="48"/>
        <v>andres.ramirez90@mail.com</v>
      </c>
      <c r="Y1065" s="1" t="str">
        <f>INDEX(V:V,MATCH(orders_desnormalizado_prueba3[[#This Row],[acquisition_channel]],U:U,0))</f>
        <v>Bodega Propia CO - envio 2-3 dias</v>
      </c>
      <c r="Z1065" s="1" t="str">
        <f>INDEX(T:T,MATCH(orders_desnormalizado_prueba3[[#This Row],[shipping_cost]],W:W,0))</f>
        <v>Colombia</v>
      </c>
      <c r="AA1065" s="1" t="str">
        <f t="shared" si="49"/>
        <v>Bogota</v>
      </c>
      <c r="AB1065" s="1"/>
      <c r="AC1065" s="1" t="str">
        <f t="shared" si="50"/>
        <v xml:space="preserve"> </v>
      </c>
    </row>
    <row r="1066" spans="1:29" x14ac:dyDescent="0.3">
      <c r="A1066" s="1" t="s">
        <v>2279</v>
      </c>
      <c r="B1066">
        <v>1</v>
      </c>
      <c r="C1066">
        <v>18.989999999999998</v>
      </c>
      <c r="D1066">
        <v>18.989999999999998</v>
      </c>
      <c r="E1066" s="1" t="s">
        <v>946</v>
      </c>
      <c r="F1066" s="1" t="s">
        <v>40</v>
      </c>
      <c r="G1066">
        <v>11</v>
      </c>
      <c r="H1066" s="1" t="s">
        <v>96</v>
      </c>
      <c r="I1066" s="1" t="s">
        <v>97</v>
      </c>
      <c r="J1066">
        <v>6</v>
      </c>
      <c r="K1066">
        <v>18.989999999999998</v>
      </c>
      <c r="L1066" s="1" t="s">
        <v>60</v>
      </c>
      <c r="M1066" s="1" t="s">
        <v>43</v>
      </c>
      <c r="N1066" s="1" t="s">
        <v>44</v>
      </c>
      <c r="O1066" s="1" t="s">
        <v>31</v>
      </c>
      <c r="P1066" s="2">
        <v>45823</v>
      </c>
      <c r="Q1066" s="1" t="s">
        <v>1376</v>
      </c>
      <c r="R1066" s="1" t="s">
        <v>1456</v>
      </c>
      <c r="S1066" s="1" t="s">
        <v>105</v>
      </c>
      <c r="T1066" s="1" t="s">
        <v>35</v>
      </c>
      <c r="U1066" s="1" t="s">
        <v>36</v>
      </c>
      <c r="V1066" s="1" t="s">
        <v>100</v>
      </c>
      <c r="W1066">
        <v>3.2</v>
      </c>
      <c r="X1066" s="1" t="str">
        <f t="shared" si="48"/>
        <v>alejandro.jimenez18@mail.com</v>
      </c>
      <c r="Y1066" s="1" t="str">
        <f>INDEX(V:V,MATCH(orders_desnormalizado_prueba3[[#This Row],[acquisition_channel]],U:U,0))</f>
        <v>Bodega Propia CO - envio 2-3 dias</v>
      </c>
      <c r="Z1066" s="1" t="str">
        <f>INDEX(T:T,MATCH(orders_desnormalizado_prueba3[[#This Row],[shipping_cost]],W:W,0))</f>
        <v>Colombia</v>
      </c>
      <c r="AA1066" s="1" t="str">
        <f t="shared" si="49"/>
        <v>Cali</v>
      </c>
      <c r="AB1066" s="1"/>
      <c r="AC1066" s="1" t="str">
        <f t="shared" si="50"/>
        <v xml:space="preserve"> </v>
      </c>
    </row>
    <row r="1067" spans="1:29" x14ac:dyDescent="0.3">
      <c r="A1067" s="1" t="s">
        <v>2280</v>
      </c>
      <c r="B1067">
        <v>1</v>
      </c>
      <c r="C1067">
        <v>34.99</v>
      </c>
      <c r="D1067">
        <v>34.99</v>
      </c>
      <c r="E1067" s="1" t="s">
        <v>2133</v>
      </c>
      <c r="F1067" s="1" t="s">
        <v>188</v>
      </c>
      <c r="G1067">
        <v>0</v>
      </c>
      <c r="H1067" s="1" t="s">
        <v>58</v>
      </c>
      <c r="I1067" s="1" t="s">
        <v>85</v>
      </c>
      <c r="J1067">
        <v>12.5</v>
      </c>
      <c r="K1067">
        <v>34.99</v>
      </c>
      <c r="L1067" s="1" t="s">
        <v>60</v>
      </c>
      <c r="M1067" s="1" t="s">
        <v>29</v>
      </c>
      <c r="N1067" s="1" t="s">
        <v>30</v>
      </c>
      <c r="O1067" s="1" t="s">
        <v>31</v>
      </c>
      <c r="P1067" s="2">
        <v>45778</v>
      </c>
      <c r="Q1067" s="1" t="s">
        <v>979</v>
      </c>
      <c r="R1067" s="1" t="s">
        <v>1912</v>
      </c>
      <c r="S1067" s="1" t="s">
        <v>105</v>
      </c>
      <c r="T1067" s="1" t="s">
        <v>35</v>
      </c>
      <c r="U1067" s="1" t="s">
        <v>82</v>
      </c>
      <c r="V1067" s="1" t="s">
        <v>89</v>
      </c>
      <c r="W1067">
        <v>2.4</v>
      </c>
      <c r="X1067" s="1" t="str">
        <f t="shared" si="48"/>
        <v>sofia.ramirez104@mail.com</v>
      </c>
      <c r="Y1067" s="1" t="str">
        <f>INDEX(V:V,MATCH(orders_desnormalizado_prueba3[[#This Row],[acquisition_channel]],U:U,0))</f>
        <v>Bodega Propia CO - envio 2-3 dias</v>
      </c>
      <c r="Z1067" s="1" t="str">
        <f>INDEX(T:T,MATCH(orders_desnormalizado_prueba3[[#This Row],[shipping_cost]],W:W,0))</f>
        <v>Colombia</v>
      </c>
      <c r="AA1067" s="1" t="str">
        <f t="shared" si="49"/>
        <v>Cartagena</v>
      </c>
      <c r="AB1067" s="1"/>
      <c r="AC1067" s="1" t="str">
        <f t="shared" si="50"/>
        <v xml:space="preserve"> </v>
      </c>
    </row>
    <row r="1068" spans="1:29" x14ac:dyDescent="0.3">
      <c r="A1068" s="1" t="s">
        <v>2281</v>
      </c>
      <c r="B1068">
        <v>3</v>
      </c>
      <c r="C1068">
        <v>34.99</v>
      </c>
      <c r="D1068">
        <v>82.45</v>
      </c>
      <c r="E1068" s="1" t="s">
        <v>933</v>
      </c>
      <c r="F1068" s="1" t="s">
        <v>51</v>
      </c>
      <c r="G1068">
        <v>0</v>
      </c>
      <c r="H1068" s="1" t="s">
        <v>96</v>
      </c>
      <c r="I1068" s="1" t="s">
        <v>85</v>
      </c>
      <c r="J1068">
        <v>12.5</v>
      </c>
      <c r="K1068">
        <v>34.99</v>
      </c>
      <c r="L1068" s="1" t="s">
        <v>60</v>
      </c>
      <c r="M1068" s="1" t="s">
        <v>29</v>
      </c>
      <c r="N1068" s="1" t="s">
        <v>30</v>
      </c>
      <c r="O1068" s="1" t="s">
        <v>31</v>
      </c>
      <c r="P1068" s="2">
        <v>45778</v>
      </c>
      <c r="Q1068" s="1" t="s">
        <v>1325</v>
      </c>
      <c r="R1068" s="1" t="s">
        <v>1326</v>
      </c>
      <c r="S1068" s="1" t="s">
        <v>105</v>
      </c>
      <c r="T1068" s="1" t="s">
        <v>35</v>
      </c>
      <c r="U1068" s="1" t="s">
        <v>82</v>
      </c>
      <c r="V1068" s="1" t="s">
        <v>89</v>
      </c>
      <c r="W1068">
        <v>2.4</v>
      </c>
      <c r="X1068" s="1" t="str">
        <f t="shared" si="48"/>
        <v>paula.hernandez37@mail.com</v>
      </c>
      <c r="Y1068" s="1" t="str">
        <f>INDEX(V:V,MATCH(orders_desnormalizado_prueba3[[#This Row],[acquisition_channel]],U:U,0))</f>
        <v>Bodega Propia CO - envio 2-3 dias</v>
      </c>
      <c r="Z1068" s="1" t="str">
        <f>INDEX(T:T,MATCH(orders_desnormalizado_prueba3[[#This Row],[shipping_cost]],W:W,0))</f>
        <v>Colombia</v>
      </c>
      <c r="AA1068" s="1" t="str">
        <f t="shared" si="49"/>
        <v>Cartagena</v>
      </c>
      <c r="AB1068" s="1"/>
      <c r="AC1068" s="1" t="str">
        <f t="shared" si="50"/>
        <v xml:space="preserve"> </v>
      </c>
    </row>
    <row r="1069" spans="1:29" x14ac:dyDescent="0.3">
      <c r="A1069" s="1" t="s">
        <v>2282</v>
      </c>
      <c r="B1069">
        <v>1</v>
      </c>
      <c r="C1069">
        <v>16.989999999999998</v>
      </c>
      <c r="D1069">
        <v>16.989999999999998</v>
      </c>
      <c r="E1069" s="1" t="s">
        <v>74</v>
      </c>
      <c r="F1069" s="1" t="s">
        <v>40</v>
      </c>
      <c r="G1069">
        <v>22</v>
      </c>
      <c r="H1069" s="1" t="s">
        <v>58</v>
      </c>
      <c r="I1069" s="1" t="s">
        <v>59</v>
      </c>
      <c r="J1069">
        <v>5</v>
      </c>
      <c r="K1069">
        <v>16.989999999999998</v>
      </c>
      <c r="L1069" s="1" t="s">
        <v>60</v>
      </c>
      <c r="M1069" s="1" t="s">
        <v>61</v>
      </c>
      <c r="N1069" s="1" t="s">
        <v>62</v>
      </c>
      <c r="O1069" s="1" t="s">
        <v>31</v>
      </c>
      <c r="P1069" s="2">
        <v>45726</v>
      </c>
      <c r="Q1069" s="1" t="s">
        <v>373</v>
      </c>
      <c r="R1069" s="1" t="s">
        <v>993</v>
      </c>
      <c r="S1069" s="1" t="s">
        <v>34</v>
      </c>
      <c r="T1069" s="1" t="s">
        <v>35</v>
      </c>
      <c r="U1069" s="1" t="s">
        <v>48</v>
      </c>
      <c r="V1069" s="1" t="s">
        <v>67</v>
      </c>
      <c r="W1069">
        <v>3</v>
      </c>
      <c r="X1069" s="1" t="str">
        <f t="shared" si="48"/>
        <v>david.diaz100@mail.com</v>
      </c>
      <c r="Y1069" s="1" t="str">
        <f>INDEX(V:V,MATCH(orders_desnormalizado_prueba3[[#This Row],[acquisition_channel]],U:U,0))</f>
        <v>Bodega Propia CO - envio 2-3 dias</v>
      </c>
      <c r="Z1069" s="1" t="str">
        <f>INDEX(T:T,MATCH(orders_desnormalizado_prueba3[[#This Row],[shipping_cost]],W:W,0))</f>
        <v>Colombia</v>
      </c>
      <c r="AA1069" s="1" t="str">
        <f t="shared" si="49"/>
        <v>Bucaramanga</v>
      </c>
      <c r="AB1069" s="1"/>
      <c r="AC1069" s="1" t="str">
        <f t="shared" si="50"/>
        <v xml:space="preserve"> </v>
      </c>
    </row>
    <row r="1070" spans="1:29" x14ac:dyDescent="0.3">
      <c r="A1070" s="1" t="s">
        <v>2283</v>
      </c>
      <c r="B1070">
        <v>2</v>
      </c>
      <c r="C1070">
        <v>18.989999999999998</v>
      </c>
      <c r="D1070">
        <v>32.89</v>
      </c>
      <c r="E1070" s="1" t="s">
        <v>338</v>
      </c>
      <c r="F1070" s="1" t="s">
        <v>40</v>
      </c>
      <c r="G1070">
        <v>13</v>
      </c>
      <c r="H1070" s="1" t="s">
        <v>58</v>
      </c>
      <c r="I1070" s="1" t="s">
        <v>97</v>
      </c>
      <c r="J1070">
        <v>6</v>
      </c>
      <c r="K1070">
        <v>18.989999999999998</v>
      </c>
      <c r="L1070" s="1" t="s">
        <v>60</v>
      </c>
      <c r="M1070" s="1" t="s">
        <v>43</v>
      </c>
      <c r="N1070" s="1" t="s">
        <v>44</v>
      </c>
      <c r="O1070" s="1" t="s">
        <v>31</v>
      </c>
      <c r="P1070" s="2">
        <v>45823</v>
      </c>
      <c r="Q1070" s="1" t="s">
        <v>1342</v>
      </c>
      <c r="R1070" s="1" t="s">
        <v>1731</v>
      </c>
      <c r="S1070" s="1" t="s">
        <v>34</v>
      </c>
      <c r="T1070" s="1" t="s">
        <v>35</v>
      </c>
      <c r="U1070" s="1" t="s">
        <v>48</v>
      </c>
      <c r="V1070" s="1" t="s">
        <v>100</v>
      </c>
      <c r="W1070">
        <v>3.2</v>
      </c>
      <c r="X1070" s="1" t="str">
        <f t="shared" si="48"/>
        <v>david.torres153@mail.com</v>
      </c>
      <c r="Y1070" s="1" t="str">
        <f>INDEX(V:V,MATCH(orders_desnormalizado_prueba3[[#This Row],[acquisition_channel]],U:U,0))</f>
        <v>Bodega Propia CO - envio 2-3 dias</v>
      </c>
      <c r="Z1070" s="1" t="str">
        <f>INDEX(T:T,MATCH(orders_desnormalizado_prueba3[[#This Row],[shipping_cost]],W:W,0))</f>
        <v>Colombia</v>
      </c>
      <c r="AA1070" s="1" t="str">
        <f t="shared" si="49"/>
        <v>Barranquilla</v>
      </c>
      <c r="AB1070" s="1"/>
      <c r="AC1070" s="1" t="str">
        <f t="shared" si="50"/>
        <v xml:space="preserve"> </v>
      </c>
    </row>
    <row r="1071" spans="1:29" x14ac:dyDescent="0.3">
      <c r="A1071" s="1" t="s">
        <v>2284</v>
      </c>
      <c r="B1071">
        <v>1</v>
      </c>
      <c r="C1071">
        <v>21.99</v>
      </c>
      <c r="D1071">
        <v>21.99</v>
      </c>
      <c r="E1071" s="1" t="s">
        <v>1652</v>
      </c>
      <c r="F1071" s="1" t="s">
        <v>70</v>
      </c>
      <c r="G1071">
        <v>0</v>
      </c>
      <c r="H1071" s="1" t="s">
        <v>26</v>
      </c>
      <c r="I1071" s="1" t="s">
        <v>27</v>
      </c>
      <c r="J1071">
        <v>7</v>
      </c>
      <c r="K1071">
        <v>21.99</v>
      </c>
      <c r="L1071" s="1" t="s">
        <v>28</v>
      </c>
      <c r="M1071" s="1" t="s">
        <v>29</v>
      </c>
      <c r="N1071" s="1" t="s">
        <v>30</v>
      </c>
      <c r="O1071" s="1" t="s">
        <v>31</v>
      </c>
      <c r="P1071" s="2">
        <v>45778</v>
      </c>
      <c r="Q1071" s="1" t="s">
        <v>219</v>
      </c>
      <c r="R1071" s="1" t="s">
        <v>2236</v>
      </c>
      <c r="S1071" s="1" t="s">
        <v>34</v>
      </c>
      <c r="T1071" s="1" t="s">
        <v>35</v>
      </c>
      <c r="U1071" s="1" t="s">
        <v>55</v>
      </c>
      <c r="V1071" s="1" t="s">
        <v>37</v>
      </c>
      <c r="W1071">
        <v>2</v>
      </c>
      <c r="X1071" s="1" t="str">
        <f t="shared" si="48"/>
        <v>mateo.castro43@mail.com</v>
      </c>
      <c r="Y1071" s="1" t="str">
        <f>INDEX(V:V,MATCH(orders_desnormalizado_prueba3[[#This Row],[acquisition_channel]],U:U,0))</f>
        <v>Bodega Propia CO - envio 2-3 dias</v>
      </c>
      <c r="Z1071" s="1" t="str">
        <f>INDEX(T:T,MATCH(orders_desnormalizado_prueba3[[#This Row],[shipping_cost]],W:W,0))</f>
        <v>Colombia</v>
      </c>
      <c r="AA1071" s="1" t="str">
        <f t="shared" si="49"/>
        <v>Cartagena</v>
      </c>
      <c r="AB1071" s="1"/>
      <c r="AC1071" s="1" t="str">
        <f t="shared" si="50"/>
        <v xml:space="preserve"> </v>
      </c>
    </row>
    <row r="1072" spans="1:29" x14ac:dyDescent="0.3">
      <c r="A1072" s="1" t="s">
        <v>2285</v>
      </c>
      <c r="B1072">
        <v>1</v>
      </c>
      <c r="C1072">
        <v>30.99</v>
      </c>
      <c r="D1072">
        <v>30.99</v>
      </c>
      <c r="E1072" s="1" t="s">
        <v>1285</v>
      </c>
      <c r="F1072" s="1" t="s">
        <v>40</v>
      </c>
      <c r="G1072">
        <v>3</v>
      </c>
      <c r="H1072" s="1" t="s">
        <v>26</v>
      </c>
      <c r="I1072" s="1" t="s">
        <v>42</v>
      </c>
      <c r="J1072">
        <v>10.5</v>
      </c>
      <c r="K1072">
        <v>30.99</v>
      </c>
      <c r="L1072" s="1" t="s">
        <v>28</v>
      </c>
      <c r="M1072" s="1" t="s">
        <v>43</v>
      </c>
      <c r="N1072" s="1" t="s">
        <v>44</v>
      </c>
      <c r="O1072" s="1" t="s">
        <v>31</v>
      </c>
      <c r="P1072" s="2">
        <v>45823</v>
      </c>
      <c r="Q1072" s="1" t="s">
        <v>1398</v>
      </c>
      <c r="R1072" s="1" t="s">
        <v>1399</v>
      </c>
      <c r="S1072" s="1" t="s">
        <v>54</v>
      </c>
      <c r="T1072" s="1" t="s">
        <v>35</v>
      </c>
      <c r="U1072" s="1" t="s">
        <v>48</v>
      </c>
      <c r="V1072" s="1" t="s">
        <v>37</v>
      </c>
      <c r="W1072">
        <v>2</v>
      </c>
      <c r="X1072" s="1" t="str">
        <f t="shared" si="48"/>
        <v>camila.lopez178@mail.com</v>
      </c>
      <c r="Y1072" s="1" t="str">
        <f>INDEX(V:V,MATCH(orders_desnormalizado_prueba3[[#This Row],[acquisition_channel]],U:U,0))</f>
        <v>Bodega Propia CO - envio 2-3 dias</v>
      </c>
      <c r="Z1072" s="1" t="str">
        <f>INDEX(T:T,MATCH(orders_desnormalizado_prueba3[[#This Row],[shipping_cost]],W:W,0))</f>
        <v>Colombia</v>
      </c>
      <c r="AA1072" s="1" t="str">
        <f t="shared" si="49"/>
        <v>Barranquilla</v>
      </c>
      <c r="AB1072" s="1"/>
      <c r="AC1072" s="1" t="str">
        <f t="shared" si="50"/>
        <v xml:space="preserve"> </v>
      </c>
    </row>
    <row r="1073" spans="1:29" x14ac:dyDescent="0.3">
      <c r="A1073" s="1" t="s">
        <v>2286</v>
      </c>
      <c r="B1073">
        <v>2</v>
      </c>
      <c r="C1073">
        <v>16.989999999999998</v>
      </c>
      <c r="D1073">
        <v>29.44</v>
      </c>
      <c r="E1073" s="1" t="s">
        <v>2124</v>
      </c>
      <c r="F1073" s="1" t="s">
        <v>188</v>
      </c>
      <c r="G1073">
        <v>0</v>
      </c>
      <c r="H1073" s="1" t="s">
        <v>41</v>
      </c>
      <c r="I1073" s="1" t="s">
        <v>59</v>
      </c>
      <c r="J1073">
        <v>5</v>
      </c>
      <c r="K1073">
        <v>16.989999999999998</v>
      </c>
      <c r="L1073" s="1" t="s">
        <v>60</v>
      </c>
      <c r="M1073" s="1" t="s">
        <v>61</v>
      </c>
      <c r="N1073" s="1" t="s">
        <v>62</v>
      </c>
      <c r="O1073" s="1" t="s">
        <v>31</v>
      </c>
      <c r="P1073" s="2">
        <v>45726</v>
      </c>
      <c r="Q1073" s="1" t="s">
        <v>1157</v>
      </c>
      <c r="R1073" s="1" t="s">
        <v>2022</v>
      </c>
      <c r="S1073" s="1" t="s">
        <v>34</v>
      </c>
      <c r="T1073" s="1" t="s">
        <v>35</v>
      </c>
      <c r="U1073" s="1" t="s">
        <v>82</v>
      </c>
      <c r="V1073" s="1" t="s">
        <v>67</v>
      </c>
      <c r="W1073">
        <v>3</v>
      </c>
      <c r="X1073" s="1" t="str">
        <f t="shared" si="48"/>
        <v>alejandro.ramirez94@mail.com</v>
      </c>
      <c r="Y1073" s="1" t="str">
        <f>INDEX(V:V,MATCH(orders_desnormalizado_prueba3[[#This Row],[acquisition_channel]],U:U,0))</f>
        <v>Bodega Propia CO - envio 2-3 dias</v>
      </c>
      <c r="Z1073" s="1" t="str">
        <f>INDEX(T:T,MATCH(orders_desnormalizado_prueba3[[#This Row],[shipping_cost]],W:W,0))</f>
        <v>Colombia</v>
      </c>
      <c r="AA1073" s="1" t="str">
        <f t="shared" si="49"/>
        <v>Cartagena</v>
      </c>
      <c r="AB1073" s="1"/>
      <c r="AC1073" s="1" t="str">
        <f t="shared" si="50"/>
        <v xml:space="preserve"> </v>
      </c>
    </row>
    <row r="1074" spans="1:29" x14ac:dyDescent="0.3">
      <c r="A1074" s="1" t="s">
        <v>2287</v>
      </c>
      <c r="B1074">
        <v>1</v>
      </c>
      <c r="C1074">
        <v>34.99</v>
      </c>
      <c r="D1074">
        <v>34.99</v>
      </c>
      <c r="E1074" s="1" t="s">
        <v>723</v>
      </c>
      <c r="F1074" s="1" t="s">
        <v>40</v>
      </c>
      <c r="G1074">
        <v>5</v>
      </c>
      <c r="H1074" s="1" t="s">
        <v>58</v>
      </c>
      <c r="I1074" s="1" t="s">
        <v>85</v>
      </c>
      <c r="J1074">
        <v>12.5</v>
      </c>
      <c r="K1074">
        <v>34.99</v>
      </c>
      <c r="L1074" s="1" t="s">
        <v>60</v>
      </c>
      <c r="M1074" s="1" t="s">
        <v>29</v>
      </c>
      <c r="N1074" s="1" t="s">
        <v>30</v>
      </c>
      <c r="O1074" s="1" t="s">
        <v>31</v>
      </c>
      <c r="P1074" s="2">
        <v>45778</v>
      </c>
      <c r="Q1074" s="1" t="s">
        <v>1286</v>
      </c>
      <c r="R1074" s="1" t="s">
        <v>1861</v>
      </c>
      <c r="S1074" s="1" t="s">
        <v>88</v>
      </c>
      <c r="T1074" s="1" t="s">
        <v>35</v>
      </c>
      <c r="U1074" s="1" t="s">
        <v>48</v>
      </c>
      <c r="V1074" s="1" t="s">
        <v>89</v>
      </c>
      <c r="W1074">
        <v>2.4</v>
      </c>
      <c r="X1074" s="1" t="str">
        <f t="shared" si="48"/>
        <v>nicolas.sanchez19@mail.com</v>
      </c>
      <c r="Y1074" s="1" t="str">
        <f>INDEX(V:V,MATCH(orders_desnormalizado_prueba3[[#This Row],[acquisition_channel]],U:U,0))</f>
        <v>Bodega Propia CO - envio 2-3 dias</v>
      </c>
      <c r="Z1074" s="1" t="str">
        <f>INDEX(T:T,MATCH(orders_desnormalizado_prueba3[[#This Row],[shipping_cost]],W:W,0))</f>
        <v>Colombia</v>
      </c>
      <c r="AA1074" s="1" t="str">
        <f t="shared" si="49"/>
        <v>Cali</v>
      </c>
      <c r="AB1074" s="1"/>
      <c r="AC1074" s="1" t="str">
        <f t="shared" si="50"/>
        <v xml:space="preserve"> </v>
      </c>
    </row>
    <row r="1075" spans="1:29" x14ac:dyDescent="0.3">
      <c r="A1075" s="1" t="s">
        <v>2288</v>
      </c>
      <c r="B1075">
        <v>1</v>
      </c>
      <c r="C1075">
        <v>34.99</v>
      </c>
      <c r="D1075">
        <v>34.99</v>
      </c>
      <c r="E1075" s="1" t="s">
        <v>50</v>
      </c>
      <c r="F1075" s="1" t="s">
        <v>40</v>
      </c>
      <c r="G1075">
        <v>8</v>
      </c>
      <c r="H1075" s="1" t="s">
        <v>58</v>
      </c>
      <c r="I1075" s="1" t="s">
        <v>85</v>
      </c>
      <c r="J1075">
        <v>12.5</v>
      </c>
      <c r="K1075">
        <v>34.99</v>
      </c>
      <c r="L1075" s="1" t="s">
        <v>60</v>
      </c>
      <c r="M1075" s="1" t="s">
        <v>29</v>
      </c>
      <c r="N1075" s="1" t="s">
        <v>30</v>
      </c>
      <c r="O1075" s="1" t="s">
        <v>31</v>
      </c>
      <c r="P1075" s="2">
        <v>45778</v>
      </c>
      <c r="Q1075" s="1" t="s">
        <v>779</v>
      </c>
      <c r="R1075" s="1" t="s">
        <v>2289</v>
      </c>
      <c r="S1075" s="1" t="s">
        <v>65</v>
      </c>
      <c r="T1075" s="1" t="s">
        <v>35</v>
      </c>
      <c r="U1075" s="1" t="s">
        <v>55</v>
      </c>
      <c r="V1075" s="1" t="s">
        <v>89</v>
      </c>
      <c r="W1075">
        <v>2.4</v>
      </c>
      <c r="X1075" s="1" t="str">
        <f t="shared" si="48"/>
        <v>alejandro.lopez109@mail.com</v>
      </c>
      <c r="Y1075" s="1" t="str">
        <f>INDEX(V:V,MATCH(orders_desnormalizado_prueba3[[#This Row],[acquisition_channel]],U:U,0))</f>
        <v>Bodega Propia CO - envio 2-3 dias</v>
      </c>
      <c r="Z1075" s="1" t="str">
        <f>INDEX(T:T,MATCH(orders_desnormalizado_prueba3[[#This Row],[shipping_cost]],W:W,0))</f>
        <v>Colombia</v>
      </c>
      <c r="AA1075" s="1" t="str">
        <f t="shared" si="49"/>
        <v>Barranquilla</v>
      </c>
      <c r="AB1075" s="1"/>
      <c r="AC1075" s="1" t="str">
        <f t="shared" si="50"/>
        <v xml:space="preserve"> </v>
      </c>
    </row>
    <row r="1076" spans="1:29" x14ac:dyDescent="0.3">
      <c r="A1076" s="1" t="s">
        <v>2290</v>
      </c>
      <c r="B1076">
        <v>2</v>
      </c>
      <c r="C1076">
        <v>18.989999999999998</v>
      </c>
      <c r="D1076">
        <v>32.97</v>
      </c>
      <c r="E1076" s="1" t="s">
        <v>753</v>
      </c>
      <c r="F1076" s="1" t="s">
        <v>51</v>
      </c>
      <c r="G1076">
        <v>0</v>
      </c>
      <c r="H1076" s="1" t="s">
        <v>41</v>
      </c>
      <c r="I1076" s="1" t="s">
        <v>97</v>
      </c>
      <c r="J1076">
        <v>6</v>
      </c>
      <c r="K1076">
        <v>18.989999999999998</v>
      </c>
      <c r="L1076" s="1" t="s">
        <v>60</v>
      </c>
      <c r="M1076" s="1" t="s">
        <v>43</v>
      </c>
      <c r="N1076" s="1" t="s">
        <v>44</v>
      </c>
      <c r="O1076" s="1" t="s">
        <v>31</v>
      </c>
      <c r="P1076" s="2">
        <v>45823</v>
      </c>
      <c r="Q1076" s="1" t="s">
        <v>376</v>
      </c>
      <c r="R1076" s="1" t="s">
        <v>808</v>
      </c>
      <c r="S1076" s="1" t="s">
        <v>34</v>
      </c>
      <c r="T1076" s="1" t="s">
        <v>35</v>
      </c>
      <c r="U1076" s="1" t="s">
        <v>48</v>
      </c>
      <c r="V1076" s="1" t="s">
        <v>100</v>
      </c>
      <c r="W1076">
        <v>3.2</v>
      </c>
      <c r="X1076" s="1" t="str">
        <f t="shared" si="48"/>
        <v>santiago.perez173@mail.com</v>
      </c>
      <c r="Y1076" s="1" t="str">
        <f>INDEX(V:V,MATCH(orders_desnormalizado_prueba3[[#This Row],[acquisition_channel]],U:U,0))</f>
        <v>Bodega Propia CO - envio 2-3 dias</v>
      </c>
      <c r="Z1076" s="1" t="str">
        <f>INDEX(T:T,MATCH(orders_desnormalizado_prueba3[[#This Row],[shipping_cost]],W:W,0))</f>
        <v>Colombia</v>
      </c>
      <c r="AA1076" s="1" t="str">
        <f t="shared" si="49"/>
        <v>Cartagena</v>
      </c>
      <c r="AB1076" s="1"/>
      <c r="AC1076" s="1" t="str">
        <f t="shared" si="50"/>
        <v xml:space="preserve"> </v>
      </c>
    </row>
    <row r="1077" spans="1:29" x14ac:dyDescent="0.3">
      <c r="A1077" s="1" t="s">
        <v>2291</v>
      </c>
      <c r="B1077">
        <v>1</v>
      </c>
      <c r="C1077">
        <v>27.99</v>
      </c>
      <c r="D1077">
        <v>27.99</v>
      </c>
      <c r="E1077" s="1" t="s">
        <v>1198</v>
      </c>
      <c r="F1077" s="1" t="s">
        <v>70</v>
      </c>
      <c r="G1077">
        <v>0</v>
      </c>
      <c r="H1077" s="1" t="s">
        <v>26</v>
      </c>
      <c r="I1077" s="1" t="s">
        <v>75</v>
      </c>
      <c r="J1077">
        <v>9</v>
      </c>
      <c r="K1077">
        <v>27.99</v>
      </c>
      <c r="L1077" s="1" t="s">
        <v>28</v>
      </c>
      <c r="M1077" s="1" t="s">
        <v>61</v>
      </c>
      <c r="N1077" s="1" t="s">
        <v>62</v>
      </c>
      <c r="O1077" s="1" t="s">
        <v>31</v>
      </c>
      <c r="P1077" s="2">
        <v>45726</v>
      </c>
      <c r="Q1077" s="1" t="s">
        <v>1487</v>
      </c>
      <c r="R1077" s="1" t="s">
        <v>1488</v>
      </c>
      <c r="S1077" s="1" t="s">
        <v>34</v>
      </c>
      <c r="T1077" s="1" t="s">
        <v>35</v>
      </c>
      <c r="U1077" s="1" t="s">
        <v>48</v>
      </c>
      <c r="V1077" s="1" t="s">
        <v>37</v>
      </c>
      <c r="W1077">
        <v>2</v>
      </c>
      <c r="X1077" s="1" t="str">
        <f t="shared" si="48"/>
        <v>sofia.vargas151@mail.com</v>
      </c>
      <c r="Y1077" s="1" t="str">
        <f>INDEX(V:V,MATCH(orders_desnormalizado_prueba3[[#This Row],[acquisition_channel]],U:U,0))</f>
        <v>Bodega Propia CO - envio 2-3 dias</v>
      </c>
      <c r="Z1077" s="1" t="str">
        <f>INDEX(T:T,MATCH(orders_desnormalizado_prueba3[[#This Row],[shipping_cost]],W:W,0))</f>
        <v>Colombia</v>
      </c>
      <c r="AA1077" s="1" t="str">
        <f t="shared" si="49"/>
        <v>Cartagena</v>
      </c>
      <c r="AB1077" s="1"/>
      <c r="AC1077" s="1" t="str">
        <f t="shared" si="50"/>
        <v xml:space="preserve"> </v>
      </c>
    </row>
    <row r="1078" spans="1:29" x14ac:dyDescent="0.3">
      <c r="A1078" s="1" t="s">
        <v>2292</v>
      </c>
      <c r="B1078">
        <v>1</v>
      </c>
      <c r="C1078">
        <v>16.989999999999998</v>
      </c>
      <c r="D1078">
        <v>16.989999999999998</v>
      </c>
      <c r="E1078" s="1" t="s">
        <v>325</v>
      </c>
      <c r="F1078" s="1" t="s">
        <v>188</v>
      </c>
      <c r="G1078">
        <v>0</v>
      </c>
      <c r="H1078" s="1" t="s">
        <v>96</v>
      </c>
      <c r="I1078" s="1" t="s">
        <v>59</v>
      </c>
      <c r="J1078">
        <v>5</v>
      </c>
      <c r="K1078">
        <v>16.989999999999998</v>
      </c>
      <c r="L1078" s="1" t="s">
        <v>60</v>
      </c>
      <c r="M1078" s="1" t="s">
        <v>61</v>
      </c>
      <c r="N1078" s="1" t="s">
        <v>62</v>
      </c>
      <c r="O1078" s="1" t="s">
        <v>31</v>
      </c>
      <c r="P1078" s="2">
        <v>45726</v>
      </c>
      <c r="Q1078" s="1" t="s">
        <v>1140</v>
      </c>
      <c r="R1078" s="1" t="s">
        <v>1799</v>
      </c>
      <c r="S1078" s="1" t="s">
        <v>65</v>
      </c>
      <c r="T1078" s="1" t="s">
        <v>35</v>
      </c>
      <c r="U1078" s="1" t="s">
        <v>48</v>
      </c>
      <c r="V1078" s="1" t="s">
        <v>67</v>
      </c>
      <c r="W1078">
        <v>3</v>
      </c>
      <c r="X1078" s="1" t="str">
        <f t="shared" si="48"/>
        <v>laura.castro41@mail.com</v>
      </c>
      <c r="Y1078" s="1" t="str">
        <f>INDEX(V:V,MATCH(orders_desnormalizado_prueba3[[#This Row],[acquisition_channel]],U:U,0))</f>
        <v>Bodega Propia CO - envio 2-3 dias</v>
      </c>
      <c r="Z1078" s="1" t="str">
        <f>INDEX(T:T,MATCH(orders_desnormalizado_prueba3[[#This Row],[shipping_cost]],W:W,0))</f>
        <v>Colombia</v>
      </c>
      <c r="AA1078" s="1" t="str">
        <f t="shared" si="49"/>
        <v>Cartagena</v>
      </c>
      <c r="AB1078" s="1"/>
      <c r="AC1078" s="1" t="str">
        <f t="shared" si="50"/>
        <v xml:space="preserve"> </v>
      </c>
    </row>
    <row r="1079" spans="1:29" x14ac:dyDescent="0.3">
      <c r="A1079" s="1" t="s">
        <v>2293</v>
      </c>
      <c r="B1079">
        <v>1</v>
      </c>
      <c r="C1079">
        <v>34.99</v>
      </c>
      <c r="D1079">
        <v>34.99</v>
      </c>
      <c r="E1079" s="1" t="s">
        <v>2169</v>
      </c>
      <c r="F1079" s="1" t="s">
        <v>40</v>
      </c>
      <c r="G1079">
        <v>7</v>
      </c>
      <c r="H1079" s="1" t="s">
        <v>26</v>
      </c>
      <c r="I1079" s="1" t="s">
        <v>85</v>
      </c>
      <c r="J1079">
        <v>12.5</v>
      </c>
      <c r="K1079">
        <v>34.99</v>
      </c>
      <c r="L1079" s="1" t="s">
        <v>60</v>
      </c>
      <c r="M1079" s="1" t="s">
        <v>29</v>
      </c>
      <c r="N1079" s="1" t="s">
        <v>30</v>
      </c>
      <c r="O1079" s="1" t="s">
        <v>31</v>
      </c>
      <c r="P1079" s="2">
        <v>45778</v>
      </c>
      <c r="Q1079" s="1" t="s">
        <v>1549</v>
      </c>
      <c r="R1079" s="1" t="s">
        <v>1550</v>
      </c>
      <c r="S1079" s="1" t="s">
        <v>34</v>
      </c>
      <c r="T1079" s="1" t="s">
        <v>35</v>
      </c>
      <c r="U1079" s="1" t="s">
        <v>48</v>
      </c>
      <c r="V1079" s="1" t="s">
        <v>89</v>
      </c>
      <c r="W1079">
        <v>2.4</v>
      </c>
      <c r="X1079" s="1" t="str">
        <f t="shared" si="48"/>
        <v>juan.jimenez86@mail.com</v>
      </c>
      <c r="Y1079" s="1" t="str">
        <f>INDEX(V:V,MATCH(orders_desnormalizado_prueba3[[#This Row],[acquisition_channel]],U:U,0))</f>
        <v>Bodega Propia CO - envio 2-3 dias</v>
      </c>
      <c r="Z1079" s="1" t="str">
        <f>INDEX(T:T,MATCH(orders_desnormalizado_prueba3[[#This Row],[shipping_cost]],W:W,0))</f>
        <v>Colombia</v>
      </c>
      <c r="AA1079" s="1" t="str">
        <f t="shared" si="49"/>
        <v>Bogota</v>
      </c>
      <c r="AB1079" s="1"/>
      <c r="AC1079" s="1" t="str">
        <f t="shared" si="50"/>
        <v xml:space="preserve"> </v>
      </c>
    </row>
    <row r="1080" spans="1:29" x14ac:dyDescent="0.3">
      <c r="A1080" s="1" t="s">
        <v>2294</v>
      </c>
      <c r="B1080">
        <v>1</v>
      </c>
      <c r="C1080">
        <v>30.99</v>
      </c>
      <c r="D1080">
        <v>30.99</v>
      </c>
      <c r="E1080" s="1" t="s">
        <v>1289</v>
      </c>
      <c r="F1080" s="1" t="s">
        <v>51</v>
      </c>
      <c r="G1080">
        <v>0</v>
      </c>
      <c r="H1080" s="1" t="s">
        <v>58</v>
      </c>
      <c r="I1080" s="1" t="s">
        <v>42</v>
      </c>
      <c r="J1080">
        <v>10.5</v>
      </c>
      <c r="K1080">
        <v>30.99</v>
      </c>
      <c r="L1080" s="1" t="s">
        <v>28</v>
      </c>
      <c r="M1080" s="1" t="s">
        <v>43</v>
      </c>
      <c r="N1080" s="1" t="s">
        <v>44</v>
      </c>
      <c r="O1080" s="1" t="s">
        <v>31</v>
      </c>
      <c r="P1080" s="2">
        <v>45823</v>
      </c>
      <c r="Q1080" s="1" t="s">
        <v>1753</v>
      </c>
      <c r="R1080" s="1" t="s">
        <v>1754</v>
      </c>
      <c r="S1080" s="1" t="s">
        <v>54</v>
      </c>
      <c r="T1080" s="1" t="s">
        <v>35</v>
      </c>
      <c r="U1080" s="1" t="s">
        <v>66</v>
      </c>
      <c r="V1080" s="1" t="s">
        <v>37</v>
      </c>
      <c r="W1080">
        <v>2</v>
      </c>
      <c r="X1080" s="1" t="str">
        <f t="shared" si="48"/>
        <v>manuela.diaz185@mail.com</v>
      </c>
      <c r="Y1080" s="1" t="str">
        <f>INDEX(V:V,MATCH(orders_desnormalizado_prueba3[[#This Row],[acquisition_channel]],U:U,0))</f>
        <v>AliDropship CN - envio 15-20 dias</v>
      </c>
      <c r="Z1080" s="1" t="str">
        <f>INDEX(T:T,MATCH(orders_desnormalizado_prueba3[[#This Row],[shipping_cost]],W:W,0))</f>
        <v>Colombia</v>
      </c>
      <c r="AA1080" s="1" t="str">
        <f t="shared" si="49"/>
        <v>Cartagena</v>
      </c>
      <c r="AB1080" s="1"/>
      <c r="AC1080" s="1" t="str">
        <f t="shared" si="50"/>
        <v xml:space="preserve"> </v>
      </c>
    </row>
    <row r="1081" spans="1:29" x14ac:dyDescent="0.3">
      <c r="A1081" s="1" t="s">
        <v>2295</v>
      </c>
      <c r="B1081">
        <v>2</v>
      </c>
      <c r="C1081">
        <v>27.99</v>
      </c>
      <c r="D1081">
        <v>48.34</v>
      </c>
      <c r="E1081" s="1" t="s">
        <v>1455</v>
      </c>
      <c r="F1081" s="1" t="s">
        <v>188</v>
      </c>
      <c r="G1081">
        <v>0</v>
      </c>
      <c r="H1081" s="1" t="s">
        <v>41</v>
      </c>
      <c r="I1081" s="1" t="s">
        <v>75</v>
      </c>
      <c r="J1081">
        <v>9</v>
      </c>
      <c r="K1081">
        <v>27.99</v>
      </c>
      <c r="L1081" s="1" t="s">
        <v>28</v>
      </c>
      <c r="M1081" s="1" t="s">
        <v>61</v>
      </c>
      <c r="N1081" s="1" t="s">
        <v>62</v>
      </c>
      <c r="O1081" s="1" t="s">
        <v>31</v>
      </c>
      <c r="P1081" s="2">
        <v>45726</v>
      </c>
      <c r="Q1081" s="1" t="s">
        <v>2296</v>
      </c>
      <c r="R1081" s="1" t="s">
        <v>2297</v>
      </c>
      <c r="S1081" s="1" t="s">
        <v>34</v>
      </c>
      <c r="T1081" s="1" t="s">
        <v>35</v>
      </c>
      <c r="U1081" s="1" t="s">
        <v>48</v>
      </c>
      <c r="V1081" s="1" t="s">
        <v>37</v>
      </c>
      <c r="W1081">
        <v>2</v>
      </c>
      <c r="X1081" s="1" t="str">
        <f t="shared" si="48"/>
        <v>manuela.vargas42@mail.com</v>
      </c>
      <c r="Y1081" s="1" t="str">
        <f>INDEX(V:V,MATCH(orders_desnormalizado_prueba3[[#This Row],[acquisition_channel]],U:U,0))</f>
        <v>Bodega Propia CO - envio 2-3 dias</v>
      </c>
      <c r="Z1081" s="1" t="str">
        <f>INDEX(T:T,MATCH(orders_desnormalizado_prueba3[[#This Row],[shipping_cost]],W:W,0))</f>
        <v>Colombia</v>
      </c>
      <c r="AA1081" s="1" t="str">
        <f t="shared" si="49"/>
        <v>Cartagena</v>
      </c>
      <c r="AB1081" s="1"/>
      <c r="AC1081" s="1" t="str">
        <f t="shared" si="50"/>
        <v xml:space="preserve"> </v>
      </c>
    </row>
    <row r="1082" spans="1:29" x14ac:dyDescent="0.3">
      <c r="A1082" s="1" t="s">
        <v>2298</v>
      </c>
      <c r="B1082">
        <v>1</v>
      </c>
      <c r="C1082">
        <v>30.99</v>
      </c>
      <c r="D1082">
        <v>30.99</v>
      </c>
      <c r="E1082" s="1" t="s">
        <v>1895</v>
      </c>
      <c r="F1082" s="1" t="s">
        <v>40</v>
      </c>
      <c r="G1082">
        <v>2</v>
      </c>
      <c r="H1082" s="1" t="s">
        <v>41</v>
      </c>
      <c r="I1082" s="1" t="s">
        <v>42</v>
      </c>
      <c r="J1082">
        <v>10.5</v>
      </c>
      <c r="K1082">
        <v>30.99</v>
      </c>
      <c r="L1082" s="1" t="s">
        <v>28</v>
      </c>
      <c r="M1082" s="1" t="s">
        <v>43</v>
      </c>
      <c r="N1082" s="1" t="s">
        <v>44</v>
      </c>
      <c r="O1082" s="1" t="s">
        <v>31</v>
      </c>
      <c r="P1082" s="2">
        <v>45823</v>
      </c>
      <c r="Q1082" s="1" t="s">
        <v>1408</v>
      </c>
      <c r="R1082" s="1" t="s">
        <v>2299</v>
      </c>
      <c r="S1082" s="1" t="s">
        <v>47</v>
      </c>
      <c r="T1082" s="1" t="s">
        <v>35</v>
      </c>
      <c r="U1082" s="1" t="s">
        <v>55</v>
      </c>
      <c r="V1082" s="1" t="s">
        <v>37</v>
      </c>
      <c r="W1082">
        <v>2</v>
      </c>
      <c r="X1082" s="1" t="str">
        <f t="shared" si="48"/>
        <v>gabriela.moreno85@mail.com</v>
      </c>
      <c r="Y1082" s="1" t="str">
        <f>INDEX(V:V,MATCH(orders_desnormalizado_prueba3[[#This Row],[acquisition_channel]],U:U,0))</f>
        <v>Bodega Propia CO - envio 2-3 dias</v>
      </c>
      <c r="Z1082" s="1" t="str">
        <f>INDEX(T:T,MATCH(orders_desnormalizado_prueba3[[#This Row],[shipping_cost]],W:W,0))</f>
        <v>Colombia</v>
      </c>
      <c r="AA1082" s="1" t="str">
        <f t="shared" si="49"/>
        <v>Medellin</v>
      </c>
      <c r="AB1082" s="1"/>
      <c r="AC1082" s="1" t="str">
        <f t="shared" si="50"/>
        <v xml:space="preserve"> </v>
      </c>
    </row>
    <row r="1083" spans="1:29" x14ac:dyDescent="0.3">
      <c r="A1083" s="1" t="s">
        <v>2300</v>
      </c>
      <c r="B1083">
        <v>1</v>
      </c>
      <c r="C1083">
        <v>34.99</v>
      </c>
      <c r="D1083">
        <v>34.99</v>
      </c>
      <c r="E1083" s="1" t="s">
        <v>759</v>
      </c>
      <c r="F1083" s="1" t="s">
        <v>188</v>
      </c>
      <c r="G1083">
        <v>0</v>
      </c>
      <c r="H1083" s="1" t="s">
        <v>41</v>
      </c>
      <c r="I1083" s="1" t="s">
        <v>85</v>
      </c>
      <c r="J1083">
        <v>12.5</v>
      </c>
      <c r="K1083">
        <v>34.99</v>
      </c>
      <c r="L1083" s="1" t="s">
        <v>60</v>
      </c>
      <c r="M1083" s="1" t="s">
        <v>29</v>
      </c>
      <c r="N1083" s="1" t="s">
        <v>30</v>
      </c>
      <c r="O1083" s="1" t="s">
        <v>31</v>
      </c>
      <c r="P1083" s="2">
        <v>45778</v>
      </c>
      <c r="Q1083" s="1" t="s">
        <v>2301</v>
      </c>
      <c r="R1083" s="1" t="s">
        <v>2302</v>
      </c>
      <c r="S1083" s="1" t="s">
        <v>54</v>
      </c>
      <c r="T1083" s="1" t="s">
        <v>35</v>
      </c>
      <c r="U1083" s="1" t="s">
        <v>36</v>
      </c>
      <c r="V1083" s="1" t="s">
        <v>89</v>
      </c>
      <c r="W1083">
        <v>2.4</v>
      </c>
      <c r="X1083" s="1" t="str">
        <f t="shared" si="48"/>
        <v>nicolas.hernandez157@mail.com</v>
      </c>
      <c r="Y1083" s="1" t="str">
        <f>INDEX(V:V,MATCH(orders_desnormalizado_prueba3[[#This Row],[acquisition_channel]],U:U,0))</f>
        <v>Bodega Propia CO - envio 2-3 dias</v>
      </c>
      <c r="Z1083" s="1" t="str">
        <f>INDEX(T:T,MATCH(orders_desnormalizado_prueba3[[#This Row],[shipping_cost]],W:W,0))</f>
        <v>Colombia</v>
      </c>
      <c r="AA1083" s="1" t="str">
        <f t="shared" si="49"/>
        <v>Cartagena</v>
      </c>
      <c r="AB1083" s="1"/>
      <c r="AC1083" s="1" t="str">
        <f t="shared" si="50"/>
        <v xml:space="preserve"> </v>
      </c>
    </row>
    <row r="1084" spans="1:29" x14ac:dyDescent="0.3">
      <c r="A1084" s="1" t="s">
        <v>2303</v>
      </c>
      <c r="B1084">
        <v>1</v>
      </c>
      <c r="C1084">
        <v>18.989999999999998</v>
      </c>
      <c r="D1084">
        <v>18.989999999999998</v>
      </c>
      <c r="E1084" s="1" t="s">
        <v>69</v>
      </c>
      <c r="F1084" s="1" t="s">
        <v>40</v>
      </c>
      <c r="G1084">
        <v>11</v>
      </c>
      <c r="H1084" s="1" t="s">
        <v>96</v>
      </c>
      <c r="I1084" s="1" t="s">
        <v>97</v>
      </c>
      <c r="J1084">
        <v>6</v>
      </c>
      <c r="K1084">
        <v>18.989999999999998</v>
      </c>
      <c r="L1084" s="1" t="s">
        <v>60</v>
      </c>
      <c r="M1084" s="1" t="s">
        <v>43</v>
      </c>
      <c r="N1084" s="1" t="s">
        <v>44</v>
      </c>
      <c r="O1084" s="1" t="s">
        <v>31</v>
      </c>
      <c r="P1084" s="2">
        <v>45823</v>
      </c>
      <c r="Q1084" s="1" t="s">
        <v>2042</v>
      </c>
      <c r="R1084" s="1" t="s">
        <v>2043</v>
      </c>
      <c r="S1084" s="1" t="s">
        <v>65</v>
      </c>
      <c r="T1084" s="1" t="s">
        <v>35</v>
      </c>
      <c r="U1084" s="1" t="s">
        <v>36</v>
      </c>
      <c r="V1084" s="1" t="s">
        <v>100</v>
      </c>
      <c r="W1084">
        <v>3.2</v>
      </c>
      <c r="X1084" s="1" t="str">
        <f t="shared" si="48"/>
        <v>antonia.hernandez62@mail.com</v>
      </c>
      <c r="Y1084" s="1" t="str">
        <f>INDEX(V:V,MATCH(orders_desnormalizado_prueba3[[#This Row],[acquisition_channel]],U:U,0))</f>
        <v>Bodega Propia CO - envio 2-3 dias</v>
      </c>
      <c r="Z1084" s="1" t="str">
        <f>INDEX(T:T,MATCH(orders_desnormalizado_prueba3[[#This Row],[shipping_cost]],W:W,0))</f>
        <v>Colombia</v>
      </c>
      <c r="AA1084" s="1" t="str">
        <f t="shared" si="49"/>
        <v>Cali</v>
      </c>
      <c r="AB1084" s="1"/>
      <c r="AC1084" s="1" t="str">
        <f t="shared" si="50"/>
        <v xml:space="preserve"> </v>
      </c>
    </row>
    <row r="1085" spans="1:29" x14ac:dyDescent="0.3">
      <c r="A1085" s="1" t="s">
        <v>2304</v>
      </c>
      <c r="B1085">
        <v>1</v>
      </c>
      <c r="C1085">
        <v>34.99</v>
      </c>
      <c r="D1085">
        <v>34.99</v>
      </c>
      <c r="E1085" s="1" t="s">
        <v>862</v>
      </c>
      <c r="F1085" s="1" t="s">
        <v>40</v>
      </c>
      <c r="G1085">
        <v>7</v>
      </c>
      <c r="H1085" s="1" t="s">
        <v>58</v>
      </c>
      <c r="I1085" s="1" t="s">
        <v>85</v>
      </c>
      <c r="J1085">
        <v>12.5</v>
      </c>
      <c r="K1085">
        <v>34.99</v>
      </c>
      <c r="L1085" s="1" t="s">
        <v>60</v>
      </c>
      <c r="M1085" s="1" t="s">
        <v>29</v>
      </c>
      <c r="N1085" s="1" t="s">
        <v>30</v>
      </c>
      <c r="O1085" s="1" t="s">
        <v>31</v>
      </c>
      <c r="P1085" s="2">
        <v>45778</v>
      </c>
      <c r="Q1085" s="1" t="s">
        <v>1075</v>
      </c>
      <c r="R1085" s="1" t="s">
        <v>1076</v>
      </c>
      <c r="S1085" s="1" t="s">
        <v>65</v>
      </c>
      <c r="T1085" s="1" t="s">
        <v>35</v>
      </c>
      <c r="U1085" s="1" t="s">
        <v>55</v>
      </c>
      <c r="V1085" s="1" t="s">
        <v>89</v>
      </c>
      <c r="W1085">
        <v>2.4</v>
      </c>
      <c r="X1085" s="1" t="str">
        <f t="shared" si="48"/>
        <v>gabriela.martinez158@mail.com</v>
      </c>
      <c r="Y1085" s="1" t="str">
        <f>INDEX(V:V,MATCH(orders_desnormalizado_prueba3[[#This Row],[acquisition_channel]],U:U,0))</f>
        <v>Bodega Propia CO - envio 2-3 dias</v>
      </c>
      <c r="Z1085" s="1" t="str">
        <f>INDEX(T:T,MATCH(orders_desnormalizado_prueba3[[#This Row],[shipping_cost]],W:W,0))</f>
        <v>Colombia</v>
      </c>
      <c r="AA1085" s="1" t="str">
        <f t="shared" si="49"/>
        <v>Bogota</v>
      </c>
      <c r="AB1085" s="1"/>
      <c r="AC1085" s="1" t="str">
        <f t="shared" si="50"/>
        <v xml:space="preserve"> </v>
      </c>
    </row>
    <row r="1086" spans="1:29" x14ac:dyDescent="0.3">
      <c r="A1086" s="1" t="s">
        <v>2305</v>
      </c>
      <c r="B1086">
        <v>1</v>
      </c>
      <c r="C1086">
        <v>30.99</v>
      </c>
      <c r="D1086">
        <v>30.99</v>
      </c>
      <c r="E1086" s="1" t="s">
        <v>989</v>
      </c>
      <c r="F1086" s="1" t="s">
        <v>51</v>
      </c>
      <c r="G1086">
        <v>0</v>
      </c>
      <c r="H1086" s="1" t="s">
        <v>41</v>
      </c>
      <c r="I1086" s="1" t="s">
        <v>42</v>
      </c>
      <c r="J1086">
        <v>10.5</v>
      </c>
      <c r="K1086">
        <v>30.99</v>
      </c>
      <c r="L1086" s="1" t="s">
        <v>28</v>
      </c>
      <c r="M1086" s="1" t="s">
        <v>43</v>
      </c>
      <c r="N1086" s="1" t="s">
        <v>44</v>
      </c>
      <c r="O1086" s="1" t="s">
        <v>31</v>
      </c>
      <c r="P1086" s="2">
        <v>45823</v>
      </c>
      <c r="Q1086" s="1" t="s">
        <v>873</v>
      </c>
      <c r="R1086" s="1" t="s">
        <v>1208</v>
      </c>
      <c r="S1086" s="1" t="s">
        <v>54</v>
      </c>
      <c r="T1086" s="1" t="s">
        <v>35</v>
      </c>
      <c r="U1086" s="1" t="s">
        <v>82</v>
      </c>
      <c r="V1086" s="1" t="s">
        <v>37</v>
      </c>
      <c r="W1086">
        <v>2</v>
      </c>
      <c r="X1086" s="1" t="str">
        <f t="shared" si="48"/>
        <v>fernanda.sanchez183@mail.com</v>
      </c>
      <c r="Y1086" s="1" t="str">
        <f>INDEX(V:V,MATCH(orders_desnormalizado_prueba3[[#This Row],[acquisition_channel]],U:U,0))</f>
        <v>Bodega Propia CO - envio 2-3 dias</v>
      </c>
      <c r="Z1086" s="1" t="str">
        <f>INDEX(T:T,MATCH(orders_desnormalizado_prueba3[[#This Row],[shipping_cost]],W:W,0))</f>
        <v>Colombia</v>
      </c>
      <c r="AA1086" s="1" t="str">
        <f t="shared" si="49"/>
        <v>Cartagena</v>
      </c>
      <c r="AB1086" s="1"/>
      <c r="AC1086" s="1" t="str">
        <f t="shared" si="50"/>
        <v xml:space="preserve"> </v>
      </c>
    </row>
    <row r="1087" spans="1:29" x14ac:dyDescent="0.3">
      <c r="A1087" s="1" t="s">
        <v>2306</v>
      </c>
      <c r="B1087">
        <v>2</v>
      </c>
      <c r="C1087">
        <v>21.99</v>
      </c>
      <c r="D1087">
        <v>38.229999999999997</v>
      </c>
      <c r="E1087" s="1" t="s">
        <v>727</v>
      </c>
      <c r="F1087" s="1" t="s">
        <v>70</v>
      </c>
      <c r="G1087">
        <v>0</v>
      </c>
      <c r="H1087" s="1" t="s">
        <v>26</v>
      </c>
      <c r="I1087" s="1" t="s">
        <v>27</v>
      </c>
      <c r="J1087">
        <v>7</v>
      </c>
      <c r="K1087">
        <v>21.99</v>
      </c>
      <c r="L1087" s="1" t="s">
        <v>28</v>
      </c>
      <c r="M1087" s="1" t="s">
        <v>29</v>
      </c>
      <c r="N1087" s="1" t="s">
        <v>30</v>
      </c>
      <c r="O1087" s="1" t="s">
        <v>31</v>
      </c>
      <c r="P1087" s="2">
        <v>45778</v>
      </c>
      <c r="Q1087" s="1" t="s">
        <v>2301</v>
      </c>
      <c r="R1087" s="1" t="s">
        <v>2302</v>
      </c>
      <c r="S1087" s="1" t="s">
        <v>54</v>
      </c>
      <c r="T1087" s="1" t="s">
        <v>35</v>
      </c>
      <c r="U1087" s="1" t="s">
        <v>36</v>
      </c>
      <c r="V1087" s="1" t="s">
        <v>37</v>
      </c>
      <c r="W1087">
        <v>2</v>
      </c>
      <c r="X1087" s="1" t="str">
        <f t="shared" si="48"/>
        <v>nicolas.hernandez157@mail.com</v>
      </c>
      <c r="Y1087" s="1" t="str">
        <f>INDEX(V:V,MATCH(orders_desnormalizado_prueba3[[#This Row],[acquisition_channel]],U:U,0))</f>
        <v>Bodega Propia CO - envio 2-3 dias</v>
      </c>
      <c r="Z1087" s="1" t="str">
        <f>INDEX(T:T,MATCH(orders_desnormalizado_prueba3[[#This Row],[shipping_cost]],W:W,0))</f>
        <v>Colombia</v>
      </c>
      <c r="AA1087" s="1" t="str">
        <f t="shared" si="49"/>
        <v>Cartagena</v>
      </c>
      <c r="AB1087" s="1"/>
      <c r="AC1087" s="1" t="str">
        <f t="shared" si="50"/>
        <v xml:space="preserve"> </v>
      </c>
    </row>
    <row r="1088" spans="1:29" x14ac:dyDescent="0.3">
      <c r="A1088" s="1" t="s">
        <v>2307</v>
      </c>
      <c r="B1088">
        <v>1</v>
      </c>
      <c r="C1088">
        <v>16.989999999999998</v>
      </c>
      <c r="D1088">
        <v>16.989999999999998</v>
      </c>
      <c r="E1088" s="1" t="s">
        <v>2308</v>
      </c>
      <c r="F1088" s="1" t="s">
        <v>40</v>
      </c>
      <c r="G1088">
        <v>16</v>
      </c>
      <c r="H1088" s="1" t="s">
        <v>58</v>
      </c>
      <c r="I1088" s="1" t="s">
        <v>59</v>
      </c>
      <c r="J1088">
        <v>5</v>
      </c>
      <c r="K1088">
        <v>16.989999999999998</v>
      </c>
      <c r="L1088" s="1" t="s">
        <v>60</v>
      </c>
      <c r="M1088" s="1" t="s">
        <v>61</v>
      </c>
      <c r="N1088" s="1" t="s">
        <v>62</v>
      </c>
      <c r="O1088" s="1" t="s">
        <v>31</v>
      </c>
      <c r="P1088" s="2">
        <v>45726</v>
      </c>
      <c r="Q1088" s="1" t="s">
        <v>1356</v>
      </c>
      <c r="R1088" s="1" t="s">
        <v>1357</v>
      </c>
      <c r="S1088" s="1" t="s">
        <v>34</v>
      </c>
      <c r="T1088" s="1" t="s">
        <v>35</v>
      </c>
      <c r="U1088" s="1" t="s">
        <v>55</v>
      </c>
      <c r="V1088" s="1" t="s">
        <v>67</v>
      </c>
      <c r="W1088">
        <v>3</v>
      </c>
      <c r="X1088" s="1" t="str">
        <f t="shared" si="48"/>
        <v>antonia.lopez65@mail.com</v>
      </c>
      <c r="Y1088" s="1" t="str">
        <f>INDEX(V:V,MATCH(orders_desnormalizado_prueba3[[#This Row],[acquisition_channel]],U:U,0))</f>
        <v>Bodega Propia CO - envio 2-3 dias</v>
      </c>
      <c r="Z1088" s="1" t="str">
        <f>INDEX(T:T,MATCH(orders_desnormalizado_prueba3[[#This Row],[shipping_cost]],W:W,0))</f>
        <v>Colombia</v>
      </c>
      <c r="AA1088" s="1" t="str">
        <f t="shared" si="49"/>
        <v>Bogota</v>
      </c>
      <c r="AB1088" s="1"/>
      <c r="AC1088" s="1" t="str">
        <f t="shared" si="50"/>
        <v xml:space="preserve"> </v>
      </c>
    </row>
    <row r="1089" spans="1:29" x14ac:dyDescent="0.3">
      <c r="A1089" s="1" t="s">
        <v>2309</v>
      </c>
      <c r="B1089">
        <v>1</v>
      </c>
      <c r="C1089">
        <v>30.99</v>
      </c>
      <c r="D1089">
        <v>30.99</v>
      </c>
      <c r="E1089" s="1" t="s">
        <v>807</v>
      </c>
      <c r="F1089" s="1" t="s">
        <v>51</v>
      </c>
      <c r="G1089">
        <v>0</v>
      </c>
      <c r="H1089" s="1" t="s">
        <v>26</v>
      </c>
      <c r="I1089" s="1" t="s">
        <v>42</v>
      </c>
      <c r="J1089">
        <v>10.5</v>
      </c>
      <c r="K1089">
        <v>30.99</v>
      </c>
      <c r="L1089" s="1" t="s">
        <v>28</v>
      </c>
      <c r="M1089" s="1" t="s">
        <v>43</v>
      </c>
      <c r="N1089" s="1" t="s">
        <v>44</v>
      </c>
      <c r="O1089" s="1" t="s">
        <v>31</v>
      </c>
      <c r="P1089" s="2">
        <v>45823</v>
      </c>
      <c r="Q1089" s="1" t="s">
        <v>1116</v>
      </c>
      <c r="R1089" s="1" t="s">
        <v>1117</v>
      </c>
      <c r="S1089" s="1" t="s">
        <v>88</v>
      </c>
      <c r="T1089" s="1" t="s">
        <v>35</v>
      </c>
      <c r="U1089" s="1" t="s">
        <v>55</v>
      </c>
      <c r="V1089" s="1" t="s">
        <v>37</v>
      </c>
      <c r="W1089">
        <v>2</v>
      </c>
      <c r="X1089" s="1" t="str">
        <f t="shared" si="48"/>
        <v>ximena.hernandez20@mail.com</v>
      </c>
      <c r="Y1089" s="1" t="str">
        <f>INDEX(V:V,MATCH(orders_desnormalizado_prueba3[[#This Row],[acquisition_channel]],U:U,0))</f>
        <v>Bodega Propia CO - envio 2-3 dias</v>
      </c>
      <c r="Z1089" s="1" t="str">
        <f>INDEX(T:T,MATCH(orders_desnormalizado_prueba3[[#This Row],[shipping_cost]],W:W,0))</f>
        <v>Colombia</v>
      </c>
      <c r="AA1089" s="1" t="str">
        <f t="shared" si="49"/>
        <v>Cartagena</v>
      </c>
      <c r="AB1089" s="1"/>
      <c r="AC1089" s="1" t="str">
        <f t="shared" si="50"/>
        <v xml:space="preserve"> </v>
      </c>
    </row>
    <row r="1090" spans="1:29" x14ac:dyDescent="0.3">
      <c r="A1090" s="1" t="s">
        <v>2310</v>
      </c>
      <c r="B1090">
        <v>3</v>
      </c>
      <c r="C1090">
        <v>16.989999999999998</v>
      </c>
      <c r="D1090">
        <v>41.23</v>
      </c>
      <c r="E1090" s="1" t="s">
        <v>1461</v>
      </c>
      <c r="F1090" s="1" t="s">
        <v>25</v>
      </c>
      <c r="G1090">
        <v>15</v>
      </c>
      <c r="H1090" s="1" t="s">
        <v>41</v>
      </c>
      <c r="I1090" s="1" t="s">
        <v>59</v>
      </c>
      <c r="J1090">
        <v>5</v>
      </c>
      <c r="K1090">
        <v>16.989999999999998</v>
      </c>
      <c r="L1090" s="1" t="s">
        <v>60</v>
      </c>
      <c r="M1090" s="1" t="s">
        <v>61</v>
      </c>
      <c r="N1090" s="1" t="s">
        <v>62</v>
      </c>
      <c r="O1090" s="1" t="s">
        <v>31</v>
      </c>
      <c r="P1090" s="2">
        <v>45726</v>
      </c>
      <c r="Q1090" s="1" t="s">
        <v>930</v>
      </c>
      <c r="R1090" s="1" t="s">
        <v>931</v>
      </c>
      <c r="S1090" s="1" t="s">
        <v>65</v>
      </c>
      <c r="T1090" s="1" t="s">
        <v>35</v>
      </c>
      <c r="U1090" s="1" t="s">
        <v>36</v>
      </c>
      <c r="V1090" s="1" t="s">
        <v>67</v>
      </c>
      <c r="W1090">
        <v>3</v>
      </c>
      <c r="X1090" s="1" t="str">
        <f t="shared" ref="X1090:X1153" si="51">INDEX(R:R,MATCH(Q1090,Q:Q,0))</f>
        <v>fernanda.vargas118@mail.com</v>
      </c>
      <c r="Y1090" s="1" t="str">
        <f>INDEX(V:V,MATCH(orders_desnormalizado_prueba3[[#This Row],[acquisition_channel]],U:U,0))</f>
        <v>Bodega Propia CO - envio 2-3 dias</v>
      </c>
      <c r="Z1090" s="1" t="str">
        <f>INDEX(T:T,MATCH(orders_desnormalizado_prueba3[[#This Row],[shipping_cost]],W:W,0))</f>
        <v>Colombia</v>
      </c>
      <c r="AA1090" s="1" t="str">
        <f t="shared" ref="AA1090:AA1153" si="52">INDEX(S:S,MATCH(G1090,G:G,0))</f>
        <v>Barranquilla</v>
      </c>
      <c r="AB1090" s="1"/>
      <c r="AC1090" s="1" t="str">
        <f t="shared" ref="AC1090:AC1153" si="53">IFERROR(INDEX($V:$V,MATCH(AB1090,$R:$R,0)), " ")</f>
        <v xml:space="preserve"> </v>
      </c>
    </row>
    <row r="1091" spans="1:29" x14ac:dyDescent="0.3">
      <c r="A1091" s="1" t="s">
        <v>2311</v>
      </c>
      <c r="B1091">
        <v>2</v>
      </c>
      <c r="C1091">
        <v>18.989999999999998</v>
      </c>
      <c r="D1091">
        <v>33.200000000000003</v>
      </c>
      <c r="E1091" s="1" t="s">
        <v>1055</v>
      </c>
      <c r="F1091" s="1" t="s">
        <v>40</v>
      </c>
      <c r="G1091">
        <v>13</v>
      </c>
      <c r="H1091" s="1" t="s">
        <v>96</v>
      </c>
      <c r="I1091" s="1" t="s">
        <v>97</v>
      </c>
      <c r="J1091">
        <v>6</v>
      </c>
      <c r="K1091">
        <v>18.989999999999998</v>
      </c>
      <c r="L1091" s="1" t="s">
        <v>60</v>
      </c>
      <c r="M1091" s="1" t="s">
        <v>43</v>
      </c>
      <c r="N1091" s="1" t="s">
        <v>44</v>
      </c>
      <c r="O1091" s="1" t="s">
        <v>31</v>
      </c>
      <c r="P1091" s="2">
        <v>45823</v>
      </c>
      <c r="Q1091" s="1" t="s">
        <v>893</v>
      </c>
      <c r="R1091" s="1" t="s">
        <v>1300</v>
      </c>
      <c r="S1091" s="1" t="s">
        <v>34</v>
      </c>
      <c r="T1091" s="1" t="s">
        <v>35</v>
      </c>
      <c r="U1091" s="1" t="s">
        <v>66</v>
      </c>
      <c r="V1091" s="1" t="s">
        <v>100</v>
      </c>
      <c r="W1091">
        <v>3.2</v>
      </c>
      <c r="X1091" s="1" t="str">
        <f t="shared" si="51"/>
        <v>gabriela.jimenez17@mail.com</v>
      </c>
      <c r="Y1091" s="1" t="str">
        <f>INDEX(V:V,MATCH(orders_desnormalizado_prueba3[[#This Row],[acquisition_channel]],U:U,0))</f>
        <v>AliDropship CN - envio 15-20 dias</v>
      </c>
      <c r="Z1091" s="1" t="str">
        <f>INDEX(T:T,MATCH(orders_desnormalizado_prueba3[[#This Row],[shipping_cost]],W:W,0))</f>
        <v>Colombia</v>
      </c>
      <c r="AA1091" s="1" t="str">
        <f t="shared" si="52"/>
        <v>Barranquilla</v>
      </c>
      <c r="AB1091" s="1"/>
      <c r="AC1091" s="1" t="str">
        <f t="shared" si="53"/>
        <v xml:space="preserve"> </v>
      </c>
    </row>
    <row r="1092" spans="1:29" x14ac:dyDescent="0.3">
      <c r="A1092" s="1" t="s">
        <v>2312</v>
      </c>
      <c r="B1092">
        <v>1</v>
      </c>
      <c r="C1092">
        <v>27.99</v>
      </c>
      <c r="D1092">
        <v>27.99</v>
      </c>
      <c r="E1092" s="1" t="s">
        <v>1743</v>
      </c>
      <c r="F1092" s="1" t="s">
        <v>51</v>
      </c>
      <c r="G1092">
        <v>0</v>
      </c>
      <c r="H1092" s="1" t="s">
        <v>41</v>
      </c>
      <c r="I1092" s="1" t="s">
        <v>75</v>
      </c>
      <c r="J1092">
        <v>9</v>
      </c>
      <c r="K1092">
        <v>27.99</v>
      </c>
      <c r="L1092" s="1" t="s">
        <v>28</v>
      </c>
      <c r="M1092" s="1" t="s">
        <v>61</v>
      </c>
      <c r="N1092" s="1" t="s">
        <v>62</v>
      </c>
      <c r="O1092" s="1" t="s">
        <v>31</v>
      </c>
      <c r="P1092" s="2">
        <v>45726</v>
      </c>
      <c r="Q1092" s="1" t="s">
        <v>814</v>
      </c>
      <c r="R1092" s="1" t="s">
        <v>1041</v>
      </c>
      <c r="S1092" s="1" t="s">
        <v>54</v>
      </c>
      <c r="T1092" s="1" t="s">
        <v>35</v>
      </c>
      <c r="U1092" s="1" t="s">
        <v>36</v>
      </c>
      <c r="V1092" s="1" t="s">
        <v>37</v>
      </c>
      <c r="W1092">
        <v>2</v>
      </c>
      <c r="X1092" s="1" t="str">
        <f t="shared" si="51"/>
        <v>isabella.jimenez172@mail.com</v>
      </c>
      <c r="Y1092" s="1" t="str">
        <f>INDEX(V:V,MATCH(orders_desnormalizado_prueba3[[#This Row],[acquisition_channel]],U:U,0))</f>
        <v>Bodega Propia CO - envio 2-3 dias</v>
      </c>
      <c r="Z1092" s="1" t="str">
        <f>INDEX(T:T,MATCH(orders_desnormalizado_prueba3[[#This Row],[shipping_cost]],W:W,0))</f>
        <v>Colombia</v>
      </c>
      <c r="AA1092" s="1" t="str">
        <f t="shared" si="52"/>
        <v>Cartagena</v>
      </c>
      <c r="AB1092" s="1"/>
      <c r="AC1092" s="1" t="str">
        <f t="shared" si="53"/>
        <v xml:space="preserve"> </v>
      </c>
    </row>
    <row r="1093" spans="1:29" x14ac:dyDescent="0.3">
      <c r="A1093" s="1" t="s">
        <v>2313</v>
      </c>
      <c r="B1093">
        <v>3</v>
      </c>
      <c r="C1093">
        <v>18.989999999999998</v>
      </c>
      <c r="D1093">
        <v>46.09</v>
      </c>
      <c r="E1093" s="1" t="s">
        <v>1420</v>
      </c>
      <c r="F1093" s="1" t="s">
        <v>40</v>
      </c>
      <c r="G1093">
        <v>11</v>
      </c>
      <c r="H1093" s="1" t="s">
        <v>41</v>
      </c>
      <c r="I1093" s="1" t="s">
        <v>97</v>
      </c>
      <c r="J1093">
        <v>6</v>
      </c>
      <c r="K1093">
        <v>18.989999999999998</v>
      </c>
      <c r="L1093" s="1" t="s">
        <v>60</v>
      </c>
      <c r="M1093" s="1" t="s">
        <v>43</v>
      </c>
      <c r="N1093" s="1" t="s">
        <v>44</v>
      </c>
      <c r="O1093" s="1" t="s">
        <v>31</v>
      </c>
      <c r="P1093" s="2">
        <v>45823</v>
      </c>
      <c r="Q1093" s="1" t="s">
        <v>2314</v>
      </c>
      <c r="R1093" s="1" t="s">
        <v>2315</v>
      </c>
      <c r="S1093" s="1" t="s">
        <v>65</v>
      </c>
      <c r="T1093" s="1" t="s">
        <v>35</v>
      </c>
      <c r="U1093" s="1" t="s">
        <v>55</v>
      </c>
      <c r="V1093" s="1" t="s">
        <v>100</v>
      </c>
      <c r="W1093">
        <v>3.2</v>
      </c>
      <c r="X1093" s="1" t="str">
        <f t="shared" si="51"/>
        <v>isabella.lopez63@mail.com</v>
      </c>
      <c r="Y1093" s="1" t="str">
        <f>INDEX(V:V,MATCH(orders_desnormalizado_prueba3[[#This Row],[acquisition_channel]],U:U,0))</f>
        <v>Bodega Propia CO - envio 2-3 dias</v>
      </c>
      <c r="Z1093" s="1" t="str">
        <f>INDEX(T:T,MATCH(orders_desnormalizado_prueba3[[#This Row],[shipping_cost]],W:W,0))</f>
        <v>Colombia</v>
      </c>
      <c r="AA1093" s="1" t="str">
        <f t="shared" si="52"/>
        <v>Cali</v>
      </c>
      <c r="AB1093" s="1"/>
      <c r="AC1093" s="1" t="str">
        <f t="shared" si="53"/>
        <v xml:space="preserve"> </v>
      </c>
    </row>
    <row r="1094" spans="1:29" x14ac:dyDescent="0.3">
      <c r="A1094" s="1" t="s">
        <v>2316</v>
      </c>
      <c r="B1094">
        <v>3</v>
      </c>
      <c r="C1094">
        <v>27.99</v>
      </c>
      <c r="D1094">
        <v>66.78</v>
      </c>
      <c r="E1094" s="1" t="s">
        <v>1592</v>
      </c>
      <c r="F1094" s="1" t="s">
        <v>40</v>
      </c>
      <c r="G1094">
        <v>2</v>
      </c>
      <c r="H1094" s="1" t="s">
        <v>26</v>
      </c>
      <c r="I1094" s="1" t="s">
        <v>75</v>
      </c>
      <c r="J1094">
        <v>9</v>
      </c>
      <c r="K1094">
        <v>27.99</v>
      </c>
      <c r="L1094" s="1" t="s">
        <v>28</v>
      </c>
      <c r="M1094" s="1" t="s">
        <v>61</v>
      </c>
      <c r="N1094" s="1" t="s">
        <v>62</v>
      </c>
      <c r="O1094" s="1" t="s">
        <v>31</v>
      </c>
      <c r="P1094" s="2">
        <v>45726</v>
      </c>
      <c r="Q1094" s="1" t="s">
        <v>1856</v>
      </c>
      <c r="R1094" s="1" t="s">
        <v>1857</v>
      </c>
      <c r="S1094" s="1" t="s">
        <v>34</v>
      </c>
      <c r="T1094" s="1" t="s">
        <v>35</v>
      </c>
      <c r="U1094" s="1" t="s">
        <v>36</v>
      </c>
      <c r="V1094" s="1" t="s">
        <v>37</v>
      </c>
      <c r="W1094">
        <v>2</v>
      </c>
      <c r="X1094" s="1" t="str">
        <f t="shared" si="51"/>
        <v>paula.perez26@mail.com</v>
      </c>
      <c r="Y1094" s="1" t="str">
        <f>INDEX(V:V,MATCH(orders_desnormalizado_prueba3[[#This Row],[acquisition_channel]],U:U,0))</f>
        <v>Bodega Propia CO - envio 2-3 dias</v>
      </c>
      <c r="Z1094" s="1" t="str">
        <f>INDEX(T:T,MATCH(orders_desnormalizado_prueba3[[#This Row],[shipping_cost]],W:W,0))</f>
        <v>Colombia</v>
      </c>
      <c r="AA1094" s="1" t="str">
        <f t="shared" si="52"/>
        <v>Medellin</v>
      </c>
      <c r="AB1094" s="1"/>
      <c r="AC1094" s="1" t="str">
        <f t="shared" si="53"/>
        <v xml:space="preserve"> </v>
      </c>
    </row>
    <row r="1095" spans="1:29" x14ac:dyDescent="0.3">
      <c r="A1095" s="1" t="s">
        <v>2317</v>
      </c>
      <c r="B1095">
        <v>2</v>
      </c>
      <c r="C1095">
        <v>30.99</v>
      </c>
      <c r="D1095">
        <v>53.73</v>
      </c>
      <c r="E1095" s="1" t="s">
        <v>2082</v>
      </c>
      <c r="F1095" s="1" t="s">
        <v>40</v>
      </c>
      <c r="G1095">
        <v>3</v>
      </c>
      <c r="H1095" s="1" t="s">
        <v>41</v>
      </c>
      <c r="I1095" s="1" t="s">
        <v>42</v>
      </c>
      <c r="J1095">
        <v>10.5</v>
      </c>
      <c r="K1095">
        <v>30.99</v>
      </c>
      <c r="L1095" s="1" t="s">
        <v>28</v>
      </c>
      <c r="M1095" s="1" t="s">
        <v>43</v>
      </c>
      <c r="N1095" s="1" t="s">
        <v>44</v>
      </c>
      <c r="O1095" s="1" t="s">
        <v>31</v>
      </c>
      <c r="P1095" s="2">
        <v>45823</v>
      </c>
      <c r="Q1095" s="1" t="s">
        <v>1184</v>
      </c>
      <c r="R1095" s="1" t="s">
        <v>1185</v>
      </c>
      <c r="S1095" s="1" t="s">
        <v>105</v>
      </c>
      <c r="T1095" s="1" t="s">
        <v>35</v>
      </c>
      <c r="U1095" s="1" t="s">
        <v>55</v>
      </c>
      <c r="V1095" s="1" t="s">
        <v>37</v>
      </c>
      <c r="W1095">
        <v>2</v>
      </c>
      <c r="X1095" s="1" t="str">
        <f t="shared" si="51"/>
        <v>nicolas.torres168@mail.com</v>
      </c>
      <c r="Y1095" s="1" t="str">
        <f>INDEX(V:V,MATCH(orders_desnormalizado_prueba3[[#This Row],[acquisition_channel]],U:U,0))</f>
        <v>Bodega Propia CO - envio 2-3 dias</v>
      </c>
      <c r="Z1095" s="1" t="str">
        <f>INDEX(T:T,MATCH(orders_desnormalizado_prueba3[[#This Row],[shipping_cost]],W:W,0))</f>
        <v>Colombia</v>
      </c>
      <c r="AA1095" s="1" t="str">
        <f t="shared" si="52"/>
        <v>Barranquilla</v>
      </c>
      <c r="AB1095" s="1"/>
      <c r="AC1095" s="1" t="str">
        <f t="shared" si="53"/>
        <v xml:space="preserve"> </v>
      </c>
    </row>
    <row r="1096" spans="1:29" x14ac:dyDescent="0.3">
      <c r="A1096" s="1" t="s">
        <v>2318</v>
      </c>
      <c r="B1096">
        <v>1</v>
      </c>
      <c r="C1096">
        <v>16.989999999999998</v>
      </c>
      <c r="D1096">
        <v>16.989999999999998</v>
      </c>
      <c r="E1096" s="1" t="s">
        <v>2319</v>
      </c>
      <c r="F1096" s="1" t="s">
        <v>40</v>
      </c>
      <c r="G1096">
        <v>15</v>
      </c>
      <c r="H1096" s="1" t="s">
        <v>26</v>
      </c>
      <c r="I1096" s="1" t="s">
        <v>59</v>
      </c>
      <c r="J1096">
        <v>5</v>
      </c>
      <c r="K1096">
        <v>16.989999999999998</v>
      </c>
      <c r="L1096" s="1" t="s">
        <v>60</v>
      </c>
      <c r="M1096" s="1" t="s">
        <v>61</v>
      </c>
      <c r="N1096" s="1" t="s">
        <v>62</v>
      </c>
      <c r="O1096" s="1" t="s">
        <v>31</v>
      </c>
      <c r="P1096" s="2">
        <v>45726</v>
      </c>
      <c r="Q1096" s="1" t="s">
        <v>654</v>
      </c>
      <c r="R1096" s="1" t="s">
        <v>983</v>
      </c>
      <c r="S1096" s="1" t="s">
        <v>88</v>
      </c>
      <c r="T1096" s="1" t="s">
        <v>35</v>
      </c>
      <c r="U1096" s="1" t="s">
        <v>48</v>
      </c>
      <c r="V1096" s="1" t="s">
        <v>67</v>
      </c>
      <c r="W1096">
        <v>3</v>
      </c>
      <c r="X1096" s="1" t="str">
        <f t="shared" si="51"/>
        <v>alejandro.diaz133@mail.com</v>
      </c>
      <c r="Y1096" s="1" t="str">
        <f>INDEX(V:V,MATCH(orders_desnormalizado_prueba3[[#This Row],[acquisition_channel]],U:U,0))</f>
        <v>Bodega Propia CO - envio 2-3 dias</v>
      </c>
      <c r="Z1096" s="1" t="str">
        <f>INDEX(T:T,MATCH(orders_desnormalizado_prueba3[[#This Row],[shipping_cost]],W:W,0))</f>
        <v>Colombia</v>
      </c>
      <c r="AA1096" s="1" t="str">
        <f t="shared" si="52"/>
        <v>Barranquilla</v>
      </c>
      <c r="AB1096" s="1"/>
      <c r="AC1096" s="1" t="str">
        <f t="shared" si="53"/>
        <v xml:space="preserve"> </v>
      </c>
    </row>
    <row r="1097" spans="1:29" x14ac:dyDescent="0.3">
      <c r="A1097" s="1" t="s">
        <v>2320</v>
      </c>
      <c r="B1097">
        <v>1</v>
      </c>
      <c r="C1097">
        <v>21.99</v>
      </c>
      <c r="D1097">
        <v>21.99</v>
      </c>
      <c r="E1097" s="1" t="s">
        <v>2202</v>
      </c>
      <c r="F1097" s="1" t="s">
        <v>51</v>
      </c>
      <c r="G1097">
        <v>0</v>
      </c>
      <c r="H1097" s="1" t="s">
        <v>58</v>
      </c>
      <c r="I1097" s="1" t="s">
        <v>27</v>
      </c>
      <c r="J1097">
        <v>7</v>
      </c>
      <c r="K1097">
        <v>21.99</v>
      </c>
      <c r="L1097" s="1" t="s">
        <v>28</v>
      </c>
      <c r="M1097" s="1" t="s">
        <v>29</v>
      </c>
      <c r="N1097" s="1" t="s">
        <v>30</v>
      </c>
      <c r="O1097" s="1" t="s">
        <v>31</v>
      </c>
      <c r="P1097" s="2">
        <v>45778</v>
      </c>
      <c r="Q1097" s="1" t="s">
        <v>140</v>
      </c>
      <c r="R1097" s="1" t="s">
        <v>1199</v>
      </c>
      <c r="S1097" s="1" t="s">
        <v>65</v>
      </c>
      <c r="T1097" s="1" t="s">
        <v>35</v>
      </c>
      <c r="U1097" s="1" t="s">
        <v>36</v>
      </c>
      <c r="V1097" s="1" t="s">
        <v>37</v>
      </c>
      <c r="W1097">
        <v>2</v>
      </c>
      <c r="X1097" s="1" t="str">
        <f t="shared" si="51"/>
        <v>david.rodriguez33@mail.com</v>
      </c>
      <c r="Y1097" s="1" t="str">
        <f>INDEX(V:V,MATCH(orders_desnormalizado_prueba3[[#This Row],[acquisition_channel]],U:U,0))</f>
        <v>Bodega Propia CO - envio 2-3 dias</v>
      </c>
      <c r="Z1097" s="1" t="str">
        <f>INDEX(T:T,MATCH(orders_desnormalizado_prueba3[[#This Row],[shipping_cost]],W:W,0))</f>
        <v>Colombia</v>
      </c>
      <c r="AA1097" s="1" t="str">
        <f t="shared" si="52"/>
        <v>Cartagena</v>
      </c>
      <c r="AB1097" s="1"/>
      <c r="AC1097" s="1" t="str">
        <f t="shared" si="53"/>
        <v xml:space="preserve"> </v>
      </c>
    </row>
    <row r="1098" spans="1:29" x14ac:dyDescent="0.3">
      <c r="A1098" s="1" t="s">
        <v>2321</v>
      </c>
      <c r="B1098">
        <v>2</v>
      </c>
      <c r="C1098">
        <v>21.99</v>
      </c>
      <c r="D1098">
        <v>38.049999999999997</v>
      </c>
      <c r="E1098" s="1" t="s">
        <v>1577</v>
      </c>
      <c r="F1098" s="1" t="s">
        <v>40</v>
      </c>
      <c r="G1098">
        <v>8</v>
      </c>
      <c r="H1098" s="1" t="s">
        <v>41</v>
      </c>
      <c r="I1098" s="1" t="s">
        <v>27</v>
      </c>
      <c r="J1098">
        <v>7</v>
      </c>
      <c r="K1098">
        <v>21.99</v>
      </c>
      <c r="L1098" s="1" t="s">
        <v>28</v>
      </c>
      <c r="M1098" s="1" t="s">
        <v>29</v>
      </c>
      <c r="N1098" s="1" t="s">
        <v>30</v>
      </c>
      <c r="O1098" s="1" t="s">
        <v>31</v>
      </c>
      <c r="P1098" s="2">
        <v>45778</v>
      </c>
      <c r="Q1098" s="1" t="s">
        <v>1539</v>
      </c>
      <c r="R1098" s="1" t="s">
        <v>1540</v>
      </c>
      <c r="S1098" s="1" t="s">
        <v>47</v>
      </c>
      <c r="T1098" s="1" t="s">
        <v>35</v>
      </c>
      <c r="U1098" s="1" t="s">
        <v>36</v>
      </c>
      <c r="V1098" s="1" t="s">
        <v>37</v>
      </c>
      <c r="W1098">
        <v>2</v>
      </c>
      <c r="X1098" s="1" t="str">
        <f t="shared" si="51"/>
        <v>ximena.ortiz46@mail.com</v>
      </c>
      <c r="Y1098" s="1" t="str">
        <f>INDEX(V:V,MATCH(orders_desnormalizado_prueba3[[#This Row],[acquisition_channel]],U:U,0))</f>
        <v>Bodega Propia CO - envio 2-3 dias</v>
      </c>
      <c r="Z1098" s="1" t="str">
        <f>INDEX(T:T,MATCH(orders_desnormalizado_prueba3[[#This Row],[shipping_cost]],W:W,0))</f>
        <v>Colombia</v>
      </c>
      <c r="AA1098" s="1" t="str">
        <f t="shared" si="52"/>
        <v>Barranquilla</v>
      </c>
      <c r="AB1098" s="1"/>
      <c r="AC1098" s="1" t="str">
        <f t="shared" si="53"/>
        <v xml:space="preserve"> </v>
      </c>
    </row>
    <row r="1099" spans="1:29" x14ac:dyDescent="0.3">
      <c r="A1099" s="1" t="s">
        <v>2322</v>
      </c>
      <c r="B1099">
        <v>3</v>
      </c>
      <c r="C1099">
        <v>21.99</v>
      </c>
      <c r="D1099">
        <v>51.89</v>
      </c>
      <c r="E1099" s="1" t="s">
        <v>598</v>
      </c>
      <c r="F1099" s="1" t="s">
        <v>40</v>
      </c>
      <c r="G1099">
        <v>3</v>
      </c>
      <c r="H1099" s="1" t="s">
        <v>41</v>
      </c>
      <c r="I1099" s="1" t="s">
        <v>27</v>
      </c>
      <c r="J1099">
        <v>7</v>
      </c>
      <c r="K1099">
        <v>21.99</v>
      </c>
      <c r="L1099" s="1" t="s">
        <v>28</v>
      </c>
      <c r="M1099" s="1" t="s">
        <v>29</v>
      </c>
      <c r="N1099" s="1" t="s">
        <v>30</v>
      </c>
      <c r="O1099" s="1" t="s">
        <v>31</v>
      </c>
      <c r="P1099" s="2">
        <v>45778</v>
      </c>
      <c r="Q1099" s="1" t="s">
        <v>1654</v>
      </c>
      <c r="R1099" s="1" t="s">
        <v>1833</v>
      </c>
      <c r="S1099" s="1" t="s">
        <v>65</v>
      </c>
      <c r="T1099" s="1" t="s">
        <v>35</v>
      </c>
      <c r="U1099" s="1" t="s">
        <v>82</v>
      </c>
      <c r="V1099" s="1" t="s">
        <v>37</v>
      </c>
      <c r="W1099">
        <v>2</v>
      </c>
      <c r="X1099" s="1" t="str">
        <f t="shared" si="51"/>
        <v>miguel.torres117@mail.com</v>
      </c>
      <c r="Y1099" s="1" t="str">
        <f>INDEX(V:V,MATCH(orders_desnormalizado_prueba3[[#This Row],[acquisition_channel]],U:U,0))</f>
        <v>Bodega Propia CO - envio 2-3 dias</v>
      </c>
      <c r="Z1099" s="1" t="str">
        <f>INDEX(T:T,MATCH(orders_desnormalizado_prueba3[[#This Row],[shipping_cost]],W:W,0))</f>
        <v>Colombia</v>
      </c>
      <c r="AA1099" s="1" t="str">
        <f t="shared" si="52"/>
        <v>Barranquilla</v>
      </c>
      <c r="AB1099" s="1"/>
      <c r="AC1099" s="1" t="str">
        <f t="shared" si="53"/>
        <v xml:space="preserve"> </v>
      </c>
    </row>
    <row r="1100" spans="1:29" x14ac:dyDescent="0.3">
      <c r="A1100" s="1" t="s">
        <v>2323</v>
      </c>
      <c r="B1100">
        <v>1</v>
      </c>
      <c r="C1100">
        <v>34.99</v>
      </c>
      <c r="D1100">
        <v>34.99</v>
      </c>
      <c r="E1100" s="1" t="s">
        <v>222</v>
      </c>
      <c r="F1100" s="1" t="s">
        <v>51</v>
      </c>
      <c r="G1100">
        <v>0</v>
      </c>
      <c r="H1100" s="1" t="s">
        <v>96</v>
      </c>
      <c r="I1100" s="1" t="s">
        <v>85</v>
      </c>
      <c r="J1100">
        <v>12.5</v>
      </c>
      <c r="K1100">
        <v>34.99</v>
      </c>
      <c r="L1100" s="1" t="s">
        <v>60</v>
      </c>
      <c r="M1100" s="1" t="s">
        <v>29</v>
      </c>
      <c r="N1100" s="1" t="s">
        <v>30</v>
      </c>
      <c r="O1100" s="1" t="s">
        <v>31</v>
      </c>
      <c r="P1100" s="2">
        <v>45778</v>
      </c>
      <c r="Q1100" s="1" t="s">
        <v>732</v>
      </c>
      <c r="R1100" s="1" t="s">
        <v>1109</v>
      </c>
      <c r="S1100" s="1" t="s">
        <v>54</v>
      </c>
      <c r="T1100" s="1" t="s">
        <v>35</v>
      </c>
      <c r="U1100" s="1" t="s">
        <v>66</v>
      </c>
      <c r="V1100" s="1" t="s">
        <v>89</v>
      </c>
      <c r="W1100">
        <v>2.4</v>
      </c>
      <c r="X1100" s="1" t="str">
        <f t="shared" si="51"/>
        <v>ximena.martinez177@mail.com</v>
      </c>
      <c r="Y1100" s="1" t="str">
        <f>INDEX(V:V,MATCH(orders_desnormalizado_prueba3[[#This Row],[acquisition_channel]],U:U,0))</f>
        <v>AliDropship CN - envio 15-20 dias</v>
      </c>
      <c r="Z1100" s="1" t="str">
        <f>INDEX(T:T,MATCH(orders_desnormalizado_prueba3[[#This Row],[shipping_cost]],W:W,0))</f>
        <v>Colombia</v>
      </c>
      <c r="AA1100" s="1" t="str">
        <f t="shared" si="52"/>
        <v>Cartagena</v>
      </c>
      <c r="AB1100" s="1"/>
      <c r="AC1100" s="1" t="str">
        <f t="shared" si="53"/>
        <v xml:space="preserve"> </v>
      </c>
    </row>
    <row r="1101" spans="1:29" x14ac:dyDescent="0.3">
      <c r="A1101" s="1" t="s">
        <v>2324</v>
      </c>
      <c r="B1101">
        <v>1</v>
      </c>
      <c r="C1101">
        <v>30.99</v>
      </c>
      <c r="D1101">
        <v>30.99</v>
      </c>
      <c r="E1101" s="1" t="s">
        <v>1281</v>
      </c>
      <c r="F1101" s="1" t="s">
        <v>40</v>
      </c>
      <c r="G1101">
        <v>7</v>
      </c>
      <c r="H1101" s="1" t="s">
        <v>41</v>
      </c>
      <c r="I1101" s="1" t="s">
        <v>42</v>
      </c>
      <c r="J1101">
        <v>10.5</v>
      </c>
      <c r="K1101">
        <v>30.99</v>
      </c>
      <c r="L1101" s="1" t="s">
        <v>28</v>
      </c>
      <c r="M1101" s="1" t="s">
        <v>43</v>
      </c>
      <c r="N1101" s="1" t="s">
        <v>44</v>
      </c>
      <c r="O1101" s="1" t="s">
        <v>31</v>
      </c>
      <c r="P1101" s="2">
        <v>45823</v>
      </c>
      <c r="Q1101" s="1" t="s">
        <v>118</v>
      </c>
      <c r="R1101" s="1" t="s">
        <v>1959</v>
      </c>
      <c r="S1101" s="1" t="s">
        <v>65</v>
      </c>
      <c r="T1101" s="1" t="s">
        <v>35</v>
      </c>
      <c r="U1101" s="1" t="s">
        <v>36</v>
      </c>
      <c r="V1101" s="1" t="s">
        <v>37</v>
      </c>
      <c r="W1101">
        <v>2</v>
      </c>
      <c r="X1101" s="1" t="str">
        <f t="shared" si="51"/>
        <v>camila.torres36@mail.com</v>
      </c>
      <c r="Y1101" s="1" t="str">
        <f>INDEX(V:V,MATCH(orders_desnormalizado_prueba3[[#This Row],[acquisition_channel]],U:U,0))</f>
        <v>Bodega Propia CO - envio 2-3 dias</v>
      </c>
      <c r="Z1101" s="1" t="str">
        <f>INDEX(T:T,MATCH(orders_desnormalizado_prueba3[[#This Row],[shipping_cost]],W:W,0))</f>
        <v>Colombia</v>
      </c>
      <c r="AA1101" s="1" t="str">
        <f t="shared" si="52"/>
        <v>Bogota</v>
      </c>
      <c r="AB1101" s="1"/>
      <c r="AC1101" s="1" t="str">
        <f t="shared" si="53"/>
        <v xml:space="preserve"> </v>
      </c>
    </row>
    <row r="1102" spans="1:29" x14ac:dyDescent="0.3">
      <c r="A1102" s="1" t="s">
        <v>2325</v>
      </c>
      <c r="B1102">
        <v>1</v>
      </c>
      <c r="C1102">
        <v>27.99</v>
      </c>
      <c r="D1102">
        <v>27.99</v>
      </c>
      <c r="E1102" s="1" t="s">
        <v>107</v>
      </c>
      <c r="F1102" s="1" t="s">
        <v>40</v>
      </c>
      <c r="G1102">
        <v>2</v>
      </c>
      <c r="H1102" s="1" t="s">
        <v>96</v>
      </c>
      <c r="I1102" s="1" t="s">
        <v>75</v>
      </c>
      <c r="J1102">
        <v>9</v>
      </c>
      <c r="K1102">
        <v>27.99</v>
      </c>
      <c r="L1102" s="1" t="s">
        <v>28</v>
      </c>
      <c r="M1102" s="1" t="s">
        <v>61</v>
      </c>
      <c r="N1102" s="1" t="s">
        <v>62</v>
      </c>
      <c r="O1102" s="1" t="s">
        <v>31</v>
      </c>
      <c r="P1102" s="2">
        <v>45726</v>
      </c>
      <c r="Q1102" s="1" t="s">
        <v>161</v>
      </c>
      <c r="R1102" s="1" t="s">
        <v>2096</v>
      </c>
      <c r="S1102" s="1" t="s">
        <v>34</v>
      </c>
      <c r="T1102" s="1" t="s">
        <v>35</v>
      </c>
      <c r="U1102" s="1" t="s">
        <v>48</v>
      </c>
      <c r="V1102" s="1" t="s">
        <v>37</v>
      </c>
      <c r="W1102">
        <v>2</v>
      </c>
      <c r="X1102" s="1" t="str">
        <f t="shared" si="51"/>
        <v>miguel.vargas74@mail.com</v>
      </c>
      <c r="Y1102" s="1" t="str">
        <f>INDEX(V:V,MATCH(orders_desnormalizado_prueba3[[#This Row],[acquisition_channel]],U:U,0))</f>
        <v>Bodega Propia CO - envio 2-3 dias</v>
      </c>
      <c r="Z1102" s="1" t="str">
        <f>INDEX(T:T,MATCH(orders_desnormalizado_prueba3[[#This Row],[shipping_cost]],W:W,0))</f>
        <v>Colombia</v>
      </c>
      <c r="AA1102" s="1" t="str">
        <f t="shared" si="52"/>
        <v>Medellin</v>
      </c>
      <c r="AB1102" s="1"/>
      <c r="AC1102" s="1" t="str">
        <f t="shared" si="53"/>
        <v xml:space="preserve"> </v>
      </c>
    </row>
    <row r="1103" spans="1:29" x14ac:dyDescent="0.3">
      <c r="A1103" s="1" t="s">
        <v>2326</v>
      </c>
      <c r="B1103">
        <v>3</v>
      </c>
      <c r="C1103">
        <v>27.99</v>
      </c>
      <c r="D1103">
        <v>66.94</v>
      </c>
      <c r="E1103" s="1" t="s">
        <v>1420</v>
      </c>
      <c r="F1103" s="1" t="s">
        <v>188</v>
      </c>
      <c r="G1103">
        <v>0</v>
      </c>
      <c r="H1103" s="1" t="s">
        <v>58</v>
      </c>
      <c r="I1103" s="1" t="s">
        <v>75</v>
      </c>
      <c r="J1103">
        <v>9</v>
      </c>
      <c r="K1103">
        <v>27.99</v>
      </c>
      <c r="L1103" s="1" t="s">
        <v>28</v>
      </c>
      <c r="M1103" s="1" t="s">
        <v>61</v>
      </c>
      <c r="N1103" s="1" t="s">
        <v>62</v>
      </c>
      <c r="O1103" s="1" t="s">
        <v>31</v>
      </c>
      <c r="P1103" s="2">
        <v>45726</v>
      </c>
      <c r="Q1103" s="1" t="s">
        <v>1018</v>
      </c>
      <c r="R1103" s="1" t="s">
        <v>1725</v>
      </c>
      <c r="S1103" s="1" t="s">
        <v>47</v>
      </c>
      <c r="T1103" s="1" t="s">
        <v>35</v>
      </c>
      <c r="U1103" s="1" t="s">
        <v>55</v>
      </c>
      <c r="V1103" s="1" t="s">
        <v>37</v>
      </c>
      <c r="W1103">
        <v>2</v>
      </c>
      <c r="X1103" s="1" t="str">
        <f t="shared" si="51"/>
        <v>catalina.jimenez76@mail.com</v>
      </c>
      <c r="Y1103" s="1" t="str">
        <f>INDEX(V:V,MATCH(orders_desnormalizado_prueba3[[#This Row],[acquisition_channel]],U:U,0))</f>
        <v>Bodega Propia CO - envio 2-3 dias</v>
      </c>
      <c r="Z1103" s="1" t="str">
        <f>INDEX(T:T,MATCH(orders_desnormalizado_prueba3[[#This Row],[shipping_cost]],W:W,0))</f>
        <v>Colombia</v>
      </c>
      <c r="AA1103" s="1" t="str">
        <f t="shared" si="52"/>
        <v>Cartagena</v>
      </c>
      <c r="AB1103" s="1"/>
      <c r="AC1103" s="1" t="str">
        <f t="shared" si="53"/>
        <v xml:space="preserve"> </v>
      </c>
    </row>
    <row r="1104" spans="1:29" x14ac:dyDescent="0.3">
      <c r="A1104" s="1" t="s">
        <v>2327</v>
      </c>
      <c r="B1104">
        <v>3</v>
      </c>
      <c r="C1104">
        <v>16.989999999999998</v>
      </c>
      <c r="D1104">
        <v>40.78</v>
      </c>
      <c r="E1104" s="1" t="s">
        <v>2328</v>
      </c>
      <c r="F1104" s="1" t="s">
        <v>40</v>
      </c>
      <c r="G1104">
        <v>15</v>
      </c>
      <c r="H1104" s="1" t="s">
        <v>96</v>
      </c>
      <c r="I1104" s="1" t="s">
        <v>59</v>
      </c>
      <c r="J1104">
        <v>5</v>
      </c>
      <c r="K1104">
        <v>16.989999999999998</v>
      </c>
      <c r="L1104" s="1" t="s">
        <v>60</v>
      </c>
      <c r="M1104" s="1" t="s">
        <v>61</v>
      </c>
      <c r="N1104" s="1" t="s">
        <v>62</v>
      </c>
      <c r="O1104" s="1" t="s">
        <v>31</v>
      </c>
      <c r="P1104" s="2">
        <v>45726</v>
      </c>
      <c r="Q1104" s="1" t="s">
        <v>1157</v>
      </c>
      <c r="R1104" s="1" t="s">
        <v>2329</v>
      </c>
      <c r="S1104" s="1" t="s">
        <v>65</v>
      </c>
      <c r="T1104" s="1" t="s">
        <v>35</v>
      </c>
      <c r="U1104" s="1" t="s">
        <v>48</v>
      </c>
      <c r="V1104" s="1" t="s">
        <v>67</v>
      </c>
      <c r="W1104">
        <v>3</v>
      </c>
      <c r="X1104" s="1" t="str">
        <f t="shared" si="51"/>
        <v>alejandro.ramirez94@mail.com</v>
      </c>
      <c r="Y1104" s="1" t="str">
        <f>INDEX(V:V,MATCH(orders_desnormalizado_prueba3[[#This Row],[acquisition_channel]],U:U,0))</f>
        <v>Bodega Propia CO - envio 2-3 dias</v>
      </c>
      <c r="Z1104" s="1" t="str">
        <f>INDEX(T:T,MATCH(orders_desnormalizado_prueba3[[#This Row],[shipping_cost]],W:W,0))</f>
        <v>Colombia</v>
      </c>
      <c r="AA1104" s="1" t="str">
        <f t="shared" si="52"/>
        <v>Barranquilla</v>
      </c>
      <c r="AB1104" s="1"/>
      <c r="AC1104" s="1" t="str">
        <f t="shared" si="53"/>
        <v xml:space="preserve"> </v>
      </c>
    </row>
    <row r="1105" spans="1:29" x14ac:dyDescent="0.3">
      <c r="A1105" s="1" t="s">
        <v>2330</v>
      </c>
      <c r="B1105">
        <v>2</v>
      </c>
      <c r="C1105">
        <v>34.99</v>
      </c>
      <c r="D1105">
        <v>60.77</v>
      </c>
      <c r="E1105" s="1" t="s">
        <v>1648</v>
      </c>
      <c r="F1105" s="1" t="s">
        <v>40</v>
      </c>
      <c r="G1105">
        <v>5</v>
      </c>
      <c r="H1105" s="1" t="s">
        <v>26</v>
      </c>
      <c r="I1105" s="1" t="s">
        <v>85</v>
      </c>
      <c r="J1105">
        <v>12.5</v>
      </c>
      <c r="K1105">
        <v>34.99</v>
      </c>
      <c r="L1105" s="1" t="s">
        <v>60</v>
      </c>
      <c r="M1105" s="1" t="s">
        <v>29</v>
      </c>
      <c r="N1105" s="1" t="s">
        <v>30</v>
      </c>
      <c r="O1105" s="1" t="s">
        <v>31</v>
      </c>
      <c r="P1105" s="2">
        <v>45778</v>
      </c>
      <c r="Q1105" s="1" t="s">
        <v>979</v>
      </c>
      <c r="R1105" s="1" t="s">
        <v>980</v>
      </c>
      <c r="S1105" s="1" t="s">
        <v>105</v>
      </c>
      <c r="T1105" s="1" t="s">
        <v>35</v>
      </c>
      <c r="U1105" s="1" t="s">
        <v>82</v>
      </c>
      <c r="V1105" s="1" t="s">
        <v>89</v>
      </c>
      <c r="W1105">
        <v>2.4</v>
      </c>
      <c r="X1105" s="1" t="str">
        <f t="shared" si="51"/>
        <v>sofia.ramirez104@mail.com</v>
      </c>
      <c r="Y1105" s="1" t="str">
        <f>INDEX(V:V,MATCH(orders_desnormalizado_prueba3[[#This Row],[acquisition_channel]],U:U,0))</f>
        <v>Bodega Propia CO - envio 2-3 dias</v>
      </c>
      <c r="Z1105" s="1" t="str">
        <f>INDEX(T:T,MATCH(orders_desnormalizado_prueba3[[#This Row],[shipping_cost]],W:W,0))</f>
        <v>Colombia</v>
      </c>
      <c r="AA1105" s="1" t="str">
        <f t="shared" si="52"/>
        <v>Cali</v>
      </c>
      <c r="AB1105" s="1"/>
      <c r="AC1105" s="1" t="str">
        <f t="shared" si="53"/>
        <v xml:space="preserve"> </v>
      </c>
    </row>
    <row r="1106" spans="1:29" x14ac:dyDescent="0.3">
      <c r="A1106" s="1" t="s">
        <v>2331</v>
      </c>
      <c r="B1106">
        <v>3</v>
      </c>
      <c r="C1106">
        <v>34.99</v>
      </c>
      <c r="D1106">
        <v>84.88</v>
      </c>
      <c r="E1106" s="1" t="s">
        <v>1233</v>
      </c>
      <c r="F1106" s="1" t="s">
        <v>51</v>
      </c>
      <c r="G1106">
        <v>0</v>
      </c>
      <c r="H1106" s="1" t="s">
        <v>96</v>
      </c>
      <c r="I1106" s="1" t="s">
        <v>85</v>
      </c>
      <c r="J1106">
        <v>12.5</v>
      </c>
      <c r="K1106">
        <v>34.99</v>
      </c>
      <c r="L1106" s="1" t="s">
        <v>60</v>
      </c>
      <c r="M1106" s="1" t="s">
        <v>29</v>
      </c>
      <c r="N1106" s="1" t="s">
        <v>30</v>
      </c>
      <c r="O1106" s="1" t="s">
        <v>31</v>
      </c>
      <c r="P1106" s="2">
        <v>45778</v>
      </c>
      <c r="Q1106" s="1" t="s">
        <v>990</v>
      </c>
      <c r="R1106" s="1" t="s">
        <v>1228</v>
      </c>
      <c r="S1106" s="1" t="s">
        <v>47</v>
      </c>
      <c r="T1106" s="1" t="s">
        <v>35</v>
      </c>
      <c r="U1106" s="1" t="s">
        <v>55</v>
      </c>
      <c r="V1106" s="1" t="s">
        <v>89</v>
      </c>
      <c r="W1106">
        <v>2.4</v>
      </c>
      <c r="X1106" s="1" t="str">
        <f t="shared" si="51"/>
        <v>fernanda.diaz94@mail.com</v>
      </c>
      <c r="Y1106" s="1" t="str">
        <f>INDEX(V:V,MATCH(orders_desnormalizado_prueba3[[#This Row],[acquisition_channel]],U:U,0))</f>
        <v>Bodega Propia CO - envio 2-3 dias</v>
      </c>
      <c r="Z1106" s="1" t="str">
        <f>INDEX(T:T,MATCH(orders_desnormalizado_prueba3[[#This Row],[shipping_cost]],W:W,0))</f>
        <v>Colombia</v>
      </c>
      <c r="AA1106" s="1" t="str">
        <f t="shared" si="52"/>
        <v>Cartagena</v>
      </c>
      <c r="AB1106" s="1"/>
      <c r="AC1106" s="1" t="str">
        <f t="shared" si="53"/>
        <v xml:space="preserve"> </v>
      </c>
    </row>
    <row r="1107" spans="1:29" x14ac:dyDescent="0.3">
      <c r="A1107" s="1" t="s">
        <v>2332</v>
      </c>
      <c r="B1107">
        <v>3</v>
      </c>
      <c r="C1107">
        <v>16.989999999999998</v>
      </c>
      <c r="D1107">
        <v>41.26</v>
      </c>
      <c r="E1107" s="1" t="s">
        <v>2082</v>
      </c>
      <c r="F1107" s="1" t="s">
        <v>188</v>
      </c>
      <c r="G1107">
        <v>0</v>
      </c>
      <c r="H1107" s="1" t="s">
        <v>96</v>
      </c>
      <c r="I1107" s="1" t="s">
        <v>59</v>
      </c>
      <c r="J1107">
        <v>5</v>
      </c>
      <c r="K1107">
        <v>16.989999999999998</v>
      </c>
      <c r="L1107" s="1" t="s">
        <v>60</v>
      </c>
      <c r="M1107" s="1" t="s">
        <v>61</v>
      </c>
      <c r="N1107" s="1" t="s">
        <v>62</v>
      </c>
      <c r="O1107" s="1" t="s">
        <v>31</v>
      </c>
      <c r="P1107" s="2">
        <v>45726</v>
      </c>
      <c r="Q1107" s="1" t="s">
        <v>1506</v>
      </c>
      <c r="R1107" s="1" t="s">
        <v>2333</v>
      </c>
      <c r="S1107" s="1" t="s">
        <v>47</v>
      </c>
      <c r="T1107" s="1" t="s">
        <v>35</v>
      </c>
      <c r="U1107" s="1" t="s">
        <v>55</v>
      </c>
      <c r="V1107" s="1" t="s">
        <v>67</v>
      </c>
      <c r="W1107">
        <v>3</v>
      </c>
      <c r="X1107" s="1" t="str">
        <f t="shared" si="51"/>
        <v>carlos.jimenez154@mail.com</v>
      </c>
      <c r="Y1107" s="1" t="str">
        <f>INDEX(V:V,MATCH(orders_desnormalizado_prueba3[[#This Row],[acquisition_channel]],U:U,0))</f>
        <v>Bodega Propia CO - envio 2-3 dias</v>
      </c>
      <c r="Z1107" s="1" t="str">
        <f>INDEX(T:T,MATCH(orders_desnormalizado_prueba3[[#This Row],[shipping_cost]],W:W,0))</f>
        <v>Colombia</v>
      </c>
      <c r="AA1107" s="1" t="str">
        <f t="shared" si="52"/>
        <v>Cartagena</v>
      </c>
      <c r="AB1107" s="1"/>
      <c r="AC1107" s="1" t="str">
        <f t="shared" si="53"/>
        <v xml:space="preserve"> </v>
      </c>
    </row>
    <row r="1108" spans="1:29" x14ac:dyDescent="0.3">
      <c r="A1108" s="1" t="s">
        <v>2334</v>
      </c>
      <c r="B1108">
        <v>1</v>
      </c>
      <c r="C1108">
        <v>18.989999999999998</v>
      </c>
      <c r="D1108">
        <v>18.989999999999998</v>
      </c>
      <c r="E1108" s="1" t="s">
        <v>1367</v>
      </c>
      <c r="F1108" s="1" t="s">
        <v>25</v>
      </c>
      <c r="G1108">
        <v>10</v>
      </c>
      <c r="H1108" s="1" t="s">
        <v>41</v>
      </c>
      <c r="I1108" s="1" t="s">
        <v>97</v>
      </c>
      <c r="J1108">
        <v>6</v>
      </c>
      <c r="K1108">
        <v>18.989999999999998</v>
      </c>
      <c r="L1108" s="1" t="s">
        <v>60</v>
      </c>
      <c r="M1108" s="1" t="s">
        <v>43</v>
      </c>
      <c r="N1108" s="1" t="s">
        <v>44</v>
      </c>
      <c r="O1108" s="1" t="s">
        <v>31</v>
      </c>
      <c r="P1108" s="2">
        <v>45823</v>
      </c>
      <c r="Q1108" s="1" t="s">
        <v>965</v>
      </c>
      <c r="R1108" s="1" t="s">
        <v>1221</v>
      </c>
      <c r="S1108" s="1" t="s">
        <v>34</v>
      </c>
      <c r="T1108" s="1" t="s">
        <v>35</v>
      </c>
      <c r="U1108" s="1" t="s">
        <v>48</v>
      </c>
      <c r="V1108" s="1" t="s">
        <v>100</v>
      </c>
      <c r="W1108">
        <v>3.2</v>
      </c>
      <c r="X1108" s="1" t="str">
        <f t="shared" si="51"/>
        <v>natalia.martinez50@mail.com</v>
      </c>
      <c r="Y1108" s="1" t="str">
        <f>INDEX(V:V,MATCH(orders_desnormalizado_prueba3[[#This Row],[acquisition_channel]],U:U,0))</f>
        <v>Bodega Propia CO - envio 2-3 dias</v>
      </c>
      <c r="Z1108" s="1" t="str">
        <f>INDEX(T:T,MATCH(orders_desnormalizado_prueba3[[#This Row],[shipping_cost]],W:W,0))</f>
        <v>Colombia</v>
      </c>
      <c r="AA1108" s="1" t="str">
        <f t="shared" si="52"/>
        <v>Bogota</v>
      </c>
      <c r="AB1108" s="1"/>
      <c r="AC1108" s="1" t="str">
        <f t="shared" si="53"/>
        <v xml:space="preserve"> </v>
      </c>
    </row>
    <row r="1109" spans="1:29" x14ac:dyDescent="0.3">
      <c r="A1109" s="1" t="s">
        <v>2335</v>
      </c>
      <c r="B1109">
        <v>1</v>
      </c>
      <c r="C1109">
        <v>30.99</v>
      </c>
      <c r="D1109">
        <v>30.99</v>
      </c>
      <c r="E1109" s="1" t="s">
        <v>1965</v>
      </c>
      <c r="F1109" s="1" t="s">
        <v>188</v>
      </c>
      <c r="G1109">
        <v>0</v>
      </c>
      <c r="H1109" s="1" t="s">
        <v>41</v>
      </c>
      <c r="I1109" s="1" t="s">
        <v>42</v>
      </c>
      <c r="J1109">
        <v>10.5</v>
      </c>
      <c r="K1109">
        <v>30.99</v>
      </c>
      <c r="L1109" s="1" t="s">
        <v>28</v>
      </c>
      <c r="M1109" s="1" t="s">
        <v>43</v>
      </c>
      <c r="N1109" s="1" t="s">
        <v>44</v>
      </c>
      <c r="O1109" s="1" t="s">
        <v>31</v>
      </c>
      <c r="P1109" s="2">
        <v>45823</v>
      </c>
      <c r="Q1109" s="1" t="s">
        <v>1401</v>
      </c>
      <c r="R1109" s="1" t="s">
        <v>1402</v>
      </c>
      <c r="S1109" s="1" t="s">
        <v>65</v>
      </c>
      <c r="T1109" s="1" t="s">
        <v>35</v>
      </c>
      <c r="U1109" s="1" t="s">
        <v>66</v>
      </c>
      <c r="V1109" s="1" t="s">
        <v>37</v>
      </c>
      <c r="W1109">
        <v>2</v>
      </c>
      <c r="X1109" s="1" t="str">
        <f t="shared" si="51"/>
        <v>nicolas.ramirez77@mail.com</v>
      </c>
      <c r="Y1109" s="1" t="str">
        <f>INDEX(V:V,MATCH(orders_desnormalizado_prueba3[[#This Row],[acquisition_channel]],U:U,0))</f>
        <v>AliDropship CN - envio 15-20 dias</v>
      </c>
      <c r="Z1109" s="1" t="str">
        <f>INDEX(T:T,MATCH(orders_desnormalizado_prueba3[[#This Row],[shipping_cost]],W:W,0))</f>
        <v>Colombia</v>
      </c>
      <c r="AA1109" s="1" t="str">
        <f t="shared" si="52"/>
        <v>Cartagena</v>
      </c>
      <c r="AB1109" s="1"/>
      <c r="AC1109" s="1" t="str">
        <f t="shared" si="53"/>
        <v xml:space="preserve"> </v>
      </c>
    </row>
    <row r="1110" spans="1:29" x14ac:dyDescent="0.3">
      <c r="A1110" s="1" t="s">
        <v>2336</v>
      </c>
      <c r="B1110">
        <v>1</v>
      </c>
      <c r="C1110">
        <v>27.99</v>
      </c>
      <c r="D1110">
        <v>27.99</v>
      </c>
      <c r="E1110" s="1" t="s">
        <v>317</v>
      </c>
      <c r="F1110" s="1" t="s">
        <v>51</v>
      </c>
      <c r="G1110">
        <v>0</v>
      </c>
      <c r="H1110" s="1" t="s">
        <v>58</v>
      </c>
      <c r="I1110" s="1" t="s">
        <v>75</v>
      </c>
      <c r="J1110">
        <v>9</v>
      </c>
      <c r="K1110">
        <v>27.99</v>
      </c>
      <c r="L1110" s="1" t="s">
        <v>28</v>
      </c>
      <c r="M1110" s="1" t="s">
        <v>61</v>
      </c>
      <c r="N1110" s="1" t="s">
        <v>62</v>
      </c>
      <c r="O1110" s="1" t="s">
        <v>31</v>
      </c>
      <c r="P1110" s="2">
        <v>45726</v>
      </c>
      <c r="Q1110" s="1" t="s">
        <v>1385</v>
      </c>
      <c r="R1110" s="1" t="s">
        <v>1630</v>
      </c>
      <c r="S1110" s="1" t="s">
        <v>65</v>
      </c>
      <c r="T1110" s="1" t="s">
        <v>35</v>
      </c>
      <c r="U1110" s="1" t="s">
        <v>55</v>
      </c>
      <c r="V1110" s="1" t="s">
        <v>37</v>
      </c>
      <c r="W1110">
        <v>2</v>
      </c>
      <c r="X1110" s="1" t="str">
        <f t="shared" si="51"/>
        <v>catalina.torres188@mail.com</v>
      </c>
      <c r="Y1110" s="1" t="str">
        <f>INDEX(V:V,MATCH(orders_desnormalizado_prueba3[[#This Row],[acquisition_channel]],U:U,0))</f>
        <v>Bodega Propia CO - envio 2-3 dias</v>
      </c>
      <c r="Z1110" s="1" t="str">
        <f>INDEX(T:T,MATCH(orders_desnormalizado_prueba3[[#This Row],[shipping_cost]],W:W,0))</f>
        <v>Colombia</v>
      </c>
      <c r="AA1110" s="1" t="str">
        <f t="shared" si="52"/>
        <v>Cartagena</v>
      </c>
      <c r="AB1110" s="1"/>
      <c r="AC1110" s="1" t="str">
        <f t="shared" si="53"/>
        <v xml:space="preserve"> </v>
      </c>
    </row>
    <row r="1111" spans="1:29" x14ac:dyDescent="0.3">
      <c r="A1111" s="1" t="s">
        <v>2337</v>
      </c>
      <c r="B1111">
        <v>1</v>
      </c>
      <c r="C1111">
        <v>16.989999999999998</v>
      </c>
      <c r="D1111">
        <v>16.989999999999998</v>
      </c>
      <c r="E1111" s="1" t="s">
        <v>916</v>
      </c>
      <c r="F1111" s="1" t="s">
        <v>40</v>
      </c>
      <c r="G1111">
        <v>19</v>
      </c>
      <c r="H1111" s="1" t="s">
        <v>26</v>
      </c>
      <c r="I1111" s="1" t="s">
        <v>59</v>
      </c>
      <c r="J1111">
        <v>5</v>
      </c>
      <c r="K1111">
        <v>16.989999999999998</v>
      </c>
      <c r="L1111" s="1" t="s">
        <v>60</v>
      </c>
      <c r="M1111" s="1" t="s">
        <v>61</v>
      </c>
      <c r="N1111" s="1" t="s">
        <v>62</v>
      </c>
      <c r="O1111" s="1" t="s">
        <v>31</v>
      </c>
      <c r="P1111" s="2">
        <v>45726</v>
      </c>
      <c r="Q1111" s="1" t="s">
        <v>1187</v>
      </c>
      <c r="R1111" s="1" t="s">
        <v>2338</v>
      </c>
      <c r="S1111" s="1" t="s">
        <v>34</v>
      </c>
      <c r="T1111" s="1" t="s">
        <v>35</v>
      </c>
      <c r="U1111" s="1" t="s">
        <v>48</v>
      </c>
      <c r="V1111" s="1" t="s">
        <v>67</v>
      </c>
      <c r="W1111">
        <v>3</v>
      </c>
      <c r="X1111" s="1" t="str">
        <f t="shared" si="51"/>
        <v>nicolas.jimenez67@mail.com</v>
      </c>
      <c r="Y1111" s="1" t="str">
        <f>INDEX(V:V,MATCH(orders_desnormalizado_prueba3[[#This Row],[acquisition_channel]],U:U,0))</f>
        <v>Bodega Propia CO - envio 2-3 dias</v>
      </c>
      <c r="Z1111" s="1" t="str">
        <f>INDEX(T:T,MATCH(orders_desnormalizado_prueba3[[#This Row],[shipping_cost]],W:W,0))</f>
        <v>Colombia</v>
      </c>
      <c r="AA1111" s="1" t="str">
        <f t="shared" si="52"/>
        <v>Bogota</v>
      </c>
      <c r="AB1111" s="1"/>
      <c r="AC1111" s="1" t="str">
        <f t="shared" si="53"/>
        <v xml:space="preserve"> </v>
      </c>
    </row>
    <row r="1112" spans="1:29" x14ac:dyDescent="0.3">
      <c r="A1112" s="1" t="s">
        <v>2339</v>
      </c>
      <c r="B1112">
        <v>2</v>
      </c>
      <c r="C1112">
        <v>16.989999999999998</v>
      </c>
      <c r="D1112">
        <v>29.17</v>
      </c>
      <c r="E1112" s="1" t="s">
        <v>1285</v>
      </c>
      <c r="F1112" s="1" t="s">
        <v>40</v>
      </c>
      <c r="G1112">
        <v>15</v>
      </c>
      <c r="H1112" s="1" t="s">
        <v>26</v>
      </c>
      <c r="I1112" s="1" t="s">
        <v>59</v>
      </c>
      <c r="J1112">
        <v>5</v>
      </c>
      <c r="K1112">
        <v>16.989999999999998</v>
      </c>
      <c r="L1112" s="1" t="s">
        <v>60</v>
      </c>
      <c r="M1112" s="1" t="s">
        <v>61</v>
      </c>
      <c r="N1112" s="1" t="s">
        <v>62</v>
      </c>
      <c r="O1112" s="1" t="s">
        <v>31</v>
      </c>
      <c r="P1112" s="2">
        <v>45726</v>
      </c>
      <c r="Q1112" s="1" t="s">
        <v>1306</v>
      </c>
      <c r="R1112" s="1" t="s">
        <v>1307</v>
      </c>
      <c r="S1112" s="1" t="s">
        <v>47</v>
      </c>
      <c r="T1112" s="1" t="s">
        <v>35</v>
      </c>
      <c r="U1112" s="1" t="s">
        <v>66</v>
      </c>
      <c r="V1112" s="1" t="s">
        <v>67</v>
      </c>
      <c r="W1112">
        <v>3</v>
      </c>
      <c r="X1112" s="1" t="str">
        <f t="shared" si="51"/>
        <v>diego.gomez10@mail.com</v>
      </c>
      <c r="Y1112" s="1" t="str">
        <f>INDEX(V:V,MATCH(orders_desnormalizado_prueba3[[#This Row],[acquisition_channel]],U:U,0))</f>
        <v>AliDropship CN - envio 15-20 dias</v>
      </c>
      <c r="Z1112" s="1" t="str">
        <f>INDEX(T:T,MATCH(orders_desnormalizado_prueba3[[#This Row],[shipping_cost]],W:W,0))</f>
        <v>Colombia</v>
      </c>
      <c r="AA1112" s="1" t="str">
        <f t="shared" si="52"/>
        <v>Barranquilla</v>
      </c>
      <c r="AB1112" s="1"/>
      <c r="AC1112" s="1" t="str">
        <f t="shared" si="53"/>
        <v xml:space="preserve"> </v>
      </c>
    </row>
    <row r="1113" spans="1:29" x14ac:dyDescent="0.3">
      <c r="A1113" s="1" t="s">
        <v>2340</v>
      </c>
      <c r="B1113">
        <v>1</v>
      </c>
      <c r="C1113">
        <v>16.989999999999998</v>
      </c>
      <c r="D1113">
        <v>16.989999999999998</v>
      </c>
      <c r="E1113" s="1" t="s">
        <v>2070</v>
      </c>
      <c r="F1113" s="1" t="s">
        <v>40</v>
      </c>
      <c r="G1113">
        <v>19</v>
      </c>
      <c r="H1113" s="1" t="s">
        <v>96</v>
      </c>
      <c r="I1113" s="1" t="s">
        <v>59</v>
      </c>
      <c r="J1113">
        <v>5</v>
      </c>
      <c r="K1113">
        <v>16.989999999999998</v>
      </c>
      <c r="L1113" s="1" t="s">
        <v>60</v>
      </c>
      <c r="M1113" s="1" t="s">
        <v>61</v>
      </c>
      <c r="N1113" s="1" t="s">
        <v>62</v>
      </c>
      <c r="O1113" s="1" t="s">
        <v>31</v>
      </c>
      <c r="P1113" s="2">
        <v>45726</v>
      </c>
      <c r="Q1113" s="1" t="s">
        <v>385</v>
      </c>
      <c r="R1113" s="1" t="s">
        <v>1510</v>
      </c>
      <c r="S1113" s="1" t="s">
        <v>88</v>
      </c>
      <c r="T1113" s="1" t="s">
        <v>35</v>
      </c>
      <c r="U1113" s="1" t="s">
        <v>48</v>
      </c>
      <c r="V1113" s="1" t="s">
        <v>67</v>
      </c>
      <c r="W1113">
        <v>3</v>
      </c>
      <c r="X1113" s="1" t="str">
        <f t="shared" si="51"/>
        <v>isabella.sanchez53@mail.com</v>
      </c>
      <c r="Y1113" s="1" t="str">
        <f>INDEX(V:V,MATCH(orders_desnormalizado_prueba3[[#This Row],[acquisition_channel]],U:U,0))</f>
        <v>Bodega Propia CO - envio 2-3 dias</v>
      </c>
      <c r="Z1113" s="1" t="str">
        <f>INDEX(T:T,MATCH(orders_desnormalizado_prueba3[[#This Row],[shipping_cost]],W:W,0))</f>
        <v>Colombia</v>
      </c>
      <c r="AA1113" s="1" t="str">
        <f t="shared" si="52"/>
        <v>Bogota</v>
      </c>
      <c r="AB1113" s="1"/>
      <c r="AC1113" s="1" t="str">
        <f t="shared" si="53"/>
        <v xml:space="preserve"> </v>
      </c>
    </row>
    <row r="1114" spans="1:29" x14ac:dyDescent="0.3">
      <c r="A1114" s="1" t="s">
        <v>2341</v>
      </c>
      <c r="B1114">
        <v>3</v>
      </c>
      <c r="C1114">
        <v>30.99</v>
      </c>
      <c r="D1114">
        <v>74.86</v>
      </c>
      <c r="E1114" s="1" t="s">
        <v>1577</v>
      </c>
      <c r="F1114" s="1" t="s">
        <v>51</v>
      </c>
      <c r="G1114">
        <v>0</v>
      </c>
      <c r="H1114" s="1" t="s">
        <v>41</v>
      </c>
      <c r="I1114" s="1" t="s">
        <v>42</v>
      </c>
      <c r="J1114">
        <v>10.5</v>
      </c>
      <c r="K1114">
        <v>30.99</v>
      </c>
      <c r="L1114" s="1" t="s">
        <v>28</v>
      </c>
      <c r="M1114" s="1" t="s">
        <v>43</v>
      </c>
      <c r="N1114" s="1" t="s">
        <v>44</v>
      </c>
      <c r="O1114" s="1" t="s">
        <v>31</v>
      </c>
      <c r="P1114" s="2">
        <v>45823</v>
      </c>
      <c r="Q1114" s="1" t="s">
        <v>1728</v>
      </c>
      <c r="R1114" s="1" t="s">
        <v>1729</v>
      </c>
      <c r="S1114" s="1" t="s">
        <v>65</v>
      </c>
      <c r="T1114" s="1" t="s">
        <v>35</v>
      </c>
      <c r="U1114" s="1" t="s">
        <v>55</v>
      </c>
      <c r="V1114" s="1" t="s">
        <v>37</v>
      </c>
      <c r="W1114">
        <v>2</v>
      </c>
      <c r="X1114" s="1" t="str">
        <f t="shared" si="51"/>
        <v>santiago.rodriguez157@mail.com</v>
      </c>
      <c r="Y1114" s="1" t="str">
        <f>INDEX(V:V,MATCH(orders_desnormalizado_prueba3[[#This Row],[acquisition_channel]],U:U,0))</f>
        <v>Bodega Propia CO - envio 2-3 dias</v>
      </c>
      <c r="Z1114" s="1" t="str">
        <f>INDEX(T:T,MATCH(orders_desnormalizado_prueba3[[#This Row],[shipping_cost]],W:W,0))</f>
        <v>Colombia</v>
      </c>
      <c r="AA1114" s="1" t="str">
        <f t="shared" si="52"/>
        <v>Cartagena</v>
      </c>
      <c r="AB1114" s="1"/>
      <c r="AC1114" s="1" t="str">
        <f t="shared" si="53"/>
        <v xml:space="preserve"> </v>
      </c>
    </row>
    <row r="1115" spans="1:29" x14ac:dyDescent="0.3">
      <c r="A1115" s="1" t="s">
        <v>2342</v>
      </c>
      <c r="B1115">
        <v>1</v>
      </c>
      <c r="C1115">
        <v>30.99</v>
      </c>
      <c r="D1115">
        <v>30.99</v>
      </c>
      <c r="E1115" s="1" t="s">
        <v>50</v>
      </c>
      <c r="F1115" s="1" t="s">
        <v>40</v>
      </c>
      <c r="G1115">
        <v>8</v>
      </c>
      <c r="H1115" s="1" t="s">
        <v>26</v>
      </c>
      <c r="I1115" s="1" t="s">
        <v>42</v>
      </c>
      <c r="J1115">
        <v>10.5</v>
      </c>
      <c r="K1115">
        <v>30.99</v>
      </c>
      <c r="L1115" s="1" t="s">
        <v>28</v>
      </c>
      <c r="M1115" s="1" t="s">
        <v>43</v>
      </c>
      <c r="N1115" s="1" t="s">
        <v>44</v>
      </c>
      <c r="O1115" s="1" t="s">
        <v>31</v>
      </c>
      <c r="P1115" s="2">
        <v>45823</v>
      </c>
      <c r="Q1115" s="1" t="s">
        <v>1856</v>
      </c>
      <c r="R1115" s="1" t="s">
        <v>1857</v>
      </c>
      <c r="S1115" s="1" t="s">
        <v>34</v>
      </c>
      <c r="T1115" s="1" t="s">
        <v>35</v>
      </c>
      <c r="U1115" s="1" t="s">
        <v>36</v>
      </c>
      <c r="V1115" s="1" t="s">
        <v>37</v>
      </c>
      <c r="W1115">
        <v>2</v>
      </c>
      <c r="X1115" s="1" t="str">
        <f t="shared" si="51"/>
        <v>paula.perez26@mail.com</v>
      </c>
      <c r="Y1115" s="1" t="str">
        <f>INDEX(V:V,MATCH(orders_desnormalizado_prueba3[[#This Row],[acquisition_channel]],U:U,0))</f>
        <v>Bodega Propia CO - envio 2-3 dias</v>
      </c>
      <c r="Z1115" s="1" t="str">
        <f>INDEX(T:T,MATCH(orders_desnormalizado_prueba3[[#This Row],[shipping_cost]],W:W,0))</f>
        <v>Colombia</v>
      </c>
      <c r="AA1115" s="1" t="str">
        <f t="shared" si="52"/>
        <v>Barranquilla</v>
      </c>
      <c r="AB1115" s="1"/>
      <c r="AC1115" s="1" t="str">
        <f t="shared" si="53"/>
        <v xml:space="preserve"> </v>
      </c>
    </row>
    <row r="1116" spans="1:29" x14ac:dyDescent="0.3">
      <c r="A1116" s="1" t="s">
        <v>2343</v>
      </c>
      <c r="B1116">
        <v>1</v>
      </c>
      <c r="C1116">
        <v>21.99</v>
      </c>
      <c r="D1116">
        <v>21.99</v>
      </c>
      <c r="E1116" s="1" t="s">
        <v>2344</v>
      </c>
      <c r="F1116" s="1" t="s">
        <v>40</v>
      </c>
      <c r="G1116">
        <v>4</v>
      </c>
      <c r="H1116" s="1" t="s">
        <v>26</v>
      </c>
      <c r="I1116" s="1" t="s">
        <v>27</v>
      </c>
      <c r="J1116">
        <v>7</v>
      </c>
      <c r="K1116">
        <v>21.99</v>
      </c>
      <c r="L1116" s="1" t="s">
        <v>28</v>
      </c>
      <c r="M1116" s="1" t="s">
        <v>29</v>
      </c>
      <c r="N1116" s="1" t="s">
        <v>30</v>
      </c>
      <c r="O1116" s="1" t="s">
        <v>31</v>
      </c>
      <c r="P1116" s="2">
        <v>45778</v>
      </c>
      <c r="Q1116" s="1" t="s">
        <v>1385</v>
      </c>
      <c r="R1116" s="1" t="s">
        <v>1630</v>
      </c>
      <c r="S1116" s="1" t="s">
        <v>65</v>
      </c>
      <c r="T1116" s="1" t="s">
        <v>35</v>
      </c>
      <c r="U1116" s="1" t="s">
        <v>55</v>
      </c>
      <c r="V1116" s="1" t="s">
        <v>37</v>
      </c>
      <c r="W1116">
        <v>2</v>
      </c>
      <c r="X1116" s="1" t="str">
        <f t="shared" si="51"/>
        <v>catalina.torres188@mail.com</v>
      </c>
      <c r="Y1116" s="1" t="str">
        <f>INDEX(V:V,MATCH(orders_desnormalizado_prueba3[[#This Row],[acquisition_channel]],U:U,0))</f>
        <v>Bodega Propia CO - envio 2-3 dias</v>
      </c>
      <c r="Z1116" s="1" t="str">
        <f>INDEX(T:T,MATCH(orders_desnormalizado_prueba3[[#This Row],[shipping_cost]],W:W,0))</f>
        <v>Colombia</v>
      </c>
      <c r="AA1116" s="1" t="str">
        <f t="shared" si="52"/>
        <v>Barranquilla</v>
      </c>
      <c r="AB1116" s="1"/>
      <c r="AC1116" s="1" t="str">
        <f t="shared" si="53"/>
        <v xml:space="preserve"> </v>
      </c>
    </row>
    <row r="1117" spans="1:29" x14ac:dyDescent="0.3">
      <c r="A1117" s="1" t="s">
        <v>2345</v>
      </c>
      <c r="B1117">
        <v>2</v>
      </c>
      <c r="C1117">
        <v>18.989999999999998</v>
      </c>
      <c r="D1117">
        <v>33.17</v>
      </c>
      <c r="E1117" s="1" t="s">
        <v>813</v>
      </c>
      <c r="F1117" s="1" t="s">
        <v>40</v>
      </c>
      <c r="G1117">
        <v>10</v>
      </c>
      <c r="H1117" s="1" t="s">
        <v>58</v>
      </c>
      <c r="I1117" s="1" t="s">
        <v>97</v>
      </c>
      <c r="J1117">
        <v>6</v>
      </c>
      <c r="K1117">
        <v>18.989999999999998</v>
      </c>
      <c r="L1117" s="1" t="s">
        <v>60</v>
      </c>
      <c r="M1117" s="1" t="s">
        <v>43</v>
      </c>
      <c r="N1117" s="1" t="s">
        <v>44</v>
      </c>
      <c r="O1117" s="1" t="s">
        <v>31</v>
      </c>
      <c r="P1117" s="2">
        <v>45823</v>
      </c>
      <c r="Q1117" s="1" t="s">
        <v>71</v>
      </c>
      <c r="R1117" s="1" t="s">
        <v>955</v>
      </c>
      <c r="S1117" s="1" t="s">
        <v>65</v>
      </c>
      <c r="T1117" s="1" t="s">
        <v>35</v>
      </c>
      <c r="U1117" s="1" t="s">
        <v>82</v>
      </c>
      <c r="V1117" s="1" t="s">
        <v>100</v>
      </c>
      <c r="W1117">
        <v>3.2</v>
      </c>
      <c r="X1117" s="1" t="str">
        <f t="shared" si="51"/>
        <v>diego.ramirez167@mail.com</v>
      </c>
      <c r="Y1117" s="1" t="str">
        <f>INDEX(V:V,MATCH(orders_desnormalizado_prueba3[[#This Row],[acquisition_channel]],U:U,0))</f>
        <v>Bodega Propia CO - envio 2-3 dias</v>
      </c>
      <c r="Z1117" s="1" t="str">
        <f>INDEX(T:T,MATCH(orders_desnormalizado_prueba3[[#This Row],[shipping_cost]],W:W,0))</f>
        <v>Colombia</v>
      </c>
      <c r="AA1117" s="1" t="str">
        <f t="shared" si="52"/>
        <v>Bogota</v>
      </c>
      <c r="AB1117" s="1"/>
      <c r="AC1117" s="1" t="str">
        <f t="shared" si="53"/>
        <v xml:space="preserve"> </v>
      </c>
    </row>
    <row r="1118" spans="1:29" x14ac:dyDescent="0.3">
      <c r="A1118" s="1" t="s">
        <v>2346</v>
      </c>
      <c r="B1118">
        <v>3</v>
      </c>
      <c r="C1118">
        <v>27.99</v>
      </c>
      <c r="D1118">
        <v>66.44</v>
      </c>
      <c r="E1118" s="1" t="s">
        <v>288</v>
      </c>
      <c r="F1118" s="1" t="s">
        <v>25</v>
      </c>
      <c r="G1118">
        <v>2</v>
      </c>
      <c r="H1118" s="1" t="s">
        <v>41</v>
      </c>
      <c r="I1118" s="1" t="s">
        <v>75</v>
      </c>
      <c r="J1118">
        <v>9</v>
      </c>
      <c r="K1118">
        <v>27.99</v>
      </c>
      <c r="L1118" s="1" t="s">
        <v>28</v>
      </c>
      <c r="M1118" s="1" t="s">
        <v>61</v>
      </c>
      <c r="N1118" s="1" t="s">
        <v>62</v>
      </c>
      <c r="O1118" s="1" t="s">
        <v>31</v>
      </c>
      <c r="P1118" s="2">
        <v>45726</v>
      </c>
      <c r="Q1118" s="1" t="s">
        <v>1385</v>
      </c>
      <c r="R1118" s="1" t="s">
        <v>1386</v>
      </c>
      <c r="S1118" s="1" t="s">
        <v>47</v>
      </c>
      <c r="T1118" s="1" t="s">
        <v>35</v>
      </c>
      <c r="U1118" s="1" t="s">
        <v>66</v>
      </c>
      <c r="V1118" s="1" t="s">
        <v>37</v>
      </c>
      <c r="W1118">
        <v>2</v>
      </c>
      <c r="X1118" s="1" t="str">
        <f t="shared" si="51"/>
        <v>catalina.torres188@mail.com</v>
      </c>
      <c r="Y1118" s="1" t="str">
        <f>INDEX(V:V,MATCH(orders_desnormalizado_prueba3[[#This Row],[acquisition_channel]],U:U,0))</f>
        <v>AliDropship CN - envio 15-20 dias</v>
      </c>
      <c r="Z1118" s="1" t="str">
        <f>INDEX(T:T,MATCH(orders_desnormalizado_prueba3[[#This Row],[shipping_cost]],W:W,0))</f>
        <v>Colombia</v>
      </c>
      <c r="AA1118" s="1" t="str">
        <f t="shared" si="52"/>
        <v>Medellin</v>
      </c>
      <c r="AB1118" s="1"/>
      <c r="AC1118" s="1" t="str">
        <f t="shared" si="53"/>
        <v xml:space="preserve"> </v>
      </c>
    </row>
    <row r="1119" spans="1:29" x14ac:dyDescent="0.3">
      <c r="A1119" s="1" t="s">
        <v>2347</v>
      </c>
      <c r="B1119">
        <v>3</v>
      </c>
      <c r="C1119">
        <v>27.99</v>
      </c>
      <c r="D1119">
        <v>66.97</v>
      </c>
      <c r="E1119" s="1" t="s">
        <v>2348</v>
      </c>
      <c r="F1119" s="1" t="s">
        <v>40</v>
      </c>
      <c r="G1119">
        <v>3</v>
      </c>
      <c r="H1119" s="1" t="s">
        <v>96</v>
      </c>
      <c r="I1119" s="1" t="s">
        <v>75</v>
      </c>
      <c r="J1119">
        <v>9</v>
      </c>
      <c r="K1119">
        <v>27.99</v>
      </c>
      <c r="L1119" s="1" t="s">
        <v>28</v>
      </c>
      <c r="M1119" s="1" t="s">
        <v>61</v>
      </c>
      <c r="N1119" s="1" t="s">
        <v>62</v>
      </c>
      <c r="O1119" s="1" t="s">
        <v>31</v>
      </c>
      <c r="P1119" s="2">
        <v>45726</v>
      </c>
      <c r="Q1119" s="1" t="s">
        <v>1328</v>
      </c>
      <c r="R1119" s="1" t="s">
        <v>1329</v>
      </c>
      <c r="S1119" s="1" t="s">
        <v>105</v>
      </c>
      <c r="T1119" s="1" t="s">
        <v>35</v>
      </c>
      <c r="U1119" s="1" t="s">
        <v>36</v>
      </c>
      <c r="V1119" s="1" t="s">
        <v>37</v>
      </c>
      <c r="W1119">
        <v>2</v>
      </c>
      <c r="X1119" s="1" t="str">
        <f t="shared" si="51"/>
        <v>camila.ortiz78@mail.com</v>
      </c>
      <c r="Y1119" s="1" t="str">
        <f>INDEX(V:V,MATCH(orders_desnormalizado_prueba3[[#This Row],[acquisition_channel]],U:U,0))</f>
        <v>Bodega Propia CO - envio 2-3 dias</v>
      </c>
      <c r="Z1119" s="1" t="str">
        <f>INDEX(T:T,MATCH(orders_desnormalizado_prueba3[[#This Row],[shipping_cost]],W:W,0))</f>
        <v>Colombia</v>
      </c>
      <c r="AA1119" s="1" t="str">
        <f t="shared" si="52"/>
        <v>Barranquilla</v>
      </c>
      <c r="AB1119" s="1"/>
      <c r="AC1119" s="1" t="str">
        <f t="shared" si="53"/>
        <v xml:space="preserve"> </v>
      </c>
    </row>
    <row r="1120" spans="1:29" x14ac:dyDescent="0.3">
      <c r="A1120" s="1" t="s">
        <v>2349</v>
      </c>
      <c r="B1120">
        <v>3</v>
      </c>
      <c r="C1120">
        <v>16.989999999999998</v>
      </c>
      <c r="D1120">
        <v>41.26</v>
      </c>
      <c r="E1120" s="1" t="s">
        <v>1548</v>
      </c>
      <c r="F1120" s="1" t="s">
        <v>40</v>
      </c>
      <c r="G1120">
        <v>15</v>
      </c>
      <c r="H1120" s="1" t="s">
        <v>58</v>
      </c>
      <c r="I1120" s="1" t="s">
        <v>59</v>
      </c>
      <c r="J1120">
        <v>5</v>
      </c>
      <c r="K1120">
        <v>16.989999999999998</v>
      </c>
      <c r="L1120" s="1" t="s">
        <v>60</v>
      </c>
      <c r="M1120" s="1" t="s">
        <v>61</v>
      </c>
      <c r="N1120" s="1" t="s">
        <v>62</v>
      </c>
      <c r="O1120" s="1" t="s">
        <v>31</v>
      </c>
      <c r="P1120" s="2">
        <v>45726</v>
      </c>
      <c r="Q1120" s="1" t="s">
        <v>836</v>
      </c>
      <c r="R1120" s="1" t="s">
        <v>1847</v>
      </c>
      <c r="S1120" s="1" t="s">
        <v>105</v>
      </c>
      <c r="T1120" s="1" t="s">
        <v>35</v>
      </c>
      <c r="U1120" s="1" t="s">
        <v>66</v>
      </c>
      <c r="V1120" s="1" t="s">
        <v>67</v>
      </c>
      <c r="W1120">
        <v>3</v>
      </c>
      <c r="X1120" s="1" t="str">
        <f t="shared" si="51"/>
        <v>esteban.martinez139@mail.com</v>
      </c>
      <c r="Y1120" s="1" t="str">
        <f>INDEX(V:V,MATCH(orders_desnormalizado_prueba3[[#This Row],[acquisition_channel]],U:U,0))</f>
        <v>AliDropship CN - envio 15-20 dias</v>
      </c>
      <c r="Z1120" s="1" t="str">
        <f>INDEX(T:T,MATCH(orders_desnormalizado_prueba3[[#This Row],[shipping_cost]],W:W,0))</f>
        <v>Colombia</v>
      </c>
      <c r="AA1120" s="1" t="str">
        <f t="shared" si="52"/>
        <v>Barranquilla</v>
      </c>
      <c r="AB1120" s="1"/>
      <c r="AC1120" s="1" t="str">
        <f t="shared" si="53"/>
        <v xml:space="preserve"> </v>
      </c>
    </row>
    <row r="1121" spans="1:29" x14ac:dyDescent="0.3">
      <c r="A1121" s="1" t="s">
        <v>2350</v>
      </c>
      <c r="B1121">
        <v>1</v>
      </c>
      <c r="C1121">
        <v>27.99</v>
      </c>
      <c r="D1121">
        <v>27.99</v>
      </c>
      <c r="E1121" s="1" t="s">
        <v>1548</v>
      </c>
      <c r="F1121" s="1" t="s">
        <v>51</v>
      </c>
      <c r="G1121">
        <v>0</v>
      </c>
      <c r="H1121" s="1" t="s">
        <v>58</v>
      </c>
      <c r="I1121" s="1" t="s">
        <v>75</v>
      </c>
      <c r="J1121">
        <v>9</v>
      </c>
      <c r="K1121">
        <v>27.99</v>
      </c>
      <c r="L1121" s="1" t="s">
        <v>28</v>
      </c>
      <c r="M1121" s="1" t="s">
        <v>61</v>
      </c>
      <c r="N1121" s="1" t="s">
        <v>62</v>
      </c>
      <c r="O1121" s="1" t="s">
        <v>31</v>
      </c>
      <c r="P1121" s="2">
        <v>45726</v>
      </c>
      <c r="Q1121" s="1" t="s">
        <v>2065</v>
      </c>
      <c r="R1121" s="1" t="s">
        <v>2066</v>
      </c>
      <c r="S1121" s="1" t="s">
        <v>47</v>
      </c>
      <c r="T1121" s="1" t="s">
        <v>35</v>
      </c>
      <c r="U1121" s="1" t="s">
        <v>66</v>
      </c>
      <c r="V1121" s="1" t="s">
        <v>37</v>
      </c>
      <c r="W1121">
        <v>2</v>
      </c>
      <c r="X1121" s="1" t="str">
        <f t="shared" si="51"/>
        <v>maria.jimenez50@mail.com</v>
      </c>
      <c r="Y1121" s="1" t="str">
        <f>INDEX(V:V,MATCH(orders_desnormalizado_prueba3[[#This Row],[acquisition_channel]],U:U,0))</f>
        <v>AliDropship CN - envio 15-20 dias</v>
      </c>
      <c r="Z1121" s="1" t="str">
        <f>INDEX(T:T,MATCH(orders_desnormalizado_prueba3[[#This Row],[shipping_cost]],W:W,0))</f>
        <v>Colombia</v>
      </c>
      <c r="AA1121" s="1" t="str">
        <f t="shared" si="52"/>
        <v>Cartagena</v>
      </c>
      <c r="AB1121" s="1"/>
      <c r="AC1121" s="1" t="str">
        <f t="shared" si="53"/>
        <v xml:space="preserve"> </v>
      </c>
    </row>
    <row r="1122" spans="1:29" x14ac:dyDescent="0.3">
      <c r="A1122" s="1" t="s">
        <v>2351</v>
      </c>
      <c r="B1122">
        <v>1</v>
      </c>
      <c r="C1122">
        <v>30.99</v>
      </c>
      <c r="D1122">
        <v>30.99</v>
      </c>
      <c r="E1122" s="1" t="s">
        <v>2344</v>
      </c>
      <c r="F1122" s="1" t="s">
        <v>70</v>
      </c>
      <c r="G1122">
        <v>0</v>
      </c>
      <c r="H1122" s="1" t="s">
        <v>96</v>
      </c>
      <c r="I1122" s="1" t="s">
        <v>42</v>
      </c>
      <c r="J1122">
        <v>10.5</v>
      </c>
      <c r="K1122">
        <v>30.99</v>
      </c>
      <c r="L1122" s="1" t="s">
        <v>28</v>
      </c>
      <c r="M1122" s="1" t="s">
        <v>43</v>
      </c>
      <c r="N1122" s="1" t="s">
        <v>44</v>
      </c>
      <c r="O1122" s="1" t="s">
        <v>31</v>
      </c>
      <c r="P1122" s="2">
        <v>45823</v>
      </c>
      <c r="Q1122" s="1" t="s">
        <v>118</v>
      </c>
      <c r="R1122" s="1" t="s">
        <v>1959</v>
      </c>
      <c r="S1122" s="1" t="s">
        <v>65</v>
      </c>
      <c r="T1122" s="1" t="s">
        <v>35</v>
      </c>
      <c r="U1122" s="1" t="s">
        <v>36</v>
      </c>
      <c r="V1122" s="1" t="s">
        <v>37</v>
      </c>
      <c r="W1122">
        <v>2</v>
      </c>
      <c r="X1122" s="1" t="str">
        <f t="shared" si="51"/>
        <v>camila.torres36@mail.com</v>
      </c>
      <c r="Y1122" s="1" t="str">
        <f>INDEX(V:V,MATCH(orders_desnormalizado_prueba3[[#This Row],[acquisition_channel]],U:U,0))</f>
        <v>Bodega Propia CO - envio 2-3 dias</v>
      </c>
      <c r="Z1122" s="1" t="str">
        <f>INDEX(T:T,MATCH(orders_desnormalizado_prueba3[[#This Row],[shipping_cost]],W:W,0))</f>
        <v>Colombia</v>
      </c>
      <c r="AA1122" s="1" t="str">
        <f t="shared" si="52"/>
        <v>Cartagena</v>
      </c>
      <c r="AB1122" s="1"/>
      <c r="AC1122" s="1" t="str">
        <f t="shared" si="53"/>
        <v xml:space="preserve"> </v>
      </c>
    </row>
    <row r="1123" spans="1:29" x14ac:dyDescent="0.3">
      <c r="A1123" s="1" t="s">
        <v>2352</v>
      </c>
      <c r="B1123">
        <v>2</v>
      </c>
      <c r="C1123">
        <v>18.989999999999998</v>
      </c>
      <c r="D1123">
        <v>33.06</v>
      </c>
      <c r="E1123" s="1" t="s">
        <v>2098</v>
      </c>
      <c r="F1123" s="1" t="s">
        <v>40</v>
      </c>
      <c r="G1123">
        <v>15</v>
      </c>
      <c r="H1123" s="1" t="s">
        <v>58</v>
      </c>
      <c r="I1123" s="1" t="s">
        <v>97</v>
      </c>
      <c r="J1123">
        <v>6</v>
      </c>
      <c r="K1123">
        <v>18.989999999999998</v>
      </c>
      <c r="L1123" s="1" t="s">
        <v>60</v>
      </c>
      <c r="M1123" s="1" t="s">
        <v>43</v>
      </c>
      <c r="N1123" s="1" t="s">
        <v>44</v>
      </c>
      <c r="O1123" s="1" t="s">
        <v>31</v>
      </c>
      <c r="P1123" s="2">
        <v>45823</v>
      </c>
      <c r="Q1123" s="1" t="s">
        <v>787</v>
      </c>
      <c r="R1123" s="1" t="s">
        <v>1836</v>
      </c>
      <c r="S1123" s="1" t="s">
        <v>47</v>
      </c>
      <c r="T1123" s="1" t="s">
        <v>35</v>
      </c>
      <c r="U1123" s="1" t="s">
        <v>36</v>
      </c>
      <c r="V1123" s="1" t="s">
        <v>100</v>
      </c>
      <c r="W1123">
        <v>3.2</v>
      </c>
      <c r="X1123" s="1" t="str">
        <f t="shared" si="51"/>
        <v>julian.moreno101@mail.com</v>
      </c>
      <c r="Y1123" s="1" t="str">
        <f>INDEX(V:V,MATCH(orders_desnormalizado_prueba3[[#This Row],[acquisition_channel]],U:U,0))</f>
        <v>Bodega Propia CO - envio 2-3 dias</v>
      </c>
      <c r="Z1123" s="1" t="str">
        <f>INDEX(T:T,MATCH(orders_desnormalizado_prueba3[[#This Row],[shipping_cost]],W:W,0))</f>
        <v>Colombia</v>
      </c>
      <c r="AA1123" s="1" t="str">
        <f t="shared" si="52"/>
        <v>Barranquilla</v>
      </c>
      <c r="AB1123" s="1"/>
      <c r="AC1123" s="1" t="str">
        <f t="shared" si="53"/>
        <v xml:space="preserve"> </v>
      </c>
    </row>
    <row r="1124" spans="1:29" x14ac:dyDescent="0.3">
      <c r="A1124" s="1" t="s">
        <v>2353</v>
      </c>
      <c r="B1124">
        <v>1</v>
      </c>
      <c r="C1124">
        <v>27.99</v>
      </c>
      <c r="D1124">
        <v>27.99</v>
      </c>
      <c r="E1124" s="1" t="s">
        <v>763</v>
      </c>
      <c r="F1124" s="1" t="s">
        <v>40</v>
      </c>
      <c r="G1124">
        <v>3</v>
      </c>
      <c r="H1124" s="1" t="s">
        <v>58</v>
      </c>
      <c r="I1124" s="1" t="s">
        <v>75</v>
      </c>
      <c r="J1124">
        <v>9</v>
      </c>
      <c r="K1124">
        <v>27.99</v>
      </c>
      <c r="L1124" s="1" t="s">
        <v>28</v>
      </c>
      <c r="M1124" s="1" t="s">
        <v>61</v>
      </c>
      <c r="N1124" s="1" t="s">
        <v>62</v>
      </c>
      <c r="O1124" s="1" t="s">
        <v>31</v>
      </c>
      <c r="P1124" s="2">
        <v>45726</v>
      </c>
      <c r="Q1124" s="1" t="s">
        <v>1137</v>
      </c>
      <c r="R1124" s="1" t="s">
        <v>2255</v>
      </c>
      <c r="S1124" s="1" t="s">
        <v>65</v>
      </c>
      <c r="T1124" s="1" t="s">
        <v>35</v>
      </c>
      <c r="U1124" s="1" t="s">
        <v>36</v>
      </c>
      <c r="V1124" s="1" t="s">
        <v>37</v>
      </c>
      <c r="W1124">
        <v>2</v>
      </c>
      <c r="X1124" s="1" t="str">
        <f t="shared" si="51"/>
        <v>santiago.ortiz166@mail.com</v>
      </c>
      <c r="Y1124" s="1" t="str">
        <f>INDEX(V:V,MATCH(orders_desnormalizado_prueba3[[#This Row],[acquisition_channel]],U:U,0))</f>
        <v>Bodega Propia CO - envio 2-3 dias</v>
      </c>
      <c r="Z1124" s="1" t="str">
        <f>INDEX(T:T,MATCH(orders_desnormalizado_prueba3[[#This Row],[shipping_cost]],W:W,0))</f>
        <v>Colombia</v>
      </c>
      <c r="AA1124" s="1" t="str">
        <f t="shared" si="52"/>
        <v>Barranquilla</v>
      </c>
      <c r="AB1124" s="1"/>
      <c r="AC1124" s="1" t="str">
        <f t="shared" si="53"/>
        <v xml:space="preserve"> </v>
      </c>
    </row>
    <row r="1125" spans="1:29" x14ac:dyDescent="0.3">
      <c r="A1125" s="1" t="s">
        <v>2354</v>
      </c>
      <c r="B1125">
        <v>1</v>
      </c>
      <c r="C1125">
        <v>27.99</v>
      </c>
      <c r="D1125">
        <v>27.99</v>
      </c>
      <c r="E1125" s="1" t="s">
        <v>107</v>
      </c>
      <c r="F1125" s="1" t="s">
        <v>40</v>
      </c>
      <c r="G1125">
        <v>2</v>
      </c>
      <c r="H1125" s="1" t="s">
        <v>96</v>
      </c>
      <c r="I1125" s="1" t="s">
        <v>75</v>
      </c>
      <c r="J1125">
        <v>9</v>
      </c>
      <c r="K1125">
        <v>27.99</v>
      </c>
      <c r="L1125" s="1" t="s">
        <v>28</v>
      </c>
      <c r="M1125" s="1" t="s">
        <v>61</v>
      </c>
      <c r="N1125" s="1" t="s">
        <v>62</v>
      </c>
      <c r="O1125" s="1" t="s">
        <v>31</v>
      </c>
      <c r="P1125" s="2">
        <v>45726</v>
      </c>
      <c r="Q1125" s="1" t="s">
        <v>1342</v>
      </c>
      <c r="R1125" s="1" t="s">
        <v>1731</v>
      </c>
      <c r="S1125" s="1" t="s">
        <v>34</v>
      </c>
      <c r="T1125" s="1" t="s">
        <v>35</v>
      </c>
      <c r="U1125" s="1" t="s">
        <v>48</v>
      </c>
      <c r="V1125" s="1" t="s">
        <v>37</v>
      </c>
      <c r="W1125">
        <v>2</v>
      </c>
      <c r="X1125" s="1" t="str">
        <f t="shared" si="51"/>
        <v>david.torres153@mail.com</v>
      </c>
      <c r="Y1125" s="1" t="str">
        <f>INDEX(V:V,MATCH(orders_desnormalizado_prueba3[[#This Row],[acquisition_channel]],U:U,0))</f>
        <v>Bodega Propia CO - envio 2-3 dias</v>
      </c>
      <c r="Z1125" s="1" t="str">
        <f>INDEX(T:T,MATCH(orders_desnormalizado_prueba3[[#This Row],[shipping_cost]],W:W,0))</f>
        <v>Colombia</v>
      </c>
      <c r="AA1125" s="1" t="str">
        <f t="shared" si="52"/>
        <v>Medellin</v>
      </c>
      <c r="AB1125" s="1"/>
      <c r="AC1125" s="1" t="str">
        <f t="shared" si="53"/>
        <v xml:space="preserve"> </v>
      </c>
    </row>
    <row r="1126" spans="1:29" x14ac:dyDescent="0.3">
      <c r="A1126" s="1" t="s">
        <v>2355</v>
      </c>
      <c r="B1126">
        <v>1</v>
      </c>
      <c r="C1126">
        <v>34.99</v>
      </c>
      <c r="D1126">
        <v>34.99</v>
      </c>
      <c r="E1126" s="1" t="s">
        <v>2356</v>
      </c>
      <c r="F1126" s="1" t="s">
        <v>40</v>
      </c>
      <c r="G1126">
        <v>8</v>
      </c>
      <c r="H1126" s="1" t="s">
        <v>58</v>
      </c>
      <c r="I1126" s="1" t="s">
        <v>85</v>
      </c>
      <c r="J1126">
        <v>12.5</v>
      </c>
      <c r="K1126">
        <v>34.99</v>
      </c>
      <c r="L1126" s="1" t="s">
        <v>60</v>
      </c>
      <c r="M1126" s="1" t="s">
        <v>29</v>
      </c>
      <c r="N1126" s="1" t="s">
        <v>30</v>
      </c>
      <c r="O1126" s="1" t="s">
        <v>31</v>
      </c>
      <c r="P1126" s="2">
        <v>45778</v>
      </c>
      <c r="Q1126" s="1" t="s">
        <v>137</v>
      </c>
      <c r="R1126" s="1" t="s">
        <v>1278</v>
      </c>
      <c r="S1126" s="1" t="s">
        <v>34</v>
      </c>
      <c r="T1126" s="1" t="s">
        <v>35</v>
      </c>
      <c r="U1126" s="1" t="s">
        <v>36</v>
      </c>
      <c r="V1126" s="1" t="s">
        <v>89</v>
      </c>
      <c r="W1126">
        <v>2.4</v>
      </c>
      <c r="X1126" s="1" t="str">
        <f t="shared" si="51"/>
        <v>camila.martinez65@mail.com</v>
      </c>
      <c r="Y1126" s="1" t="str">
        <f>INDEX(V:V,MATCH(orders_desnormalizado_prueba3[[#This Row],[acquisition_channel]],U:U,0))</f>
        <v>Bodega Propia CO - envio 2-3 dias</v>
      </c>
      <c r="Z1126" s="1" t="str">
        <f>INDEX(T:T,MATCH(orders_desnormalizado_prueba3[[#This Row],[shipping_cost]],W:W,0))</f>
        <v>Colombia</v>
      </c>
      <c r="AA1126" s="1" t="str">
        <f t="shared" si="52"/>
        <v>Barranquilla</v>
      </c>
      <c r="AB1126" s="1"/>
      <c r="AC1126" s="1" t="str">
        <f t="shared" si="53"/>
        <v xml:space="preserve"> </v>
      </c>
    </row>
    <row r="1127" spans="1:29" x14ac:dyDescent="0.3">
      <c r="A1127" s="1" t="s">
        <v>2357</v>
      </c>
      <c r="B1127">
        <v>1</v>
      </c>
      <c r="C1127">
        <v>27.99</v>
      </c>
      <c r="D1127">
        <v>27.99</v>
      </c>
      <c r="E1127" s="1" t="s">
        <v>916</v>
      </c>
      <c r="F1127" s="1" t="s">
        <v>70</v>
      </c>
      <c r="G1127">
        <v>0</v>
      </c>
      <c r="H1127" s="1" t="s">
        <v>58</v>
      </c>
      <c r="I1127" s="1" t="s">
        <v>75</v>
      </c>
      <c r="J1127">
        <v>9</v>
      </c>
      <c r="K1127">
        <v>27.99</v>
      </c>
      <c r="L1127" s="1" t="s">
        <v>28</v>
      </c>
      <c r="M1127" s="1" t="s">
        <v>61</v>
      </c>
      <c r="N1127" s="1" t="s">
        <v>62</v>
      </c>
      <c r="O1127" s="1" t="s">
        <v>31</v>
      </c>
      <c r="P1127" s="2">
        <v>45726</v>
      </c>
      <c r="Q1127" s="1" t="s">
        <v>1260</v>
      </c>
      <c r="R1127" s="1" t="s">
        <v>1261</v>
      </c>
      <c r="S1127" s="1" t="s">
        <v>105</v>
      </c>
      <c r="T1127" s="1" t="s">
        <v>35</v>
      </c>
      <c r="U1127" s="1" t="s">
        <v>82</v>
      </c>
      <c r="V1127" s="1" t="s">
        <v>37</v>
      </c>
      <c r="W1127">
        <v>2</v>
      </c>
      <c r="X1127" s="1" t="str">
        <f t="shared" si="51"/>
        <v>ximena.perez20@mail.com</v>
      </c>
      <c r="Y1127" s="1" t="str">
        <f>INDEX(V:V,MATCH(orders_desnormalizado_prueba3[[#This Row],[acquisition_channel]],U:U,0))</f>
        <v>Bodega Propia CO - envio 2-3 dias</v>
      </c>
      <c r="Z1127" s="1" t="str">
        <f>INDEX(T:T,MATCH(orders_desnormalizado_prueba3[[#This Row],[shipping_cost]],W:W,0))</f>
        <v>Colombia</v>
      </c>
      <c r="AA1127" s="1" t="str">
        <f t="shared" si="52"/>
        <v>Cartagena</v>
      </c>
      <c r="AB1127" s="1"/>
      <c r="AC1127" s="1" t="str">
        <f t="shared" si="53"/>
        <v xml:space="preserve"> </v>
      </c>
    </row>
    <row r="1128" spans="1:29" x14ac:dyDescent="0.3">
      <c r="A1128" s="1" t="s">
        <v>2358</v>
      </c>
      <c r="B1128">
        <v>1</v>
      </c>
      <c r="C1128">
        <v>27.99</v>
      </c>
      <c r="D1128">
        <v>27.99</v>
      </c>
      <c r="E1128" s="1" t="s">
        <v>2359</v>
      </c>
      <c r="F1128" s="1" t="s">
        <v>40</v>
      </c>
      <c r="G1128">
        <v>3</v>
      </c>
      <c r="H1128" s="1" t="s">
        <v>26</v>
      </c>
      <c r="I1128" s="1" t="s">
        <v>75</v>
      </c>
      <c r="J1128">
        <v>9</v>
      </c>
      <c r="K1128">
        <v>27.99</v>
      </c>
      <c r="L1128" s="1" t="s">
        <v>28</v>
      </c>
      <c r="M1128" s="1" t="s">
        <v>61</v>
      </c>
      <c r="N1128" s="1" t="s">
        <v>62</v>
      </c>
      <c r="O1128" s="1" t="s">
        <v>31</v>
      </c>
      <c r="P1128" s="2">
        <v>45726</v>
      </c>
      <c r="Q1128" s="1" t="s">
        <v>1408</v>
      </c>
      <c r="R1128" s="1" t="s">
        <v>2055</v>
      </c>
      <c r="S1128" s="1" t="s">
        <v>54</v>
      </c>
      <c r="T1128" s="1" t="s">
        <v>35</v>
      </c>
      <c r="U1128" s="1" t="s">
        <v>82</v>
      </c>
      <c r="V1128" s="1" t="s">
        <v>37</v>
      </c>
      <c r="W1128">
        <v>2</v>
      </c>
      <c r="X1128" s="1" t="str">
        <f t="shared" si="51"/>
        <v>gabriela.moreno85@mail.com</v>
      </c>
      <c r="Y1128" s="1" t="str">
        <f>INDEX(V:V,MATCH(orders_desnormalizado_prueba3[[#This Row],[acquisition_channel]],U:U,0))</f>
        <v>Bodega Propia CO - envio 2-3 dias</v>
      </c>
      <c r="Z1128" s="1" t="str">
        <f>INDEX(T:T,MATCH(orders_desnormalizado_prueba3[[#This Row],[shipping_cost]],W:W,0))</f>
        <v>Colombia</v>
      </c>
      <c r="AA1128" s="1" t="str">
        <f t="shared" si="52"/>
        <v>Barranquilla</v>
      </c>
      <c r="AB1128" s="1"/>
      <c r="AC1128" s="1" t="str">
        <f t="shared" si="53"/>
        <v xml:space="preserve"> </v>
      </c>
    </row>
    <row r="1129" spans="1:29" x14ac:dyDescent="0.3">
      <c r="A1129" s="1" t="s">
        <v>2360</v>
      </c>
      <c r="B1129">
        <v>1</v>
      </c>
      <c r="C1129">
        <v>18.989999999999998</v>
      </c>
      <c r="D1129">
        <v>18.989999999999998</v>
      </c>
      <c r="E1129" s="1" t="s">
        <v>2045</v>
      </c>
      <c r="F1129" s="1" t="s">
        <v>70</v>
      </c>
      <c r="G1129">
        <v>0</v>
      </c>
      <c r="H1129" s="1" t="s">
        <v>96</v>
      </c>
      <c r="I1129" s="1" t="s">
        <v>97</v>
      </c>
      <c r="J1129">
        <v>6</v>
      </c>
      <c r="K1129">
        <v>18.989999999999998</v>
      </c>
      <c r="L1129" s="1" t="s">
        <v>60</v>
      </c>
      <c r="M1129" s="1" t="s">
        <v>43</v>
      </c>
      <c r="N1129" s="1" t="s">
        <v>44</v>
      </c>
      <c r="O1129" s="1" t="s">
        <v>31</v>
      </c>
      <c r="P1129" s="2">
        <v>45823</v>
      </c>
      <c r="Q1129" s="1" t="s">
        <v>231</v>
      </c>
      <c r="R1129" s="1" t="s">
        <v>1978</v>
      </c>
      <c r="S1129" s="1" t="s">
        <v>65</v>
      </c>
      <c r="T1129" s="1" t="s">
        <v>35</v>
      </c>
      <c r="U1129" s="1" t="s">
        <v>66</v>
      </c>
      <c r="V1129" s="1" t="s">
        <v>100</v>
      </c>
      <c r="W1129">
        <v>3.2</v>
      </c>
      <c r="X1129" s="1" t="str">
        <f t="shared" si="51"/>
        <v>miguel.ramirez82@mail.com</v>
      </c>
      <c r="Y1129" s="1" t="str">
        <f>INDEX(V:V,MATCH(orders_desnormalizado_prueba3[[#This Row],[acquisition_channel]],U:U,0))</f>
        <v>AliDropship CN - envio 15-20 dias</v>
      </c>
      <c r="Z1129" s="1" t="str">
        <f>INDEX(T:T,MATCH(orders_desnormalizado_prueba3[[#This Row],[shipping_cost]],W:W,0))</f>
        <v>Colombia</v>
      </c>
      <c r="AA1129" s="1" t="str">
        <f t="shared" si="52"/>
        <v>Cartagena</v>
      </c>
      <c r="AB1129" s="1"/>
      <c r="AC1129" s="1" t="str">
        <f t="shared" si="53"/>
        <v xml:space="preserve"> </v>
      </c>
    </row>
    <row r="1130" spans="1:29" x14ac:dyDescent="0.3">
      <c r="A1130" s="1" t="s">
        <v>2361</v>
      </c>
      <c r="B1130">
        <v>1</v>
      </c>
      <c r="C1130">
        <v>18.989999999999998</v>
      </c>
      <c r="D1130">
        <v>18.989999999999998</v>
      </c>
      <c r="E1130" s="1" t="s">
        <v>2181</v>
      </c>
      <c r="F1130" s="1" t="s">
        <v>40</v>
      </c>
      <c r="G1130">
        <v>13</v>
      </c>
      <c r="H1130" s="1" t="s">
        <v>41</v>
      </c>
      <c r="I1130" s="1" t="s">
        <v>97</v>
      </c>
      <c r="J1130">
        <v>6</v>
      </c>
      <c r="K1130">
        <v>18.989999999999998</v>
      </c>
      <c r="L1130" s="1" t="s">
        <v>60</v>
      </c>
      <c r="M1130" s="1" t="s">
        <v>43</v>
      </c>
      <c r="N1130" s="1" t="s">
        <v>44</v>
      </c>
      <c r="O1130" s="1" t="s">
        <v>31</v>
      </c>
      <c r="P1130" s="2">
        <v>45823</v>
      </c>
      <c r="Q1130" s="1" t="s">
        <v>1356</v>
      </c>
      <c r="R1130" s="1" t="s">
        <v>1357</v>
      </c>
      <c r="S1130" s="1" t="s">
        <v>34</v>
      </c>
      <c r="T1130" s="1" t="s">
        <v>35</v>
      </c>
      <c r="U1130" s="1" t="s">
        <v>55</v>
      </c>
      <c r="V1130" s="1" t="s">
        <v>100</v>
      </c>
      <c r="W1130">
        <v>3.2</v>
      </c>
      <c r="X1130" s="1" t="str">
        <f t="shared" si="51"/>
        <v>antonia.lopez65@mail.com</v>
      </c>
      <c r="Y1130" s="1" t="str">
        <f>INDEX(V:V,MATCH(orders_desnormalizado_prueba3[[#This Row],[acquisition_channel]],U:U,0))</f>
        <v>Bodega Propia CO - envio 2-3 dias</v>
      </c>
      <c r="Z1130" s="1" t="str">
        <f>INDEX(T:T,MATCH(orders_desnormalizado_prueba3[[#This Row],[shipping_cost]],W:W,0))</f>
        <v>Colombia</v>
      </c>
      <c r="AA1130" s="1" t="str">
        <f t="shared" si="52"/>
        <v>Barranquilla</v>
      </c>
      <c r="AB1130" s="1"/>
      <c r="AC1130" s="1" t="str">
        <f t="shared" si="53"/>
        <v xml:space="preserve"> </v>
      </c>
    </row>
    <row r="1131" spans="1:29" x14ac:dyDescent="0.3">
      <c r="A1131" s="1" t="s">
        <v>2362</v>
      </c>
      <c r="B1131">
        <v>1</v>
      </c>
      <c r="C1131">
        <v>16.989999999999998</v>
      </c>
      <c r="D1131">
        <v>16.989999999999998</v>
      </c>
      <c r="E1131" s="1" t="s">
        <v>662</v>
      </c>
      <c r="F1131" s="1" t="s">
        <v>25</v>
      </c>
      <c r="G1131">
        <v>18</v>
      </c>
      <c r="H1131" s="1" t="s">
        <v>96</v>
      </c>
      <c r="I1131" s="1" t="s">
        <v>59</v>
      </c>
      <c r="J1131">
        <v>5</v>
      </c>
      <c r="K1131">
        <v>16.989999999999998</v>
      </c>
      <c r="L1131" s="1" t="s">
        <v>60</v>
      </c>
      <c r="M1131" s="1" t="s">
        <v>61</v>
      </c>
      <c r="N1131" s="1" t="s">
        <v>62</v>
      </c>
      <c r="O1131" s="1" t="s">
        <v>31</v>
      </c>
      <c r="P1131" s="2">
        <v>45726</v>
      </c>
      <c r="Q1131" s="1" t="s">
        <v>161</v>
      </c>
      <c r="R1131" s="1" t="s">
        <v>2096</v>
      </c>
      <c r="S1131" s="1" t="s">
        <v>34</v>
      </c>
      <c r="T1131" s="1" t="s">
        <v>35</v>
      </c>
      <c r="U1131" s="1" t="s">
        <v>48</v>
      </c>
      <c r="V1131" s="1" t="s">
        <v>67</v>
      </c>
      <c r="W1131">
        <v>3</v>
      </c>
      <c r="X1131" s="1" t="str">
        <f t="shared" si="51"/>
        <v>miguel.vargas74@mail.com</v>
      </c>
      <c r="Y1131" s="1" t="str">
        <f>INDEX(V:V,MATCH(orders_desnormalizado_prueba3[[#This Row],[acquisition_channel]],U:U,0))</f>
        <v>Bodega Propia CO - envio 2-3 dias</v>
      </c>
      <c r="Z1131" s="1" t="str">
        <f>INDEX(T:T,MATCH(orders_desnormalizado_prueba3[[#This Row],[shipping_cost]],W:W,0))</f>
        <v>Colombia</v>
      </c>
      <c r="AA1131" s="1" t="str">
        <f t="shared" si="52"/>
        <v>Medellin</v>
      </c>
      <c r="AB1131" s="1"/>
      <c r="AC1131" s="1" t="str">
        <f t="shared" si="53"/>
        <v xml:space="preserve"> </v>
      </c>
    </row>
    <row r="1132" spans="1:29" x14ac:dyDescent="0.3">
      <c r="A1132" s="1" t="s">
        <v>2363</v>
      </c>
      <c r="B1132">
        <v>3</v>
      </c>
      <c r="C1132">
        <v>18.989999999999998</v>
      </c>
      <c r="D1132">
        <v>45.43</v>
      </c>
      <c r="E1132" s="1" t="s">
        <v>1299</v>
      </c>
      <c r="F1132" s="1" t="s">
        <v>40</v>
      </c>
      <c r="G1132">
        <v>13</v>
      </c>
      <c r="H1132" s="1" t="s">
        <v>96</v>
      </c>
      <c r="I1132" s="1" t="s">
        <v>97</v>
      </c>
      <c r="J1132">
        <v>6</v>
      </c>
      <c r="K1132">
        <v>18.989999999999998</v>
      </c>
      <c r="L1132" s="1" t="s">
        <v>60</v>
      </c>
      <c r="M1132" s="1" t="s">
        <v>43</v>
      </c>
      <c r="N1132" s="1" t="s">
        <v>44</v>
      </c>
      <c r="O1132" s="1" t="s">
        <v>31</v>
      </c>
      <c r="P1132" s="2">
        <v>45823</v>
      </c>
      <c r="Q1132" s="1" t="s">
        <v>1256</v>
      </c>
      <c r="R1132" s="1" t="s">
        <v>2100</v>
      </c>
      <c r="S1132" s="1" t="s">
        <v>88</v>
      </c>
      <c r="T1132" s="1" t="s">
        <v>35</v>
      </c>
      <c r="U1132" s="1" t="s">
        <v>55</v>
      </c>
      <c r="V1132" s="1" t="s">
        <v>100</v>
      </c>
      <c r="W1132">
        <v>3.2</v>
      </c>
      <c r="X1132" s="1" t="str">
        <f t="shared" si="51"/>
        <v>antonia.diaz128@mail.com</v>
      </c>
      <c r="Y1132" s="1" t="str">
        <f>INDEX(V:V,MATCH(orders_desnormalizado_prueba3[[#This Row],[acquisition_channel]],U:U,0))</f>
        <v>Bodega Propia CO - envio 2-3 dias</v>
      </c>
      <c r="Z1132" s="1" t="str">
        <f>INDEX(T:T,MATCH(orders_desnormalizado_prueba3[[#This Row],[shipping_cost]],W:W,0))</f>
        <v>Colombia</v>
      </c>
      <c r="AA1132" s="1" t="str">
        <f t="shared" si="52"/>
        <v>Barranquilla</v>
      </c>
      <c r="AB1132" s="1"/>
      <c r="AC1132" s="1" t="str">
        <f t="shared" si="53"/>
        <v xml:space="preserve"> </v>
      </c>
    </row>
    <row r="1133" spans="1:29" x14ac:dyDescent="0.3">
      <c r="A1133" s="1" t="s">
        <v>2364</v>
      </c>
      <c r="B1133">
        <v>1</v>
      </c>
      <c r="C1133">
        <v>30.99</v>
      </c>
      <c r="D1133">
        <v>30.99</v>
      </c>
      <c r="E1133" s="1" t="s">
        <v>1168</v>
      </c>
      <c r="F1133" s="1" t="s">
        <v>70</v>
      </c>
      <c r="G1133">
        <v>0</v>
      </c>
      <c r="H1133" s="1" t="s">
        <v>41</v>
      </c>
      <c r="I1133" s="1" t="s">
        <v>42</v>
      </c>
      <c r="J1133">
        <v>10.5</v>
      </c>
      <c r="K1133">
        <v>30.99</v>
      </c>
      <c r="L1133" s="1" t="s">
        <v>28</v>
      </c>
      <c r="M1133" s="1" t="s">
        <v>43</v>
      </c>
      <c r="N1133" s="1" t="s">
        <v>44</v>
      </c>
      <c r="O1133" s="1" t="s">
        <v>31</v>
      </c>
      <c r="P1133" s="2">
        <v>45823</v>
      </c>
      <c r="Q1133" s="1" t="s">
        <v>290</v>
      </c>
      <c r="R1133" s="1" t="s">
        <v>1123</v>
      </c>
      <c r="S1133" s="1" t="s">
        <v>34</v>
      </c>
      <c r="T1133" s="1" t="s">
        <v>35</v>
      </c>
      <c r="U1133" s="1" t="s">
        <v>55</v>
      </c>
      <c r="V1133" s="1" t="s">
        <v>37</v>
      </c>
      <c r="W1133">
        <v>2</v>
      </c>
      <c r="X1133" s="1" t="str">
        <f t="shared" si="51"/>
        <v>isabella.perez64@mail.com</v>
      </c>
      <c r="Y1133" s="1" t="str">
        <f>INDEX(V:V,MATCH(orders_desnormalizado_prueba3[[#This Row],[acquisition_channel]],U:U,0))</f>
        <v>Bodega Propia CO - envio 2-3 dias</v>
      </c>
      <c r="Z1133" s="1" t="str">
        <f>INDEX(T:T,MATCH(orders_desnormalizado_prueba3[[#This Row],[shipping_cost]],W:W,0))</f>
        <v>Colombia</v>
      </c>
      <c r="AA1133" s="1" t="str">
        <f t="shared" si="52"/>
        <v>Cartagena</v>
      </c>
      <c r="AB1133" s="1"/>
      <c r="AC1133" s="1" t="str">
        <f t="shared" si="53"/>
        <v xml:space="preserve"> </v>
      </c>
    </row>
    <row r="1134" spans="1:29" x14ac:dyDescent="0.3">
      <c r="A1134" s="1" t="s">
        <v>2365</v>
      </c>
      <c r="B1134">
        <v>1</v>
      </c>
      <c r="C1134">
        <v>30.99</v>
      </c>
      <c r="D1134">
        <v>30.99</v>
      </c>
      <c r="E1134" s="1" t="s">
        <v>113</v>
      </c>
      <c r="F1134" s="1" t="s">
        <v>40</v>
      </c>
      <c r="G1134">
        <v>3</v>
      </c>
      <c r="H1134" s="1" t="s">
        <v>41</v>
      </c>
      <c r="I1134" s="1" t="s">
        <v>42</v>
      </c>
      <c r="J1134">
        <v>10.5</v>
      </c>
      <c r="K1134">
        <v>30.99</v>
      </c>
      <c r="L1134" s="1" t="s">
        <v>28</v>
      </c>
      <c r="M1134" s="1" t="s">
        <v>43</v>
      </c>
      <c r="N1134" s="1" t="s">
        <v>44</v>
      </c>
      <c r="O1134" s="1" t="s">
        <v>31</v>
      </c>
      <c r="P1134" s="2">
        <v>45823</v>
      </c>
      <c r="Q1134" s="1" t="s">
        <v>1184</v>
      </c>
      <c r="R1134" s="1" t="s">
        <v>2028</v>
      </c>
      <c r="S1134" s="1" t="s">
        <v>105</v>
      </c>
      <c r="T1134" s="1" t="s">
        <v>35</v>
      </c>
      <c r="U1134" s="1" t="s">
        <v>36</v>
      </c>
      <c r="V1134" s="1" t="s">
        <v>37</v>
      </c>
      <c r="W1134">
        <v>2</v>
      </c>
      <c r="X1134" s="1" t="str">
        <f t="shared" si="51"/>
        <v>nicolas.torres168@mail.com</v>
      </c>
      <c r="Y1134" s="1" t="str">
        <f>INDEX(V:V,MATCH(orders_desnormalizado_prueba3[[#This Row],[acquisition_channel]],U:U,0))</f>
        <v>Bodega Propia CO - envio 2-3 dias</v>
      </c>
      <c r="Z1134" s="1" t="str">
        <f>INDEX(T:T,MATCH(orders_desnormalizado_prueba3[[#This Row],[shipping_cost]],W:W,0))</f>
        <v>Colombia</v>
      </c>
      <c r="AA1134" s="1" t="str">
        <f t="shared" si="52"/>
        <v>Barranquilla</v>
      </c>
      <c r="AB1134" s="1"/>
      <c r="AC1134" s="1" t="str">
        <f t="shared" si="53"/>
        <v xml:space="preserve"> </v>
      </c>
    </row>
    <row r="1135" spans="1:29" x14ac:dyDescent="0.3">
      <c r="A1135" s="1" t="s">
        <v>2366</v>
      </c>
      <c r="B1135">
        <v>1</v>
      </c>
      <c r="C1135">
        <v>34.99</v>
      </c>
      <c r="D1135">
        <v>34.99</v>
      </c>
      <c r="E1135" s="1" t="s">
        <v>447</v>
      </c>
      <c r="F1135" s="1" t="s">
        <v>25</v>
      </c>
      <c r="G1135">
        <v>6</v>
      </c>
      <c r="H1135" s="1" t="s">
        <v>58</v>
      </c>
      <c r="I1135" s="1" t="s">
        <v>85</v>
      </c>
      <c r="J1135">
        <v>12.5</v>
      </c>
      <c r="K1135">
        <v>34.99</v>
      </c>
      <c r="L1135" s="1" t="s">
        <v>60</v>
      </c>
      <c r="M1135" s="1" t="s">
        <v>29</v>
      </c>
      <c r="N1135" s="1" t="s">
        <v>30</v>
      </c>
      <c r="O1135" s="1" t="s">
        <v>31</v>
      </c>
      <c r="P1135" s="2">
        <v>45778</v>
      </c>
      <c r="Q1135" s="1" t="s">
        <v>1211</v>
      </c>
      <c r="R1135" s="1" t="s">
        <v>1212</v>
      </c>
      <c r="S1135" s="1" t="s">
        <v>34</v>
      </c>
      <c r="T1135" s="1" t="s">
        <v>35</v>
      </c>
      <c r="U1135" s="1" t="s">
        <v>66</v>
      </c>
      <c r="V1135" s="1" t="s">
        <v>89</v>
      </c>
      <c r="W1135">
        <v>2.4</v>
      </c>
      <c r="X1135" s="1" t="str">
        <f t="shared" si="51"/>
        <v>gabriela.lopez37@mail.com</v>
      </c>
      <c r="Y1135" s="1" t="str">
        <f>INDEX(V:V,MATCH(orders_desnormalizado_prueba3[[#This Row],[acquisition_channel]],U:U,0))</f>
        <v>AliDropship CN - envio 15-20 dias</v>
      </c>
      <c r="Z1135" s="1" t="str">
        <f>INDEX(T:T,MATCH(orders_desnormalizado_prueba3[[#This Row],[shipping_cost]],W:W,0))</f>
        <v>Colombia</v>
      </c>
      <c r="AA1135" s="1" t="str">
        <f t="shared" si="52"/>
        <v>Medellin</v>
      </c>
      <c r="AB1135" s="1"/>
      <c r="AC1135" s="1" t="str">
        <f t="shared" si="53"/>
        <v xml:space="preserve"> </v>
      </c>
    </row>
    <row r="1136" spans="1:29" x14ac:dyDescent="0.3">
      <c r="A1136" s="1" t="s">
        <v>2367</v>
      </c>
      <c r="B1136">
        <v>1</v>
      </c>
      <c r="C1136">
        <v>34.99</v>
      </c>
      <c r="D1136">
        <v>34.99</v>
      </c>
      <c r="E1136" s="1" t="s">
        <v>2151</v>
      </c>
      <c r="F1136" s="1" t="s">
        <v>51</v>
      </c>
      <c r="G1136">
        <v>0</v>
      </c>
      <c r="H1136" s="1" t="s">
        <v>41</v>
      </c>
      <c r="I1136" s="1" t="s">
        <v>85</v>
      </c>
      <c r="J1136">
        <v>12.5</v>
      </c>
      <c r="K1136">
        <v>34.99</v>
      </c>
      <c r="L1136" s="1" t="s">
        <v>60</v>
      </c>
      <c r="M1136" s="1" t="s">
        <v>29</v>
      </c>
      <c r="N1136" s="1" t="s">
        <v>30</v>
      </c>
      <c r="O1136" s="1" t="s">
        <v>31</v>
      </c>
      <c r="P1136" s="2">
        <v>45778</v>
      </c>
      <c r="Q1136" s="1" t="s">
        <v>496</v>
      </c>
      <c r="R1136" s="1" t="s">
        <v>1650</v>
      </c>
      <c r="S1136" s="1" t="s">
        <v>47</v>
      </c>
      <c r="T1136" s="1" t="s">
        <v>35</v>
      </c>
      <c r="U1136" s="1" t="s">
        <v>48</v>
      </c>
      <c r="V1136" s="1" t="s">
        <v>89</v>
      </c>
      <c r="W1136">
        <v>2.4</v>
      </c>
      <c r="X1136" s="1" t="str">
        <f t="shared" si="51"/>
        <v>diego.vargas37@mail.com</v>
      </c>
      <c r="Y1136" s="1" t="str">
        <f>INDEX(V:V,MATCH(orders_desnormalizado_prueba3[[#This Row],[acquisition_channel]],U:U,0))</f>
        <v>Bodega Propia CO - envio 2-3 dias</v>
      </c>
      <c r="Z1136" s="1" t="str">
        <f>INDEX(T:T,MATCH(orders_desnormalizado_prueba3[[#This Row],[shipping_cost]],W:W,0))</f>
        <v>Colombia</v>
      </c>
      <c r="AA1136" s="1" t="str">
        <f t="shared" si="52"/>
        <v>Cartagena</v>
      </c>
      <c r="AB1136" s="1"/>
      <c r="AC1136" s="1" t="str">
        <f t="shared" si="53"/>
        <v xml:space="preserve"> </v>
      </c>
    </row>
    <row r="1137" spans="1:29" x14ac:dyDescent="0.3">
      <c r="A1137" s="1" t="s">
        <v>2368</v>
      </c>
      <c r="B1137">
        <v>3</v>
      </c>
      <c r="C1137">
        <v>27.99</v>
      </c>
      <c r="D1137">
        <v>67.430000000000007</v>
      </c>
      <c r="E1137" s="1" t="s">
        <v>964</v>
      </c>
      <c r="F1137" s="1" t="s">
        <v>40</v>
      </c>
      <c r="G1137">
        <v>3</v>
      </c>
      <c r="H1137" s="1" t="s">
        <v>58</v>
      </c>
      <c r="I1137" s="1" t="s">
        <v>75</v>
      </c>
      <c r="J1137">
        <v>9</v>
      </c>
      <c r="K1137">
        <v>27.99</v>
      </c>
      <c r="L1137" s="1" t="s">
        <v>28</v>
      </c>
      <c r="M1137" s="1" t="s">
        <v>61</v>
      </c>
      <c r="N1137" s="1" t="s">
        <v>62</v>
      </c>
      <c r="O1137" s="1" t="s">
        <v>31</v>
      </c>
      <c r="P1137" s="2">
        <v>45726</v>
      </c>
      <c r="Q1137" s="1" t="s">
        <v>990</v>
      </c>
      <c r="R1137" s="1" t="s">
        <v>991</v>
      </c>
      <c r="S1137" s="1" t="s">
        <v>54</v>
      </c>
      <c r="T1137" s="1" t="s">
        <v>35</v>
      </c>
      <c r="U1137" s="1" t="s">
        <v>48</v>
      </c>
      <c r="V1137" s="1" t="s">
        <v>37</v>
      </c>
      <c r="W1137">
        <v>2</v>
      </c>
      <c r="X1137" s="1" t="str">
        <f t="shared" si="51"/>
        <v>fernanda.diaz94@mail.com</v>
      </c>
      <c r="Y1137" s="1" t="str">
        <f>INDEX(V:V,MATCH(orders_desnormalizado_prueba3[[#This Row],[acquisition_channel]],U:U,0))</f>
        <v>Bodega Propia CO - envio 2-3 dias</v>
      </c>
      <c r="Z1137" s="1" t="str">
        <f>INDEX(T:T,MATCH(orders_desnormalizado_prueba3[[#This Row],[shipping_cost]],W:W,0))</f>
        <v>Colombia</v>
      </c>
      <c r="AA1137" s="1" t="str">
        <f t="shared" si="52"/>
        <v>Barranquilla</v>
      </c>
      <c r="AB1137" s="1"/>
      <c r="AC1137" s="1" t="str">
        <f t="shared" si="53"/>
        <v xml:space="preserve"> </v>
      </c>
    </row>
    <row r="1138" spans="1:29" x14ac:dyDescent="0.3">
      <c r="A1138" s="1" t="s">
        <v>2369</v>
      </c>
      <c r="B1138">
        <v>3</v>
      </c>
      <c r="C1138">
        <v>18.989999999999998</v>
      </c>
      <c r="D1138">
        <v>44.87</v>
      </c>
      <c r="E1138" s="1" t="s">
        <v>1153</v>
      </c>
      <c r="F1138" s="1" t="s">
        <v>40</v>
      </c>
      <c r="G1138">
        <v>15</v>
      </c>
      <c r="H1138" s="1" t="s">
        <v>96</v>
      </c>
      <c r="I1138" s="1" t="s">
        <v>97</v>
      </c>
      <c r="J1138">
        <v>6</v>
      </c>
      <c r="K1138">
        <v>18.989999999999998</v>
      </c>
      <c r="L1138" s="1" t="s">
        <v>60</v>
      </c>
      <c r="M1138" s="1" t="s">
        <v>43</v>
      </c>
      <c r="N1138" s="1" t="s">
        <v>44</v>
      </c>
      <c r="O1138" s="1" t="s">
        <v>31</v>
      </c>
      <c r="P1138" s="2">
        <v>45823</v>
      </c>
      <c r="Q1138" s="1" t="s">
        <v>2042</v>
      </c>
      <c r="R1138" s="1" t="s">
        <v>2043</v>
      </c>
      <c r="S1138" s="1" t="s">
        <v>65</v>
      </c>
      <c r="T1138" s="1" t="s">
        <v>35</v>
      </c>
      <c r="U1138" s="1" t="s">
        <v>36</v>
      </c>
      <c r="V1138" s="1" t="s">
        <v>100</v>
      </c>
      <c r="W1138">
        <v>3.2</v>
      </c>
      <c r="X1138" s="1" t="str">
        <f t="shared" si="51"/>
        <v>antonia.hernandez62@mail.com</v>
      </c>
      <c r="Y1138" s="1" t="str">
        <f>INDEX(V:V,MATCH(orders_desnormalizado_prueba3[[#This Row],[acquisition_channel]],U:U,0))</f>
        <v>Bodega Propia CO - envio 2-3 dias</v>
      </c>
      <c r="Z1138" s="1" t="str">
        <f>INDEX(T:T,MATCH(orders_desnormalizado_prueba3[[#This Row],[shipping_cost]],W:W,0))</f>
        <v>Colombia</v>
      </c>
      <c r="AA1138" s="1" t="str">
        <f t="shared" si="52"/>
        <v>Barranquilla</v>
      </c>
      <c r="AB1138" s="1"/>
      <c r="AC1138" s="1" t="str">
        <f t="shared" si="53"/>
        <v xml:space="preserve"> </v>
      </c>
    </row>
    <row r="1139" spans="1:29" x14ac:dyDescent="0.3">
      <c r="A1139" s="1" t="s">
        <v>2370</v>
      </c>
      <c r="B1139">
        <v>1</v>
      </c>
      <c r="C1139">
        <v>21.99</v>
      </c>
      <c r="D1139">
        <v>21.99</v>
      </c>
      <c r="E1139" s="1" t="s">
        <v>954</v>
      </c>
      <c r="F1139" s="1" t="s">
        <v>51</v>
      </c>
      <c r="G1139">
        <v>0</v>
      </c>
      <c r="H1139" s="1" t="s">
        <v>26</v>
      </c>
      <c r="I1139" s="1" t="s">
        <v>27</v>
      </c>
      <c r="J1139">
        <v>7</v>
      </c>
      <c r="K1139">
        <v>21.99</v>
      </c>
      <c r="L1139" s="1" t="s">
        <v>28</v>
      </c>
      <c r="M1139" s="1" t="s">
        <v>29</v>
      </c>
      <c r="N1139" s="1" t="s">
        <v>30</v>
      </c>
      <c r="O1139" s="1" t="s">
        <v>31</v>
      </c>
      <c r="P1139" s="2">
        <v>45778</v>
      </c>
      <c r="Q1139" s="1" t="s">
        <v>1417</v>
      </c>
      <c r="R1139" s="1" t="s">
        <v>1418</v>
      </c>
      <c r="S1139" s="1" t="s">
        <v>65</v>
      </c>
      <c r="T1139" s="1" t="s">
        <v>35</v>
      </c>
      <c r="U1139" s="1" t="s">
        <v>55</v>
      </c>
      <c r="V1139" s="1" t="s">
        <v>37</v>
      </c>
      <c r="W1139">
        <v>2</v>
      </c>
      <c r="X1139" s="1" t="str">
        <f t="shared" si="51"/>
        <v>manuela.rodriguez14@mail.com</v>
      </c>
      <c r="Y1139" s="1" t="str">
        <f>INDEX(V:V,MATCH(orders_desnormalizado_prueba3[[#This Row],[acquisition_channel]],U:U,0))</f>
        <v>Bodega Propia CO - envio 2-3 dias</v>
      </c>
      <c r="Z1139" s="1" t="str">
        <f>INDEX(T:T,MATCH(orders_desnormalizado_prueba3[[#This Row],[shipping_cost]],W:W,0))</f>
        <v>Colombia</v>
      </c>
      <c r="AA1139" s="1" t="str">
        <f t="shared" si="52"/>
        <v>Cartagena</v>
      </c>
      <c r="AB1139" s="1"/>
      <c r="AC1139" s="1" t="str">
        <f t="shared" si="53"/>
        <v xml:space="preserve"> </v>
      </c>
    </row>
    <row r="1140" spans="1:29" x14ac:dyDescent="0.3">
      <c r="A1140" s="1" t="s">
        <v>2371</v>
      </c>
      <c r="B1140">
        <v>1</v>
      </c>
      <c r="C1140">
        <v>27.99</v>
      </c>
      <c r="D1140">
        <v>27.99</v>
      </c>
      <c r="E1140" s="1" t="s">
        <v>2372</v>
      </c>
      <c r="F1140" s="1" t="s">
        <v>51</v>
      </c>
      <c r="G1140">
        <v>0</v>
      </c>
      <c r="H1140" s="1" t="s">
        <v>41</v>
      </c>
      <c r="I1140" s="1" t="s">
        <v>75</v>
      </c>
      <c r="J1140">
        <v>9</v>
      </c>
      <c r="K1140">
        <v>27.99</v>
      </c>
      <c r="L1140" s="1" t="s">
        <v>28</v>
      </c>
      <c r="M1140" s="1" t="s">
        <v>61</v>
      </c>
      <c r="N1140" s="1" t="s">
        <v>62</v>
      </c>
      <c r="O1140" s="1" t="s">
        <v>31</v>
      </c>
      <c r="P1140" s="2">
        <v>45726</v>
      </c>
      <c r="Q1140" s="1" t="s">
        <v>748</v>
      </c>
      <c r="R1140" s="1" t="s">
        <v>749</v>
      </c>
      <c r="S1140" s="1" t="s">
        <v>88</v>
      </c>
      <c r="T1140" s="1" t="s">
        <v>35</v>
      </c>
      <c r="U1140" s="1" t="s">
        <v>48</v>
      </c>
      <c r="V1140" s="1" t="s">
        <v>37</v>
      </c>
      <c r="W1140">
        <v>2</v>
      </c>
      <c r="X1140" s="1" t="str">
        <f t="shared" si="51"/>
        <v>manuela.gomez88@mail.com</v>
      </c>
      <c r="Y1140" s="1" t="str">
        <f>INDEX(V:V,MATCH(orders_desnormalizado_prueba3[[#This Row],[acquisition_channel]],U:U,0))</f>
        <v>Bodega Propia CO - envio 2-3 dias</v>
      </c>
      <c r="Z1140" s="1" t="str">
        <f>INDEX(T:T,MATCH(orders_desnormalizado_prueba3[[#This Row],[shipping_cost]],W:W,0))</f>
        <v>Colombia</v>
      </c>
      <c r="AA1140" s="1" t="str">
        <f t="shared" si="52"/>
        <v>Cartagena</v>
      </c>
      <c r="AB1140" s="1"/>
      <c r="AC1140" s="1" t="str">
        <f t="shared" si="53"/>
        <v xml:space="preserve"> </v>
      </c>
    </row>
    <row r="1141" spans="1:29" x14ac:dyDescent="0.3">
      <c r="A1141" s="1" t="s">
        <v>2373</v>
      </c>
      <c r="B1141">
        <v>3</v>
      </c>
      <c r="C1141">
        <v>34.99</v>
      </c>
      <c r="D1141">
        <v>84.73</v>
      </c>
      <c r="E1141" s="1" t="s">
        <v>156</v>
      </c>
      <c r="F1141" s="1" t="s">
        <v>40</v>
      </c>
      <c r="G1141">
        <v>7</v>
      </c>
      <c r="H1141" s="1" t="s">
        <v>41</v>
      </c>
      <c r="I1141" s="1" t="s">
        <v>85</v>
      </c>
      <c r="J1141">
        <v>12.5</v>
      </c>
      <c r="K1141">
        <v>34.99</v>
      </c>
      <c r="L1141" s="1" t="s">
        <v>60</v>
      </c>
      <c r="M1141" s="1" t="s">
        <v>29</v>
      </c>
      <c r="N1141" s="1" t="s">
        <v>30</v>
      </c>
      <c r="O1141" s="1" t="s">
        <v>31</v>
      </c>
      <c r="P1141" s="2">
        <v>45778</v>
      </c>
      <c r="Q1141" s="1" t="s">
        <v>294</v>
      </c>
      <c r="R1141" s="1" t="s">
        <v>2374</v>
      </c>
      <c r="S1141" s="1" t="s">
        <v>34</v>
      </c>
      <c r="T1141" s="1" t="s">
        <v>35</v>
      </c>
      <c r="U1141" s="1" t="s">
        <v>36</v>
      </c>
      <c r="V1141" s="1" t="s">
        <v>89</v>
      </c>
      <c r="W1141">
        <v>2.4</v>
      </c>
      <c r="X1141" s="1" t="str">
        <f t="shared" si="51"/>
        <v>valentina.torres56@mail.com</v>
      </c>
      <c r="Y1141" s="1" t="str">
        <f>INDEX(V:V,MATCH(orders_desnormalizado_prueba3[[#This Row],[acquisition_channel]],U:U,0))</f>
        <v>Bodega Propia CO - envio 2-3 dias</v>
      </c>
      <c r="Z1141" s="1" t="str">
        <f>INDEX(T:T,MATCH(orders_desnormalizado_prueba3[[#This Row],[shipping_cost]],W:W,0))</f>
        <v>Colombia</v>
      </c>
      <c r="AA1141" s="1" t="str">
        <f t="shared" si="52"/>
        <v>Bogota</v>
      </c>
      <c r="AB1141" s="1"/>
      <c r="AC1141" s="1" t="str">
        <f t="shared" si="53"/>
        <v xml:space="preserve"> </v>
      </c>
    </row>
    <row r="1142" spans="1:29" x14ac:dyDescent="0.3">
      <c r="A1142" s="1" t="s">
        <v>2375</v>
      </c>
      <c r="B1142">
        <v>1</v>
      </c>
      <c r="C1142">
        <v>16.989999999999998</v>
      </c>
      <c r="D1142">
        <v>16.989999999999998</v>
      </c>
      <c r="E1142" s="1" t="s">
        <v>113</v>
      </c>
      <c r="F1142" s="1" t="s">
        <v>25</v>
      </c>
      <c r="G1142">
        <v>20</v>
      </c>
      <c r="H1142" s="1" t="s">
        <v>58</v>
      </c>
      <c r="I1142" s="1" t="s">
        <v>59</v>
      </c>
      <c r="J1142">
        <v>5</v>
      </c>
      <c r="K1142">
        <v>16.989999999999998</v>
      </c>
      <c r="L1142" s="1" t="s">
        <v>60</v>
      </c>
      <c r="M1142" s="1" t="s">
        <v>61</v>
      </c>
      <c r="N1142" s="1" t="s">
        <v>62</v>
      </c>
      <c r="O1142" s="1" t="s">
        <v>31</v>
      </c>
      <c r="P1142" s="2">
        <v>45726</v>
      </c>
      <c r="Q1142" s="1" t="s">
        <v>1187</v>
      </c>
      <c r="R1142" s="1" t="s">
        <v>2338</v>
      </c>
      <c r="S1142" s="1" t="s">
        <v>34</v>
      </c>
      <c r="T1142" s="1" t="s">
        <v>35</v>
      </c>
      <c r="U1142" s="1" t="s">
        <v>48</v>
      </c>
      <c r="V1142" s="1" t="s">
        <v>67</v>
      </c>
      <c r="W1142">
        <v>3</v>
      </c>
      <c r="X1142" s="1" t="str">
        <f t="shared" si="51"/>
        <v>nicolas.jimenez67@mail.com</v>
      </c>
      <c r="Y1142" s="1" t="str">
        <f>INDEX(V:V,MATCH(orders_desnormalizado_prueba3[[#This Row],[acquisition_channel]],U:U,0))</f>
        <v>Bodega Propia CO - envio 2-3 dias</v>
      </c>
      <c r="Z1142" s="1" t="str">
        <f>INDEX(T:T,MATCH(orders_desnormalizado_prueba3[[#This Row],[shipping_cost]],W:W,0))</f>
        <v>Colombia</v>
      </c>
      <c r="AA1142" s="1" t="str">
        <f t="shared" si="52"/>
        <v>Bucaramanga</v>
      </c>
      <c r="AB1142" s="1"/>
      <c r="AC1142" s="1" t="str">
        <f t="shared" si="53"/>
        <v xml:space="preserve"> </v>
      </c>
    </row>
    <row r="1143" spans="1:29" x14ac:dyDescent="0.3">
      <c r="A1143" s="1" t="s">
        <v>2376</v>
      </c>
      <c r="B1143">
        <v>1</v>
      </c>
      <c r="C1143">
        <v>21.99</v>
      </c>
      <c r="D1143">
        <v>21.99</v>
      </c>
      <c r="E1143" s="1" t="s">
        <v>246</v>
      </c>
      <c r="F1143" s="1" t="s">
        <v>70</v>
      </c>
      <c r="G1143">
        <v>0</v>
      </c>
      <c r="H1143" s="1" t="s">
        <v>41</v>
      </c>
      <c r="I1143" s="1" t="s">
        <v>27</v>
      </c>
      <c r="J1143">
        <v>7</v>
      </c>
      <c r="K1143">
        <v>21.99</v>
      </c>
      <c r="L1143" s="1" t="s">
        <v>28</v>
      </c>
      <c r="M1143" s="1" t="s">
        <v>29</v>
      </c>
      <c r="N1143" s="1" t="s">
        <v>30</v>
      </c>
      <c r="O1143" s="1" t="s">
        <v>31</v>
      </c>
      <c r="P1143" s="2">
        <v>45778</v>
      </c>
      <c r="Q1143" s="1" t="s">
        <v>1545</v>
      </c>
      <c r="R1143" s="1" t="s">
        <v>1546</v>
      </c>
      <c r="S1143" s="1" t="s">
        <v>105</v>
      </c>
      <c r="T1143" s="1" t="s">
        <v>35</v>
      </c>
      <c r="U1143" s="1" t="s">
        <v>48</v>
      </c>
      <c r="V1143" s="1" t="s">
        <v>37</v>
      </c>
      <c r="W1143">
        <v>2</v>
      </c>
      <c r="X1143" s="1" t="str">
        <f t="shared" si="51"/>
        <v>ricardo.sanchez162@mail.com</v>
      </c>
      <c r="Y1143" s="1" t="str">
        <f>INDEX(V:V,MATCH(orders_desnormalizado_prueba3[[#This Row],[acquisition_channel]],U:U,0))</f>
        <v>Bodega Propia CO - envio 2-3 dias</v>
      </c>
      <c r="Z1143" s="1" t="str">
        <f>INDEX(T:T,MATCH(orders_desnormalizado_prueba3[[#This Row],[shipping_cost]],W:W,0))</f>
        <v>Colombia</v>
      </c>
      <c r="AA1143" s="1" t="str">
        <f t="shared" si="52"/>
        <v>Cartagena</v>
      </c>
      <c r="AB1143" s="1"/>
      <c r="AC1143" s="1" t="str">
        <f t="shared" si="53"/>
        <v xml:space="preserve"> </v>
      </c>
    </row>
    <row r="1144" spans="1:29" x14ac:dyDescent="0.3">
      <c r="A1144" s="1" t="s">
        <v>2377</v>
      </c>
      <c r="B1144">
        <v>1</v>
      </c>
      <c r="C1144">
        <v>16.989999999999998</v>
      </c>
      <c r="D1144">
        <v>16.989999999999998</v>
      </c>
      <c r="E1144" s="1" t="s">
        <v>2274</v>
      </c>
      <c r="F1144" s="1" t="s">
        <v>51</v>
      </c>
      <c r="G1144">
        <v>0</v>
      </c>
      <c r="H1144" s="1" t="s">
        <v>41</v>
      </c>
      <c r="I1144" s="1" t="s">
        <v>59</v>
      </c>
      <c r="J1144">
        <v>5</v>
      </c>
      <c r="K1144">
        <v>16.989999999999998</v>
      </c>
      <c r="L1144" s="1" t="s">
        <v>60</v>
      </c>
      <c r="M1144" s="1" t="s">
        <v>61</v>
      </c>
      <c r="N1144" s="1" t="s">
        <v>62</v>
      </c>
      <c r="O1144" s="1" t="s">
        <v>31</v>
      </c>
      <c r="P1144" s="2">
        <v>45726</v>
      </c>
      <c r="Q1144" s="1" t="s">
        <v>219</v>
      </c>
      <c r="R1144" s="1" t="s">
        <v>2236</v>
      </c>
      <c r="S1144" s="1" t="s">
        <v>34</v>
      </c>
      <c r="T1144" s="1" t="s">
        <v>35</v>
      </c>
      <c r="U1144" s="1" t="s">
        <v>55</v>
      </c>
      <c r="V1144" s="1" t="s">
        <v>67</v>
      </c>
      <c r="W1144">
        <v>3</v>
      </c>
      <c r="X1144" s="1" t="str">
        <f t="shared" si="51"/>
        <v>mateo.castro43@mail.com</v>
      </c>
      <c r="Y1144" s="1" t="str">
        <f>INDEX(V:V,MATCH(orders_desnormalizado_prueba3[[#This Row],[acquisition_channel]],U:U,0))</f>
        <v>Bodega Propia CO - envio 2-3 dias</v>
      </c>
      <c r="Z1144" s="1" t="str">
        <f>INDEX(T:T,MATCH(orders_desnormalizado_prueba3[[#This Row],[shipping_cost]],W:W,0))</f>
        <v>Colombia</v>
      </c>
      <c r="AA1144" s="1" t="str">
        <f t="shared" si="52"/>
        <v>Cartagena</v>
      </c>
      <c r="AB1144" s="1"/>
      <c r="AC1144" s="1" t="str">
        <f t="shared" si="53"/>
        <v xml:space="preserve"> </v>
      </c>
    </row>
    <row r="1145" spans="1:29" x14ac:dyDescent="0.3">
      <c r="A1145" s="1" t="s">
        <v>2378</v>
      </c>
      <c r="B1145">
        <v>2</v>
      </c>
      <c r="C1145">
        <v>30.99</v>
      </c>
      <c r="D1145">
        <v>53.81</v>
      </c>
      <c r="E1145" s="1" t="s">
        <v>1268</v>
      </c>
      <c r="F1145" s="1" t="s">
        <v>40</v>
      </c>
      <c r="G1145">
        <v>2</v>
      </c>
      <c r="H1145" s="1" t="s">
        <v>26</v>
      </c>
      <c r="I1145" s="1" t="s">
        <v>42</v>
      </c>
      <c r="J1145">
        <v>10.5</v>
      </c>
      <c r="K1145">
        <v>30.99</v>
      </c>
      <c r="L1145" s="1" t="s">
        <v>28</v>
      </c>
      <c r="M1145" s="1" t="s">
        <v>43</v>
      </c>
      <c r="N1145" s="1" t="s">
        <v>44</v>
      </c>
      <c r="O1145" s="1" t="s">
        <v>31</v>
      </c>
      <c r="P1145" s="2">
        <v>45823</v>
      </c>
      <c r="Q1145" s="1" t="s">
        <v>1032</v>
      </c>
      <c r="R1145" s="1" t="s">
        <v>2112</v>
      </c>
      <c r="S1145" s="1" t="s">
        <v>105</v>
      </c>
      <c r="T1145" s="1" t="s">
        <v>35</v>
      </c>
      <c r="U1145" s="1" t="s">
        <v>82</v>
      </c>
      <c r="V1145" s="1" t="s">
        <v>37</v>
      </c>
      <c r="W1145">
        <v>2</v>
      </c>
      <c r="X1145" s="1" t="str">
        <f t="shared" si="51"/>
        <v>antonia.sanchez54@mail.com</v>
      </c>
      <c r="Y1145" s="1" t="str">
        <f>INDEX(V:V,MATCH(orders_desnormalizado_prueba3[[#This Row],[acquisition_channel]],U:U,0))</f>
        <v>Bodega Propia CO - envio 2-3 dias</v>
      </c>
      <c r="Z1145" s="1" t="str">
        <f>INDEX(T:T,MATCH(orders_desnormalizado_prueba3[[#This Row],[shipping_cost]],W:W,0))</f>
        <v>Colombia</v>
      </c>
      <c r="AA1145" s="1" t="str">
        <f t="shared" si="52"/>
        <v>Medellin</v>
      </c>
      <c r="AB1145" s="1"/>
      <c r="AC1145" s="1" t="str">
        <f t="shared" si="53"/>
        <v xml:space="preserve"> </v>
      </c>
    </row>
    <row r="1146" spans="1:29" x14ac:dyDescent="0.3">
      <c r="A1146" s="1" t="s">
        <v>2379</v>
      </c>
      <c r="B1146">
        <v>1</v>
      </c>
      <c r="C1146">
        <v>21.99</v>
      </c>
      <c r="D1146">
        <v>21.99</v>
      </c>
      <c r="E1146" s="1" t="s">
        <v>2380</v>
      </c>
      <c r="F1146" s="1" t="s">
        <v>40</v>
      </c>
      <c r="G1146">
        <v>8</v>
      </c>
      <c r="H1146" s="1" t="s">
        <v>26</v>
      </c>
      <c r="I1146" s="1" t="s">
        <v>27</v>
      </c>
      <c r="J1146">
        <v>7</v>
      </c>
      <c r="K1146">
        <v>21.99</v>
      </c>
      <c r="L1146" s="1" t="s">
        <v>28</v>
      </c>
      <c r="M1146" s="1" t="s">
        <v>29</v>
      </c>
      <c r="N1146" s="1" t="s">
        <v>30</v>
      </c>
      <c r="O1146" s="1" t="s">
        <v>31</v>
      </c>
      <c r="P1146" s="2">
        <v>45778</v>
      </c>
      <c r="Q1146" s="1" t="s">
        <v>960</v>
      </c>
      <c r="R1146" s="1" t="s">
        <v>961</v>
      </c>
      <c r="S1146" s="1" t="s">
        <v>47</v>
      </c>
      <c r="T1146" s="1" t="s">
        <v>35</v>
      </c>
      <c r="U1146" s="1" t="s">
        <v>48</v>
      </c>
      <c r="V1146" s="1" t="s">
        <v>37</v>
      </c>
      <c r="W1146">
        <v>2</v>
      </c>
      <c r="X1146" s="1" t="str">
        <f t="shared" si="51"/>
        <v>ximena.jimenez193@mail.com</v>
      </c>
      <c r="Y1146" s="1" t="str">
        <f>INDEX(V:V,MATCH(orders_desnormalizado_prueba3[[#This Row],[acquisition_channel]],U:U,0))</f>
        <v>Bodega Propia CO - envio 2-3 dias</v>
      </c>
      <c r="Z1146" s="1" t="str">
        <f>INDEX(T:T,MATCH(orders_desnormalizado_prueba3[[#This Row],[shipping_cost]],W:W,0))</f>
        <v>Colombia</v>
      </c>
      <c r="AA1146" s="1" t="str">
        <f t="shared" si="52"/>
        <v>Barranquilla</v>
      </c>
      <c r="AB1146" s="1"/>
      <c r="AC1146" s="1" t="str">
        <f t="shared" si="53"/>
        <v xml:space="preserve"> </v>
      </c>
    </row>
    <row r="1147" spans="1:29" x14ac:dyDescent="0.3">
      <c r="A1147" s="1" t="s">
        <v>2381</v>
      </c>
      <c r="B1147">
        <v>1</v>
      </c>
      <c r="C1147">
        <v>34.99</v>
      </c>
      <c r="D1147">
        <v>34.99</v>
      </c>
      <c r="E1147" s="1" t="s">
        <v>536</v>
      </c>
      <c r="F1147" s="1" t="s">
        <v>40</v>
      </c>
      <c r="G1147">
        <v>11</v>
      </c>
      <c r="H1147" s="1" t="s">
        <v>41</v>
      </c>
      <c r="I1147" s="1" t="s">
        <v>85</v>
      </c>
      <c r="J1147">
        <v>12.5</v>
      </c>
      <c r="K1147">
        <v>34.99</v>
      </c>
      <c r="L1147" s="1" t="s">
        <v>60</v>
      </c>
      <c r="M1147" s="1" t="s">
        <v>29</v>
      </c>
      <c r="N1147" s="1" t="s">
        <v>30</v>
      </c>
      <c r="O1147" s="1" t="s">
        <v>31</v>
      </c>
      <c r="P1147" s="2">
        <v>45778</v>
      </c>
      <c r="Q1147" s="1" t="s">
        <v>2015</v>
      </c>
      <c r="R1147" s="1" t="s">
        <v>2016</v>
      </c>
      <c r="S1147" s="1" t="s">
        <v>65</v>
      </c>
      <c r="T1147" s="1" t="s">
        <v>35</v>
      </c>
      <c r="U1147" s="1" t="s">
        <v>48</v>
      </c>
      <c r="V1147" s="1" t="s">
        <v>89</v>
      </c>
      <c r="W1147">
        <v>2.4</v>
      </c>
      <c r="X1147" s="1" t="str">
        <f t="shared" si="51"/>
        <v>carlos.ortiz198@mail.com</v>
      </c>
      <c r="Y1147" s="1" t="str">
        <f>INDEX(V:V,MATCH(orders_desnormalizado_prueba3[[#This Row],[acquisition_channel]],U:U,0))</f>
        <v>Bodega Propia CO - envio 2-3 dias</v>
      </c>
      <c r="Z1147" s="1" t="str">
        <f>INDEX(T:T,MATCH(orders_desnormalizado_prueba3[[#This Row],[shipping_cost]],W:W,0))</f>
        <v>Colombia</v>
      </c>
      <c r="AA1147" s="1" t="str">
        <f t="shared" si="52"/>
        <v>Cali</v>
      </c>
      <c r="AB1147" s="1"/>
      <c r="AC1147" s="1" t="str">
        <f t="shared" si="53"/>
        <v xml:space="preserve"> </v>
      </c>
    </row>
    <row r="1148" spans="1:29" x14ac:dyDescent="0.3">
      <c r="A1148" s="1" t="s">
        <v>2382</v>
      </c>
      <c r="B1148">
        <v>1</v>
      </c>
      <c r="C1148">
        <v>16.989999999999998</v>
      </c>
      <c r="D1148">
        <v>16.989999999999998</v>
      </c>
      <c r="E1148" s="1" t="s">
        <v>796</v>
      </c>
      <c r="F1148" s="1" t="s">
        <v>40</v>
      </c>
      <c r="G1148">
        <v>15</v>
      </c>
      <c r="H1148" s="1" t="s">
        <v>41</v>
      </c>
      <c r="I1148" s="1" t="s">
        <v>59</v>
      </c>
      <c r="J1148">
        <v>5</v>
      </c>
      <c r="K1148">
        <v>16.989999999999998</v>
      </c>
      <c r="L1148" s="1" t="s">
        <v>60</v>
      </c>
      <c r="M1148" s="1" t="s">
        <v>61</v>
      </c>
      <c r="N1148" s="1" t="s">
        <v>62</v>
      </c>
      <c r="O1148" s="1" t="s">
        <v>31</v>
      </c>
      <c r="P1148" s="2">
        <v>45726</v>
      </c>
      <c r="Q1148" s="1" t="s">
        <v>1253</v>
      </c>
      <c r="R1148" s="1" t="s">
        <v>1875</v>
      </c>
      <c r="S1148" s="1" t="s">
        <v>105</v>
      </c>
      <c r="T1148" s="1" t="s">
        <v>35</v>
      </c>
      <c r="U1148" s="1" t="s">
        <v>66</v>
      </c>
      <c r="V1148" s="1" t="s">
        <v>67</v>
      </c>
      <c r="W1148">
        <v>3</v>
      </c>
      <c r="X1148" s="1" t="str">
        <f t="shared" si="51"/>
        <v>sofia.ortiz121@mail.com</v>
      </c>
      <c r="Y1148" s="1" t="str">
        <f>INDEX(V:V,MATCH(orders_desnormalizado_prueba3[[#This Row],[acquisition_channel]],U:U,0))</f>
        <v>AliDropship CN - envio 15-20 dias</v>
      </c>
      <c r="Z1148" s="1" t="str">
        <f>INDEX(T:T,MATCH(orders_desnormalizado_prueba3[[#This Row],[shipping_cost]],W:W,0))</f>
        <v>Colombia</v>
      </c>
      <c r="AA1148" s="1" t="str">
        <f t="shared" si="52"/>
        <v>Barranquilla</v>
      </c>
      <c r="AB1148" s="1"/>
      <c r="AC1148" s="1" t="str">
        <f t="shared" si="53"/>
        <v xml:space="preserve"> </v>
      </c>
    </row>
    <row r="1149" spans="1:29" x14ac:dyDescent="0.3">
      <c r="A1149" s="1" t="s">
        <v>2383</v>
      </c>
      <c r="B1149">
        <v>1</v>
      </c>
      <c r="C1149">
        <v>34.99</v>
      </c>
      <c r="D1149">
        <v>34.99</v>
      </c>
      <c r="E1149" s="1" t="s">
        <v>393</v>
      </c>
      <c r="F1149" s="1" t="s">
        <v>25</v>
      </c>
      <c r="G1149">
        <v>7</v>
      </c>
      <c r="H1149" s="1" t="s">
        <v>26</v>
      </c>
      <c r="I1149" s="1" t="s">
        <v>85</v>
      </c>
      <c r="J1149">
        <v>12.5</v>
      </c>
      <c r="K1149">
        <v>34.99</v>
      </c>
      <c r="L1149" s="1" t="s">
        <v>60</v>
      </c>
      <c r="M1149" s="1" t="s">
        <v>29</v>
      </c>
      <c r="N1149" s="1" t="s">
        <v>30</v>
      </c>
      <c r="O1149" s="1" t="s">
        <v>31</v>
      </c>
      <c r="P1149" s="2">
        <v>45778</v>
      </c>
      <c r="Q1149" s="1" t="s">
        <v>689</v>
      </c>
      <c r="R1149" s="1" t="s">
        <v>766</v>
      </c>
      <c r="S1149" s="1" t="s">
        <v>105</v>
      </c>
      <c r="T1149" s="1" t="s">
        <v>35</v>
      </c>
      <c r="U1149" s="1" t="s">
        <v>48</v>
      </c>
      <c r="V1149" s="1" t="s">
        <v>89</v>
      </c>
      <c r="W1149">
        <v>2.4</v>
      </c>
      <c r="X1149" s="1" t="str">
        <f t="shared" si="51"/>
        <v>mateo.martinez177@mail.com</v>
      </c>
      <c r="Y1149" s="1" t="str">
        <f>INDEX(V:V,MATCH(orders_desnormalizado_prueba3[[#This Row],[acquisition_channel]],U:U,0))</f>
        <v>Bodega Propia CO - envio 2-3 dias</v>
      </c>
      <c r="Z1149" s="1" t="str">
        <f>INDEX(T:T,MATCH(orders_desnormalizado_prueba3[[#This Row],[shipping_cost]],W:W,0))</f>
        <v>Colombia</v>
      </c>
      <c r="AA1149" s="1" t="str">
        <f t="shared" si="52"/>
        <v>Bogota</v>
      </c>
      <c r="AB1149" s="1"/>
      <c r="AC1149" s="1" t="str">
        <f t="shared" si="53"/>
        <v xml:space="preserve"> </v>
      </c>
    </row>
    <row r="1150" spans="1:29" x14ac:dyDescent="0.3">
      <c r="A1150" s="1" t="s">
        <v>2384</v>
      </c>
      <c r="B1150">
        <v>1</v>
      </c>
      <c r="C1150">
        <v>16.989999999999998</v>
      </c>
      <c r="D1150">
        <v>16.989999999999998</v>
      </c>
      <c r="E1150" s="1" t="s">
        <v>1281</v>
      </c>
      <c r="F1150" s="1" t="s">
        <v>40</v>
      </c>
      <c r="G1150">
        <v>20</v>
      </c>
      <c r="H1150" s="1" t="s">
        <v>96</v>
      </c>
      <c r="I1150" s="1" t="s">
        <v>59</v>
      </c>
      <c r="J1150">
        <v>5</v>
      </c>
      <c r="K1150">
        <v>16.989999999999998</v>
      </c>
      <c r="L1150" s="1" t="s">
        <v>60</v>
      </c>
      <c r="M1150" s="1" t="s">
        <v>61</v>
      </c>
      <c r="N1150" s="1" t="s">
        <v>62</v>
      </c>
      <c r="O1150" s="1" t="s">
        <v>31</v>
      </c>
      <c r="P1150" s="2">
        <v>45726</v>
      </c>
      <c r="Q1150" s="1" t="s">
        <v>1349</v>
      </c>
      <c r="R1150" s="1" t="s">
        <v>1432</v>
      </c>
      <c r="S1150" s="1" t="s">
        <v>47</v>
      </c>
      <c r="T1150" s="1" t="s">
        <v>35</v>
      </c>
      <c r="U1150" s="1" t="s">
        <v>36</v>
      </c>
      <c r="V1150" s="1" t="s">
        <v>67</v>
      </c>
      <c r="W1150">
        <v>3</v>
      </c>
      <c r="X1150" s="1" t="str">
        <f t="shared" si="51"/>
        <v>catalina.moreno180@mail.com</v>
      </c>
      <c r="Y1150" s="1" t="str">
        <f>INDEX(V:V,MATCH(orders_desnormalizado_prueba3[[#This Row],[acquisition_channel]],U:U,0))</f>
        <v>Bodega Propia CO - envio 2-3 dias</v>
      </c>
      <c r="Z1150" s="1" t="str">
        <f>INDEX(T:T,MATCH(orders_desnormalizado_prueba3[[#This Row],[shipping_cost]],W:W,0))</f>
        <v>Colombia</v>
      </c>
      <c r="AA1150" s="1" t="str">
        <f t="shared" si="52"/>
        <v>Bucaramanga</v>
      </c>
      <c r="AB1150" s="1"/>
      <c r="AC1150" s="1" t="str">
        <f t="shared" si="53"/>
        <v xml:space="preserve"> </v>
      </c>
    </row>
    <row r="1151" spans="1:29" x14ac:dyDescent="0.3">
      <c r="A1151" s="1" t="s">
        <v>2385</v>
      </c>
      <c r="B1151">
        <v>1</v>
      </c>
      <c r="C1151">
        <v>21.99</v>
      </c>
      <c r="D1151">
        <v>21.99</v>
      </c>
      <c r="E1151" s="1" t="s">
        <v>2162</v>
      </c>
      <c r="F1151" s="1" t="s">
        <v>40</v>
      </c>
      <c r="G1151">
        <v>3</v>
      </c>
      <c r="H1151" s="1" t="s">
        <v>41</v>
      </c>
      <c r="I1151" s="1" t="s">
        <v>27</v>
      </c>
      <c r="J1151">
        <v>7</v>
      </c>
      <c r="K1151">
        <v>21.99</v>
      </c>
      <c r="L1151" s="1" t="s">
        <v>28</v>
      </c>
      <c r="M1151" s="1" t="s">
        <v>29</v>
      </c>
      <c r="N1151" s="1" t="s">
        <v>30</v>
      </c>
      <c r="O1151" s="1" t="s">
        <v>31</v>
      </c>
      <c r="P1151" s="2">
        <v>45778</v>
      </c>
      <c r="Q1151" s="1" t="s">
        <v>1116</v>
      </c>
      <c r="R1151" s="1" t="s">
        <v>2386</v>
      </c>
      <c r="S1151" s="1" t="s">
        <v>65</v>
      </c>
      <c r="T1151" s="1" t="s">
        <v>35</v>
      </c>
      <c r="U1151" s="1" t="s">
        <v>55</v>
      </c>
      <c r="V1151" s="1" t="s">
        <v>37</v>
      </c>
      <c r="W1151">
        <v>2</v>
      </c>
      <c r="X1151" s="1" t="str">
        <f t="shared" si="51"/>
        <v>ximena.hernandez20@mail.com</v>
      </c>
      <c r="Y1151" s="1" t="str">
        <f>INDEX(V:V,MATCH(orders_desnormalizado_prueba3[[#This Row],[acquisition_channel]],U:U,0))</f>
        <v>Bodega Propia CO - envio 2-3 dias</v>
      </c>
      <c r="Z1151" s="1" t="str">
        <f>INDEX(T:T,MATCH(orders_desnormalizado_prueba3[[#This Row],[shipping_cost]],W:W,0))</f>
        <v>Colombia</v>
      </c>
      <c r="AA1151" s="1" t="str">
        <f t="shared" si="52"/>
        <v>Barranquilla</v>
      </c>
      <c r="AB1151" s="1"/>
      <c r="AC1151" s="1" t="str">
        <f t="shared" si="53"/>
        <v xml:space="preserve"> </v>
      </c>
    </row>
    <row r="1152" spans="1:29" x14ac:dyDescent="0.3">
      <c r="A1152" s="1" t="s">
        <v>2387</v>
      </c>
      <c r="B1152">
        <v>1</v>
      </c>
      <c r="C1152">
        <v>30.99</v>
      </c>
      <c r="D1152">
        <v>30.99</v>
      </c>
      <c r="E1152" s="1" t="s">
        <v>1281</v>
      </c>
      <c r="F1152" s="1" t="s">
        <v>40</v>
      </c>
      <c r="G1152">
        <v>3</v>
      </c>
      <c r="H1152" s="1" t="s">
        <v>41</v>
      </c>
      <c r="I1152" s="1" t="s">
        <v>42</v>
      </c>
      <c r="J1152">
        <v>10.5</v>
      </c>
      <c r="K1152">
        <v>30.99</v>
      </c>
      <c r="L1152" s="1" t="s">
        <v>28</v>
      </c>
      <c r="M1152" s="1" t="s">
        <v>43</v>
      </c>
      <c r="N1152" s="1" t="s">
        <v>44</v>
      </c>
      <c r="O1152" s="1" t="s">
        <v>31</v>
      </c>
      <c r="P1152" s="2">
        <v>45823</v>
      </c>
      <c r="Q1152" s="1" t="s">
        <v>972</v>
      </c>
      <c r="R1152" s="1" t="s">
        <v>1692</v>
      </c>
      <c r="S1152" s="1" t="s">
        <v>105</v>
      </c>
      <c r="T1152" s="1" t="s">
        <v>35</v>
      </c>
      <c r="U1152" s="1" t="s">
        <v>48</v>
      </c>
      <c r="V1152" s="1" t="s">
        <v>37</v>
      </c>
      <c r="W1152">
        <v>2</v>
      </c>
      <c r="X1152" s="1" t="str">
        <f t="shared" si="51"/>
        <v>juan.rodriguez171@mail.com</v>
      </c>
      <c r="Y1152" s="1" t="str">
        <f>INDEX(V:V,MATCH(orders_desnormalizado_prueba3[[#This Row],[acquisition_channel]],U:U,0))</f>
        <v>Bodega Propia CO - envio 2-3 dias</v>
      </c>
      <c r="Z1152" s="1" t="str">
        <f>INDEX(T:T,MATCH(orders_desnormalizado_prueba3[[#This Row],[shipping_cost]],W:W,0))</f>
        <v>Colombia</v>
      </c>
      <c r="AA1152" s="1" t="str">
        <f t="shared" si="52"/>
        <v>Barranquilla</v>
      </c>
      <c r="AB1152" s="1"/>
      <c r="AC1152" s="1" t="str">
        <f t="shared" si="53"/>
        <v xml:space="preserve"> </v>
      </c>
    </row>
    <row r="1153" spans="1:29" x14ac:dyDescent="0.3">
      <c r="A1153" s="1" t="s">
        <v>2388</v>
      </c>
      <c r="B1153">
        <v>1</v>
      </c>
      <c r="C1153">
        <v>30.99</v>
      </c>
      <c r="D1153">
        <v>30.99</v>
      </c>
      <c r="E1153" s="1" t="s">
        <v>1180</v>
      </c>
      <c r="F1153" s="1" t="s">
        <v>25</v>
      </c>
      <c r="G1153">
        <v>3</v>
      </c>
      <c r="H1153" s="1" t="s">
        <v>41</v>
      </c>
      <c r="I1153" s="1" t="s">
        <v>42</v>
      </c>
      <c r="J1153">
        <v>10.5</v>
      </c>
      <c r="K1153">
        <v>30.99</v>
      </c>
      <c r="L1153" s="1" t="s">
        <v>28</v>
      </c>
      <c r="M1153" s="1" t="s">
        <v>43</v>
      </c>
      <c r="N1153" s="1" t="s">
        <v>44</v>
      </c>
      <c r="O1153" s="1" t="s">
        <v>31</v>
      </c>
      <c r="P1153" s="2">
        <v>45823</v>
      </c>
      <c r="Q1153" s="1" t="s">
        <v>1336</v>
      </c>
      <c r="R1153" s="1" t="s">
        <v>1337</v>
      </c>
      <c r="S1153" s="1" t="s">
        <v>105</v>
      </c>
      <c r="T1153" s="1" t="s">
        <v>35</v>
      </c>
      <c r="U1153" s="1" t="s">
        <v>55</v>
      </c>
      <c r="V1153" s="1" t="s">
        <v>37</v>
      </c>
      <c r="W1153">
        <v>2</v>
      </c>
      <c r="X1153" s="1" t="str">
        <f t="shared" si="51"/>
        <v>felipe.torres155@mail.com</v>
      </c>
      <c r="Y1153" s="1" t="str">
        <f>INDEX(V:V,MATCH(orders_desnormalizado_prueba3[[#This Row],[acquisition_channel]],U:U,0))</f>
        <v>Bodega Propia CO - envio 2-3 dias</v>
      </c>
      <c r="Z1153" s="1" t="str">
        <f>INDEX(T:T,MATCH(orders_desnormalizado_prueba3[[#This Row],[shipping_cost]],W:W,0))</f>
        <v>Colombia</v>
      </c>
      <c r="AA1153" s="1" t="str">
        <f t="shared" si="52"/>
        <v>Barranquilla</v>
      </c>
      <c r="AB1153" s="1"/>
      <c r="AC1153" s="1" t="str">
        <f t="shared" si="53"/>
        <v xml:space="preserve"> </v>
      </c>
    </row>
    <row r="1154" spans="1:29" x14ac:dyDescent="0.3">
      <c r="A1154" s="1" t="s">
        <v>2389</v>
      </c>
      <c r="B1154">
        <v>1</v>
      </c>
      <c r="C1154">
        <v>30.99</v>
      </c>
      <c r="D1154">
        <v>30.99</v>
      </c>
      <c r="E1154" s="1" t="s">
        <v>327</v>
      </c>
      <c r="F1154" s="1" t="s">
        <v>40</v>
      </c>
      <c r="G1154">
        <v>3</v>
      </c>
      <c r="H1154" s="1" t="s">
        <v>41</v>
      </c>
      <c r="I1154" s="1" t="s">
        <v>42</v>
      </c>
      <c r="J1154">
        <v>10.5</v>
      </c>
      <c r="K1154">
        <v>30.99</v>
      </c>
      <c r="L1154" s="1" t="s">
        <v>28</v>
      </c>
      <c r="M1154" s="1" t="s">
        <v>43</v>
      </c>
      <c r="N1154" s="1" t="s">
        <v>44</v>
      </c>
      <c r="O1154" s="1" t="s">
        <v>31</v>
      </c>
      <c r="P1154" s="2">
        <v>45823</v>
      </c>
      <c r="Q1154" s="1" t="s">
        <v>741</v>
      </c>
      <c r="R1154" s="1" t="s">
        <v>1680</v>
      </c>
      <c r="S1154" s="1" t="s">
        <v>65</v>
      </c>
      <c r="T1154" s="1" t="s">
        <v>35</v>
      </c>
      <c r="U1154" s="1" t="s">
        <v>66</v>
      </c>
      <c r="V1154" s="1" t="s">
        <v>37</v>
      </c>
      <c r="W1154">
        <v>2</v>
      </c>
      <c r="X1154" s="1" t="str">
        <f t="shared" ref="X1154:X1217" si="54">INDEX(R:R,MATCH(Q1154,Q:Q,0))</f>
        <v>maria.hernandez83@mail.com</v>
      </c>
      <c r="Y1154" s="1" t="str">
        <f>INDEX(V:V,MATCH(orders_desnormalizado_prueba3[[#This Row],[acquisition_channel]],U:U,0))</f>
        <v>AliDropship CN - envio 15-20 dias</v>
      </c>
      <c r="Z1154" s="1" t="str">
        <f>INDEX(T:T,MATCH(orders_desnormalizado_prueba3[[#This Row],[shipping_cost]],W:W,0))</f>
        <v>Colombia</v>
      </c>
      <c r="AA1154" s="1" t="str">
        <f t="shared" ref="AA1154:AA1217" si="55">INDEX(S:S,MATCH(G1154,G:G,0))</f>
        <v>Barranquilla</v>
      </c>
      <c r="AB1154" s="1"/>
      <c r="AC1154" s="1" t="str">
        <f t="shared" ref="AC1154:AC1217" si="56">IFERROR(INDEX($V:$V,MATCH(AB1154,$R:$R,0)), " ")</f>
        <v xml:space="preserve"> </v>
      </c>
    </row>
    <row r="1155" spans="1:29" x14ac:dyDescent="0.3">
      <c r="A1155" s="1" t="s">
        <v>2390</v>
      </c>
      <c r="B1155">
        <v>2</v>
      </c>
      <c r="C1155">
        <v>16.989999999999998</v>
      </c>
      <c r="D1155">
        <v>29.54</v>
      </c>
      <c r="E1155" s="1" t="s">
        <v>2391</v>
      </c>
      <c r="F1155" s="1" t="s">
        <v>40</v>
      </c>
      <c r="G1155">
        <v>20</v>
      </c>
      <c r="H1155" s="1" t="s">
        <v>41</v>
      </c>
      <c r="I1155" s="1" t="s">
        <v>59</v>
      </c>
      <c r="J1155">
        <v>5</v>
      </c>
      <c r="K1155">
        <v>16.989999999999998</v>
      </c>
      <c r="L1155" s="1" t="s">
        <v>60</v>
      </c>
      <c r="M1155" s="1" t="s">
        <v>61</v>
      </c>
      <c r="N1155" s="1" t="s">
        <v>62</v>
      </c>
      <c r="O1155" s="1" t="s">
        <v>31</v>
      </c>
      <c r="P1155" s="2">
        <v>45726</v>
      </c>
      <c r="Q1155" s="1" t="s">
        <v>990</v>
      </c>
      <c r="R1155" s="1" t="s">
        <v>1087</v>
      </c>
      <c r="S1155" s="1" t="s">
        <v>105</v>
      </c>
      <c r="T1155" s="1" t="s">
        <v>35</v>
      </c>
      <c r="U1155" s="1" t="s">
        <v>48</v>
      </c>
      <c r="V1155" s="1" t="s">
        <v>67</v>
      </c>
      <c r="W1155">
        <v>3</v>
      </c>
      <c r="X1155" s="1" t="str">
        <f t="shared" si="54"/>
        <v>fernanda.diaz94@mail.com</v>
      </c>
      <c r="Y1155" s="1" t="str">
        <f>INDEX(V:V,MATCH(orders_desnormalizado_prueba3[[#This Row],[acquisition_channel]],U:U,0))</f>
        <v>Bodega Propia CO - envio 2-3 dias</v>
      </c>
      <c r="Z1155" s="1" t="str">
        <f>INDEX(T:T,MATCH(orders_desnormalizado_prueba3[[#This Row],[shipping_cost]],W:W,0))</f>
        <v>Colombia</v>
      </c>
      <c r="AA1155" s="1" t="str">
        <f t="shared" si="55"/>
        <v>Bucaramanga</v>
      </c>
      <c r="AB1155" s="1"/>
      <c r="AC1155" s="1" t="str">
        <f t="shared" si="56"/>
        <v xml:space="preserve"> </v>
      </c>
    </row>
    <row r="1156" spans="1:29" x14ac:dyDescent="0.3">
      <c r="A1156" s="1" t="s">
        <v>2392</v>
      </c>
      <c r="B1156">
        <v>3</v>
      </c>
      <c r="C1156">
        <v>34.99</v>
      </c>
      <c r="D1156">
        <v>84.02</v>
      </c>
      <c r="E1156" s="1" t="s">
        <v>744</v>
      </c>
      <c r="F1156" s="1" t="s">
        <v>40</v>
      </c>
      <c r="G1156">
        <v>7</v>
      </c>
      <c r="H1156" s="1" t="s">
        <v>96</v>
      </c>
      <c r="I1156" s="1" t="s">
        <v>85</v>
      </c>
      <c r="J1156">
        <v>12.5</v>
      </c>
      <c r="K1156">
        <v>34.99</v>
      </c>
      <c r="L1156" s="1" t="s">
        <v>60</v>
      </c>
      <c r="M1156" s="1" t="s">
        <v>29</v>
      </c>
      <c r="N1156" s="1" t="s">
        <v>30</v>
      </c>
      <c r="O1156" s="1" t="s">
        <v>31</v>
      </c>
      <c r="P1156" s="2">
        <v>45778</v>
      </c>
      <c r="Q1156" s="1" t="s">
        <v>1349</v>
      </c>
      <c r="R1156" s="1" t="s">
        <v>1350</v>
      </c>
      <c r="S1156" s="1" t="s">
        <v>47</v>
      </c>
      <c r="T1156" s="1" t="s">
        <v>35</v>
      </c>
      <c r="U1156" s="1" t="s">
        <v>48</v>
      </c>
      <c r="V1156" s="1" t="s">
        <v>89</v>
      </c>
      <c r="W1156">
        <v>2.4</v>
      </c>
      <c r="X1156" s="1" t="str">
        <f t="shared" si="54"/>
        <v>catalina.moreno180@mail.com</v>
      </c>
      <c r="Y1156" s="1" t="str">
        <f>INDEX(V:V,MATCH(orders_desnormalizado_prueba3[[#This Row],[acquisition_channel]],U:U,0))</f>
        <v>Bodega Propia CO - envio 2-3 dias</v>
      </c>
      <c r="Z1156" s="1" t="str">
        <f>INDEX(T:T,MATCH(orders_desnormalizado_prueba3[[#This Row],[shipping_cost]],W:W,0))</f>
        <v>Colombia</v>
      </c>
      <c r="AA1156" s="1" t="str">
        <f t="shared" si="55"/>
        <v>Bogota</v>
      </c>
      <c r="AB1156" s="1"/>
      <c r="AC1156" s="1" t="str">
        <f t="shared" si="56"/>
        <v xml:space="preserve"> </v>
      </c>
    </row>
    <row r="1157" spans="1:29" x14ac:dyDescent="0.3">
      <c r="A1157" s="1" t="s">
        <v>2393</v>
      </c>
      <c r="B1157">
        <v>1</v>
      </c>
      <c r="C1157">
        <v>30.99</v>
      </c>
      <c r="D1157">
        <v>30.99</v>
      </c>
      <c r="E1157" s="1" t="s">
        <v>1047</v>
      </c>
      <c r="F1157" s="1" t="s">
        <v>40</v>
      </c>
      <c r="G1157">
        <v>2</v>
      </c>
      <c r="H1157" s="1" t="s">
        <v>26</v>
      </c>
      <c r="I1157" s="1" t="s">
        <v>42</v>
      </c>
      <c r="J1157">
        <v>10.5</v>
      </c>
      <c r="K1157">
        <v>30.99</v>
      </c>
      <c r="L1157" s="1" t="s">
        <v>28</v>
      </c>
      <c r="M1157" s="1" t="s">
        <v>43</v>
      </c>
      <c r="N1157" s="1" t="s">
        <v>44</v>
      </c>
      <c r="O1157" s="1" t="s">
        <v>31</v>
      </c>
      <c r="P1157" s="2">
        <v>45823</v>
      </c>
      <c r="Q1157" s="1" t="s">
        <v>1955</v>
      </c>
      <c r="R1157" s="1" t="s">
        <v>2394</v>
      </c>
      <c r="S1157" s="1" t="s">
        <v>105</v>
      </c>
      <c r="T1157" s="1" t="s">
        <v>35</v>
      </c>
      <c r="U1157" s="1" t="s">
        <v>82</v>
      </c>
      <c r="V1157" s="1" t="s">
        <v>37</v>
      </c>
      <c r="W1157">
        <v>2</v>
      </c>
      <c r="X1157" s="1" t="str">
        <f t="shared" si="54"/>
        <v>santiago.diaz113@mail.com</v>
      </c>
      <c r="Y1157" s="1" t="str">
        <f>INDEX(V:V,MATCH(orders_desnormalizado_prueba3[[#This Row],[acquisition_channel]],U:U,0))</f>
        <v>Bodega Propia CO - envio 2-3 dias</v>
      </c>
      <c r="Z1157" s="1" t="str">
        <f>INDEX(T:T,MATCH(orders_desnormalizado_prueba3[[#This Row],[shipping_cost]],W:W,0))</f>
        <v>Colombia</v>
      </c>
      <c r="AA1157" s="1" t="str">
        <f t="shared" si="55"/>
        <v>Medellin</v>
      </c>
      <c r="AB1157" s="1"/>
      <c r="AC1157" s="1" t="str">
        <f t="shared" si="56"/>
        <v xml:space="preserve"> </v>
      </c>
    </row>
    <row r="1158" spans="1:29" x14ac:dyDescent="0.3">
      <c r="A1158" s="1" t="s">
        <v>2395</v>
      </c>
      <c r="B1158">
        <v>1</v>
      </c>
      <c r="C1158">
        <v>27.99</v>
      </c>
      <c r="D1158">
        <v>27.99</v>
      </c>
      <c r="E1158" s="1" t="s">
        <v>2054</v>
      </c>
      <c r="F1158" s="1" t="s">
        <v>40</v>
      </c>
      <c r="G1158">
        <v>2</v>
      </c>
      <c r="H1158" s="1" t="s">
        <v>58</v>
      </c>
      <c r="I1158" s="1" t="s">
        <v>75</v>
      </c>
      <c r="J1158">
        <v>9</v>
      </c>
      <c r="K1158">
        <v>27.99</v>
      </c>
      <c r="L1158" s="1" t="s">
        <v>28</v>
      </c>
      <c r="M1158" s="1" t="s">
        <v>61</v>
      </c>
      <c r="N1158" s="1" t="s">
        <v>62</v>
      </c>
      <c r="O1158" s="1" t="s">
        <v>31</v>
      </c>
      <c r="P1158" s="2">
        <v>45726</v>
      </c>
      <c r="Q1158" s="1" t="s">
        <v>1260</v>
      </c>
      <c r="R1158" s="1" t="s">
        <v>1261</v>
      </c>
      <c r="S1158" s="1" t="s">
        <v>105</v>
      </c>
      <c r="T1158" s="1" t="s">
        <v>35</v>
      </c>
      <c r="U1158" s="1" t="s">
        <v>82</v>
      </c>
      <c r="V1158" s="1" t="s">
        <v>37</v>
      </c>
      <c r="W1158">
        <v>2</v>
      </c>
      <c r="X1158" s="1" t="str">
        <f t="shared" si="54"/>
        <v>ximena.perez20@mail.com</v>
      </c>
      <c r="Y1158" s="1" t="str">
        <f>INDEX(V:V,MATCH(orders_desnormalizado_prueba3[[#This Row],[acquisition_channel]],U:U,0))</f>
        <v>Bodega Propia CO - envio 2-3 dias</v>
      </c>
      <c r="Z1158" s="1" t="str">
        <f>INDEX(T:T,MATCH(orders_desnormalizado_prueba3[[#This Row],[shipping_cost]],W:W,0))</f>
        <v>Colombia</v>
      </c>
      <c r="AA1158" s="1" t="str">
        <f t="shared" si="55"/>
        <v>Medellin</v>
      </c>
      <c r="AB1158" s="1"/>
      <c r="AC1158" s="1" t="str">
        <f t="shared" si="56"/>
        <v xml:space="preserve"> </v>
      </c>
    </row>
    <row r="1159" spans="1:29" x14ac:dyDescent="0.3">
      <c r="A1159" s="1" t="s">
        <v>2396</v>
      </c>
      <c r="B1159">
        <v>1</v>
      </c>
      <c r="C1159">
        <v>34.99</v>
      </c>
      <c r="D1159">
        <v>34.99</v>
      </c>
      <c r="E1159" s="1" t="s">
        <v>813</v>
      </c>
      <c r="F1159" s="1" t="s">
        <v>40</v>
      </c>
      <c r="G1159">
        <v>7</v>
      </c>
      <c r="H1159" s="1" t="s">
        <v>58</v>
      </c>
      <c r="I1159" s="1" t="s">
        <v>85</v>
      </c>
      <c r="J1159">
        <v>12.5</v>
      </c>
      <c r="K1159">
        <v>34.99</v>
      </c>
      <c r="L1159" s="1" t="s">
        <v>60</v>
      </c>
      <c r="M1159" s="1" t="s">
        <v>29</v>
      </c>
      <c r="N1159" s="1" t="s">
        <v>30</v>
      </c>
      <c r="O1159" s="1" t="s">
        <v>31</v>
      </c>
      <c r="P1159" s="2">
        <v>45778</v>
      </c>
      <c r="Q1159" s="1" t="s">
        <v>118</v>
      </c>
      <c r="R1159" s="1" t="s">
        <v>1959</v>
      </c>
      <c r="S1159" s="1" t="s">
        <v>65</v>
      </c>
      <c r="T1159" s="1" t="s">
        <v>35</v>
      </c>
      <c r="U1159" s="1" t="s">
        <v>36</v>
      </c>
      <c r="V1159" s="1" t="s">
        <v>89</v>
      </c>
      <c r="W1159">
        <v>2.4</v>
      </c>
      <c r="X1159" s="1" t="str">
        <f t="shared" si="54"/>
        <v>camila.torres36@mail.com</v>
      </c>
      <c r="Y1159" s="1" t="str">
        <f>INDEX(V:V,MATCH(orders_desnormalizado_prueba3[[#This Row],[acquisition_channel]],U:U,0))</f>
        <v>Bodega Propia CO - envio 2-3 dias</v>
      </c>
      <c r="Z1159" s="1" t="str">
        <f>INDEX(T:T,MATCH(orders_desnormalizado_prueba3[[#This Row],[shipping_cost]],W:W,0))</f>
        <v>Colombia</v>
      </c>
      <c r="AA1159" s="1" t="str">
        <f t="shared" si="55"/>
        <v>Bogota</v>
      </c>
      <c r="AB1159" s="1"/>
      <c r="AC1159" s="1" t="str">
        <f t="shared" si="56"/>
        <v xml:space="preserve"> </v>
      </c>
    </row>
    <row r="1160" spans="1:29" x14ac:dyDescent="0.3">
      <c r="A1160" s="1" t="s">
        <v>2397</v>
      </c>
      <c r="B1160">
        <v>1</v>
      </c>
      <c r="C1160">
        <v>30.99</v>
      </c>
      <c r="D1160">
        <v>30.99</v>
      </c>
      <c r="E1160" s="1" t="s">
        <v>1068</v>
      </c>
      <c r="F1160" s="1" t="s">
        <v>70</v>
      </c>
      <c r="G1160">
        <v>0</v>
      </c>
      <c r="H1160" s="1" t="s">
        <v>96</v>
      </c>
      <c r="I1160" s="1" t="s">
        <v>42</v>
      </c>
      <c r="J1160">
        <v>10.5</v>
      </c>
      <c r="K1160">
        <v>30.99</v>
      </c>
      <c r="L1160" s="1" t="s">
        <v>28</v>
      </c>
      <c r="M1160" s="1" t="s">
        <v>43</v>
      </c>
      <c r="N1160" s="1" t="s">
        <v>44</v>
      </c>
      <c r="O1160" s="1" t="s">
        <v>31</v>
      </c>
      <c r="P1160" s="2">
        <v>45823</v>
      </c>
      <c r="Q1160" s="1" t="s">
        <v>2398</v>
      </c>
      <c r="R1160" s="1" t="s">
        <v>2399</v>
      </c>
      <c r="S1160" s="1" t="s">
        <v>47</v>
      </c>
      <c r="T1160" s="1" t="s">
        <v>35</v>
      </c>
      <c r="U1160" s="1" t="s">
        <v>82</v>
      </c>
      <c r="V1160" s="1" t="s">
        <v>37</v>
      </c>
      <c r="W1160">
        <v>2</v>
      </c>
      <c r="X1160" s="1" t="str">
        <f t="shared" si="54"/>
        <v>isabella.ramirez140@mail.com</v>
      </c>
      <c r="Y1160" s="1" t="str">
        <f>INDEX(V:V,MATCH(orders_desnormalizado_prueba3[[#This Row],[acquisition_channel]],U:U,0))</f>
        <v>Bodega Propia CO - envio 2-3 dias</v>
      </c>
      <c r="Z1160" s="1" t="str">
        <f>INDEX(T:T,MATCH(orders_desnormalizado_prueba3[[#This Row],[shipping_cost]],W:W,0))</f>
        <v>Colombia</v>
      </c>
      <c r="AA1160" s="1" t="str">
        <f t="shared" si="55"/>
        <v>Cartagena</v>
      </c>
      <c r="AB1160" s="1"/>
      <c r="AC1160" s="1" t="str">
        <f t="shared" si="56"/>
        <v xml:space="preserve"> </v>
      </c>
    </row>
    <row r="1161" spans="1:29" x14ac:dyDescent="0.3">
      <c r="A1161" s="1" t="s">
        <v>2400</v>
      </c>
      <c r="B1161">
        <v>3</v>
      </c>
      <c r="C1161">
        <v>16.989999999999998</v>
      </c>
      <c r="D1161">
        <v>40.85</v>
      </c>
      <c r="E1161" s="1" t="s">
        <v>447</v>
      </c>
      <c r="F1161" s="1" t="s">
        <v>40</v>
      </c>
      <c r="G1161">
        <v>18</v>
      </c>
      <c r="H1161" s="1" t="s">
        <v>41</v>
      </c>
      <c r="I1161" s="1" t="s">
        <v>59</v>
      </c>
      <c r="J1161">
        <v>5</v>
      </c>
      <c r="K1161">
        <v>16.989999999999998</v>
      </c>
      <c r="L1161" s="1" t="s">
        <v>60</v>
      </c>
      <c r="M1161" s="1" t="s">
        <v>61</v>
      </c>
      <c r="N1161" s="1" t="s">
        <v>62</v>
      </c>
      <c r="O1161" s="1" t="s">
        <v>31</v>
      </c>
      <c r="P1161" s="2">
        <v>45726</v>
      </c>
      <c r="Q1161" s="1" t="s">
        <v>1613</v>
      </c>
      <c r="R1161" s="1" t="s">
        <v>1614</v>
      </c>
      <c r="S1161" s="1" t="s">
        <v>34</v>
      </c>
      <c r="T1161" s="1" t="s">
        <v>35</v>
      </c>
      <c r="U1161" s="1" t="s">
        <v>55</v>
      </c>
      <c r="V1161" s="1" t="s">
        <v>67</v>
      </c>
      <c r="W1161">
        <v>3</v>
      </c>
      <c r="X1161" s="1" t="str">
        <f t="shared" si="54"/>
        <v>sebastian.lopez198@mail.com</v>
      </c>
      <c r="Y1161" s="1" t="str">
        <f>INDEX(V:V,MATCH(orders_desnormalizado_prueba3[[#This Row],[acquisition_channel]],U:U,0))</f>
        <v>Bodega Propia CO - envio 2-3 dias</v>
      </c>
      <c r="Z1161" s="1" t="str">
        <f>INDEX(T:T,MATCH(orders_desnormalizado_prueba3[[#This Row],[shipping_cost]],W:W,0))</f>
        <v>Colombia</v>
      </c>
      <c r="AA1161" s="1" t="str">
        <f t="shared" si="55"/>
        <v>Medellin</v>
      </c>
      <c r="AB1161" s="1"/>
      <c r="AC1161" s="1" t="str">
        <f t="shared" si="56"/>
        <v xml:space="preserve"> </v>
      </c>
    </row>
    <row r="1162" spans="1:29" x14ac:dyDescent="0.3">
      <c r="A1162" s="1" t="s">
        <v>2401</v>
      </c>
      <c r="B1162">
        <v>3</v>
      </c>
      <c r="C1162">
        <v>34.99</v>
      </c>
      <c r="D1162">
        <v>83.39</v>
      </c>
      <c r="E1162" s="1" t="s">
        <v>2348</v>
      </c>
      <c r="F1162" s="1" t="s">
        <v>40</v>
      </c>
      <c r="G1162">
        <v>6</v>
      </c>
      <c r="H1162" s="1" t="s">
        <v>41</v>
      </c>
      <c r="I1162" s="1" t="s">
        <v>85</v>
      </c>
      <c r="J1162">
        <v>12.5</v>
      </c>
      <c r="K1162">
        <v>34.99</v>
      </c>
      <c r="L1162" s="1" t="s">
        <v>60</v>
      </c>
      <c r="M1162" s="1" t="s">
        <v>29</v>
      </c>
      <c r="N1162" s="1" t="s">
        <v>30</v>
      </c>
      <c r="O1162" s="1" t="s">
        <v>31</v>
      </c>
      <c r="P1162" s="2">
        <v>45778</v>
      </c>
      <c r="Q1162" s="1" t="s">
        <v>1414</v>
      </c>
      <c r="R1162" s="1" t="s">
        <v>2402</v>
      </c>
      <c r="S1162" s="1" t="s">
        <v>34</v>
      </c>
      <c r="T1162" s="1" t="s">
        <v>35</v>
      </c>
      <c r="U1162" s="1" t="s">
        <v>55</v>
      </c>
      <c r="V1162" s="1" t="s">
        <v>89</v>
      </c>
      <c r="W1162">
        <v>2.4</v>
      </c>
      <c r="X1162" s="1" t="str">
        <f t="shared" si="54"/>
        <v>paula.lopez179@mail.com</v>
      </c>
      <c r="Y1162" s="1" t="str">
        <f>INDEX(V:V,MATCH(orders_desnormalizado_prueba3[[#This Row],[acquisition_channel]],U:U,0))</f>
        <v>Bodega Propia CO - envio 2-3 dias</v>
      </c>
      <c r="Z1162" s="1" t="str">
        <f>INDEX(T:T,MATCH(orders_desnormalizado_prueba3[[#This Row],[shipping_cost]],W:W,0))</f>
        <v>Colombia</v>
      </c>
      <c r="AA1162" s="1" t="str">
        <f t="shared" si="55"/>
        <v>Medellin</v>
      </c>
      <c r="AB1162" s="1"/>
      <c r="AC1162" s="1" t="str">
        <f t="shared" si="56"/>
        <v xml:space="preserve"> </v>
      </c>
    </row>
    <row r="1163" spans="1:29" x14ac:dyDescent="0.3">
      <c r="A1163" s="1" t="s">
        <v>2403</v>
      </c>
      <c r="B1163">
        <v>1</v>
      </c>
      <c r="C1163">
        <v>18.989999999999998</v>
      </c>
      <c r="D1163">
        <v>18.989999999999998</v>
      </c>
      <c r="E1163" s="1" t="s">
        <v>2404</v>
      </c>
      <c r="F1163" s="1" t="s">
        <v>70</v>
      </c>
      <c r="G1163">
        <v>0</v>
      </c>
      <c r="H1163" s="1" t="s">
        <v>41</v>
      </c>
      <c r="I1163" s="1" t="s">
        <v>97</v>
      </c>
      <c r="J1163">
        <v>6</v>
      </c>
      <c r="K1163">
        <v>18.989999999999998</v>
      </c>
      <c r="L1163" s="1" t="s">
        <v>60</v>
      </c>
      <c r="M1163" s="1" t="s">
        <v>43</v>
      </c>
      <c r="N1163" s="1" t="s">
        <v>44</v>
      </c>
      <c r="O1163" s="1" t="s">
        <v>31</v>
      </c>
      <c r="P1163" s="2">
        <v>45823</v>
      </c>
      <c r="Q1163" s="1" t="s">
        <v>720</v>
      </c>
      <c r="R1163" s="1" t="s">
        <v>721</v>
      </c>
      <c r="S1163" s="1" t="s">
        <v>54</v>
      </c>
      <c r="T1163" s="1" t="s">
        <v>35</v>
      </c>
      <c r="U1163" s="1" t="s">
        <v>82</v>
      </c>
      <c r="V1163" s="1" t="s">
        <v>100</v>
      </c>
      <c r="W1163">
        <v>3.2</v>
      </c>
      <c r="X1163" s="1" t="str">
        <f t="shared" si="54"/>
        <v>natalia.ortiz107@mail.com</v>
      </c>
      <c r="Y1163" s="1" t="str">
        <f>INDEX(V:V,MATCH(orders_desnormalizado_prueba3[[#This Row],[acquisition_channel]],U:U,0))</f>
        <v>Bodega Propia CO - envio 2-3 dias</v>
      </c>
      <c r="Z1163" s="1" t="str">
        <f>INDEX(T:T,MATCH(orders_desnormalizado_prueba3[[#This Row],[shipping_cost]],W:W,0))</f>
        <v>Colombia</v>
      </c>
      <c r="AA1163" s="1" t="str">
        <f t="shared" si="55"/>
        <v>Cartagena</v>
      </c>
      <c r="AB1163" s="1"/>
      <c r="AC1163" s="1" t="str">
        <f t="shared" si="56"/>
        <v xml:space="preserve"> </v>
      </c>
    </row>
    <row r="1164" spans="1:29" x14ac:dyDescent="0.3">
      <c r="A1164" s="1" t="s">
        <v>2405</v>
      </c>
      <c r="B1164">
        <v>3</v>
      </c>
      <c r="C1164">
        <v>30.99</v>
      </c>
      <c r="D1164">
        <v>74.290000000000006</v>
      </c>
      <c r="E1164" s="1" t="s">
        <v>1895</v>
      </c>
      <c r="F1164" s="1" t="s">
        <v>188</v>
      </c>
      <c r="G1164">
        <v>0</v>
      </c>
      <c r="H1164" s="1" t="s">
        <v>26</v>
      </c>
      <c r="I1164" s="1" t="s">
        <v>42</v>
      </c>
      <c r="J1164">
        <v>10.5</v>
      </c>
      <c r="K1164">
        <v>30.99</v>
      </c>
      <c r="L1164" s="1" t="s">
        <v>28</v>
      </c>
      <c r="M1164" s="1" t="s">
        <v>43</v>
      </c>
      <c r="N1164" s="1" t="s">
        <v>44</v>
      </c>
      <c r="O1164" s="1" t="s">
        <v>31</v>
      </c>
      <c r="P1164" s="2">
        <v>45823</v>
      </c>
      <c r="Q1164" s="1" t="s">
        <v>118</v>
      </c>
      <c r="R1164" s="1" t="s">
        <v>2406</v>
      </c>
      <c r="S1164" s="1" t="s">
        <v>105</v>
      </c>
      <c r="T1164" s="1" t="s">
        <v>35</v>
      </c>
      <c r="U1164" s="1" t="s">
        <v>48</v>
      </c>
      <c r="V1164" s="1" t="s">
        <v>37</v>
      </c>
      <c r="W1164">
        <v>2</v>
      </c>
      <c r="X1164" s="1" t="str">
        <f t="shared" si="54"/>
        <v>camila.torres36@mail.com</v>
      </c>
      <c r="Y1164" s="1" t="str">
        <f>INDEX(V:V,MATCH(orders_desnormalizado_prueba3[[#This Row],[acquisition_channel]],U:U,0))</f>
        <v>Bodega Propia CO - envio 2-3 dias</v>
      </c>
      <c r="Z1164" s="1" t="str">
        <f>INDEX(T:T,MATCH(orders_desnormalizado_prueba3[[#This Row],[shipping_cost]],W:W,0))</f>
        <v>Colombia</v>
      </c>
      <c r="AA1164" s="1" t="str">
        <f t="shared" si="55"/>
        <v>Cartagena</v>
      </c>
      <c r="AB1164" s="1"/>
      <c r="AC1164" s="1" t="str">
        <f t="shared" si="56"/>
        <v xml:space="preserve"> </v>
      </c>
    </row>
    <row r="1165" spans="1:29" x14ac:dyDescent="0.3">
      <c r="A1165" s="1" t="s">
        <v>2407</v>
      </c>
      <c r="B1165">
        <v>1</v>
      </c>
      <c r="C1165">
        <v>30.99</v>
      </c>
      <c r="D1165">
        <v>30.99</v>
      </c>
      <c r="E1165" s="1" t="s">
        <v>107</v>
      </c>
      <c r="F1165" s="1" t="s">
        <v>40</v>
      </c>
      <c r="G1165">
        <v>2</v>
      </c>
      <c r="H1165" s="1" t="s">
        <v>41</v>
      </c>
      <c r="I1165" s="1" t="s">
        <v>42</v>
      </c>
      <c r="J1165">
        <v>10.5</v>
      </c>
      <c r="K1165">
        <v>30.99</v>
      </c>
      <c r="L1165" s="1" t="s">
        <v>28</v>
      </c>
      <c r="M1165" s="1" t="s">
        <v>43</v>
      </c>
      <c r="N1165" s="1" t="s">
        <v>44</v>
      </c>
      <c r="O1165" s="1" t="s">
        <v>31</v>
      </c>
      <c r="P1165" s="2">
        <v>45823</v>
      </c>
      <c r="Q1165" s="1" t="s">
        <v>1408</v>
      </c>
      <c r="R1165" s="1" t="s">
        <v>2055</v>
      </c>
      <c r="S1165" s="1" t="s">
        <v>54</v>
      </c>
      <c r="T1165" s="1" t="s">
        <v>35</v>
      </c>
      <c r="U1165" s="1" t="s">
        <v>82</v>
      </c>
      <c r="V1165" s="1" t="s">
        <v>37</v>
      </c>
      <c r="W1165">
        <v>2</v>
      </c>
      <c r="X1165" s="1" t="str">
        <f t="shared" si="54"/>
        <v>gabriela.moreno85@mail.com</v>
      </c>
      <c r="Y1165" s="1" t="str">
        <f>INDEX(V:V,MATCH(orders_desnormalizado_prueba3[[#This Row],[acquisition_channel]],U:U,0))</f>
        <v>Bodega Propia CO - envio 2-3 dias</v>
      </c>
      <c r="Z1165" s="1" t="str">
        <f>INDEX(T:T,MATCH(orders_desnormalizado_prueba3[[#This Row],[shipping_cost]],W:W,0))</f>
        <v>Colombia</v>
      </c>
      <c r="AA1165" s="1" t="str">
        <f t="shared" si="55"/>
        <v>Medellin</v>
      </c>
      <c r="AB1165" s="1"/>
      <c r="AC1165" s="1" t="str">
        <f t="shared" si="56"/>
        <v xml:space="preserve"> </v>
      </c>
    </row>
    <row r="1166" spans="1:29" x14ac:dyDescent="0.3">
      <c r="A1166" s="1" t="s">
        <v>2408</v>
      </c>
      <c r="B1166">
        <v>1</v>
      </c>
      <c r="C1166">
        <v>27.99</v>
      </c>
      <c r="D1166">
        <v>27.99</v>
      </c>
      <c r="E1166" s="1" t="s">
        <v>393</v>
      </c>
      <c r="F1166" s="1" t="s">
        <v>70</v>
      </c>
      <c r="G1166">
        <v>0</v>
      </c>
      <c r="H1166" s="1" t="s">
        <v>41</v>
      </c>
      <c r="I1166" s="1" t="s">
        <v>75</v>
      </c>
      <c r="J1166">
        <v>9</v>
      </c>
      <c r="K1166">
        <v>27.99</v>
      </c>
      <c r="L1166" s="1" t="s">
        <v>28</v>
      </c>
      <c r="M1166" s="1" t="s">
        <v>61</v>
      </c>
      <c r="N1166" s="1" t="s">
        <v>62</v>
      </c>
      <c r="O1166" s="1" t="s">
        <v>31</v>
      </c>
      <c r="P1166" s="2">
        <v>45726</v>
      </c>
      <c r="Q1166" s="1" t="s">
        <v>732</v>
      </c>
      <c r="R1166" s="1" t="s">
        <v>825</v>
      </c>
      <c r="S1166" s="1" t="s">
        <v>47</v>
      </c>
      <c r="T1166" s="1" t="s">
        <v>35</v>
      </c>
      <c r="U1166" s="1" t="s">
        <v>66</v>
      </c>
      <c r="V1166" s="1" t="s">
        <v>37</v>
      </c>
      <c r="W1166">
        <v>2</v>
      </c>
      <c r="X1166" s="1" t="str">
        <f t="shared" si="54"/>
        <v>ximena.martinez177@mail.com</v>
      </c>
      <c r="Y1166" s="1" t="str">
        <f>INDEX(V:V,MATCH(orders_desnormalizado_prueba3[[#This Row],[acquisition_channel]],U:U,0))</f>
        <v>AliDropship CN - envio 15-20 dias</v>
      </c>
      <c r="Z1166" s="1" t="str">
        <f>INDEX(T:T,MATCH(orders_desnormalizado_prueba3[[#This Row],[shipping_cost]],W:W,0))</f>
        <v>Colombia</v>
      </c>
      <c r="AA1166" s="1" t="str">
        <f t="shared" si="55"/>
        <v>Cartagena</v>
      </c>
      <c r="AB1166" s="1"/>
      <c r="AC1166" s="1" t="str">
        <f t="shared" si="56"/>
        <v xml:space="preserve"> </v>
      </c>
    </row>
    <row r="1167" spans="1:29" x14ac:dyDescent="0.3">
      <c r="A1167" s="1" t="s">
        <v>2409</v>
      </c>
      <c r="B1167">
        <v>3</v>
      </c>
      <c r="C1167">
        <v>18.989999999999998</v>
      </c>
      <c r="D1167">
        <v>44.78</v>
      </c>
      <c r="E1167" s="1" t="s">
        <v>1588</v>
      </c>
      <c r="F1167" s="1" t="s">
        <v>40</v>
      </c>
      <c r="G1167">
        <v>12</v>
      </c>
      <c r="H1167" s="1" t="s">
        <v>41</v>
      </c>
      <c r="I1167" s="1" t="s">
        <v>97</v>
      </c>
      <c r="J1167">
        <v>6</v>
      </c>
      <c r="K1167">
        <v>18.989999999999998</v>
      </c>
      <c r="L1167" s="1" t="s">
        <v>60</v>
      </c>
      <c r="M1167" s="1" t="s">
        <v>43</v>
      </c>
      <c r="N1167" s="1" t="s">
        <v>44</v>
      </c>
      <c r="O1167" s="1" t="s">
        <v>31</v>
      </c>
      <c r="P1167" s="2">
        <v>45823</v>
      </c>
      <c r="Q1167" s="1" t="s">
        <v>385</v>
      </c>
      <c r="R1167" s="1" t="s">
        <v>998</v>
      </c>
      <c r="S1167" s="1" t="s">
        <v>54</v>
      </c>
      <c r="T1167" s="1" t="s">
        <v>35</v>
      </c>
      <c r="U1167" s="1" t="s">
        <v>48</v>
      </c>
      <c r="V1167" s="1" t="s">
        <v>100</v>
      </c>
      <c r="W1167">
        <v>3.2</v>
      </c>
      <c r="X1167" s="1" t="str">
        <f t="shared" si="54"/>
        <v>isabella.sanchez53@mail.com</v>
      </c>
      <c r="Y1167" s="1" t="str">
        <f>INDEX(V:V,MATCH(orders_desnormalizado_prueba3[[#This Row],[acquisition_channel]],U:U,0))</f>
        <v>Bodega Propia CO - envio 2-3 dias</v>
      </c>
      <c r="Z1167" s="1" t="str">
        <f>INDEX(T:T,MATCH(orders_desnormalizado_prueba3[[#This Row],[shipping_cost]],W:W,0))</f>
        <v>Colombia</v>
      </c>
      <c r="AA1167" s="1" t="str">
        <f t="shared" si="55"/>
        <v>Cartagena</v>
      </c>
      <c r="AB1167" s="1"/>
      <c r="AC1167" s="1" t="str">
        <f t="shared" si="56"/>
        <v xml:space="preserve"> </v>
      </c>
    </row>
    <row r="1168" spans="1:29" x14ac:dyDescent="0.3">
      <c r="A1168" s="1" t="s">
        <v>2410</v>
      </c>
      <c r="B1168">
        <v>1</v>
      </c>
      <c r="C1168">
        <v>18.989999999999998</v>
      </c>
      <c r="D1168">
        <v>18.989999999999998</v>
      </c>
      <c r="E1168" s="1" t="s">
        <v>831</v>
      </c>
      <c r="F1168" s="1" t="s">
        <v>51</v>
      </c>
      <c r="G1168">
        <v>0</v>
      </c>
      <c r="H1168" s="1" t="s">
        <v>26</v>
      </c>
      <c r="I1168" s="1" t="s">
        <v>97</v>
      </c>
      <c r="J1168">
        <v>6</v>
      </c>
      <c r="K1168">
        <v>18.989999999999998</v>
      </c>
      <c r="L1168" s="1" t="s">
        <v>60</v>
      </c>
      <c r="M1168" s="1" t="s">
        <v>43</v>
      </c>
      <c r="N1168" s="1" t="s">
        <v>44</v>
      </c>
      <c r="O1168" s="1" t="s">
        <v>31</v>
      </c>
      <c r="P1168" s="2">
        <v>45823</v>
      </c>
      <c r="Q1168" s="1" t="s">
        <v>161</v>
      </c>
      <c r="R1168" s="1" t="s">
        <v>2096</v>
      </c>
      <c r="S1168" s="1" t="s">
        <v>34</v>
      </c>
      <c r="T1168" s="1" t="s">
        <v>35</v>
      </c>
      <c r="U1168" s="1" t="s">
        <v>48</v>
      </c>
      <c r="V1168" s="1" t="s">
        <v>100</v>
      </c>
      <c r="W1168">
        <v>3.2</v>
      </c>
      <c r="X1168" s="1" t="str">
        <f t="shared" si="54"/>
        <v>miguel.vargas74@mail.com</v>
      </c>
      <c r="Y1168" s="1" t="str">
        <f>INDEX(V:V,MATCH(orders_desnormalizado_prueba3[[#This Row],[acquisition_channel]],U:U,0))</f>
        <v>Bodega Propia CO - envio 2-3 dias</v>
      </c>
      <c r="Z1168" s="1" t="str">
        <f>INDEX(T:T,MATCH(orders_desnormalizado_prueba3[[#This Row],[shipping_cost]],W:W,0))</f>
        <v>Colombia</v>
      </c>
      <c r="AA1168" s="1" t="str">
        <f t="shared" si="55"/>
        <v>Cartagena</v>
      </c>
      <c r="AB1168" s="1"/>
      <c r="AC1168" s="1" t="str">
        <f t="shared" si="56"/>
        <v xml:space="preserve"> </v>
      </c>
    </row>
    <row r="1169" spans="1:29" x14ac:dyDescent="0.3">
      <c r="A1169" s="1" t="s">
        <v>2411</v>
      </c>
      <c r="B1169">
        <v>1</v>
      </c>
      <c r="C1169">
        <v>18.989999999999998</v>
      </c>
      <c r="D1169">
        <v>18.989999999999998</v>
      </c>
      <c r="E1169" s="1" t="s">
        <v>2412</v>
      </c>
      <c r="F1169" s="1" t="s">
        <v>25</v>
      </c>
      <c r="G1169">
        <v>17</v>
      </c>
      <c r="H1169" s="1" t="s">
        <v>41</v>
      </c>
      <c r="I1169" s="1" t="s">
        <v>97</v>
      </c>
      <c r="J1169">
        <v>6</v>
      </c>
      <c r="K1169">
        <v>18.989999999999998</v>
      </c>
      <c r="L1169" s="1" t="s">
        <v>60</v>
      </c>
      <c r="M1169" s="1" t="s">
        <v>43</v>
      </c>
      <c r="N1169" s="1" t="s">
        <v>44</v>
      </c>
      <c r="O1169" s="1" t="s">
        <v>31</v>
      </c>
      <c r="P1169" s="2">
        <v>45823</v>
      </c>
      <c r="Q1169" s="1" t="s">
        <v>161</v>
      </c>
      <c r="R1169" s="1" t="s">
        <v>2096</v>
      </c>
      <c r="S1169" s="1" t="s">
        <v>34</v>
      </c>
      <c r="T1169" s="1" t="s">
        <v>35</v>
      </c>
      <c r="U1169" s="1" t="s">
        <v>48</v>
      </c>
      <c r="V1169" s="1" t="s">
        <v>100</v>
      </c>
      <c r="W1169">
        <v>3.2</v>
      </c>
      <c r="X1169" s="1" t="str">
        <f t="shared" si="54"/>
        <v>miguel.vargas74@mail.com</v>
      </c>
      <c r="Y1169" s="1" t="str">
        <f>INDEX(V:V,MATCH(orders_desnormalizado_prueba3[[#This Row],[acquisition_channel]],U:U,0))</f>
        <v>Bodega Propia CO - envio 2-3 dias</v>
      </c>
      <c r="Z1169" s="1" t="str">
        <f>INDEX(T:T,MATCH(orders_desnormalizado_prueba3[[#This Row],[shipping_cost]],W:W,0))</f>
        <v>Colombia</v>
      </c>
      <c r="AA1169" s="1" t="str">
        <f t="shared" si="55"/>
        <v>Barranquilla</v>
      </c>
      <c r="AB1169" s="1"/>
      <c r="AC1169" s="1" t="str">
        <f t="shared" si="56"/>
        <v xml:space="preserve"> </v>
      </c>
    </row>
    <row r="1170" spans="1:29" x14ac:dyDescent="0.3">
      <c r="A1170" s="1" t="s">
        <v>2413</v>
      </c>
      <c r="B1170">
        <v>1</v>
      </c>
      <c r="C1170">
        <v>16.989999999999998</v>
      </c>
      <c r="D1170">
        <v>16.989999999999998</v>
      </c>
      <c r="E1170" s="1" t="s">
        <v>452</v>
      </c>
      <c r="F1170" s="1" t="s">
        <v>40</v>
      </c>
      <c r="G1170">
        <v>16</v>
      </c>
      <c r="H1170" s="1" t="s">
        <v>26</v>
      </c>
      <c r="I1170" s="1" t="s">
        <v>59</v>
      </c>
      <c r="J1170">
        <v>5</v>
      </c>
      <c r="K1170">
        <v>16.989999999999998</v>
      </c>
      <c r="L1170" s="1" t="s">
        <v>60</v>
      </c>
      <c r="M1170" s="1" t="s">
        <v>61</v>
      </c>
      <c r="N1170" s="1" t="s">
        <v>62</v>
      </c>
      <c r="O1170" s="1" t="s">
        <v>31</v>
      </c>
      <c r="P1170" s="2">
        <v>45726</v>
      </c>
      <c r="Q1170" s="1" t="s">
        <v>1487</v>
      </c>
      <c r="R1170" s="1" t="s">
        <v>1557</v>
      </c>
      <c r="S1170" s="1" t="s">
        <v>47</v>
      </c>
      <c r="T1170" s="1" t="s">
        <v>35</v>
      </c>
      <c r="U1170" s="1" t="s">
        <v>82</v>
      </c>
      <c r="V1170" s="1" t="s">
        <v>67</v>
      </c>
      <c r="W1170">
        <v>3</v>
      </c>
      <c r="X1170" s="1" t="str">
        <f t="shared" si="54"/>
        <v>sofia.vargas151@mail.com</v>
      </c>
      <c r="Y1170" s="1" t="str">
        <f>INDEX(V:V,MATCH(orders_desnormalizado_prueba3[[#This Row],[acquisition_channel]],U:U,0))</f>
        <v>Bodega Propia CO - envio 2-3 dias</v>
      </c>
      <c r="Z1170" s="1" t="str">
        <f>INDEX(T:T,MATCH(orders_desnormalizado_prueba3[[#This Row],[shipping_cost]],W:W,0))</f>
        <v>Colombia</v>
      </c>
      <c r="AA1170" s="1" t="str">
        <f t="shared" si="55"/>
        <v>Bogota</v>
      </c>
      <c r="AB1170" s="1"/>
      <c r="AC1170" s="1" t="str">
        <f t="shared" si="56"/>
        <v xml:space="preserve"> </v>
      </c>
    </row>
    <row r="1171" spans="1:29" x14ac:dyDescent="0.3">
      <c r="A1171" s="1" t="s">
        <v>2414</v>
      </c>
      <c r="B1171">
        <v>1</v>
      </c>
      <c r="C1171">
        <v>34.99</v>
      </c>
      <c r="D1171">
        <v>34.99</v>
      </c>
      <c r="E1171" s="1" t="s">
        <v>1968</v>
      </c>
      <c r="F1171" s="1" t="s">
        <v>40</v>
      </c>
      <c r="G1171">
        <v>6</v>
      </c>
      <c r="H1171" s="1" t="s">
        <v>41</v>
      </c>
      <c r="I1171" s="1" t="s">
        <v>85</v>
      </c>
      <c r="J1171">
        <v>12.5</v>
      </c>
      <c r="K1171">
        <v>34.99</v>
      </c>
      <c r="L1171" s="1" t="s">
        <v>60</v>
      </c>
      <c r="M1171" s="1" t="s">
        <v>29</v>
      </c>
      <c r="N1171" s="1" t="s">
        <v>30</v>
      </c>
      <c r="O1171" s="1" t="s">
        <v>31</v>
      </c>
      <c r="P1171" s="2">
        <v>45778</v>
      </c>
      <c r="Q1171" s="1" t="s">
        <v>1157</v>
      </c>
      <c r="R1171" s="1" t="s">
        <v>1158</v>
      </c>
      <c r="S1171" s="1" t="s">
        <v>105</v>
      </c>
      <c r="T1171" s="1" t="s">
        <v>35</v>
      </c>
      <c r="U1171" s="1" t="s">
        <v>55</v>
      </c>
      <c r="V1171" s="1" t="s">
        <v>89</v>
      </c>
      <c r="W1171">
        <v>2.4</v>
      </c>
      <c r="X1171" s="1" t="str">
        <f t="shared" si="54"/>
        <v>alejandro.ramirez94@mail.com</v>
      </c>
      <c r="Y1171" s="1" t="str">
        <f>INDEX(V:V,MATCH(orders_desnormalizado_prueba3[[#This Row],[acquisition_channel]],U:U,0))</f>
        <v>Bodega Propia CO - envio 2-3 dias</v>
      </c>
      <c r="Z1171" s="1" t="str">
        <f>INDEX(T:T,MATCH(orders_desnormalizado_prueba3[[#This Row],[shipping_cost]],W:W,0))</f>
        <v>Colombia</v>
      </c>
      <c r="AA1171" s="1" t="str">
        <f t="shared" si="55"/>
        <v>Medellin</v>
      </c>
      <c r="AB1171" s="1"/>
      <c r="AC1171" s="1" t="str">
        <f t="shared" si="56"/>
        <v xml:space="preserve"> </v>
      </c>
    </row>
    <row r="1172" spans="1:29" x14ac:dyDescent="0.3">
      <c r="A1172" s="1" t="s">
        <v>2415</v>
      </c>
      <c r="B1172">
        <v>1</v>
      </c>
      <c r="C1172">
        <v>27.99</v>
      </c>
      <c r="D1172">
        <v>27.99</v>
      </c>
      <c r="E1172" s="1" t="s">
        <v>2416</v>
      </c>
      <c r="F1172" s="1" t="s">
        <v>40</v>
      </c>
      <c r="G1172">
        <v>2</v>
      </c>
      <c r="H1172" s="1" t="s">
        <v>41</v>
      </c>
      <c r="I1172" s="1" t="s">
        <v>75</v>
      </c>
      <c r="J1172">
        <v>9</v>
      </c>
      <c r="K1172">
        <v>27.99</v>
      </c>
      <c r="L1172" s="1" t="s">
        <v>28</v>
      </c>
      <c r="M1172" s="1" t="s">
        <v>61</v>
      </c>
      <c r="N1172" s="1" t="s">
        <v>62</v>
      </c>
      <c r="O1172" s="1" t="s">
        <v>31</v>
      </c>
      <c r="P1172" s="2">
        <v>45726</v>
      </c>
      <c r="Q1172" s="1" t="s">
        <v>1083</v>
      </c>
      <c r="R1172" s="1" t="s">
        <v>1084</v>
      </c>
      <c r="S1172" s="1" t="s">
        <v>47</v>
      </c>
      <c r="T1172" s="1" t="s">
        <v>35</v>
      </c>
      <c r="U1172" s="1" t="s">
        <v>36</v>
      </c>
      <c r="V1172" s="1" t="s">
        <v>37</v>
      </c>
      <c r="W1172">
        <v>2</v>
      </c>
      <c r="X1172" s="1" t="str">
        <f t="shared" si="54"/>
        <v>andres.ramirez90@mail.com</v>
      </c>
      <c r="Y1172" s="1" t="str">
        <f>INDEX(V:V,MATCH(orders_desnormalizado_prueba3[[#This Row],[acquisition_channel]],U:U,0))</f>
        <v>Bodega Propia CO - envio 2-3 dias</v>
      </c>
      <c r="Z1172" s="1" t="str">
        <f>INDEX(T:T,MATCH(orders_desnormalizado_prueba3[[#This Row],[shipping_cost]],W:W,0))</f>
        <v>Colombia</v>
      </c>
      <c r="AA1172" s="1" t="str">
        <f t="shared" si="55"/>
        <v>Medellin</v>
      </c>
      <c r="AB1172" s="1"/>
      <c r="AC1172" s="1" t="str">
        <f t="shared" si="56"/>
        <v xml:space="preserve"> </v>
      </c>
    </row>
    <row r="1173" spans="1:29" x14ac:dyDescent="0.3">
      <c r="A1173" s="1" t="s">
        <v>2417</v>
      </c>
      <c r="B1173">
        <v>1</v>
      </c>
      <c r="C1173">
        <v>16.989999999999998</v>
      </c>
      <c r="D1173">
        <v>16.989999999999998</v>
      </c>
      <c r="E1173" s="1" t="s">
        <v>2167</v>
      </c>
      <c r="F1173" s="1" t="s">
        <v>40</v>
      </c>
      <c r="G1173">
        <v>20</v>
      </c>
      <c r="H1173" s="1" t="s">
        <v>58</v>
      </c>
      <c r="I1173" s="1" t="s">
        <v>59</v>
      </c>
      <c r="J1173">
        <v>5</v>
      </c>
      <c r="K1173">
        <v>16.989999999999998</v>
      </c>
      <c r="L1173" s="1" t="s">
        <v>60</v>
      </c>
      <c r="M1173" s="1" t="s">
        <v>61</v>
      </c>
      <c r="N1173" s="1" t="s">
        <v>62</v>
      </c>
      <c r="O1173" s="1" t="s">
        <v>31</v>
      </c>
      <c r="P1173" s="2">
        <v>45726</v>
      </c>
      <c r="Q1173" s="1" t="s">
        <v>1398</v>
      </c>
      <c r="R1173" s="1" t="s">
        <v>1399</v>
      </c>
      <c r="S1173" s="1" t="s">
        <v>54</v>
      </c>
      <c r="T1173" s="1" t="s">
        <v>35</v>
      </c>
      <c r="U1173" s="1" t="s">
        <v>48</v>
      </c>
      <c r="V1173" s="1" t="s">
        <v>67</v>
      </c>
      <c r="W1173">
        <v>3</v>
      </c>
      <c r="X1173" s="1" t="str">
        <f t="shared" si="54"/>
        <v>camila.lopez178@mail.com</v>
      </c>
      <c r="Y1173" s="1" t="str">
        <f>INDEX(V:V,MATCH(orders_desnormalizado_prueba3[[#This Row],[acquisition_channel]],U:U,0))</f>
        <v>Bodega Propia CO - envio 2-3 dias</v>
      </c>
      <c r="Z1173" s="1" t="str">
        <f>INDEX(T:T,MATCH(orders_desnormalizado_prueba3[[#This Row],[shipping_cost]],W:W,0))</f>
        <v>Colombia</v>
      </c>
      <c r="AA1173" s="1" t="str">
        <f t="shared" si="55"/>
        <v>Bucaramanga</v>
      </c>
      <c r="AB1173" s="1"/>
      <c r="AC1173" s="1" t="str">
        <f t="shared" si="56"/>
        <v xml:space="preserve"> </v>
      </c>
    </row>
    <row r="1174" spans="1:29" x14ac:dyDescent="0.3">
      <c r="A1174" s="1" t="s">
        <v>2418</v>
      </c>
      <c r="B1174">
        <v>1</v>
      </c>
      <c r="C1174">
        <v>21.99</v>
      </c>
      <c r="D1174">
        <v>21.99</v>
      </c>
      <c r="E1174" s="1" t="s">
        <v>2419</v>
      </c>
      <c r="F1174" s="1" t="s">
        <v>40</v>
      </c>
      <c r="G1174">
        <v>8</v>
      </c>
      <c r="H1174" s="1" t="s">
        <v>58</v>
      </c>
      <c r="I1174" s="1" t="s">
        <v>27</v>
      </c>
      <c r="J1174">
        <v>7</v>
      </c>
      <c r="K1174">
        <v>21.99</v>
      </c>
      <c r="L1174" s="1" t="s">
        <v>28</v>
      </c>
      <c r="M1174" s="1" t="s">
        <v>29</v>
      </c>
      <c r="N1174" s="1" t="s">
        <v>30</v>
      </c>
      <c r="O1174" s="1" t="s">
        <v>31</v>
      </c>
      <c r="P1174" s="2">
        <v>45778</v>
      </c>
      <c r="Q1174" s="1" t="s">
        <v>2276</v>
      </c>
      <c r="R1174" s="1" t="s">
        <v>2277</v>
      </c>
      <c r="S1174" s="1" t="s">
        <v>105</v>
      </c>
      <c r="T1174" s="1" t="s">
        <v>35</v>
      </c>
      <c r="U1174" s="1" t="s">
        <v>48</v>
      </c>
      <c r="V1174" s="1" t="s">
        <v>37</v>
      </c>
      <c r="W1174">
        <v>2</v>
      </c>
      <c r="X1174" s="1" t="str">
        <f t="shared" si="54"/>
        <v>esteban.lopez36@mail.com</v>
      </c>
      <c r="Y1174" s="1" t="str">
        <f>INDEX(V:V,MATCH(orders_desnormalizado_prueba3[[#This Row],[acquisition_channel]],U:U,0))</f>
        <v>Bodega Propia CO - envio 2-3 dias</v>
      </c>
      <c r="Z1174" s="1" t="str">
        <f>INDEX(T:T,MATCH(orders_desnormalizado_prueba3[[#This Row],[shipping_cost]],W:W,0))</f>
        <v>Colombia</v>
      </c>
      <c r="AA1174" s="1" t="str">
        <f t="shared" si="55"/>
        <v>Barranquilla</v>
      </c>
      <c r="AB1174" s="1"/>
      <c r="AC1174" s="1" t="str">
        <f t="shared" si="56"/>
        <v xml:space="preserve"> </v>
      </c>
    </row>
    <row r="1175" spans="1:29" x14ac:dyDescent="0.3">
      <c r="A1175" s="1" t="s">
        <v>2420</v>
      </c>
      <c r="B1175">
        <v>3</v>
      </c>
      <c r="C1175">
        <v>18.989999999999998</v>
      </c>
      <c r="D1175">
        <v>45.11</v>
      </c>
      <c r="E1175" s="1" t="s">
        <v>2421</v>
      </c>
      <c r="F1175" s="1" t="s">
        <v>40</v>
      </c>
      <c r="G1175">
        <v>20</v>
      </c>
      <c r="H1175" s="1" t="s">
        <v>58</v>
      </c>
      <c r="I1175" s="1" t="s">
        <v>97</v>
      </c>
      <c r="J1175">
        <v>6</v>
      </c>
      <c r="K1175">
        <v>18.989999999999998</v>
      </c>
      <c r="L1175" s="1" t="s">
        <v>60</v>
      </c>
      <c r="M1175" s="1" t="s">
        <v>43</v>
      </c>
      <c r="N1175" s="1" t="s">
        <v>44</v>
      </c>
      <c r="O1175" s="1" t="s">
        <v>31</v>
      </c>
      <c r="P1175" s="2">
        <v>45823</v>
      </c>
      <c r="Q1175" s="1" t="s">
        <v>943</v>
      </c>
      <c r="R1175" s="1" t="s">
        <v>1346</v>
      </c>
      <c r="S1175" s="1" t="s">
        <v>54</v>
      </c>
      <c r="T1175" s="1" t="s">
        <v>35</v>
      </c>
      <c r="U1175" s="1" t="s">
        <v>55</v>
      </c>
      <c r="V1175" s="1" t="s">
        <v>100</v>
      </c>
      <c r="W1175">
        <v>3.2</v>
      </c>
      <c r="X1175" s="1" t="str">
        <f t="shared" si="54"/>
        <v>diego.lopez18@mail.com</v>
      </c>
      <c r="Y1175" s="1" t="str">
        <f>INDEX(V:V,MATCH(orders_desnormalizado_prueba3[[#This Row],[acquisition_channel]],U:U,0))</f>
        <v>Bodega Propia CO - envio 2-3 dias</v>
      </c>
      <c r="Z1175" s="1" t="str">
        <f>INDEX(T:T,MATCH(orders_desnormalizado_prueba3[[#This Row],[shipping_cost]],W:W,0))</f>
        <v>Colombia</v>
      </c>
      <c r="AA1175" s="1" t="str">
        <f t="shared" si="55"/>
        <v>Bucaramanga</v>
      </c>
      <c r="AB1175" s="1"/>
      <c r="AC1175" s="1" t="str">
        <f t="shared" si="56"/>
        <v xml:space="preserve"> </v>
      </c>
    </row>
    <row r="1176" spans="1:29" x14ac:dyDescent="0.3">
      <c r="A1176" s="1" t="s">
        <v>2422</v>
      </c>
      <c r="B1176">
        <v>3</v>
      </c>
      <c r="C1176">
        <v>27.99</v>
      </c>
      <c r="D1176">
        <v>67.709999999999994</v>
      </c>
      <c r="E1176" s="1" t="s">
        <v>2062</v>
      </c>
      <c r="F1176" s="1" t="s">
        <v>51</v>
      </c>
      <c r="G1176">
        <v>0</v>
      </c>
      <c r="H1176" s="1" t="s">
        <v>58</v>
      </c>
      <c r="I1176" s="1" t="s">
        <v>75</v>
      </c>
      <c r="J1176">
        <v>9</v>
      </c>
      <c r="K1176">
        <v>27.99</v>
      </c>
      <c r="L1176" s="1" t="s">
        <v>28</v>
      </c>
      <c r="M1176" s="1" t="s">
        <v>61</v>
      </c>
      <c r="N1176" s="1" t="s">
        <v>62</v>
      </c>
      <c r="O1176" s="1" t="s">
        <v>31</v>
      </c>
      <c r="P1176" s="2">
        <v>45726</v>
      </c>
      <c r="Q1176" s="1" t="s">
        <v>1024</v>
      </c>
      <c r="R1176" s="1" t="s">
        <v>1025</v>
      </c>
      <c r="S1176" s="1" t="s">
        <v>34</v>
      </c>
      <c r="T1176" s="1" t="s">
        <v>35</v>
      </c>
      <c r="U1176" s="1" t="s">
        <v>66</v>
      </c>
      <c r="V1176" s="1" t="s">
        <v>37</v>
      </c>
      <c r="W1176">
        <v>2</v>
      </c>
      <c r="X1176" s="1" t="str">
        <f t="shared" si="54"/>
        <v>camila.gomez147@mail.com</v>
      </c>
      <c r="Y1176" s="1" t="str">
        <f>INDEX(V:V,MATCH(orders_desnormalizado_prueba3[[#This Row],[acquisition_channel]],U:U,0))</f>
        <v>AliDropship CN - envio 15-20 dias</v>
      </c>
      <c r="Z1176" s="1" t="str">
        <f>INDEX(T:T,MATCH(orders_desnormalizado_prueba3[[#This Row],[shipping_cost]],W:W,0))</f>
        <v>Colombia</v>
      </c>
      <c r="AA1176" s="1" t="str">
        <f t="shared" si="55"/>
        <v>Cartagena</v>
      </c>
      <c r="AB1176" s="1"/>
      <c r="AC1176" s="1" t="str">
        <f t="shared" si="56"/>
        <v xml:space="preserve"> </v>
      </c>
    </row>
    <row r="1177" spans="1:29" x14ac:dyDescent="0.3">
      <c r="A1177" s="1" t="s">
        <v>2423</v>
      </c>
      <c r="B1177">
        <v>1</v>
      </c>
      <c r="C1177">
        <v>27.99</v>
      </c>
      <c r="D1177">
        <v>27.99</v>
      </c>
      <c r="E1177" s="1" t="s">
        <v>1832</v>
      </c>
      <c r="F1177" s="1" t="s">
        <v>70</v>
      </c>
      <c r="G1177">
        <v>0</v>
      </c>
      <c r="H1177" s="1" t="s">
        <v>58</v>
      </c>
      <c r="I1177" s="1" t="s">
        <v>75</v>
      </c>
      <c r="J1177">
        <v>9</v>
      </c>
      <c r="K1177">
        <v>27.99</v>
      </c>
      <c r="L1177" s="1" t="s">
        <v>28</v>
      </c>
      <c r="M1177" s="1" t="s">
        <v>61</v>
      </c>
      <c r="N1177" s="1" t="s">
        <v>62</v>
      </c>
      <c r="O1177" s="1" t="s">
        <v>31</v>
      </c>
      <c r="P1177" s="2">
        <v>45726</v>
      </c>
      <c r="Q1177" s="1" t="s">
        <v>2424</v>
      </c>
      <c r="R1177" s="1" t="s">
        <v>2425</v>
      </c>
      <c r="S1177" s="1" t="s">
        <v>47</v>
      </c>
      <c r="T1177" s="1" t="s">
        <v>35</v>
      </c>
      <c r="U1177" s="1" t="s">
        <v>66</v>
      </c>
      <c r="V1177" s="1" t="s">
        <v>37</v>
      </c>
      <c r="W1177">
        <v>2</v>
      </c>
      <c r="X1177" s="1" t="str">
        <f t="shared" si="54"/>
        <v>ximena.ramirez160@mail.com</v>
      </c>
      <c r="Y1177" s="1" t="str">
        <f>INDEX(V:V,MATCH(orders_desnormalizado_prueba3[[#This Row],[acquisition_channel]],U:U,0))</f>
        <v>AliDropship CN - envio 15-20 dias</v>
      </c>
      <c r="Z1177" s="1" t="str">
        <f>INDEX(T:T,MATCH(orders_desnormalizado_prueba3[[#This Row],[shipping_cost]],W:W,0))</f>
        <v>Colombia</v>
      </c>
      <c r="AA1177" s="1" t="str">
        <f t="shared" si="55"/>
        <v>Cartagena</v>
      </c>
      <c r="AB1177" s="1"/>
      <c r="AC1177" s="1" t="str">
        <f t="shared" si="56"/>
        <v xml:space="preserve"> </v>
      </c>
    </row>
    <row r="1178" spans="1:29" x14ac:dyDescent="0.3">
      <c r="A1178" s="1" t="s">
        <v>2426</v>
      </c>
      <c r="B1178">
        <v>1</v>
      </c>
      <c r="C1178">
        <v>18.989999999999998</v>
      </c>
      <c r="D1178">
        <v>18.989999999999998</v>
      </c>
      <c r="E1178" s="1" t="s">
        <v>1230</v>
      </c>
      <c r="F1178" s="1" t="s">
        <v>51</v>
      </c>
      <c r="G1178">
        <v>0</v>
      </c>
      <c r="H1178" s="1" t="s">
        <v>96</v>
      </c>
      <c r="I1178" s="1" t="s">
        <v>97</v>
      </c>
      <c r="J1178">
        <v>6</v>
      </c>
      <c r="K1178">
        <v>18.989999999999998</v>
      </c>
      <c r="L1178" s="1" t="s">
        <v>60</v>
      </c>
      <c r="M1178" s="1" t="s">
        <v>43</v>
      </c>
      <c r="N1178" s="1" t="s">
        <v>44</v>
      </c>
      <c r="O1178" s="1" t="s">
        <v>31</v>
      </c>
      <c r="P1178" s="2">
        <v>45823</v>
      </c>
      <c r="Q1178" s="1" t="s">
        <v>2427</v>
      </c>
      <c r="R1178" s="1" t="s">
        <v>2428</v>
      </c>
      <c r="S1178" s="1" t="s">
        <v>54</v>
      </c>
      <c r="T1178" s="1" t="s">
        <v>35</v>
      </c>
      <c r="U1178" s="1" t="s">
        <v>48</v>
      </c>
      <c r="V1178" s="1" t="s">
        <v>100</v>
      </c>
      <c r="W1178">
        <v>3.2</v>
      </c>
      <c r="X1178" s="1" t="str">
        <f t="shared" si="54"/>
        <v>miguel.ortiz48@mail.com</v>
      </c>
      <c r="Y1178" s="1" t="str">
        <f>INDEX(V:V,MATCH(orders_desnormalizado_prueba3[[#This Row],[acquisition_channel]],U:U,0))</f>
        <v>Bodega Propia CO - envio 2-3 dias</v>
      </c>
      <c r="Z1178" s="1" t="str">
        <f>INDEX(T:T,MATCH(orders_desnormalizado_prueba3[[#This Row],[shipping_cost]],W:W,0))</f>
        <v>Colombia</v>
      </c>
      <c r="AA1178" s="1" t="str">
        <f t="shared" si="55"/>
        <v>Cartagena</v>
      </c>
      <c r="AB1178" s="1"/>
      <c r="AC1178" s="1" t="str">
        <f t="shared" si="56"/>
        <v xml:space="preserve"> </v>
      </c>
    </row>
    <row r="1179" spans="1:29" x14ac:dyDescent="0.3">
      <c r="A1179" s="1" t="s">
        <v>2429</v>
      </c>
      <c r="B1179">
        <v>3</v>
      </c>
      <c r="C1179">
        <v>34.99</v>
      </c>
      <c r="D1179">
        <v>83.13</v>
      </c>
      <c r="E1179" s="1" t="s">
        <v>272</v>
      </c>
      <c r="F1179" s="1" t="s">
        <v>40</v>
      </c>
      <c r="G1179">
        <v>6</v>
      </c>
      <c r="H1179" s="1" t="s">
        <v>58</v>
      </c>
      <c r="I1179" s="1" t="s">
        <v>85</v>
      </c>
      <c r="J1179">
        <v>12.5</v>
      </c>
      <c r="K1179">
        <v>34.99</v>
      </c>
      <c r="L1179" s="1" t="s">
        <v>60</v>
      </c>
      <c r="M1179" s="1" t="s">
        <v>29</v>
      </c>
      <c r="N1179" s="1" t="s">
        <v>30</v>
      </c>
      <c r="O1179" s="1" t="s">
        <v>31</v>
      </c>
      <c r="P1179" s="2">
        <v>45778</v>
      </c>
      <c r="Q1179" s="1" t="s">
        <v>1253</v>
      </c>
      <c r="R1179" s="1" t="s">
        <v>1875</v>
      </c>
      <c r="S1179" s="1" t="s">
        <v>105</v>
      </c>
      <c r="T1179" s="1" t="s">
        <v>35</v>
      </c>
      <c r="U1179" s="1" t="s">
        <v>66</v>
      </c>
      <c r="V1179" s="1" t="s">
        <v>89</v>
      </c>
      <c r="W1179">
        <v>2.4</v>
      </c>
      <c r="X1179" s="1" t="str">
        <f t="shared" si="54"/>
        <v>sofia.ortiz121@mail.com</v>
      </c>
      <c r="Y1179" s="1" t="str">
        <f>INDEX(V:V,MATCH(orders_desnormalizado_prueba3[[#This Row],[acquisition_channel]],U:U,0))</f>
        <v>AliDropship CN - envio 15-20 dias</v>
      </c>
      <c r="Z1179" s="1" t="str">
        <f>INDEX(T:T,MATCH(orders_desnormalizado_prueba3[[#This Row],[shipping_cost]],W:W,0))</f>
        <v>Colombia</v>
      </c>
      <c r="AA1179" s="1" t="str">
        <f t="shared" si="55"/>
        <v>Medellin</v>
      </c>
      <c r="AB1179" s="1"/>
      <c r="AC1179" s="1" t="str">
        <f t="shared" si="56"/>
        <v xml:space="preserve"> </v>
      </c>
    </row>
    <row r="1180" spans="1:29" x14ac:dyDescent="0.3">
      <c r="A1180" s="1" t="s">
        <v>2430</v>
      </c>
      <c r="B1180">
        <v>3</v>
      </c>
      <c r="C1180">
        <v>30.99</v>
      </c>
      <c r="D1180">
        <v>73.66</v>
      </c>
      <c r="E1180" s="1" t="s">
        <v>1170</v>
      </c>
      <c r="F1180" s="1" t="s">
        <v>40</v>
      </c>
      <c r="G1180">
        <v>6</v>
      </c>
      <c r="H1180" s="1" t="s">
        <v>41</v>
      </c>
      <c r="I1180" s="1" t="s">
        <v>42</v>
      </c>
      <c r="J1180">
        <v>10.5</v>
      </c>
      <c r="K1180">
        <v>30.99</v>
      </c>
      <c r="L1180" s="1" t="s">
        <v>28</v>
      </c>
      <c r="M1180" s="1" t="s">
        <v>43</v>
      </c>
      <c r="N1180" s="1" t="s">
        <v>44</v>
      </c>
      <c r="O1180" s="1" t="s">
        <v>31</v>
      </c>
      <c r="P1180" s="2">
        <v>45823</v>
      </c>
      <c r="Q1180" s="1" t="s">
        <v>1349</v>
      </c>
      <c r="R1180" s="1" t="s">
        <v>1439</v>
      </c>
      <c r="S1180" s="1" t="s">
        <v>65</v>
      </c>
      <c r="T1180" s="1" t="s">
        <v>35</v>
      </c>
      <c r="U1180" s="1" t="s">
        <v>36</v>
      </c>
      <c r="V1180" s="1" t="s">
        <v>37</v>
      </c>
      <c r="W1180">
        <v>2</v>
      </c>
      <c r="X1180" s="1" t="str">
        <f t="shared" si="54"/>
        <v>catalina.moreno180@mail.com</v>
      </c>
      <c r="Y1180" s="1" t="str">
        <f>INDEX(V:V,MATCH(orders_desnormalizado_prueba3[[#This Row],[acquisition_channel]],U:U,0))</f>
        <v>Bodega Propia CO - envio 2-3 dias</v>
      </c>
      <c r="Z1180" s="1" t="str">
        <f>INDEX(T:T,MATCH(orders_desnormalizado_prueba3[[#This Row],[shipping_cost]],W:W,0))</f>
        <v>Colombia</v>
      </c>
      <c r="AA1180" s="1" t="str">
        <f t="shared" si="55"/>
        <v>Medellin</v>
      </c>
      <c r="AB1180" s="1"/>
      <c r="AC1180" s="1" t="str">
        <f t="shared" si="56"/>
        <v xml:space="preserve"> </v>
      </c>
    </row>
    <row r="1181" spans="1:29" x14ac:dyDescent="0.3">
      <c r="A1181" s="1" t="s">
        <v>2431</v>
      </c>
      <c r="B1181">
        <v>1</v>
      </c>
      <c r="C1181">
        <v>34.99</v>
      </c>
      <c r="D1181">
        <v>34.99</v>
      </c>
      <c r="E1181" s="1" t="s">
        <v>1431</v>
      </c>
      <c r="F1181" s="1" t="s">
        <v>188</v>
      </c>
      <c r="G1181">
        <v>0</v>
      </c>
      <c r="H1181" s="1" t="s">
        <v>41</v>
      </c>
      <c r="I1181" s="1" t="s">
        <v>85</v>
      </c>
      <c r="J1181">
        <v>12.5</v>
      </c>
      <c r="K1181">
        <v>34.99</v>
      </c>
      <c r="L1181" s="1" t="s">
        <v>60</v>
      </c>
      <c r="M1181" s="1" t="s">
        <v>29</v>
      </c>
      <c r="N1181" s="1" t="s">
        <v>30</v>
      </c>
      <c r="O1181" s="1" t="s">
        <v>31</v>
      </c>
      <c r="P1181" s="2">
        <v>45778</v>
      </c>
      <c r="Q1181" s="1" t="s">
        <v>182</v>
      </c>
      <c r="R1181" s="1" t="s">
        <v>754</v>
      </c>
      <c r="S1181" s="1" t="s">
        <v>65</v>
      </c>
      <c r="T1181" s="1" t="s">
        <v>35</v>
      </c>
      <c r="U1181" s="1" t="s">
        <v>36</v>
      </c>
      <c r="V1181" s="1" t="s">
        <v>89</v>
      </c>
      <c r="W1181">
        <v>2.4</v>
      </c>
      <c r="X1181" s="1" t="str">
        <f t="shared" si="54"/>
        <v>daniela.gomez75@mail.com</v>
      </c>
      <c r="Y1181" s="1" t="str">
        <f>INDEX(V:V,MATCH(orders_desnormalizado_prueba3[[#This Row],[acquisition_channel]],U:U,0))</f>
        <v>Bodega Propia CO - envio 2-3 dias</v>
      </c>
      <c r="Z1181" s="1" t="str">
        <f>INDEX(T:T,MATCH(orders_desnormalizado_prueba3[[#This Row],[shipping_cost]],W:W,0))</f>
        <v>Colombia</v>
      </c>
      <c r="AA1181" s="1" t="str">
        <f t="shared" si="55"/>
        <v>Cartagena</v>
      </c>
      <c r="AB1181" s="1"/>
      <c r="AC1181" s="1" t="str">
        <f t="shared" si="56"/>
        <v xml:space="preserve"> </v>
      </c>
    </row>
    <row r="1182" spans="1:29" x14ac:dyDescent="0.3">
      <c r="A1182" s="1" t="s">
        <v>2432</v>
      </c>
      <c r="B1182">
        <v>1</v>
      </c>
      <c r="C1182">
        <v>18.989999999999998</v>
      </c>
      <c r="D1182">
        <v>18.989999999999998</v>
      </c>
      <c r="E1182" s="1" t="s">
        <v>2433</v>
      </c>
      <c r="F1182" s="1" t="s">
        <v>51</v>
      </c>
      <c r="G1182">
        <v>0</v>
      </c>
      <c r="H1182" s="1" t="s">
        <v>58</v>
      </c>
      <c r="I1182" s="1" t="s">
        <v>97</v>
      </c>
      <c r="J1182">
        <v>6</v>
      </c>
      <c r="K1182">
        <v>18.989999999999998</v>
      </c>
      <c r="L1182" s="1" t="s">
        <v>60</v>
      </c>
      <c r="M1182" s="1" t="s">
        <v>43</v>
      </c>
      <c r="N1182" s="1" t="s">
        <v>44</v>
      </c>
      <c r="O1182" s="1" t="s">
        <v>31</v>
      </c>
      <c r="P1182" s="2">
        <v>45823</v>
      </c>
      <c r="Q1182" s="1" t="s">
        <v>161</v>
      </c>
      <c r="R1182" s="1" t="s">
        <v>2096</v>
      </c>
      <c r="S1182" s="1" t="s">
        <v>34</v>
      </c>
      <c r="T1182" s="1" t="s">
        <v>35</v>
      </c>
      <c r="U1182" s="1" t="s">
        <v>48</v>
      </c>
      <c r="V1182" s="1" t="s">
        <v>100</v>
      </c>
      <c r="W1182">
        <v>3.2</v>
      </c>
      <c r="X1182" s="1" t="str">
        <f t="shared" si="54"/>
        <v>miguel.vargas74@mail.com</v>
      </c>
      <c r="Y1182" s="1" t="str">
        <f>INDEX(V:V,MATCH(orders_desnormalizado_prueba3[[#This Row],[acquisition_channel]],U:U,0))</f>
        <v>Bodega Propia CO - envio 2-3 dias</v>
      </c>
      <c r="Z1182" s="1" t="str">
        <f>INDEX(T:T,MATCH(orders_desnormalizado_prueba3[[#This Row],[shipping_cost]],W:W,0))</f>
        <v>Colombia</v>
      </c>
      <c r="AA1182" s="1" t="str">
        <f t="shared" si="55"/>
        <v>Cartagena</v>
      </c>
      <c r="AB1182" s="1"/>
      <c r="AC1182" s="1" t="str">
        <f t="shared" si="56"/>
        <v xml:space="preserve"> </v>
      </c>
    </row>
    <row r="1183" spans="1:29" x14ac:dyDescent="0.3">
      <c r="A1183" s="1" t="s">
        <v>2434</v>
      </c>
      <c r="B1183">
        <v>1</v>
      </c>
      <c r="C1183">
        <v>21.99</v>
      </c>
      <c r="D1183">
        <v>21.99</v>
      </c>
      <c r="E1183" s="1" t="s">
        <v>338</v>
      </c>
      <c r="F1183" s="1" t="s">
        <v>40</v>
      </c>
      <c r="G1183">
        <v>3</v>
      </c>
      <c r="H1183" s="1" t="s">
        <v>26</v>
      </c>
      <c r="I1183" s="1" t="s">
        <v>27</v>
      </c>
      <c r="J1183">
        <v>7</v>
      </c>
      <c r="K1183">
        <v>21.99</v>
      </c>
      <c r="L1183" s="1" t="s">
        <v>28</v>
      </c>
      <c r="M1183" s="1" t="s">
        <v>29</v>
      </c>
      <c r="N1183" s="1" t="s">
        <v>30</v>
      </c>
      <c r="O1183" s="1" t="s">
        <v>31</v>
      </c>
      <c r="P1183" s="2">
        <v>45778</v>
      </c>
      <c r="Q1183" s="1" t="s">
        <v>385</v>
      </c>
      <c r="R1183" s="1" t="s">
        <v>998</v>
      </c>
      <c r="S1183" s="1" t="s">
        <v>54</v>
      </c>
      <c r="T1183" s="1" t="s">
        <v>35</v>
      </c>
      <c r="U1183" s="1" t="s">
        <v>48</v>
      </c>
      <c r="V1183" s="1" t="s">
        <v>37</v>
      </c>
      <c r="W1183">
        <v>2</v>
      </c>
      <c r="X1183" s="1" t="str">
        <f t="shared" si="54"/>
        <v>isabella.sanchez53@mail.com</v>
      </c>
      <c r="Y1183" s="1" t="str">
        <f>INDEX(V:V,MATCH(orders_desnormalizado_prueba3[[#This Row],[acquisition_channel]],U:U,0))</f>
        <v>Bodega Propia CO - envio 2-3 dias</v>
      </c>
      <c r="Z1183" s="1" t="str">
        <f>INDEX(T:T,MATCH(orders_desnormalizado_prueba3[[#This Row],[shipping_cost]],W:W,0))</f>
        <v>Colombia</v>
      </c>
      <c r="AA1183" s="1" t="str">
        <f t="shared" si="55"/>
        <v>Barranquilla</v>
      </c>
      <c r="AB1183" s="1"/>
      <c r="AC1183" s="1" t="str">
        <f t="shared" si="56"/>
        <v xml:space="preserve"> </v>
      </c>
    </row>
    <row r="1184" spans="1:29" x14ac:dyDescent="0.3">
      <c r="A1184" s="1" t="s">
        <v>2435</v>
      </c>
      <c r="B1184">
        <v>3</v>
      </c>
      <c r="C1184">
        <v>21.99</v>
      </c>
      <c r="D1184">
        <v>52.8</v>
      </c>
      <c r="E1184" s="1" t="s">
        <v>209</v>
      </c>
      <c r="F1184" s="1" t="s">
        <v>70</v>
      </c>
      <c r="G1184">
        <v>0</v>
      </c>
      <c r="H1184" s="1" t="s">
        <v>41</v>
      </c>
      <c r="I1184" s="1" t="s">
        <v>27</v>
      </c>
      <c r="J1184">
        <v>7</v>
      </c>
      <c r="K1184">
        <v>21.99</v>
      </c>
      <c r="L1184" s="1" t="s">
        <v>28</v>
      </c>
      <c r="M1184" s="1" t="s">
        <v>29</v>
      </c>
      <c r="N1184" s="1" t="s">
        <v>30</v>
      </c>
      <c r="O1184" s="1" t="s">
        <v>31</v>
      </c>
      <c r="P1184" s="2">
        <v>45778</v>
      </c>
      <c r="Q1184" s="1" t="s">
        <v>1336</v>
      </c>
      <c r="R1184" s="1" t="s">
        <v>1337</v>
      </c>
      <c r="S1184" s="1" t="s">
        <v>105</v>
      </c>
      <c r="T1184" s="1" t="s">
        <v>35</v>
      </c>
      <c r="U1184" s="1" t="s">
        <v>55</v>
      </c>
      <c r="V1184" s="1" t="s">
        <v>37</v>
      </c>
      <c r="W1184">
        <v>2</v>
      </c>
      <c r="X1184" s="1" t="str">
        <f t="shared" si="54"/>
        <v>felipe.torres155@mail.com</v>
      </c>
      <c r="Y1184" s="1" t="str">
        <f>INDEX(V:V,MATCH(orders_desnormalizado_prueba3[[#This Row],[acquisition_channel]],U:U,0))</f>
        <v>Bodega Propia CO - envio 2-3 dias</v>
      </c>
      <c r="Z1184" s="1" t="str">
        <f>INDEX(T:T,MATCH(orders_desnormalizado_prueba3[[#This Row],[shipping_cost]],W:W,0))</f>
        <v>Colombia</v>
      </c>
      <c r="AA1184" s="1" t="str">
        <f t="shared" si="55"/>
        <v>Cartagena</v>
      </c>
      <c r="AB1184" s="1"/>
      <c r="AC1184" s="1" t="str">
        <f t="shared" si="56"/>
        <v xml:space="preserve"> </v>
      </c>
    </row>
    <row r="1185" spans="1:29" x14ac:dyDescent="0.3">
      <c r="A1185" s="1" t="s">
        <v>2436</v>
      </c>
      <c r="B1185">
        <v>1</v>
      </c>
      <c r="C1185">
        <v>30.99</v>
      </c>
      <c r="D1185">
        <v>30.99</v>
      </c>
      <c r="E1185" s="1" t="s">
        <v>617</v>
      </c>
      <c r="F1185" s="1" t="s">
        <v>40</v>
      </c>
      <c r="G1185">
        <v>2</v>
      </c>
      <c r="H1185" s="1" t="s">
        <v>58</v>
      </c>
      <c r="I1185" s="1" t="s">
        <v>42</v>
      </c>
      <c r="J1185">
        <v>10.5</v>
      </c>
      <c r="K1185">
        <v>30.99</v>
      </c>
      <c r="L1185" s="1" t="s">
        <v>28</v>
      </c>
      <c r="M1185" s="1" t="s">
        <v>43</v>
      </c>
      <c r="N1185" s="1" t="s">
        <v>44</v>
      </c>
      <c r="O1185" s="1" t="s">
        <v>31</v>
      </c>
      <c r="P1185" s="2">
        <v>45823</v>
      </c>
      <c r="Q1185" s="1" t="s">
        <v>1480</v>
      </c>
      <c r="R1185" s="1" t="s">
        <v>1481</v>
      </c>
      <c r="S1185" s="1" t="s">
        <v>34</v>
      </c>
      <c r="T1185" s="1" t="s">
        <v>35</v>
      </c>
      <c r="U1185" s="1" t="s">
        <v>66</v>
      </c>
      <c r="V1185" s="1" t="s">
        <v>37</v>
      </c>
      <c r="W1185">
        <v>2</v>
      </c>
      <c r="X1185" s="1" t="str">
        <f t="shared" si="54"/>
        <v>sebastian.ortiz129@mail.com</v>
      </c>
      <c r="Y1185" s="1" t="str">
        <f>INDEX(V:V,MATCH(orders_desnormalizado_prueba3[[#This Row],[acquisition_channel]],U:U,0))</f>
        <v>AliDropship CN - envio 15-20 dias</v>
      </c>
      <c r="Z1185" s="1" t="str">
        <f>INDEX(T:T,MATCH(orders_desnormalizado_prueba3[[#This Row],[shipping_cost]],W:W,0))</f>
        <v>Colombia</v>
      </c>
      <c r="AA1185" s="1" t="str">
        <f t="shared" si="55"/>
        <v>Medellin</v>
      </c>
      <c r="AB1185" s="1"/>
      <c r="AC1185" s="1" t="str">
        <f t="shared" si="56"/>
        <v xml:space="preserve"> </v>
      </c>
    </row>
    <row r="1186" spans="1:29" x14ac:dyDescent="0.3">
      <c r="A1186" s="1" t="s">
        <v>2437</v>
      </c>
      <c r="B1186">
        <v>1</v>
      </c>
      <c r="C1186">
        <v>18.989999999999998</v>
      </c>
      <c r="D1186">
        <v>18.989999999999998</v>
      </c>
      <c r="E1186" s="1" t="s">
        <v>109</v>
      </c>
      <c r="F1186" s="1" t="s">
        <v>51</v>
      </c>
      <c r="G1186">
        <v>0</v>
      </c>
      <c r="H1186" s="1" t="s">
        <v>26</v>
      </c>
      <c r="I1186" s="1" t="s">
        <v>97</v>
      </c>
      <c r="J1186">
        <v>6</v>
      </c>
      <c r="K1186">
        <v>18.989999999999998</v>
      </c>
      <c r="L1186" s="1" t="s">
        <v>60</v>
      </c>
      <c r="M1186" s="1" t="s">
        <v>43</v>
      </c>
      <c r="N1186" s="1" t="s">
        <v>44</v>
      </c>
      <c r="O1186" s="1" t="s">
        <v>31</v>
      </c>
      <c r="P1186" s="2">
        <v>45823</v>
      </c>
      <c r="Q1186" s="1" t="s">
        <v>1260</v>
      </c>
      <c r="R1186" s="1" t="s">
        <v>1261</v>
      </c>
      <c r="S1186" s="1" t="s">
        <v>105</v>
      </c>
      <c r="T1186" s="1" t="s">
        <v>35</v>
      </c>
      <c r="U1186" s="1" t="s">
        <v>82</v>
      </c>
      <c r="V1186" s="1" t="s">
        <v>100</v>
      </c>
      <c r="W1186">
        <v>3.2</v>
      </c>
      <c r="X1186" s="1" t="str">
        <f t="shared" si="54"/>
        <v>ximena.perez20@mail.com</v>
      </c>
      <c r="Y1186" s="1" t="str">
        <f>INDEX(V:V,MATCH(orders_desnormalizado_prueba3[[#This Row],[acquisition_channel]],U:U,0))</f>
        <v>Bodega Propia CO - envio 2-3 dias</v>
      </c>
      <c r="Z1186" s="1" t="str">
        <f>INDEX(T:T,MATCH(orders_desnormalizado_prueba3[[#This Row],[shipping_cost]],W:W,0))</f>
        <v>Colombia</v>
      </c>
      <c r="AA1186" s="1" t="str">
        <f t="shared" si="55"/>
        <v>Cartagena</v>
      </c>
      <c r="AB1186" s="1"/>
      <c r="AC1186" s="1" t="str">
        <f t="shared" si="56"/>
        <v xml:space="preserve"> </v>
      </c>
    </row>
    <row r="1187" spans="1:29" x14ac:dyDescent="0.3">
      <c r="A1187" s="1" t="s">
        <v>2438</v>
      </c>
      <c r="B1187">
        <v>3</v>
      </c>
      <c r="C1187">
        <v>27.99</v>
      </c>
      <c r="D1187">
        <v>67.7</v>
      </c>
      <c r="E1187" s="1" t="s">
        <v>1271</v>
      </c>
      <c r="F1187" s="1" t="s">
        <v>40</v>
      </c>
      <c r="G1187">
        <v>3</v>
      </c>
      <c r="H1187" s="1" t="s">
        <v>58</v>
      </c>
      <c r="I1187" s="1" t="s">
        <v>75</v>
      </c>
      <c r="J1187">
        <v>9</v>
      </c>
      <c r="K1187">
        <v>27.99</v>
      </c>
      <c r="L1187" s="1" t="s">
        <v>28</v>
      </c>
      <c r="M1187" s="1" t="s">
        <v>61</v>
      </c>
      <c r="N1187" s="1" t="s">
        <v>62</v>
      </c>
      <c r="O1187" s="1" t="s">
        <v>31</v>
      </c>
      <c r="P1187" s="2">
        <v>45726</v>
      </c>
      <c r="Q1187" s="1" t="s">
        <v>1137</v>
      </c>
      <c r="R1187" s="1" t="s">
        <v>2255</v>
      </c>
      <c r="S1187" s="1" t="s">
        <v>65</v>
      </c>
      <c r="T1187" s="1" t="s">
        <v>35</v>
      </c>
      <c r="U1187" s="1" t="s">
        <v>36</v>
      </c>
      <c r="V1187" s="1" t="s">
        <v>37</v>
      </c>
      <c r="W1187">
        <v>2</v>
      </c>
      <c r="X1187" s="1" t="str">
        <f t="shared" si="54"/>
        <v>santiago.ortiz166@mail.com</v>
      </c>
      <c r="Y1187" s="1" t="str">
        <f>INDEX(V:V,MATCH(orders_desnormalizado_prueba3[[#This Row],[acquisition_channel]],U:U,0))</f>
        <v>Bodega Propia CO - envio 2-3 dias</v>
      </c>
      <c r="Z1187" s="1" t="str">
        <f>INDEX(T:T,MATCH(orders_desnormalizado_prueba3[[#This Row],[shipping_cost]],W:W,0))</f>
        <v>Colombia</v>
      </c>
      <c r="AA1187" s="1" t="str">
        <f t="shared" si="55"/>
        <v>Barranquilla</v>
      </c>
      <c r="AB1187" s="1"/>
      <c r="AC1187" s="1" t="str">
        <f t="shared" si="56"/>
        <v xml:space="preserve"> </v>
      </c>
    </row>
    <row r="1188" spans="1:29" x14ac:dyDescent="0.3">
      <c r="A1188" s="1" t="s">
        <v>2439</v>
      </c>
      <c r="B1188">
        <v>1</v>
      </c>
      <c r="C1188">
        <v>16.989999999999998</v>
      </c>
      <c r="D1188">
        <v>16.989999999999998</v>
      </c>
      <c r="E1188" s="1" t="s">
        <v>1574</v>
      </c>
      <c r="F1188" s="1" t="s">
        <v>70</v>
      </c>
      <c r="G1188">
        <v>0</v>
      </c>
      <c r="H1188" s="1" t="s">
        <v>96</v>
      </c>
      <c r="I1188" s="1" t="s">
        <v>59</v>
      </c>
      <c r="J1188">
        <v>5</v>
      </c>
      <c r="K1188">
        <v>16.989999999999998</v>
      </c>
      <c r="L1188" s="1" t="s">
        <v>60</v>
      </c>
      <c r="M1188" s="1" t="s">
        <v>61</v>
      </c>
      <c r="N1188" s="1" t="s">
        <v>62</v>
      </c>
      <c r="O1188" s="1" t="s">
        <v>31</v>
      </c>
      <c r="P1188" s="2">
        <v>45726</v>
      </c>
      <c r="Q1188" s="1" t="s">
        <v>1385</v>
      </c>
      <c r="R1188" s="1" t="s">
        <v>1386</v>
      </c>
      <c r="S1188" s="1" t="s">
        <v>47</v>
      </c>
      <c r="T1188" s="1" t="s">
        <v>35</v>
      </c>
      <c r="U1188" s="1" t="s">
        <v>66</v>
      </c>
      <c r="V1188" s="1" t="s">
        <v>67</v>
      </c>
      <c r="W1188">
        <v>3</v>
      </c>
      <c r="X1188" s="1" t="str">
        <f t="shared" si="54"/>
        <v>catalina.torres188@mail.com</v>
      </c>
      <c r="Y1188" s="1" t="str">
        <f>INDEX(V:V,MATCH(orders_desnormalizado_prueba3[[#This Row],[acquisition_channel]],U:U,0))</f>
        <v>AliDropship CN - envio 15-20 dias</v>
      </c>
      <c r="Z1188" s="1" t="str">
        <f>INDEX(T:T,MATCH(orders_desnormalizado_prueba3[[#This Row],[shipping_cost]],W:W,0))</f>
        <v>Colombia</v>
      </c>
      <c r="AA1188" s="1" t="str">
        <f t="shared" si="55"/>
        <v>Cartagena</v>
      </c>
      <c r="AB1188" s="1"/>
      <c r="AC1188" s="1" t="str">
        <f t="shared" si="56"/>
        <v xml:space="preserve"> </v>
      </c>
    </row>
    <row r="1189" spans="1:29" x14ac:dyDescent="0.3">
      <c r="A1189" s="1" t="s">
        <v>2440</v>
      </c>
      <c r="B1189">
        <v>1</v>
      </c>
      <c r="C1189">
        <v>30.99</v>
      </c>
      <c r="D1189">
        <v>30.99</v>
      </c>
      <c r="E1189" s="1" t="s">
        <v>1086</v>
      </c>
      <c r="F1189" s="1" t="s">
        <v>40</v>
      </c>
      <c r="G1189">
        <v>6</v>
      </c>
      <c r="H1189" s="1" t="s">
        <v>41</v>
      </c>
      <c r="I1189" s="1" t="s">
        <v>42</v>
      </c>
      <c r="J1189">
        <v>10.5</v>
      </c>
      <c r="K1189">
        <v>30.99</v>
      </c>
      <c r="L1189" s="1" t="s">
        <v>28</v>
      </c>
      <c r="M1189" s="1" t="s">
        <v>43</v>
      </c>
      <c r="N1189" s="1" t="s">
        <v>44</v>
      </c>
      <c r="O1189" s="1" t="s">
        <v>31</v>
      </c>
      <c r="P1189" s="2">
        <v>45823</v>
      </c>
      <c r="Q1189" s="1" t="s">
        <v>428</v>
      </c>
      <c r="R1189" s="1" t="s">
        <v>1094</v>
      </c>
      <c r="S1189" s="1" t="s">
        <v>105</v>
      </c>
      <c r="T1189" s="1" t="s">
        <v>35</v>
      </c>
      <c r="U1189" s="1" t="s">
        <v>36</v>
      </c>
      <c r="V1189" s="1" t="s">
        <v>37</v>
      </c>
      <c r="W1189">
        <v>2</v>
      </c>
      <c r="X1189" s="1" t="str">
        <f t="shared" si="54"/>
        <v>andres.castro163@mail.com</v>
      </c>
      <c r="Y1189" s="1" t="str">
        <f>INDEX(V:V,MATCH(orders_desnormalizado_prueba3[[#This Row],[acquisition_channel]],U:U,0))</f>
        <v>Bodega Propia CO - envio 2-3 dias</v>
      </c>
      <c r="Z1189" s="1" t="str">
        <f>INDEX(T:T,MATCH(orders_desnormalizado_prueba3[[#This Row],[shipping_cost]],W:W,0))</f>
        <v>Colombia</v>
      </c>
      <c r="AA1189" s="1" t="str">
        <f t="shared" si="55"/>
        <v>Medellin</v>
      </c>
      <c r="AB1189" s="1"/>
      <c r="AC1189" s="1" t="str">
        <f t="shared" si="56"/>
        <v xml:space="preserve"> </v>
      </c>
    </row>
    <row r="1190" spans="1:29" x14ac:dyDescent="0.3">
      <c r="A1190" s="1" t="s">
        <v>2441</v>
      </c>
      <c r="B1190">
        <v>1</v>
      </c>
      <c r="C1190">
        <v>27.99</v>
      </c>
      <c r="D1190">
        <v>27.99</v>
      </c>
      <c r="E1190" s="1" t="s">
        <v>1411</v>
      </c>
      <c r="F1190" s="1" t="s">
        <v>40</v>
      </c>
      <c r="G1190">
        <v>3</v>
      </c>
      <c r="H1190" s="1" t="s">
        <v>96</v>
      </c>
      <c r="I1190" s="1" t="s">
        <v>75</v>
      </c>
      <c r="J1190">
        <v>9</v>
      </c>
      <c r="K1190">
        <v>27.99</v>
      </c>
      <c r="L1190" s="1" t="s">
        <v>28</v>
      </c>
      <c r="M1190" s="1" t="s">
        <v>61</v>
      </c>
      <c r="N1190" s="1" t="s">
        <v>62</v>
      </c>
      <c r="O1190" s="1" t="s">
        <v>31</v>
      </c>
      <c r="P1190" s="2">
        <v>45726</v>
      </c>
      <c r="Q1190" s="1" t="s">
        <v>1676</v>
      </c>
      <c r="R1190" s="1" t="s">
        <v>1677</v>
      </c>
      <c r="S1190" s="1" t="s">
        <v>105</v>
      </c>
      <c r="T1190" s="1" t="s">
        <v>35</v>
      </c>
      <c r="U1190" s="1" t="s">
        <v>66</v>
      </c>
      <c r="V1190" s="1" t="s">
        <v>37</v>
      </c>
      <c r="W1190">
        <v>2</v>
      </c>
      <c r="X1190" s="1" t="str">
        <f t="shared" si="54"/>
        <v>antonia.perez1@mail.com</v>
      </c>
      <c r="Y1190" s="1" t="str">
        <f>INDEX(V:V,MATCH(orders_desnormalizado_prueba3[[#This Row],[acquisition_channel]],U:U,0))</f>
        <v>AliDropship CN - envio 15-20 dias</v>
      </c>
      <c r="Z1190" s="1" t="str">
        <f>INDEX(T:T,MATCH(orders_desnormalizado_prueba3[[#This Row],[shipping_cost]],W:W,0))</f>
        <v>Colombia</v>
      </c>
      <c r="AA1190" s="1" t="str">
        <f t="shared" si="55"/>
        <v>Barranquilla</v>
      </c>
      <c r="AB1190" s="1"/>
      <c r="AC1190" s="1" t="str">
        <f t="shared" si="56"/>
        <v xml:space="preserve"> </v>
      </c>
    </row>
    <row r="1191" spans="1:29" x14ac:dyDescent="0.3">
      <c r="A1191" s="1" t="s">
        <v>2442</v>
      </c>
      <c r="B1191">
        <v>3</v>
      </c>
      <c r="C1191">
        <v>21.99</v>
      </c>
      <c r="D1191">
        <v>52.66</v>
      </c>
      <c r="E1191" s="1" t="s">
        <v>1590</v>
      </c>
      <c r="F1191" s="1" t="s">
        <v>40</v>
      </c>
      <c r="G1191">
        <v>3</v>
      </c>
      <c r="H1191" s="1" t="s">
        <v>58</v>
      </c>
      <c r="I1191" s="1" t="s">
        <v>27</v>
      </c>
      <c r="J1191">
        <v>7</v>
      </c>
      <c r="K1191">
        <v>21.99</v>
      </c>
      <c r="L1191" s="1" t="s">
        <v>28</v>
      </c>
      <c r="M1191" s="1" t="s">
        <v>29</v>
      </c>
      <c r="N1191" s="1" t="s">
        <v>30</v>
      </c>
      <c r="O1191" s="1" t="s">
        <v>31</v>
      </c>
      <c r="P1191" s="2">
        <v>45778</v>
      </c>
      <c r="Q1191" s="1" t="s">
        <v>1256</v>
      </c>
      <c r="R1191" s="1" t="s">
        <v>1257</v>
      </c>
      <c r="S1191" s="1" t="s">
        <v>47</v>
      </c>
      <c r="T1191" s="1" t="s">
        <v>35</v>
      </c>
      <c r="U1191" s="1" t="s">
        <v>82</v>
      </c>
      <c r="V1191" s="1" t="s">
        <v>37</v>
      </c>
      <c r="W1191">
        <v>2</v>
      </c>
      <c r="X1191" s="1" t="str">
        <f t="shared" si="54"/>
        <v>antonia.diaz128@mail.com</v>
      </c>
      <c r="Y1191" s="1" t="str">
        <f>INDEX(V:V,MATCH(orders_desnormalizado_prueba3[[#This Row],[acquisition_channel]],U:U,0))</f>
        <v>Bodega Propia CO - envio 2-3 dias</v>
      </c>
      <c r="Z1191" s="1" t="str">
        <f>INDEX(T:T,MATCH(orders_desnormalizado_prueba3[[#This Row],[shipping_cost]],W:W,0))</f>
        <v>Colombia</v>
      </c>
      <c r="AA1191" s="1" t="str">
        <f t="shared" si="55"/>
        <v>Barranquilla</v>
      </c>
      <c r="AB1191" s="1"/>
      <c r="AC1191" s="1" t="str">
        <f t="shared" si="56"/>
        <v xml:space="preserve"> </v>
      </c>
    </row>
    <row r="1192" spans="1:29" x14ac:dyDescent="0.3">
      <c r="A1192" s="1" t="s">
        <v>2443</v>
      </c>
      <c r="B1192">
        <v>1</v>
      </c>
      <c r="C1192">
        <v>21.99</v>
      </c>
      <c r="D1192">
        <v>21.99</v>
      </c>
      <c r="E1192" s="1" t="s">
        <v>2444</v>
      </c>
      <c r="F1192" s="1" t="s">
        <v>40</v>
      </c>
      <c r="G1192">
        <v>3</v>
      </c>
      <c r="H1192" s="1" t="s">
        <v>96</v>
      </c>
      <c r="I1192" s="1" t="s">
        <v>27</v>
      </c>
      <c r="J1192">
        <v>7</v>
      </c>
      <c r="K1192">
        <v>21.99</v>
      </c>
      <c r="L1192" s="1" t="s">
        <v>28</v>
      </c>
      <c r="M1192" s="1" t="s">
        <v>29</v>
      </c>
      <c r="N1192" s="1" t="s">
        <v>30</v>
      </c>
      <c r="O1192" s="1" t="s">
        <v>31</v>
      </c>
      <c r="P1192" s="2">
        <v>45778</v>
      </c>
      <c r="Q1192" s="1" t="s">
        <v>850</v>
      </c>
      <c r="R1192" s="1" t="s">
        <v>2445</v>
      </c>
      <c r="S1192" s="1" t="s">
        <v>65</v>
      </c>
      <c r="T1192" s="1" t="s">
        <v>35</v>
      </c>
      <c r="U1192" s="1" t="s">
        <v>48</v>
      </c>
      <c r="V1192" s="1" t="s">
        <v>37</v>
      </c>
      <c r="W1192">
        <v>2</v>
      </c>
      <c r="X1192" s="1" t="str">
        <f t="shared" si="54"/>
        <v>natalia.moreno134@mail.com</v>
      </c>
      <c r="Y1192" s="1" t="str">
        <f>INDEX(V:V,MATCH(orders_desnormalizado_prueba3[[#This Row],[acquisition_channel]],U:U,0))</f>
        <v>Bodega Propia CO - envio 2-3 dias</v>
      </c>
      <c r="Z1192" s="1" t="str">
        <f>INDEX(T:T,MATCH(orders_desnormalizado_prueba3[[#This Row],[shipping_cost]],W:W,0))</f>
        <v>Colombia</v>
      </c>
      <c r="AA1192" s="1" t="str">
        <f t="shared" si="55"/>
        <v>Barranquilla</v>
      </c>
      <c r="AB1192" s="1"/>
      <c r="AC1192" s="1" t="str">
        <f t="shared" si="56"/>
        <v xml:space="preserve"> </v>
      </c>
    </row>
    <row r="1193" spans="1:29" x14ac:dyDescent="0.3">
      <c r="A1193" s="1" t="s">
        <v>2446</v>
      </c>
      <c r="B1193">
        <v>2</v>
      </c>
      <c r="C1193">
        <v>34.99</v>
      </c>
      <c r="D1193">
        <v>60.72</v>
      </c>
      <c r="E1193" s="1" t="s">
        <v>2149</v>
      </c>
      <c r="F1193" s="1" t="s">
        <v>70</v>
      </c>
      <c r="G1193">
        <v>0</v>
      </c>
      <c r="H1193" s="1" t="s">
        <v>26</v>
      </c>
      <c r="I1193" s="1" t="s">
        <v>85</v>
      </c>
      <c r="J1193">
        <v>12.5</v>
      </c>
      <c r="K1193">
        <v>34.99</v>
      </c>
      <c r="L1193" s="1" t="s">
        <v>60</v>
      </c>
      <c r="M1193" s="1" t="s">
        <v>29</v>
      </c>
      <c r="N1193" s="1" t="s">
        <v>30</v>
      </c>
      <c r="O1193" s="1" t="s">
        <v>31</v>
      </c>
      <c r="P1193" s="2">
        <v>45778</v>
      </c>
      <c r="Q1193" s="1" t="s">
        <v>738</v>
      </c>
      <c r="R1193" s="1" t="s">
        <v>739</v>
      </c>
      <c r="S1193" s="1" t="s">
        <v>34</v>
      </c>
      <c r="T1193" s="1" t="s">
        <v>35</v>
      </c>
      <c r="U1193" s="1" t="s">
        <v>82</v>
      </c>
      <c r="V1193" s="1" t="s">
        <v>89</v>
      </c>
      <c r="W1193">
        <v>2.4</v>
      </c>
      <c r="X1193" s="1" t="str">
        <f t="shared" si="54"/>
        <v>esteban.moreno150@mail.com</v>
      </c>
      <c r="Y1193" s="1" t="str">
        <f>INDEX(V:V,MATCH(orders_desnormalizado_prueba3[[#This Row],[acquisition_channel]],U:U,0))</f>
        <v>Bodega Propia CO - envio 2-3 dias</v>
      </c>
      <c r="Z1193" s="1" t="str">
        <f>INDEX(T:T,MATCH(orders_desnormalizado_prueba3[[#This Row],[shipping_cost]],W:W,0))</f>
        <v>Colombia</v>
      </c>
      <c r="AA1193" s="1" t="str">
        <f t="shared" si="55"/>
        <v>Cartagena</v>
      </c>
      <c r="AB1193" s="1"/>
      <c r="AC1193" s="1" t="str">
        <f t="shared" si="56"/>
        <v xml:space="preserve"> </v>
      </c>
    </row>
    <row r="1194" spans="1:29" x14ac:dyDescent="0.3">
      <c r="A1194" s="1" t="s">
        <v>2447</v>
      </c>
      <c r="B1194">
        <v>3</v>
      </c>
      <c r="C1194">
        <v>27.99</v>
      </c>
      <c r="D1194">
        <v>66.040000000000006</v>
      </c>
      <c r="E1194" s="1" t="s">
        <v>2045</v>
      </c>
      <c r="F1194" s="1" t="s">
        <v>51</v>
      </c>
      <c r="G1194">
        <v>0</v>
      </c>
      <c r="H1194" s="1" t="s">
        <v>96</v>
      </c>
      <c r="I1194" s="1" t="s">
        <v>75</v>
      </c>
      <c r="J1194">
        <v>9</v>
      </c>
      <c r="K1194">
        <v>27.99</v>
      </c>
      <c r="L1194" s="1" t="s">
        <v>28</v>
      </c>
      <c r="M1194" s="1" t="s">
        <v>61</v>
      </c>
      <c r="N1194" s="1" t="s">
        <v>62</v>
      </c>
      <c r="O1194" s="1" t="s">
        <v>31</v>
      </c>
      <c r="P1194" s="2">
        <v>45726</v>
      </c>
      <c r="Q1194" s="1" t="s">
        <v>732</v>
      </c>
      <c r="R1194" s="1" t="s">
        <v>1263</v>
      </c>
      <c r="S1194" s="1" t="s">
        <v>88</v>
      </c>
      <c r="T1194" s="1" t="s">
        <v>35</v>
      </c>
      <c r="U1194" s="1" t="s">
        <v>82</v>
      </c>
      <c r="V1194" s="1" t="s">
        <v>37</v>
      </c>
      <c r="W1194">
        <v>2</v>
      </c>
      <c r="X1194" s="1" t="str">
        <f t="shared" si="54"/>
        <v>ximena.martinez177@mail.com</v>
      </c>
      <c r="Y1194" s="1" t="str">
        <f>INDEX(V:V,MATCH(orders_desnormalizado_prueba3[[#This Row],[acquisition_channel]],U:U,0))</f>
        <v>Bodega Propia CO - envio 2-3 dias</v>
      </c>
      <c r="Z1194" s="1" t="str">
        <f>INDEX(T:T,MATCH(orders_desnormalizado_prueba3[[#This Row],[shipping_cost]],W:W,0))</f>
        <v>Colombia</v>
      </c>
      <c r="AA1194" s="1" t="str">
        <f t="shared" si="55"/>
        <v>Cartagena</v>
      </c>
      <c r="AB1194" s="1"/>
      <c r="AC1194" s="1" t="str">
        <f t="shared" si="56"/>
        <v xml:space="preserve"> </v>
      </c>
    </row>
    <row r="1195" spans="1:29" x14ac:dyDescent="0.3">
      <c r="A1195" s="1" t="s">
        <v>2448</v>
      </c>
      <c r="B1195">
        <v>1</v>
      </c>
      <c r="C1195">
        <v>30.99</v>
      </c>
      <c r="D1195">
        <v>30.99</v>
      </c>
      <c r="E1195" s="1" t="s">
        <v>1807</v>
      </c>
      <c r="F1195" s="1" t="s">
        <v>40</v>
      </c>
      <c r="G1195">
        <v>2</v>
      </c>
      <c r="H1195" s="1" t="s">
        <v>58</v>
      </c>
      <c r="I1195" s="1" t="s">
        <v>42</v>
      </c>
      <c r="J1195">
        <v>10.5</v>
      </c>
      <c r="K1195">
        <v>30.99</v>
      </c>
      <c r="L1195" s="1" t="s">
        <v>28</v>
      </c>
      <c r="M1195" s="1" t="s">
        <v>43</v>
      </c>
      <c r="N1195" s="1" t="s">
        <v>44</v>
      </c>
      <c r="O1195" s="1" t="s">
        <v>31</v>
      </c>
      <c r="P1195" s="2">
        <v>45823</v>
      </c>
      <c r="Q1195" s="1" t="s">
        <v>2449</v>
      </c>
      <c r="R1195" s="1" t="s">
        <v>2450</v>
      </c>
      <c r="S1195" s="1" t="s">
        <v>47</v>
      </c>
      <c r="T1195" s="1" t="s">
        <v>35</v>
      </c>
      <c r="U1195" s="1" t="s">
        <v>36</v>
      </c>
      <c r="V1195" s="1" t="s">
        <v>37</v>
      </c>
      <c r="W1195">
        <v>2</v>
      </c>
      <c r="X1195" s="1" t="str">
        <f t="shared" si="54"/>
        <v>julian.rodriguez156@mail.com</v>
      </c>
      <c r="Y1195" s="1" t="str">
        <f>INDEX(V:V,MATCH(orders_desnormalizado_prueba3[[#This Row],[acquisition_channel]],U:U,0))</f>
        <v>Bodega Propia CO - envio 2-3 dias</v>
      </c>
      <c r="Z1195" s="1" t="str">
        <f>INDEX(T:T,MATCH(orders_desnormalizado_prueba3[[#This Row],[shipping_cost]],W:W,0))</f>
        <v>Colombia</v>
      </c>
      <c r="AA1195" s="1" t="str">
        <f t="shared" si="55"/>
        <v>Medellin</v>
      </c>
      <c r="AB1195" s="1"/>
      <c r="AC1195" s="1" t="str">
        <f t="shared" si="56"/>
        <v xml:space="preserve"> </v>
      </c>
    </row>
    <row r="1196" spans="1:29" x14ac:dyDescent="0.3">
      <c r="A1196" s="1" t="s">
        <v>2451</v>
      </c>
      <c r="B1196">
        <v>1</v>
      </c>
      <c r="C1196">
        <v>30.99</v>
      </c>
      <c r="D1196">
        <v>30.99</v>
      </c>
      <c r="E1196" s="1" t="s">
        <v>2156</v>
      </c>
      <c r="F1196" s="1" t="s">
        <v>40</v>
      </c>
      <c r="G1196">
        <v>2</v>
      </c>
      <c r="H1196" s="1" t="s">
        <v>96</v>
      </c>
      <c r="I1196" s="1" t="s">
        <v>42</v>
      </c>
      <c r="J1196">
        <v>10.5</v>
      </c>
      <c r="K1196">
        <v>30.99</v>
      </c>
      <c r="L1196" s="1" t="s">
        <v>28</v>
      </c>
      <c r="M1196" s="1" t="s">
        <v>43</v>
      </c>
      <c r="N1196" s="1" t="s">
        <v>44</v>
      </c>
      <c r="O1196" s="1" t="s">
        <v>31</v>
      </c>
      <c r="P1196" s="2">
        <v>45823</v>
      </c>
      <c r="Q1196" s="1" t="s">
        <v>2452</v>
      </c>
      <c r="R1196" s="1" t="s">
        <v>2453</v>
      </c>
      <c r="S1196" s="1" t="s">
        <v>34</v>
      </c>
      <c r="T1196" s="1" t="s">
        <v>35</v>
      </c>
      <c r="U1196" s="1" t="s">
        <v>66</v>
      </c>
      <c r="V1196" s="1" t="s">
        <v>37</v>
      </c>
      <c r="W1196">
        <v>2</v>
      </c>
      <c r="X1196" s="1" t="str">
        <f t="shared" si="54"/>
        <v>manuela.hernandez136@mail.com</v>
      </c>
      <c r="Y1196" s="1" t="str">
        <f>INDEX(V:V,MATCH(orders_desnormalizado_prueba3[[#This Row],[acquisition_channel]],U:U,0))</f>
        <v>AliDropship CN - envio 15-20 dias</v>
      </c>
      <c r="Z1196" s="1" t="str">
        <f>INDEX(T:T,MATCH(orders_desnormalizado_prueba3[[#This Row],[shipping_cost]],W:W,0))</f>
        <v>Colombia</v>
      </c>
      <c r="AA1196" s="1" t="str">
        <f t="shared" si="55"/>
        <v>Medellin</v>
      </c>
      <c r="AB1196" s="1"/>
      <c r="AC1196" s="1" t="str">
        <f t="shared" si="56"/>
        <v xml:space="preserve"> </v>
      </c>
    </row>
    <row r="1197" spans="1:29" x14ac:dyDescent="0.3">
      <c r="A1197" s="1" t="s">
        <v>2454</v>
      </c>
      <c r="B1197">
        <v>1</v>
      </c>
      <c r="C1197">
        <v>30.99</v>
      </c>
      <c r="D1197">
        <v>30.99</v>
      </c>
      <c r="E1197" s="1" t="s">
        <v>1738</v>
      </c>
      <c r="F1197" s="1" t="s">
        <v>51</v>
      </c>
      <c r="G1197">
        <v>0</v>
      </c>
      <c r="H1197" s="1" t="s">
        <v>26</v>
      </c>
      <c r="I1197" s="1" t="s">
        <v>42</v>
      </c>
      <c r="J1197">
        <v>10.5</v>
      </c>
      <c r="K1197">
        <v>30.99</v>
      </c>
      <c r="L1197" s="1" t="s">
        <v>28</v>
      </c>
      <c r="M1197" s="1" t="s">
        <v>43</v>
      </c>
      <c r="N1197" s="1" t="s">
        <v>44</v>
      </c>
      <c r="O1197" s="1" t="s">
        <v>31</v>
      </c>
      <c r="P1197" s="2">
        <v>45823</v>
      </c>
      <c r="Q1197" s="1" t="s">
        <v>1286</v>
      </c>
      <c r="R1197" s="1" t="s">
        <v>1861</v>
      </c>
      <c r="S1197" s="1" t="s">
        <v>88</v>
      </c>
      <c r="T1197" s="1" t="s">
        <v>35</v>
      </c>
      <c r="U1197" s="1" t="s">
        <v>48</v>
      </c>
      <c r="V1197" s="1" t="s">
        <v>37</v>
      </c>
      <c r="W1197">
        <v>2</v>
      </c>
      <c r="X1197" s="1" t="str">
        <f t="shared" si="54"/>
        <v>nicolas.sanchez19@mail.com</v>
      </c>
      <c r="Y1197" s="1" t="str">
        <f>INDEX(V:V,MATCH(orders_desnormalizado_prueba3[[#This Row],[acquisition_channel]],U:U,0))</f>
        <v>Bodega Propia CO - envio 2-3 dias</v>
      </c>
      <c r="Z1197" s="1" t="str">
        <f>INDEX(T:T,MATCH(orders_desnormalizado_prueba3[[#This Row],[shipping_cost]],W:W,0))</f>
        <v>Colombia</v>
      </c>
      <c r="AA1197" s="1" t="str">
        <f t="shared" si="55"/>
        <v>Cartagena</v>
      </c>
      <c r="AB1197" s="1"/>
      <c r="AC1197" s="1" t="str">
        <f t="shared" si="56"/>
        <v xml:space="preserve"> </v>
      </c>
    </row>
    <row r="1198" spans="1:29" x14ac:dyDescent="0.3">
      <c r="A1198" s="1" t="s">
        <v>2455</v>
      </c>
      <c r="B1198">
        <v>3</v>
      </c>
      <c r="C1198">
        <v>27.99</v>
      </c>
      <c r="D1198">
        <v>68</v>
      </c>
      <c r="E1198" s="1" t="s">
        <v>2456</v>
      </c>
      <c r="F1198" s="1" t="s">
        <v>40</v>
      </c>
      <c r="G1198">
        <v>2</v>
      </c>
      <c r="H1198" s="1" t="s">
        <v>41</v>
      </c>
      <c r="I1198" s="1" t="s">
        <v>75</v>
      </c>
      <c r="J1198">
        <v>9</v>
      </c>
      <c r="K1198">
        <v>27.99</v>
      </c>
      <c r="L1198" s="1" t="s">
        <v>28</v>
      </c>
      <c r="M1198" s="1" t="s">
        <v>61</v>
      </c>
      <c r="N1198" s="1" t="s">
        <v>62</v>
      </c>
      <c r="O1198" s="1" t="s">
        <v>31</v>
      </c>
      <c r="P1198" s="2">
        <v>45726</v>
      </c>
      <c r="Q1198" s="1" t="s">
        <v>342</v>
      </c>
      <c r="R1198" s="1" t="s">
        <v>2457</v>
      </c>
      <c r="S1198" s="1" t="s">
        <v>65</v>
      </c>
      <c r="T1198" s="1" t="s">
        <v>35</v>
      </c>
      <c r="U1198" s="1" t="s">
        <v>36</v>
      </c>
      <c r="V1198" s="1" t="s">
        <v>37</v>
      </c>
      <c r="W1198">
        <v>2</v>
      </c>
      <c r="X1198" s="1" t="str">
        <f t="shared" si="54"/>
        <v>isabella.torres61@mail.com</v>
      </c>
      <c r="Y1198" s="1" t="str">
        <f>INDEX(V:V,MATCH(orders_desnormalizado_prueba3[[#This Row],[acquisition_channel]],U:U,0))</f>
        <v>Bodega Propia CO - envio 2-3 dias</v>
      </c>
      <c r="Z1198" s="1" t="str">
        <f>INDEX(T:T,MATCH(orders_desnormalizado_prueba3[[#This Row],[shipping_cost]],W:W,0))</f>
        <v>Colombia</v>
      </c>
      <c r="AA1198" s="1" t="str">
        <f t="shared" si="55"/>
        <v>Medellin</v>
      </c>
      <c r="AB1198" s="1"/>
      <c r="AC1198" s="1" t="str">
        <f t="shared" si="56"/>
        <v xml:space="preserve"> </v>
      </c>
    </row>
    <row r="1199" spans="1:29" x14ac:dyDescent="0.3">
      <c r="A1199" s="1" t="s">
        <v>2458</v>
      </c>
      <c r="B1199">
        <v>1</v>
      </c>
      <c r="C1199">
        <v>30.99</v>
      </c>
      <c r="D1199">
        <v>30.99</v>
      </c>
      <c r="E1199" s="1" t="s">
        <v>1168</v>
      </c>
      <c r="F1199" s="1" t="s">
        <v>40</v>
      </c>
      <c r="G1199">
        <v>2</v>
      </c>
      <c r="H1199" s="1" t="s">
        <v>96</v>
      </c>
      <c r="I1199" s="1" t="s">
        <v>42</v>
      </c>
      <c r="J1199">
        <v>10.5</v>
      </c>
      <c r="K1199">
        <v>30.99</v>
      </c>
      <c r="L1199" s="1" t="s">
        <v>28</v>
      </c>
      <c r="M1199" s="1" t="s">
        <v>43</v>
      </c>
      <c r="N1199" s="1" t="s">
        <v>44</v>
      </c>
      <c r="O1199" s="1" t="s">
        <v>31</v>
      </c>
      <c r="P1199" s="2">
        <v>45823</v>
      </c>
      <c r="Q1199" s="1" t="s">
        <v>1191</v>
      </c>
      <c r="R1199" s="1" t="s">
        <v>1365</v>
      </c>
      <c r="S1199" s="1" t="s">
        <v>54</v>
      </c>
      <c r="T1199" s="1" t="s">
        <v>35</v>
      </c>
      <c r="U1199" s="1" t="s">
        <v>82</v>
      </c>
      <c r="V1199" s="1" t="s">
        <v>37</v>
      </c>
      <c r="W1199">
        <v>2</v>
      </c>
      <c r="X1199" s="1" t="str">
        <f t="shared" si="54"/>
        <v>esteban.ramirez113@mail.com</v>
      </c>
      <c r="Y1199" s="1" t="str">
        <f>INDEX(V:V,MATCH(orders_desnormalizado_prueba3[[#This Row],[acquisition_channel]],U:U,0))</f>
        <v>Bodega Propia CO - envio 2-3 dias</v>
      </c>
      <c r="Z1199" s="1" t="str">
        <f>INDEX(T:T,MATCH(orders_desnormalizado_prueba3[[#This Row],[shipping_cost]],W:W,0))</f>
        <v>Colombia</v>
      </c>
      <c r="AA1199" s="1" t="str">
        <f t="shared" si="55"/>
        <v>Medellin</v>
      </c>
      <c r="AB1199" s="1"/>
      <c r="AC1199" s="1" t="str">
        <f t="shared" si="56"/>
        <v xml:space="preserve"> </v>
      </c>
    </row>
    <row r="1200" spans="1:29" x14ac:dyDescent="0.3">
      <c r="A1200" s="1" t="s">
        <v>2459</v>
      </c>
      <c r="B1200">
        <v>1</v>
      </c>
      <c r="C1200">
        <v>21.99</v>
      </c>
      <c r="D1200">
        <v>21.99</v>
      </c>
      <c r="E1200" s="1" t="s">
        <v>181</v>
      </c>
      <c r="F1200" s="1" t="s">
        <v>25</v>
      </c>
      <c r="G1200">
        <v>2</v>
      </c>
      <c r="H1200" s="1" t="s">
        <v>41</v>
      </c>
      <c r="I1200" s="1" t="s">
        <v>27</v>
      </c>
      <c r="J1200">
        <v>7</v>
      </c>
      <c r="K1200">
        <v>21.99</v>
      </c>
      <c r="L1200" s="1" t="s">
        <v>28</v>
      </c>
      <c r="M1200" s="1" t="s">
        <v>29</v>
      </c>
      <c r="N1200" s="1" t="s">
        <v>30</v>
      </c>
      <c r="O1200" s="1" t="s">
        <v>31</v>
      </c>
      <c r="P1200" s="2">
        <v>45778</v>
      </c>
      <c r="Q1200" s="1" t="s">
        <v>1272</v>
      </c>
      <c r="R1200" s="1" t="s">
        <v>1273</v>
      </c>
      <c r="S1200" s="1" t="s">
        <v>88</v>
      </c>
      <c r="T1200" s="1" t="s">
        <v>35</v>
      </c>
      <c r="U1200" s="1" t="s">
        <v>48</v>
      </c>
      <c r="V1200" s="1" t="s">
        <v>37</v>
      </c>
      <c r="W1200">
        <v>2</v>
      </c>
      <c r="X1200" s="1" t="str">
        <f t="shared" si="54"/>
        <v>natalia.torres177@mail.com</v>
      </c>
      <c r="Y1200" s="1" t="str">
        <f>INDEX(V:V,MATCH(orders_desnormalizado_prueba3[[#This Row],[acquisition_channel]],U:U,0))</f>
        <v>Bodega Propia CO - envio 2-3 dias</v>
      </c>
      <c r="Z1200" s="1" t="str">
        <f>INDEX(T:T,MATCH(orders_desnormalizado_prueba3[[#This Row],[shipping_cost]],W:W,0))</f>
        <v>Colombia</v>
      </c>
      <c r="AA1200" s="1" t="str">
        <f t="shared" si="55"/>
        <v>Medellin</v>
      </c>
      <c r="AB1200" s="1"/>
      <c r="AC1200" s="1" t="str">
        <f t="shared" si="56"/>
        <v xml:space="preserve"> </v>
      </c>
    </row>
    <row r="1201" spans="1:29" x14ac:dyDescent="0.3">
      <c r="A1201" s="1" t="s">
        <v>2460</v>
      </c>
      <c r="B1201">
        <v>1</v>
      </c>
      <c r="C1201">
        <v>16.989999999999998</v>
      </c>
      <c r="D1201">
        <v>16.989999999999998</v>
      </c>
      <c r="E1201" s="1" t="s">
        <v>102</v>
      </c>
      <c r="F1201" s="1" t="s">
        <v>40</v>
      </c>
      <c r="G1201">
        <v>17</v>
      </c>
      <c r="H1201" s="1" t="s">
        <v>58</v>
      </c>
      <c r="I1201" s="1" t="s">
        <v>59</v>
      </c>
      <c r="J1201">
        <v>5</v>
      </c>
      <c r="K1201">
        <v>16.989999999999998</v>
      </c>
      <c r="L1201" s="1" t="s">
        <v>60</v>
      </c>
      <c r="M1201" s="1" t="s">
        <v>61</v>
      </c>
      <c r="N1201" s="1" t="s">
        <v>62</v>
      </c>
      <c r="O1201" s="1" t="s">
        <v>31</v>
      </c>
      <c r="P1201" s="2">
        <v>45726</v>
      </c>
      <c r="Q1201" s="1" t="s">
        <v>137</v>
      </c>
      <c r="R1201" s="1" t="s">
        <v>2461</v>
      </c>
      <c r="S1201" s="1" t="s">
        <v>34</v>
      </c>
      <c r="T1201" s="1" t="s">
        <v>35</v>
      </c>
      <c r="U1201" s="1" t="s">
        <v>36</v>
      </c>
      <c r="V1201" s="1" t="s">
        <v>67</v>
      </c>
      <c r="W1201">
        <v>3</v>
      </c>
      <c r="X1201" s="1" t="str">
        <f t="shared" si="54"/>
        <v>camila.martinez65@mail.com</v>
      </c>
      <c r="Y1201" s="1" t="str">
        <f>INDEX(V:V,MATCH(orders_desnormalizado_prueba3[[#This Row],[acquisition_channel]],U:U,0))</f>
        <v>Bodega Propia CO - envio 2-3 dias</v>
      </c>
      <c r="Z1201" s="1" t="str">
        <f>INDEX(T:T,MATCH(orders_desnormalizado_prueba3[[#This Row],[shipping_cost]],W:W,0))</f>
        <v>Colombia</v>
      </c>
      <c r="AA1201" s="1" t="str">
        <f t="shared" si="55"/>
        <v>Barranquilla</v>
      </c>
      <c r="AB1201" s="1"/>
      <c r="AC1201" s="1" t="str">
        <f t="shared" si="56"/>
        <v xml:space="preserve"> </v>
      </c>
    </row>
    <row r="1202" spans="1:29" x14ac:dyDescent="0.3">
      <c r="A1202" s="1" t="s">
        <v>2462</v>
      </c>
      <c r="B1202">
        <v>1</v>
      </c>
      <c r="C1202">
        <v>34.99</v>
      </c>
      <c r="D1202">
        <v>34.99</v>
      </c>
      <c r="E1202" s="1" t="s">
        <v>2463</v>
      </c>
      <c r="F1202" s="1" t="s">
        <v>40</v>
      </c>
      <c r="G1202">
        <v>7</v>
      </c>
      <c r="H1202" s="1" t="s">
        <v>96</v>
      </c>
      <c r="I1202" s="1" t="s">
        <v>85</v>
      </c>
      <c r="J1202">
        <v>12.5</v>
      </c>
      <c r="K1202">
        <v>34.99</v>
      </c>
      <c r="L1202" s="1" t="s">
        <v>60</v>
      </c>
      <c r="M1202" s="1" t="s">
        <v>29</v>
      </c>
      <c r="N1202" s="1" t="s">
        <v>30</v>
      </c>
      <c r="O1202" s="1" t="s">
        <v>31</v>
      </c>
      <c r="P1202" s="2">
        <v>45778</v>
      </c>
      <c r="Q1202" s="1" t="s">
        <v>1211</v>
      </c>
      <c r="R1202" s="1" t="s">
        <v>1212</v>
      </c>
      <c r="S1202" s="1" t="s">
        <v>34</v>
      </c>
      <c r="T1202" s="1" t="s">
        <v>35</v>
      </c>
      <c r="U1202" s="1" t="s">
        <v>66</v>
      </c>
      <c r="V1202" s="1" t="s">
        <v>89</v>
      </c>
      <c r="W1202">
        <v>2.4</v>
      </c>
      <c r="X1202" s="1" t="str">
        <f t="shared" si="54"/>
        <v>gabriela.lopez37@mail.com</v>
      </c>
      <c r="Y1202" s="1" t="str">
        <f>INDEX(V:V,MATCH(orders_desnormalizado_prueba3[[#This Row],[acquisition_channel]],U:U,0))</f>
        <v>AliDropship CN - envio 15-20 dias</v>
      </c>
      <c r="Z1202" s="1" t="str">
        <f>INDEX(T:T,MATCH(orders_desnormalizado_prueba3[[#This Row],[shipping_cost]],W:W,0))</f>
        <v>Colombia</v>
      </c>
      <c r="AA1202" s="1" t="str">
        <f t="shared" si="55"/>
        <v>Bogota</v>
      </c>
      <c r="AB1202" s="1"/>
      <c r="AC1202" s="1" t="str">
        <f t="shared" si="56"/>
        <v xml:space="preserve"> </v>
      </c>
    </row>
    <row r="1203" spans="1:29" x14ac:dyDescent="0.3">
      <c r="A1203" s="1" t="s">
        <v>2464</v>
      </c>
      <c r="B1203">
        <v>1</v>
      </c>
      <c r="C1203">
        <v>16.989999999999998</v>
      </c>
      <c r="D1203">
        <v>16.989999999999998</v>
      </c>
      <c r="E1203" s="1" t="s">
        <v>1217</v>
      </c>
      <c r="F1203" s="1" t="s">
        <v>40</v>
      </c>
      <c r="G1203">
        <v>19</v>
      </c>
      <c r="H1203" s="1" t="s">
        <v>26</v>
      </c>
      <c r="I1203" s="1" t="s">
        <v>59</v>
      </c>
      <c r="J1203">
        <v>5</v>
      </c>
      <c r="K1203">
        <v>16.989999999999998</v>
      </c>
      <c r="L1203" s="1" t="s">
        <v>60</v>
      </c>
      <c r="M1203" s="1" t="s">
        <v>61</v>
      </c>
      <c r="N1203" s="1" t="s">
        <v>62</v>
      </c>
      <c r="O1203" s="1" t="s">
        <v>31</v>
      </c>
      <c r="P1203" s="2">
        <v>45726</v>
      </c>
      <c r="Q1203" s="1" t="s">
        <v>1028</v>
      </c>
      <c r="R1203" s="1" t="s">
        <v>2465</v>
      </c>
      <c r="S1203" s="1" t="s">
        <v>34</v>
      </c>
      <c r="T1203" s="1" t="s">
        <v>35</v>
      </c>
      <c r="U1203" s="1" t="s">
        <v>55</v>
      </c>
      <c r="V1203" s="1" t="s">
        <v>67</v>
      </c>
      <c r="W1203">
        <v>3</v>
      </c>
      <c r="X1203" s="1" t="str">
        <f t="shared" si="54"/>
        <v>miguel.martinez162@mail.com</v>
      </c>
      <c r="Y1203" s="1" t="str">
        <f>INDEX(V:V,MATCH(orders_desnormalizado_prueba3[[#This Row],[acquisition_channel]],U:U,0))</f>
        <v>Bodega Propia CO - envio 2-3 dias</v>
      </c>
      <c r="Z1203" s="1" t="str">
        <f>INDEX(T:T,MATCH(orders_desnormalizado_prueba3[[#This Row],[shipping_cost]],W:W,0))</f>
        <v>Colombia</v>
      </c>
      <c r="AA1203" s="1" t="str">
        <f t="shared" si="55"/>
        <v>Bogota</v>
      </c>
      <c r="AB1203" s="1"/>
      <c r="AC1203" s="1" t="str">
        <f t="shared" si="56"/>
        <v xml:space="preserve"> </v>
      </c>
    </row>
    <row r="1204" spans="1:29" x14ac:dyDescent="0.3">
      <c r="A1204" s="1" t="s">
        <v>2466</v>
      </c>
      <c r="B1204">
        <v>2</v>
      </c>
      <c r="C1204">
        <v>18.989999999999998</v>
      </c>
      <c r="D1204">
        <v>32.53</v>
      </c>
      <c r="E1204" s="1" t="s">
        <v>744</v>
      </c>
      <c r="F1204" s="1" t="s">
        <v>51</v>
      </c>
      <c r="G1204">
        <v>0</v>
      </c>
      <c r="H1204" s="1" t="s">
        <v>41</v>
      </c>
      <c r="I1204" s="1" t="s">
        <v>97</v>
      </c>
      <c r="J1204">
        <v>6</v>
      </c>
      <c r="K1204">
        <v>18.989999999999998</v>
      </c>
      <c r="L1204" s="1" t="s">
        <v>60</v>
      </c>
      <c r="M1204" s="1" t="s">
        <v>43</v>
      </c>
      <c r="N1204" s="1" t="s">
        <v>44</v>
      </c>
      <c r="O1204" s="1" t="s">
        <v>31</v>
      </c>
      <c r="P1204" s="2">
        <v>45823</v>
      </c>
      <c r="Q1204" s="1" t="s">
        <v>917</v>
      </c>
      <c r="R1204" s="1" t="s">
        <v>2467</v>
      </c>
      <c r="S1204" s="1" t="s">
        <v>54</v>
      </c>
      <c r="T1204" s="1" t="s">
        <v>35</v>
      </c>
      <c r="U1204" s="1" t="s">
        <v>36</v>
      </c>
      <c r="V1204" s="1" t="s">
        <v>100</v>
      </c>
      <c r="W1204">
        <v>3.2</v>
      </c>
      <c r="X1204" s="1" t="str">
        <f t="shared" si="54"/>
        <v>manuela.lopez93@mail.com</v>
      </c>
      <c r="Y1204" s="1" t="str">
        <f>INDEX(V:V,MATCH(orders_desnormalizado_prueba3[[#This Row],[acquisition_channel]],U:U,0))</f>
        <v>Bodega Propia CO - envio 2-3 dias</v>
      </c>
      <c r="Z1204" s="1" t="str">
        <f>INDEX(T:T,MATCH(orders_desnormalizado_prueba3[[#This Row],[shipping_cost]],W:W,0))</f>
        <v>Colombia</v>
      </c>
      <c r="AA1204" s="1" t="str">
        <f t="shared" si="55"/>
        <v>Cartagena</v>
      </c>
      <c r="AB1204" s="1"/>
      <c r="AC1204" s="1" t="str">
        <f t="shared" si="56"/>
        <v xml:space="preserve"> </v>
      </c>
    </row>
    <row r="1205" spans="1:29" x14ac:dyDescent="0.3">
      <c r="A1205" s="1" t="s">
        <v>2468</v>
      </c>
      <c r="B1205">
        <v>3</v>
      </c>
      <c r="C1205">
        <v>27.99</v>
      </c>
      <c r="D1205">
        <v>65.959999999999994</v>
      </c>
      <c r="E1205" s="1" t="s">
        <v>1733</v>
      </c>
      <c r="F1205" s="1" t="s">
        <v>40</v>
      </c>
      <c r="G1205">
        <v>7</v>
      </c>
      <c r="H1205" s="1" t="s">
        <v>26</v>
      </c>
      <c r="I1205" s="1" t="s">
        <v>75</v>
      </c>
      <c r="J1205">
        <v>9</v>
      </c>
      <c r="K1205">
        <v>27.99</v>
      </c>
      <c r="L1205" s="1" t="s">
        <v>28</v>
      </c>
      <c r="M1205" s="1" t="s">
        <v>61</v>
      </c>
      <c r="N1205" s="1" t="s">
        <v>62</v>
      </c>
      <c r="O1205" s="1" t="s">
        <v>31</v>
      </c>
      <c r="P1205" s="2">
        <v>45726</v>
      </c>
      <c r="Q1205" s="1" t="s">
        <v>2065</v>
      </c>
      <c r="R1205" s="1" t="s">
        <v>2066</v>
      </c>
      <c r="S1205" s="1" t="s">
        <v>47</v>
      </c>
      <c r="T1205" s="1" t="s">
        <v>35</v>
      </c>
      <c r="U1205" s="1" t="s">
        <v>66</v>
      </c>
      <c r="V1205" s="1" t="s">
        <v>37</v>
      </c>
      <c r="W1205">
        <v>2</v>
      </c>
      <c r="X1205" s="1" t="str">
        <f t="shared" si="54"/>
        <v>maria.jimenez50@mail.com</v>
      </c>
      <c r="Y1205" s="1" t="str">
        <f>INDEX(V:V,MATCH(orders_desnormalizado_prueba3[[#This Row],[acquisition_channel]],U:U,0))</f>
        <v>AliDropship CN - envio 15-20 dias</v>
      </c>
      <c r="Z1205" s="1" t="str">
        <f>INDEX(T:T,MATCH(orders_desnormalizado_prueba3[[#This Row],[shipping_cost]],W:W,0))</f>
        <v>Colombia</v>
      </c>
      <c r="AA1205" s="1" t="str">
        <f t="shared" si="55"/>
        <v>Bogota</v>
      </c>
      <c r="AB1205" s="1"/>
      <c r="AC1205" s="1" t="str">
        <f t="shared" si="56"/>
        <v xml:space="preserve"> </v>
      </c>
    </row>
    <row r="1206" spans="1:29" x14ac:dyDescent="0.3">
      <c r="A1206" s="1" t="s">
        <v>2469</v>
      </c>
      <c r="B1206">
        <v>1</v>
      </c>
      <c r="C1206">
        <v>16.989999999999998</v>
      </c>
      <c r="D1206">
        <v>16.989999999999998</v>
      </c>
      <c r="E1206" s="1" t="s">
        <v>2470</v>
      </c>
      <c r="F1206" s="1" t="s">
        <v>40</v>
      </c>
      <c r="G1206">
        <v>16</v>
      </c>
      <c r="H1206" s="1" t="s">
        <v>26</v>
      </c>
      <c r="I1206" s="1" t="s">
        <v>59</v>
      </c>
      <c r="J1206">
        <v>5</v>
      </c>
      <c r="K1206">
        <v>16.989999999999998</v>
      </c>
      <c r="L1206" s="1" t="s">
        <v>60</v>
      </c>
      <c r="M1206" s="1" t="s">
        <v>61</v>
      </c>
      <c r="N1206" s="1" t="s">
        <v>62</v>
      </c>
      <c r="O1206" s="1" t="s">
        <v>31</v>
      </c>
      <c r="P1206" s="2">
        <v>45726</v>
      </c>
      <c r="Q1206" s="1" t="s">
        <v>1480</v>
      </c>
      <c r="R1206" s="1" t="s">
        <v>1699</v>
      </c>
      <c r="S1206" s="1" t="s">
        <v>88</v>
      </c>
      <c r="T1206" s="1" t="s">
        <v>35</v>
      </c>
      <c r="U1206" s="1" t="s">
        <v>48</v>
      </c>
      <c r="V1206" s="1" t="s">
        <v>67</v>
      </c>
      <c r="W1206">
        <v>3</v>
      </c>
      <c r="X1206" s="1" t="str">
        <f t="shared" si="54"/>
        <v>sebastian.ortiz129@mail.com</v>
      </c>
      <c r="Y1206" s="1" t="str">
        <f>INDEX(V:V,MATCH(orders_desnormalizado_prueba3[[#This Row],[acquisition_channel]],U:U,0))</f>
        <v>Bodega Propia CO - envio 2-3 dias</v>
      </c>
      <c r="Z1206" s="1" t="str">
        <f>INDEX(T:T,MATCH(orders_desnormalizado_prueba3[[#This Row],[shipping_cost]],W:W,0))</f>
        <v>Colombia</v>
      </c>
      <c r="AA1206" s="1" t="str">
        <f t="shared" si="55"/>
        <v>Bogota</v>
      </c>
      <c r="AB1206" s="1"/>
      <c r="AC1206" s="1" t="str">
        <f t="shared" si="56"/>
        <v xml:space="preserve"> </v>
      </c>
    </row>
    <row r="1207" spans="1:29" x14ac:dyDescent="0.3">
      <c r="A1207" s="1" t="s">
        <v>2471</v>
      </c>
      <c r="B1207">
        <v>1</v>
      </c>
      <c r="C1207">
        <v>18.989999999999998</v>
      </c>
      <c r="D1207">
        <v>18.989999999999998</v>
      </c>
      <c r="E1207" s="1" t="s">
        <v>1161</v>
      </c>
      <c r="F1207" s="1" t="s">
        <v>40</v>
      </c>
      <c r="G1207">
        <v>18</v>
      </c>
      <c r="H1207" s="1" t="s">
        <v>26</v>
      </c>
      <c r="I1207" s="1" t="s">
        <v>97</v>
      </c>
      <c r="J1207">
        <v>6</v>
      </c>
      <c r="K1207">
        <v>18.989999999999998</v>
      </c>
      <c r="L1207" s="1" t="s">
        <v>60</v>
      </c>
      <c r="M1207" s="1" t="s">
        <v>43</v>
      </c>
      <c r="N1207" s="1" t="s">
        <v>44</v>
      </c>
      <c r="O1207" s="1" t="s">
        <v>31</v>
      </c>
      <c r="P1207" s="2">
        <v>45823</v>
      </c>
      <c r="Q1207" s="1" t="s">
        <v>828</v>
      </c>
      <c r="R1207" s="1" t="s">
        <v>829</v>
      </c>
      <c r="S1207" s="1" t="s">
        <v>65</v>
      </c>
      <c r="T1207" s="1" t="s">
        <v>35</v>
      </c>
      <c r="U1207" s="1" t="s">
        <v>48</v>
      </c>
      <c r="V1207" s="1" t="s">
        <v>100</v>
      </c>
      <c r="W1207">
        <v>3.2</v>
      </c>
      <c r="X1207" s="1" t="str">
        <f t="shared" si="54"/>
        <v>catalina.martinez83@mail.com</v>
      </c>
      <c r="Y1207" s="1" t="str">
        <f>INDEX(V:V,MATCH(orders_desnormalizado_prueba3[[#This Row],[acquisition_channel]],U:U,0))</f>
        <v>Bodega Propia CO - envio 2-3 dias</v>
      </c>
      <c r="Z1207" s="1" t="str">
        <f>INDEX(T:T,MATCH(orders_desnormalizado_prueba3[[#This Row],[shipping_cost]],W:W,0))</f>
        <v>Colombia</v>
      </c>
      <c r="AA1207" s="1" t="str">
        <f t="shared" si="55"/>
        <v>Medellin</v>
      </c>
      <c r="AB1207" s="1"/>
      <c r="AC1207" s="1" t="str">
        <f t="shared" si="56"/>
        <v xml:space="preserve"> </v>
      </c>
    </row>
    <row r="1208" spans="1:29" x14ac:dyDescent="0.3">
      <c r="A1208" s="1" t="s">
        <v>2472</v>
      </c>
      <c r="B1208">
        <v>1</v>
      </c>
      <c r="C1208">
        <v>21.99</v>
      </c>
      <c r="D1208">
        <v>21.99</v>
      </c>
      <c r="E1208" s="1" t="s">
        <v>2473</v>
      </c>
      <c r="F1208" s="1" t="s">
        <v>40</v>
      </c>
      <c r="G1208">
        <v>2</v>
      </c>
      <c r="H1208" s="1" t="s">
        <v>96</v>
      </c>
      <c r="I1208" s="1" t="s">
        <v>27</v>
      </c>
      <c r="J1208">
        <v>7</v>
      </c>
      <c r="K1208">
        <v>21.99</v>
      </c>
      <c r="L1208" s="1" t="s">
        <v>28</v>
      </c>
      <c r="M1208" s="1" t="s">
        <v>29</v>
      </c>
      <c r="N1208" s="1" t="s">
        <v>30</v>
      </c>
      <c r="O1208" s="1" t="s">
        <v>31</v>
      </c>
      <c r="P1208" s="2">
        <v>45778</v>
      </c>
      <c r="Q1208" s="1" t="s">
        <v>437</v>
      </c>
      <c r="R1208" s="1" t="s">
        <v>1045</v>
      </c>
      <c r="S1208" s="1" t="s">
        <v>34</v>
      </c>
      <c r="T1208" s="1" t="s">
        <v>35</v>
      </c>
      <c r="U1208" s="1" t="s">
        <v>66</v>
      </c>
      <c r="V1208" s="1" t="s">
        <v>37</v>
      </c>
      <c r="W1208">
        <v>2</v>
      </c>
      <c r="X1208" s="1" t="str">
        <f t="shared" si="54"/>
        <v>valentina.castro119@mail.com</v>
      </c>
      <c r="Y1208" s="1" t="str">
        <f>INDEX(V:V,MATCH(orders_desnormalizado_prueba3[[#This Row],[acquisition_channel]],U:U,0))</f>
        <v>AliDropship CN - envio 15-20 dias</v>
      </c>
      <c r="Z1208" s="1" t="str">
        <f>INDEX(T:T,MATCH(orders_desnormalizado_prueba3[[#This Row],[shipping_cost]],W:W,0))</f>
        <v>Colombia</v>
      </c>
      <c r="AA1208" s="1" t="str">
        <f t="shared" si="55"/>
        <v>Medellin</v>
      </c>
      <c r="AB1208" s="1"/>
      <c r="AC1208" s="1" t="str">
        <f t="shared" si="56"/>
        <v xml:space="preserve"> </v>
      </c>
    </row>
    <row r="1209" spans="1:29" x14ac:dyDescent="0.3">
      <c r="A1209" s="1" t="s">
        <v>2474</v>
      </c>
      <c r="B1209">
        <v>3</v>
      </c>
      <c r="C1209">
        <v>30.99</v>
      </c>
      <c r="D1209">
        <v>74.930000000000007</v>
      </c>
      <c r="E1209" s="1" t="s">
        <v>2475</v>
      </c>
      <c r="F1209" s="1" t="s">
        <v>51</v>
      </c>
      <c r="G1209">
        <v>0</v>
      </c>
      <c r="H1209" s="1" t="s">
        <v>58</v>
      </c>
      <c r="I1209" s="1" t="s">
        <v>42</v>
      </c>
      <c r="J1209">
        <v>10.5</v>
      </c>
      <c r="K1209">
        <v>30.99</v>
      </c>
      <c r="L1209" s="1" t="s">
        <v>28</v>
      </c>
      <c r="M1209" s="1" t="s">
        <v>43</v>
      </c>
      <c r="N1209" s="1" t="s">
        <v>44</v>
      </c>
      <c r="O1209" s="1" t="s">
        <v>31</v>
      </c>
      <c r="P1209" s="2">
        <v>45823</v>
      </c>
      <c r="Q1209" s="1" t="s">
        <v>884</v>
      </c>
      <c r="R1209" s="1" t="s">
        <v>885</v>
      </c>
      <c r="S1209" s="1" t="s">
        <v>34</v>
      </c>
      <c r="T1209" s="1" t="s">
        <v>35</v>
      </c>
      <c r="U1209" s="1" t="s">
        <v>36</v>
      </c>
      <c r="V1209" s="1" t="s">
        <v>37</v>
      </c>
      <c r="W1209">
        <v>2</v>
      </c>
      <c r="X1209" s="1" t="str">
        <f t="shared" si="54"/>
        <v>paula.martinez72@mail.com</v>
      </c>
      <c r="Y1209" s="1" t="str">
        <f>INDEX(V:V,MATCH(orders_desnormalizado_prueba3[[#This Row],[acquisition_channel]],U:U,0))</f>
        <v>Bodega Propia CO - envio 2-3 dias</v>
      </c>
      <c r="Z1209" s="1" t="str">
        <f>INDEX(T:T,MATCH(orders_desnormalizado_prueba3[[#This Row],[shipping_cost]],W:W,0))</f>
        <v>Colombia</v>
      </c>
      <c r="AA1209" s="1" t="str">
        <f t="shared" si="55"/>
        <v>Cartagena</v>
      </c>
      <c r="AB1209" s="1"/>
      <c r="AC1209" s="1" t="str">
        <f t="shared" si="56"/>
        <v xml:space="preserve"> </v>
      </c>
    </row>
    <row r="1210" spans="1:29" x14ac:dyDescent="0.3">
      <c r="A1210" s="1" t="s">
        <v>2476</v>
      </c>
      <c r="B1210">
        <v>1</v>
      </c>
      <c r="C1210">
        <v>21.99</v>
      </c>
      <c r="D1210">
        <v>21.99</v>
      </c>
      <c r="E1210" s="1" t="s">
        <v>246</v>
      </c>
      <c r="F1210" s="1" t="s">
        <v>51</v>
      </c>
      <c r="G1210">
        <v>0</v>
      </c>
      <c r="H1210" s="1" t="s">
        <v>41</v>
      </c>
      <c r="I1210" s="1" t="s">
        <v>27</v>
      </c>
      <c r="J1210">
        <v>7</v>
      </c>
      <c r="K1210">
        <v>21.99</v>
      </c>
      <c r="L1210" s="1" t="s">
        <v>28</v>
      </c>
      <c r="M1210" s="1" t="s">
        <v>29</v>
      </c>
      <c r="N1210" s="1" t="s">
        <v>30</v>
      </c>
      <c r="O1210" s="1" t="s">
        <v>31</v>
      </c>
      <c r="P1210" s="2">
        <v>45778</v>
      </c>
      <c r="Q1210" s="1" t="s">
        <v>1003</v>
      </c>
      <c r="R1210" s="1" t="s">
        <v>2477</v>
      </c>
      <c r="S1210" s="1" t="s">
        <v>54</v>
      </c>
      <c r="T1210" s="1" t="s">
        <v>35</v>
      </c>
      <c r="U1210" s="1" t="s">
        <v>66</v>
      </c>
      <c r="V1210" s="1" t="s">
        <v>37</v>
      </c>
      <c r="W1210">
        <v>2</v>
      </c>
      <c r="X1210" s="1" t="str">
        <f t="shared" si="54"/>
        <v>julian.castro40@mail.com</v>
      </c>
      <c r="Y1210" s="1" t="str">
        <f>INDEX(V:V,MATCH(orders_desnormalizado_prueba3[[#This Row],[acquisition_channel]],U:U,0))</f>
        <v>AliDropship CN - envio 15-20 dias</v>
      </c>
      <c r="Z1210" s="1" t="str">
        <f>INDEX(T:T,MATCH(orders_desnormalizado_prueba3[[#This Row],[shipping_cost]],W:W,0))</f>
        <v>Colombia</v>
      </c>
      <c r="AA1210" s="1" t="str">
        <f t="shared" si="55"/>
        <v>Cartagena</v>
      </c>
      <c r="AB1210" s="1"/>
      <c r="AC1210" s="1" t="str">
        <f t="shared" si="56"/>
        <v xml:space="preserve"> </v>
      </c>
    </row>
    <row r="1211" spans="1:29" x14ac:dyDescent="0.3">
      <c r="A1211" s="1" t="s">
        <v>2478</v>
      </c>
      <c r="B1211">
        <v>2</v>
      </c>
      <c r="C1211">
        <v>16.989999999999998</v>
      </c>
      <c r="D1211">
        <v>29.44</v>
      </c>
      <c r="E1211" s="1" t="s">
        <v>1122</v>
      </c>
      <c r="F1211" s="1" t="s">
        <v>188</v>
      </c>
      <c r="G1211">
        <v>0</v>
      </c>
      <c r="H1211" s="1" t="s">
        <v>41</v>
      </c>
      <c r="I1211" s="1" t="s">
        <v>59</v>
      </c>
      <c r="J1211">
        <v>5</v>
      </c>
      <c r="K1211">
        <v>16.989999999999998</v>
      </c>
      <c r="L1211" s="1" t="s">
        <v>60</v>
      </c>
      <c r="M1211" s="1" t="s">
        <v>61</v>
      </c>
      <c r="N1211" s="1" t="s">
        <v>62</v>
      </c>
      <c r="O1211" s="1" t="s">
        <v>31</v>
      </c>
      <c r="P1211" s="2">
        <v>45726</v>
      </c>
      <c r="Q1211" s="1" t="s">
        <v>1408</v>
      </c>
      <c r="R1211" s="1" t="s">
        <v>2299</v>
      </c>
      <c r="S1211" s="1" t="s">
        <v>47</v>
      </c>
      <c r="T1211" s="1" t="s">
        <v>35</v>
      </c>
      <c r="U1211" s="1" t="s">
        <v>55</v>
      </c>
      <c r="V1211" s="1" t="s">
        <v>67</v>
      </c>
      <c r="W1211">
        <v>3</v>
      </c>
      <c r="X1211" s="1" t="str">
        <f t="shared" si="54"/>
        <v>gabriela.moreno85@mail.com</v>
      </c>
      <c r="Y1211" s="1" t="str">
        <f>INDEX(V:V,MATCH(orders_desnormalizado_prueba3[[#This Row],[acquisition_channel]],U:U,0))</f>
        <v>Bodega Propia CO - envio 2-3 dias</v>
      </c>
      <c r="Z1211" s="1" t="str">
        <f>INDEX(T:T,MATCH(orders_desnormalizado_prueba3[[#This Row],[shipping_cost]],W:W,0))</f>
        <v>Colombia</v>
      </c>
      <c r="AA1211" s="1" t="str">
        <f t="shared" si="55"/>
        <v>Cartagena</v>
      </c>
      <c r="AB1211" s="1"/>
      <c r="AC1211" s="1" t="str">
        <f t="shared" si="56"/>
        <v xml:space="preserve"> </v>
      </c>
    </row>
    <row r="1212" spans="1:29" x14ac:dyDescent="0.3">
      <c r="A1212" s="1" t="s">
        <v>2479</v>
      </c>
      <c r="B1212">
        <v>1</v>
      </c>
      <c r="C1212">
        <v>18.989999999999998</v>
      </c>
      <c r="D1212">
        <v>18.989999999999998</v>
      </c>
      <c r="E1212" s="1" t="s">
        <v>786</v>
      </c>
      <c r="F1212" s="1" t="s">
        <v>40</v>
      </c>
      <c r="G1212">
        <v>10</v>
      </c>
      <c r="H1212" s="1" t="s">
        <v>26</v>
      </c>
      <c r="I1212" s="1" t="s">
        <v>97</v>
      </c>
      <c r="J1212">
        <v>6</v>
      </c>
      <c r="K1212">
        <v>18.989999999999998</v>
      </c>
      <c r="L1212" s="1" t="s">
        <v>60</v>
      </c>
      <c r="M1212" s="1" t="s">
        <v>43</v>
      </c>
      <c r="N1212" s="1" t="s">
        <v>44</v>
      </c>
      <c r="O1212" s="1" t="s">
        <v>31</v>
      </c>
      <c r="P1212" s="2">
        <v>45823</v>
      </c>
      <c r="Q1212" s="1" t="s">
        <v>913</v>
      </c>
      <c r="R1212" s="1" t="s">
        <v>914</v>
      </c>
      <c r="S1212" s="1" t="s">
        <v>65</v>
      </c>
      <c r="T1212" s="1" t="s">
        <v>35</v>
      </c>
      <c r="U1212" s="1" t="s">
        <v>48</v>
      </c>
      <c r="V1212" s="1" t="s">
        <v>100</v>
      </c>
      <c r="W1212">
        <v>3.2</v>
      </c>
      <c r="X1212" s="1" t="str">
        <f t="shared" si="54"/>
        <v>paula.rodriguez185@mail.com</v>
      </c>
      <c r="Y1212" s="1" t="str">
        <f>INDEX(V:V,MATCH(orders_desnormalizado_prueba3[[#This Row],[acquisition_channel]],U:U,0))</f>
        <v>Bodega Propia CO - envio 2-3 dias</v>
      </c>
      <c r="Z1212" s="1" t="str">
        <f>INDEX(T:T,MATCH(orders_desnormalizado_prueba3[[#This Row],[shipping_cost]],W:W,0))</f>
        <v>Colombia</v>
      </c>
      <c r="AA1212" s="1" t="str">
        <f t="shared" si="55"/>
        <v>Bogota</v>
      </c>
      <c r="AB1212" s="1"/>
      <c r="AC1212" s="1" t="str">
        <f t="shared" si="56"/>
        <v xml:space="preserve"> </v>
      </c>
    </row>
    <row r="1213" spans="1:29" x14ac:dyDescent="0.3">
      <c r="A1213" s="1" t="s">
        <v>2480</v>
      </c>
      <c r="B1213">
        <v>1</v>
      </c>
      <c r="C1213">
        <v>27.99</v>
      </c>
      <c r="D1213">
        <v>27.99</v>
      </c>
      <c r="E1213" s="1" t="s">
        <v>584</v>
      </c>
      <c r="F1213" s="1" t="s">
        <v>40</v>
      </c>
      <c r="G1213">
        <v>3</v>
      </c>
      <c r="H1213" s="1" t="s">
        <v>26</v>
      </c>
      <c r="I1213" s="1" t="s">
        <v>75</v>
      </c>
      <c r="J1213">
        <v>9</v>
      </c>
      <c r="K1213">
        <v>27.99</v>
      </c>
      <c r="L1213" s="1" t="s">
        <v>28</v>
      </c>
      <c r="M1213" s="1" t="s">
        <v>61</v>
      </c>
      <c r="N1213" s="1" t="s">
        <v>62</v>
      </c>
      <c r="O1213" s="1" t="s">
        <v>31</v>
      </c>
      <c r="P1213" s="2">
        <v>45726</v>
      </c>
      <c r="Q1213" s="1" t="s">
        <v>1878</v>
      </c>
      <c r="R1213" s="1" t="s">
        <v>1879</v>
      </c>
      <c r="S1213" s="1" t="s">
        <v>54</v>
      </c>
      <c r="T1213" s="1" t="s">
        <v>35</v>
      </c>
      <c r="U1213" s="1" t="s">
        <v>66</v>
      </c>
      <c r="V1213" s="1" t="s">
        <v>37</v>
      </c>
      <c r="W1213">
        <v>2</v>
      </c>
      <c r="X1213" s="1" t="str">
        <f t="shared" si="54"/>
        <v>ximena.vargas192@mail.com</v>
      </c>
      <c r="Y1213" s="1" t="str">
        <f>INDEX(V:V,MATCH(orders_desnormalizado_prueba3[[#This Row],[acquisition_channel]],U:U,0))</f>
        <v>AliDropship CN - envio 15-20 dias</v>
      </c>
      <c r="Z1213" s="1" t="str">
        <f>INDEX(T:T,MATCH(orders_desnormalizado_prueba3[[#This Row],[shipping_cost]],W:W,0))</f>
        <v>Colombia</v>
      </c>
      <c r="AA1213" s="1" t="str">
        <f t="shared" si="55"/>
        <v>Barranquilla</v>
      </c>
      <c r="AB1213" s="1"/>
      <c r="AC1213" s="1" t="str">
        <f t="shared" si="56"/>
        <v xml:space="preserve"> </v>
      </c>
    </row>
    <row r="1214" spans="1:29" x14ac:dyDescent="0.3">
      <c r="A1214" s="1" t="s">
        <v>2481</v>
      </c>
      <c r="B1214">
        <v>2</v>
      </c>
      <c r="C1214">
        <v>21.99</v>
      </c>
      <c r="D1214">
        <v>38.26</v>
      </c>
      <c r="E1214" s="1" t="s">
        <v>1051</v>
      </c>
      <c r="F1214" s="1" t="s">
        <v>40</v>
      </c>
      <c r="G1214">
        <v>2</v>
      </c>
      <c r="H1214" s="1" t="s">
        <v>41</v>
      </c>
      <c r="I1214" s="1" t="s">
        <v>27</v>
      </c>
      <c r="J1214">
        <v>7</v>
      </c>
      <c r="K1214">
        <v>21.99</v>
      </c>
      <c r="L1214" s="1" t="s">
        <v>28</v>
      </c>
      <c r="M1214" s="1" t="s">
        <v>29</v>
      </c>
      <c r="N1214" s="1" t="s">
        <v>30</v>
      </c>
      <c r="O1214" s="1" t="s">
        <v>31</v>
      </c>
      <c r="P1214" s="2">
        <v>45778</v>
      </c>
      <c r="Q1214" s="1" t="s">
        <v>2398</v>
      </c>
      <c r="R1214" s="1" t="s">
        <v>2399</v>
      </c>
      <c r="S1214" s="1" t="s">
        <v>47</v>
      </c>
      <c r="T1214" s="1" t="s">
        <v>35</v>
      </c>
      <c r="U1214" s="1" t="s">
        <v>82</v>
      </c>
      <c r="V1214" s="1" t="s">
        <v>37</v>
      </c>
      <c r="W1214">
        <v>2</v>
      </c>
      <c r="X1214" s="1" t="str">
        <f t="shared" si="54"/>
        <v>isabella.ramirez140@mail.com</v>
      </c>
      <c r="Y1214" s="1" t="str">
        <f>INDEX(V:V,MATCH(orders_desnormalizado_prueba3[[#This Row],[acquisition_channel]],U:U,0))</f>
        <v>Bodega Propia CO - envio 2-3 dias</v>
      </c>
      <c r="Z1214" s="1" t="str">
        <f>INDEX(T:T,MATCH(orders_desnormalizado_prueba3[[#This Row],[shipping_cost]],W:W,0))</f>
        <v>Colombia</v>
      </c>
      <c r="AA1214" s="1" t="str">
        <f t="shared" si="55"/>
        <v>Medellin</v>
      </c>
      <c r="AB1214" s="1"/>
      <c r="AC1214" s="1" t="str">
        <f t="shared" si="56"/>
        <v xml:space="preserve"> </v>
      </c>
    </row>
    <row r="1215" spans="1:29" x14ac:dyDescent="0.3">
      <c r="A1215" s="1" t="s">
        <v>2482</v>
      </c>
      <c r="B1215">
        <v>3</v>
      </c>
      <c r="C1215">
        <v>18.989999999999998</v>
      </c>
      <c r="D1215">
        <v>45.03</v>
      </c>
      <c r="E1215" s="1" t="s">
        <v>1129</v>
      </c>
      <c r="F1215" s="1" t="s">
        <v>40</v>
      </c>
      <c r="G1215">
        <v>10</v>
      </c>
      <c r="H1215" s="1" t="s">
        <v>26</v>
      </c>
      <c r="I1215" s="1" t="s">
        <v>97</v>
      </c>
      <c r="J1215">
        <v>6</v>
      </c>
      <c r="K1215">
        <v>18.989999999999998</v>
      </c>
      <c r="L1215" s="1" t="s">
        <v>60</v>
      </c>
      <c r="M1215" s="1" t="s">
        <v>43</v>
      </c>
      <c r="N1215" s="1" t="s">
        <v>44</v>
      </c>
      <c r="O1215" s="1" t="s">
        <v>31</v>
      </c>
      <c r="P1215" s="2">
        <v>45823</v>
      </c>
      <c r="Q1215" s="1" t="s">
        <v>832</v>
      </c>
      <c r="R1215" s="1" t="s">
        <v>879</v>
      </c>
      <c r="S1215" s="1" t="s">
        <v>105</v>
      </c>
      <c r="T1215" s="1" t="s">
        <v>35</v>
      </c>
      <c r="U1215" s="1" t="s">
        <v>66</v>
      </c>
      <c r="V1215" s="1" t="s">
        <v>100</v>
      </c>
      <c r="W1215">
        <v>3.2</v>
      </c>
      <c r="X1215" s="1" t="str">
        <f t="shared" si="54"/>
        <v>nicolas.vargas144@mail.com</v>
      </c>
      <c r="Y1215" s="1" t="str">
        <f>INDEX(V:V,MATCH(orders_desnormalizado_prueba3[[#This Row],[acquisition_channel]],U:U,0))</f>
        <v>AliDropship CN - envio 15-20 dias</v>
      </c>
      <c r="Z1215" s="1" t="str">
        <f>INDEX(T:T,MATCH(orders_desnormalizado_prueba3[[#This Row],[shipping_cost]],W:W,0))</f>
        <v>Colombia</v>
      </c>
      <c r="AA1215" s="1" t="str">
        <f t="shared" si="55"/>
        <v>Bogota</v>
      </c>
      <c r="AB1215" s="1"/>
      <c r="AC1215" s="1" t="str">
        <f t="shared" si="56"/>
        <v xml:space="preserve"> </v>
      </c>
    </row>
    <row r="1216" spans="1:29" x14ac:dyDescent="0.3">
      <c r="A1216" s="1" t="s">
        <v>2483</v>
      </c>
      <c r="B1216">
        <v>1</v>
      </c>
      <c r="C1216">
        <v>18.989999999999998</v>
      </c>
      <c r="D1216">
        <v>18.989999999999998</v>
      </c>
      <c r="E1216" s="1" t="s">
        <v>175</v>
      </c>
      <c r="F1216" s="1" t="s">
        <v>40</v>
      </c>
      <c r="G1216">
        <v>10</v>
      </c>
      <c r="H1216" s="1" t="s">
        <v>58</v>
      </c>
      <c r="I1216" s="1" t="s">
        <v>97</v>
      </c>
      <c r="J1216">
        <v>6</v>
      </c>
      <c r="K1216">
        <v>18.989999999999998</v>
      </c>
      <c r="L1216" s="1" t="s">
        <v>60</v>
      </c>
      <c r="M1216" s="1" t="s">
        <v>43</v>
      </c>
      <c r="N1216" s="1" t="s">
        <v>44</v>
      </c>
      <c r="O1216" s="1" t="s">
        <v>31</v>
      </c>
      <c r="P1216" s="2">
        <v>45823</v>
      </c>
      <c r="Q1216" s="1" t="s">
        <v>917</v>
      </c>
      <c r="R1216" s="1" t="s">
        <v>918</v>
      </c>
      <c r="S1216" s="1" t="s">
        <v>54</v>
      </c>
      <c r="T1216" s="1" t="s">
        <v>35</v>
      </c>
      <c r="U1216" s="1" t="s">
        <v>36</v>
      </c>
      <c r="V1216" s="1" t="s">
        <v>100</v>
      </c>
      <c r="W1216">
        <v>3.2</v>
      </c>
      <c r="X1216" s="1" t="str">
        <f t="shared" si="54"/>
        <v>manuela.lopez93@mail.com</v>
      </c>
      <c r="Y1216" s="1" t="str">
        <f>INDEX(V:V,MATCH(orders_desnormalizado_prueba3[[#This Row],[acquisition_channel]],U:U,0))</f>
        <v>Bodega Propia CO - envio 2-3 dias</v>
      </c>
      <c r="Z1216" s="1" t="str">
        <f>INDEX(T:T,MATCH(orders_desnormalizado_prueba3[[#This Row],[shipping_cost]],W:W,0))</f>
        <v>Colombia</v>
      </c>
      <c r="AA1216" s="1" t="str">
        <f t="shared" si="55"/>
        <v>Bogota</v>
      </c>
      <c r="AB1216" s="1"/>
      <c r="AC1216" s="1" t="str">
        <f t="shared" si="56"/>
        <v xml:space="preserve"> </v>
      </c>
    </row>
    <row r="1217" spans="1:29" x14ac:dyDescent="0.3">
      <c r="A1217" s="1" t="s">
        <v>2484</v>
      </c>
      <c r="B1217">
        <v>1</v>
      </c>
      <c r="C1217">
        <v>30.99</v>
      </c>
      <c r="D1217">
        <v>30.99</v>
      </c>
      <c r="E1217" s="1" t="s">
        <v>1122</v>
      </c>
      <c r="F1217" s="1" t="s">
        <v>40</v>
      </c>
      <c r="G1217">
        <v>2</v>
      </c>
      <c r="H1217" s="1" t="s">
        <v>26</v>
      </c>
      <c r="I1217" s="1" t="s">
        <v>42</v>
      </c>
      <c r="J1217">
        <v>10.5</v>
      </c>
      <c r="K1217">
        <v>30.99</v>
      </c>
      <c r="L1217" s="1" t="s">
        <v>28</v>
      </c>
      <c r="M1217" s="1" t="s">
        <v>43</v>
      </c>
      <c r="N1217" s="1" t="s">
        <v>44</v>
      </c>
      <c r="O1217" s="1" t="s">
        <v>31</v>
      </c>
      <c r="P1217" s="2">
        <v>45823</v>
      </c>
      <c r="Q1217" s="1" t="s">
        <v>1969</v>
      </c>
      <c r="R1217" s="1" t="s">
        <v>1970</v>
      </c>
      <c r="S1217" s="1" t="s">
        <v>34</v>
      </c>
      <c r="T1217" s="1" t="s">
        <v>35</v>
      </c>
      <c r="U1217" s="1" t="s">
        <v>55</v>
      </c>
      <c r="V1217" s="1" t="s">
        <v>37</v>
      </c>
      <c r="W1217">
        <v>2</v>
      </c>
      <c r="X1217" s="1" t="str">
        <f t="shared" si="54"/>
        <v>esteban.castro8@mail.com</v>
      </c>
      <c r="Y1217" s="1" t="str">
        <f>INDEX(V:V,MATCH(orders_desnormalizado_prueba3[[#This Row],[acquisition_channel]],U:U,0))</f>
        <v>Bodega Propia CO - envio 2-3 dias</v>
      </c>
      <c r="Z1217" s="1" t="str">
        <f>INDEX(T:T,MATCH(orders_desnormalizado_prueba3[[#This Row],[shipping_cost]],W:W,0))</f>
        <v>Colombia</v>
      </c>
      <c r="AA1217" s="1" t="str">
        <f t="shared" si="55"/>
        <v>Medellin</v>
      </c>
      <c r="AB1217" s="1"/>
      <c r="AC1217" s="1" t="str">
        <f t="shared" si="56"/>
        <v xml:space="preserve"> </v>
      </c>
    </row>
    <row r="1218" spans="1:29" x14ac:dyDescent="0.3">
      <c r="A1218" s="1" t="s">
        <v>2485</v>
      </c>
      <c r="B1218">
        <v>1</v>
      </c>
      <c r="C1218">
        <v>18.989999999999998</v>
      </c>
      <c r="D1218">
        <v>18.989999999999998</v>
      </c>
      <c r="E1218" s="1" t="s">
        <v>2486</v>
      </c>
      <c r="F1218" s="1" t="s">
        <v>40</v>
      </c>
      <c r="G1218">
        <v>16</v>
      </c>
      <c r="H1218" s="1" t="s">
        <v>58</v>
      </c>
      <c r="I1218" s="1" t="s">
        <v>97</v>
      </c>
      <c r="J1218">
        <v>6</v>
      </c>
      <c r="K1218">
        <v>18.989999999999998</v>
      </c>
      <c r="L1218" s="1" t="s">
        <v>60</v>
      </c>
      <c r="M1218" s="1" t="s">
        <v>43</v>
      </c>
      <c r="N1218" s="1" t="s">
        <v>44</v>
      </c>
      <c r="O1218" s="1" t="s">
        <v>31</v>
      </c>
      <c r="P1218" s="2">
        <v>45823</v>
      </c>
      <c r="Q1218" s="1" t="s">
        <v>176</v>
      </c>
      <c r="R1218" s="1" t="s">
        <v>1789</v>
      </c>
      <c r="S1218" s="1" t="s">
        <v>54</v>
      </c>
      <c r="T1218" s="1" t="s">
        <v>35</v>
      </c>
      <c r="U1218" s="1" t="s">
        <v>66</v>
      </c>
      <c r="V1218" s="1" t="s">
        <v>100</v>
      </c>
      <c r="W1218">
        <v>3.2</v>
      </c>
      <c r="X1218" s="1" t="str">
        <f t="shared" ref="X1218:X1281" si="57">INDEX(R:R,MATCH(Q1218,Q:Q,0))</f>
        <v>camila.castro114@mail.com</v>
      </c>
      <c r="Y1218" s="1" t="str">
        <f>INDEX(V:V,MATCH(orders_desnormalizado_prueba3[[#This Row],[acquisition_channel]],U:U,0))</f>
        <v>AliDropship CN - envio 15-20 dias</v>
      </c>
      <c r="Z1218" s="1" t="str">
        <f>INDEX(T:T,MATCH(orders_desnormalizado_prueba3[[#This Row],[shipping_cost]],W:W,0))</f>
        <v>Colombia</v>
      </c>
      <c r="AA1218" s="1" t="str">
        <f t="shared" ref="AA1218:AA1281" si="58">INDEX(S:S,MATCH(G1218,G:G,0))</f>
        <v>Bogota</v>
      </c>
      <c r="AB1218" s="1"/>
      <c r="AC1218" s="1" t="str">
        <f t="shared" ref="AC1218:AC1281" si="59">IFERROR(INDEX($V:$V,MATCH(AB1218,$R:$R,0)), " ")</f>
        <v xml:space="preserve"> </v>
      </c>
    </row>
    <row r="1219" spans="1:29" x14ac:dyDescent="0.3">
      <c r="A1219" s="1" t="s">
        <v>2487</v>
      </c>
      <c r="B1219">
        <v>1</v>
      </c>
      <c r="C1219">
        <v>30.99</v>
      </c>
      <c r="D1219">
        <v>30.99</v>
      </c>
      <c r="E1219" s="1" t="s">
        <v>1727</v>
      </c>
      <c r="F1219" s="1" t="s">
        <v>40</v>
      </c>
      <c r="G1219">
        <v>3</v>
      </c>
      <c r="H1219" s="1" t="s">
        <v>96</v>
      </c>
      <c r="I1219" s="1" t="s">
        <v>42</v>
      </c>
      <c r="J1219">
        <v>10.5</v>
      </c>
      <c r="K1219">
        <v>30.99</v>
      </c>
      <c r="L1219" s="1" t="s">
        <v>28</v>
      </c>
      <c r="M1219" s="1" t="s">
        <v>43</v>
      </c>
      <c r="N1219" s="1" t="s">
        <v>44</v>
      </c>
      <c r="O1219" s="1" t="s">
        <v>31</v>
      </c>
      <c r="P1219" s="2">
        <v>45823</v>
      </c>
      <c r="Q1219" s="1" t="s">
        <v>728</v>
      </c>
      <c r="R1219" s="1" t="s">
        <v>729</v>
      </c>
      <c r="S1219" s="1" t="s">
        <v>88</v>
      </c>
      <c r="T1219" s="1" t="s">
        <v>35</v>
      </c>
      <c r="U1219" s="1" t="s">
        <v>55</v>
      </c>
      <c r="V1219" s="1" t="s">
        <v>37</v>
      </c>
      <c r="W1219">
        <v>2</v>
      </c>
      <c r="X1219" s="1" t="str">
        <f t="shared" si="57"/>
        <v>sebastian.gomez15@mail.com</v>
      </c>
      <c r="Y1219" s="1" t="str">
        <f>INDEX(V:V,MATCH(orders_desnormalizado_prueba3[[#This Row],[acquisition_channel]],U:U,0))</f>
        <v>Bodega Propia CO - envio 2-3 dias</v>
      </c>
      <c r="Z1219" s="1" t="str">
        <f>INDEX(T:T,MATCH(orders_desnormalizado_prueba3[[#This Row],[shipping_cost]],W:W,0))</f>
        <v>Colombia</v>
      </c>
      <c r="AA1219" s="1" t="str">
        <f t="shared" si="58"/>
        <v>Barranquilla</v>
      </c>
      <c r="AB1219" s="1"/>
      <c r="AC1219" s="1" t="str">
        <f t="shared" si="59"/>
        <v xml:space="preserve"> </v>
      </c>
    </row>
    <row r="1220" spans="1:29" x14ac:dyDescent="0.3">
      <c r="A1220" s="1" t="s">
        <v>2488</v>
      </c>
      <c r="B1220">
        <v>3</v>
      </c>
      <c r="C1220">
        <v>18.989999999999998</v>
      </c>
      <c r="D1220">
        <v>45.15</v>
      </c>
      <c r="E1220" s="1" t="s">
        <v>113</v>
      </c>
      <c r="F1220" s="1" t="s">
        <v>51</v>
      </c>
      <c r="G1220">
        <v>0</v>
      </c>
      <c r="H1220" s="1" t="s">
        <v>96</v>
      </c>
      <c r="I1220" s="1" t="s">
        <v>97</v>
      </c>
      <c r="J1220">
        <v>6</v>
      </c>
      <c r="K1220">
        <v>18.989999999999998</v>
      </c>
      <c r="L1220" s="1" t="s">
        <v>60</v>
      </c>
      <c r="M1220" s="1" t="s">
        <v>43</v>
      </c>
      <c r="N1220" s="1" t="s">
        <v>44</v>
      </c>
      <c r="O1220" s="1" t="s">
        <v>31</v>
      </c>
      <c r="P1220" s="2">
        <v>45823</v>
      </c>
      <c r="Q1220" s="1" t="s">
        <v>294</v>
      </c>
      <c r="R1220" s="1" t="s">
        <v>2489</v>
      </c>
      <c r="S1220" s="1" t="s">
        <v>105</v>
      </c>
      <c r="T1220" s="1" t="s">
        <v>35</v>
      </c>
      <c r="U1220" s="1" t="s">
        <v>66</v>
      </c>
      <c r="V1220" s="1" t="s">
        <v>100</v>
      </c>
      <c r="W1220">
        <v>3.2</v>
      </c>
      <c r="X1220" s="1" t="str">
        <f t="shared" si="57"/>
        <v>valentina.torres56@mail.com</v>
      </c>
      <c r="Y1220" s="1" t="str">
        <f>INDEX(V:V,MATCH(orders_desnormalizado_prueba3[[#This Row],[acquisition_channel]],U:U,0))</f>
        <v>AliDropship CN - envio 15-20 dias</v>
      </c>
      <c r="Z1220" s="1" t="str">
        <f>INDEX(T:T,MATCH(orders_desnormalizado_prueba3[[#This Row],[shipping_cost]],W:W,0))</f>
        <v>Colombia</v>
      </c>
      <c r="AA1220" s="1" t="str">
        <f t="shared" si="58"/>
        <v>Cartagena</v>
      </c>
      <c r="AB1220" s="1"/>
      <c r="AC1220" s="1" t="str">
        <f t="shared" si="59"/>
        <v xml:space="preserve"> </v>
      </c>
    </row>
    <row r="1221" spans="1:29" x14ac:dyDescent="0.3">
      <c r="A1221" s="1" t="s">
        <v>2490</v>
      </c>
      <c r="B1221">
        <v>1</v>
      </c>
      <c r="C1221">
        <v>18.989999999999998</v>
      </c>
      <c r="D1221">
        <v>18.989999999999998</v>
      </c>
      <c r="E1221" s="1" t="s">
        <v>900</v>
      </c>
      <c r="F1221" s="1" t="s">
        <v>51</v>
      </c>
      <c r="G1221">
        <v>0</v>
      </c>
      <c r="H1221" s="1" t="s">
        <v>96</v>
      </c>
      <c r="I1221" s="1" t="s">
        <v>97</v>
      </c>
      <c r="J1221">
        <v>6</v>
      </c>
      <c r="K1221">
        <v>18.989999999999998</v>
      </c>
      <c r="L1221" s="1" t="s">
        <v>60</v>
      </c>
      <c r="M1221" s="1" t="s">
        <v>43</v>
      </c>
      <c r="N1221" s="1" t="s">
        <v>44</v>
      </c>
      <c r="O1221" s="1" t="s">
        <v>31</v>
      </c>
      <c r="P1221" s="2">
        <v>45823</v>
      </c>
      <c r="Q1221" s="1" t="s">
        <v>732</v>
      </c>
      <c r="R1221" s="1" t="s">
        <v>1263</v>
      </c>
      <c r="S1221" s="1" t="s">
        <v>88</v>
      </c>
      <c r="T1221" s="1" t="s">
        <v>35</v>
      </c>
      <c r="U1221" s="1" t="s">
        <v>82</v>
      </c>
      <c r="V1221" s="1" t="s">
        <v>100</v>
      </c>
      <c r="W1221">
        <v>3.2</v>
      </c>
      <c r="X1221" s="1" t="str">
        <f t="shared" si="57"/>
        <v>ximena.martinez177@mail.com</v>
      </c>
      <c r="Y1221" s="1" t="str">
        <f>INDEX(V:V,MATCH(orders_desnormalizado_prueba3[[#This Row],[acquisition_channel]],U:U,0))</f>
        <v>Bodega Propia CO - envio 2-3 dias</v>
      </c>
      <c r="Z1221" s="1" t="str">
        <f>INDEX(T:T,MATCH(orders_desnormalizado_prueba3[[#This Row],[shipping_cost]],W:W,0))</f>
        <v>Colombia</v>
      </c>
      <c r="AA1221" s="1" t="str">
        <f t="shared" si="58"/>
        <v>Cartagena</v>
      </c>
      <c r="AB1221" s="1"/>
      <c r="AC1221" s="1" t="str">
        <f t="shared" si="59"/>
        <v xml:space="preserve"> </v>
      </c>
    </row>
    <row r="1222" spans="1:29" x14ac:dyDescent="0.3">
      <c r="A1222" s="1" t="s">
        <v>2491</v>
      </c>
      <c r="B1222">
        <v>1</v>
      </c>
      <c r="C1222">
        <v>16.989999999999998</v>
      </c>
      <c r="D1222">
        <v>16.989999999999998</v>
      </c>
      <c r="E1222" s="1" t="s">
        <v>2151</v>
      </c>
      <c r="F1222" s="1" t="s">
        <v>40</v>
      </c>
      <c r="G1222">
        <v>16</v>
      </c>
      <c r="H1222" s="1" t="s">
        <v>96</v>
      </c>
      <c r="I1222" s="1" t="s">
        <v>59</v>
      </c>
      <c r="J1222">
        <v>5</v>
      </c>
      <c r="K1222">
        <v>16.989999999999998</v>
      </c>
      <c r="L1222" s="1" t="s">
        <v>60</v>
      </c>
      <c r="M1222" s="1" t="s">
        <v>61</v>
      </c>
      <c r="N1222" s="1" t="s">
        <v>62</v>
      </c>
      <c r="O1222" s="1" t="s">
        <v>31</v>
      </c>
      <c r="P1222" s="2">
        <v>45726</v>
      </c>
      <c r="Q1222" s="1" t="s">
        <v>1856</v>
      </c>
      <c r="R1222" s="1" t="s">
        <v>2492</v>
      </c>
      <c r="S1222" s="1" t="s">
        <v>34</v>
      </c>
      <c r="T1222" s="1" t="s">
        <v>35</v>
      </c>
      <c r="U1222" s="1" t="s">
        <v>48</v>
      </c>
      <c r="V1222" s="1" t="s">
        <v>67</v>
      </c>
      <c r="W1222">
        <v>3</v>
      </c>
      <c r="X1222" s="1" t="str">
        <f t="shared" si="57"/>
        <v>paula.perez26@mail.com</v>
      </c>
      <c r="Y1222" s="1" t="str">
        <f>INDEX(V:V,MATCH(orders_desnormalizado_prueba3[[#This Row],[acquisition_channel]],U:U,0))</f>
        <v>Bodega Propia CO - envio 2-3 dias</v>
      </c>
      <c r="Z1222" s="1" t="str">
        <f>INDEX(T:T,MATCH(orders_desnormalizado_prueba3[[#This Row],[shipping_cost]],W:W,0))</f>
        <v>Colombia</v>
      </c>
      <c r="AA1222" s="1" t="str">
        <f t="shared" si="58"/>
        <v>Bogota</v>
      </c>
      <c r="AB1222" s="1"/>
      <c r="AC1222" s="1" t="str">
        <f t="shared" si="59"/>
        <v xml:space="preserve"> </v>
      </c>
    </row>
    <row r="1223" spans="1:29" x14ac:dyDescent="0.3">
      <c r="A1223" s="1" t="s">
        <v>2493</v>
      </c>
      <c r="B1223">
        <v>1</v>
      </c>
      <c r="C1223">
        <v>27.99</v>
      </c>
      <c r="D1223">
        <v>27.99</v>
      </c>
      <c r="E1223" s="1" t="s">
        <v>1000</v>
      </c>
      <c r="F1223" s="1" t="s">
        <v>40</v>
      </c>
      <c r="G1223">
        <v>2</v>
      </c>
      <c r="H1223" s="1" t="s">
        <v>26</v>
      </c>
      <c r="I1223" s="1" t="s">
        <v>75</v>
      </c>
      <c r="J1223">
        <v>9</v>
      </c>
      <c r="K1223">
        <v>27.99</v>
      </c>
      <c r="L1223" s="1" t="s">
        <v>28</v>
      </c>
      <c r="M1223" s="1" t="s">
        <v>61</v>
      </c>
      <c r="N1223" s="1" t="s">
        <v>62</v>
      </c>
      <c r="O1223" s="1" t="s">
        <v>31</v>
      </c>
      <c r="P1223" s="2">
        <v>45726</v>
      </c>
      <c r="Q1223" s="1" t="s">
        <v>176</v>
      </c>
      <c r="R1223" s="1" t="s">
        <v>1789</v>
      </c>
      <c r="S1223" s="1" t="s">
        <v>54</v>
      </c>
      <c r="T1223" s="1" t="s">
        <v>35</v>
      </c>
      <c r="U1223" s="1" t="s">
        <v>66</v>
      </c>
      <c r="V1223" s="1" t="s">
        <v>37</v>
      </c>
      <c r="W1223">
        <v>2</v>
      </c>
      <c r="X1223" s="1" t="str">
        <f t="shared" si="57"/>
        <v>camila.castro114@mail.com</v>
      </c>
      <c r="Y1223" s="1" t="str">
        <f>INDEX(V:V,MATCH(orders_desnormalizado_prueba3[[#This Row],[acquisition_channel]],U:U,0))</f>
        <v>AliDropship CN - envio 15-20 dias</v>
      </c>
      <c r="Z1223" s="1" t="str">
        <f>INDEX(T:T,MATCH(orders_desnormalizado_prueba3[[#This Row],[shipping_cost]],W:W,0))</f>
        <v>Colombia</v>
      </c>
      <c r="AA1223" s="1" t="str">
        <f t="shared" si="58"/>
        <v>Medellin</v>
      </c>
      <c r="AB1223" s="1"/>
      <c r="AC1223" s="1" t="str">
        <f t="shared" si="59"/>
        <v xml:space="preserve"> </v>
      </c>
    </row>
    <row r="1224" spans="1:29" x14ac:dyDescent="0.3">
      <c r="A1224" s="1" t="s">
        <v>2494</v>
      </c>
      <c r="B1224">
        <v>3</v>
      </c>
      <c r="C1224">
        <v>34.99</v>
      </c>
      <c r="D1224">
        <v>83.23</v>
      </c>
      <c r="E1224" s="1" t="s">
        <v>2404</v>
      </c>
      <c r="F1224" s="1" t="s">
        <v>40</v>
      </c>
      <c r="G1224">
        <v>6</v>
      </c>
      <c r="H1224" s="1" t="s">
        <v>96</v>
      </c>
      <c r="I1224" s="1" t="s">
        <v>85</v>
      </c>
      <c r="J1224">
        <v>12.5</v>
      </c>
      <c r="K1224">
        <v>34.99</v>
      </c>
      <c r="L1224" s="1" t="s">
        <v>60</v>
      </c>
      <c r="M1224" s="1" t="s">
        <v>29</v>
      </c>
      <c r="N1224" s="1" t="s">
        <v>30</v>
      </c>
      <c r="O1224" s="1" t="s">
        <v>31</v>
      </c>
      <c r="P1224" s="2">
        <v>45778</v>
      </c>
      <c r="Q1224" s="1" t="s">
        <v>926</v>
      </c>
      <c r="R1224" s="1" t="s">
        <v>2046</v>
      </c>
      <c r="S1224" s="1" t="s">
        <v>34</v>
      </c>
      <c r="T1224" s="1" t="s">
        <v>35</v>
      </c>
      <c r="U1224" s="1" t="s">
        <v>55</v>
      </c>
      <c r="V1224" s="1" t="s">
        <v>89</v>
      </c>
      <c r="W1224">
        <v>2.4</v>
      </c>
      <c r="X1224" s="1" t="str">
        <f t="shared" si="57"/>
        <v>fernanda.castro167@mail.com</v>
      </c>
      <c r="Y1224" s="1" t="str">
        <f>INDEX(V:V,MATCH(orders_desnormalizado_prueba3[[#This Row],[acquisition_channel]],U:U,0))</f>
        <v>Bodega Propia CO - envio 2-3 dias</v>
      </c>
      <c r="Z1224" s="1" t="str">
        <f>INDEX(T:T,MATCH(orders_desnormalizado_prueba3[[#This Row],[shipping_cost]],W:W,0))</f>
        <v>Colombia</v>
      </c>
      <c r="AA1224" s="1" t="str">
        <f t="shared" si="58"/>
        <v>Medellin</v>
      </c>
      <c r="AB1224" s="1"/>
      <c r="AC1224" s="1" t="str">
        <f t="shared" si="59"/>
        <v xml:space="preserve"> </v>
      </c>
    </row>
    <row r="1225" spans="1:29" x14ac:dyDescent="0.3">
      <c r="A1225" s="1" t="s">
        <v>2495</v>
      </c>
      <c r="B1225">
        <v>1</v>
      </c>
      <c r="C1225">
        <v>16.989999999999998</v>
      </c>
      <c r="D1225">
        <v>16.989999999999998</v>
      </c>
      <c r="E1225" s="1" t="s">
        <v>753</v>
      </c>
      <c r="F1225" s="1" t="s">
        <v>70</v>
      </c>
      <c r="G1225">
        <v>0</v>
      </c>
      <c r="H1225" s="1" t="s">
        <v>41</v>
      </c>
      <c r="I1225" s="1" t="s">
        <v>59</v>
      </c>
      <c r="J1225">
        <v>5</v>
      </c>
      <c r="K1225">
        <v>16.989999999999998</v>
      </c>
      <c r="L1225" s="1" t="s">
        <v>60</v>
      </c>
      <c r="M1225" s="1" t="s">
        <v>61</v>
      </c>
      <c r="N1225" s="1" t="s">
        <v>62</v>
      </c>
      <c r="O1225" s="1" t="s">
        <v>31</v>
      </c>
      <c r="P1225" s="2">
        <v>45726</v>
      </c>
      <c r="Q1225" s="1" t="s">
        <v>768</v>
      </c>
      <c r="R1225" s="1" t="s">
        <v>769</v>
      </c>
      <c r="S1225" s="1" t="s">
        <v>54</v>
      </c>
      <c r="T1225" s="1" t="s">
        <v>35</v>
      </c>
      <c r="U1225" s="1" t="s">
        <v>36</v>
      </c>
      <c r="V1225" s="1" t="s">
        <v>67</v>
      </c>
      <c r="W1225">
        <v>3</v>
      </c>
      <c r="X1225" s="1" t="str">
        <f t="shared" si="57"/>
        <v>isabella.martinez177@mail.com</v>
      </c>
      <c r="Y1225" s="1" t="str">
        <f>INDEX(V:V,MATCH(orders_desnormalizado_prueba3[[#This Row],[acquisition_channel]],U:U,0))</f>
        <v>Bodega Propia CO - envio 2-3 dias</v>
      </c>
      <c r="Z1225" s="1" t="str">
        <f>INDEX(T:T,MATCH(orders_desnormalizado_prueba3[[#This Row],[shipping_cost]],W:W,0))</f>
        <v>Colombia</v>
      </c>
      <c r="AA1225" s="1" t="str">
        <f t="shared" si="58"/>
        <v>Cartagena</v>
      </c>
      <c r="AB1225" s="1"/>
      <c r="AC1225" s="1" t="str">
        <f t="shared" si="59"/>
        <v xml:space="preserve"> </v>
      </c>
    </row>
    <row r="1226" spans="1:29" x14ac:dyDescent="0.3">
      <c r="A1226" s="1" t="s">
        <v>2496</v>
      </c>
      <c r="B1226">
        <v>2</v>
      </c>
      <c r="C1226">
        <v>34.99</v>
      </c>
      <c r="D1226">
        <v>60.65</v>
      </c>
      <c r="E1226" s="1" t="s">
        <v>222</v>
      </c>
      <c r="F1226" s="1" t="s">
        <v>70</v>
      </c>
      <c r="G1226">
        <v>0</v>
      </c>
      <c r="H1226" s="1" t="s">
        <v>26</v>
      </c>
      <c r="I1226" s="1" t="s">
        <v>85</v>
      </c>
      <c r="J1226">
        <v>12.5</v>
      </c>
      <c r="K1226">
        <v>34.99</v>
      </c>
      <c r="L1226" s="1" t="s">
        <v>60</v>
      </c>
      <c r="M1226" s="1" t="s">
        <v>29</v>
      </c>
      <c r="N1226" s="1" t="s">
        <v>30</v>
      </c>
      <c r="O1226" s="1" t="s">
        <v>31</v>
      </c>
      <c r="P1226" s="2">
        <v>45778</v>
      </c>
      <c r="Q1226" s="1" t="s">
        <v>1112</v>
      </c>
      <c r="R1226" s="1" t="s">
        <v>1891</v>
      </c>
      <c r="S1226" s="1" t="s">
        <v>47</v>
      </c>
      <c r="T1226" s="1" t="s">
        <v>35</v>
      </c>
      <c r="U1226" s="1" t="s">
        <v>82</v>
      </c>
      <c r="V1226" s="1" t="s">
        <v>89</v>
      </c>
      <c r="W1226">
        <v>2.4</v>
      </c>
      <c r="X1226" s="1" t="str">
        <f t="shared" si="57"/>
        <v>felipe.moreno124@mail.com</v>
      </c>
      <c r="Y1226" s="1" t="str">
        <f>INDEX(V:V,MATCH(orders_desnormalizado_prueba3[[#This Row],[acquisition_channel]],U:U,0))</f>
        <v>Bodega Propia CO - envio 2-3 dias</v>
      </c>
      <c r="Z1226" s="1" t="str">
        <f>INDEX(T:T,MATCH(orders_desnormalizado_prueba3[[#This Row],[shipping_cost]],W:W,0))</f>
        <v>Colombia</v>
      </c>
      <c r="AA1226" s="1" t="str">
        <f t="shared" si="58"/>
        <v>Cartagena</v>
      </c>
      <c r="AB1226" s="1"/>
      <c r="AC1226" s="1" t="str">
        <f t="shared" si="59"/>
        <v xml:space="preserve"> </v>
      </c>
    </row>
    <row r="1227" spans="1:29" x14ac:dyDescent="0.3">
      <c r="A1227" s="1" t="s">
        <v>2497</v>
      </c>
      <c r="B1227">
        <v>1</v>
      </c>
      <c r="C1227">
        <v>16.989999999999998</v>
      </c>
      <c r="D1227">
        <v>16.989999999999998</v>
      </c>
      <c r="E1227" s="1" t="s">
        <v>121</v>
      </c>
      <c r="F1227" s="1" t="s">
        <v>40</v>
      </c>
      <c r="G1227">
        <v>17</v>
      </c>
      <c r="H1227" s="1" t="s">
        <v>96</v>
      </c>
      <c r="I1227" s="1" t="s">
        <v>59</v>
      </c>
      <c r="J1227">
        <v>5</v>
      </c>
      <c r="K1227">
        <v>16.989999999999998</v>
      </c>
      <c r="L1227" s="1" t="s">
        <v>60</v>
      </c>
      <c r="M1227" s="1" t="s">
        <v>61</v>
      </c>
      <c r="N1227" s="1" t="s">
        <v>62</v>
      </c>
      <c r="O1227" s="1" t="s">
        <v>31</v>
      </c>
      <c r="P1227" s="2">
        <v>45726</v>
      </c>
      <c r="Q1227" s="1" t="s">
        <v>71</v>
      </c>
      <c r="R1227" s="1" t="s">
        <v>955</v>
      </c>
      <c r="S1227" s="1" t="s">
        <v>65</v>
      </c>
      <c r="T1227" s="1" t="s">
        <v>35</v>
      </c>
      <c r="U1227" s="1" t="s">
        <v>82</v>
      </c>
      <c r="V1227" s="1" t="s">
        <v>67</v>
      </c>
      <c r="W1227">
        <v>3</v>
      </c>
      <c r="X1227" s="1" t="str">
        <f t="shared" si="57"/>
        <v>diego.ramirez167@mail.com</v>
      </c>
      <c r="Y1227" s="1" t="str">
        <f>INDEX(V:V,MATCH(orders_desnormalizado_prueba3[[#This Row],[acquisition_channel]],U:U,0))</f>
        <v>Bodega Propia CO - envio 2-3 dias</v>
      </c>
      <c r="Z1227" s="1" t="str">
        <f>INDEX(T:T,MATCH(orders_desnormalizado_prueba3[[#This Row],[shipping_cost]],W:W,0))</f>
        <v>Colombia</v>
      </c>
      <c r="AA1227" s="1" t="str">
        <f t="shared" si="58"/>
        <v>Barranquilla</v>
      </c>
      <c r="AB1227" s="1"/>
      <c r="AC1227" s="1" t="str">
        <f t="shared" si="59"/>
        <v xml:space="preserve"> </v>
      </c>
    </row>
    <row r="1228" spans="1:29" x14ac:dyDescent="0.3">
      <c r="A1228" s="1" t="s">
        <v>2498</v>
      </c>
      <c r="B1228">
        <v>2</v>
      </c>
      <c r="C1228">
        <v>21.99</v>
      </c>
      <c r="D1228">
        <v>38.340000000000003</v>
      </c>
      <c r="E1228" s="1" t="s">
        <v>57</v>
      </c>
      <c r="F1228" s="1" t="s">
        <v>70</v>
      </c>
      <c r="G1228">
        <v>0</v>
      </c>
      <c r="H1228" s="1" t="s">
        <v>58</v>
      </c>
      <c r="I1228" s="1" t="s">
        <v>27</v>
      </c>
      <c r="J1228">
        <v>7</v>
      </c>
      <c r="K1228">
        <v>21.99</v>
      </c>
      <c r="L1228" s="1" t="s">
        <v>28</v>
      </c>
      <c r="M1228" s="1" t="s">
        <v>29</v>
      </c>
      <c r="N1228" s="1" t="s">
        <v>30</v>
      </c>
      <c r="O1228" s="1" t="s">
        <v>31</v>
      </c>
      <c r="P1228" s="2">
        <v>45778</v>
      </c>
      <c r="Q1228" s="1" t="s">
        <v>1316</v>
      </c>
      <c r="R1228" s="1" t="s">
        <v>1317</v>
      </c>
      <c r="S1228" s="1" t="s">
        <v>105</v>
      </c>
      <c r="T1228" s="1" t="s">
        <v>35</v>
      </c>
      <c r="U1228" s="1" t="s">
        <v>66</v>
      </c>
      <c r="V1228" s="1" t="s">
        <v>37</v>
      </c>
      <c r="W1228">
        <v>2</v>
      </c>
      <c r="X1228" s="1" t="str">
        <f t="shared" si="57"/>
        <v>juan.moreno182@mail.com</v>
      </c>
      <c r="Y1228" s="1" t="str">
        <f>INDEX(V:V,MATCH(orders_desnormalizado_prueba3[[#This Row],[acquisition_channel]],U:U,0))</f>
        <v>AliDropship CN - envio 15-20 dias</v>
      </c>
      <c r="Z1228" s="1" t="str">
        <f>INDEX(T:T,MATCH(orders_desnormalizado_prueba3[[#This Row],[shipping_cost]],W:W,0))</f>
        <v>Colombia</v>
      </c>
      <c r="AA1228" s="1" t="str">
        <f t="shared" si="58"/>
        <v>Cartagena</v>
      </c>
      <c r="AB1228" s="1"/>
      <c r="AC1228" s="1" t="str">
        <f t="shared" si="59"/>
        <v xml:space="preserve"> </v>
      </c>
    </row>
    <row r="1229" spans="1:29" x14ac:dyDescent="0.3">
      <c r="A1229" s="1" t="s">
        <v>2499</v>
      </c>
      <c r="B1229">
        <v>3</v>
      </c>
      <c r="C1229">
        <v>34.99</v>
      </c>
      <c r="D1229">
        <v>82.94</v>
      </c>
      <c r="E1229" s="1" t="s">
        <v>2500</v>
      </c>
      <c r="F1229" s="1" t="s">
        <v>40</v>
      </c>
      <c r="G1229">
        <v>5</v>
      </c>
      <c r="H1229" s="1" t="s">
        <v>26</v>
      </c>
      <c r="I1229" s="1" t="s">
        <v>85</v>
      </c>
      <c r="J1229">
        <v>12.5</v>
      </c>
      <c r="K1229">
        <v>34.99</v>
      </c>
      <c r="L1229" s="1" t="s">
        <v>60</v>
      </c>
      <c r="M1229" s="1" t="s">
        <v>29</v>
      </c>
      <c r="N1229" s="1" t="s">
        <v>30</v>
      </c>
      <c r="O1229" s="1" t="s">
        <v>31</v>
      </c>
      <c r="P1229" s="2">
        <v>45778</v>
      </c>
      <c r="Q1229" s="1" t="s">
        <v>1793</v>
      </c>
      <c r="R1229" s="1" t="s">
        <v>1916</v>
      </c>
      <c r="S1229" s="1" t="s">
        <v>88</v>
      </c>
      <c r="T1229" s="1" t="s">
        <v>35</v>
      </c>
      <c r="U1229" s="1" t="s">
        <v>36</v>
      </c>
      <c r="V1229" s="1" t="s">
        <v>89</v>
      </c>
      <c r="W1229">
        <v>2.4</v>
      </c>
      <c r="X1229" s="1" t="str">
        <f t="shared" si="57"/>
        <v>camila.ramirez98@mail.com</v>
      </c>
      <c r="Y1229" s="1" t="str">
        <f>INDEX(V:V,MATCH(orders_desnormalizado_prueba3[[#This Row],[acquisition_channel]],U:U,0))</f>
        <v>Bodega Propia CO - envio 2-3 dias</v>
      </c>
      <c r="Z1229" s="1" t="str">
        <f>INDEX(T:T,MATCH(orders_desnormalizado_prueba3[[#This Row],[shipping_cost]],W:W,0))</f>
        <v>Colombia</v>
      </c>
      <c r="AA1229" s="1" t="str">
        <f t="shared" si="58"/>
        <v>Cali</v>
      </c>
      <c r="AB1229" s="1"/>
      <c r="AC1229" s="1" t="str">
        <f t="shared" si="59"/>
        <v xml:space="preserve"> </v>
      </c>
    </row>
    <row r="1230" spans="1:29" x14ac:dyDescent="0.3">
      <c r="A1230" s="1" t="s">
        <v>2501</v>
      </c>
      <c r="B1230">
        <v>2</v>
      </c>
      <c r="C1230">
        <v>21.99</v>
      </c>
      <c r="D1230">
        <v>37.619999999999997</v>
      </c>
      <c r="E1230" s="1" t="s">
        <v>900</v>
      </c>
      <c r="F1230" s="1" t="s">
        <v>40</v>
      </c>
      <c r="G1230">
        <v>2</v>
      </c>
      <c r="H1230" s="1" t="s">
        <v>58</v>
      </c>
      <c r="I1230" s="1" t="s">
        <v>27</v>
      </c>
      <c r="J1230">
        <v>7</v>
      </c>
      <c r="K1230">
        <v>21.99</v>
      </c>
      <c r="L1230" s="1" t="s">
        <v>28</v>
      </c>
      <c r="M1230" s="1" t="s">
        <v>29</v>
      </c>
      <c r="N1230" s="1" t="s">
        <v>30</v>
      </c>
      <c r="O1230" s="1" t="s">
        <v>31</v>
      </c>
      <c r="P1230" s="2">
        <v>45778</v>
      </c>
      <c r="Q1230" s="1" t="s">
        <v>720</v>
      </c>
      <c r="R1230" s="1" t="s">
        <v>1827</v>
      </c>
      <c r="S1230" s="1" t="s">
        <v>47</v>
      </c>
      <c r="T1230" s="1" t="s">
        <v>35</v>
      </c>
      <c r="U1230" s="1" t="s">
        <v>36</v>
      </c>
      <c r="V1230" s="1" t="s">
        <v>37</v>
      </c>
      <c r="W1230">
        <v>2</v>
      </c>
      <c r="X1230" s="1" t="str">
        <f t="shared" si="57"/>
        <v>natalia.ortiz107@mail.com</v>
      </c>
      <c r="Y1230" s="1" t="str">
        <f>INDEX(V:V,MATCH(orders_desnormalizado_prueba3[[#This Row],[acquisition_channel]],U:U,0))</f>
        <v>Bodega Propia CO - envio 2-3 dias</v>
      </c>
      <c r="Z1230" s="1" t="str">
        <f>INDEX(T:T,MATCH(orders_desnormalizado_prueba3[[#This Row],[shipping_cost]],W:W,0))</f>
        <v>Colombia</v>
      </c>
      <c r="AA1230" s="1" t="str">
        <f t="shared" si="58"/>
        <v>Medellin</v>
      </c>
      <c r="AB1230" s="1"/>
      <c r="AC1230" s="1" t="str">
        <f t="shared" si="59"/>
        <v xml:space="preserve"> </v>
      </c>
    </row>
    <row r="1231" spans="1:29" x14ac:dyDescent="0.3">
      <c r="A1231" s="1" t="s">
        <v>2502</v>
      </c>
      <c r="B1231">
        <v>1</v>
      </c>
      <c r="C1231">
        <v>18.989999999999998</v>
      </c>
      <c r="D1231">
        <v>18.989999999999998</v>
      </c>
      <c r="E1231" s="1" t="s">
        <v>1634</v>
      </c>
      <c r="F1231" s="1" t="s">
        <v>70</v>
      </c>
      <c r="G1231">
        <v>0</v>
      </c>
      <c r="H1231" s="1" t="s">
        <v>58</v>
      </c>
      <c r="I1231" s="1" t="s">
        <v>97</v>
      </c>
      <c r="J1231">
        <v>6</v>
      </c>
      <c r="K1231">
        <v>18.989999999999998</v>
      </c>
      <c r="L1231" s="1" t="s">
        <v>60</v>
      </c>
      <c r="M1231" s="1" t="s">
        <v>43</v>
      </c>
      <c r="N1231" s="1" t="s">
        <v>44</v>
      </c>
      <c r="O1231" s="1" t="s">
        <v>31</v>
      </c>
      <c r="P1231" s="2">
        <v>45823</v>
      </c>
      <c r="Q1231" s="1" t="s">
        <v>689</v>
      </c>
      <c r="R1231" s="1" t="s">
        <v>766</v>
      </c>
      <c r="S1231" s="1" t="s">
        <v>105</v>
      </c>
      <c r="T1231" s="1" t="s">
        <v>35</v>
      </c>
      <c r="U1231" s="1" t="s">
        <v>48</v>
      </c>
      <c r="V1231" s="1" t="s">
        <v>100</v>
      </c>
      <c r="W1231">
        <v>3.2</v>
      </c>
      <c r="X1231" s="1" t="str">
        <f t="shared" si="57"/>
        <v>mateo.martinez177@mail.com</v>
      </c>
      <c r="Y1231" s="1" t="str">
        <f>INDEX(V:V,MATCH(orders_desnormalizado_prueba3[[#This Row],[acquisition_channel]],U:U,0))</f>
        <v>Bodega Propia CO - envio 2-3 dias</v>
      </c>
      <c r="Z1231" s="1" t="str">
        <f>INDEX(T:T,MATCH(orders_desnormalizado_prueba3[[#This Row],[shipping_cost]],W:W,0))</f>
        <v>Colombia</v>
      </c>
      <c r="AA1231" s="1" t="str">
        <f t="shared" si="58"/>
        <v>Cartagena</v>
      </c>
      <c r="AB1231" s="1"/>
      <c r="AC1231" s="1" t="str">
        <f t="shared" si="59"/>
        <v xml:space="preserve"> </v>
      </c>
    </row>
    <row r="1232" spans="1:29" x14ac:dyDescent="0.3">
      <c r="A1232" s="1" t="s">
        <v>2503</v>
      </c>
      <c r="B1232">
        <v>1</v>
      </c>
      <c r="C1232">
        <v>21.99</v>
      </c>
      <c r="D1232">
        <v>21.99</v>
      </c>
      <c r="E1232" s="1" t="s">
        <v>1977</v>
      </c>
      <c r="F1232" s="1" t="s">
        <v>51</v>
      </c>
      <c r="G1232">
        <v>0</v>
      </c>
      <c r="H1232" s="1" t="s">
        <v>26</v>
      </c>
      <c r="I1232" s="1" t="s">
        <v>27</v>
      </c>
      <c r="J1232">
        <v>7</v>
      </c>
      <c r="K1232">
        <v>21.99</v>
      </c>
      <c r="L1232" s="1" t="s">
        <v>28</v>
      </c>
      <c r="M1232" s="1" t="s">
        <v>29</v>
      </c>
      <c r="N1232" s="1" t="s">
        <v>30</v>
      </c>
      <c r="O1232" s="1" t="s">
        <v>31</v>
      </c>
      <c r="P1232" s="2">
        <v>45778</v>
      </c>
      <c r="Q1232" s="1" t="s">
        <v>1349</v>
      </c>
      <c r="R1232" s="1" t="s">
        <v>1350</v>
      </c>
      <c r="S1232" s="1" t="s">
        <v>47</v>
      </c>
      <c r="T1232" s="1" t="s">
        <v>35</v>
      </c>
      <c r="U1232" s="1" t="s">
        <v>48</v>
      </c>
      <c r="V1232" s="1" t="s">
        <v>37</v>
      </c>
      <c r="W1232">
        <v>2</v>
      </c>
      <c r="X1232" s="1" t="str">
        <f t="shared" si="57"/>
        <v>catalina.moreno180@mail.com</v>
      </c>
      <c r="Y1232" s="1" t="str">
        <f>INDEX(V:V,MATCH(orders_desnormalizado_prueba3[[#This Row],[acquisition_channel]],U:U,0))</f>
        <v>Bodega Propia CO - envio 2-3 dias</v>
      </c>
      <c r="Z1232" s="1" t="str">
        <f>INDEX(T:T,MATCH(orders_desnormalizado_prueba3[[#This Row],[shipping_cost]],W:W,0))</f>
        <v>Colombia</v>
      </c>
      <c r="AA1232" s="1" t="str">
        <f t="shared" si="58"/>
        <v>Cartagena</v>
      </c>
      <c r="AB1232" s="1"/>
      <c r="AC1232" s="1" t="str">
        <f t="shared" si="59"/>
        <v xml:space="preserve"> </v>
      </c>
    </row>
    <row r="1233" spans="1:29" x14ac:dyDescent="0.3">
      <c r="A1233" s="1" t="s">
        <v>2504</v>
      </c>
      <c r="B1233">
        <v>1</v>
      </c>
      <c r="C1233">
        <v>18.989999999999998</v>
      </c>
      <c r="D1233">
        <v>18.989999999999998</v>
      </c>
      <c r="E1233" s="1" t="s">
        <v>2505</v>
      </c>
      <c r="F1233" s="1" t="s">
        <v>188</v>
      </c>
      <c r="G1233">
        <v>0</v>
      </c>
      <c r="H1233" s="1" t="s">
        <v>26</v>
      </c>
      <c r="I1233" s="1" t="s">
        <v>97</v>
      </c>
      <c r="J1233">
        <v>6</v>
      </c>
      <c r="K1233">
        <v>18.989999999999998</v>
      </c>
      <c r="L1233" s="1" t="s">
        <v>60</v>
      </c>
      <c r="M1233" s="1" t="s">
        <v>43</v>
      </c>
      <c r="N1233" s="1" t="s">
        <v>44</v>
      </c>
      <c r="O1233" s="1" t="s">
        <v>31</v>
      </c>
      <c r="P1233" s="2">
        <v>45823</v>
      </c>
      <c r="Q1233" s="1" t="s">
        <v>1770</v>
      </c>
      <c r="R1233" s="1" t="s">
        <v>1771</v>
      </c>
      <c r="S1233" s="1" t="s">
        <v>34</v>
      </c>
      <c r="T1233" s="1" t="s">
        <v>35</v>
      </c>
      <c r="U1233" s="1" t="s">
        <v>55</v>
      </c>
      <c r="V1233" s="1" t="s">
        <v>100</v>
      </c>
      <c r="W1233">
        <v>3.2</v>
      </c>
      <c r="X1233" s="1" t="str">
        <f t="shared" si="57"/>
        <v>felipe.martinez80@mail.com</v>
      </c>
      <c r="Y1233" s="1" t="str">
        <f>INDEX(V:V,MATCH(orders_desnormalizado_prueba3[[#This Row],[acquisition_channel]],U:U,0))</f>
        <v>Bodega Propia CO - envio 2-3 dias</v>
      </c>
      <c r="Z1233" s="1" t="str">
        <f>INDEX(T:T,MATCH(orders_desnormalizado_prueba3[[#This Row],[shipping_cost]],W:W,0))</f>
        <v>Colombia</v>
      </c>
      <c r="AA1233" s="1" t="str">
        <f t="shared" si="58"/>
        <v>Cartagena</v>
      </c>
      <c r="AB1233" s="1"/>
      <c r="AC1233" s="1" t="str">
        <f t="shared" si="59"/>
        <v xml:space="preserve"> </v>
      </c>
    </row>
    <row r="1234" spans="1:29" x14ac:dyDescent="0.3">
      <c r="A1234" s="1" t="s">
        <v>2506</v>
      </c>
      <c r="B1234">
        <v>1</v>
      </c>
      <c r="C1234">
        <v>18.989999999999998</v>
      </c>
      <c r="D1234">
        <v>18.989999999999998</v>
      </c>
      <c r="E1234" s="1" t="s">
        <v>916</v>
      </c>
      <c r="F1234" s="1" t="s">
        <v>51</v>
      </c>
      <c r="G1234">
        <v>0</v>
      </c>
      <c r="H1234" s="1" t="s">
        <v>41</v>
      </c>
      <c r="I1234" s="1" t="s">
        <v>97</v>
      </c>
      <c r="J1234">
        <v>6</v>
      </c>
      <c r="K1234">
        <v>18.989999999999998</v>
      </c>
      <c r="L1234" s="1" t="s">
        <v>60</v>
      </c>
      <c r="M1234" s="1" t="s">
        <v>43</v>
      </c>
      <c r="N1234" s="1" t="s">
        <v>44</v>
      </c>
      <c r="O1234" s="1" t="s">
        <v>31</v>
      </c>
      <c r="P1234" s="2">
        <v>45823</v>
      </c>
      <c r="Q1234" s="1" t="s">
        <v>526</v>
      </c>
      <c r="R1234" s="1" t="s">
        <v>846</v>
      </c>
      <c r="S1234" s="1" t="s">
        <v>47</v>
      </c>
      <c r="T1234" s="1" t="s">
        <v>35</v>
      </c>
      <c r="U1234" s="1" t="s">
        <v>55</v>
      </c>
      <c r="V1234" s="1" t="s">
        <v>100</v>
      </c>
      <c r="W1234">
        <v>3.2</v>
      </c>
      <c r="X1234" s="1" t="str">
        <f t="shared" si="57"/>
        <v>daniela.diaz127@mail.com</v>
      </c>
      <c r="Y1234" s="1" t="str">
        <f>INDEX(V:V,MATCH(orders_desnormalizado_prueba3[[#This Row],[acquisition_channel]],U:U,0))</f>
        <v>Bodega Propia CO - envio 2-3 dias</v>
      </c>
      <c r="Z1234" s="1" t="str">
        <f>INDEX(T:T,MATCH(orders_desnormalizado_prueba3[[#This Row],[shipping_cost]],W:W,0))</f>
        <v>Colombia</v>
      </c>
      <c r="AA1234" s="1" t="str">
        <f t="shared" si="58"/>
        <v>Cartagena</v>
      </c>
      <c r="AB1234" s="1"/>
      <c r="AC1234" s="1" t="str">
        <f t="shared" si="59"/>
        <v xml:space="preserve"> </v>
      </c>
    </row>
    <row r="1235" spans="1:29" x14ac:dyDescent="0.3">
      <c r="A1235" s="1" t="s">
        <v>2507</v>
      </c>
      <c r="B1235">
        <v>3</v>
      </c>
      <c r="C1235">
        <v>30.99</v>
      </c>
      <c r="D1235">
        <v>74.59</v>
      </c>
      <c r="E1235" s="1" t="s">
        <v>2508</v>
      </c>
      <c r="F1235" s="1" t="s">
        <v>40</v>
      </c>
      <c r="G1235">
        <v>2</v>
      </c>
      <c r="H1235" s="1" t="s">
        <v>26</v>
      </c>
      <c r="I1235" s="1" t="s">
        <v>42</v>
      </c>
      <c r="J1235">
        <v>10.5</v>
      </c>
      <c r="K1235">
        <v>30.99</v>
      </c>
      <c r="L1235" s="1" t="s">
        <v>28</v>
      </c>
      <c r="M1235" s="1" t="s">
        <v>43</v>
      </c>
      <c r="N1235" s="1" t="s">
        <v>44</v>
      </c>
      <c r="O1235" s="1" t="s">
        <v>31</v>
      </c>
      <c r="P1235" s="2">
        <v>45823</v>
      </c>
      <c r="Q1235" s="1" t="s">
        <v>2424</v>
      </c>
      <c r="R1235" s="1" t="s">
        <v>2425</v>
      </c>
      <c r="S1235" s="1" t="s">
        <v>47</v>
      </c>
      <c r="T1235" s="1" t="s">
        <v>35</v>
      </c>
      <c r="U1235" s="1" t="s">
        <v>66</v>
      </c>
      <c r="V1235" s="1" t="s">
        <v>37</v>
      </c>
      <c r="W1235">
        <v>2</v>
      </c>
      <c r="X1235" s="1" t="str">
        <f t="shared" si="57"/>
        <v>ximena.ramirez160@mail.com</v>
      </c>
      <c r="Y1235" s="1" t="str">
        <f>INDEX(V:V,MATCH(orders_desnormalizado_prueba3[[#This Row],[acquisition_channel]],U:U,0))</f>
        <v>AliDropship CN - envio 15-20 dias</v>
      </c>
      <c r="Z1235" s="1" t="str">
        <f>INDEX(T:T,MATCH(orders_desnormalizado_prueba3[[#This Row],[shipping_cost]],W:W,0))</f>
        <v>Colombia</v>
      </c>
      <c r="AA1235" s="1" t="str">
        <f t="shared" si="58"/>
        <v>Medellin</v>
      </c>
      <c r="AB1235" s="1"/>
      <c r="AC1235" s="1" t="str">
        <f t="shared" si="59"/>
        <v xml:space="preserve"> </v>
      </c>
    </row>
    <row r="1236" spans="1:29" x14ac:dyDescent="0.3">
      <c r="A1236" s="1" t="s">
        <v>2509</v>
      </c>
      <c r="B1236">
        <v>1</v>
      </c>
      <c r="C1236">
        <v>18.989999999999998</v>
      </c>
      <c r="D1236">
        <v>18.989999999999998</v>
      </c>
      <c r="E1236" s="1" t="s">
        <v>2510</v>
      </c>
      <c r="F1236" s="1" t="s">
        <v>51</v>
      </c>
      <c r="G1236">
        <v>0</v>
      </c>
      <c r="H1236" s="1" t="s">
        <v>58</v>
      </c>
      <c r="I1236" s="1" t="s">
        <v>97</v>
      </c>
      <c r="J1236">
        <v>6</v>
      </c>
      <c r="K1236">
        <v>18.989999999999998</v>
      </c>
      <c r="L1236" s="1" t="s">
        <v>60</v>
      </c>
      <c r="M1236" s="1" t="s">
        <v>43</v>
      </c>
      <c r="N1236" s="1" t="s">
        <v>44</v>
      </c>
      <c r="O1236" s="1" t="s">
        <v>31</v>
      </c>
      <c r="P1236" s="2">
        <v>45823</v>
      </c>
      <c r="Q1236" s="1" t="s">
        <v>147</v>
      </c>
      <c r="R1236" s="1" t="s">
        <v>1601</v>
      </c>
      <c r="S1236" s="1" t="s">
        <v>105</v>
      </c>
      <c r="T1236" s="1" t="s">
        <v>35</v>
      </c>
      <c r="U1236" s="1" t="s">
        <v>55</v>
      </c>
      <c r="V1236" s="1" t="s">
        <v>100</v>
      </c>
      <c r="W1236">
        <v>3.2</v>
      </c>
      <c r="X1236" s="1" t="str">
        <f t="shared" si="57"/>
        <v>natalia.castro19@mail.com</v>
      </c>
      <c r="Y1236" s="1" t="str">
        <f>INDEX(V:V,MATCH(orders_desnormalizado_prueba3[[#This Row],[acquisition_channel]],U:U,0))</f>
        <v>Bodega Propia CO - envio 2-3 dias</v>
      </c>
      <c r="Z1236" s="1" t="str">
        <f>INDEX(T:T,MATCH(orders_desnormalizado_prueba3[[#This Row],[shipping_cost]],W:W,0))</f>
        <v>Colombia</v>
      </c>
      <c r="AA1236" s="1" t="str">
        <f t="shared" si="58"/>
        <v>Cartagena</v>
      </c>
      <c r="AB1236" s="1"/>
      <c r="AC1236" s="1" t="str">
        <f t="shared" si="59"/>
        <v xml:space="preserve"> </v>
      </c>
    </row>
    <row r="1237" spans="1:29" x14ac:dyDescent="0.3">
      <c r="A1237" s="1" t="s">
        <v>2511</v>
      </c>
      <c r="B1237">
        <v>2</v>
      </c>
      <c r="C1237">
        <v>18.989999999999998</v>
      </c>
      <c r="D1237">
        <v>32.950000000000003</v>
      </c>
      <c r="E1237" s="1" t="s">
        <v>1355</v>
      </c>
      <c r="F1237" s="1" t="s">
        <v>70</v>
      </c>
      <c r="G1237">
        <v>0</v>
      </c>
      <c r="H1237" s="1" t="s">
        <v>58</v>
      </c>
      <c r="I1237" s="1" t="s">
        <v>97</v>
      </c>
      <c r="J1237">
        <v>6</v>
      </c>
      <c r="K1237">
        <v>18.989999999999998</v>
      </c>
      <c r="L1237" s="1" t="s">
        <v>60</v>
      </c>
      <c r="M1237" s="1" t="s">
        <v>43</v>
      </c>
      <c r="N1237" s="1" t="s">
        <v>44</v>
      </c>
      <c r="O1237" s="1" t="s">
        <v>31</v>
      </c>
      <c r="P1237" s="2">
        <v>45823</v>
      </c>
      <c r="Q1237" s="1" t="s">
        <v>241</v>
      </c>
      <c r="R1237" s="1" t="s">
        <v>2512</v>
      </c>
      <c r="S1237" s="1" t="s">
        <v>47</v>
      </c>
      <c r="T1237" s="1" t="s">
        <v>35</v>
      </c>
      <c r="U1237" s="1" t="s">
        <v>36</v>
      </c>
      <c r="V1237" s="1" t="s">
        <v>100</v>
      </c>
      <c r="W1237">
        <v>3.2</v>
      </c>
      <c r="X1237" s="1" t="str">
        <f t="shared" si="57"/>
        <v>santiago.ramirez62@mail.com</v>
      </c>
      <c r="Y1237" s="1" t="str">
        <f>INDEX(V:V,MATCH(orders_desnormalizado_prueba3[[#This Row],[acquisition_channel]],U:U,0))</f>
        <v>Bodega Propia CO - envio 2-3 dias</v>
      </c>
      <c r="Z1237" s="1" t="str">
        <f>INDEX(T:T,MATCH(orders_desnormalizado_prueba3[[#This Row],[shipping_cost]],W:W,0))</f>
        <v>Colombia</v>
      </c>
      <c r="AA1237" s="1" t="str">
        <f t="shared" si="58"/>
        <v>Cartagena</v>
      </c>
      <c r="AB1237" s="1"/>
      <c r="AC1237" s="1" t="str">
        <f t="shared" si="59"/>
        <v xml:space="preserve"> </v>
      </c>
    </row>
    <row r="1238" spans="1:29" x14ac:dyDescent="0.3">
      <c r="A1238" s="1" t="s">
        <v>2513</v>
      </c>
      <c r="B1238">
        <v>1</v>
      </c>
      <c r="C1238">
        <v>21.99</v>
      </c>
      <c r="D1238">
        <v>21.99</v>
      </c>
      <c r="E1238" s="1" t="s">
        <v>1652</v>
      </c>
      <c r="F1238" s="1" t="s">
        <v>40</v>
      </c>
      <c r="G1238">
        <v>2</v>
      </c>
      <c r="H1238" s="1" t="s">
        <v>58</v>
      </c>
      <c r="I1238" s="1" t="s">
        <v>27</v>
      </c>
      <c r="J1238">
        <v>7</v>
      </c>
      <c r="K1238">
        <v>21.99</v>
      </c>
      <c r="L1238" s="1" t="s">
        <v>28</v>
      </c>
      <c r="M1238" s="1" t="s">
        <v>29</v>
      </c>
      <c r="N1238" s="1" t="s">
        <v>30</v>
      </c>
      <c r="O1238" s="1" t="s">
        <v>31</v>
      </c>
      <c r="P1238" s="2">
        <v>45778</v>
      </c>
      <c r="Q1238" s="1" t="s">
        <v>1349</v>
      </c>
      <c r="R1238" s="1" t="s">
        <v>1439</v>
      </c>
      <c r="S1238" s="1" t="s">
        <v>65</v>
      </c>
      <c r="T1238" s="1" t="s">
        <v>35</v>
      </c>
      <c r="U1238" s="1" t="s">
        <v>36</v>
      </c>
      <c r="V1238" s="1" t="s">
        <v>37</v>
      </c>
      <c r="W1238">
        <v>2</v>
      </c>
      <c r="X1238" s="1" t="str">
        <f t="shared" si="57"/>
        <v>catalina.moreno180@mail.com</v>
      </c>
      <c r="Y1238" s="1" t="str">
        <f>INDEX(V:V,MATCH(orders_desnormalizado_prueba3[[#This Row],[acquisition_channel]],U:U,0))</f>
        <v>Bodega Propia CO - envio 2-3 dias</v>
      </c>
      <c r="Z1238" s="1" t="str">
        <f>INDEX(T:T,MATCH(orders_desnormalizado_prueba3[[#This Row],[shipping_cost]],W:W,0))</f>
        <v>Colombia</v>
      </c>
      <c r="AA1238" s="1" t="str">
        <f t="shared" si="58"/>
        <v>Medellin</v>
      </c>
      <c r="AB1238" s="1"/>
      <c r="AC1238" s="1" t="str">
        <f t="shared" si="59"/>
        <v xml:space="preserve"> </v>
      </c>
    </row>
    <row r="1239" spans="1:29" x14ac:dyDescent="0.3">
      <c r="A1239" s="1" t="s">
        <v>2514</v>
      </c>
      <c r="B1239">
        <v>1</v>
      </c>
      <c r="C1239">
        <v>34.99</v>
      </c>
      <c r="D1239">
        <v>34.99</v>
      </c>
      <c r="E1239" s="1" t="s">
        <v>1743</v>
      </c>
      <c r="F1239" s="1" t="s">
        <v>25</v>
      </c>
      <c r="G1239">
        <v>8</v>
      </c>
      <c r="H1239" s="1" t="s">
        <v>58</v>
      </c>
      <c r="I1239" s="1" t="s">
        <v>85</v>
      </c>
      <c r="J1239">
        <v>12.5</v>
      </c>
      <c r="K1239">
        <v>34.99</v>
      </c>
      <c r="L1239" s="1" t="s">
        <v>60</v>
      </c>
      <c r="M1239" s="1" t="s">
        <v>29</v>
      </c>
      <c r="N1239" s="1" t="s">
        <v>30</v>
      </c>
      <c r="O1239" s="1" t="s">
        <v>31</v>
      </c>
      <c r="P1239" s="2">
        <v>45778</v>
      </c>
      <c r="Q1239" s="1" t="s">
        <v>118</v>
      </c>
      <c r="R1239" s="1" t="s">
        <v>1959</v>
      </c>
      <c r="S1239" s="1" t="s">
        <v>65</v>
      </c>
      <c r="T1239" s="1" t="s">
        <v>35</v>
      </c>
      <c r="U1239" s="1" t="s">
        <v>36</v>
      </c>
      <c r="V1239" s="1" t="s">
        <v>89</v>
      </c>
      <c r="W1239">
        <v>2.4</v>
      </c>
      <c r="X1239" s="1" t="str">
        <f t="shared" si="57"/>
        <v>camila.torres36@mail.com</v>
      </c>
      <c r="Y1239" s="1" t="str">
        <f>INDEX(V:V,MATCH(orders_desnormalizado_prueba3[[#This Row],[acquisition_channel]],U:U,0))</f>
        <v>Bodega Propia CO - envio 2-3 dias</v>
      </c>
      <c r="Z1239" s="1" t="str">
        <f>INDEX(T:T,MATCH(orders_desnormalizado_prueba3[[#This Row],[shipping_cost]],W:W,0))</f>
        <v>Colombia</v>
      </c>
      <c r="AA1239" s="1" t="str">
        <f t="shared" si="58"/>
        <v>Barranquilla</v>
      </c>
      <c r="AB1239" s="1"/>
      <c r="AC1239" s="1" t="str">
        <f t="shared" si="59"/>
        <v xml:space="preserve"> </v>
      </c>
    </row>
    <row r="1240" spans="1:29" x14ac:dyDescent="0.3">
      <c r="A1240" s="1" t="s">
        <v>2515</v>
      </c>
      <c r="B1240">
        <v>2</v>
      </c>
      <c r="C1240">
        <v>34.99</v>
      </c>
      <c r="D1240">
        <v>60.24</v>
      </c>
      <c r="E1240" s="1" t="s">
        <v>1156</v>
      </c>
      <c r="F1240" s="1" t="s">
        <v>40</v>
      </c>
      <c r="G1240">
        <v>10</v>
      </c>
      <c r="H1240" s="1" t="s">
        <v>58</v>
      </c>
      <c r="I1240" s="1" t="s">
        <v>85</v>
      </c>
      <c r="J1240">
        <v>12.5</v>
      </c>
      <c r="K1240">
        <v>34.99</v>
      </c>
      <c r="L1240" s="1" t="s">
        <v>60</v>
      </c>
      <c r="M1240" s="1" t="s">
        <v>29</v>
      </c>
      <c r="N1240" s="1" t="s">
        <v>30</v>
      </c>
      <c r="O1240" s="1" t="s">
        <v>31</v>
      </c>
      <c r="P1240" s="2">
        <v>45778</v>
      </c>
      <c r="Q1240" s="1" t="s">
        <v>1676</v>
      </c>
      <c r="R1240" s="1" t="s">
        <v>1774</v>
      </c>
      <c r="S1240" s="1" t="s">
        <v>54</v>
      </c>
      <c r="T1240" s="1" t="s">
        <v>35</v>
      </c>
      <c r="U1240" s="1" t="s">
        <v>36</v>
      </c>
      <c r="V1240" s="1" t="s">
        <v>89</v>
      </c>
      <c r="W1240">
        <v>2.4</v>
      </c>
      <c r="X1240" s="1" t="str">
        <f t="shared" si="57"/>
        <v>antonia.perez1@mail.com</v>
      </c>
      <c r="Y1240" s="1" t="str">
        <f>INDEX(V:V,MATCH(orders_desnormalizado_prueba3[[#This Row],[acquisition_channel]],U:U,0))</f>
        <v>Bodega Propia CO - envio 2-3 dias</v>
      </c>
      <c r="Z1240" s="1" t="str">
        <f>INDEX(T:T,MATCH(orders_desnormalizado_prueba3[[#This Row],[shipping_cost]],W:W,0))</f>
        <v>Colombia</v>
      </c>
      <c r="AA1240" s="1" t="str">
        <f t="shared" si="58"/>
        <v>Bogota</v>
      </c>
      <c r="AB1240" s="1"/>
      <c r="AC1240" s="1" t="str">
        <f t="shared" si="59"/>
        <v xml:space="preserve"> </v>
      </c>
    </row>
    <row r="1241" spans="1:29" x14ac:dyDescent="0.3">
      <c r="A1241" s="1" t="s">
        <v>2516</v>
      </c>
      <c r="B1241">
        <v>1</v>
      </c>
      <c r="C1241">
        <v>21.99</v>
      </c>
      <c r="D1241">
        <v>21.99</v>
      </c>
      <c r="E1241" s="1" t="s">
        <v>2192</v>
      </c>
      <c r="F1241" s="1" t="s">
        <v>25</v>
      </c>
      <c r="G1241">
        <v>2</v>
      </c>
      <c r="H1241" s="1" t="s">
        <v>58</v>
      </c>
      <c r="I1241" s="1" t="s">
        <v>27</v>
      </c>
      <c r="J1241">
        <v>7</v>
      </c>
      <c r="K1241">
        <v>21.99</v>
      </c>
      <c r="L1241" s="1" t="s">
        <v>28</v>
      </c>
      <c r="M1241" s="1" t="s">
        <v>29</v>
      </c>
      <c r="N1241" s="1" t="s">
        <v>30</v>
      </c>
      <c r="O1241" s="1" t="s">
        <v>31</v>
      </c>
      <c r="P1241" s="2">
        <v>45778</v>
      </c>
      <c r="Q1241" s="1" t="s">
        <v>1028</v>
      </c>
      <c r="R1241" s="1" t="s">
        <v>1029</v>
      </c>
      <c r="S1241" s="1" t="s">
        <v>105</v>
      </c>
      <c r="T1241" s="1" t="s">
        <v>35</v>
      </c>
      <c r="U1241" s="1" t="s">
        <v>36</v>
      </c>
      <c r="V1241" s="1" t="s">
        <v>37</v>
      </c>
      <c r="W1241">
        <v>2</v>
      </c>
      <c r="X1241" s="1" t="str">
        <f t="shared" si="57"/>
        <v>miguel.martinez162@mail.com</v>
      </c>
      <c r="Y1241" s="1" t="str">
        <f>INDEX(V:V,MATCH(orders_desnormalizado_prueba3[[#This Row],[acquisition_channel]],U:U,0))</f>
        <v>Bodega Propia CO - envio 2-3 dias</v>
      </c>
      <c r="Z1241" s="1" t="str">
        <f>INDEX(T:T,MATCH(orders_desnormalizado_prueba3[[#This Row],[shipping_cost]],W:W,0))</f>
        <v>Colombia</v>
      </c>
      <c r="AA1241" s="1" t="str">
        <f t="shared" si="58"/>
        <v>Medellin</v>
      </c>
      <c r="AB1241" s="1"/>
      <c r="AC1241" s="1" t="str">
        <f t="shared" si="59"/>
        <v xml:space="preserve"> </v>
      </c>
    </row>
    <row r="1242" spans="1:29" x14ac:dyDescent="0.3">
      <c r="A1242" s="1" t="s">
        <v>2517</v>
      </c>
      <c r="B1242">
        <v>2</v>
      </c>
      <c r="C1242">
        <v>34.99</v>
      </c>
      <c r="D1242">
        <v>60.49</v>
      </c>
      <c r="E1242" s="1" t="s">
        <v>187</v>
      </c>
      <c r="F1242" s="1" t="s">
        <v>188</v>
      </c>
      <c r="G1242">
        <v>0</v>
      </c>
      <c r="H1242" s="1" t="s">
        <v>26</v>
      </c>
      <c r="I1242" s="1" t="s">
        <v>85</v>
      </c>
      <c r="J1242">
        <v>12.5</v>
      </c>
      <c r="K1242">
        <v>34.99</v>
      </c>
      <c r="L1242" s="1" t="s">
        <v>60</v>
      </c>
      <c r="M1242" s="1" t="s">
        <v>29</v>
      </c>
      <c r="N1242" s="1" t="s">
        <v>30</v>
      </c>
      <c r="O1242" s="1" t="s">
        <v>31</v>
      </c>
      <c r="P1242" s="2">
        <v>45778</v>
      </c>
      <c r="Q1242" s="1" t="s">
        <v>1035</v>
      </c>
      <c r="R1242" s="1" t="s">
        <v>1036</v>
      </c>
      <c r="S1242" s="1" t="s">
        <v>54</v>
      </c>
      <c r="T1242" s="1" t="s">
        <v>35</v>
      </c>
      <c r="U1242" s="1" t="s">
        <v>66</v>
      </c>
      <c r="V1242" s="1" t="s">
        <v>89</v>
      </c>
      <c r="W1242">
        <v>2.4</v>
      </c>
      <c r="X1242" s="1" t="str">
        <f t="shared" si="57"/>
        <v>nicolas.ortiz56@mail.com</v>
      </c>
      <c r="Y1242" s="1" t="str">
        <f>INDEX(V:V,MATCH(orders_desnormalizado_prueba3[[#This Row],[acquisition_channel]],U:U,0))</f>
        <v>AliDropship CN - envio 15-20 dias</v>
      </c>
      <c r="Z1242" s="1" t="str">
        <f>INDEX(T:T,MATCH(orders_desnormalizado_prueba3[[#This Row],[shipping_cost]],W:W,0))</f>
        <v>Colombia</v>
      </c>
      <c r="AA1242" s="1" t="str">
        <f t="shared" si="58"/>
        <v>Cartagena</v>
      </c>
      <c r="AB1242" s="1"/>
      <c r="AC1242" s="1" t="str">
        <f t="shared" si="59"/>
        <v xml:space="preserve"> </v>
      </c>
    </row>
    <row r="1243" spans="1:29" x14ac:dyDescent="0.3">
      <c r="A1243" s="1" t="s">
        <v>2518</v>
      </c>
      <c r="B1243">
        <v>3</v>
      </c>
      <c r="C1243">
        <v>18.989999999999998</v>
      </c>
      <c r="D1243">
        <v>45.04</v>
      </c>
      <c r="E1243" s="1" t="s">
        <v>2519</v>
      </c>
      <c r="F1243" s="1" t="s">
        <v>188</v>
      </c>
      <c r="G1243">
        <v>0</v>
      </c>
      <c r="H1243" s="1" t="s">
        <v>26</v>
      </c>
      <c r="I1243" s="1" t="s">
        <v>97</v>
      </c>
      <c r="J1243">
        <v>6</v>
      </c>
      <c r="K1243">
        <v>18.989999999999998</v>
      </c>
      <c r="L1243" s="1" t="s">
        <v>60</v>
      </c>
      <c r="M1243" s="1" t="s">
        <v>43</v>
      </c>
      <c r="N1243" s="1" t="s">
        <v>44</v>
      </c>
      <c r="O1243" s="1" t="s">
        <v>31</v>
      </c>
      <c r="P1243" s="2">
        <v>45823</v>
      </c>
      <c r="Q1243" s="1" t="s">
        <v>814</v>
      </c>
      <c r="R1243" s="1" t="s">
        <v>1041</v>
      </c>
      <c r="S1243" s="1" t="s">
        <v>54</v>
      </c>
      <c r="T1243" s="1" t="s">
        <v>35</v>
      </c>
      <c r="U1243" s="1" t="s">
        <v>36</v>
      </c>
      <c r="V1243" s="1" t="s">
        <v>100</v>
      </c>
      <c r="W1243">
        <v>3.2</v>
      </c>
      <c r="X1243" s="1" t="str">
        <f t="shared" si="57"/>
        <v>isabella.jimenez172@mail.com</v>
      </c>
      <c r="Y1243" s="1" t="str">
        <f>INDEX(V:V,MATCH(orders_desnormalizado_prueba3[[#This Row],[acquisition_channel]],U:U,0))</f>
        <v>Bodega Propia CO - envio 2-3 dias</v>
      </c>
      <c r="Z1243" s="1" t="str">
        <f>INDEX(T:T,MATCH(orders_desnormalizado_prueba3[[#This Row],[shipping_cost]],W:W,0))</f>
        <v>Colombia</v>
      </c>
      <c r="AA1243" s="1" t="str">
        <f t="shared" si="58"/>
        <v>Cartagena</v>
      </c>
      <c r="AB1243" s="1"/>
      <c r="AC1243" s="1" t="str">
        <f t="shared" si="59"/>
        <v xml:space="preserve"> </v>
      </c>
    </row>
    <row r="1244" spans="1:29" x14ac:dyDescent="0.3">
      <c r="A1244" s="1" t="s">
        <v>2520</v>
      </c>
      <c r="B1244">
        <v>1</v>
      </c>
      <c r="C1244">
        <v>30.99</v>
      </c>
      <c r="D1244">
        <v>30.99</v>
      </c>
      <c r="E1244" s="1" t="s">
        <v>244</v>
      </c>
      <c r="F1244" s="1" t="s">
        <v>25</v>
      </c>
      <c r="G1244">
        <v>2</v>
      </c>
      <c r="H1244" s="1" t="s">
        <v>58</v>
      </c>
      <c r="I1244" s="1" t="s">
        <v>42</v>
      </c>
      <c r="J1244">
        <v>10.5</v>
      </c>
      <c r="K1244">
        <v>30.99</v>
      </c>
      <c r="L1244" s="1" t="s">
        <v>28</v>
      </c>
      <c r="M1244" s="1" t="s">
        <v>43</v>
      </c>
      <c r="N1244" s="1" t="s">
        <v>44</v>
      </c>
      <c r="O1244" s="1" t="s">
        <v>31</v>
      </c>
      <c r="P1244" s="2">
        <v>45823</v>
      </c>
      <c r="Q1244" s="1" t="s">
        <v>1162</v>
      </c>
      <c r="R1244" s="1" t="s">
        <v>1163</v>
      </c>
      <c r="S1244" s="1" t="s">
        <v>65</v>
      </c>
      <c r="T1244" s="1" t="s">
        <v>35</v>
      </c>
      <c r="U1244" s="1" t="s">
        <v>48</v>
      </c>
      <c r="V1244" s="1" t="s">
        <v>37</v>
      </c>
      <c r="W1244">
        <v>2</v>
      </c>
      <c r="X1244" s="1" t="str">
        <f t="shared" si="57"/>
        <v>nicolas.castro48@mail.com</v>
      </c>
      <c r="Y1244" s="1" t="str">
        <f>INDEX(V:V,MATCH(orders_desnormalizado_prueba3[[#This Row],[acquisition_channel]],U:U,0))</f>
        <v>Bodega Propia CO - envio 2-3 dias</v>
      </c>
      <c r="Z1244" s="1" t="str">
        <f>INDEX(T:T,MATCH(orders_desnormalizado_prueba3[[#This Row],[shipping_cost]],W:W,0))</f>
        <v>Colombia</v>
      </c>
      <c r="AA1244" s="1" t="str">
        <f t="shared" si="58"/>
        <v>Medellin</v>
      </c>
      <c r="AB1244" s="1"/>
      <c r="AC1244" s="1" t="str">
        <f t="shared" si="59"/>
        <v xml:space="preserve"> </v>
      </c>
    </row>
    <row r="1245" spans="1:29" x14ac:dyDescent="0.3">
      <c r="A1245" s="1" t="s">
        <v>2521</v>
      </c>
      <c r="B1245">
        <v>1</v>
      </c>
      <c r="C1245">
        <v>16.989999999999998</v>
      </c>
      <c r="D1245">
        <v>16.989999999999998</v>
      </c>
      <c r="E1245" s="1" t="s">
        <v>389</v>
      </c>
      <c r="F1245" s="1" t="s">
        <v>40</v>
      </c>
      <c r="G1245">
        <v>17</v>
      </c>
      <c r="H1245" s="1" t="s">
        <v>96</v>
      </c>
      <c r="I1245" s="1" t="s">
        <v>59</v>
      </c>
      <c r="J1245">
        <v>5</v>
      </c>
      <c r="K1245">
        <v>16.989999999999998</v>
      </c>
      <c r="L1245" s="1" t="s">
        <v>60</v>
      </c>
      <c r="M1245" s="1" t="s">
        <v>61</v>
      </c>
      <c r="N1245" s="1" t="s">
        <v>62</v>
      </c>
      <c r="O1245" s="1" t="s">
        <v>31</v>
      </c>
      <c r="P1245" s="2">
        <v>45726</v>
      </c>
      <c r="Q1245" s="1" t="s">
        <v>1657</v>
      </c>
      <c r="R1245" s="1" t="s">
        <v>1658</v>
      </c>
      <c r="S1245" s="1" t="s">
        <v>65</v>
      </c>
      <c r="T1245" s="1" t="s">
        <v>35</v>
      </c>
      <c r="U1245" s="1" t="s">
        <v>36</v>
      </c>
      <c r="V1245" s="1" t="s">
        <v>67</v>
      </c>
      <c r="W1245">
        <v>3</v>
      </c>
      <c r="X1245" s="1" t="str">
        <f t="shared" si="57"/>
        <v>david.moreno178@mail.com</v>
      </c>
      <c r="Y1245" s="1" t="str">
        <f>INDEX(V:V,MATCH(orders_desnormalizado_prueba3[[#This Row],[acquisition_channel]],U:U,0))</f>
        <v>Bodega Propia CO - envio 2-3 dias</v>
      </c>
      <c r="Z1245" s="1" t="str">
        <f>INDEX(T:T,MATCH(orders_desnormalizado_prueba3[[#This Row],[shipping_cost]],W:W,0))</f>
        <v>Colombia</v>
      </c>
      <c r="AA1245" s="1" t="str">
        <f t="shared" si="58"/>
        <v>Barranquilla</v>
      </c>
      <c r="AB1245" s="1"/>
      <c r="AC1245" s="1" t="str">
        <f t="shared" si="59"/>
        <v xml:space="preserve"> </v>
      </c>
    </row>
    <row r="1246" spans="1:29" x14ac:dyDescent="0.3">
      <c r="A1246" s="1" t="s">
        <v>2522</v>
      </c>
      <c r="B1246">
        <v>1</v>
      </c>
      <c r="C1246">
        <v>34.99</v>
      </c>
      <c r="D1246">
        <v>34.99</v>
      </c>
      <c r="E1246" s="1" t="s">
        <v>113</v>
      </c>
      <c r="F1246" s="1" t="s">
        <v>40</v>
      </c>
      <c r="G1246">
        <v>5</v>
      </c>
      <c r="H1246" s="1" t="s">
        <v>41</v>
      </c>
      <c r="I1246" s="1" t="s">
        <v>85</v>
      </c>
      <c r="J1246">
        <v>12.5</v>
      </c>
      <c r="K1246">
        <v>34.99</v>
      </c>
      <c r="L1246" s="1" t="s">
        <v>60</v>
      </c>
      <c r="M1246" s="1" t="s">
        <v>29</v>
      </c>
      <c r="N1246" s="1" t="s">
        <v>30</v>
      </c>
      <c r="O1246" s="1" t="s">
        <v>31</v>
      </c>
      <c r="P1246" s="2">
        <v>45778</v>
      </c>
      <c r="Q1246" s="1" t="s">
        <v>161</v>
      </c>
      <c r="R1246" s="1" t="s">
        <v>2096</v>
      </c>
      <c r="S1246" s="1" t="s">
        <v>34</v>
      </c>
      <c r="T1246" s="1" t="s">
        <v>35</v>
      </c>
      <c r="U1246" s="1" t="s">
        <v>48</v>
      </c>
      <c r="V1246" s="1" t="s">
        <v>89</v>
      </c>
      <c r="W1246">
        <v>2.4</v>
      </c>
      <c r="X1246" s="1" t="str">
        <f t="shared" si="57"/>
        <v>miguel.vargas74@mail.com</v>
      </c>
      <c r="Y1246" s="1" t="str">
        <f>INDEX(V:V,MATCH(orders_desnormalizado_prueba3[[#This Row],[acquisition_channel]],U:U,0))</f>
        <v>Bodega Propia CO - envio 2-3 dias</v>
      </c>
      <c r="Z1246" s="1" t="str">
        <f>INDEX(T:T,MATCH(orders_desnormalizado_prueba3[[#This Row],[shipping_cost]],W:W,0))</f>
        <v>Colombia</v>
      </c>
      <c r="AA1246" s="1" t="str">
        <f t="shared" si="58"/>
        <v>Cali</v>
      </c>
      <c r="AB1246" s="1"/>
      <c r="AC1246" s="1" t="str">
        <f t="shared" si="59"/>
        <v xml:space="preserve"> </v>
      </c>
    </row>
    <row r="1247" spans="1:29" x14ac:dyDescent="0.3">
      <c r="A1247" s="1" t="s">
        <v>2523</v>
      </c>
      <c r="B1247">
        <v>1</v>
      </c>
      <c r="C1247">
        <v>16.989999999999998</v>
      </c>
      <c r="D1247">
        <v>16.989999999999998</v>
      </c>
      <c r="E1247" s="1" t="s">
        <v>1570</v>
      </c>
      <c r="F1247" s="1" t="s">
        <v>40</v>
      </c>
      <c r="G1247">
        <v>17</v>
      </c>
      <c r="H1247" s="1" t="s">
        <v>96</v>
      </c>
      <c r="I1247" s="1" t="s">
        <v>59</v>
      </c>
      <c r="J1247">
        <v>5</v>
      </c>
      <c r="K1247">
        <v>16.989999999999998</v>
      </c>
      <c r="L1247" s="1" t="s">
        <v>60</v>
      </c>
      <c r="M1247" s="1" t="s">
        <v>61</v>
      </c>
      <c r="N1247" s="1" t="s">
        <v>62</v>
      </c>
      <c r="O1247" s="1" t="s">
        <v>31</v>
      </c>
      <c r="P1247" s="2">
        <v>45726</v>
      </c>
      <c r="Q1247" s="1" t="s">
        <v>140</v>
      </c>
      <c r="R1247" s="1" t="s">
        <v>2241</v>
      </c>
      <c r="S1247" s="1" t="s">
        <v>65</v>
      </c>
      <c r="T1247" s="1" t="s">
        <v>35</v>
      </c>
      <c r="U1247" s="1" t="s">
        <v>66</v>
      </c>
      <c r="V1247" s="1" t="s">
        <v>67</v>
      </c>
      <c r="W1247">
        <v>3</v>
      </c>
      <c r="X1247" s="1" t="str">
        <f t="shared" si="57"/>
        <v>david.rodriguez33@mail.com</v>
      </c>
      <c r="Y1247" s="1" t="str">
        <f>INDEX(V:V,MATCH(orders_desnormalizado_prueba3[[#This Row],[acquisition_channel]],U:U,0))</f>
        <v>AliDropship CN - envio 15-20 dias</v>
      </c>
      <c r="Z1247" s="1" t="str">
        <f>INDEX(T:T,MATCH(orders_desnormalizado_prueba3[[#This Row],[shipping_cost]],W:W,0))</f>
        <v>Colombia</v>
      </c>
      <c r="AA1247" s="1" t="str">
        <f t="shared" si="58"/>
        <v>Barranquilla</v>
      </c>
      <c r="AB1247" s="1"/>
      <c r="AC1247" s="1" t="str">
        <f t="shared" si="59"/>
        <v xml:space="preserve"> </v>
      </c>
    </row>
    <row r="1248" spans="1:29" x14ac:dyDescent="0.3">
      <c r="A1248" s="1" t="s">
        <v>2524</v>
      </c>
      <c r="B1248">
        <v>1</v>
      </c>
      <c r="C1248">
        <v>27.99</v>
      </c>
      <c r="D1248">
        <v>27.99</v>
      </c>
      <c r="E1248" s="1" t="s">
        <v>1233</v>
      </c>
      <c r="F1248" s="1" t="s">
        <v>51</v>
      </c>
      <c r="G1248">
        <v>0</v>
      </c>
      <c r="H1248" s="1" t="s">
        <v>26</v>
      </c>
      <c r="I1248" s="1" t="s">
        <v>75</v>
      </c>
      <c r="J1248">
        <v>9</v>
      </c>
      <c r="K1248">
        <v>27.99</v>
      </c>
      <c r="L1248" s="1" t="s">
        <v>28</v>
      </c>
      <c r="M1248" s="1" t="s">
        <v>61</v>
      </c>
      <c r="N1248" s="1" t="s">
        <v>62</v>
      </c>
      <c r="O1248" s="1" t="s">
        <v>31</v>
      </c>
      <c r="P1248" s="2">
        <v>45726</v>
      </c>
      <c r="Q1248" s="1" t="s">
        <v>1447</v>
      </c>
      <c r="R1248" s="1" t="s">
        <v>1448</v>
      </c>
      <c r="S1248" s="1" t="s">
        <v>47</v>
      </c>
      <c r="T1248" s="1" t="s">
        <v>35</v>
      </c>
      <c r="U1248" s="1" t="s">
        <v>36</v>
      </c>
      <c r="V1248" s="1" t="s">
        <v>37</v>
      </c>
      <c r="W1248">
        <v>2</v>
      </c>
      <c r="X1248" s="1" t="str">
        <f t="shared" si="57"/>
        <v>ximena.torres31@mail.com</v>
      </c>
      <c r="Y1248" s="1" t="str">
        <f>INDEX(V:V,MATCH(orders_desnormalizado_prueba3[[#This Row],[acquisition_channel]],U:U,0))</f>
        <v>Bodega Propia CO - envio 2-3 dias</v>
      </c>
      <c r="Z1248" s="1" t="str">
        <f>INDEX(T:T,MATCH(orders_desnormalizado_prueba3[[#This Row],[shipping_cost]],W:W,0))</f>
        <v>Colombia</v>
      </c>
      <c r="AA1248" s="1" t="str">
        <f t="shared" si="58"/>
        <v>Cartagena</v>
      </c>
      <c r="AB1248" s="1"/>
      <c r="AC1248" s="1" t="str">
        <f t="shared" si="59"/>
        <v xml:space="preserve"> </v>
      </c>
    </row>
    <row r="1249" spans="1:29" x14ac:dyDescent="0.3">
      <c r="A1249" s="1" t="s">
        <v>2525</v>
      </c>
      <c r="B1249">
        <v>1</v>
      </c>
      <c r="C1249">
        <v>34.99</v>
      </c>
      <c r="D1249">
        <v>34.99</v>
      </c>
      <c r="E1249" s="1" t="s">
        <v>902</v>
      </c>
      <c r="F1249" s="1" t="s">
        <v>40</v>
      </c>
      <c r="G1249">
        <v>12</v>
      </c>
      <c r="H1249" s="1" t="s">
        <v>41</v>
      </c>
      <c r="I1249" s="1" t="s">
        <v>85</v>
      </c>
      <c r="J1249">
        <v>12.5</v>
      </c>
      <c r="K1249">
        <v>34.99</v>
      </c>
      <c r="L1249" s="1" t="s">
        <v>60</v>
      </c>
      <c r="M1249" s="1" t="s">
        <v>29</v>
      </c>
      <c r="N1249" s="1" t="s">
        <v>30</v>
      </c>
      <c r="O1249" s="1" t="s">
        <v>31</v>
      </c>
      <c r="P1249" s="2">
        <v>45778</v>
      </c>
      <c r="Q1249" s="1" t="s">
        <v>1237</v>
      </c>
      <c r="R1249" s="1" t="s">
        <v>1238</v>
      </c>
      <c r="S1249" s="1" t="s">
        <v>65</v>
      </c>
      <c r="T1249" s="1" t="s">
        <v>35</v>
      </c>
      <c r="U1249" s="1" t="s">
        <v>66</v>
      </c>
      <c r="V1249" s="1" t="s">
        <v>89</v>
      </c>
      <c r="W1249">
        <v>2.4</v>
      </c>
      <c r="X1249" s="1" t="str">
        <f t="shared" si="57"/>
        <v>ricardo.moreno46@mail.com</v>
      </c>
      <c r="Y1249" s="1" t="str">
        <f>INDEX(V:V,MATCH(orders_desnormalizado_prueba3[[#This Row],[acquisition_channel]],U:U,0))</f>
        <v>AliDropship CN - envio 15-20 dias</v>
      </c>
      <c r="Z1249" s="1" t="str">
        <f>INDEX(T:T,MATCH(orders_desnormalizado_prueba3[[#This Row],[shipping_cost]],W:W,0))</f>
        <v>Colombia</v>
      </c>
      <c r="AA1249" s="1" t="str">
        <f t="shared" si="58"/>
        <v>Cartagena</v>
      </c>
      <c r="AB1249" s="1"/>
      <c r="AC1249" s="1" t="str">
        <f t="shared" si="59"/>
        <v xml:space="preserve"> </v>
      </c>
    </row>
    <row r="1250" spans="1:29" x14ac:dyDescent="0.3">
      <c r="A1250" s="1" t="s">
        <v>2526</v>
      </c>
      <c r="B1250">
        <v>1</v>
      </c>
      <c r="C1250">
        <v>18.989999999999998</v>
      </c>
      <c r="D1250">
        <v>18.989999999999998</v>
      </c>
      <c r="E1250" s="1" t="s">
        <v>719</v>
      </c>
      <c r="F1250" s="1" t="s">
        <v>40</v>
      </c>
      <c r="G1250">
        <v>19</v>
      </c>
      <c r="H1250" s="1" t="s">
        <v>26</v>
      </c>
      <c r="I1250" s="1" t="s">
        <v>97</v>
      </c>
      <c r="J1250">
        <v>6</v>
      </c>
      <c r="K1250">
        <v>18.989999999999998</v>
      </c>
      <c r="L1250" s="1" t="s">
        <v>60</v>
      </c>
      <c r="M1250" s="1" t="s">
        <v>43</v>
      </c>
      <c r="N1250" s="1" t="s">
        <v>44</v>
      </c>
      <c r="O1250" s="1" t="s">
        <v>31</v>
      </c>
      <c r="P1250" s="2">
        <v>45823</v>
      </c>
      <c r="Q1250" s="1" t="s">
        <v>850</v>
      </c>
      <c r="R1250" s="1" t="s">
        <v>2445</v>
      </c>
      <c r="S1250" s="1" t="s">
        <v>65</v>
      </c>
      <c r="T1250" s="1" t="s">
        <v>35</v>
      </c>
      <c r="U1250" s="1" t="s">
        <v>48</v>
      </c>
      <c r="V1250" s="1" t="s">
        <v>100</v>
      </c>
      <c r="W1250">
        <v>3.2</v>
      </c>
      <c r="X1250" s="1" t="str">
        <f t="shared" si="57"/>
        <v>natalia.moreno134@mail.com</v>
      </c>
      <c r="Y1250" s="1" t="str">
        <f>INDEX(V:V,MATCH(orders_desnormalizado_prueba3[[#This Row],[acquisition_channel]],U:U,0))</f>
        <v>Bodega Propia CO - envio 2-3 dias</v>
      </c>
      <c r="Z1250" s="1" t="str">
        <f>INDEX(T:T,MATCH(orders_desnormalizado_prueba3[[#This Row],[shipping_cost]],W:W,0))</f>
        <v>Colombia</v>
      </c>
      <c r="AA1250" s="1" t="str">
        <f t="shared" si="58"/>
        <v>Bogota</v>
      </c>
      <c r="AB1250" s="1"/>
      <c r="AC1250" s="1" t="str">
        <f t="shared" si="59"/>
        <v xml:space="preserve"> </v>
      </c>
    </row>
    <row r="1251" spans="1:29" x14ac:dyDescent="0.3">
      <c r="A1251" s="1" t="s">
        <v>2527</v>
      </c>
      <c r="B1251">
        <v>1</v>
      </c>
      <c r="C1251">
        <v>30.99</v>
      </c>
      <c r="D1251">
        <v>30.99</v>
      </c>
      <c r="E1251" s="1" t="s">
        <v>810</v>
      </c>
      <c r="F1251" s="1" t="s">
        <v>40</v>
      </c>
      <c r="G1251">
        <v>3</v>
      </c>
      <c r="H1251" s="1" t="s">
        <v>96</v>
      </c>
      <c r="I1251" s="1" t="s">
        <v>42</v>
      </c>
      <c r="J1251">
        <v>10.5</v>
      </c>
      <c r="K1251">
        <v>30.99</v>
      </c>
      <c r="L1251" s="1" t="s">
        <v>28</v>
      </c>
      <c r="M1251" s="1" t="s">
        <v>43</v>
      </c>
      <c r="N1251" s="1" t="s">
        <v>44</v>
      </c>
      <c r="O1251" s="1" t="s">
        <v>31</v>
      </c>
      <c r="P1251" s="2">
        <v>45823</v>
      </c>
      <c r="Q1251" s="1" t="s">
        <v>990</v>
      </c>
      <c r="R1251" s="1" t="s">
        <v>1490</v>
      </c>
      <c r="S1251" s="1" t="s">
        <v>88</v>
      </c>
      <c r="T1251" s="1" t="s">
        <v>35</v>
      </c>
      <c r="U1251" s="1" t="s">
        <v>82</v>
      </c>
      <c r="V1251" s="1" t="s">
        <v>37</v>
      </c>
      <c r="W1251">
        <v>2</v>
      </c>
      <c r="X1251" s="1" t="str">
        <f t="shared" si="57"/>
        <v>fernanda.diaz94@mail.com</v>
      </c>
      <c r="Y1251" s="1" t="str">
        <f>INDEX(V:V,MATCH(orders_desnormalizado_prueba3[[#This Row],[acquisition_channel]],U:U,0))</f>
        <v>Bodega Propia CO - envio 2-3 dias</v>
      </c>
      <c r="Z1251" s="1" t="str">
        <f>INDEX(T:T,MATCH(orders_desnormalizado_prueba3[[#This Row],[shipping_cost]],W:W,0))</f>
        <v>Colombia</v>
      </c>
      <c r="AA1251" s="1" t="str">
        <f t="shared" si="58"/>
        <v>Barranquilla</v>
      </c>
      <c r="AB1251" s="1"/>
      <c r="AC1251" s="1" t="str">
        <f t="shared" si="59"/>
        <v xml:space="preserve"> </v>
      </c>
    </row>
    <row r="1252" spans="1:29" x14ac:dyDescent="0.3">
      <c r="A1252" s="1" t="s">
        <v>2528</v>
      </c>
      <c r="B1252">
        <v>1</v>
      </c>
      <c r="C1252">
        <v>16.989999999999998</v>
      </c>
      <c r="D1252">
        <v>16.989999999999998</v>
      </c>
      <c r="E1252" s="1" t="s">
        <v>1530</v>
      </c>
      <c r="F1252" s="1" t="s">
        <v>25</v>
      </c>
      <c r="G1252">
        <v>24</v>
      </c>
      <c r="H1252" s="1" t="s">
        <v>26</v>
      </c>
      <c r="I1252" s="1" t="s">
        <v>59</v>
      </c>
      <c r="J1252">
        <v>5</v>
      </c>
      <c r="K1252">
        <v>16.989999999999998</v>
      </c>
      <c r="L1252" s="1" t="s">
        <v>60</v>
      </c>
      <c r="M1252" s="1" t="s">
        <v>61</v>
      </c>
      <c r="N1252" s="1" t="s">
        <v>62</v>
      </c>
      <c r="O1252" s="1" t="s">
        <v>31</v>
      </c>
      <c r="P1252" s="2">
        <v>45726</v>
      </c>
      <c r="Q1252" s="1" t="s">
        <v>832</v>
      </c>
      <c r="R1252" s="1" t="s">
        <v>833</v>
      </c>
      <c r="S1252" s="1" t="s">
        <v>34</v>
      </c>
      <c r="T1252" s="1" t="s">
        <v>35</v>
      </c>
      <c r="U1252" s="1" t="s">
        <v>36</v>
      </c>
      <c r="V1252" s="1" t="s">
        <v>67</v>
      </c>
      <c r="W1252">
        <v>3</v>
      </c>
      <c r="X1252" s="1" t="str">
        <f t="shared" si="57"/>
        <v>nicolas.vargas144@mail.com</v>
      </c>
      <c r="Y1252" s="1" t="str">
        <f>INDEX(V:V,MATCH(orders_desnormalizado_prueba3[[#This Row],[acquisition_channel]],U:U,0))</f>
        <v>Bodega Propia CO - envio 2-3 dias</v>
      </c>
      <c r="Z1252" s="1" t="str">
        <f>INDEX(T:T,MATCH(orders_desnormalizado_prueba3[[#This Row],[shipping_cost]],W:W,0))</f>
        <v>Colombia</v>
      </c>
      <c r="AA1252" s="1" t="str">
        <f t="shared" si="58"/>
        <v>Cali</v>
      </c>
      <c r="AB1252" s="1"/>
      <c r="AC1252" s="1" t="str">
        <f t="shared" si="59"/>
        <v xml:space="preserve"> </v>
      </c>
    </row>
    <row r="1253" spans="1:29" x14ac:dyDescent="0.3">
      <c r="A1253" s="1" t="s">
        <v>2529</v>
      </c>
      <c r="B1253">
        <v>1</v>
      </c>
      <c r="C1253">
        <v>21.99</v>
      </c>
      <c r="D1253">
        <v>21.99</v>
      </c>
      <c r="E1253" s="1" t="s">
        <v>1268</v>
      </c>
      <c r="F1253" s="1" t="s">
        <v>40</v>
      </c>
      <c r="G1253">
        <v>2</v>
      </c>
      <c r="H1253" s="1" t="s">
        <v>26</v>
      </c>
      <c r="I1253" s="1" t="s">
        <v>27</v>
      </c>
      <c r="J1253">
        <v>7</v>
      </c>
      <c r="K1253">
        <v>21.99</v>
      </c>
      <c r="L1253" s="1" t="s">
        <v>28</v>
      </c>
      <c r="M1253" s="1" t="s">
        <v>29</v>
      </c>
      <c r="N1253" s="1" t="s">
        <v>30</v>
      </c>
      <c r="O1253" s="1" t="s">
        <v>31</v>
      </c>
      <c r="P1253" s="2">
        <v>45778</v>
      </c>
      <c r="Q1253" s="1" t="s">
        <v>1112</v>
      </c>
      <c r="R1253" s="1" t="s">
        <v>1215</v>
      </c>
      <c r="S1253" s="1" t="s">
        <v>54</v>
      </c>
      <c r="T1253" s="1" t="s">
        <v>35</v>
      </c>
      <c r="U1253" s="1" t="s">
        <v>48</v>
      </c>
      <c r="V1253" s="1" t="s">
        <v>37</v>
      </c>
      <c r="W1253">
        <v>2</v>
      </c>
      <c r="X1253" s="1" t="str">
        <f t="shared" si="57"/>
        <v>felipe.moreno124@mail.com</v>
      </c>
      <c r="Y1253" s="1" t="str">
        <f>INDEX(V:V,MATCH(orders_desnormalizado_prueba3[[#This Row],[acquisition_channel]],U:U,0))</f>
        <v>Bodega Propia CO - envio 2-3 dias</v>
      </c>
      <c r="Z1253" s="1" t="str">
        <f>INDEX(T:T,MATCH(orders_desnormalizado_prueba3[[#This Row],[shipping_cost]],W:W,0))</f>
        <v>Colombia</v>
      </c>
      <c r="AA1253" s="1" t="str">
        <f t="shared" si="58"/>
        <v>Medellin</v>
      </c>
      <c r="AB1253" s="1"/>
      <c r="AC1253" s="1" t="str">
        <f t="shared" si="59"/>
        <v xml:space="preserve"> </v>
      </c>
    </row>
    <row r="1254" spans="1:29" x14ac:dyDescent="0.3">
      <c r="A1254" s="1" t="s">
        <v>2530</v>
      </c>
      <c r="B1254">
        <v>1</v>
      </c>
      <c r="C1254">
        <v>16.989999999999998</v>
      </c>
      <c r="D1254">
        <v>16.989999999999998</v>
      </c>
      <c r="E1254" s="1" t="s">
        <v>1807</v>
      </c>
      <c r="F1254" s="1" t="s">
        <v>40</v>
      </c>
      <c r="G1254">
        <v>16</v>
      </c>
      <c r="H1254" s="1" t="s">
        <v>41</v>
      </c>
      <c r="I1254" s="1" t="s">
        <v>59</v>
      </c>
      <c r="J1254">
        <v>5</v>
      </c>
      <c r="K1254">
        <v>16.989999999999998</v>
      </c>
      <c r="L1254" s="1" t="s">
        <v>60</v>
      </c>
      <c r="M1254" s="1" t="s">
        <v>61</v>
      </c>
      <c r="N1254" s="1" t="s">
        <v>62</v>
      </c>
      <c r="O1254" s="1" t="s">
        <v>31</v>
      </c>
      <c r="P1254" s="2">
        <v>45726</v>
      </c>
      <c r="Q1254" s="1" t="s">
        <v>957</v>
      </c>
      <c r="R1254" s="1" t="s">
        <v>958</v>
      </c>
      <c r="S1254" s="1" t="s">
        <v>105</v>
      </c>
      <c r="T1254" s="1" t="s">
        <v>35</v>
      </c>
      <c r="U1254" s="1" t="s">
        <v>66</v>
      </c>
      <c r="V1254" s="1" t="s">
        <v>67</v>
      </c>
      <c r="W1254">
        <v>3</v>
      </c>
      <c r="X1254" s="1" t="str">
        <f t="shared" si="57"/>
        <v>nicolas.diaz145@mail.com</v>
      </c>
      <c r="Y1254" s="1" t="str">
        <f>INDEX(V:V,MATCH(orders_desnormalizado_prueba3[[#This Row],[acquisition_channel]],U:U,0))</f>
        <v>AliDropship CN - envio 15-20 dias</v>
      </c>
      <c r="Z1254" s="1" t="str">
        <f>INDEX(T:T,MATCH(orders_desnormalizado_prueba3[[#This Row],[shipping_cost]],W:W,0))</f>
        <v>Colombia</v>
      </c>
      <c r="AA1254" s="1" t="str">
        <f t="shared" si="58"/>
        <v>Bogota</v>
      </c>
      <c r="AB1254" s="1"/>
      <c r="AC1254" s="1" t="str">
        <f t="shared" si="59"/>
        <v xml:space="preserve"> </v>
      </c>
    </row>
    <row r="1255" spans="1:29" x14ac:dyDescent="0.3">
      <c r="A1255" s="1" t="s">
        <v>2531</v>
      </c>
      <c r="B1255">
        <v>1</v>
      </c>
      <c r="C1255">
        <v>21.99</v>
      </c>
      <c r="D1255">
        <v>21.99</v>
      </c>
      <c r="E1255" s="1" t="s">
        <v>954</v>
      </c>
      <c r="F1255" s="1" t="s">
        <v>70</v>
      </c>
      <c r="G1255">
        <v>0</v>
      </c>
      <c r="H1255" s="1" t="s">
        <v>58</v>
      </c>
      <c r="I1255" s="1" t="s">
        <v>27</v>
      </c>
      <c r="J1255">
        <v>7</v>
      </c>
      <c r="K1255">
        <v>21.99</v>
      </c>
      <c r="L1255" s="1" t="s">
        <v>28</v>
      </c>
      <c r="M1255" s="1" t="s">
        <v>29</v>
      </c>
      <c r="N1255" s="1" t="s">
        <v>30</v>
      </c>
      <c r="O1255" s="1" t="s">
        <v>31</v>
      </c>
      <c r="P1255" s="2">
        <v>45778</v>
      </c>
      <c r="Q1255" s="1" t="s">
        <v>1032</v>
      </c>
      <c r="R1255" s="1" t="s">
        <v>2112</v>
      </c>
      <c r="S1255" s="1" t="s">
        <v>105</v>
      </c>
      <c r="T1255" s="1" t="s">
        <v>35</v>
      </c>
      <c r="U1255" s="1" t="s">
        <v>82</v>
      </c>
      <c r="V1255" s="1" t="s">
        <v>37</v>
      </c>
      <c r="W1255">
        <v>2</v>
      </c>
      <c r="X1255" s="1" t="str">
        <f t="shared" si="57"/>
        <v>antonia.sanchez54@mail.com</v>
      </c>
      <c r="Y1255" s="1" t="str">
        <f>INDEX(V:V,MATCH(orders_desnormalizado_prueba3[[#This Row],[acquisition_channel]],U:U,0))</f>
        <v>Bodega Propia CO - envio 2-3 dias</v>
      </c>
      <c r="Z1255" s="1" t="str">
        <f>INDEX(T:T,MATCH(orders_desnormalizado_prueba3[[#This Row],[shipping_cost]],W:W,0))</f>
        <v>Colombia</v>
      </c>
      <c r="AA1255" s="1" t="str">
        <f t="shared" si="58"/>
        <v>Cartagena</v>
      </c>
      <c r="AB1255" s="1"/>
      <c r="AC1255" s="1" t="str">
        <f t="shared" si="59"/>
        <v xml:space="preserve"> </v>
      </c>
    </row>
    <row r="1256" spans="1:29" x14ac:dyDescent="0.3">
      <c r="A1256" s="1" t="s">
        <v>2532</v>
      </c>
      <c r="B1256">
        <v>2</v>
      </c>
      <c r="C1256">
        <v>27.99</v>
      </c>
      <c r="D1256">
        <v>48.35</v>
      </c>
      <c r="E1256" s="1" t="s">
        <v>1446</v>
      </c>
      <c r="F1256" s="1" t="s">
        <v>51</v>
      </c>
      <c r="G1256">
        <v>0</v>
      </c>
      <c r="H1256" s="1" t="s">
        <v>96</v>
      </c>
      <c r="I1256" s="1" t="s">
        <v>75</v>
      </c>
      <c r="J1256">
        <v>9</v>
      </c>
      <c r="K1256">
        <v>27.99</v>
      </c>
      <c r="L1256" s="1" t="s">
        <v>28</v>
      </c>
      <c r="M1256" s="1" t="s">
        <v>61</v>
      </c>
      <c r="N1256" s="1" t="s">
        <v>62</v>
      </c>
      <c r="O1256" s="1" t="s">
        <v>31</v>
      </c>
      <c r="P1256" s="2">
        <v>45726</v>
      </c>
      <c r="Q1256" s="1" t="s">
        <v>1703</v>
      </c>
      <c r="R1256" s="1" t="s">
        <v>1704</v>
      </c>
      <c r="S1256" s="1" t="s">
        <v>105</v>
      </c>
      <c r="T1256" s="1" t="s">
        <v>35</v>
      </c>
      <c r="U1256" s="1" t="s">
        <v>82</v>
      </c>
      <c r="V1256" s="1" t="s">
        <v>37</v>
      </c>
      <c r="W1256">
        <v>2</v>
      </c>
      <c r="X1256" s="1" t="str">
        <f t="shared" si="57"/>
        <v>david.vargas127@mail.com</v>
      </c>
      <c r="Y1256" s="1" t="str">
        <f>INDEX(V:V,MATCH(orders_desnormalizado_prueba3[[#This Row],[acquisition_channel]],U:U,0))</f>
        <v>Bodega Propia CO - envio 2-3 dias</v>
      </c>
      <c r="Z1256" s="1" t="str">
        <f>INDEX(T:T,MATCH(orders_desnormalizado_prueba3[[#This Row],[shipping_cost]],W:W,0))</f>
        <v>Colombia</v>
      </c>
      <c r="AA1256" s="1" t="str">
        <f t="shared" si="58"/>
        <v>Cartagena</v>
      </c>
      <c r="AB1256" s="1"/>
      <c r="AC1256" s="1" t="str">
        <f t="shared" si="59"/>
        <v xml:space="preserve"> </v>
      </c>
    </row>
    <row r="1257" spans="1:29" x14ac:dyDescent="0.3">
      <c r="A1257" s="1" t="s">
        <v>2533</v>
      </c>
      <c r="B1257">
        <v>1</v>
      </c>
      <c r="C1257">
        <v>27.99</v>
      </c>
      <c r="D1257">
        <v>27.99</v>
      </c>
      <c r="E1257" s="1" t="s">
        <v>2534</v>
      </c>
      <c r="F1257" s="1" t="s">
        <v>40</v>
      </c>
      <c r="G1257">
        <v>2</v>
      </c>
      <c r="H1257" s="1" t="s">
        <v>41</v>
      </c>
      <c r="I1257" s="1" t="s">
        <v>75</v>
      </c>
      <c r="J1257">
        <v>9</v>
      </c>
      <c r="K1257">
        <v>27.99</v>
      </c>
      <c r="L1257" s="1" t="s">
        <v>28</v>
      </c>
      <c r="M1257" s="1" t="s">
        <v>61</v>
      </c>
      <c r="N1257" s="1" t="s">
        <v>62</v>
      </c>
      <c r="O1257" s="1" t="s">
        <v>31</v>
      </c>
      <c r="P1257" s="2">
        <v>45726</v>
      </c>
      <c r="Q1257" s="1" t="s">
        <v>420</v>
      </c>
      <c r="R1257" s="1" t="s">
        <v>1131</v>
      </c>
      <c r="S1257" s="1" t="s">
        <v>54</v>
      </c>
      <c r="T1257" s="1" t="s">
        <v>35</v>
      </c>
      <c r="U1257" s="1" t="s">
        <v>55</v>
      </c>
      <c r="V1257" s="1" t="s">
        <v>37</v>
      </c>
      <c r="W1257">
        <v>2</v>
      </c>
      <c r="X1257" s="1" t="str">
        <f t="shared" si="57"/>
        <v>natalia.sanchez78@mail.com</v>
      </c>
      <c r="Y1257" s="1" t="str">
        <f>INDEX(V:V,MATCH(orders_desnormalizado_prueba3[[#This Row],[acquisition_channel]],U:U,0))</f>
        <v>Bodega Propia CO - envio 2-3 dias</v>
      </c>
      <c r="Z1257" s="1" t="str">
        <f>INDEX(T:T,MATCH(orders_desnormalizado_prueba3[[#This Row],[shipping_cost]],W:W,0))</f>
        <v>Colombia</v>
      </c>
      <c r="AA1257" s="1" t="str">
        <f t="shared" si="58"/>
        <v>Medellin</v>
      </c>
      <c r="AB1257" s="1"/>
      <c r="AC1257" s="1" t="str">
        <f t="shared" si="59"/>
        <v xml:space="preserve"> </v>
      </c>
    </row>
    <row r="1258" spans="1:29" x14ac:dyDescent="0.3">
      <c r="A1258" s="1" t="s">
        <v>2535</v>
      </c>
      <c r="B1258">
        <v>1</v>
      </c>
      <c r="C1258">
        <v>21.99</v>
      </c>
      <c r="D1258">
        <v>21.99</v>
      </c>
      <c r="E1258" s="1" t="s">
        <v>978</v>
      </c>
      <c r="F1258" s="1" t="s">
        <v>40</v>
      </c>
      <c r="G1258">
        <v>3</v>
      </c>
      <c r="H1258" s="1" t="s">
        <v>58</v>
      </c>
      <c r="I1258" s="1" t="s">
        <v>27</v>
      </c>
      <c r="J1258">
        <v>7</v>
      </c>
      <c r="K1258">
        <v>21.99</v>
      </c>
      <c r="L1258" s="1" t="s">
        <v>28</v>
      </c>
      <c r="M1258" s="1" t="s">
        <v>29</v>
      </c>
      <c r="N1258" s="1" t="s">
        <v>30</v>
      </c>
      <c r="O1258" s="1" t="s">
        <v>31</v>
      </c>
      <c r="P1258" s="2">
        <v>45778</v>
      </c>
      <c r="Q1258" s="1" t="s">
        <v>2536</v>
      </c>
      <c r="R1258" s="1" t="s">
        <v>2537</v>
      </c>
      <c r="S1258" s="1" t="s">
        <v>105</v>
      </c>
      <c r="T1258" s="1" t="s">
        <v>35</v>
      </c>
      <c r="U1258" s="1" t="s">
        <v>48</v>
      </c>
      <c r="V1258" s="1" t="s">
        <v>37</v>
      </c>
      <c r="W1258">
        <v>2</v>
      </c>
      <c r="X1258" s="1" t="str">
        <f t="shared" si="57"/>
        <v>santiago.sanchez93@mail.com</v>
      </c>
      <c r="Y1258" s="1" t="str">
        <f>INDEX(V:V,MATCH(orders_desnormalizado_prueba3[[#This Row],[acquisition_channel]],U:U,0))</f>
        <v>Bodega Propia CO - envio 2-3 dias</v>
      </c>
      <c r="Z1258" s="1" t="str">
        <f>INDEX(T:T,MATCH(orders_desnormalizado_prueba3[[#This Row],[shipping_cost]],W:W,0))</f>
        <v>Colombia</v>
      </c>
      <c r="AA1258" s="1" t="str">
        <f t="shared" si="58"/>
        <v>Barranquilla</v>
      </c>
      <c r="AB1258" s="1"/>
      <c r="AC1258" s="1" t="str">
        <f t="shared" si="59"/>
        <v xml:space="preserve"> </v>
      </c>
    </row>
    <row r="1259" spans="1:29" x14ac:dyDescent="0.3">
      <c r="A1259" s="1" t="s">
        <v>2538</v>
      </c>
      <c r="B1259">
        <v>2</v>
      </c>
      <c r="C1259">
        <v>30.99</v>
      </c>
      <c r="D1259">
        <v>53.51</v>
      </c>
      <c r="E1259" s="1" t="s">
        <v>445</v>
      </c>
      <c r="F1259" s="1" t="s">
        <v>188</v>
      </c>
      <c r="G1259">
        <v>0</v>
      </c>
      <c r="H1259" s="1" t="s">
        <v>26</v>
      </c>
      <c r="I1259" s="1" t="s">
        <v>42</v>
      </c>
      <c r="J1259">
        <v>10.5</v>
      </c>
      <c r="K1259">
        <v>30.99</v>
      </c>
      <c r="L1259" s="1" t="s">
        <v>28</v>
      </c>
      <c r="M1259" s="1" t="s">
        <v>43</v>
      </c>
      <c r="N1259" s="1" t="s">
        <v>44</v>
      </c>
      <c r="O1259" s="1" t="s">
        <v>31</v>
      </c>
      <c r="P1259" s="2">
        <v>45823</v>
      </c>
      <c r="Q1259" s="1" t="s">
        <v>1187</v>
      </c>
      <c r="R1259" s="1" t="s">
        <v>2338</v>
      </c>
      <c r="S1259" s="1" t="s">
        <v>34</v>
      </c>
      <c r="T1259" s="1" t="s">
        <v>35</v>
      </c>
      <c r="U1259" s="1" t="s">
        <v>48</v>
      </c>
      <c r="V1259" s="1" t="s">
        <v>37</v>
      </c>
      <c r="W1259">
        <v>2</v>
      </c>
      <c r="X1259" s="1" t="str">
        <f t="shared" si="57"/>
        <v>nicolas.jimenez67@mail.com</v>
      </c>
      <c r="Y1259" s="1" t="str">
        <f>INDEX(V:V,MATCH(orders_desnormalizado_prueba3[[#This Row],[acquisition_channel]],U:U,0))</f>
        <v>Bodega Propia CO - envio 2-3 dias</v>
      </c>
      <c r="Z1259" s="1" t="str">
        <f>INDEX(T:T,MATCH(orders_desnormalizado_prueba3[[#This Row],[shipping_cost]],W:W,0))</f>
        <v>Colombia</v>
      </c>
      <c r="AA1259" s="1" t="str">
        <f t="shared" si="58"/>
        <v>Cartagena</v>
      </c>
      <c r="AB1259" s="1"/>
      <c r="AC1259" s="1" t="str">
        <f t="shared" si="59"/>
        <v xml:space="preserve"> </v>
      </c>
    </row>
    <row r="1260" spans="1:29" x14ac:dyDescent="0.3">
      <c r="A1260" s="1" t="s">
        <v>2539</v>
      </c>
      <c r="B1260">
        <v>1</v>
      </c>
      <c r="C1260">
        <v>16.989999999999998</v>
      </c>
      <c r="D1260">
        <v>16.989999999999998</v>
      </c>
      <c r="E1260" s="1" t="s">
        <v>2540</v>
      </c>
      <c r="F1260" s="1" t="s">
        <v>51</v>
      </c>
      <c r="G1260">
        <v>0</v>
      </c>
      <c r="H1260" s="1" t="s">
        <v>26</v>
      </c>
      <c r="I1260" s="1" t="s">
        <v>59</v>
      </c>
      <c r="J1260">
        <v>5</v>
      </c>
      <c r="K1260">
        <v>16.989999999999998</v>
      </c>
      <c r="L1260" s="1" t="s">
        <v>60</v>
      </c>
      <c r="M1260" s="1" t="s">
        <v>61</v>
      </c>
      <c r="N1260" s="1" t="s">
        <v>62</v>
      </c>
      <c r="O1260" s="1" t="s">
        <v>31</v>
      </c>
      <c r="P1260" s="2">
        <v>45726</v>
      </c>
      <c r="Q1260" s="1" t="s">
        <v>544</v>
      </c>
      <c r="R1260" s="1" t="s">
        <v>1923</v>
      </c>
      <c r="S1260" s="1" t="s">
        <v>105</v>
      </c>
      <c r="T1260" s="1" t="s">
        <v>35</v>
      </c>
      <c r="U1260" s="1" t="s">
        <v>36</v>
      </c>
      <c r="V1260" s="1" t="s">
        <v>67</v>
      </c>
      <c r="W1260">
        <v>3</v>
      </c>
      <c r="X1260" s="1" t="str">
        <f t="shared" si="57"/>
        <v>maria.diaz102@mail.com</v>
      </c>
      <c r="Y1260" s="1" t="str">
        <f>INDEX(V:V,MATCH(orders_desnormalizado_prueba3[[#This Row],[acquisition_channel]],U:U,0))</f>
        <v>Bodega Propia CO - envio 2-3 dias</v>
      </c>
      <c r="Z1260" s="1" t="str">
        <f>INDEX(T:T,MATCH(orders_desnormalizado_prueba3[[#This Row],[shipping_cost]],W:W,0))</f>
        <v>Colombia</v>
      </c>
      <c r="AA1260" s="1" t="str">
        <f t="shared" si="58"/>
        <v>Cartagena</v>
      </c>
      <c r="AB1260" s="1"/>
      <c r="AC1260" s="1" t="str">
        <f t="shared" si="59"/>
        <v xml:space="preserve"> </v>
      </c>
    </row>
    <row r="1261" spans="1:29" x14ac:dyDescent="0.3">
      <c r="A1261" s="1" t="s">
        <v>2541</v>
      </c>
      <c r="B1261">
        <v>1</v>
      </c>
      <c r="C1261">
        <v>27.99</v>
      </c>
      <c r="D1261">
        <v>27.99</v>
      </c>
      <c r="E1261" s="1" t="s">
        <v>107</v>
      </c>
      <c r="F1261" s="1" t="s">
        <v>40</v>
      </c>
      <c r="G1261">
        <v>3</v>
      </c>
      <c r="H1261" s="1" t="s">
        <v>26</v>
      </c>
      <c r="I1261" s="1" t="s">
        <v>75</v>
      </c>
      <c r="J1261">
        <v>9</v>
      </c>
      <c r="K1261">
        <v>27.99</v>
      </c>
      <c r="L1261" s="1" t="s">
        <v>28</v>
      </c>
      <c r="M1261" s="1" t="s">
        <v>61</v>
      </c>
      <c r="N1261" s="1" t="s">
        <v>62</v>
      </c>
      <c r="O1261" s="1" t="s">
        <v>31</v>
      </c>
      <c r="P1261" s="2">
        <v>45726</v>
      </c>
      <c r="Q1261" s="1" t="s">
        <v>790</v>
      </c>
      <c r="R1261" s="1" t="s">
        <v>791</v>
      </c>
      <c r="S1261" s="1" t="s">
        <v>47</v>
      </c>
      <c r="T1261" s="1" t="s">
        <v>35</v>
      </c>
      <c r="U1261" s="1" t="s">
        <v>55</v>
      </c>
      <c r="V1261" s="1" t="s">
        <v>37</v>
      </c>
      <c r="W1261">
        <v>2</v>
      </c>
      <c r="X1261" s="1" t="str">
        <f t="shared" si="57"/>
        <v>maria.lopez133@mail.com</v>
      </c>
      <c r="Y1261" s="1" t="str">
        <f>INDEX(V:V,MATCH(orders_desnormalizado_prueba3[[#This Row],[acquisition_channel]],U:U,0))</f>
        <v>Bodega Propia CO - envio 2-3 dias</v>
      </c>
      <c r="Z1261" s="1" t="str">
        <f>INDEX(T:T,MATCH(orders_desnormalizado_prueba3[[#This Row],[shipping_cost]],W:W,0))</f>
        <v>Colombia</v>
      </c>
      <c r="AA1261" s="1" t="str">
        <f t="shared" si="58"/>
        <v>Barranquilla</v>
      </c>
      <c r="AB1261" s="1"/>
      <c r="AC1261" s="1" t="str">
        <f t="shared" si="59"/>
        <v xml:space="preserve"> </v>
      </c>
    </row>
    <row r="1262" spans="1:29" x14ac:dyDescent="0.3">
      <c r="A1262" s="1" t="s">
        <v>2542</v>
      </c>
      <c r="B1262">
        <v>3</v>
      </c>
      <c r="C1262">
        <v>34.99</v>
      </c>
      <c r="D1262">
        <v>82.46</v>
      </c>
      <c r="E1262" s="1" t="s">
        <v>1509</v>
      </c>
      <c r="F1262" s="1" t="s">
        <v>188</v>
      </c>
      <c r="G1262">
        <v>0</v>
      </c>
      <c r="H1262" s="1" t="s">
        <v>58</v>
      </c>
      <c r="I1262" s="1" t="s">
        <v>85</v>
      </c>
      <c r="J1262">
        <v>12.5</v>
      </c>
      <c r="K1262">
        <v>34.99</v>
      </c>
      <c r="L1262" s="1" t="s">
        <v>60</v>
      </c>
      <c r="M1262" s="1" t="s">
        <v>29</v>
      </c>
      <c r="N1262" s="1" t="s">
        <v>30</v>
      </c>
      <c r="O1262" s="1" t="s">
        <v>31</v>
      </c>
      <c r="P1262" s="2">
        <v>45778</v>
      </c>
      <c r="Q1262" s="1" t="s">
        <v>975</v>
      </c>
      <c r="R1262" s="1" t="s">
        <v>976</v>
      </c>
      <c r="S1262" s="1" t="s">
        <v>54</v>
      </c>
      <c r="T1262" s="1" t="s">
        <v>35</v>
      </c>
      <c r="U1262" s="1" t="s">
        <v>66</v>
      </c>
      <c r="V1262" s="1" t="s">
        <v>89</v>
      </c>
      <c r="W1262">
        <v>2.4</v>
      </c>
      <c r="X1262" s="1" t="str">
        <f t="shared" si="57"/>
        <v>mateo.moreno84@mail.com</v>
      </c>
      <c r="Y1262" s="1" t="str">
        <f>INDEX(V:V,MATCH(orders_desnormalizado_prueba3[[#This Row],[acquisition_channel]],U:U,0))</f>
        <v>AliDropship CN - envio 15-20 dias</v>
      </c>
      <c r="Z1262" s="1" t="str">
        <f>INDEX(T:T,MATCH(orders_desnormalizado_prueba3[[#This Row],[shipping_cost]],W:W,0))</f>
        <v>Colombia</v>
      </c>
      <c r="AA1262" s="1" t="str">
        <f t="shared" si="58"/>
        <v>Cartagena</v>
      </c>
      <c r="AB1262" s="1"/>
      <c r="AC1262" s="1" t="str">
        <f t="shared" si="59"/>
        <v xml:space="preserve"> </v>
      </c>
    </row>
    <row r="1263" spans="1:29" x14ac:dyDescent="0.3">
      <c r="A1263" s="1" t="s">
        <v>2543</v>
      </c>
      <c r="B1263">
        <v>1</v>
      </c>
      <c r="C1263">
        <v>27.99</v>
      </c>
      <c r="D1263">
        <v>27.99</v>
      </c>
      <c r="E1263" s="1" t="s">
        <v>862</v>
      </c>
      <c r="F1263" s="1" t="s">
        <v>40</v>
      </c>
      <c r="G1263">
        <v>2</v>
      </c>
      <c r="H1263" s="1" t="s">
        <v>41</v>
      </c>
      <c r="I1263" s="1" t="s">
        <v>75</v>
      </c>
      <c r="J1263">
        <v>9</v>
      </c>
      <c r="K1263">
        <v>27.99</v>
      </c>
      <c r="L1263" s="1" t="s">
        <v>28</v>
      </c>
      <c r="M1263" s="1" t="s">
        <v>61</v>
      </c>
      <c r="N1263" s="1" t="s">
        <v>62</v>
      </c>
      <c r="O1263" s="1" t="s">
        <v>31</v>
      </c>
      <c r="P1263" s="2">
        <v>45726</v>
      </c>
      <c r="Q1263" s="1" t="s">
        <v>137</v>
      </c>
      <c r="R1263" s="1" t="s">
        <v>2461</v>
      </c>
      <c r="S1263" s="1" t="s">
        <v>34</v>
      </c>
      <c r="T1263" s="1" t="s">
        <v>35</v>
      </c>
      <c r="U1263" s="1" t="s">
        <v>36</v>
      </c>
      <c r="V1263" s="1" t="s">
        <v>37</v>
      </c>
      <c r="W1263">
        <v>2</v>
      </c>
      <c r="X1263" s="1" t="str">
        <f t="shared" si="57"/>
        <v>camila.martinez65@mail.com</v>
      </c>
      <c r="Y1263" s="1" t="str">
        <f>INDEX(V:V,MATCH(orders_desnormalizado_prueba3[[#This Row],[acquisition_channel]],U:U,0))</f>
        <v>Bodega Propia CO - envio 2-3 dias</v>
      </c>
      <c r="Z1263" s="1" t="str">
        <f>INDEX(T:T,MATCH(orders_desnormalizado_prueba3[[#This Row],[shipping_cost]],W:W,0))</f>
        <v>Colombia</v>
      </c>
      <c r="AA1263" s="1" t="str">
        <f t="shared" si="58"/>
        <v>Medellin</v>
      </c>
      <c r="AB1263" s="1"/>
      <c r="AC1263" s="1" t="str">
        <f t="shared" si="59"/>
        <v xml:space="preserve"> </v>
      </c>
    </row>
    <row r="1264" spans="1:29" x14ac:dyDescent="0.3">
      <c r="A1264" s="1" t="s">
        <v>2544</v>
      </c>
      <c r="B1264">
        <v>2</v>
      </c>
      <c r="C1264">
        <v>18.989999999999998</v>
      </c>
      <c r="D1264">
        <v>32.71</v>
      </c>
      <c r="E1264" s="1" t="s">
        <v>1000</v>
      </c>
      <c r="F1264" s="1" t="s">
        <v>51</v>
      </c>
      <c r="G1264">
        <v>0</v>
      </c>
      <c r="H1264" s="1" t="s">
        <v>96</v>
      </c>
      <c r="I1264" s="1" t="s">
        <v>97</v>
      </c>
      <c r="J1264">
        <v>6</v>
      </c>
      <c r="K1264">
        <v>18.989999999999998</v>
      </c>
      <c r="L1264" s="1" t="s">
        <v>60</v>
      </c>
      <c r="M1264" s="1" t="s">
        <v>43</v>
      </c>
      <c r="N1264" s="1" t="s">
        <v>44</v>
      </c>
      <c r="O1264" s="1" t="s">
        <v>31</v>
      </c>
      <c r="P1264" s="2">
        <v>45823</v>
      </c>
      <c r="Q1264" s="1" t="s">
        <v>979</v>
      </c>
      <c r="R1264" s="1" t="s">
        <v>980</v>
      </c>
      <c r="S1264" s="1" t="s">
        <v>105</v>
      </c>
      <c r="T1264" s="1" t="s">
        <v>35</v>
      </c>
      <c r="U1264" s="1" t="s">
        <v>82</v>
      </c>
      <c r="V1264" s="1" t="s">
        <v>100</v>
      </c>
      <c r="W1264">
        <v>3.2</v>
      </c>
      <c r="X1264" s="1" t="str">
        <f t="shared" si="57"/>
        <v>sofia.ramirez104@mail.com</v>
      </c>
      <c r="Y1264" s="1" t="str">
        <f>INDEX(V:V,MATCH(orders_desnormalizado_prueba3[[#This Row],[acquisition_channel]],U:U,0))</f>
        <v>Bodega Propia CO - envio 2-3 dias</v>
      </c>
      <c r="Z1264" s="1" t="str">
        <f>INDEX(T:T,MATCH(orders_desnormalizado_prueba3[[#This Row],[shipping_cost]],W:W,0))</f>
        <v>Colombia</v>
      </c>
      <c r="AA1264" s="1" t="str">
        <f t="shared" si="58"/>
        <v>Cartagena</v>
      </c>
      <c r="AB1264" s="1"/>
      <c r="AC1264" s="1" t="str">
        <f t="shared" si="59"/>
        <v xml:space="preserve"> </v>
      </c>
    </row>
    <row r="1265" spans="1:29" x14ac:dyDescent="0.3">
      <c r="A1265" s="1" t="s">
        <v>2545</v>
      </c>
      <c r="B1265">
        <v>3</v>
      </c>
      <c r="C1265">
        <v>18.989999999999998</v>
      </c>
      <c r="D1265">
        <v>45.65</v>
      </c>
      <c r="E1265" s="1" t="s">
        <v>1548</v>
      </c>
      <c r="F1265" s="1" t="s">
        <v>25</v>
      </c>
      <c r="G1265">
        <v>20</v>
      </c>
      <c r="H1265" s="1" t="s">
        <v>41</v>
      </c>
      <c r="I1265" s="1" t="s">
        <v>97</v>
      </c>
      <c r="J1265">
        <v>6</v>
      </c>
      <c r="K1265">
        <v>18.989999999999998</v>
      </c>
      <c r="L1265" s="1" t="s">
        <v>60</v>
      </c>
      <c r="M1265" s="1" t="s">
        <v>43</v>
      </c>
      <c r="N1265" s="1" t="s">
        <v>44</v>
      </c>
      <c r="O1265" s="1" t="s">
        <v>31</v>
      </c>
      <c r="P1265" s="2">
        <v>45823</v>
      </c>
      <c r="Q1265" s="1" t="s">
        <v>358</v>
      </c>
      <c r="R1265" s="1" t="s">
        <v>1154</v>
      </c>
      <c r="S1265" s="1" t="s">
        <v>65</v>
      </c>
      <c r="T1265" s="1" t="s">
        <v>35</v>
      </c>
      <c r="U1265" s="1" t="s">
        <v>48</v>
      </c>
      <c r="V1265" s="1" t="s">
        <v>100</v>
      </c>
      <c r="W1265">
        <v>3.2</v>
      </c>
      <c r="X1265" s="1" t="str">
        <f t="shared" si="57"/>
        <v>valentina.sanchez97@mail.com</v>
      </c>
      <c r="Y1265" s="1" t="str">
        <f>INDEX(V:V,MATCH(orders_desnormalizado_prueba3[[#This Row],[acquisition_channel]],U:U,0))</f>
        <v>Bodega Propia CO - envio 2-3 dias</v>
      </c>
      <c r="Z1265" s="1" t="str">
        <f>INDEX(T:T,MATCH(orders_desnormalizado_prueba3[[#This Row],[shipping_cost]],W:W,0))</f>
        <v>Colombia</v>
      </c>
      <c r="AA1265" s="1" t="str">
        <f t="shared" si="58"/>
        <v>Bucaramanga</v>
      </c>
      <c r="AB1265" s="1"/>
      <c r="AC1265" s="1" t="str">
        <f t="shared" si="59"/>
        <v xml:space="preserve"> </v>
      </c>
    </row>
    <row r="1266" spans="1:29" x14ac:dyDescent="0.3">
      <c r="A1266" s="1" t="s">
        <v>2546</v>
      </c>
      <c r="B1266">
        <v>1</v>
      </c>
      <c r="C1266">
        <v>18.989999999999998</v>
      </c>
      <c r="D1266">
        <v>18.989999999999998</v>
      </c>
      <c r="E1266" s="1" t="s">
        <v>2070</v>
      </c>
      <c r="F1266" s="1" t="s">
        <v>40</v>
      </c>
      <c r="G1266">
        <v>13</v>
      </c>
      <c r="H1266" s="1" t="s">
        <v>96</v>
      </c>
      <c r="I1266" s="1" t="s">
        <v>97</v>
      </c>
      <c r="J1266">
        <v>6</v>
      </c>
      <c r="K1266">
        <v>18.989999999999998</v>
      </c>
      <c r="L1266" s="1" t="s">
        <v>60</v>
      </c>
      <c r="M1266" s="1" t="s">
        <v>43</v>
      </c>
      <c r="N1266" s="1" t="s">
        <v>44</v>
      </c>
      <c r="O1266" s="1" t="s">
        <v>31</v>
      </c>
      <c r="P1266" s="2">
        <v>45823</v>
      </c>
      <c r="Q1266" s="1" t="s">
        <v>1719</v>
      </c>
      <c r="R1266" s="1" t="s">
        <v>2198</v>
      </c>
      <c r="S1266" s="1" t="s">
        <v>34</v>
      </c>
      <c r="T1266" s="1" t="s">
        <v>35</v>
      </c>
      <c r="U1266" s="1" t="s">
        <v>36</v>
      </c>
      <c r="V1266" s="1" t="s">
        <v>100</v>
      </c>
      <c r="W1266">
        <v>3.2</v>
      </c>
      <c r="X1266" s="1" t="str">
        <f t="shared" si="57"/>
        <v>julian.diaz162@mail.com</v>
      </c>
      <c r="Y1266" s="1" t="str">
        <f>INDEX(V:V,MATCH(orders_desnormalizado_prueba3[[#This Row],[acquisition_channel]],U:U,0))</f>
        <v>Bodega Propia CO - envio 2-3 dias</v>
      </c>
      <c r="Z1266" s="1" t="str">
        <f>INDEX(T:T,MATCH(orders_desnormalizado_prueba3[[#This Row],[shipping_cost]],W:W,0))</f>
        <v>Colombia</v>
      </c>
      <c r="AA1266" s="1" t="str">
        <f t="shared" si="58"/>
        <v>Barranquilla</v>
      </c>
      <c r="AB1266" s="1"/>
      <c r="AC1266" s="1" t="str">
        <f t="shared" si="59"/>
        <v xml:space="preserve"> </v>
      </c>
    </row>
    <row r="1267" spans="1:29" x14ac:dyDescent="0.3">
      <c r="A1267" s="1" t="s">
        <v>2547</v>
      </c>
      <c r="B1267">
        <v>1</v>
      </c>
      <c r="C1267">
        <v>30.99</v>
      </c>
      <c r="D1267">
        <v>30.99</v>
      </c>
      <c r="E1267" s="1" t="s">
        <v>2548</v>
      </c>
      <c r="F1267" s="1" t="s">
        <v>40</v>
      </c>
      <c r="G1267">
        <v>3</v>
      </c>
      <c r="H1267" s="1" t="s">
        <v>96</v>
      </c>
      <c r="I1267" s="1" t="s">
        <v>42</v>
      </c>
      <c r="J1267">
        <v>10.5</v>
      </c>
      <c r="K1267">
        <v>30.99</v>
      </c>
      <c r="L1267" s="1" t="s">
        <v>28</v>
      </c>
      <c r="M1267" s="1" t="s">
        <v>43</v>
      </c>
      <c r="N1267" s="1" t="s">
        <v>44</v>
      </c>
      <c r="O1267" s="1" t="s">
        <v>31</v>
      </c>
      <c r="P1267" s="2">
        <v>45823</v>
      </c>
      <c r="Q1267" s="1" t="s">
        <v>147</v>
      </c>
      <c r="R1267" s="1" t="s">
        <v>1601</v>
      </c>
      <c r="S1267" s="1" t="s">
        <v>105</v>
      </c>
      <c r="T1267" s="1" t="s">
        <v>35</v>
      </c>
      <c r="U1267" s="1" t="s">
        <v>55</v>
      </c>
      <c r="V1267" s="1" t="s">
        <v>37</v>
      </c>
      <c r="W1267">
        <v>2</v>
      </c>
      <c r="X1267" s="1" t="str">
        <f t="shared" si="57"/>
        <v>natalia.castro19@mail.com</v>
      </c>
      <c r="Y1267" s="1" t="str">
        <f>INDEX(V:V,MATCH(orders_desnormalizado_prueba3[[#This Row],[acquisition_channel]],U:U,0))</f>
        <v>Bodega Propia CO - envio 2-3 dias</v>
      </c>
      <c r="Z1267" s="1" t="str">
        <f>INDEX(T:T,MATCH(orders_desnormalizado_prueba3[[#This Row],[shipping_cost]],W:W,0))</f>
        <v>Colombia</v>
      </c>
      <c r="AA1267" s="1" t="str">
        <f t="shared" si="58"/>
        <v>Barranquilla</v>
      </c>
      <c r="AB1267" s="1"/>
      <c r="AC1267" s="1" t="str">
        <f t="shared" si="59"/>
        <v xml:space="preserve"> </v>
      </c>
    </row>
    <row r="1268" spans="1:29" x14ac:dyDescent="0.3">
      <c r="A1268" s="1" t="s">
        <v>2549</v>
      </c>
      <c r="B1268">
        <v>1</v>
      </c>
      <c r="C1268">
        <v>16.989999999999998</v>
      </c>
      <c r="D1268">
        <v>16.989999999999998</v>
      </c>
      <c r="E1268" s="1" t="s">
        <v>1738</v>
      </c>
      <c r="F1268" s="1" t="s">
        <v>70</v>
      </c>
      <c r="G1268">
        <v>0</v>
      </c>
      <c r="H1268" s="1" t="s">
        <v>58</v>
      </c>
      <c r="I1268" s="1" t="s">
        <v>59</v>
      </c>
      <c r="J1268">
        <v>5</v>
      </c>
      <c r="K1268">
        <v>16.989999999999998</v>
      </c>
      <c r="L1268" s="1" t="s">
        <v>60</v>
      </c>
      <c r="M1268" s="1" t="s">
        <v>61</v>
      </c>
      <c r="N1268" s="1" t="s">
        <v>62</v>
      </c>
      <c r="O1268" s="1" t="s">
        <v>31</v>
      </c>
      <c r="P1268" s="2">
        <v>45726</v>
      </c>
      <c r="Q1268" s="1" t="s">
        <v>943</v>
      </c>
      <c r="R1268" s="1" t="s">
        <v>944</v>
      </c>
      <c r="S1268" s="1" t="s">
        <v>47</v>
      </c>
      <c r="T1268" s="1" t="s">
        <v>35</v>
      </c>
      <c r="U1268" s="1" t="s">
        <v>48</v>
      </c>
      <c r="V1268" s="1" t="s">
        <v>67</v>
      </c>
      <c r="W1268">
        <v>3</v>
      </c>
      <c r="X1268" s="1" t="str">
        <f t="shared" si="57"/>
        <v>diego.lopez18@mail.com</v>
      </c>
      <c r="Y1268" s="1" t="str">
        <f>INDEX(V:V,MATCH(orders_desnormalizado_prueba3[[#This Row],[acquisition_channel]],U:U,0))</f>
        <v>Bodega Propia CO - envio 2-3 dias</v>
      </c>
      <c r="Z1268" s="1" t="str">
        <f>INDEX(T:T,MATCH(orders_desnormalizado_prueba3[[#This Row],[shipping_cost]],W:W,0))</f>
        <v>Colombia</v>
      </c>
      <c r="AA1268" s="1" t="str">
        <f t="shared" si="58"/>
        <v>Cartagena</v>
      </c>
      <c r="AB1268" s="1"/>
      <c r="AC1268" s="1" t="str">
        <f t="shared" si="59"/>
        <v xml:space="preserve"> </v>
      </c>
    </row>
    <row r="1269" spans="1:29" x14ac:dyDescent="0.3">
      <c r="A1269" s="1" t="s">
        <v>2550</v>
      </c>
      <c r="B1269">
        <v>1</v>
      </c>
      <c r="C1269">
        <v>21.99</v>
      </c>
      <c r="D1269">
        <v>21.99</v>
      </c>
      <c r="E1269" s="1" t="s">
        <v>2551</v>
      </c>
      <c r="F1269" s="1" t="s">
        <v>40</v>
      </c>
      <c r="G1269">
        <v>3</v>
      </c>
      <c r="H1269" s="1" t="s">
        <v>58</v>
      </c>
      <c r="I1269" s="1" t="s">
        <v>27</v>
      </c>
      <c r="J1269">
        <v>7</v>
      </c>
      <c r="K1269">
        <v>21.99</v>
      </c>
      <c r="L1269" s="1" t="s">
        <v>28</v>
      </c>
      <c r="M1269" s="1" t="s">
        <v>29</v>
      </c>
      <c r="N1269" s="1" t="s">
        <v>30</v>
      </c>
      <c r="O1269" s="1" t="s">
        <v>31</v>
      </c>
      <c r="P1269" s="2">
        <v>45778</v>
      </c>
      <c r="Q1269" s="1" t="s">
        <v>2065</v>
      </c>
      <c r="R1269" s="1" t="s">
        <v>2066</v>
      </c>
      <c r="S1269" s="1" t="s">
        <v>47</v>
      </c>
      <c r="T1269" s="1" t="s">
        <v>35</v>
      </c>
      <c r="U1269" s="1" t="s">
        <v>66</v>
      </c>
      <c r="V1269" s="1" t="s">
        <v>37</v>
      </c>
      <c r="W1269">
        <v>2</v>
      </c>
      <c r="X1269" s="1" t="str">
        <f t="shared" si="57"/>
        <v>maria.jimenez50@mail.com</v>
      </c>
      <c r="Y1269" s="1" t="str">
        <f>INDEX(V:V,MATCH(orders_desnormalizado_prueba3[[#This Row],[acquisition_channel]],U:U,0))</f>
        <v>AliDropship CN - envio 15-20 dias</v>
      </c>
      <c r="Z1269" s="1" t="str">
        <f>INDEX(T:T,MATCH(orders_desnormalizado_prueba3[[#This Row],[shipping_cost]],W:W,0))</f>
        <v>Colombia</v>
      </c>
      <c r="AA1269" s="1" t="str">
        <f t="shared" si="58"/>
        <v>Barranquilla</v>
      </c>
      <c r="AB1269" s="1"/>
      <c r="AC1269" s="1" t="str">
        <f t="shared" si="59"/>
        <v xml:space="preserve"> </v>
      </c>
    </row>
    <row r="1270" spans="1:29" x14ac:dyDescent="0.3">
      <c r="A1270" s="1" t="s">
        <v>2552</v>
      </c>
      <c r="B1270">
        <v>1</v>
      </c>
      <c r="C1270">
        <v>27.99</v>
      </c>
      <c r="D1270">
        <v>27.99</v>
      </c>
      <c r="E1270" s="1" t="s">
        <v>91</v>
      </c>
      <c r="F1270" s="1" t="s">
        <v>40</v>
      </c>
      <c r="G1270">
        <v>3</v>
      </c>
      <c r="H1270" s="1" t="s">
        <v>96</v>
      </c>
      <c r="I1270" s="1" t="s">
        <v>75</v>
      </c>
      <c r="J1270">
        <v>9</v>
      </c>
      <c r="K1270">
        <v>27.99</v>
      </c>
      <c r="L1270" s="1" t="s">
        <v>28</v>
      </c>
      <c r="M1270" s="1" t="s">
        <v>61</v>
      </c>
      <c r="N1270" s="1" t="s">
        <v>62</v>
      </c>
      <c r="O1270" s="1" t="s">
        <v>31</v>
      </c>
      <c r="P1270" s="2">
        <v>45726</v>
      </c>
      <c r="Q1270" s="1" t="s">
        <v>1878</v>
      </c>
      <c r="R1270" s="1" t="s">
        <v>1879</v>
      </c>
      <c r="S1270" s="1" t="s">
        <v>54</v>
      </c>
      <c r="T1270" s="1" t="s">
        <v>35</v>
      </c>
      <c r="U1270" s="1" t="s">
        <v>66</v>
      </c>
      <c r="V1270" s="1" t="s">
        <v>37</v>
      </c>
      <c r="W1270">
        <v>2</v>
      </c>
      <c r="X1270" s="1" t="str">
        <f t="shared" si="57"/>
        <v>ximena.vargas192@mail.com</v>
      </c>
      <c r="Y1270" s="1" t="str">
        <f>INDEX(V:V,MATCH(orders_desnormalizado_prueba3[[#This Row],[acquisition_channel]],U:U,0))</f>
        <v>AliDropship CN - envio 15-20 dias</v>
      </c>
      <c r="Z1270" s="1" t="str">
        <f>INDEX(T:T,MATCH(orders_desnormalizado_prueba3[[#This Row],[shipping_cost]],W:W,0))</f>
        <v>Colombia</v>
      </c>
      <c r="AA1270" s="1" t="str">
        <f t="shared" si="58"/>
        <v>Barranquilla</v>
      </c>
      <c r="AB1270" s="1"/>
      <c r="AC1270" s="1" t="str">
        <f t="shared" si="59"/>
        <v xml:space="preserve"> </v>
      </c>
    </row>
    <row r="1271" spans="1:29" x14ac:dyDescent="0.3">
      <c r="A1271" s="1" t="s">
        <v>2553</v>
      </c>
      <c r="B1271">
        <v>1</v>
      </c>
      <c r="C1271">
        <v>27.99</v>
      </c>
      <c r="D1271">
        <v>27.99</v>
      </c>
      <c r="E1271" s="1" t="s">
        <v>1093</v>
      </c>
      <c r="F1271" s="1" t="s">
        <v>40</v>
      </c>
      <c r="G1271">
        <v>2</v>
      </c>
      <c r="H1271" s="1" t="s">
        <v>96</v>
      </c>
      <c r="I1271" s="1" t="s">
        <v>75</v>
      </c>
      <c r="J1271">
        <v>9</v>
      </c>
      <c r="K1271">
        <v>27.99</v>
      </c>
      <c r="L1271" s="1" t="s">
        <v>28</v>
      </c>
      <c r="M1271" s="1" t="s">
        <v>61</v>
      </c>
      <c r="N1271" s="1" t="s">
        <v>62</v>
      </c>
      <c r="O1271" s="1" t="s">
        <v>31</v>
      </c>
      <c r="P1271" s="2">
        <v>45726</v>
      </c>
      <c r="Q1271" s="1" t="s">
        <v>466</v>
      </c>
      <c r="R1271" s="1" t="s">
        <v>1520</v>
      </c>
      <c r="S1271" s="1" t="s">
        <v>105</v>
      </c>
      <c r="T1271" s="1" t="s">
        <v>35</v>
      </c>
      <c r="U1271" s="1" t="s">
        <v>48</v>
      </c>
      <c r="V1271" s="1" t="s">
        <v>37</v>
      </c>
      <c r="W1271">
        <v>2</v>
      </c>
      <c r="X1271" s="1" t="str">
        <f t="shared" si="57"/>
        <v>valentina.gomez113@mail.com</v>
      </c>
      <c r="Y1271" s="1" t="str">
        <f>INDEX(V:V,MATCH(orders_desnormalizado_prueba3[[#This Row],[acquisition_channel]],U:U,0))</f>
        <v>Bodega Propia CO - envio 2-3 dias</v>
      </c>
      <c r="Z1271" s="1" t="str">
        <f>INDEX(T:T,MATCH(orders_desnormalizado_prueba3[[#This Row],[shipping_cost]],W:W,0))</f>
        <v>Colombia</v>
      </c>
      <c r="AA1271" s="1" t="str">
        <f t="shared" si="58"/>
        <v>Medellin</v>
      </c>
      <c r="AB1271" s="1"/>
      <c r="AC1271" s="1" t="str">
        <f t="shared" si="59"/>
        <v xml:space="preserve"> </v>
      </c>
    </row>
    <row r="1272" spans="1:29" x14ac:dyDescent="0.3">
      <c r="A1272" s="1" t="s">
        <v>2554</v>
      </c>
      <c r="B1272">
        <v>2</v>
      </c>
      <c r="C1272">
        <v>18.989999999999998</v>
      </c>
      <c r="D1272">
        <v>32.75</v>
      </c>
      <c r="E1272" s="1" t="s">
        <v>1968</v>
      </c>
      <c r="F1272" s="1" t="s">
        <v>40</v>
      </c>
      <c r="G1272">
        <v>15</v>
      </c>
      <c r="H1272" s="1" t="s">
        <v>96</v>
      </c>
      <c r="I1272" s="1" t="s">
        <v>97</v>
      </c>
      <c r="J1272">
        <v>6</v>
      </c>
      <c r="K1272">
        <v>18.989999999999998</v>
      </c>
      <c r="L1272" s="1" t="s">
        <v>60</v>
      </c>
      <c r="M1272" s="1" t="s">
        <v>43</v>
      </c>
      <c r="N1272" s="1" t="s">
        <v>44</v>
      </c>
      <c r="O1272" s="1" t="s">
        <v>31</v>
      </c>
      <c r="P1272" s="2">
        <v>45823</v>
      </c>
      <c r="Q1272" s="1" t="s">
        <v>1887</v>
      </c>
      <c r="R1272" s="1" t="s">
        <v>1888</v>
      </c>
      <c r="S1272" s="1" t="s">
        <v>88</v>
      </c>
      <c r="T1272" s="1" t="s">
        <v>35</v>
      </c>
      <c r="U1272" s="1" t="s">
        <v>82</v>
      </c>
      <c r="V1272" s="1" t="s">
        <v>100</v>
      </c>
      <c r="W1272">
        <v>3.2</v>
      </c>
      <c r="X1272" s="1" t="str">
        <f t="shared" si="57"/>
        <v>daniela.perez170@mail.com</v>
      </c>
      <c r="Y1272" s="1" t="str">
        <f>INDEX(V:V,MATCH(orders_desnormalizado_prueba3[[#This Row],[acquisition_channel]],U:U,0))</f>
        <v>Bodega Propia CO - envio 2-3 dias</v>
      </c>
      <c r="Z1272" s="1" t="str">
        <f>INDEX(T:T,MATCH(orders_desnormalizado_prueba3[[#This Row],[shipping_cost]],W:W,0))</f>
        <v>Colombia</v>
      </c>
      <c r="AA1272" s="1" t="str">
        <f t="shared" si="58"/>
        <v>Barranquilla</v>
      </c>
      <c r="AB1272" s="1"/>
      <c r="AC1272" s="1" t="str">
        <f t="shared" si="59"/>
        <v xml:space="preserve"> </v>
      </c>
    </row>
    <row r="1273" spans="1:29" x14ac:dyDescent="0.3">
      <c r="A1273" s="1" t="s">
        <v>2555</v>
      </c>
      <c r="B1273">
        <v>1</v>
      </c>
      <c r="C1273">
        <v>30.99</v>
      </c>
      <c r="D1273">
        <v>30.99</v>
      </c>
      <c r="E1273" s="1" t="s">
        <v>74</v>
      </c>
      <c r="F1273" s="1" t="s">
        <v>40</v>
      </c>
      <c r="G1273">
        <v>4</v>
      </c>
      <c r="H1273" s="1" t="s">
        <v>26</v>
      </c>
      <c r="I1273" s="1" t="s">
        <v>42</v>
      </c>
      <c r="J1273">
        <v>10.5</v>
      </c>
      <c r="K1273">
        <v>30.99</v>
      </c>
      <c r="L1273" s="1" t="s">
        <v>28</v>
      </c>
      <c r="M1273" s="1" t="s">
        <v>43</v>
      </c>
      <c r="N1273" s="1" t="s">
        <v>44</v>
      </c>
      <c r="O1273" s="1" t="s">
        <v>31</v>
      </c>
      <c r="P1273" s="2">
        <v>45823</v>
      </c>
      <c r="Q1273" s="1" t="s">
        <v>787</v>
      </c>
      <c r="R1273" s="1" t="s">
        <v>1836</v>
      </c>
      <c r="S1273" s="1" t="s">
        <v>47</v>
      </c>
      <c r="T1273" s="1" t="s">
        <v>35</v>
      </c>
      <c r="U1273" s="1" t="s">
        <v>36</v>
      </c>
      <c r="V1273" s="1" t="s">
        <v>37</v>
      </c>
      <c r="W1273">
        <v>2</v>
      </c>
      <c r="X1273" s="1" t="str">
        <f t="shared" si="57"/>
        <v>julian.moreno101@mail.com</v>
      </c>
      <c r="Y1273" s="1" t="str">
        <f>INDEX(V:V,MATCH(orders_desnormalizado_prueba3[[#This Row],[acquisition_channel]],U:U,0))</f>
        <v>Bodega Propia CO - envio 2-3 dias</v>
      </c>
      <c r="Z1273" s="1" t="str">
        <f>INDEX(T:T,MATCH(orders_desnormalizado_prueba3[[#This Row],[shipping_cost]],W:W,0))</f>
        <v>Colombia</v>
      </c>
      <c r="AA1273" s="1" t="str">
        <f t="shared" si="58"/>
        <v>Barranquilla</v>
      </c>
      <c r="AB1273" s="1"/>
      <c r="AC1273" s="1" t="str">
        <f t="shared" si="59"/>
        <v xml:space="preserve"> </v>
      </c>
    </row>
    <row r="1274" spans="1:29" x14ac:dyDescent="0.3">
      <c r="A1274" s="1" t="s">
        <v>2556</v>
      </c>
      <c r="B1274">
        <v>1</v>
      </c>
      <c r="C1274">
        <v>30.99</v>
      </c>
      <c r="D1274">
        <v>30.99</v>
      </c>
      <c r="E1274" s="1" t="s">
        <v>1577</v>
      </c>
      <c r="F1274" s="1" t="s">
        <v>40</v>
      </c>
      <c r="G1274">
        <v>3</v>
      </c>
      <c r="H1274" s="1" t="s">
        <v>41</v>
      </c>
      <c r="I1274" s="1" t="s">
        <v>42</v>
      </c>
      <c r="J1274">
        <v>10.5</v>
      </c>
      <c r="K1274">
        <v>30.99</v>
      </c>
      <c r="L1274" s="1" t="s">
        <v>28</v>
      </c>
      <c r="M1274" s="1" t="s">
        <v>43</v>
      </c>
      <c r="N1274" s="1" t="s">
        <v>44</v>
      </c>
      <c r="O1274" s="1" t="s">
        <v>31</v>
      </c>
      <c r="P1274" s="2">
        <v>45823</v>
      </c>
      <c r="Q1274" s="1" t="s">
        <v>2176</v>
      </c>
      <c r="R1274" s="1" t="s">
        <v>2177</v>
      </c>
      <c r="S1274" s="1" t="s">
        <v>105</v>
      </c>
      <c r="T1274" s="1" t="s">
        <v>35</v>
      </c>
      <c r="U1274" s="1" t="s">
        <v>82</v>
      </c>
      <c r="V1274" s="1" t="s">
        <v>37</v>
      </c>
      <c r="W1274">
        <v>2</v>
      </c>
      <c r="X1274" s="1" t="str">
        <f t="shared" si="57"/>
        <v>ricardo.castro175@mail.com</v>
      </c>
      <c r="Y1274" s="1" t="str">
        <f>INDEX(V:V,MATCH(orders_desnormalizado_prueba3[[#This Row],[acquisition_channel]],U:U,0))</f>
        <v>Bodega Propia CO - envio 2-3 dias</v>
      </c>
      <c r="Z1274" s="1" t="str">
        <f>INDEX(T:T,MATCH(orders_desnormalizado_prueba3[[#This Row],[shipping_cost]],W:W,0))</f>
        <v>Colombia</v>
      </c>
      <c r="AA1274" s="1" t="str">
        <f t="shared" si="58"/>
        <v>Barranquilla</v>
      </c>
      <c r="AB1274" s="1"/>
      <c r="AC1274" s="1" t="str">
        <f t="shared" si="59"/>
        <v xml:space="preserve"> </v>
      </c>
    </row>
    <row r="1275" spans="1:29" x14ac:dyDescent="0.3">
      <c r="A1275" s="1" t="s">
        <v>2557</v>
      </c>
      <c r="B1275">
        <v>3</v>
      </c>
      <c r="C1275">
        <v>30.99</v>
      </c>
      <c r="D1275">
        <v>73.5</v>
      </c>
      <c r="E1275" s="1" t="s">
        <v>921</v>
      </c>
      <c r="F1275" s="1" t="s">
        <v>40</v>
      </c>
      <c r="G1275">
        <v>3</v>
      </c>
      <c r="H1275" s="1" t="s">
        <v>58</v>
      </c>
      <c r="I1275" s="1" t="s">
        <v>42</v>
      </c>
      <c r="J1275">
        <v>10.5</v>
      </c>
      <c r="K1275">
        <v>30.99</v>
      </c>
      <c r="L1275" s="1" t="s">
        <v>28</v>
      </c>
      <c r="M1275" s="1" t="s">
        <v>43</v>
      </c>
      <c r="N1275" s="1" t="s">
        <v>44</v>
      </c>
      <c r="O1275" s="1" t="s">
        <v>31</v>
      </c>
      <c r="P1275" s="2">
        <v>45823</v>
      </c>
      <c r="Q1275" s="1" t="s">
        <v>249</v>
      </c>
      <c r="R1275" s="1" t="s">
        <v>924</v>
      </c>
      <c r="S1275" s="1" t="s">
        <v>34</v>
      </c>
      <c r="T1275" s="1" t="s">
        <v>35</v>
      </c>
      <c r="U1275" s="1" t="s">
        <v>55</v>
      </c>
      <c r="V1275" s="1" t="s">
        <v>37</v>
      </c>
      <c r="W1275">
        <v>2</v>
      </c>
      <c r="X1275" s="1" t="str">
        <f t="shared" si="57"/>
        <v>diego.rodriguez176@mail.com</v>
      </c>
      <c r="Y1275" s="1" t="str">
        <f>INDEX(V:V,MATCH(orders_desnormalizado_prueba3[[#This Row],[acquisition_channel]],U:U,0))</f>
        <v>Bodega Propia CO - envio 2-3 dias</v>
      </c>
      <c r="Z1275" s="1" t="str">
        <f>INDEX(T:T,MATCH(orders_desnormalizado_prueba3[[#This Row],[shipping_cost]],W:W,0))</f>
        <v>Colombia</v>
      </c>
      <c r="AA1275" s="1" t="str">
        <f t="shared" si="58"/>
        <v>Barranquilla</v>
      </c>
      <c r="AB1275" s="1"/>
      <c r="AC1275" s="1" t="str">
        <f t="shared" si="59"/>
        <v xml:space="preserve"> </v>
      </c>
    </row>
    <row r="1276" spans="1:29" x14ac:dyDescent="0.3">
      <c r="A1276" s="1" t="s">
        <v>2558</v>
      </c>
      <c r="B1276">
        <v>1</v>
      </c>
      <c r="C1276">
        <v>34.99</v>
      </c>
      <c r="D1276">
        <v>34.99</v>
      </c>
      <c r="E1276" s="1" t="s">
        <v>297</v>
      </c>
      <c r="F1276" s="1" t="s">
        <v>188</v>
      </c>
      <c r="G1276">
        <v>0</v>
      </c>
      <c r="H1276" s="1" t="s">
        <v>26</v>
      </c>
      <c r="I1276" s="1" t="s">
        <v>85</v>
      </c>
      <c r="J1276">
        <v>12.5</v>
      </c>
      <c r="K1276">
        <v>34.99</v>
      </c>
      <c r="L1276" s="1" t="s">
        <v>60</v>
      </c>
      <c r="M1276" s="1" t="s">
        <v>29</v>
      </c>
      <c r="N1276" s="1" t="s">
        <v>30</v>
      </c>
      <c r="O1276" s="1" t="s">
        <v>31</v>
      </c>
      <c r="P1276" s="2">
        <v>45778</v>
      </c>
      <c r="Q1276" s="1" t="s">
        <v>358</v>
      </c>
      <c r="R1276" s="1" t="s">
        <v>1154</v>
      </c>
      <c r="S1276" s="1" t="s">
        <v>65</v>
      </c>
      <c r="T1276" s="1" t="s">
        <v>35</v>
      </c>
      <c r="U1276" s="1" t="s">
        <v>48</v>
      </c>
      <c r="V1276" s="1" t="s">
        <v>89</v>
      </c>
      <c r="W1276">
        <v>2.4</v>
      </c>
      <c r="X1276" s="1" t="str">
        <f t="shared" si="57"/>
        <v>valentina.sanchez97@mail.com</v>
      </c>
      <c r="Y1276" s="1" t="str">
        <f>INDEX(V:V,MATCH(orders_desnormalizado_prueba3[[#This Row],[acquisition_channel]],U:U,0))</f>
        <v>Bodega Propia CO - envio 2-3 dias</v>
      </c>
      <c r="Z1276" s="1" t="str">
        <f>INDEX(T:T,MATCH(orders_desnormalizado_prueba3[[#This Row],[shipping_cost]],W:W,0))</f>
        <v>Colombia</v>
      </c>
      <c r="AA1276" s="1" t="str">
        <f t="shared" si="58"/>
        <v>Cartagena</v>
      </c>
      <c r="AB1276" s="1"/>
      <c r="AC1276" s="1" t="str">
        <f t="shared" si="59"/>
        <v xml:space="preserve"> </v>
      </c>
    </row>
    <row r="1277" spans="1:29" x14ac:dyDescent="0.3">
      <c r="A1277" s="1" t="s">
        <v>2559</v>
      </c>
      <c r="B1277">
        <v>3</v>
      </c>
      <c r="C1277">
        <v>18.989999999999998</v>
      </c>
      <c r="D1277">
        <v>44.74</v>
      </c>
      <c r="E1277" s="1" t="s">
        <v>1359</v>
      </c>
      <c r="F1277" s="1" t="s">
        <v>51</v>
      </c>
      <c r="G1277">
        <v>0</v>
      </c>
      <c r="H1277" s="1" t="s">
        <v>58</v>
      </c>
      <c r="I1277" s="1" t="s">
        <v>97</v>
      </c>
      <c r="J1277">
        <v>6</v>
      </c>
      <c r="K1277">
        <v>18.989999999999998</v>
      </c>
      <c r="L1277" s="1" t="s">
        <v>60</v>
      </c>
      <c r="M1277" s="1" t="s">
        <v>43</v>
      </c>
      <c r="N1277" s="1" t="s">
        <v>44</v>
      </c>
      <c r="O1277" s="1" t="s">
        <v>31</v>
      </c>
      <c r="P1277" s="2">
        <v>45823</v>
      </c>
      <c r="Q1277" s="1" t="s">
        <v>2560</v>
      </c>
      <c r="R1277" s="1" t="s">
        <v>2561</v>
      </c>
      <c r="S1277" s="1" t="s">
        <v>65</v>
      </c>
      <c r="T1277" s="1" t="s">
        <v>35</v>
      </c>
      <c r="U1277" s="1" t="s">
        <v>82</v>
      </c>
      <c r="V1277" s="1" t="s">
        <v>100</v>
      </c>
      <c r="W1277">
        <v>3.2</v>
      </c>
      <c r="X1277" s="1" t="str">
        <f t="shared" si="57"/>
        <v>manuela.sanchez66@mail.com</v>
      </c>
      <c r="Y1277" s="1" t="str">
        <f>INDEX(V:V,MATCH(orders_desnormalizado_prueba3[[#This Row],[acquisition_channel]],U:U,0))</f>
        <v>Bodega Propia CO - envio 2-3 dias</v>
      </c>
      <c r="Z1277" s="1" t="str">
        <f>INDEX(T:T,MATCH(orders_desnormalizado_prueba3[[#This Row],[shipping_cost]],W:W,0))</f>
        <v>Colombia</v>
      </c>
      <c r="AA1277" s="1" t="str">
        <f t="shared" si="58"/>
        <v>Cartagena</v>
      </c>
      <c r="AB1277" s="1"/>
      <c r="AC1277" s="1" t="str">
        <f t="shared" si="59"/>
        <v xml:space="preserve"> </v>
      </c>
    </row>
    <row r="1278" spans="1:29" x14ac:dyDescent="0.3">
      <c r="A1278" s="1" t="s">
        <v>2562</v>
      </c>
      <c r="B1278">
        <v>1</v>
      </c>
      <c r="C1278">
        <v>21.99</v>
      </c>
      <c r="D1278">
        <v>21.99</v>
      </c>
      <c r="E1278" s="1" t="s">
        <v>1592</v>
      </c>
      <c r="F1278" s="1" t="s">
        <v>51</v>
      </c>
      <c r="G1278">
        <v>0</v>
      </c>
      <c r="H1278" s="1" t="s">
        <v>26</v>
      </c>
      <c r="I1278" s="1" t="s">
        <v>27</v>
      </c>
      <c r="J1278">
        <v>7</v>
      </c>
      <c r="K1278">
        <v>21.99</v>
      </c>
      <c r="L1278" s="1" t="s">
        <v>28</v>
      </c>
      <c r="M1278" s="1" t="s">
        <v>29</v>
      </c>
      <c r="N1278" s="1" t="s">
        <v>30</v>
      </c>
      <c r="O1278" s="1" t="s">
        <v>31</v>
      </c>
      <c r="P1278" s="2">
        <v>45778</v>
      </c>
      <c r="Q1278" s="1" t="s">
        <v>1003</v>
      </c>
      <c r="R1278" s="1" t="s">
        <v>1542</v>
      </c>
      <c r="S1278" s="1" t="s">
        <v>54</v>
      </c>
      <c r="T1278" s="1" t="s">
        <v>35</v>
      </c>
      <c r="U1278" s="1" t="s">
        <v>48</v>
      </c>
      <c r="V1278" s="1" t="s">
        <v>37</v>
      </c>
      <c r="W1278">
        <v>2</v>
      </c>
      <c r="X1278" s="1" t="str">
        <f t="shared" si="57"/>
        <v>julian.castro40@mail.com</v>
      </c>
      <c r="Y1278" s="1" t="str">
        <f>INDEX(V:V,MATCH(orders_desnormalizado_prueba3[[#This Row],[acquisition_channel]],U:U,0))</f>
        <v>Bodega Propia CO - envio 2-3 dias</v>
      </c>
      <c r="Z1278" s="1" t="str">
        <f>INDEX(T:T,MATCH(orders_desnormalizado_prueba3[[#This Row],[shipping_cost]],W:W,0))</f>
        <v>Colombia</v>
      </c>
      <c r="AA1278" s="1" t="str">
        <f t="shared" si="58"/>
        <v>Cartagena</v>
      </c>
      <c r="AB1278" s="1"/>
      <c r="AC1278" s="1" t="str">
        <f t="shared" si="59"/>
        <v xml:space="preserve"> </v>
      </c>
    </row>
    <row r="1279" spans="1:29" x14ac:dyDescent="0.3">
      <c r="A1279" s="1" t="s">
        <v>2563</v>
      </c>
      <c r="B1279">
        <v>2</v>
      </c>
      <c r="C1279">
        <v>30.99</v>
      </c>
      <c r="D1279">
        <v>53.54</v>
      </c>
      <c r="E1279" s="1" t="s">
        <v>317</v>
      </c>
      <c r="F1279" s="1" t="s">
        <v>188</v>
      </c>
      <c r="G1279">
        <v>0</v>
      </c>
      <c r="H1279" s="1" t="s">
        <v>26</v>
      </c>
      <c r="I1279" s="1" t="s">
        <v>42</v>
      </c>
      <c r="J1279">
        <v>10.5</v>
      </c>
      <c r="K1279">
        <v>30.99</v>
      </c>
      <c r="L1279" s="1" t="s">
        <v>28</v>
      </c>
      <c r="M1279" s="1" t="s">
        <v>43</v>
      </c>
      <c r="N1279" s="1" t="s">
        <v>44</v>
      </c>
      <c r="O1279" s="1" t="s">
        <v>31</v>
      </c>
      <c r="P1279" s="2">
        <v>45823</v>
      </c>
      <c r="Q1279" s="1" t="s">
        <v>1332</v>
      </c>
      <c r="R1279" s="1" t="s">
        <v>1333</v>
      </c>
      <c r="S1279" s="1" t="s">
        <v>34</v>
      </c>
      <c r="T1279" s="1" t="s">
        <v>35</v>
      </c>
      <c r="U1279" s="1" t="s">
        <v>55</v>
      </c>
      <c r="V1279" s="1" t="s">
        <v>37</v>
      </c>
      <c r="W1279">
        <v>2</v>
      </c>
      <c r="X1279" s="1" t="str">
        <f t="shared" si="57"/>
        <v>maria.vargas65@mail.com</v>
      </c>
      <c r="Y1279" s="1" t="str">
        <f>INDEX(V:V,MATCH(orders_desnormalizado_prueba3[[#This Row],[acquisition_channel]],U:U,0))</f>
        <v>Bodega Propia CO - envio 2-3 dias</v>
      </c>
      <c r="Z1279" s="1" t="str">
        <f>INDEX(T:T,MATCH(orders_desnormalizado_prueba3[[#This Row],[shipping_cost]],W:W,0))</f>
        <v>Colombia</v>
      </c>
      <c r="AA1279" s="1" t="str">
        <f t="shared" si="58"/>
        <v>Cartagena</v>
      </c>
      <c r="AB1279" s="1"/>
      <c r="AC1279" s="1" t="str">
        <f t="shared" si="59"/>
        <v xml:space="preserve"> </v>
      </c>
    </row>
    <row r="1280" spans="1:29" x14ac:dyDescent="0.3">
      <c r="A1280" s="1" t="s">
        <v>2564</v>
      </c>
      <c r="B1280">
        <v>1</v>
      </c>
      <c r="C1280">
        <v>21.99</v>
      </c>
      <c r="D1280">
        <v>21.99</v>
      </c>
      <c r="E1280" s="1" t="s">
        <v>678</v>
      </c>
      <c r="F1280" s="1" t="s">
        <v>40</v>
      </c>
      <c r="G1280">
        <v>2</v>
      </c>
      <c r="H1280" s="1" t="s">
        <v>96</v>
      </c>
      <c r="I1280" s="1" t="s">
        <v>27</v>
      </c>
      <c r="J1280">
        <v>7</v>
      </c>
      <c r="K1280">
        <v>21.99</v>
      </c>
      <c r="L1280" s="1" t="s">
        <v>28</v>
      </c>
      <c r="M1280" s="1" t="s">
        <v>29</v>
      </c>
      <c r="N1280" s="1" t="s">
        <v>30</v>
      </c>
      <c r="O1280" s="1" t="s">
        <v>31</v>
      </c>
      <c r="P1280" s="2">
        <v>45778</v>
      </c>
      <c r="Q1280" s="1" t="s">
        <v>1275</v>
      </c>
      <c r="R1280" s="1" t="s">
        <v>1276</v>
      </c>
      <c r="S1280" s="1" t="s">
        <v>47</v>
      </c>
      <c r="T1280" s="1" t="s">
        <v>35</v>
      </c>
      <c r="U1280" s="1" t="s">
        <v>66</v>
      </c>
      <c r="V1280" s="1" t="s">
        <v>37</v>
      </c>
      <c r="W1280">
        <v>2</v>
      </c>
      <c r="X1280" s="1" t="str">
        <f t="shared" si="57"/>
        <v>laura.ramirez173@mail.com</v>
      </c>
      <c r="Y1280" s="1" t="str">
        <f>INDEX(V:V,MATCH(orders_desnormalizado_prueba3[[#This Row],[acquisition_channel]],U:U,0))</f>
        <v>AliDropship CN - envio 15-20 dias</v>
      </c>
      <c r="Z1280" s="1" t="str">
        <f>INDEX(T:T,MATCH(orders_desnormalizado_prueba3[[#This Row],[shipping_cost]],W:W,0))</f>
        <v>Colombia</v>
      </c>
      <c r="AA1280" s="1" t="str">
        <f t="shared" si="58"/>
        <v>Medellin</v>
      </c>
      <c r="AB1280" s="1"/>
      <c r="AC1280" s="1" t="str">
        <f t="shared" si="59"/>
        <v xml:space="preserve"> </v>
      </c>
    </row>
    <row r="1281" spans="1:29" x14ac:dyDescent="0.3">
      <c r="A1281" s="1" t="s">
        <v>2565</v>
      </c>
      <c r="B1281">
        <v>1</v>
      </c>
      <c r="C1281">
        <v>18.989999999999998</v>
      </c>
      <c r="D1281">
        <v>18.989999999999998</v>
      </c>
      <c r="E1281" s="1" t="s">
        <v>1129</v>
      </c>
      <c r="F1281" s="1" t="s">
        <v>188</v>
      </c>
      <c r="G1281">
        <v>0</v>
      </c>
      <c r="H1281" s="1" t="s">
        <v>41</v>
      </c>
      <c r="I1281" s="1" t="s">
        <v>97</v>
      </c>
      <c r="J1281">
        <v>6</v>
      </c>
      <c r="K1281">
        <v>18.989999999999998</v>
      </c>
      <c r="L1281" s="1" t="s">
        <v>60</v>
      </c>
      <c r="M1281" s="1" t="s">
        <v>43</v>
      </c>
      <c r="N1281" s="1" t="s">
        <v>44</v>
      </c>
      <c r="O1281" s="1" t="s">
        <v>31</v>
      </c>
      <c r="P1281" s="2">
        <v>45823</v>
      </c>
      <c r="Q1281" s="1" t="s">
        <v>1533</v>
      </c>
      <c r="R1281" s="1" t="s">
        <v>1635</v>
      </c>
      <c r="S1281" s="1" t="s">
        <v>105</v>
      </c>
      <c r="T1281" s="1" t="s">
        <v>35</v>
      </c>
      <c r="U1281" s="1" t="s">
        <v>36</v>
      </c>
      <c r="V1281" s="1" t="s">
        <v>100</v>
      </c>
      <c r="W1281">
        <v>3.2</v>
      </c>
      <c r="X1281" s="1" t="str">
        <f t="shared" si="57"/>
        <v>laura.lopez49@mail.com</v>
      </c>
      <c r="Y1281" s="1" t="str">
        <f>INDEX(V:V,MATCH(orders_desnormalizado_prueba3[[#This Row],[acquisition_channel]],U:U,0))</f>
        <v>Bodega Propia CO - envio 2-3 dias</v>
      </c>
      <c r="Z1281" s="1" t="str">
        <f>INDEX(T:T,MATCH(orders_desnormalizado_prueba3[[#This Row],[shipping_cost]],W:W,0))</f>
        <v>Colombia</v>
      </c>
      <c r="AA1281" s="1" t="str">
        <f t="shared" si="58"/>
        <v>Cartagena</v>
      </c>
      <c r="AB1281" s="1"/>
      <c r="AC1281" s="1" t="str">
        <f t="shared" si="59"/>
        <v xml:space="preserve"> </v>
      </c>
    </row>
    <row r="1282" spans="1:29" x14ac:dyDescent="0.3">
      <c r="A1282" s="1" t="s">
        <v>2566</v>
      </c>
      <c r="B1282">
        <v>1</v>
      </c>
      <c r="C1282">
        <v>34.99</v>
      </c>
      <c r="D1282">
        <v>34.99</v>
      </c>
      <c r="E1282" s="1" t="s">
        <v>2567</v>
      </c>
      <c r="F1282" s="1" t="s">
        <v>40</v>
      </c>
      <c r="G1282">
        <v>5</v>
      </c>
      <c r="H1282" s="1" t="s">
        <v>41</v>
      </c>
      <c r="I1282" s="1" t="s">
        <v>85</v>
      </c>
      <c r="J1282">
        <v>12.5</v>
      </c>
      <c r="K1282">
        <v>34.99</v>
      </c>
      <c r="L1282" s="1" t="s">
        <v>60</v>
      </c>
      <c r="M1282" s="1" t="s">
        <v>29</v>
      </c>
      <c r="N1282" s="1" t="s">
        <v>30</v>
      </c>
      <c r="O1282" s="1" t="s">
        <v>31</v>
      </c>
      <c r="P1282" s="2">
        <v>45778</v>
      </c>
      <c r="Q1282" s="1" t="s">
        <v>1398</v>
      </c>
      <c r="R1282" s="1" t="s">
        <v>1399</v>
      </c>
      <c r="S1282" s="1" t="s">
        <v>54</v>
      </c>
      <c r="T1282" s="1" t="s">
        <v>35</v>
      </c>
      <c r="U1282" s="1" t="s">
        <v>48</v>
      </c>
      <c r="V1282" s="1" t="s">
        <v>89</v>
      </c>
      <c r="W1282">
        <v>2.4</v>
      </c>
      <c r="X1282" s="1" t="str">
        <f t="shared" ref="X1282:X1314" si="60">INDEX(R:R,MATCH(Q1282,Q:Q,0))</f>
        <v>camila.lopez178@mail.com</v>
      </c>
      <c r="Y1282" s="1" t="str">
        <f>INDEX(V:V,MATCH(orders_desnormalizado_prueba3[[#This Row],[acquisition_channel]],U:U,0))</f>
        <v>Bodega Propia CO - envio 2-3 dias</v>
      </c>
      <c r="Z1282" s="1" t="str">
        <f>INDEX(T:T,MATCH(orders_desnormalizado_prueba3[[#This Row],[shipping_cost]],W:W,0))</f>
        <v>Colombia</v>
      </c>
      <c r="AA1282" s="1" t="str">
        <f t="shared" ref="AA1282:AA1314" si="61">INDEX(S:S,MATCH(G1282,G:G,0))</f>
        <v>Cali</v>
      </c>
      <c r="AB1282" s="1"/>
      <c r="AC1282" s="1" t="str">
        <f t="shared" ref="AC1282:AC1345" si="62">IFERROR(INDEX($V:$V,MATCH(AB1282,$R:$R,0)), " ")</f>
        <v xml:space="preserve"> </v>
      </c>
    </row>
    <row r="1283" spans="1:29" x14ac:dyDescent="0.3">
      <c r="A1283" s="1" t="s">
        <v>2568</v>
      </c>
      <c r="B1283">
        <v>1</v>
      </c>
      <c r="C1283">
        <v>16.989999999999998</v>
      </c>
      <c r="D1283">
        <v>16.989999999999998</v>
      </c>
      <c r="E1283" s="1" t="s">
        <v>452</v>
      </c>
      <c r="F1283" s="1" t="s">
        <v>40</v>
      </c>
      <c r="G1283">
        <v>20</v>
      </c>
      <c r="H1283" s="1" t="s">
        <v>41</v>
      </c>
      <c r="I1283" s="1" t="s">
        <v>59</v>
      </c>
      <c r="J1283">
        <v>5</v>
      </c>
      <c r="K1283">
        <v>16.989999999999998</v>
      </c>
      <c r="L1283" s="1" t="s">
        <v>60</v>
      </c>
      <c r="M1283" s="1" t="s">
        <v>61</v>
      </c>
      <c r="N1283" s="1" t="s">
        <v>62</v>
      </c>
      <c r="O1283" s="1" t="s">
        <v>31</v>
      </c>
      <c r="P1283" s="2">
        <v>45726</v>
      </c>
      <c r="Q1283" s="1" t="s">
        <v>814</v>
      </c>
      <c r="R1283" s="1" t="s">
        <v>1041</v>
      </c>
      <c r="S1283" s="1" t="s">
        <v>54</v>
      </c>
      <c r="T1283" s="1" t="s">
        <v>35</v>
      </c>
      <c r="U1283" s="1" t="s">
        <v>36</v>
      </c>
      <c r="V1283" s="1" t="s">
        <v>67</v>
      </c>
      <c r="W1283">
        <v>3</v>
      </c>
      <c r="X1283" s="1" t="str">
        <f t="shared" si="60"/>
        <v>isabella.jimenez172@mail.com</v>
      </c>
      <c r="Y1283" s="1" t="str">
        <f>INDEX(V:V,MATCH(orders_desnormalizado_prueba3[[#This Row],[acquisition_channel]],U:U,0))</f>
        <v>Bodega Propia CO - envio 2-3 dias</v>
      </c>
      <c r="Z1283" s="1" t="str">
        <f>INDEX(T:T,MATCH(orders_desnormalizado_prueba3[[#This Row],[shipping_cost]],W:W,0))</f>
        <v>Colombia</v>
      </c>
      <c r="AA1283" s="1" t="str">
        <f t="shared" si="61"/>
        <v>Bucaramanga</v>
      </c>
      <c r="AB1283" s="1"/>
      <c r="AC1283" s="1" t="str">
        <f t="shared" si="62"/>
        <v xml:space="preserve"> </v>
      </c>
    </row>
    <row r="1284" spans="1:29" x14ac:dyDescent="0.3">
      <c r="A1284" s="1" t="s">
        <v>2569</v>
      </c>
      <c r="B1284">
        <v>1</v>
      </c>
      <c r="C1284">
        <v>27.99</v>
      </c>
      <c r="D1284">
        <v>27.99</v>
      </c>
      <c r="E1284" s="1" t="s">
        <v>1434</v>
      </c>
      <c r="F1284" s="1" t="s">
        <v>51</v>
      </c>
      <c r="G1284">
        <v>0</v>
      </c>
      <c r="H1284" s="1" t="s">
        <v>58</v>
      </c>
      <c r="I1284" s="1" t="s">
        <v>75</v>
      </c>
      <c r="J1284">
        <v>9</v>
      </c>
      <c r="K1284">
        <v>27.99</v>
      </c>
      <c r="L1284" s="1" t="s">
        <v>28</v>
      </c>
      <c r="M1284" s="1" t="s">
        <v>61</v>
      </c>
      <c r="N1284" s="1" t="s">
        <v>62</v>
      </c>
      <c r="O1284" s="1" t="s">
        <v>31</v>
      </c>
      <c r="P1284" s="2">
        <v>45726</v>
      </c>
      <c r="Q1284" s="1" t="s">
        <v>1494</v>
      </c>
      <c r="R1284" s="1" t="s">
        <v>2012</v>
      </c>
      <c r="S1284" s="1" t="s">
        <v>88</v>
      </c>
      <c r="T1284" s="1" t="s">
        <v>35</v>
      </c>
      <c r="U1284" s="1" t="s">
        <v>66</v>
      </c>
      <c r="V1284" s="1" t="s">
        <v>37</v>
      </c>
      <c r="W1284">
        <v>2</v>
      </c>
      <c r="X1284" s="1" t="str">
        <f t="shared" si="60"/>
        <v>catalina.ortiz48@mail.com</v>
      </c>
      <c r="Y1284" s="1" t="str">
        <f>INDEX(V:V,MATCH(orders_desnormalizado_prueba3[[#This Row],[acquisition_channel]],U:U,0))</f>
        <v>AliDropship CN - envio 15-20 dias</v>
      </c>
      <c r="Z1284" s="1" t="str">
        <f>INDEX(T:T,MATCH(orders_desnormalizado_prueba3[[#This Row],[shipping_cost]],W:W,0))</f>
        <v>Colombia</v>
      </c>
      <c r="AA1284" s="1" t="str">
        <f t="shared" si="61"/>
        <v>Cartagena</v>
      </c>
      <c r="AB1284" s="1"/>
      <c r="AC1284" s="1" t="str">
        <f t="shared" si="62"/>
        <v xml:space="preserve"> </v>
      </c>
    </row>
    <row r="1285" spans="1:29" x14ac:dyDescent="0.3">
      <c r="A1285" s="1" t="s">
        <v>2570</v>
      </c>
      <c r="B1285">
        <v>1</v>
      </c>
      <c r="C1285">
        <v>30.99</v>
      </c>
      <c r="D1285">
        <v>30.99</v>
      </c>
      <c r="E1285" s="1" t="s">
        <v>327</v>
      </c>
      <c r="F1285" s="1" t="s">
        <v>40</v>
      </c>
      <c r="G1285">
        <v>3</v>
      </c>
      <c r="H1285" s="1" t="s">
        <v>58</v>
      </c>
      <c r="I1285" s="1" t="s">
        <v>42</v>
      </c>
      <c r="J1285">
        <v>10.5</v>
      </c>
      <c r="K1285">
        <v>30.99</v>
      </c>
      <c r="L1285" s="1" t="s">
        <v>28</v>
      </c>
      <c r="M1285" s="1" t="s">
        <v>43</v>
      </c>
      <c r="N1285" s="1" t="s">
        <v>44</v>
      </c>
      <c r="O1285" s="1" t="s">
        <v>31</v>
      </c>
      <c r="P1285" s="2">
        <v>45823</v>
      </c>
      <c r="Q1285" s="1" t="s">
        <v>294</v>
      </c>
      <c r="R1285" s="1" t="s">
        <v>2374</v>
      </c>
      <c r="S1285" s="1" t="s">
        <v>34</v>
      </c>
      <c r="T1285" s="1" t="s">
        <v>35</v>
      </c>
      <c r="U1285" s="1" t="s">
        <v>36</v>
      </c>
      <c r="V1285" s="1" t="s">
        <v>37</v>
      </c>
      <c r="W1285">
        <v>2</v>
      </c>
      <c r="X1285" s="1" t="str">
        <f t="shared" si="60"/>
        <v>valentina.torres56@mail.com</v>
      </c>
      <c r="Y1285" s="1" t="str">
        <f>INDEX(V:V,MATCH(orders_desnormalizado_prueba3[[#This Row],[acquisition_channel]],U:U,0))</f>
        <v>Bodega Propia CO - envio 2-3 dias</v>
      </c>
      <c r="Z1285" s="1" t="str">
        <f>INDEX(T:T,MATCH(orders_desnormalizado_prueba3[[#This Row],[shipping_cost]],W:W,0))</f>
        <v>Colombia</v>
      </c>
      <c r="AA1285" s="1" t="str">
        <f t="shared" si="61"/>
        <v>Barranquilla</v>
      </c>
      <c r="AB1285" s="1"/>
      <c r="AC1285" s="1" t="str">
        <f t="shared" si="62"/>
        <v xml:space="preserve"> </v>
      </c>
    </row>
    <row r="1286" spans="1:29" x14ac:dyDescent="0.3">
      <c r="A1286" s="1" t="s">
        <v>2571</v>
      </c>
      <c r="B1286">
        <v>3</v>
      </c>
      <c r="C1286">
        <v>30.99</v>
      </c>
      <c r="D1286">
        <v>75.02</v>
      </c>
      <c r="E1286" s="1" t="s">
        <v>202</v>
      </c>
      <c r="F1286" s="1" t="s">
        <v>40</v>
      </c>
      <c r="G1286">
        <v>2</v>
      </c>
      <c r="H1286" s="1" t="s">
        <v>58</v>
      </c>
      <c r="I1286" s="1" t="s">
        <v>42</v>
      </c>
      <c r="J1286">
        <v>10.5</v>
      </c>
      <c r="K1286">
        <v>30.99</v>
      </c>
      <c r="L1286" s="1" t="s">
        <v>28</v>
      </c>
      <c r="M1286" s="1" t="s">
        <v>43</v>
      </c>
      <c r="N1286" s="1" t="s">
        <v>44</v>
      </c>
      <c r="O1286" s="1" t="s">
        <v>31</v>
      </c>
      <c r="P1286" s="2">
        <v>45823</v>
      </c>
      <c r="Q1286" s="1" t="s">
        <v>804</v>
      </c>
      <c r="R1286" s="1" t="s">
        <v>805</v>
      </c>
      <c r="S1286" s="1" t="s">
        <v>88</v>
      </c>
      <c r="T1286" s="1" t="s">
        <v>35</v>
      </c>
      <c r="U1286" s="1" t="s">
        <v>82</v>
      </c>
      <c r="V1286" s="1" t="s">
        <v>37</v>
      </c>
      <c r="W1286">
        <v>2</v>
      </c>
      <c r="X1286" s="1" t="str">
        <f t="shared" si="60"/>
        <v>ricardo.perez175@mail.com</v>
      </c>
      <c r="Y1286" s="1" t="str">
        <f>INDEX(V:V,MATCH(orders_desnormalizado_prueba3[[#This Row],[acquisition_channel]],U:U,0))</f>
        <v>Bodega Propia CO - envio 2-3 dias</v>
      </c>
      <c r="Z1286" s="1" t="str">
        <f>INDEX(T:T,MATCH(orders_desnormalizado_prueba3[[#This Row],[shipping_cost]],W:W,0))</f>
        <v>Colombia</v>
      </c>
      <c r="AA1286" s="1" t="str">
        <f t="shared" si="61"/>
        <v>Medellin</v>
      </c>
      <c r="AB1286" s="1"/>
      <c r="AC1286" s="1" t="str">
        <f t="shared" si="62"/>
        <v xml:space="preserve"> </v>
      </c>
    </row>
    <row r="1287" spans="1:29" x14ac:dyDescent="0.3">
      <c r="A1287" s="1" t="s">
        <v>2572</v>
      </c>
      <c r="B1287">
        <v>1</v>
      </c>
      <c r="C1287">
        <v>16.989999999999998</v>
      </c>
      <c r="D1287">
        <v>16.989999999999998</v>
      </c>
      <c r="E1287" s="1" t="s">
        <v>1596</v>
      </c>
      <c r="F1287" s="1" t="s">
        <v>51</v>
      </c>
      <c r="G1287">
        <v>0</v>
      </c>
      <c r="H1287" s="1" t="s">
        <v>26</v>
      </c>
      <c r="I1287" s="1" t="s">
        <v>59</v>
      </c>
      <c r="J1287">
        <v>5</v>
      </c>
      <c r="K1287">
        <v>16.989999999999998</v>
      </c>
      <c r="L1287" s="1" t="s">
        <v>60</v>
      </c>
      <c r="M1287" s="1" t="s">
        <v>61</v>
      </c>
      <c r="N1287" s="1" t="s">
        <v>62</v>
      </c>
      <c r="O1287" s="1" t="s">
        <v>31</v>
      </c>
      <c r="P1287" s="2">
        <v>45726</v>
      </c>
      <c r="Q1287" s="1" t="s">
        <v>1770</v>
      </c>
      <c r="R1287" s="1" t="s">
        <v>2573</v>
      </c>
      <c r="S1287" s="1" t="s">
        <v>411</v>
      </c>
      <c r="T1287" s="1" t="s">
        <v>35</v>
      </c>
      <c r="U1287" s="1" t="s">
        <v>66</v>
      </c>
      <c r="V1287" s="1" t="s">
        <v>67</v>
      </c>
      <c r="W1287">
        <v>3</v>
      </c>
      <c r="X1287" s="1" t="str">
        <f t="shared" si="60"/>
        <v>felipe.martinez80@mail.com</v>
      </c>
      <c r="Y1287" s="1" t="str">
        <f>INDEX(V:V,MATCH(orders_desnormalizado_prueba3[[#This Row],[acquisition_channel]],U:U,0))</f>
        <v>AliDropship CN - envio 15-20 dias</v>
      </c>
      <c r="Z1287" s="1" t="str">
        <f>INDEX(T:T,MATCH(orders_desnormalizado_prueba3[[#This Row],[shipping_cost]],W:W,0))</f>
        <v>Colombia</v>
      </c>
      <c r="AA1287" s="1" t="str">
        <f t="shared" si="61"/>
        <v>Cartagena</v>
      </c>
      <c r="AB1287" s="1"/>
      <c r="AC1287" s="1" t="str">
        <f t="shared" si="62"/>
        <v xml:space="preserve"> </v>
      </c>
    </row>
    <row r="1288" spans="1:29" x14ac:dyDescent="0.3">
      <c r="A1288" s="1" t="s">
        <v>2574</v>
      </c>
      <c r="B1288">
        <v>1</v>
      </c>
      <c r="C1288">
        <v>30.99</v>
      </c>
      <c r="D1288">
        <v>30.99</v>
      </c>
      <c r="E1288" s="1" t="s">
        <v>2534</v>
      </c>
      <c r="F1288" s="1" t="s">
        <v>25</v>
      </c>
      <c r="G1288">
        <v>3</v>
      </c>
      <c r="H1288" s="1" t="s">
        <v>26</v>
      </c>
      <c r="I1288" s="1" t="s">
        <v>42</v>
      </c>
      <c r="J1288">
        <v>10.5</v>
      </c>
      <c r="K1288">
        <v>30.99</v>
      </c>
      <c r="L1288" s="1" t="s">
        <v>28</v>
      </c>
      <c r="M1288" s="1" t="s">
        <v>43</v>
      </c>
      <c r="N1288" s="1" t="s">
        <v>44</v>
      </c>
      <c r="O1288" s="1" t="s">
        <v>31</v>
      </c>
      <c r="P1288" s="2">
        <v>45823</v>
      </c>
      <c r="Q1288" s="1" t="s">
        <v>990</v>
      </c>
      <c r="R1288" s="1" t="s">
        <v>991</v>
      </c>
      <c r="S1288" s="1" t="s">
        <v>54</v>
      </c>
      <c r="T1288" s="1" t="s">
        <v>35</v>
      </c>
      <c r="U1288" s="1" t="s">
        <v>48</v>
      </c>
      <c r="V1288" s="1" t="s">
        <v>37</v>
      </c>
      <c r="W1288">
        <v>2</v>
      </c>
      <c r="X1288" s="1" t="str">
        <f t="shared" si="60"/>
        <v>fernanda.diaz94@mail.com</v>
      </c>
      <c r="Y1288" s="1" t="str">
        <f>INDEX(V:V,MATCH(orders_desnormalizado_prueba3[[#This Row],[acquisition_channel]],U:U,0))</f>
        <v>Bodega Propia CO - envio 2-3 dias</v>
      </c>
      <c r="Z1288" s="1" t="str">
        <f>INDEX(T:T,MATCH(orders_desnormalizado_prueba3[[#This Row],[shipping_cost]],W:W,0))</f>
        <v>Colombia</v>
      </c>
      <c r="AA1288" s="1" t="str">
        <f t="shared" si="61"/>
        <v>Barranquilla</v>
      </c>
      <c r="AB1288" s="1"/>
      <c r="AC1288" s="1" t="str">
        <f t="shared" si="62"/>
        <v xml:space="preserve"> </v>
      </c>
    </row>
    <row r="1289" spans="1:29" x14ac:dyDescent="0.3">
      <c r="A1289" s="1" t="s">
        <v>2575</v>
      </c>
      <c r="B1289">
        <v>1</v>
      </c>
      <c r="C1289">
        <v>27.99</v>
      </c>
      <c r="D1289">
        <v>27.99</v>
      </c>
      <c r="E1289" s="1" t="s">
        <v>759</v>
      </c>
      <c r="F1289" s="1" t="s">
        <v>51</v>
      </c>
      <c r="G1289">
        <v>0</v>
      </c>
      <c r="H1289" s="1" t="s">
        <v>96</v>
      </c>
      <c r="I1289" s="1" t="s">
        <v>75</v>
      </c>
      <c r="J1289">
        <v>9</v>
      </c>
      <c r="K1289">
        <v>27.99</v>
      </c>
      <c r="L1289" s="1" t="s">
        <v>28</v>
      </c>
      <c r="M1289" s="1" t="s">
        <v>61</v>
      </c>
      <c r="N1289" s="1" t="s">
        <v>62</v>
      </c>
      <c r="O1289" s="1" t="s">
        <v>31</v>
      </c>
      <c r="P1289" s="2">
        <v>45726</v>
      </c>
      <c r="Q1289" s="1" t="s">
        <v>934</v>
      </c>
      <c r="R1289" s="1" t="s">
        <v>935</v>
      </c>
      <c r="S1289" s="1" t="s">
        <v>105</v>
      </c>
      <c r="T1289" s="1" t="s">
        <v>35</v>
      </c>
      <c r="U1289" s="1" t="s">
        <v>82</v>
      </c>
      <c r="V1289" s="1" t="s">
        <v>37</v>
      </c>
      <c r="W1289">
        <v>2</v>
      </c>
      <c r="X1289" s="1" t="str">
        <f t="shared" si="60"/>
        <v>felipe.gomez104@mail.com</v>
      </c>
      <c r="Y1289" s="1" t="str">
        <f>INDEX(V:V,MATCH(orders_desnormalizado_prueba3[[#This Row],[acquisition_channel]],U:U,0))</f>
        <v>Bodega Propia CO - envio 2-3 dias</v>
      </c>
      <c r="Z1289" s="1" t="str">
        <f>INDEX(T:T,MATCH(orders_desnormalizado_prueba3[[#This Row],[shipping_cost]],W:W,0))</f>
        <v>Colombia</v>
      </c>
      <c r="AA1289" s="1" t="str">
        <f t="shared" si="61"/>
        <v>Cartagena</v>
      </c>
      <c r="AB1289" s="1"/>
      <c r="AC1289" s="1" t="str">
        <f t="shared" si="62"/>
        <v xml:space="preserve"> </v>
      </c>
    </row>
    <row r="1290" spans="1:29" x14ac:dyDescent="0.3">
      <c r="A1290" s="1" t="s">
        <v>2576</v>
      </c>
      <c r="B1290">
        <v>3</v>
      </c>
      <c r="C1290">
        <v>21.99</v>
      </c>
      <c r="D1290">
        <v>53.43</v>
      </c>
      <c r="E1290" s="1" t="s">
        <v>2577</v>
      </c>
      <c r="F1290" s="1" t="s">
        <v>40</v>
      </c>
      <c r="G1290">
        <v>2</v>
      </c>
      <c r="H1290" s="1" t="s">
        <v>58</v>
      </c>
      <c r="I1290" s="1" t="s">
        <v>27</v>
      </c>
      <c r="J1290">
        <v>7</v>
      </c>
      <c r="K1290">
        <v>21.99</v>
      </c>
      <c r="L1290" s="1" t="s">
        <v>28</v>
      </c>
      <c r="M1290" s="1" t="s">
        <v>29</v>
      </c>
      <c r="N1290" s="1" t="s">
        <v>30</v>
      </c>
      <c r="O1290" s="1" t="s">
        <v>31</v>
      </c>
      <c r="P1290" s="2">
        <v>45778</v>
      </c>
      <c r="Q1290" s="1" t="s">
        <v>943</v>
      </c>
      <c r="R1290" s="1" t="s">
        <v>944</v>
      </c>
      <c r="S1290" s="1" t="s">
        <v>47</v>
      </c>
      <c r="T1290" s="1" t="s">
        <v>35</v>
      </c>
      <c r="U1290" s="1" t="s">
        <v>48</v>
      </c>
      <c r="V1290" s="1" t="s">
        <v>37</v>
      </c>
      <c r="W1290">
        <v>2</v>
      </c>
      <c r="X1290" s="1" t="str">
        <f t="shared" si="60"/>
        <v>diego.lopez18@mail.com</v>
      </c>
      <c r="Y1290" s="1" t="str">
        <f>INDEX(V:V,MATCH(orders_desnormalizado_prueba3[[#This Row],[acquisition_channel]],U:U,0))</f>
        <v>Bodega Propia CO - envio 2-3 dias</v>
      </c>
      <c r="Z1290" s="1" t="str">
        <f>INDEX(T:T,MATCH(orders_desnormalizado_prueba3[[#This Row],[shipping_cost]],W:W,0))</f>
        <v>Colombia</v>
      </c>
      <c r="AA1290" s="1" t="str">
        <f t="shared" si="61"/>
        <v>Medellin</v>
      </c>
      <c r="AB1290" s="1"/>
      <c r="AC1290" s="1" t="str">
        <f t="shared" si="62"/>
        <v xml:space="preserve"> </v>
      </c>
    </row>
    <row r="1291" spans="1:29" x14ac:dyDescent="0.3">
      <c r="A1291" s="1" t="s">
        <v>2578</v>
      </c>
      <c r="B1291">
        <v>3</v>
      </c>
      <c r="C1291">
        <v>21.99</v>
      </c>
      <c r="D1291">
        <v>52.48</v>
      </c>
      <c r="E1291" s="1" t="s">
        <v>1429</v>
      </c>
      <c r="F1291" s="1" t="s">
        <v>51</v>
      </c>
      <c r="G1291">
        <v>0</v>
      </c>
      <c r="H1291" s="1" t="s">
        <v>96</v>
      </c>
      <c r="I1291" s="1" t="s">
        <v>27</v>
      </c>
      <c r="J1291">
        <v>7</v>
      </c>
      <c r="K1291">
        <v>21.99</v>
      </c>
      <c r="L1291" s="1" t="s">
        <v>28</v>
      </c>
      <c r="M1291" s="1" t="s">
        <v>29</v>
      </c>
      <c r="N1291" s="1" t="s">
        <v>30</v>
      </c>
      <c r="O1291" s="1" t="s">
        <v>31</v>
      </c>
      <c r="P1291" s="2">
        <v>45778</v>
      </c>
      <c r="Q1291" s="1" t="s">
        <v>1447</v>
      </c>
      <c r="R1291" s="1" t="s">
        <v>1448</v>
      </c>
      <c r="S1291" s="1" t="s">
        <v>47</v>
      </c>
      <c r="T1291" s="1" t="s">
        <v>35</v>
      </c>
      <c r="U1291" s="1" t="s">
        <v>36</v>
      </c>
      <c r="V1291" s="1" t="s">
        <v>37</v>
      </c>
      <c r="W1291">
        <v>2</v>
      </c>
      <c r="X1291" s="1" t="str">
        <f t="shared" si="60"/>
        <v>ximena.torres31@mail.com</v>
      </c>
      <c r="Y1291" s="1" t="str">
        <f>INDEX(V:V,MATCH(orders_desnormalizado_prueba3[[#This Row],[acquisition_channel]],U:U,0))</f>
        <v>Bodega Propia CO - envio 2-3 dias</v>
      </c>
      <c r="Z1291" s="1" t="str">
        <f>INDEX(T:T,MATCH(orders_desnormalizado_prueba3[[#This Row],[shipping_cost]],W:W,0))</f>
        <v>Colombia</v>
      </c>
      <c r="AA1291" s="1" t="str">
        <f t="shared" si="61"/>
        <v>Cartagena</v>
      </c>
      <c r="AB1291" s="1"/>
      <c r="AC1291" s="1" t="str">
        <f t="shared" si="62"/>
        <v xml:space="preserve"> </v>
      </c>
    </row>
    <row r="1292" spans="1:29" x14ac:dyDescent="0.3">
      <c r="A1292" s="1" t="s">
        <v>2579</v>
      </c>
      <c r="B1292">
        <v>3</v>
      </c>
      <c r="C1292">
        <v>30.99</v>
      </c>
      <c r="D1292">
        <v>73.2</v>
      </c>
      <c r="E1292" s="1" t="s">
        <v>1230</v>
      </c>
      <c r="F1292" s="1" t="s">
        <v>40</v>
      </c>
      <c r="G1292">
        <v>5</v>
      </c>
      <c r="H1292" s="1" t="s">
        <v>58</v>
      </c>
      <c r="I1292" s="1" t="s">
        <v>42</v>
      </c>
      <c r="J1292">
        <v>10.5</v>
      </c>
      <c r="K1292">
        <v>30.99</v>
      </c>
      <c r="L1292" s="1" t="s">
        <v>28</v>
      </c>
      <c r="M1292" s="1" t="s">
        <v>43</v>
      </c>
      <c r="N1292" s="1" t="s">
        <v>44</v>
      </c>
      <c r="O1292" s="1" t="s">
        <v>31</v>
      </c>
      <c r="P1292" s="2">
        <v>45823</v>
      </c>
      <c r="Q1292" s="1" t="s">
        <v>1549</v>
      </c>
      <c r="R1292" s="1" t="s">
        <v>1550</v>
      </c>
      <c r="S1292" s="1" t="s">
        <v>34</v>
      </c>
      <c r="T1292" s="1" t="s">
        <v>35</v>
      </c>
      <c r="U1292" s="1" t="s">
        <v>48</v>
      </c>
      <c r="V1292" s="1" t="s">
        <v>37</v>
      </c>
      <c r="W1292">
        <v>2</v>
      </c>
      <c r="X1292" s="1" t="str">
        <f t="shared" si="60"/>
        <v>juan.jimenez86@mail.com</v>
      </c>
      <c r="Y1292" s="1" t="str">
        <f>INDEX(V:V,MATCH(orders_desnormalizado_prueba3[[#This Row],[acquisition_channel]],U:U,0))</f>
        <v>Bodega Propia CO - envio 2-3 dias</v>
      </c>
      <c r="Z1292" s="1" t="str">
        <f>INDEX(T:T,MATCH(orders_desnormalizado_prueba3[[#This Row],[shipping_cost]],W:W,0))</f>
        <v>Colombia</v>
      </c>
      <c r="AA1292" s="1" t="str">
        <f t="shared" si="61"/>
        <v>Cali</v>
      </c>
      <c r="AB1292" s="1"/>
      <c r="AC1292" s="1" t="str">
        <f t="shared" si="62"/>
        <v xml:space="preserve"> </v>
      </c>
    </row>
    <row r="1293" spans="1:29" x14ac:dyDescent="0.3">
      <c r="A1293" s="1" t="s">
        <v>2580</v>
      </c>
      <c r="B1293">
        <v>1</v>
      </c>
      <c r="C1293">
        <v>27.99</v>
      </c>
      <c r="D1293">
        <v>27.99</v>
      </c>
      <c r="E1293" s="1" t="s">
        <v>2581</v>
      </c>
      <c r="F1293" s="1" t="s">
        <v>51</v>
      </c>
      <c r="G1293">
        <v>0</v>
      </c>
      <c r="H1293" s="1" t="s">
        <v>58</v>
      </c>
      <c r="I1293" s="1" t="s">
        <v>75</v>
      </c>
      <c r="J1293">
        <v>9</v>
      </c>
      <c r="K1293">
        <v>27.99</v>
      </c>
      <c r="L1293" s="1" t="s">
        <v>28</v>
      </c>
      <c r="M1293" s="1" t="s">
        <v>61</v>
      </c>
      <c r="N1293" s="1" t="s">
        <v>62</v>
      </c>
      <c r="O1293" s="1" t="s">
        <v>31</v>
      </c>
      <c r="P1293" s="2">
        <v>45726</v>
      </c>
      <c r="Q1293" s="1" t="s">
        <v>1761</v>
      </c>
      <c r="R1293" s="1" t="s">
        <v>1762</v>
      </c>
      <c r="S1293" s="1" t="s">
        <v>88</v>
      </c>
      <c r="T1293" s="1" t="s">
        <v>35</v>
      </c>
      <c r="U1293" s="1" t="s">
        <v>82</v>
      </c>
      <c r="V1293" s="1" t="s">
        <v>37</v>
      </c>
      <c r="W1293">
        <v>2</v>
      </c>
      <c r="X1293" s="1" t="str">
        <f t="shared" si="60"/>
        <v>julian.jimenez75@mail.com</v>
      </c>
      <c r="Y1293" s="1" t="str">
        <f>INDEX(V:V,MATCH(orders_desnormalizado_prueba3[[#This Row],[acquisition_channel]],U:U,0))</f>
        <v>Bodega Propia CO - envio 2-3 dias</v>
      </c>
      <c r="Z1293" s="1" t="str">
        <f>INDEX(T:T,MATCH(orders_desnormalizado_prueba3[[#This Row],[shipping_cost]],W:W,0))</f>
        <v>Colombia</v>
      </c>
      <c r="AA1293" s="1" t="str">
        <f t="shared" si="61"/>
        <v>Cartagena</v>
      </c>
      <c r="AB1293" s="1"/>
      <c r="AC1293" s="1" t="str">
        <f t="shared" si="62"/>
        <v xml:space="preserve"> </v>
      </c>
    </row>
    <row r="1294" spans="1:29" x14ac:dyDescent="0.3">
      <c r="A1294" s="1" t="s">
        <v>2582</v>
      </c>
      <c r="B1294">
        <v>2</v>
      </c>
      <c r="C1294">
        <v>34.99</v>
      </c>
      <c r="D1294">
        <v>60.85</v>
      </c>
      <c r="E1294" s="1" t="s">
        <v>2404</v>
      </c>
      <c r="F1294" s="1" t="s">
        <v>51</v>
      </c>
      <c r="G1294">
        <v>0</v>
      </c>
      <c r="H1294" s="1" t="s">
        <v>26</v>
      </c>
      <c r="I1294" s="1" t="s">
        <v>85</v>
      </c>
      <c r="J1294">
        <v>12.5</v>
      </c>
      <c r="K1294">
        <v>34.99</v>
      </c>
      <c r="L1294" s="1" t="s">
        <v>60</v>
      </c>
      <c r="M1294" s="1" t="s">
        <v>29</v>
      </c>
      <c r="N1294" s="1" t="s">
        <v>30</v>
      </c>
      <c r="O1294" s="1" t="s">
        <v>31</v>
      </c>
      <c r="P1294" s="2">
        <v>45778</v>
      </c>
      <c r="Q1294" s="1" t="s">
        <v>1319</v>
      </c>
      <c r="R1294" s="1" t="s">
        <v>1320</v>
      </c>
      <c r="S1294" s="1" t="s">
        <v>54</v>
      </c>
      <c r="T1294" s="1" t="s">
        <v>35</v>
      </c>
      <c r="U1294" s="1" t="s">
        <v>82</v>
      </c>
      <c r="V1294" s="1" t="s">
        <v>89</v>
      </c>
      <c r="W1294">
        <v>2.4</v>
      </c>
      <c r="X1294" s="1" t="str">
        <f t="shared" si="60"/>
        <v>sofia.castro163@mail.com</v>
      </c>
      <c r="Y1294" s="1" t="str">
        <f>INDEX(V:V,MATCH(orders_desnormalizado_prueba3[[#This Row],[acquisition_channel]],U:U,0))</f>
        <v>Bodega Propia CO - envio 2-3 dias</v>
      </c>
      <c r="Z1294" s="1" t="str">
        <f>INDEX(T:T,MATCH(orders_desnormalizado_prueba3[[#This Row],[shipping_cost]],W:W,0))</f>
        <v>Colombia</v>
      </c>
      <c r="AA1294" s="1" t="str">
        <f t="shared" si="61"/>
        <v>Cartagena</v>
      </c>
      <c r="AB1294" s="1"/>
      <c r="AC1294" s="1" t="str">
        <f t="shared" si="62"/>
        <v xml:space="preserve"> </v>
      </c>
    </row>
    <row r="1295" spans="1:29" x14ac:dyDescent="0.3">
      <c r="A1295" s="1" t="s">
        <v>2583</v>
      </c>
      <c r="B1295">
        <v>1</v>
      </c>
      <c r="C1295">
        <v>30.99</v>
      </c>
      <c r="D1295">
        <v>30.99</v>
      </c>
      <c r="E1295" s="1" t="s">
        <v>775</v>
      </c>
      <c r="F1295" s="1" t="s">
        <v>40</v>
      </c>
      <c r="G1295">
        <v>3</v>
      </c>
      <c r="H1295" s="1" t="s">
        <v>58</v>
      </c>
      <c r="I1295" s="1" t="s">
        <v>42</v>
      </c>
      <c r="J1295">
        <v>10.5</v>
      </c>
      <c r="K1295">
        <v>30.99</v>
      </c>
      <c r="L1295" s="1" t="s">
        <v>28</v>
      </c>
      <c r="M1295" s="1" t="s">
        <v>43</v>
      </c>
      <c r="N1295" s="1" t="s">
        <v>44</v>
      </c>
      <c r="O1295" s="1" t="s">
        <v>31</v>
      </c>
      <c r="P1295" s="2">
        <v>45823</v>
      </c>
      <c r="Q1295" s="1" t="s">
        <v>234</v>
      </c>
      <c r="R1295" s="1" t="s">
        <v>1646</v>
      </c>
      <c r="S1295" s="1" t="s">
        <v>54</v>
      </c>
      <c r="T1295" s="1" t="s">
        <v>35</v>
      </c>
      <c r="U1295" s="1" t="s">
        <v>36</v>
      </c>
      <c r="V1295" s="1" t="s">
        <v>37</v>
      </c>
      <c r="W1295">
        <v>2</v>
      </c>
      <c r="X1295" s="1" t="str">
        <f t="shared" si="60"/>
        <v>david.sanchez5@mail.com</v>
      </c>
      <c r="Y1295" s="1" t="str">
        <f>INDEX(V:V,MATCH(orders_desnormalizado_prueba3[[#This Row],[acquisition_channel]],U:U,0))</f>
        <v>Bodega Propia CO - envio 2-3 dias</v>
      </c>
      <c r="Z1295" s="1" t="str">
        <f>INDEX(T:T,MATCH(orders_desnormalizado_prueba3[[#This Row],[shipping_cost]],W:W,0))</f>
        <v>Colombia</v>
      </c>
      <c r="AA1295" s="1" t="str">
        <f t="shared" si="61"/>
        <v>Barranquilla</v>
      </c>
      <c r="AB1295" s="1"/>
      <c r="AC1295" s="1" t="str">
        <f t="shared" si="62"/>
        <v xml:space="preserve"> </v>
      </c>
    </row>
    <row r="1296" spans="1:29" x14ac:dyDescent="0.3">
      <c r="A1296" s="1" t="s">
        <v>2584</v>
      </c>
      <c r="B1296">
        <v>3</v>
      </c>
      <c r="C1296">
        <v>30.99</v>
      </c>
      <c r="D1296">
        <v>73.12</v>
      </c>
      <c r="E1296" s="1" t="s">
        <v>2585</v>
      </c>
      <c r="F1296" s="1" t="s">
        <v>40</v>
      </c>
      <c r="G1296">
        <v>3</v>
      </c>
      <c r="H1296" s="1" t="s">
        <v>41</v>
      </c>
      <c r="I1296" s="1" t="s">
        <v>42</v>
      </c>
      <c r="J1296">
        <v>10.5</v>
      </c>
      <c r="K1296">
        <v>30.99</v>
      </c>
      <c r="L1296" s="1" t="s">
        <v>28</v>
      </c>
      <c r="M1296" s="1" t="s">
        <v>43</v>
      </c>
      <c r="N1296" s="1" t="s">
        <v>44</v>
      </c>
      <c r="O1296" s="1" t="s">
        <v>31</v>
      </c>
      <c r="P1296" s="2">
        <v>45823</v>
      </c>
      <c r="Q1296" s="1" t="s">
        <v>1237</v>
      </c>
      <c r="R1296" s="1" t="s">
        <v>2586</v>
      </c>
      <c r="S1296" s="1" t="s">
        <v>34</v>
      </c>
      <c r="T1296" s="1" t="s">
        <v>35</v>
      </c>
      <c r="U1296" s="1" t="s">
        <v>36</v>
      </c>
      <c r="V1296" s="1" t="s">
        <v>37</v>
      </c>
      <c r="W1296">
        <v>2</v>
      </c>
      <c r="X1296" s="1" t="str">
        <f t="shared" si="60"/>
        <v>ricardo.moreno46@mail.com</v>
      </c>
      <c r="Y1296" s="1" t="str">
        <f>INDEX(V:V,MATCH(orders_desnormalizado_prueba3[[#This Row],[acquisition_channel]],U:U,0))</f>
        <v>Bodega Propia CO - envio 2-3 dias</v>
      </c>
      <c r="Z1296" s="1" t="str">
        <f>INDEX(T:T,MATCH(orders_desnormalizado_prueba3[[#This Row],[shipping_cost]],W:W,0))</f>
        <v>Colombia</v>
      </c>
      <c r="AA1296" s="1" t="str">
        <f t="shared" si="61"/>
        <v>Barranquilla</v>
      </c>
      <c r="AB1296" s="1"/>
      <c r="AC1296" s="1" t="str">
        <f t="shared" si="62"/>
        <v xml:space="preserve"> </v>
      </c>
    </row>
    <row r="1297" spans="1:29" x14ac:dyDescent="0.3">
      <c r="A1297" s="1" t="s">
        <v>2587</v>
      </c>
      <c r="B1297">
        <v>1</v>
      </c>
      <c r="C1297">
        <v>18.989999999999998</v>
      </c>
      <c r="D1297">
        <v>18.989999999999998</v>
      </c>
      <c r="E1297" s="1" t="s">
        <v>214</v>
      </c>
      <c r="F1297" s="1" t="s">
        <v>51</v>
      </c>
      <c r="G1297">
        <v>0</v>
      </c>
      <c r="H1297" s="1" t="s">
        <v>58</v>
      </c>
      <c r="I1297" s="1" t="s">
        <v>97</v>
      </c>
      <c r="J1297">
        <v>6</v>
      </c>
      <c r="K1297">
        <v>18.989999999999998</v>
      </c>
      <c r="L1297" s="1" t="s">
        <v>60</v>
      </c>
      <c r="M1297" s="1" t="s">
        <v>43</v>
      </c>
      <c r="N1297" s="1" t="s">
        <v>44</v>
      </c>
      <c r="O1297" s="1" t="s">
        <v>31</v>
      </c>
      <c r="P1297" s="2">
        <v>45823</v>
      </c>
      <c r="Q1297" s="1" t="s">
        <v>1719</v>
      </c>
      <c r="R1297" s="1" t="s">
        <v>1720</v>
      </c>
      <c r="S1297" s="1" t="s">
        <v>54</v>
      </c>
      <c r="T1297" s="1" t="s">
        <v>35</v>
      </c>
      <c r="U1297" s="1" t="s">
        <v>66</v>
      </c>
      <c r="V1297" s="1" t="s">
        <v>100</v>
      </c>
      <c r="W1297">
        <v>3.2</v>
      </c>
      <c r="X1297" s="1" t="str">
        <f t="shared" si="60"/>
        <v>julian.diaz162@mail.com</v>
      </c>
      <c r="Y1297" s="1" t="str">
        <f>INDEX(V:V,MATCH(orders_desnormalizado_prueba3[[#This Row],[acquisition_channel]],U:U,0))</f>
        <v>AliDropship CN - envio 15-20 dias</v>
      </c>
      <c r="Z1297" s="1" t="str">
        <f>INDEX(T:T,MATCH(orders_desnormalizado_prueba3[[#This Row],[shipping_cost]],W:W,0))</f>
        <v>Colombia</v>
      </c>
      <c r="AA1297" s="1" t="str">
        <f t="shared" si="61"/>
        <v>Cartagena</v>
      </c>
      <c r="AB1297" s="1"/>
      <c r="AC1297" s="1" t="str">
        <f t="shared" si="62"/>
        <v xml:space="preserve"> </v>
      </c>
    </row>
    <row r="1298" spans="1:29" x14ac:dyDescent="0.3">
      <c r="A1298" s="1" t="s">
        <v>2588</v>
      </c>
      <c r="B1298">
        <v>1</v>
      </c>
      <c r="C1298">
        <v>34.99</v>
      </c>
      <c r="D1298">
        <v>34.99</v>
      </c>
      <c r="E1298" s="1" t="s">
        <v>2380</v>
      </c>
      <c r="F1298" s="1" t="s">
        <v>25</v>
      </c>
      <c r="G1298">
        <v>6</v>
      </c>
      <c r="H1298" s="1" t="s">
        <v>96</v>
      </c>
      <c r="I1298" s="1" t="s">
        <v>85</v>
      </c>
      <c r="J1298">
        <v>12.5</v>
      </c>
      <c r="K1298">
        <v>34.99</v>
      </c>
      <c r="L1298" s="1" t="s">
        <v>60</v>
      </c>
      <c r="M1298" s="1" t="s">
        <v>29</v>
      </c>
      <c r="N1298" s="1" t="s">
        <v>30</v>
      </c>
      <c r="O1298" s="1" t="s">
        <v>31</v>
      </c>
      <c r="P1298" s="2">
        <v>45778</v>
      </c>
      <c r="Q1298" s="1" t="s">
        <v>1253</v>
      </c>
      <c r="R1298" s="1" t="s">
        <v>1254</v>
      </c>
      <c r="S1298" s="1" t="s">
        <v>105</v>
      </c>
      <c r="T1298" s="1" t="s">
        <v>35</v>
      </c>
      <c r="U1298" s="1" t="s">
        <v>66</v>
      </c>
      <c r="V1298" s="1" t="s">
        <v>89</v>
      </c>
      <c r="W1298">
        <v>2.4</v>
      </c>
      <c r="X1298" s="1" t="str">
        <f t="shared" si="60"/>
        <v>sofia.ortiz121@mail.com</v>
      </c>
      <c r="Y1298" s="1" t="str">
        <f>INDEX(V:V,MATCH(orders_desnormalizado_prueba3[[#This Row],[acquisition_channel]],U:U,0))</f>
        <v>AliDropship CN - envio 15-20 dias</v>
      </c>
      <c r="Z1298" s="1" t="str">
        <f>INDEX(T:T,MATCH(orders_desnormalizado_prueba3[[#This Row],[shipping_cost]],W:W,0))</f>
        <v>Colombia</v>
      </c>
      <c r="AA1298" s="1" t="str">
        <f t="shared" si="61"/>
        <v>Medellin</v>
      </c>
      <c r="AB1298" s="1"/>
      <c r="AC1298" s="1" t="str">
        <f t="shared" si="62"/>
        <v xml:space="preserve"> </v>
      </c>
    </row>
    <row r="1299" spans="1:29" x14ac:dyDescent="0.3">
      <c r="A1299" s="1" t="s">
        <v>2589</v>
      </c>
      <c r="B1299">
        <v>1</v>
      </c>
      <c r="C1299">
        <v>21.99</v>
      </c>
      <c r="D1299">
        <v>21.99</v>
      </c>
      <c r="E1299" s="1" t="s">
        <v>1055</v>
      </c>
      <c r="F1299" s="1" t="s">
        <v>40</v>
      </c>
      <c r="G1299">
        <v>2</v>
      </c>
      <c r="H1299" s="1" t="s">
        <v>26</v>
      </c>
      <c r="I1299" s="1" t="s">
        <v>27</v>
      </c>
      <c r="J1299">
        <v>7</v>
      </c>
      <c r="K1299">
        <v>21.99</v>
      </c>
      <c r="L1299" s="1" t="s">
        <v>28</v>
      </c>
      <c r="M1299" s="1" t="s">
        <v>29</v>
      </c>
      <c r="N1299" s="1" t="s">
        <v>30</v>
      </c>
      <c r="O1299" s="1" t="s">
        <v>31</v>
      </c>
      <c r="P1299" s="2">
        <v>45778</v>
      </c>
      <c r="Q1299" s="1" t="s">
        <v>169</v>
      </c>
      <c r="R1299" s="1" t="s">
        <v>941</v>
      </c>
      <c r="S1299" s="1" t="s">
        <v>105</v>
      </c>
      <c r="T1299" s="1" t="s">
        <v>35</v>
      </c>
      <c r="U1299" s="1" t="s">
        <v>66</v>
      </c>
      <c r="V1299" s="1" t="s">
        <v>37</v>
      </c>
      <c r="W1299">
        <v>2</v>
      </c>
      <c r="X1299" s="1" t="str">
        <f t="shared" si="60"/>
        <v>daniela.rodriguez2@mail.com</v>
      </c>
      <c r="Y1299" s="1" t="str">
        <f>INDEX(V:V,MATCH(orders_desnormalizado_prueba3[[#This Row],[acquisition_channel]],U:U,0))</f>
        <v>AliDropship CN - envio 15-20 dias</v>
      </c>
      <c r="Z1299" s="1" t="str">
        <f>INDEX(T:T,MATCH(orders_desnormalizado_prueba3[[#This Row],[shipping_cost]],W:W,0))</f>
        <v>Colombia</v>
      </c>
      <c r="AA1299" s="1" t="str">
        <f t="shared" si="61"/>
        <v>Medellin</v>
      </c>
      <c r="AB1299" s="1"/>
      <c r="AC1299" s="1" t="str">
        <f t="shared" si="62"/>
        <v xml:space="preserve"> </v>
      </c>
    </row>
    <row r="1300" spans="1:29" x14ac:dyDescent="0.3">
      <c r="A1300" s="1" t="s">
        <v>2590</v>
      </c>
      <c r="B1300">
        <v>1</v>
      </c>
      <c r="C1300">
        <v>16.989999999999998</v>
      </c>
      <c r="D1300">
        <v>16.989999999999998</v>
      </c>
      <c r="E1300" s="1" t="s">
        <v>775</v>
      </c>
      <c r="F1300" s="1" t="s">
        <v>40</v>
      </c>
      <c r="G1300">
        <v>20</v>
      </c>
      <c r="H1300" s="1" t="s">
        <v>58</v>
      </c>
      <c r="I1300" s="1" t="s">
        <v>59</v>
      </c>
      <c r="J1300">
        <v>5</v>
      </c>
      <c r="K1300">
        <v>16.989999999999998</v>
      </c>
      <c r="L1300" s="1" t="s">
        <v>60</v>
      </c>
      <c r="M1300" s="1" t="s">
        <v>61</v>
      </c>
      <c r="N1300" s="1" t="s">
        <v>62</v>
      </c>
      <c r="O1300" s="1" t="s">
        <v>31</v>
      </c>
      <c r="P1300" s="2">
        <v>45726</v>
      </c>
      <c r="Q1300" s="1" t="s">
        <v>298</v>
      </c>
      <c r="R1300" s="1" t="s">
        <v>2591</v>
      </c>
      <c r="S1300" s="1" t="s">
        <v>54</v>
      </c>
      <c r="T1300" s="1" t="s">
        <v>35</v>
      </c>
      <c r="U1300" s="1" t="s">
        <v>36</v>
      </c>
      <c r="V1300" s="1" t="s">
        <v>67</v>
      </c>
      <c r="W1300">
        <v>3</v>
      </c>
      <c r="X1300" s="1" t="str">
        <f t="shared" si="60"/>
        <v>sofia.torres35@mail.com</v>
      </c>
      <c r="Y1300" s="1" t="str">
        <f>INDEX(V:V,MATCH(orders_desnormalizado_prueba3[[#This Row],[acquisition_channel]],U:U,0))</f>
        <v>Bodega Propia CO - envio 2-3 dias</v>
      </c>
      <c r="Z1300" s="1" t="str">
        <f>INDEX(T:T,MATCH(orders_desnormalizado_prueba3[[#This Row],[shipping_cost]],W:W,0))</f>
        <v>Colombia</v>
      </c>
      <c r="AA1300" s="1" t="str">
        <f t="shared" si="61"/>
        <v>Bucaramanga</v>
      </c>
      <c r="AB1300" s="1"/>
      <c r="AC1300" s="1" t="str">
        <f t="shared" si="62"/>
        <v xml:space="preserve"> </v>
      </c>
    </row>
    <row r="1301" spans="1:29" x14ac:dyDescent="0.3">
      <c r="A1301" s="1" t="s">
        <v>2592</v>
      </c>
      <c r="B1301">
        <v>3</v>
      </c>
      <c r="C1301">
        <v>16.989999999999998</v>
      </c>
      <c r="D1301">
        <v>40.07</v>
      </c>
      <c r="E1301" s="1" t="s">
        <v>325</v>
      </c>
      <c r="F1301" s="1" t="s">
        <v>40</v>
      </c>
      <c r="G1301">
        <v>19</v>
      </c>
      <c r="H1301" s="1" t="s">
        <v>41</v>
      </c>
      <c r="I1301" s="1" t="s">
        <v>59</v>
      </c>
      <c r="J1301">
        <v>5</v>
      </c>
      <c r="K1301">
        <v>16.989999999999998</v>
      </c>
      <c r="L1301" s="1" t="s">
        <v>60</v>
      </c>
      <c r="M1301" s="1" t="s">
        <v>61</v>
      </c>
      <c r="N1301" s="1" t="s">
        <v>62</v>
      </c>
      <c r="O1301" s="1" t="s">
        <v>31</v>
      </c>
      <c r="P1301" s="2">
        <v>45726</v>
      </c>
      <c r="Q1301" s="1" t="s">
        <v>972</v>
      </c>
      <c r="R1301" s="1" t="s">
        <v>973</v>
      </c>
      <c r="S1301" s="1" t="s">
        <v>65</v>
      </c>
      <c r="T1301" s="1" t="s">
        <v>35</v>
      </c>
      <c r="U1301" s="1" t="s">
        <v>82</v>
      </c>
      <c r="V1301" s="1" t="s">
        <v>67</v>
      </c>
      <c r="W1301">
        <v>3</v>
      </c>
      <c r="X1301" s="1" t="str">
        <f t="shared" si="60"/>
        <v>juan.rodriguez171@mail.com</v>
      </c>
      <c r="Y1301" s="1" t="str">
        <f>INDEX(V:V,MATCH(orders_desnormalizado_prueba3[[#This Row],[acquisition_channel]],U:U,0))</f>
        <v>Bodega Propia CO - envio 2-3 dias</v>
      </c>
      <c r="Z1301" s="1" t="str">
        <f>INDEX(T:T,MATCH(orders_desnormalizado_prueba3[[#This Row],[shipping_cost]],W:W,0))</f>
        <v>Colombia</v>
      </c>
      <c r="AA1301" s="1" t="str">
        <f t="shared" si="61"/>
        <v>Bogota</v>
      </c>
      <c r="AB1301" s="1"/>
      <c r="AC1301" s="1" t="str">
        <f t="shared" si="62"/>
        <v xml:space="preserve"> </v>
      </c>
    </row>
    <row r="1302" spans="1:29" x14ac:dyDescent="0.3">
      <c r="A1302" s="1" t="s">
        <v>2593</v>
      </c>
      <c r="B1302">
        <v>1</v>
      </c>
      <c r="C1302">
        <v>30.99</v>
      </c>
      <c r="D1302">
        <v>30.99</v>
      </c>
      <c r="E1302" s="1" t="s">
        <v>1881</v>
      </c>
      <c r="F1302" s="1" t="s">
        <v>25</v>
      </c>
      <c r="G1302">
        <v>3</v>
      </c>
      <c r="H1302" s="1" t="s">
        <v>41</v>
      </c>
      <c r="I1302" s="1" t="s">
        <v>42</v>
      </c>
      <c r="J1302">
        <v>10.5</v>
      </c>
      <c r="K1302">
        <v>30.99</v>
      </c>
      <c r="L1302" s="1" t="s">
        <v>28</v>
      </c>
      <c r="M1302" s="1" t="s">
        <v>43</v>
      </c>
      <c r="N1302" s="1" t="s">
        <v>44</v>
      </c>
      <c r="O1302" s="1" t="s">
        <v>31</v>
      </c>
      <c r="P1302" s="2">
        <v>45823</v>
      </c>
      <c r="Q1302" s="1" t="s">
        <v>2452</v>
      </c>
      <c r="R1302" s="1" t="s">
        <v>2453</v>
      </c>
      <c r="S1302" s="1" t="s">
        <v>34</v>
      </c>
      <c r="T1302" s="1" t="s">
        <v>35</v>
      </c>
      <c r="U1302" s="1" t="s">
        <v>66</v>
      </c>
      <c r="V1302" s="1" t="s">
        <v>37</v>
      </c>
      <c r="W1302">
        <v>2</v>
      </c>
      <c r="X1302" s="1" t="str">
        <f t="shared" si="60"/>
        <v>manuela.hernandez136@mail.com</v>
      </c>
      <c r="Y1302" s="1" t="str">
        <f>INDEX(V:V,MATCH(orders_desnormalizado_prueba3[[#This Row],[acquisition_channel]],U:U,0))</f>
        <v>AliDropship CN - envio 15-20 dias</v>
      </c>
      <c r="Z1302" s="1" t="str">
        <f>INDEX(T:T,MATCH(orders_desnormalizado_prueba3[[#This Row],[shipping_cost]],W:W,0))</f>
        <v>Colombia</v>
      </c>
      <c r="AA1302" s="1" t="str">
        <f t="shared" si="61"/>
        <v>Barranquilla</v>
      </c>
      <c r="AB1302" s="1"/>
      <c r="AC1302" s="1" t="str">
        <f t="shared" si="62"/>
        <v xml:space="preserve"> </v>
      </c>
    </row>
    <row r="1303" spans="1:29" x14ac:dyDescent="0.3">
      <c r="A1303" s="1" t="s">
        <v>2594</v>
      </c>
      <c r="B1303">
        <v>1</v>
      </c>
      <c r="C1303">
        <v>30.99</v>
      </c>
      <c r="D1303">
        <v>30.99</v>
      </c>
      <c r="E1303" s="1" t="s">
        <v>2595</v>
      </c>
      <c r="F1303" s="1" t="s">
        <v>70</v>
      </c>
      <c r="G1303">
        <v>0</v>
      </c>
      <c r="H1303" s="1" t="s">
        <v>26</v>
      </c>
      <c r="I1303" s="1" t="s">
        <v>42</v>
      </c>
      <c r="J1303">
        <v>10.5</v>
      </c>
      <c r="K1303">
        <v>30.99</v>
      </c>
      <c r="L1303" s="1" t="s">
        <v>28</v>
      </c>
      <c r="M1303" s="1" t="s">
        <v>43</v>
      </c>
      <c r="N1303" s="1" t="s">
        <v>44</v>
      </c>
      <c r="O1303" s="1" t="s">
        <v>31</v>
      </c>
      <c r="P1303" s="2">
        <v>45823</v>
      </c>
      <c r="Q1303" s="1" t="s">
        <v>1140</v>
      </c>
      <c r="R1303" s="1" t="s">
        <v>1799</v>
      </c>
      <c r="S1303" s="1" t="s">
        <v>65</v>
      </c>
      <c r="T1303" s="1" t="s">
        <v>35</v>
      </c>
      <c r="U1303" s="1" t="s">
        <v>48</v>
      </c>
      <c r="V1303" s="1" t="s">
        <v>37</v>
      </c>
      <c r="W1303">
        <v>2</v>
      </c>
      <c r="X1303" s="1" t="str">
        <f t="shared" si="60"/>
        <v>laura.castro41@mail.com</v>
      </c>
      <c r="Y1303" s="1" t="str">
        <f>INDEX(V:V,MATCH(orders_desnormalizado_prueba3[[#This Row],[acquisition_channel]],U:U,0))</f>
        <v>Bodega Propia CO - envio 2-3 dias</v>
      </c>
      <c r="Z1303" s="1" t="str">
        <f>INDEX(T:T,MATCH(orders_desnormalizado_prueba3[[#This Row],[shipping_cost]],W:W,0))</f>
        <v>Colombia</v>
      </c>
      <c r="AA1303" s="1" t="str">
        <f t="shared" si="61"/>
        <v>Cartagena</v>
      </c>
      <c r="AB1303" s="1"/>
      <c r="AC1303" s="1" t="str">
        <f t="shared" si="62"/>
        <v xml:space="preserve"> </v>
      </c>
    </row>
    <row r="1304" spans="1:29" x14ac:dyDescent="0.3">
      <c r="A1304" s="1" t="s">
        <v>2596</v>
      </c>
      <c r="B1304">
        <v>1</v>
      </c>
      <c r="C1304">
        <v>21.99</v>
      </c>
      <c r="D1304">
        <v>21.99</v>
      </c>
      <c r="E1304" s="1" t="s">
        <v>79</v>
      </c>
      <c r="F1304" s="1" t="s">
        <v>40</v>
      </c>
      <c r="G1304">
        <v>3</v>
      </c>
      <c r="H1304" s="1" t="s">
        <v>58</v>
      </c>
      <c r="I1304" s="1" t="s">
        <v>27</v>
      </c>
      <c r="J1304">
        <v>7</v>
      </c>
      <c r="K1304">
        <v>21.99</v>
      </c>
      <c r="L1304" s="1" t="s">
        <v>28</v>
      </c>
      <c r="M1304" s="1" t="s">
        <v>29</v>
      </c>
      <c r="N1304" s="1" t="s">
        <v>30</v>
      </c>
      <c r="O1304" s="1" t="s">
        <v>31</v>
      </c>
      <c r="P1304" s="2">
        <v>45778</v>
      </c>
      <c r="Q1304" s="1" t="s">
        <v>1639</v>
      </c>
      <c r="R1304" s="1" t="s">
        <v>1640</v>
      </c>
      <c r="S1304" s="1" t="s">
        <v>105</v>
      </c>
      <c r="T1304" s="1" t="s">
        <v>35</v>
      </c>
      <c r="U1304" s="1" t="s">
        <v>36</v>
      </c>
      <c r="V1304" s="1" t="s">
        <v>37</v>
      </c>
      <c r="W1304">
        <v>2</v>
      </c>
      <c r="X1304" s="1" t="str">
        <f t="shared" si="60"/>
        <v>miguel.perez86@mail.com</v>
      </c>
      <c r="Y1304" s="1" t="str">
        <f>INDEX(V:V,MATCH(orders_desnormalizado_prueba3[[#This Row],[acquisition_channel]],U:U,0))</f>
        <v>Bodega Propia CO - envio 2-3 dias</v>
      </c>
      <c r="Z1304" s="1" t="str">
        <f>INDEX(T:T,MATCH(orders_desnormalizado_prueba3[[#This Row],[shipping_cost]],W:W,0))</f>
        <v>Colombia</v>
      </c>
      <c r="AA1304" s="1" t="str">
        <f t="shared" si="61"/>
        <v>Barranquilla</v>
      </c>
      <c r="AB1304" s="1"/>
      <c r="AC1304" s="1" t="str">
        <f t="shared" si="62"/>
        <v xml:space="preserve"> </v>
      </c>
    </row>
    <row r="1305" spans="1:29" x14ac:dyDescent="0.3">
      <c r="A1305" s="1" t="s">
        <v>2597</v>
      </c>
      <c r="B1305">
        <v>1</v>
      </c>
      <c r="C1305">
        <v>16.989999999999998</v>
      </c>
      <c r="D1305">
        <v>16.989999999999998</v>
      </c>
      <c r="E1305" s="1" t="s">
        <v>1156</v>
      </c>
      <c r="F1305" s="1" t="s">
        <v>40</v>
      </c>
      <c r="G1305">
        <v>20</v>
      </c>
      <c r="H1305" s="1" t="s">
        <v>41</v>
      </c>
      <c r="I1305" s="1" t="s">
        <v>59</v>
      </c>
      <c r="J1305">
        <v>5</v>
      </c>
      <c r="K1305">
        <v>16.989999999999998</v>
      </c>
      <c r="L1305" s="1" t="s">
        <v>60</v>
      </c>
      <c r="M1305" s="1" t="s">
        <v>61</v>
      </c>
      <c r="N1305" s="1" t="s">
        <v>62</v>
      </c>
      <c r="O1305" s="1" t="s">
        <v>31</v>
      </c>
      <c r="P1305" s="2">
        <v>45726</v>
      </c>
      <c r="Q1305" s="1" t="s">
        <v>409</v>
      </c>
      <c r="R1305" s="1" t="s">
        <v>1583</v>
      </c>
      <c r="S1305" s="1" t="s">
        <v>105</v>
      </c>
      <c r="T1305" s="1" t="s">
        <v>35</v>
      </c>
      <c r="U1305" s="1" t="s">
        <v>48</v>
      </c>
      <c r="V1305" s="1" t="s">
        <v>67</v>
      </c>
      <c r="W1305">
        <v>3</v>
      </c>
      <c r="X1305" s="1" t="str">
        <f t="shared" si="60"/>
        <v>valentina.ramirez22@mail.com</v>
      </c>
      <c r="Y1305" s="1" t="str">
        <f>INDEX(V:V,MATCH(orders_desnormalizado_prueba3[[#This Row],[acquisition_channel]],U:U,0))</f>
        <v>Bodega Propia CO - envio 2-3 dias</v>
      </c>
      <c r="Z1305" s="1" t="str">
        <f>INDEX(T:T,MATCH(orders_desnormalizado_prueba3[[#This Row],[shipping_cost]],W:W,0))</f>
        <v>Colombia</v>
      </c>
      <c r="AA1305" s="1" t="str">
        <f t="shared" si="61"/>
        <v>Bucaramanga</v>
      </c>
      <c r="AB1305" s="1"/>
      <c r="AC1305" s="1" t="str">
        <f t="shared" si="62"/>
        <v xml:space="preserve"> </v>
      </c>
    </row>
    <row r="1306" spans="1:29" x14ac:dyDescent="0.3">
      <c r="A1306" s="1" t="s">
        <v>2598</v>
      </c>
      <c r="B1306">
        <v>1</v>
      </c>
      <c r="C1306">
        <v>21.99</v>
      </c>
      <c r="D1306">
        <v>21.99</v>
      </c>
      <c r="E1306" s="1" t="s">
        <v>1461</v>
      </c>
      <c r="F1306" s="1" t="s">
        <v>40</v>
      </c>
      <c r="G1306">
        <v>2</v>
      </c>
      <c r="H1306" s="1" t="s">
        <v>41</v>
      </c>
      <c r="I1306" s="1" t="s">
        <v>27</v>
      </c>
      <c r="J1306">
        <v>7</v>
      </c>
      <c r="K1306">
        <v>21.99</v>
      </c>
      <c r="L1306" s="1" t="s">
        <v>28</v>
      </c>
      <c r="M1306" s="1" t="s">
        <v>29</v>
      </c>
      <c r="N1306" s="1" t="s">
        <v>30</v>
      </c>
      <c r="O1306" s="1" t="s">
        <v>31</v>
      </c>
      <c r="P1306" s="2">
        <v>45778</v>
      </c>
      <c r="Q1306" s="1" t="s">
        <v>828</v>
      </c>
      <c r="R1306" s="1" t="s">
        <v>829</v>
      </c>
      <c r="S1306" s="1" t="s">
        <v>65</v>
      </c>
      <c r="T1306" s="1" t="s">
        <v>35</v>
      </c>
      <c r="U1306" s="1" t="s">
        <v>48</v>
      </c>
      <c r="V1306" s="1" t="s">
        <v>37</v>
      </c>
      <c r="W1306">
        <v>2</v>
      </c>
      <c r="X1306" s="1" t="str">
        <f t="shared" si="60"/>
        <v>catalina.martinez83@mail.com</v>
      </c>
      <c r="Y1306" s="1" t="str">
        <f>INDEX(V:V,MATCH(orders_desnormalizado_prueba3[[#This Row],[acquisition_channel]],U:U,0))</f>
        <v>Bodega Propia CO - envio 2-3 dias</v>
      </c>
      <c r="Z1306" s="1" t="str">
        <f>INDEX(T:T,MATCH(orders_desnormalizado_prueba3[[#This Row],[shipping_cost]],W:W,0))</f>
        <v>Colombia</v>
      </c>
      <c r="AA1306" s="1" t="str">
        <f t="shared" si="61"/>
        <v>Medellin</v>
      </c>
      <c r="AB1306" s="1"/>
      <c r="AC1306" s="1" t="str">
        <f t="shared" si="62"/>
        <v xml:space="preserve"> </v>
      </c>
    </row>
    <row r="1307" spans="1:29" x14ac:dyDescent="0.3">
      <c r="A1307" s="1" t="s">
        <v>2599</v>
      </c>
      <c r="B1307">
        <v>1</v>
      </c>
      <c r="C1307">
        <v>16.989999999999998</v>
      </c>
      <c r="D1307">
        <v>16.989999999999998</v>
      </c>
      <c r="E1307" s="1" t="s">
        <v>2218</v>
      </c>
      <c r="F1307" s="1" t="s">
        <v>40</v>
      </c>
      <c r="G1307">
        <v>16</v>
      </c>
      <c r="H1307" s="1" t="s">
        <v>58</v>
      </c>
      <c r="I1307" s="1" t="s">
        <v>59</v>
      </c>
      <c r="J1307">
        <v>5</v>
      </c>
      <c r="K1307">
        <v>16.989999999999998</v>
      </c>
      <c r="L1307" s="1" t="s">
        <v>60</v>
      </c>
      <c r="M1307" s="1" t="s">
        <v>61</v>
      </c>
      <c r="N1307" s="1" t="s">
        <v>62</v>
      </c>
      <c r="O1307" s="1" t="s">
        <v>31</v>
      </c>
      <c r="P1307" s="2">
        <v>45726</v>
      </c>
      <c r="Q1307" s="1" t="s">
        <v>1024</v>
      </c>
      <c r="R1307" s="1" t="s">
        <v>1025</v>
      </c>
      <c r="S1307" s="1" t="s">
        <v>34</v>
      </c>
      <c r="T1307" s="1" t="s">
        <v>35</v>
      </c>
      <c r="U1307" s="1" t="s">
        <v>66</v>
      </c>
      <c r="V1307" s="1" t="s">
        <v>67</v>
      </c>
      <c r="W1307">
        <v>3</v>
      </c>
      <c r="X1307" s="1" t="str">
        <f t="shared" si="60"/>
        <v>camila.gomez147@mail.com</v>
      </c>
      <c r="Y1307" s="1" t="str">
        <f>INDEX(V:V,MATCH(orders_desnormalizado_prueba3[[#This Row],[acquisition_channel]],U:U,0))</f>
        <v>AliDropship CN - envio 15-20 dias</v>
      </c>
      <c r="Z1307" s="1" t="str">
        <f>INDEX(T:T,MATCH(orders_desnormalizado_prueba3[[#This Row],[shipping_cost]],W:W,0))</f>
        <v>Colombia</v>
      </c>
      <c r="AA1307" s="1" t="str">
        <f t="shared" si="61"/>
        <v>Bogota</v>
      </c>
      <c r="AB1307" s="1"/>
      <c r="AC1307" s="1" t="str">
        <f t="shared" si="62"/>
        <v xml:space="preserve"> </v>
      </c>
    </row>
    <row r="1308" spans="1:29" x14ac:dyDescent="0.3">
      <c r="A1308" s="1" t="s">
        <v>2600</v>
      </c>
      <c r="B1308">
        <v>3</v>
      </c>
      <c r="C1308">
        <v>34.99</v>
      </c>
      <c r="D1308">
        <v>83.92</v>
      </c>
      <c r="E1308" s="1" t="s">
        <v>24</v>
      </c>
      <c r="F1308" s="1" t="s">
        <v>40</v>
      </c>
      <c r="G1308">
        <v>5</v>
      </c>
      <c r="H1308" s="1" t="s">
        <v>58</v>
      </c>
      <c r="I1308" s="1" t="s">
        <v>85</v>
      </c>
      <c r="J1308">
        <v>12.5</v>
      </c>
      <c r="K1308">
        <v>34.99</v>
      </c>
      <c r="L1308" s="1" t="s">
        <v>60</v>
      </c>
      <c r="M1308" s="1" t="s">
        <v>29</v>
      </c>
      <c r="N1308" s="1" t="s">
        <v>30</v>
      </c>
      <c r="O1308" s="1" t="s">
        <v>31</v>
      </c>
      <c r="P1308" s="2">
        <v>45778</v>
      </c>
      <c r="Q1308" s="1" t="s">
        <v>1253</v>
      </c>
      <c r="R1308" s="1" t="s">
        <v>1875</v>
      </c>
      <c r="S1308" s="1" t="s">
        <v>105</v>
      </c>
      <c r="T1308" s="1" t="s">
        <v>35</v>
      </c>
      <c r="U1308" s="1" t="s">
        <v>66</v>
      </c>
      <c r="V1308" s="1" t="s">
        <v>89</v>
      </c>
      <c r="W1308">
        <v>2.4</v>
      </c>
      <c r="X1308" s="1" t="str">
        <f t="shared" si="60"/>
        <v>sofia.ortiz121@mail.com</v>
      </c>
      <c r="Y1308" s="1" t="str">
        <f>INDEX(V:V,MATCH(orders_desnormalizado_prueba3[[#This Row],[acquisition_channel]],U:U,0))</f>
        <v>AliDropship CN - envio 15-20 dias</v>
      </c>
      <c r="Z1308" s="1" t="str">
        <f>INDEX(T:T,MATCH(orders_desnormalizado_prueba3[[#This Row],[shipping_cost]],W:W,0))</f>
        <v>Colombia</v>
      </c>
      <c r="AA1308" s="1" t="str">
        <f t="shared" si="61"/>
        <v>Cali</v>
      </c>
      <c r="AB1308" s="1"/>
      <c r="AC1308" s="1" t="str">
        <f t="shared" si="62"/>
        <v xml:space="preserve"> </v>
      </c>
    </row>
    <row r="1309" spans="1:29" x14ac:dyDescent="0.3">
      <c r="A1309" s="1" t="s">
        <v>2601</v>
      </c>
      <c r="B1309">
        <v>1</v>
      </c>
      <c r="C1309">
        <v>30.99</v>
      </c>
      <c r="D1309">
        <v>30.99</v>
      </c>
      <c r="E1309" s="1" t="s">
        <v>744</v>
      </c>
      <c r="F1309" s="1" t="s">
        <v>40</v>
      </c>
      <c r="G1309">
        <v>2</v>
      </c>
      <c r="H1309" s="1" t="s">
        <v>26</v>
      </c>
      <c r="I1309" s="1" t="s">
        <v>42</v>
      </c>
      <c r="J1309">
        <v>10.5</v>
      </c>
      <c r="K1309">
        <v>30.99</v>
      </c>
      <c r="L1309" s="1" t="s">
        <v>28</v>
      </c>
      <c r="M1309" s="1" t="s">
        <v>43</v>
      </c>
      <c r="N1309" s="1" t="s">
        <v>44</v>
      </c>
      <c r="O1309" s="1" t="s">
        <v>31</v>
      </c>
      <c r="P1309" s="2">
        <v>45823</v>
      </c>
      <c r="Q1309" s="1" t="s">
        <v>2301</v>
      </c>
      <c r="R1309" s="1" t="s">
        <v>2302</v>
      </c>
      <c r="S1309" s="1" t="s">
        <v>54</v>
      </c>
      <c r="T1309" s="1" t="s">
        <v>35</v>
      </c>
      <c r="U1309" s="1" t="s">
        <v>36</v>
      </c>
      <c r="V1309" s="1" t="s">
        <v>37</v>
      </c>
      <c r="W1309">
        <v>2</v>
      </c>
      <c r="X1309" s="1" t="str">
        <f t="shared" si="60"/>
        <v>nicolas.hernandez157@mail.com</v>
      </c>
      <c r="Y1309" s="1" t="str">
        <f>INDEX(V:V,MATCH(orders_desnormalizado_prueba3[[#This Row],[acquisition_channel]],U:U,0))</f>
        <v>Bodega Propia CO - envio 2-3 dias</v>
      </c>
      <c r="Z1309" s="1" t="str">
        <f>INDEX(T:T,MATCH(orders_desnormalizado_prueba3[[#This Row],[shipping_cost]],W:W,0))</f>
        <v>Colombia</v>
      </c>
      <c r="AA1309" s="1" t="str">
        <f t="shared" si="61"/>
        <v>Medellin</v>
      </c>
      <c r="AB1309" s="1"/>
      <c r="AC1309" s="1" t="str">
        <f t="shared" si="62"/>
        <v xml:space="preserve"> </v>
      </c>
    </row>
    <row r="1310" spans="1:29" x14ac:dyDescent="0.3">
      <c r="A1310" s="1" t="s">
        <v>2602</v>
      </c>
      <c r="B1310">
        <v>1</v>
      </c>
      <c r="C1310">
        <v>16.989999999999998</v>
      </c>
      <c r="D1310">
        <v>16.989999999999998</v>
      </c>
      <c r="E1310" s="1" t="s">
        <v>2164</v>
      </c>
      <c r="F1310" s="1" t="s">
        <v>188</v>
      </c>
      <c r="G1310">
        <v>0</v>
      </c>
      <c r="H1310" s="1" t="s">
        <v>41</v>
      </c>
      <c r="I1310" s="1" t="s">
        <v>59</v>
      </c>
      <c r="J1310">
        <v>5</v>
      </c>
      <c r="K1310">
        <v>16.989999999999998</v>
      </c>
      <c r="L1310" s="1" t="s">
        <v>60</v>
      </c>
      <c r="M1310" s="1" t="s">
        <v>61</v>
      </c>
      <c r="N1310" s="1" t="s">
        <v>62</v>
      </c>
      <c r="O1310" s="1" t="s">
        <v>31</v>
      </c>
      <c r="P1310" s="2">
        <v>45726</v>
      </c>
      <c r="Q1310" s="1" t="s">
        <v>182</v>
      </c>
      <c r="R1310" s="1" t="s">
        <v>1579</v>
      </c>
      <c r="S1310" s="1" t="s">
        <v>105</v>
      </c>
      <c r="T1310" s="1" t="s">
        <v>35</v>
      </c>
      <c r="U1310" s="1" t="s">
        <v>66</v>
      </c>
      <c r="V1310" s="1" t="s">
        <v>67</v>
      </c>
      <c r="W1310">
        <v>3</v>
      </c>
      <c r="X1310" s="1" t="str">
        <f t="shared" si="60"/>
        <v>daniela.gomez75@mail.com</v>
      </c>
      <c r="Y1310" s="1" t="str">
        <f>INDEX(V:V,MATCH(orders_desnormalizado_prueba3[[#This Row],[acquisition_channel]],U:U,0))</f>
        <v>AliDropship CN - envio 15-20 dias</v>
      </c>
      <c r="Z1310" s="1" t="str">
        <f>INDEX(T:T,MATCH(orders_desnormalizado_prueba3[[#This Row],[shipping_cost]],W:W,0))</f>
        <v>Colombia</v>
      </c>
      <c r="AA1310" s="1" t="str">
        <f t="shared" si="61"/>
        <v>Cartagena</v>
      </c>
      <c r="AB1310" s="1"/>
      <c r="AC1310" s="1" t="str">
        <f t="shared" si="62"/>
        <v xml:space="preserve"> </v>
      </c>
    </row>
    <row r="1311" spans="1:29" x14ac:dyDescent="0.3">
      <c r="A1311" s="1" t="s">
        <v>2603</v>
      </c>
      <c r="B1311">
        <v>1</v>
      </c>
      <c r="C1311">
        <v>18.989999999999998</v>
      </c>
      <c r="D1311">
        <v>18.989999999999998</v>
      </c>
      <c r="E1311" s="1" t="s">
        <v>1397</v>
      </c>
      <c r="F1311" s="1" t="s">
        <v>40</v>
      </c>
      <c r="G1311">
        <v>11</v>
      </c>
      <c r="H1311" s="1" t="s">
        <v>26</v>
      </c>
      <c r="I1311" s="1" t="s">
        <v>97</v>
      </c>
      <c r="J1311">
        <v>6</v>
      </c>
      <c r="K1311">
        <v>18.989999999999998</v>
      </c>
      <c r="L1311" s="1" t="s">
        <v>60</v>
      </c>
      <c r="M1311" s="1" t="s">
        <v>43</v>
      </c>
      <c r="N1311" s="1" t="s">
        <v>44</v>
      </c>
      <c r="O1311" s="1" t="s">
        <v>31</v>
      </c>
      <c r="P1311" s="2">
        <v>45823</v>
      </c>
      <c r="Q1311" s="1" t="s">
        <v>836</v>
      </c>
      <c r="R1311" s="1" t="s">
        <v>1847</v>
      </c>
      <c r="S1311" s="1" t="s">
        <v>105</v>
      </c>
      <c r="T1311" s="1" t="s">
        <v>35</v>
      </c>
      <c r="U1311" s="1" t="s">
        <v>66</v>
      </c>
      <c r="V1311" s="1" t="s">
        <v>100</v>
      </c>
      <c r="W1311">
        <v>3.2</v>
      </c>
      <c r="X1311" s="1" t="str">
        <f t="shared" si="60"/>
        <v>esteban.martinez139@mail.com</v>
      </c>
      <c r="Y1311" s="1" t="str">
        <f>INDEX(V:V,MATCH(orders_desnormalizado_prueba3[[#This Row],[acquisition_channel]],U:U,0))</f>
        <v>AliDropship CN - envio 15-20 dias</v>
      </c>
      <c r="Z1311" s="1" t="str">
        <f>INDEX(T:T,MATCH(orders_desnormalizado_prueba3[[#This Row],[shipping_cost]],W:W,0))</f>
        <v>Colombia</v>
      </c>
      <c r="AA1311" s="1" t="str">
        <f t="shared" si="61"/>
        <v>Cali</v>
      </c>
      <c r="AB1311" s="1"/>
      <c r="AC1311" s="1" t="str">
        <f t="shared" si="62"/>
        <v xml:space="preserve"> </v>
      </c>
    </row>
    <row r="1312" spans="1:29" x14ac:dyDescent="0.3">
      <c r="A1312" s="1" t="s">
        <v>2604</v>
      </c>
      <c r="B1312">
        <v>1</v>
      </c>
      <c r="C1312">
        <v>18.989999999999998</v>
      </c>
      <c r="D1312">
        <v>18.989999999999998</v>
      </c>
      <c r="E1312" s="1" t="s">
        <v>577</v>
      </c>
      <c r="F1312" s="1" t="s">
        <v>40</v>
      </c>
      <c r="G1312">
        <v>12</v>
      </c>
      <c r="H1312" s="1" t="s">
        <v>96</v>
      </c>
      <c r="I1312" s="1" t="s">
        <v>97</v>
      </c>
      <c r="J1312">
        <v>6</v>
      </c>
      <c r="K1312">
        <v>18.989999999999998</v>
      </c>
      <c r="L1312" s="1" t="s">
        <v>60</v>
      </c>
      <c r="M1312" s="1" t="s">
        <v>43</v>
      </c>
      <c r="N1312" s="1" t="s">
        <v>44</v>
      </c>
      <c r="O1312" s="1" t="s">
        <v>31</v>
      </c>
      <c r="P1312" s="2">
        <v>45823</v>
      </c>
      <c r="Q1312" s="1" t="s">
        <v>1137</v>
      </c>
      <c r="R1312" s="1" t="s">
        <v>2255</v>
      </c>
      <c r="S1312" s="1" t="s">
        <v>65</v>
      </c>
      <c r="T1312" s="1" t="s">
        <v>35</v>
      </c>
      <c r="U1312" s="1" t="s">
        <v>36</v>
      </c>
      <c r="V1312" s="1" t="s">
        <v>100</v>
      </c>
      <c r="W1312">
        <v>3.2</v>
      </c>
      <c r="X1312" s="1" t="str">
        <f t="shared" si="60"/>
        <v>santiago.ortiz166@mail.com</v>
      </c>
      <c r="Y1312" s="1" t="str">
        <f>INDEX(V:V,MATCH(orders_desnormalizado_prueba3[[#This Row],[acquisition_channel]],U:U,0))</f>
        <v>Bodega Propia CO - envio 2-3 dias</v>
      </c>
      <c r="Z1312" s="1" t="str">
        <f>INDEX(T:T,MATCH(orders_desnormalizado_prueba3[[#This Row],[shipping_cost]],W:W,0))</f>
        <v>Colombia</v>
      </c>
      <c r="AA1312" s="1" t="str">
        <f t="shared" si="61"/>
        <v>Cartagena</v>
      </c>
      <c r="AB1312" s="1"/>
      <c r="AC1312" s="1" t="str">
        <f t="shared" si="62"/>
        <v xml:space="preserve"> </v>
      </c>
    </row>
    <row r="1313" spans="1:29" x14ac:dyDescent="0.3">
      <c r="A1313" s="1" t="s">
        <v>2605</v>
      </c>
      <c r="B1313">
        <v>1</v>
      </c>
      <c r="C1313">
        <v>34.99</v>
      </c>
      <c r="D1313">
        <v>34.99</v>
      </c>
      <c r="E1313" s="1" t="s">
        <v>1886</v>
      </c>
      <c r="F1313" s="1" t="s">
        <v>51</v>
      </c>
      <c r="G1313">
        <v>0</v>
      </c>
      <c r="H1313" s="1" t="s">
        <v>26</v>
      </c>
      <c r="I1313" s="1" t="s">
        <v>85</v>
      </c>
      <c r="J1313">
        <v>12.5</v>
      </c>
      <c r="K1313">
        <v>34.99</v>
      </c>
      <c r="L1313" s="1" t="s">
        <v>60</v>
      </c>
      <c r="M1313" s="1" t="s">
        <v>29</v>
      </c>
      <c r="N1313" s="1" t="s">
        <v>30</v>
      </c>
      <c r="O1313" s="1" t="s">
        <v>31</v>
      </c>
      <c r="P1313" s="2">
        <v>45778</v>
      </c>
      <c r="Q1313" s="1" t="s">
        <v>779</v>
      </c>
      <c r="R1313" s="1" t="s">
        <v>2289</v>
      </c>
      <c r="S1313" s="1" t="s">
        <v>65</v>
      </c>
      <c r="T1313" s="1" t="s">
        <v>35</v>
      </c>
      <c r="U1313" s="1" t="s">
        <v>55</v>
      </c>
      <c r="V1313" s="1" t="s">
        <v>89</v>
      </c>
      <c r="W1313">
        <v>2.4</v>
      </c>
      <c r="X1313" s="1" t="str">
        <f t="shared" si="60"/>
        <v>alejandro.lopez109@mail.com</v>
      </c>
      <c r="Y1313" s="1" t="str">
        <f>INDEX(V:V,MATCH(orders_desnormalizado_prueba3[[#This Row],[acquisition_channel]],U:U,0))</f>
        <v>Bodega Propia CO - envio 2-3 dias</v>
      </c>
      <c r="Z1313" s="1" t="str">
        <f>INDEX(T:T,MATCH(orders_desnormalizado_prueba3[[#This Row],[shipping_cost]],W:W,0))</f>
        <v>Colombia</v>
      </c>
      <c r="AA1313" s="1" t="str">
        <f t="shared" si="61"/>
        <v>Cartagena</v>
      </c>
      <c r="AB1313" s="1"/>
      <c r="AC1313" s="1" t="str">
        <f t="shared" si="62"/>
        <v xml:space="preserve"> </v>
      </c>
    </row>
    <row r="1314" spans="1:29" x14ac:dyDescent="0.3">
      <c r="A1314" s="1" t="s">
        <v>2606</v>
      </c>
      <c r="B1314">
        <v>1</v>
      </c>
      <c r="C1314">
        <v>30.99</v>
      </c>
      <c r="D1314">
        <v>30.99</v>
      </c>
      <c r="E1314" s="1" t="s">
        <v>2607</v>
      </c>
      <c r="F1314" s="1" t="s">
        <v>40</v>
      </c>
      <c r="G1314">
        <v>3</v>
      </c>
      <c r="H1314" s="1" t="s">
        <v>41</v>
      </c>
      <c r="I1314" s="1" t="s">
        <v>42</v>
      </c>
      <c r="J1314">
        <v>10.5</v>
      </c>
      <c r="K1314">
        <v>30.99</v>
      </c>
      <c r="L1314" s="1" t="s">
        <v>28</v>
      </c>
      <c r="M1314" s="1" t="s">
        <v>43</v>
      </c>
      <c r="N1314" s="1" t="s">
        <v>44</v>
      </c>
      <c r="O1314" s="1" t="s">
        <v>31</v>
      </c>
      <c r="P1314" s="2">
        <v>45823</v>
      </c>
      <c r="Q1314" s="1" t="s">
        <v>1940</v>
      </c>
      <c r="R1314" s="1" t="s">
        <v>1941</v>
      </c>
      <c r="S1314" s="1" t="s">
        <v>34</v>
      </c>
      <c r="T1314" s="1" t="s">
        <v>35</v>
      </c>
      <c r="U1314" s="1" t="s">
        <v>48</v>
      </c>
      <c r="V1314" s="1" t="s">
        <v>37</v>
      </c>
      <c r="W1314">
        <v>2</v>
      </c>
      <c r="X1314" s="1" t="str">
        <f t="shared" si="60"/>
        <v>carlos.ramirez199@mail.com</v>
      </c>
      <c r="Y1314" s="1" t="str">
        <f>INDEX(V:V,MATCH(orders_desnormalizado_prueba3[[#This Row],[acquisition_channel]],U:U,0))</f>
        <v>Bodega Propia CO - envio 2-3 dias</v>
      </c>
      <c r="Z1314" s="1" t="str">
        <f>INDEX(T:T,MATCH(orders_desnormalizado_prueba3[[#This Row],[shipping_cost]],W:W,0))</f>
        <v>Colombia</v>
      </c>
      <c r="AA1314" s="1" t="str">
        <f t="shared" si="61"/>
        <v>Barranquilla</v>
      </c>
      <c r="AB1314" s="1"/>
      <c r="AC1314" s="1" t="str">
        <f t="shared" si="62"/>
        <v xml:space="preserve"> </v>
      </c>
    </row>
  </sheetData>
  <phoneticPr fontId="1" type="noConversion"/>
  <hyperlinks>
    <hyperlink ref="AB2" r:id="rId1" xr:uid="{341F2C0B-C56F-4FC8-ACA9-432B6DA96DED}"/>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58460-E43A-43DC-8B17-A72887A1147E}">
  <dimension ref="A1"/>
  <sheetViews>
    <sheetView tabSelected="1" workbookViewId="0">
      <selection activeCell="K18" sqref="K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FB50EA-C159-46F2-98D8-2C0EB9624B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orders_desnormalizado_prueba</vt:lpstr>
      <vt:lpstr>data analysis </vt:lpstr>
      <vt:lpstr>sumif </vt:lpstr>
      <vt:lpstr>index match </vt:lpstr>
      <vt:lpstr>dashbaord creation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agarwal</dc:creator>
  <cp:lastModifiedBy>mudit agarwal</cp:lastModifiedBy>
  <dcterms:created xsi:type="dcterms:W3CDTF">2026-09-16T15:10:20Z</dcterms:created>
  <dcterms:modified xsi:type="dcterms:W3CDTF">2026-09-16T16:17:02Z</dcterms:modified>
</cp:coreProperties>
</file>