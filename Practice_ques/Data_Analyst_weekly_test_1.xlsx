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cc05475d4aa1723/Desktop/"/>
    </mc:Choice>
  </mc:AlternateContent>
  <xr:revisionPtr revIDLastSave="0" documentId="8_{6E9DE076-9016-4BBA-8D2D-344F856999CC}" xr6:coauthVersionLast="47" xr6:coauthVersionMax="47" xr10:uidLastSave="{00000000-0000-0000-0000-000000000000}"/>
  <bookViews>
    <workbookView xWindow="-108" yWindow="-108" windowWidth="23256" windowHeight="12456" tabRatio="500" activeTab="1" xr2:uid="{00000000-000D-0000-FFFF-FFFF00000000}"/>
  </bookViews>
  <sheets>
    <sheet name="Instructions" sheetId="1" r:id="rId1"/>
    <sheet name="Question Paper" sheetId="2" r:id="rId2"/>
    <sheet name="Employee_Master" sheetId="3" r:id="rId3"/>
    <sheet name="Sales_Data" sheetId="4" r:id="rId4"/>
    <sheet name="SQL_Tables" sheetId="5" r:id="rId5"/>
    <sheet name="marks awarding scheme " sheetId="6" r:id="rId6"/>
  </sheets>
  <definedNames>
    <definedName name="_xlnm._FilterDatabase" localSheetId="3" hidden="1">Sales_Data!$A$1:$J$31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I31" i="4" l="1"/>
  <c r="I30" i="4"/>
  <c r="I29" i="4"/>
  <c r="I28" i="4"/>
  <c r="I27" i="4"/>
  <c r="I26" i="4"/>
  <c r="I25" i="4"/>
  <c r="I24" i="4"/>
  <c r="B18" i="6" s="1"/>
  <c r="I23" i="4"/>
  <c r="I22" i="4"/>
  <c r="I21" i="4"/>
  <c r="I20" i="4"/>
  <c r="I19" i="4"/>
  <c r="A20" i="6" s="1"/>
  <c r="I18" i="4"/>
  <c r="I17" i="4"/>
  <c r="A19" i="6" s="1"/>
  <c r="I16" i="4"/>
  <c r="I15" i="4"/>
  <c r="I14" i="4"/>
  <c r="I13" i="4"/>
  <c r="I12" i="4"/>
  <c r="I11" i="4"/>
  <c r="B19" i="6" s="1"/>
  <c r="I10" i="4"/>
  <c r="I9" i="4"/>
  <c r="I8" i="4"/>
  <c r="A18" i="6" s="1"/>
  <c r="A21" i="6" s="1"/>
  <c r="I7" i="4"/>
  <c r="I6" i="4"/>
  <c r="I5" i="4"/>
  <c r="I4" i="4"/>
  <c r="I3" i="4"/>
  <c r="I2" i="4"/>
  <c r="G16" i="2"/>
  <c r="G15" i="2"/>
  <c r="G14" i="2"/>
  <c r="C19" i="6" l="1"/>
  <c r="C18" i="6"/>
  <c r="B20" i="6"/>
  <c r="B21" i="6" s="1"/>
  <c r="C20" i="6" l="1"/>
  <c r="C21" i="6" s="1"/>
</calcChain>
</file>

<file path=xl/sharedStrings.xml><?xml version="1.0" encoding="utf-8"?>
<sst xmlns="http://schemas.openxmlformats.org/spreadsheetml/2006/main" count="346" uniqueCount="191">
  <si>
    <t>Level: Easy to Intermediate   |   Time: 90 minutes   |   Total marks: 60</t>
  </si>
  <si>
    <t>How this exam works</t>
  </si>
  <si>
    <t>Part A has 7 Excel questions (35 marks). Part B has 5 SQL questions (25 marks). Every question is worth 5 marks.</t>
  </si>
  <si>
    <t>The Excel questions use the Sales_Data and Employee_Master sheets in this file. Do your Excel work directly on those sheets, or copy them into a fresh workbook.</t>
  </si>
  <si>
    <t>The SQL questions use the customers and orders tables shown on the SQL_Tables sheet. Write your queries in any SQL editor (MySQL, PostgreSQL or SQL Server all work, small syntax differences are fine).</t>
  </si>
  <si>
    <t>Questions marked Theory need a short written answer. Questions marked Practical need a formula, a result or a query. Many questions have both.</t>
  </si>
  <si>
    <t>Q No.</t>
  </si>
  <si>
    <t>Part</t>
  </si>
  <si>
    <t>Topic</t>
  </si>
  <si>
    <t>Type</t>
  </si>
  <si>
    <t>Difficulty</t>
  </si>
  <si>
    <t>Question</t>
  </si>
  <si>
    <t>Marks</t>
  </si>
  <si>
    <t>A: Excel</t>
  </si>
  <si>
    <t>VLOOKUP</t>
  </si>
  <si>
    <t>Practical</t>
  </si>
  <si>
    <t>Easy</t>
  </si>
  <si>
    <t>On Sales_Data, column J is empty. Use VLOOKUP to bring in each salesperson's name from Employee_Master using EmpID, and fill it down for all 30 orders.
(a) Write the formula for J2.
(b) Why do we pass FALSE (or 0) as the last argument?
(c) What does VLOOKUP return if the EmpID is not in the master list, and how would you show "Not Found" instead?</t>
  </si>
  <si>
    <t>INDEX MATCH</t>
  </si>
  <si>
    <t>Practical + Theory</t>
  </si>
  <si>
    <t>Intermediate</t>
  </si>
  <si>
    <t>Using INDEX and MATCH on Employee_Master:
(a) Find the EmpID of Neha Verma. (Note that EmpID sits to the left of Name.)
(b) Find the monthly salary of employee E105.
(c) Give two reasons INDEX MATCH is often preferred over VLOOKUP.</t>
  </si>
  <si>
    <t>Sorting and Filtering</t>
  </si>
  <si>
    <t>On Sales_Data, apply a filter so that only orders from the South region with Qty of 5 or more are visible.
(a) How many orders are left?
(b) Sort the filtered rows by Revenue, largest first. Which OrderID is on top?
(c) What is the difference between sorting and filtering? Does either one delete data?</t>
  </si>
  <si>
    <t>SUMIF and SUMIFS</t>
  </si>
  <si>
    <t>(a) Use SUMIF to get total Revenue for the North region.
(b) Use SUMIFS to get total Revenue for orders in the West region AND the Electronics category.
(c) Explain in one or two lines when you would pick SUMIFS over SUMIF.</t>
  </si>
  <si>
    <t>Arithmetic functions</t>
  </si>
  <si>
    <t>Using only the Revenue column, write formulas for:
(a) Total revenue
(b) Average order value, rounded to 2 decimals
(c) Highest and lowest single-order revenue
(d) Number of orders
Also state which function would you use to count only the orders where Qty is greater than 5.</t>
  </si>
  <si>
    <t>Macros</t>
  </si>
  <si>
    <t>Theory</t>
  </si>
  <si>
    <t>(a) What is a macro in Excel and what language does it record in?
(b) Describe the steps to record a macro that formats a header row (bold, blue fill, centered).
(c) Which file format must you save in to keep the macro, and why do some companies block macro files?</t>
  </si>
  <si>
    <t>Pivot Tables</t>
  </si>
  <si>
    <t>Build a pivot table from Sales_Data with Category in rows, Region in columns and Sum of Revenue in values.
(a) Which Category earns the most overall?
(b) Which Region earns the least overall?
(c) You add 5 new rows under the data. The pivot does not change. What do you do?</t>
  </si>
  <si>
    <t>B: SQL</t>
  </si>
  <si>
    <t>Data Cleaning</t>
  </si>
  <si>
    <t>Using the customers table:
(a) Write a SELECT that returns full_name and city with extra spaces removed, city in upper case, and any NULL email shown as 'not provided'.
(b) Write a query to find duplicate customers by email (ignore NULLs and ignore upper/lower case).
(c) Name one other common data cleaning step an analyst does before reporting.</t>
  </si>
  <si>
    <t>DDL commands</t>
  </si>
  <si>
    <t>(a) Write a CREATE TABLE statement for products with: product_id (integer, primary key), product_name (up to 50 characters, cannot be empty), price (decimal with 2 places) and stock (integer, default 0).
(b) Add a new column called category to it using ALTER TABLE.
(c) Explain the difference between DELETE, TRUNCATE and DROP.</t>
  </si>
  <si>
    <t>DML commands</t>
  </si>
  <si>
    <t>On the orders table:
(a) Insert a new order: order_id 107, customer_id 6, date 2026-03-25, amount 2200, status 'Pending'.
(b) Update order 106 so its status becomes 'Delivered'.
(c) Delete all orders with status 'Cancelled'.
(d) What can go wrong if you run an UPDATE or DELETE without a WHERE clause?</t>
  </si>
  <si>
    <t>Clauses (WHERE, GROUP BY, HAVING, ORDER BY)</t>
  </si>
  <si>
    <t>On the original orders table, write one query that shows each customer_id with the total amount of their Delivered orders, keeps only customers whose total is above 2000, and lists the highest total first.
Then explain the difference between WHERE and HAVING in two lines.</t>
  </si>
  <si>
    <t>Joins</t>
  </si>
  <si>
    <t>(a) Write a query that lists every customer with the number of orders they placed. Customers with no orders must still appear, with a count of 0.
(b) How many rows would an INNER JOIN between customers and orders return, and which customers would be missing?
(c) In plain words, what is the difference between INNER JOIN and LEFT JOIN?</t>
  </si>
  <si>
    <t>Total</t>
  </si>
  <si>
    <t>Part A (Excel) subtotal</t>
  </si>
  <si>
    <t>Part B (SQL) subtotal</t>
  </si>
  <si>
    <t>EmpID</t>
  </si>
  <si>
    <t>Name</t>
  </si>
  <si>
    <t>Team</t>
  </si>
  <si>
    <t>City</t>
  </si>
  <si>
    <t>Monthly Salary</t>
  </si>
  <si>
    <t>E101</t>
  </si>
  <si>
    <t>Aarav Kapoor</t>
  </si>
  <si>
    <t>Sales</t>
  </si>
  <si>
    <t>Mumbai</t>
  </si>
  <si>
    <t>E102</t>
  </si>
  <si>
    <t>Neha Verma</t>
  </si>
  <si>
    <t>Delhi</t>
  </si>
  <si>
    <t>E103</t>
  </si>
  <si>
    <t>Rohan Iyer</t>
  </si>
  <si>
    <t>Support</t>
  </si>
  <si>
    <t>Chennai</t>
  </si>
  <si>
    <t>E104</t>
  </si>
  <si>
    <t>Isha Gupta</t>
  </si>
  <si>
    <t>Pune</t>
  </si>
  <si>
    <t>E105</t>
  </si>
  <si>
    <t>Vikram Singh</t>
  </si>
  <si>
    <t>Jaipur</t>
  </si>
  <si>
    <t>E106</t>
  </si>
  <si>
    <t>Meera Joshi</t>
  </si>
  <si>
    <t>Marketing</t>
  </si>
  <si>
    <t>E107</t>
  </si>
  <si>
    <t>Sanjay Rao</t>
  </si>
  <si>
    <t>Hyderabad</t>
  </si>
  <si>
    <t>E108</t>
  </si>
  <si>
    <t>Pooja Desai</t>
  </si>
  <si>
    <t>OrderID</t>
  </si>
  <si>
    <t>OrderDate</t>
  </si>
  <si>
    <t>Region</t>
  </si>
  <si>
    <t>Product</t>
  </si>
  <si>
    <t>Category</t>
  </si>
  <si>
    <t>Qty</t>
  </si>
  <si>
    <t>UnitPrice</t>
  </si>
  <si>
    <t>Revenue</t>
  </si>
  <si>
    <t>SalespersonName (fill for Q1)</t>
  </si>
  <si>
    <t>ORD1001</t>
  </si>
  <si>
    <t>West</t>
  </si>
  <si>
    <t>Notebook Pack</t>
  </si>
  <si>
    <t>Stationery</t>
  </si>
  <si>
    <t>ORD1002</t>
  </si>
  <si>
    <t>South</t>
  </si>
  <si>
    <t>Laptop</t>
  </si>
  <si>
    <t>Electronics</t>
  </si>
  <si>
    <t>ORD1003</t>
  </si>
  <si>
    <t>North</t>
  </si>
  <si>
    <t>Desk</t>
  </si>
  <si>
    <t>Furniture</t>
  </si>
  <si>
    <t>ORD1004</t>
  </si>
  <si>
    <t>Office Chair</t>
  </si>
  <si>
    <t>ORD1005</t>
  </si>
  <si>
    <t>ORD1006</t>
  </si>
  <si>
    <t>ORD1007</t>
  </si>
  <si>
    <t>East</t>
  </si>
  <si>
    <t>Headphones</t>
  </si>
  <si>
    <t>ORD1008</t>
  </si>
  <si>
    <t>Pen Set</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</si>
  <si>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</si>
  <si>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</si>
  <si>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</si>
  <si>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</si>
  <si>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</si>
  <si>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</si>
  <si>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</si>
  <si>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</si>
  <si>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</si>
  <si>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</si>
  <si>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</si>
  <si>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</si>
  <si>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</si>
  <si>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</si>
  <si>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</si>
  <si>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</si>
  <si>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</si>
  <si>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</si>
  <si>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</si>
  <si>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</si>
  <si>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</si>
  <si>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</si>
  <si>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Table 1: customers (the data is messy on purpose)</t>
  </si>
  <si>
    <t>customer_id</t>
  </si>
  <si>
    <t>full_name</t>
  </si>
  <si>
    <t>email</t>
  </si>
  <si>
    <t>city</t>
  </si>
  <si>
    <t>phone</t>
  </si>
  <si>
    <t>signup_date</t>
  </si>
  <si>
    <t xml:space="preserve">  Rahul Sharma </t>
  </si>
  <si>
    <t>RAHUL@MAIL.COM</t>
  </si>
  <si>
    <t>mumbai</t>
  </si>
  <si>
    <t>9876543210</t>
  </si>
  <si>
    <t>2025-11-02</t>
  </si>
  <si>
    <t>Priya Nair</t>
  </si>
  <si>
    <t>priya@mail.com</t>
  </si>
  <si>
    <t xml:space="preserve">Pune </t>
  </si>
  <si>
    <t>NULL</t>
  </si>
  <si>
    <t>2025-11-15</t>
  </si>
  <si>
    <t>AMIT SHAH</t>
  </si>
  <si>
    <t>amit@mail.com</t>
  </si>
  <si>
    <t>delhi</t>
  </si>
  <si>
    <t>9123456780</t>
  </si>
  <si>
    <t>2025-12-01</t>
  </si>
  <si>
    <t>9988776655</t>
  </si>
  <si>
    <t>2025-12-20</t>
  </si>
  <si>
    <t>Sneha Rao</t>
  </si>
  <si>
    <t>9000011111</t>
  </si>
  <si>
    <t>2026-01-04</t>
  </si>
  <si>
    <t>Karan Mehta</t>
  </si>
  <si>
    <t>karan@mail.com</t>
  </si>
  <si>
    <t xml:space="preserve"> Mumbai</t>
  </si>
  <si>
    <t>9345678901</t>
  </si>
  <si>
    <t>2026-01-18</t>
  </si>
  <si>
    <t>Table 2: orders</t>
  </si>
  <si>
    <t>order_id</t>
  </si>
  <si>
    <t>order_date</t>
  </si>
  <si>
    <t>amount</t>
  </si>
  <si>
    <t>status</t>
  </si>
  <si>
    <t>2026-01-05</t>
  </si>
  <si>
    <t>Delivered</t>
  </si>
  <si>
    <t>2026-01-09</t>
  </si>
  <si>
    <t>2026-02-11</t>
  </si>
  <si>
    <t>Cancelled</t>
  </si>
  <si>
    <t>2026-02-15</t>
  </si>
  <si>
    <t>2026-03-02</t>
  </si>
  <si>
    <t>2026-03-20</t>
  </si>
  <si>
    <t>Pending</t>
  </si>
  <si>
    <t>Note: stray spaces in full_name and city are real, so TRIM matters. NULL means the cell is empty in the database.</t>
  </si>
  <si>
    <t>(a) 2 marks, correct range lock and column index. (b) 1.5 marks. (c) 1.5 marks.</t>
  </si>
  <si>
    <t>(a) 1.5 marks. (b) 1.5 marks. (c) 2 marks, one for each valid reason.</t>
  </si>
  <si>
    <t>(a) 1.5 marks. (b) 1.5 marks. (c) 2 marks.</t>
  </si>
  <si>
    <t>(a) 1.5 marks. (b) 2 marks. (c) 1.5 marks. Deduct half a mark if the argument order is wrong.</t>
  </si>
  <si>
    <t>1 mark each for (a) to (d), 1 mark for COUNTIF.</t>
  </si>
  <si>
    <t>(a) 1.5 marks. (b) 2 marks for correct steps in order. (c) 1.5 marks.</t>
  </si>
  <si>
    <t>(a) 1.5 marks. (b) 1.5 marks. (c) 2 marks, one for Refresh and one for source range or Table.</t>
  </si>
  <si>
    <t>(a) 2 marks (TRIM, UPPER and COALESCE each count). (b) 2 marks. (c) 1 mark.</t>
  </si>
  <si>
    <t>(a) 2 marks, 0.5 each for PK, NOT NULL, DECIMAL and DEFAULT. (b) 1 mark. (c) 2 marks.</t>
  </si>
  <si>
    <t>(a) 1.5 marks. (b) 1.5 marks. (c) 1 mark. (d) 1 mark.</t>
  </si>
  <si>
    <t>Query 3.5 marks (WHERE, GROUP BY, HAVING, ORDER BY about 0.75 each plus SUM). Explanation 1.5 marks.</t>
  </si>
  <si>
    <t>(a) 2 marks (LEFT JOIN 1, COUNT on o.order_id 0.5, GROUP BY 0.5). (b) 1.5 marks. (c) 1.5 marks.</t>
  </si>
  <si>
    <t>Grand Total</t>
  </si>
  <si>
    <t xml:space="preserve">How to award marks </t>
  </si>
  <si>
    <t xml:space="preserve">Data Analyst weekly test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</si>
</sst>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9" x14ac:knownFonts="1">
    <font>
      <sz val="11"/>
      <color theme="1"/>
      <name val="Calibri"/>
      <family val="2"/>
      <charset val="1"/>
    </font>
    <font>
      <b/>
      <sz val="14"/>
      <name val="Arial"/>
      <family val="2"/>
    </font>
    <font>
      <sz val="11"/>
      <name val="Arial"/>
      <family val="2"/>
    </font>
    <font>
      <b/>
      <sz val="11"/>
      <name val="Arial"/>
      <family val="2"/>
    </font>
    <font>
      <b/>
      <sz val="10"/>
      <color rgb="FFFFFFFF"/>
      <name val="Arial"/>
      <family val="2"/>
    </font>
    <font>
      <sz val="10"/>
      <name val="Arial"/>
      <family val="2"/>
    </font>
    <font>
      <i/>
      <sz val="10"/>
      <name val="Arial"/>
      <family val="2"/>
    </font>
    <font>
      <i/>
      <sz val="9"/>
      <name val="Arial"/>
      <family val="2"/>
    </font>
    <font>
      <b/>
      <sz val="10"/>
      <name val="Arial"/>
      <family val="2"/>
    </font>
  </fonts>
  <fills count="6">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
      <patternFill patternType="solid">
        <fgColor rgb="FFD9E2F3"/>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top"/>
    </xf>
    <xf numFmtId="0" fontId="5" fillId="0" borderId="1" xfId="0" applyFont="1" applyBorder="1" applyAlignment="1">
      <alignment vertical="top" wrapText="1"/>
    </xf>
    <xf numFmtId="0" fontId="5" fillId="3" borderId="1" xfId="0" applyFont="1" applyFill="1" applyBorder="1" applyAlignment="1">
      <alignment horizontal="center" vertical="top"/>
    </xf>
    <xf numFmtId="0" fontId="5" fillId="3" borderId="1" xfId="0" applyFont="1" applyFill="1" applyBorder="1" applyAlignment="1">
      <alignment vertical="top" wrapText="1"/>
    </xf>
    <xf numFmtId="0" fontId="3" fillId="0" borderId="0" xfId="0" applyFont="1" applyAlignment="1">
      <alignment horizontal="right"/>
    </xf>
    <xf numFmtId="0" fontId="3" fillId="0" borderId="0" xfId="0" applyFont="1" applyAlignment="1">
      <alignment horizontal="center"/>
    </xf>
    <xf numFmtId="0" fontId="5" fillId="0" borderId="0" xfId="0" applyFont="1" applyAlignment="1">
      <alignment horizontal="right"/>
    </xf>
    <xf numFmtId="0" fontId="5" fillId="0" borderId="0" xfId="0" applyFont="1" applyAlignment="1">
      <alignment horizontal="center"/>
    </xf>
    <xf numFmtId="0" fontId="5" fillId="0" borderId="1" xfId="0" applyFont="1" applyBorder="1"/>
    <xf numFmtId="3" fontId="5" fillId="0" borderId="1" xfId="0" applyNumberFormat="1" applyFont="1" applyBorder="1"/>
    <xf numFmtId="164" fontId="5" fillId="0" borderId="1" xfId="0" applyNumberFormat="1" applyFont="1" applyBorder="1"/>
    <xf numFmtId="0" fontId="5" fillId="4" borderId="1" xfId="0" applyFont="1" applyFill="1" applyBorder="1"/>
    <xf numFmtId="0" fontId="3" fillId="0" borderId="0" xfId="0" applyFont="1"/>
    <xf numFmtId="0" fontId="6" fillId="0" borderId="1" xfId="0" applyFont="1" applyBorder="1"/>
    <xf numFmtId="0" fontId="7" fillId="0" borderId="0" xfId="0" applyFont="1"/>
    <xf numFmtId="0" fontId="8" fillId="5" borderId="1" xfId="0" applyFont="1" applyFill="1" applyBorder="1"/>
    <xf numFmtId="3" fontId="8"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zoomScaleNormal="100" workbookViewId="0">
      <selection activeCell="A7" sqref="A7"/>
    </sheetView>
  </sheetViews>
  <sheetFormatPr defaultColWidth="8.6640625" defaultRowHeight="14.4" x14ac:dyDescent="0.3"/>
  <cols>
    <col min="1" max="1" width="110" customWidth="1"/>
  </cols>
  <sheetData>
    <row r="1" spans="1:1" ht="17.399999999999999" x14ac:dyDescent="0.3">
      <c r="A1" s="1" t="s">
        <v>190</v>
      </c>
    </row>
    <row r="2" spans="1:1" x14ac:dyDescent="0.3">
      <c r="A2" s="2" t="s">
        <v>0</v>
      </c>
    </row>
    <row r="3" spans="1:1" x14ac:dyDescent="0.3">
      <c r="A3" s="2"/>
    </row>
    <row r="4" spans="1:1" x14ac:dyDescent="0.3">
      <c r="A4" s="3" t="s">
        <v>1</v>
      </c>
    </row>
    <row r="5" spans="1:1" ht="31.5" customHeight="1" x14ac:dyDescent="0.3">
      <c r="A5" s="2" t="s">
        <v>2</v>
      </c>
    </row>
    <row r="6" spans="1:1" ht="31.5" customHeight="1" x14ac:dyDescent="0.3">
      <c r="A6" s="2" t="s">
        <v>3</v>
      </c>
    </row>
    <row r="7" spans="1:1" ht="31.5" customHeight="1" x14ac:dyDescent="0.3">
      <c r="A7" s="2" t="s">
        <v>4</v>
      </c>
    </row>
    <row r="8" spans="1:1" ht="31.5" customHeight="1" x14ac:dyDescent="0.3">
      <c r="A8" s="2" t="s">
        <v>5</v>
      </c>
    </row>
    <row r="9" spans="1:1" x14ac:dyDescent="0.3">
      <c r="A9"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tabSelected="1" zoomScaleNormal="100" workbookViewId="0">
      <pane ySplit="1" topLeftCell="A2" activePane="bottomLeft" state="frozen"/>
      <selection pane="bottomLeft" activeCell="I13" sqref="I13"/>
    </sheetView>
  </sheetViews>
  <sheetFormatPr defaultColWidth="8.6640625" defaultRowHeight="14.4" x14ac:dyDescent="0.3"/>
  <cols>
    <col min="1" max="1" width="7" customWidth="1"/>
    <col min="2" max="2" width="10" customWidth="1"/>
    <col min="3" max="3" width="18" customWidth="1"/>
    <col min="4" max="4" width="17" customWidth="1"/>
    <col min="5" max="5" width="13" customWidth="1"/>
    <col min="6" max="6" width="95" customWidth="1"/>
    <col min="7" max="7" width="8" customWidth="1"/>
  </cols>
  <sheetData>
    <row r="1" spans="1:7" x14ac:dyDescent="0.3">
      <c r="A1" s="4" t="s">
        <v>6</v>
      </c>
      <c r="B1" s="4" t="s">
        <v>7</v>
      </c>
      <c r="C1" s="4" t="s">
        <v>8</v>
      </c>
      <c r="D1" s="4" t="s">
        <v>9</v>
      </c>
      <c r="E1" s="4" t="s">
        <v>10</v>
      </c>
      <c r="F1" s="4" t="s">
        <v>11</v>
      </c>
      <c r="G1" s="4" t="s">
        <v>12</v>
      </c>
    </row>
    <row r="2" spans="1:7" ht="120" customHeight="1" x14ac:dyDescent="0.3">
      <c r="A2" s="5">
        <v>1</v>
      </c>
      <c r="B2" s="6" t="s">
        <v>13</v>
      </c>
      <c r="C2" s="6" t="s">
        <v>14</v>
      </c>
      <c r="D2" s="6" t="s">
        <v>15</v>
      </c>
      <c r="E2" s="6" t="s">
        <v>16</v>
      </c>
      <c r="F2" s="6" t="s">
        <v>17</v>
      </c>
      <c r="G2" s="5">
        <v>5</v>
      </c>
    </row>
    <row r="3" spans="1:7" ht="90" customHeight="1" x14ac:dyDescent="0.3">
      <c r="A3" s="5">
        <v>2</v>
      </c>
      <c r="B3" s="6" t="s">
        <v>13</v>
      </c>
      <c r="C3" s="6" t="s">
        <v>18</v>
      </c>
      <c r="D3" s="6" t="s">
        <v>19</v>
      </c>
      <c r="E3" s="6" t="s">
        <v>20</v>
      </c>
      <c r="F3" s="6" t="s">
        <v>21</v>
      </c>
      <c r="G3" s="5">
        <v>5</v>
      </c>
    </row>
    <row r="4" spans="1:7" ht="105" customHeight="1" x14ac:dyDescent="0.3">
      <c r="A4" s="5">
        <v>3</v>
      </c>
      <c r="B4" s="6" t="s">
        <v>13</v>
      </c>
      <c r="C4" s="6" t="s">
        <v>22</v>
      </c>
      <c r="D4" s="6" t="s">
        <v>15</v>
      </c>
      <c r="E4" s="6" t="s">
        <v>16</v>
      </c>
      <c r="F4" s="6" t="s">
        <v>23</v>
      </c>
      <c r="G4" s="5">
        <v>5</v>
      </c>
    </row>
    <row r="5" spans="1:7" ht="75" customHeight="1" x14ac:dyDescent="0.3">
      <c r="A5" s="5">
        <v>4</v>
      </c>
      <c r="B5" s="6" t="s">
        <v>13</v>
      </c>
      <c r="C5" s="6" t="s">
        <v>24</v>
      </c>
      <c r="D5" s="6" t="s">
        <v>15</v>
      </c>
      <c r="E5" s="6" t="s">
        <v>20</v>
      </c>
      <c r="F5" s="6" t="s">
        <v>25</v>
      </c>
      <c r="G5" s="5">
        <v>5</v>
      </c>
    </row>
    <row r="6" spans="1:7" ht="135" customHeight="1" x14ac:dyDescent="0.3">
      <c r="A6" s="5">
        <v>5</v>
      </c>
      <c r="B6" s="6" t="s">
        <v>13</v>
      </c>
      <c r="C6" s="6" t="s">
        <v>26</v>
      </c>
      <c r="D6" s="6" t="s">
        <v>15</v>
      </c>
      <c r="E6" s="6" t="s">
        <v>16</v>
      </c>
      <c r="F6" s="6" t="s">
        <v>27</v>
      </c>
      <c r="G6" s="5">
        <v>5</v>
      </c>
    </row>
    <row r="7" spans="1:7" ht="90" customHeight="1" x14ac:dyDescent="0.3">
      <c r="A7" s="5">
        <v>6</v>
      </c>
      <c r="B7" s="6" t="s">
        <v>13</v>
      </c>
      <c r="C7" s="6" t="s">
        <v>28</v>
      </c>
      <c r="D7" s="6" t="s">
        <v>29</v>
      </c>
      <c r="E7" s="6" t="s">
        <v>16</v>
      </c>
      <c r="F7" s="6" t="s">
        <v>30</v>
      </c>
      <c r="G7" s="5">
        <v>5</v>
      </c>
    </row>
    <row r="8" spans="1:7" ht="105" customHeight="1" x14ac:dyDescent="0.3">
      <c r="A8" s="5">
        <v>7</v>
      </c>
      <c r="B8" s="6" t="s">
        <v>13</v>
      </c>
      <c r="C8" s="6" t="s">
        <v>31</v>
      </c>
      <c r="D8" s="6" t="s">
        <v>15</v>
      </c>
      <c r="E8" s="6" t="s">
        <v>20</v>
      </c>
      <c r="F8" s="6" t="s">
        <v>32</v>
      </c>
      <c r="G8" s="5">
        <v>5</v>
      </c>
    </row>
    <row r="9" spans="1:7" ht="120" customHeight="1" x14ac:dyDescent="0.3">
      <c r="A9" s="7">
        <v>8</v>
      </c>
      <c r="B9" s="8" t="s">
        <v>33</v>
      </c>
      <c r="C9" s="8" t="s">
        <v>34</v>
      </c>
      <c r="D9" s="8" t="s">
        <v>15</v>
      </c>
      <c r="E9" s="8" t="s">
        <v>20</v>
      </c>
      <c r="F9" s="8" t="s">
        <v>35</v>
      </c>
      <c r="G9" s="7">
        <v>5</v>
      </c>
    </row>
    <row r="10" spans="1:7" ht="90" customHeight="1" x14ac:dyDescent="0.3">
      <c r="A10" s="7">
        <v>9</v>
      </c>
      <c r="B10" s="8" t="s">
        <v>33</v>
      </c>
      <c r="C10" s="8" t="s">
        <v>36</v>
      </c>
      <c r="D10" s="8" t="s">
        <v>19</v>
      </c>
      <c r="E10" s="8" t="s">
        <v>16</v>
      </c>
      <c r="F10" s="8" t="s">
        <v>37</v>
      </c>
      <c r="G10" s="7">
        <v>5</v>
      </c>
    </row>
    <row r="11" spans="1:7" ht="120" customHeight="1" x14ac:dyDescent="0.3">
      <c r="A11" s="7">
        <v>10</v>
      </c>
      <c r="B11" s="8" t="s">
        <v>33</v>
      </c>
      <c r="C11" s="8" t="s">
        <v>38</v>
      </c>
      <c r="D11" s="8" t="s">
        <v>15</v>
      </c>
      <c r="E11" s="8" t="s">
        <v>16</v>
      </c>
      <c r="F11" s="8" t="s">
        <v>39</v>
      </c>
      <c r="G11" s="7">
        <v>5</v>
      </c>
    </row>
    <row r="12" spans="1:7" ht="75" customHeight="1" x14ac:dyDescent="0.3">
      <c r="A12" s="7">
        <v>11</v>
      </c>
      <c r="B12" s="8" t="s">
        <v>33</v>
      </c>
      <c r="C12" s="8" t="s">
        <v>40</v>
      </c>
      <c r="D12" s="8" t="s">
        <v>19</v>
      </c>
      <c r="E12" s="8" t="s">
        <v>20</v>
      </c>
      <c r="F12" s="8" t="s">
        <v>41</v>
      </c>
      <c r="G12" s="7">
        <v>5</v>
      </c>
    </row>
    <row r="13" spans="1:7" ht="90" customHeight="1" x14ac:dyDescent="0.3">
      <c r="A13" s="7">
        <v>12</v>
      </c>
      <c r="B13" s="8" t="s">
        <v>33</v>
      </c>
      <c r="C13" s="8" t="s">
        <v>42</v>
      </c>
      <c r="D13" s="8" t="s">
        <v>19</v>
      </c>
      <c r="E13" s="8" t="s">
        <v>20</v>
      </c>
      <c r="F13" s="8" t="s">
        <v>43</v>
      </c>
      <c r="G13" s="7">
        <v>5</v>
      </c>
    </row>
    <row r="14" spans="1:7" x14ac:dyDescent="0.3">
      <c r="F14" s="9" t="s">
        <v>44</v>
      </c>
      <c r="G14" s="10">
        <f>SUM(G2:G13)</f>
        <v>60</v>
      </c>
    </row>
    <row r="15" spans="1:7" x14ac:dyDescent="0.3">
      <c r="F15" s="11" t="s">
        <v>45</v>
      </c>
      <c r="G15" s="12">
        <f>SUM(G2:G8)</f>
        <v>35</v>
      </c>
    </row>
    <row r="16" spans="1:7" x14ac:dyDescent="0.3">
      <c r="F16" s="11" t="s">
        <v>46</v>
      </c>
      <c r="G16" s="12">
        <f>SUM(G9:G13)</f>
        <v>25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zoomScaleNormal="100" workbookViewId="0">
      <pane ySplit="1" topLeftCell="A2" activePane="bottomLeft" state="frozen"/>
      <selection pane="bottomLeft" activeCell="J2" sqref="J2"/>
    </sheetView>
  </sheetViews>
  <sheetFormatPr defaultColWidth="8.6640625" defaultRowHeight="14.4" x14ac:dyDescent="0.3"/>
  <cols>
    <col min="1" max="1" width="10" customWidth="1"/>
    <col min="2" max="2" width="18" customWidth="1"/>
    <col min="3" max="3" width="13" customWidth="1"/>
    <col min="4" max="4" width="14" customWidth="1"/>
    <col min="5" max="5" width="16" customWidth="1"/>
  </cols>
  <sheetData>
    <row r="1" spans="1:5" x14ac:dyDescent="0.3">
      <c r="A1" s="4" t="s">
        <v>47</v>
      </c>
      <c r="B1" s="4" t="s">
        <v>48</v>
      </c>
      <c r="C1" s="4" t="s">
        <v>49</v>
      </c>
      <c r="D1" s="4" t="s">
        <v>50</v>
      </c>
      <c r="E1" s="4" t="s">
        <v>51</v>
      </c>
    </row>
    <row r="2" spans="1:5" x14ac:dyDescent="0.3">
      <c r="A2" s="13" t="s">
        <v>52</v>
      </c>
      <c r="B2" s="13" t="s">
        <v>53</v>
      </c>
      <c r="C2" s="13" t="s">
        <v>54</v>
      </c>
      <c r="D2" s="13" t="s">
        <v>55</v>
      </c>
      <c r="E2" s="14">
        <v>42000</v>
      </c>
    </row>
    <row r="3" spans="1:5" x14ac:dyDescent="0.3">
      <c r="A3" s="13" t="s">
        <v>56</v>
      </c>
      <c r="B3" s="13" t="s">
        <v>57</v>
      </c>
      <c r="C3" s="13" t="s">
        <v>54</v>
      </c>
      <c r="D3" s="13" t="s">
        <v>58</v>
      </c>
      <c r="E3" s="14">
        <v>45000</v>
      </c>
    </row>
    <row r="4" spans="1:5" x14ac:dyDescent="0.3">
      <c r="A4" s="13" t="s">
        <v>59</v>
      </c>
      <c r="B4" s="13" t="s">
        <v>60</v>
      </c>
      <c r="C4" s="13" t="s">
        <v>61</v>
      </c>
      <c r="D4" s="13" t="s">
        <v>62</v>
      </c>
      <c r="E4" s="14">
        <v>38000</v>
      </c>
    </row>
    <row r="5" spans="1:5" x14ac:dyDescent="0.3">
      <c r="A5" s="13" t="s">
        <v>63</v>
      </c>
      <c r="B5" s="13" t="s">
        <v>64</v>
      </c>
      <c r="C5" s="13" t="s">
        <v>54</v>
      </c>
      <c r="D5" s="13" t="s">
        <v>65</v>
      </c>
      <c r="E5" s="14">
        <v>41000</v>
      </c>
    </row>
    <row r="6" spans="1:5" x14ac:dyDescent="0.3">
      <c r="A6" s="13" t="s">
        <v>66</v>
      </c>
      <c r="B6" s="13" t="s">
        <v>67</v>
      </c>
      <c r="C6" s="13" t="s">
        <v>54</v>
      </c>
      <c r="D6" s="13" t="s">
        <v>68</v>
      </c>
      <c r="E6" s="14">
        <v>47000</v>
      </c>
    </row>
    <row r="7" spans="1:5" x14ac:dyDescent="0.3">
      <c r="A7" s="13" t="s">
        <v>69</v>
      </c>
      <c r="B7" s="13" t="s">
        <v>70</v>
      </c>
      <c r="C7" s="13" t="s">
        <v>71</v>
      </c>
      <c r="D7" s="13" t="s">
        <v>55</v>
      </c>
      <c r="E7" s="14">
        <v>44000</v>
      </c>
    </row>
    <row r="8" spans="1:5" x14ac:dyDescent="0.3">
      <c r="A8" s="13" t="s">
        <v>72</v>
      </c>
      <c r="B8" s="13" t="s">
        <v>73</v>
      </c>
      <c r="C8" s="13" t="s">
        <v>54</v>
      </c>
      <c r="D8" s="13" t="s">
        <v>74</v>
      </c>
      <c r="E8" s="14">
        <v>43000</v>
      </c>
    </row>
    <row r="9" spans="1:5" x14ac:dyDescent="0.3">
      <c r="A9" s="13" t="s">
        <v>75</v>
      </c>
      <c r="B9" s="13" t="s">
        <v>76</v>
      </c>
      <c r="C9" s="13" t="s">
        <v>61</v>
      </c>
      <c r="D9" s="13" t="s">
        <v>65</v>
      </c>
      <c r="E9" s="14">
        <v>36000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
  <sheetViews>
    <sheetView zoomScaleNormal="100" workbookViewId="0">
      <pane ySplit="1" topLeftCell="A2" activePane="bottomLeft" state="frozen"/>
      <selection pane="bottomLeft" activeCell="J1" sqref="J1"/>
    </sheetView>
  </sheetViews>
  <sheetFormatPr defaultColWidth="8.6640625" defaultRowHeight="14.4" x14ac:dyDescent="0.3"/>
  <cols>
    <col min="1" max="1" width="11" customWidth="1"/>
    <col min="2" max="2" width="13" customWidth="1"/>
    <col min="3" max="3" width="9" customWidth="1"/>
    <col min="4" max="4" width="10" customWidth="1"/>
    <col min="5" max="5" width="16" customWidth="1"/>
    <col min="6" max="6" width="13" customWidth="1"/>
    <col min="7" max="7" width="7" customWidth="1"/>
    <col min="8" max="8" width="11" customWidth="1"/>
    <col min="9" max="9" width="12" customWidth="1"/>
    <col min="10" max="10" width="45" customWidth="1"/>
  </cols>
  <sheetData>
    <row r="1" spans="1:10" x14ac:dyDescent="0.3">
      <c r="A1" s="4" t="s">
        <v>77</v>
      </c>
      <c r="B1" s="4" t="s">
        <v>78</v>
      </c>
      <c r="C1" s="4" t="s">
        <v>47</v>
      </c>
      <c r="D1" s="4" t="s">
        <v>79</v>
      </c>
      <c r="E1" s="4" t="s">
        <v>80</v>
      </c>
      <c r="F1" s="4" t="s">
        <v>81</v>
      </c>
      <c r="G1" s="4" t="s">
        <v>82</v>
      </c>
      <c r="H1" s="4" t="s">
        <v>83</v>
      </c>
      <c r="I1" s="4" t="s">
        <v>84</v>
      </c>
      <c r="J1" s="4" t="s">
        <v>85</v>
      </c>
    </row>
    <row r="2" spans="1:10" x14ac:dyDescent="0.3">
      <c r="A2" s="13" t="s">
        <v>86</v>
      </c>
      <c r="B2" s="15">
        <v>46026</v>
      </c>
      <c r="C2" s="13" t="s">
        <v>56</v>
      </c>
      <c r="D2" s="13" t="s">
        <v>87</v>
      </c>
      <c r="E2" s="13" t="s">
        <v>88</v>
      </c>
      <c r="F2" s="13" t="s">
        <v>89</v>
      </c>
      <c r="G2" s="13">
        <v>11</v>
      </c>
      <c r="H2" s="14">
        <v>300</v>
      </c>
      <c r="I2" s="14">
        <f t="shared" ref="I2:I31" si="0">G2*H2</f>
        <v>3300</v>
      </c>
      <c r="J2" s="16"/>
    </row>
    <row r="3" spans="1:10" x14ac:dyDescent="0.3">
      <c r="A3" s="13" t="s">
        <v>90</v>
      </c>
      <c r="B3" s="15">
        <v>46029</v>
      </c>
      <c r="C3" s="13" t="s">
        <v>69</v>
      </c>
      <c r="D3" s="13" t="s">
        <v>91</v>
      </c>
      <c r="E3" s="13" t="s">
        <v>92</v>
      </c>
      <c r="F3" s="13" t="s">
        <v>93</v>
      </c>
      <c r="G3" s="13">
        <v>1</v>
      </c>
      <c r="H3" s="14">
        <v>55000</v>
      </c>
      <c r="I3" s="14">
        <f t="shared" si="0"/>
        <v>55000</v>
      </c>
      <c r="J3" s="16"/>
    </row>
    <row r="4" spans="1:10" x14ac:dyDescent="0.3">
      <c r="A4" s="13" t="s">
        <v>94</v>
      </c>
      <c r="B4" s="15">
        <v>46031</v>
      </c>
      <c r="C4" s="13" t="s">
        <v>52</v>
      </c>
      <c r="D4" s="13" t="s">
        <v>95</v>
      </c>
      <c r="E4" s="13" t="s">
        <v>96</v>
      </c>
      <c r="F4" s="13" t="s">
        <v>97</v>
      </c>
      <c r="G4" s="13">
        <v>1</v>
      </c>
      <c r="H4" s="14">
        <v>9000</v>
      </c>
      <c r="I4" s="14">
        <f t="shared" si="0"/>
        <v>9000</v>
      </c>
      <c r="J4" s="16"/>
    </row>
    <row r="5" spans="1:10" x14ac:dyDescent="0.3">
      <c r="A5" s="13" t="s">
        <v>98</v>
      </c>
      <c r="B5" s="15">
        <v>46036</v>
      </c>
      <c r="C5" s="13" t="s">
        <v>52</v>
      </c>
      <c r="D5" s="13" t="s">
        <v>95</v>
      </c>
      <c r="E5" s="13" t="s">
        <v>99</v>
      </c>
      <c r="F5" s="13" t="s">
        <v>97</v>
      </c>
      <c r="G5" s="13">
        <v>3</v>
      </c>
      <c r="H5" s="14">
        <v>6500</v>
      </c>
      <c r="I5" s="14">
        <f t="shared" si="0"/>
        <v>19500</v>
      </c>
      <c r="J5" s="16"/>
    </row>
    <row r="6" spans="1:10" x14ac:dyDescent="0.3">
      <c r="A6" s="13" t="s">
        <v>100</v>
      </c>
      <c r="B6" s="15">
        <v>46038</v>
      </c>
      <c r="C6" s="13" t="s">
        <v>72</v>
      </c>
      <c r="D6" s="13" t="s">
        <v>91</v>
      </c>
      <c r="E6" s="13" t="s">
        <v>92</v>
      </c>
      <c r="F6" s="13" t="s">
        <v>93</v>
      </c>
      <c r="G6" s="13">
        <v>3</v>
      </c>
      <c r="H6" s="14">
        <v>55000</v>
      </c>
      <c r="I6" s="14">
        <f t="shared" si="0"/>
        <v>165000</v>
      </c>
      <c r="J6" s="16"/>
    </row>
    <row r="7" spans="1:10" x14ac:dyDescent="0.3">
      <c r="A7" s="13" t="s">
        <v>101</v>
      </c>
      <c r="B7" s="15">
        <v>46040</v>
      </c>
      <c r="C7" s="13" t="s">
        <v>72</v>
      </c>
      <c r="D7" s="13" t="s">
        <v>87</v>
      </c>
      <c r="E7" s="13" t="s">
        <v>92</v>
      </c>
      <c r="F7" s="13" t="s">
        <v>93</v>
      </c>
      <c r="G7" s="13">
        <v>3</v>
      </c>
      <c r="H7" s="14">
        <v>55000</v>
      </c>
      <c r="I7" s="14">
        <f t="shared" si="0"/>
        <v>165000</v>
      </c>
      <c r="J7" s="16"/>
    </row>
    <row r="8" spans="1:10" x14ac:dyDescent="0.3">
      <c r="A8" s="13" t="s">
        <v>102</v>
      </c>
      <c r="B8" s="15">
        <v>46043</v>
      </c>
      <c r="C8" s="13" t="s">
        <v>52</v>
      </c>
      <c r="D8" s="13" t="s">
        <v>103</v>
      </c>
      <c r="E8" s="13" t="s">
        <v>104</v>
      </c>
      <c r="F8" s="13" t="s">
        <v>93</v>
      </c>
      <c r="G8" s="13">
        <v>5</v>
      </c>
      <c r="H8" s="14">
        <v>2500</v>
      </c>
      <c r="I8" s="14">
        <f t="shared" si="0"/>
        <v>12500</v>
      </c>
      <c r="J8" s="16"/>
    </row>
    <row r="9" spans="1:10" x14ac:dyDescent="0.3">
      <c r="A9" s="13" t="s">
        <v>105</v>
      </c>
      <c r="B9" s="15">
        <v>46046</v>
      </c>
      <c r="C9" s="13" t="s">
        <v>66</v>
      </c>
      <c r="D9" s="13" t="s">
        <v>95</v>
      </c>
      <c r="E9" s="13" t="s">
        <v>106</v>
      </c>
      <c r="F9" s="13" t="s">
        <v>89</v>
      </c>
      <c r="G9" s="13">
        <v>3</v>
      </c>
      <c r="H9" s="14">
        <v>450</v>
      </c>
      <c r="I9" s="14">
        <f t="shared" si="0"/>
        <v>1350</v>
      </c>
      <c r="J9" s="16"/>
    </row>
    <row r="10" spans="1:10" x14ac:dyDescent="0.3">
      <c r="A10" s="13" t="s">
        <v>107</v>
      </c>
      <c r="B10" s="15">
        <v>46050</v>
      </c>
      <c r="C10" s="13" t="s">
        <v>52</v>
      </c>
      <c r="D10" s="13" t="s">
        <v>95</v>
      </c>
      <c r="E10" s="13" t="s">
        <v>88</v>
      </c>
      <c r="F10" s="13" t="s">
        <v>89</v>
      </c>
      <c r="G10" s="13">
        <v>11</v>
      </c>
      <c r="H10" s="14">
        <v>300</v>
      </c>
      <c r="I10" s="14">
        <f t="shared" si="0"/>
        <v>3300</v>
      </c>
      <c r="J10" s="16"/>
    </row>
    <row r="11" spans="1:10" x14ac:dyDescent="0.3">
      <c r="A11" s="13" t="s">
        <v>108</v>
      </c>
      <c r="B11" s="15">
        <v>46052</v>
      </c>
      <c r="C11" s="13" t="s">
        <v>52</v>
      </c>
      <c r="D11" s="13" t="s">
        <v>87</v>
      </c>
      <c r="E11" s="13" t="s">
        <v>96</v>
      </c>
      <c r="F11" s="13" t="s">
        <v>97</v>
      </c>
      <c r="G11" s="13">
        <v>3</v>
      </c>
      <c r="H11" s="14">
        <v>9000</v>
      </c>
      <c r="I11" s="14">
        <f t="shared" si="0"/>
        <v>27000</v>
      </c>
      <c r="J11" s="16"/>
    </row>
    <row r="12" spans="1:10" x14ac:dyDescent="0.3">
      <c r="A12" s="13" t="s">
        <v>109</v>
      </c>
      <c r="B12" s="15">
        <v>46057</v>
      </c>
      <c r="C12" s="13" t="s">
        <v>66</v>
      </c>
      <c r="D12" s="13" t="s">
        <v>91</v>
      </c>
      <c r="E12" s="13" t="s">
        <v>106</v>
      </c>
      <c r="F12" s="13" t="s">
        <v>89</v>
      </c>
      <c r="G12" s="13">
        <v>6</v>
      </c>
      <c r="H12" s="14">
        <v>450</v>
      </c>
      <c r="I12" s="14">
        <f t="shared" si="0"/>
        <v>2700</v>
      </c>
      <c r="J12" s="16"/>
    </row>
    <row r="13" spans="1:10" x14ac:dyDescent="0.3">
      <c r="A13" s="13" t="s">
        <v>110</v>
      </c>
      <c r="B13" s="15">
        <v>46058</v>
      </c>
      <c r="C13" s="13" t="s">
        <v>59</v>
      </c>
      <c r="D13" s="13" t="s">
        <v>95</v>
      </c>
      <c r="E13" s="13" t="s">
        <v>99</v>
      </c>
      <c r="F13" s="13" t="s">
        <v>97</v>
      </c>
      <c r="G13" s="13">
        <v>2</v>
      </c>
      <c r="H13" s="14">
        <v>6500</v>
      </c>
      <c r="I13" s="14">
        <f t="shared" si="0"/>
        <v>13000</v>
      </c>
      <c r="J13" s="16"/>
    </row>
    <row r="14" spans="1:10" x14ac:dyDescent="0.3">
      <c r="A14" s="13" t="s">
        <v>111</v>
      </c>
      <c r="B14" s="15">
        <v>46063</v>
      </c>
      <c r="C14" s="13" t="s">
        <v>52</v>
      </c>
      <c r="D14" s="13" t="s">
        <v>87</v>
      </c>
      <c r="E14" s="13" t="s">
        <v>99</v>
      </c>
      <c r="F14" s="13" t="s">
        <v>97</v>
      </c>
      <c r="G14" s="13">
        <v>3</v>
      </c>
      <c r="H14" s="14">
        <v>6500</v>
      </c>
      <c r="I14" s="14">
        <f t="shared" si="0"/>
        <v>19500</v>
      </c>
      <c r="J14" s="16"/>
    </row>
    <row r="15" spans="1:10" x14ac:dyDescent="0.3">
      <c r="A15" s="13" t="s">
        <v>112</v>
      </c>
      <c r="B15" s="15">
        <v>46064</v>
      </c>
      <c r="C15" s="13" t="s">
        <v>69</v>
      </c>
      <c r="D15" s="13" t="s">
        <v>95</v>
      </c>
      <c r="E15" s="13" t="s">
        <v>92</v>
      </c>
      <c r="F15" s="13" t="s">
        <v>93</v>
      </c>
      <c r="G15" s="13">
        <v>1</v>
      </c>
      <c r="H15" s="14">
        <v>55000</v>
      </c>
      <c r="I15" s="14">
        <f t="shared" si="0"/>
        <v>55000</v>
      </c>
      <c r="J15" s="16"/>
    </row>
    <row r="16" spans="1:10" x14ac:dyDescent="0.3">
      <c r="A16" s="13" t="s">
        <v>113</v>
      </c>
      <c r="B16" s="15">
        <v>46069</v>
      </c>
      <c r="C16" s="13" t="s">
        <v>72</v>
      </c>
      <c r="D16" s="13" t="s">
        <v>95</v>
      </c>
      <c r="E16" s="13" t="s">
        <v>99</v>
      </c>
      <c r="F16" s="13" t="s">
        <v>97</v>
      </c>
      <c r="G16" s="13">
        <v>2</v>
      </c>
      <c r="H16" s="14">
        <v>6500</v>
      </c>
      <c r="I16" s="14">
        <f t="shared" si="0"/>
        <v>13000</v>
      </c>
      <c r="J16" s="16"/>
    </row>
    <row r="17" spans="1:10" x14ac:dyDescent="0.3">
      <c r="A17" s="13" t="s">
        <v>114</v>
      </c>
      <c r="B17" s="15">
        <v>46070</v>
      </c>
      <c r="C17" s="13" t="s">
        <v>72</v>
      </c>
      <c r="D17" s="13" t="s">
        <v>103</v>
      </c>
      <c r="E17" s="13" t="s">
        <v>96</v>
      </c>
      <c r="F17" s="13" t="s">
        <v>97</v>
      </c>
      <c r="G17" s="13">
        <v>2</v>
      </c>
      <c r="H17" s="14">
        <v>9000</v>
      </c>
      <c r="I17" s="14">
        <f t="shared" si="0"/>
        <v>18000</v>
      </c>
      <c r="J17" s="16"/>
    </row>
    <row r="18" spans="1:10" x14ac:dyDescent="0.3">
      <c r="A18" s="13" t="s">
        <v>115</v>
      </c>
      <c r="B18" s="15">
        <v>46075</v>
      </c>
      <c r="C18" s="13" t="s">
        <v>66</v>
      </c>
      <c r="D18" s="13" t="s">
        <v>91</v>
      </c>
      <c r="E18" s="13" t="s">
        <v>104</v>
      </c>
      <c r="F18" s="13" t="s">
        <v>93</v>
      </c>
      <c r="G18" s="13">
        <v>5</v>
      </c>
      <c r="H18" s="14">
        <v>2500</v>
      </c>
      <c r="I18" s="14">
        <f t="shared" si="0"/>
        <v>12500</v>
      </c>
      <c r="J18" s="16"/>
    </row>
    <row r="19" spans="1:10" x14ac:dyDescent="0.3">
      <c r="A19" s="13" t="s">
        <v>116</v>
      </c>
      <c r="B19" s="15">
        <v>46076</v>
      </c>
      <c r="C19" s="13" t="s">
        <v>56</v>
      </c>
      <c r="D19" s="13" t="s">
        <v>103</v>
      </c>
      <c r="E19" s="13" t="s">
        <v>106</v>
      </c>
      <c r="F19" s="13" t="s">
        <v>89</v>
      </c>
      <c r="G19" s="13">
        <v>4</v>
      </c>
      <c r="H19" s="14">
        <v>450</v>
      </c>
      <c r="I19" s="14">
        <f t="shared" si="0"/>
        <v>1800</v>
      </c>
      <c r="J19" s="16"/>
    </row>
    <row r="20" spans="1:10" x14ac:dyDescent="0.3">
      <c r="A20" s="13" t="s">
        <v>117</v>
      </c>
      <c r="B20" s="15">
        <v>46079</v>
      </c>
      <c r="C20" s="13" t="s">
        <v>72</v>
      </c>
      <c r="D20" s="13" t="s">
        <v>87</v>
      </c>
      <c r="E20" s="13" t="s">
        <v>96</v>
      </c>
      <c r="F20" s="13" t="s">
        <v>97</v>
      </c>
      <c r="G20" s="13">
        <v>3</v>
      </c>
      <c r="H20" s="14">
        <v>9000</v>
      </c>
      <c r="I20" s="14">
        <f t="shared" si="0"/>
        <v>27000</v>
      </c>
      <c r="J20" s="16"/>
    </row>
    <row r="21" spans="1:10" x14ac:dyDescent="0.3">
      <c r="A21" s="13" t="s">
        <v>118</v>
      </c>
      <c r="B21" s="15">
        <v>46082</v>
      </c>
      <c r="C21" s="13" t="s">
        <v>63</v>
      </c>
      <c r="D21" s="13" t="s">
        <v>103</v>
      </c>
      <c r="E21" s="13" t="s">
        <v>88</v>
      </c>
      <c r="F21" s="13" t="s">
        <v>89</v>
      </c>
      <c r="G21" s="13">
        <v>5</v>
      </c>
      <c r="H21" s="14">
        <v>300</v>
      </c>
      <c r="I21" s="14">
        <f t="shared" si="0"/>
        <v>1500</v>
      </c>
      <c r="J21" s="16"/>
    </row>
    <row r="22" spans="1:10" x14ac:dyDescent="0.3">
      <c r="A22" s="13" t="s">
        <v>119</v>
      </c>
      <c r="B22" s="15">
        <v>46086</v>
      </c>
      <c r="C22" s="13" t="s">
        <v>56</v>
      </c>
      <c r="D22" s="13" t="s">
        <v>95</v>
      </c>
      <c r="E22" s="13" t="s">
        <v>88</v>
      </c>
      <c r="F22" s="13" t="s">
        <v>89</v>
      </c>
      <c r="G22" s="13">
        <v>10</v>
      </c>
      <c r="H22" s="14">
        <v>300</v>
      </c>
      <c r="I22" s="14">
        <f t="shared" si="0"/>
        <v>3000</v>
      </c>
      <c r="J22" s="16"/>
    </row>
    <row r="23" spans="1:10" x14ac:dyDescent="0.3">
      <c r="A23" s="13" t="s">
        <v>120</v>
      </c>
      <c r="B23" s="15">
        <v>46090</v>
      </c>
      <c r="C23" s="13" t="s">
        <v>52</v>
      </c>
      <c r="D23" s="13" t="s">
        <v>91</v>
      </c>
      <c r="E23" s="13" t="s">
        <v>106</v>
      </c>
      <c r="F23" s="13" t="s">
        <v>89</v>
      </c>
      <c r="G23" s="13">
        <v>2</v>
      </c>
      <c r="H23" s="14">
        <v>450</v>
      </c>
      <c r="I23" s="14">
        <f t="shared" si="0"/>
        <v>900</v>
      </c>
      <c r="J23" s="16"/>
    </row>
    <row r="24" spans="1:10" x14ac:dyDescent="0.3">
      <c r="A24" s="13" t="s">
        <v>121</v>
      </c>
      <c r="B24" s="15">
        <v>46093</v>
      </c>
      <c r="C24" s="13" t="s">
        <v>63</v>
      </c>
      <c r="D24" s="13" t="s">
        <v>87</v>
      </c>
      <c r="E24" s="13" t="s">
        <v>92</v>
      </c>
      <c r="F24" s="13" t="s">
        <v>93</v>
      </c>
      <c r="G24" s="13">
        <v>1</v>
      </c>
      <c r="H24" s="14">
        <v>55000</v>
      </c>
      <c r="I24" s="14">
        <f t="shared" si="0"/>
        <v>55000</v>
      </c>
      <c r="J24" s="16"/>
    </row>
    <row r="25" spans="1:10" x14ac:dyDescent="0.3">
      <c r="A25" s="13" t="s">
        <v>122</v>
      </c>
      <c r="B25" s="15">
        <v>46096</v>
      </c>
      <c r="C25" s="13" t="s">
        <v>59</v>
      </c>
      <c r="D25" s="13" t="s">
        <v>103</v>
      </c>
      <c r="E25" s="13" t="s">
        <v>104</v>
      </c>
      <c r="F25" s="13" t="s">
        <v>93</v>
      </c>
      <c r="G25" s="13">
        <v>4</v>
      </c>
      <c r="H25" s="14">
        <v>2500</v>
      </c>
      <c r="I25" s="14">
        <f t="shared" si="0"/>
        <v>10000</v>
      </c>
      <c r="J25" s="16"/>
    </row>
    <row r="26" spans="1:10" x14ac:dyDescent="0.3">
      <c r="A26" s="13" t="s">
        <v>123</v>
      </c>
      <c r="B26" s="15">
        <v>46099</v>
      </c>
      <c r="C26" s="13" t="s">
        <v>56</v>
      </c>
      <c r="D26" s="13" t="s">
        <v>103</v>
      </c>
      <c r="E26" s="13" t="s">
        <v>88</v>
      </c>
      <c r="F26" s="13" t="s">
        <v>89</v>
      </c>
      <c r="G26" s="13">
        <v>2</v>
      </c>
      <c r="H26" s="14">
        <v>300</v>
      </c>
      <c r="I26" s="14">
        <f t="shared" si="0"/>
        <v>600</v>
      </c>
      <c r="J26" s="16"/>
    </row>
    <row r="27" spans="1:10" x14ac:dyDescent="0.3">
      <c r="A27" s="13" t="s">
        <v>124</v>
      </c>
      <c r="B27" s="15">
        <v>46100</v>
      </c>
      <c r="C27" s="13" t="s">
        <v>72</v>
      </c>
      <c r="D27" s="13" t="s">
        <v>91</v>
      </c>
      <c r="E27" s="13" t="s">
        <v>88</v>
      </c>
      <c r="F27" s="13" t="s">
        <v>89</v>
      </c>
      <c r="G27" s="13">
        <v>12</v>
      </c>
      <c r="H27" s="14">
        <v>300</v>
      </c>
      <c r="I27" s="14">
        <f t="shared" si="0"/>
        <v>3600</v>
      </c>
      <c r="J27" s="16"/>
    </row>
    <row r="28" spans="1:10" x14ac:dyDescent="0.3">
      <c r="A28" s="13" t="s">
        <v>125</v>
      </c>
      <c r="B28" s="15">
        <v>46105</v>
      </c>
      <c r="C28" s="13" t="s">
        <v>69</v>
      </c>
      <c r="D28" s="13" t="s">
        <v>103</v>
      </c>
      <c r="E28" s="13" t="s">
        <v>106</v>
      </c>
      <c r="F28" s="13" t="s">
        <v>89</v>
      </c>
      <c r="G28" s="13">
        <v>7</v>
      </c>
      <c r="H28" s="14">
        <v>450</v>
      </c>
      <c r="I28" s="14">
        <f t="shared" si="0"/>
        <v>3150</v>
      </c>
      <c r="J28" s="16"/>
    </row>
    <row r="29" spans="1:10" x14ac:dyDescent="0.3">
      <c r="A29" s="13" t="s">
        <v>126</v>
      </c>
      <c r="B29" s="15">
        <v>46106</v>
      </c>
      <c r="C29" s="13" t="s">
        <v>63</v>
      </c>
      <c r="D29" s="13" t="s">
        <v>91</v>
      </c>
      <c r="E29" s="13" t="s">
        <v>106</v>
      </c>
      <c r="F29" s="13" t="s">
        <v>89</v>
      </c>
      <c r="G29" s="13">
        <v>10</v>
      </c>
      <c r="H29" s="14">
        <v>450</v>
      </c>
      <c r="I29" s="14">
        <f t="shared" si="0"/>
        <v>4500</v>
      </c>
      <c r="J29" s="16"/>
    </row>
    <row r="30" spans="1:10" x14ac:dyDescent="0.3">
      <c r="A30" s="13" t="s">
        <v>127</v>
      </c>
      <c r="B30" s="15">
        <v>46109</v>
      </c>
      <c r="C30" s="13" t="s">
        <v>72</v>
      </c>
      <c r="D30" s="13" t="s">
        <v>87</v>
      </c>
      <c r="E30" s="13" t="s">
        <v>99</v>
      </c>
      <c r="F30" s="13" t="s">
        <v>97</v>
      </c>
      <c r="G30" s="13">
        <v>3</v>
      </c>
      <c r="H30" s="14">
        <v>6500</v>
      </c>
      <c r="I30" s="14">
        <f t="shared" si="0"/>
        <v>19500</v>
      </c>
      <c r="J30" s="16"/>
    </row>
    <row r="31" spans="1:10" x14ac:dyDescent="0.3">
      <c r="A31" s="13" t="s">
        <v>128</v>
      </c>
      <c r="B31" s="15">
        <v>46114</v>
      </c>
      <c r="C31" s="13" t="s">
        <v>52</v>
      </c>
      <c r="D31" s="13" t="s">
        <v>91</v>
      </c>
      <c r="E31" s="13" t="s">
        <v>106</v>
      </c>
      <c r="F31" s="13" t="s">
        <v>89</v>
      </c>
      <c r="G31" s="13">
        <v>11</v>
      </c>
      <c r="H31" s="14">
        <v>450</v>
      </c>
      <c r="I31" s="14">
        <f t="shared" si="0"/>
        <v>4950</v>
      </c>
      <c r="J31" s="16"/>
    </row>
  </sheetData>
  <autoFilter ref="A1:J3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zoomScaleNormal="100" workbookViewId="0">
      <selection activeCell="E4" sqref="E4"/>
    </sheetView>
  </sheetViews>
  <sheetFormatPr defaultColWidth="8.6640625" defaultRowHeight="14.4" x14ac:dyDescent="0.3"/>
  <cols>
    <col min="1" max="1" width="17.88671875" customWidth="1"/>
    <col min="2" max="3" width="20" customWidth="1"/>
    <col min="4" max="4" width="12" customWidth="1"/>
    <col min="5" max="6" width="14" customWidth="1"/>
  </cols>
  <sheetData>
    <row r="1" spans="1:6" x14ac:dyDescent="0.3">
      <c r="A1" s="17" t="s">
        <v>129</v>
      </c>
    </row>
    <row r="2" spans="1:6" x14ac:dyDescent="0.3">
      <c r="A2" s="4" t="s">
        <v>130</v>
      </c>
      <c r="B2" s="4" t="s">
        <v>131</v>
      </c>
      <c r="C2" s="4" t="s">
        <v>132</v>
      </c>
      <c r="D2" s="4" t="s">
        <v>133</v>
      </c>
      <c r="E2" s="4" t="s">
        <v>134</v>
      </c>
      <c r="F2" s="4" t="s">
        <v>135</v>
      </c>
    </row>
    <row r="3" spans="1:6" x14ac:dyDescent="0.3">
      <c r="A3" s="13">
        <v>1</v>
      </c>
      <c r="B3" s="13" t="s">
        <v>136</v>
      </c>
      <c r="C3" s="13" t="s">
        <v>137</v>
      </c>
      <c r="D3" s="13" t="s">
        <v>138</v>
      </c>
      <c r="E3" s="13" t="s">
        <v>139</v>
      </c>
      <c r="F3" s="13" t="s">
        <v>140</v>
      </c>
    </row>
    <row r="4" spans="1:6" x14ac:dyDescent="0.3">
      <c r="A4" s="13">
        <v>2</v>
      </c>
      <c r="B4" s="13" t="s">
        <v>141</v>
      </c>
      <c r="C4" s="13" t="s">
        <v>142</v>
      </c>
      <c r="D4" s="13" t="s">
        <v>143</v>
      </c>
      <c r="E4" s="18" t="s">
        <v>144</v>
      </c>
      <c r="F4" s="13" t="s">
        <v>145</v>
      </c>
    </row>
    <row r="5" spans="1:6" x14ac:dyDescent="0.3">
      <c r="A5" s="13">
        <v>3</v>
      </c>
      <c r="B5" s="13" t="s">
        <v>146</v>
      </c>
      <c r="C5" s="13" t="s">
        <v>147</v>
      </c>
      <c r="D5" s="13" t="s">
        <v>148</v>
      </c>
      <c r="E5" s="13" t="s">
        <v>149</v>
      </c>
      <c r="F5" s="13" t="s">
        <v>150</v>
      </c>
    </row>
    <row r="6" spans="1:6" x14ac:dyDescent="0.3">
      <c r="A6" s="13">
        <v>4</v>
      </c>
      <c r="B6" s="13" t="s">
        <v>141</v>
      </c>
      <c r="C6" s="13" t="s">
        <v>142</v>
      </c>
      <c r="D6" s="13" t="s">
        <v>65</v>
      </c>
      <c r="E6" s="13" t="s">
        <v>151</v>
      </c>
      <c r="F6" s="13" t="s">
        <v>152</v>
      </c>
    </row>
    <row r="7" spans="1:6" x14ac:dyDescent="0.3">
      <c r="A7" s="13">
        <v>5</v>
      </c>
      <c r="B7" s="13" t="s">
        <v>153</v>
      </c>
      <c r="C7" s="18" t="s">
        <v>144</v>
      </c>
      <c r="D7" s="13" t="s">
        <v>62</v>
      </c>
      <c r="E7" s="13" t="s">
        <v>154</v>
      </c>
      <c r="F7" s="13" t="s">
        <v>155</v>
      </c>
    </row>
    <row r="8" spans="1:6" x14ac:dyDescent="0.3">
      <c r="A8" s="13">
        <v>6</v>
      </c>
      <c r="B8" s="13" t="s">
        <v>156</v>
      </c>
      <c r="C8" s="13" t="s">
        <v>157</v>
      </c>
      <c r="D8" s="13" t="s">
        <v>158</v>
      </c>
      <c r="E8" s="13" t="s">
        <v>159</v>
      </c>
      <c r="F8" s="13" t="s">
        <v>160</v>
      </c>
    </row>
    <row r="11" spans="1:6" x14ac:dyDescent="0.3">
      <c r="A11" s="17" t="s">
        <v>161</v>
      </c>
    </row>
    <row r="12" spans="1:6" x14ac:dyDescent="0.3">
      <c r="A12" s="4" t="s">
        <v>162</v>
      </c>
      <c r="B12" s="4" t="s">
        <v>130</v>
      </c>
      <c r="C12" s="4" t="s">
        <v>163</v>
      </c>
      <c r="D12" s="4" t="s">
        <v>164</v>
      </c>
      <c r="E12" s="4" t="s">
        <v>165</v>
      </c>
    </row>
    <row r="13" spans="1:6" x14ac:dyDescent="0.3">
      <c r="A13" s="13">
        <v>101</v>
      </c>
      <c r="B13" s="13">
        <v>1</v>
      </c>
      <c r="C13" s="13" t="s">
        <v>166</v>
      </c>
      <c r="D13" s="13">
        <v>2500</v>
      </c>
      <c r="E13" s="13" t="s">
        <v>167</v>
      </c>
    </row>
    <row r="14" spans="1:6" x14ac:dyDescent="0.3">
      <c r="A14" s="13">
        <v>102</v>
      </c>
      <c r="B14" s="13">
        <v>3</v>
      </c>
      <c r="C14" s="13" t="s">
        <v>168</v>
      </c>
      <c r="D14" s="13">
        <v>1200</v>
      </c>
      <c r="E14" s="13" t="s">
        <v>167</v>
      </c>
    </row>
    <row r="15" spans="1:6" x14ac:dyDescent="0.3">
      <c r="A15" s="13">
        <v>103</v>
      </c>
      <c r="B15" s="13">
        <v>1</v>
      </c>
      <c r="C15" s="13" t="s">
        <v>169</v>
      </c>
      <c r="D15" s="13">
        <v>3100</v>
      </c>
      <c r="E15" s="13" t="s">
        <v>170</v>
      </c>
    </row>
    <row r="16" spans="1:6" x14ac:dyDescent="0.3">
      <c r="A16" s="13">
        <v>104</v>
      </c>
      <c r="B16" s="13">
        <v>2</v>
      </c>
      <c r="C16" s="13" t="s">
        <v>171</v>
      </c>
      <c r="D16" s="13">
        <v>800</v>
      </c>
      <c r="E16" s="13" t="s">
        <v>167</v>
      </c>
    </row>
    <row r="17" spans="1:5" x14ac:dyDescent="0.3">
      <c r="A17" s="13">
        <v>105</v>
      </c>
      <c r="B17" s="13">
        <v>5</v>
      </c>
      <c r="C17" s="13" t="s">
        <v>172</v>
      </c>
      <c r="D17" s="13">
        <v>4500</v>
      </c>
      <c r="E17" s="13" t="s">
        <v>167</v>
      </c>
    </row>
    <row r="18" spans="1:5" x14ac:dyDescent="0.3">
      <c r="A18" s="13">
        <v>106</v>
      </c>
      <c r="B18" s="13">
        <v>3</v>
      </c>
      <c r="C18" s="13" t="s">
        <v>173</v>
      </c>
      <c r="D18" s="13">
        <v>1900</v>
      </c>
      <c r="E18" s="13" t="s">
        <v>174</v>
      </c>
    </row>
    <row r="20" spans="1:5" x14ac:dyDescent="0.3">
      <c r="A20" s="19" t="s">
        <v>175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zoomScaleNormal="100" workbookViewId="0">
      <pane ySplit="1" topLeftCell="A12" activePane="bottomLeft" state="frozen"/>
      <selection pane="bottomLeft" activeCell="C12" sqref="C12"/>
    </sheetView>
  </sheetViews>
  <sheetFormatPr defaultColWidth="8.6640625" defaultRowHeight="14.4" x14ac:dyDescent="0.3"/>
  <cols>
    <col min="1" max="1" width="38" customWidth="1"/>
  </cols>
  <sheetData>
    <row r="1" spans="1:1" x14ac:dyDescent="0.3">
      <c r="A1" s="4" t="s">
        <v>189</v>
      </c>
    </row>
    <row r="2" spans="1:1" ht="97.5" customHeight="1" x14ac:dyDescent="0.3">
      <c r="A2" s="6" t="s">
        <v>176</v>
      </c>
    </row>
    <row r="3" spans="1:1" ht="97.5" customHeight="1" x14ac:dyDescent="0.3">
      <c r="A3" s="6" t="s">
        <v>177</v>
      </c>
    </row>
    <row r="4" spans="1:1" ht="139.5" customHeight="1" x14ac:dyDescent="0.3">
      <c r="A4" s="6" t="s">
        <v>178</v>
      </c>
    </row>
    <row r="5" spans="1:1" ht="90" customHeight="1" x14ac:dyDescent="0.3">
      <c r="A5" s="6" t="s">
        <v>179</v>
      </c>
    </row>
    <row r="6" spans="1:1" ht="90" customHeight="1" x14ac:dyDescent="0.3">
      <c r="A6" s="6" t="s">
        <v>180</v>
      </c>
    </row>
    <row r="7" spans="1:1" ht="139.5" customHeight="1" x14ac:dyDescent="0.3">
      <c r="A7" s="6" t="s">
        <v>181</v>
      </c>
    </row>
    <row r="8" spans="1:1" ht="111.75" customHeight="1" x14ac:dyDescent="0.3">
      <c r="A8" s="6" t="s">
        <v>182</v>
      </c>
    </row>
    <row r="9" spans="1:1" ht="111.75" customHeight="1" x14ac:dyDescent="0.3">
      <c r="A9" s="6" t="s">
        <v>183</v>
      </c>
    </row>
    <row r="10" spans="1:1" ht="126" customHeight="1" x14ac:dyDescent="0.3">
      <c r="A10" s="6" t="s">
        <v>184</v>
      </c>
    </row>
    <row r="11" spans="1:1" ht="126" customHeight="1" x14ac:dyDescent="0.3">
      <c r="A11" s="6" t="s">
        <v>185</v>
      </c>
    </row>
    <row r="12" spans="1:1" ht="153.75" customHeight="1" x14ac:dyDescent="0.3">
      <c r="A12" s="6" t="s">
        <v>186</v>
      </c>
    </row>
    <row r="13" spans="1:1" ht="181.5" customHeight="1" x14ac:dyDescent="0.3">
      <c r="A13" s="6" t="s">
        <v>187</v>
      </c>
    </row>
    <row r="17" spans="1:3" x14ac:dyDescent="0.3">
      <c r="A17" s="20" t="s">
        <v>103</v>
      </c>
      <c r="B17" s="20" t="s">
        <v>87</v>
      </c>
      <c r="C17" s="20" t="s">
        <v>188</v>
      </c>
    </row>
    <row r="18" spans="1:3" x14ac:dyDescent="0.3">
      <c r="A18" s="14">
        <f>SUMIFS(Sales_Data!$I$2:$I$31,Sales_Data!$F$2:$F$31,#REF!,Sales_Data!$D$2:$D$31,A$17)</f>
        <v>0</v>
      </c>
      <c r="B18" s="14">
        <f>SUMIFS(Sales_Data!$I$2:$I$31,Sales_Data!$F$2:$F$31,#REF!,Sales_Data!$D$2:$D$31,B$17)</f>
        <v>0</v>
      </c>
      <c r="C18" s="21">
        <f>SUM(A18:B18)</f>
        <v>0</v>
      </c>
    </row>
    <row r="19" spans="1:3" x14ac:dyDescent="0.3">
      <c r="A19" s="14">
        <f>SUMIFS(Sales_Data!$I$2:$I$31,Sales_Data!$F$2:$F$31,#REF!,Sales_Data!$D$2:$D$31,A$17)</f>
        <v>0</v>
      </c>
      <c r="B19" s="14">
        <f>SUMIFS(Sales_Data!$I$2:$I$31,Sales_Data!$F$2:$F$31,#REF!,Sales_Data!$D$2:$D$31,B$17)</f>
        <v>0</v>
      </c>
      <c r="C19" s="21">
        <f>SUM(A19:B19)</f>
        <v>0</v>
      </c>
    </row>
    <row r="20" spans="1:3" x14ac:dyDescent="0.3">
      <c r="A20" s="14">
        <f>SUMIFS(Sales_Data!$I$2:$I$31,Sales_Data!$F$2:$F$31,#REF!,Sales_Data!$D$2:$D$31,A$17)</f>
        <v>0</v>
      </c>
      <c r="B20" s="14">
        <f>SUMIFS(Sales_Data!$I$2:$I$31,Sales_Data!$F$2:$F$31,#REF!,Sales_Data!$D$2:$D$31,B$17)</f>
        <v>0</v>
      </c>
      <c r="C20" s="21">
        <f>SUM(A20:B20)</f>
        <v>0</v>
      </c>
    </row>
    <row r="21" spans="1:3" x14ac:dyDescent="0.3">
      <c r="A21" s="21">
        <f>SUM(A18:A20)</f>
        <v>0</v>
      </c>
      <c r="B21" s="21">
        <f>SUM(B18:B20)</f>
        <v>0</v>
      </c>
      <c r="C21" s="21">
        <f>SUM(C18:C20)</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Question Paper</vt:lpstr>
      <vt:lpstr>Employee_Master</vt:lpstr>
      <vt:lpstr>Sales_Data</vt:lpstr>
      <vt:lpstr>SQL_Tables</vt:lpstr>
      <vt:lpstr>marks awarding scheme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mudit agarwal</cp:lastModifiedBy>
  <cp:revision>0</cp:revision>
  <dcterms:created xsi:type="dcterms:W3CDTF">2026-10-30T16:49:44Z</dcterms:created>
  <dcterms:modified xsi:type="dcterms:W3CDTF">2026-10-30T16:57:24Z</dcterms:modified>
  <dc:language>en-US</dc:language>
</cp:coreProperties>
</file>