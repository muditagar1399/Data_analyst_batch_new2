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cc05475d4aa1723/Desktop/"/>
    </mc:Choice>
  </mc:AlternateContent>
  <xr:revisionPtr revIDLastSave="0" documentId="8_{744F8B67-AE46-425E-8062-8366FE50D5B0}" xr6:coauthVersionLast="47" xr6:coauthVersionMax="47" xr10:uidLastSave="{00000000-0000-0000-0000-000000000000}"/>
  <bookViews>
    <workbookView xWindow="-108" yWindow="-108" windowWidth="23256" windowHeight="12456" activeTab="3" xr2:uid="{D38CDF87-E5EE-4DE3-81F7-A663992382AE}"/>
  </bookViews>
  <sheets>
    <sheet name="Sheet1" sheetId="1" r:id="rId1"/>
    <sheet name="Sheet2" sheetId="2" r:id="rId2"/>
    <sheet name="q1 answer " sheetId="4" r:id="rId3"/>
    <sheet name="answers " sheetId="3" r:id="rId4"/>
  </sheets>
  <definedNames>
    <definedName name="_xlnm._FilterDatabase" localSheetId="0" hidden="1">Sheet1!$A$1:$G$47</definedName>
    <definedName name="_xlnm._FilterDatabase" localSheetId="1" hidden="1">Sheet2!$A$1:$D$49</definedName>
  </definedNames>
  <calcPr calcId="191028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8" i="3" l="1"/>
  <c r="I6" i="3"/>
  <c r="I4" i="3"/>
  <c r="G5" i="3"/>
  <c r="G4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2" i="3"/>
</calcChain>
</file>

<file path=xl/sharedStrings.xml><?xml version="1.0" encoding="utf-8"?>
<sst xmlns="http://schemas.openxmlformats.org/spreadsheetml/2006/main" count="166" uniqueCount="20">
  <si>
    <t>Year</t>
  </si>
  <si>
    <t>Sales</t>
  </si>
  <si>
    <t>1. Calculate netprofit in years 2015-2022 at a company level for each year</t>
  </si>
  <si>
    <t>A</t>
  </si>
  <si>
    <t>2. Calculate sales growth(%) in year 2022 over year 2021 at a company level</t>
  </si>
  <si>
    <t>B</t>
  </si>
  <si>
    <t>Expense</t>
  </si>
  <si>
    <t>Company</t>
  </si>
  <si>
    <t>3. Over the last 22 years, what % of total sales (A+B) has come from company A</t>
  </si>
  <si>
    <t xml:space="preserve">sales </t>
  </si>
  <si>
    <t xml:space="preserve">expenses </t>
  </si>
  <si>
    <t xml:space="preserve">net profit </t>
  </si>
  <si>
    <t>Grand Total</t>
  </si>
  <si>
    <t xml:space="preserve">Sum of net profit </t>
  </si>
  <si>
    <t xml:space="preserve">company level each year </t>
  </si>
  <si>
    <t>Q2</t>
  </si>
  <si>
    <t xml:space="preserve">Q3 </t>
  </si>
  <si>
    <t xml:space="preserve">Company A </t>
  </si>
  <si>
    <t xml:space="preserve">total sales for both companies </t>
  </si>
  <si>
    <t xml:space="preserve">Contribution of 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</si>
</sst>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9" fontId="0" fillId="0" borderId="0" xfId="1" applyFont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4" borderId="0" xfId="0" applyFill="1"/>
    <xf numFmtId="10" fontId="0" fillId="4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24.617440277776" createdVersion="8" refreshedVersion="8" minRefreshableVersion="3" recordCount="46" xr:uid="{2095DA7E-4F70-4C92-B584-CED6A586EA06}">
  <cacheSource type="worksheet">
    <worksheetSource ref="A1:E47" sheet="answers "/>
  </cacheSource>
  <cacheFields count="5">
    <cacheField name="Company" numFmtId="0">
      <sharedItems count="2">
        <s v="A"/>
        <s v="B"/>
      </sharedItems>
    </cacheField>
    <cacheField name="Year" numFmtId="0">
      <sharedItems containsSemiMixedTypes="0" containsString="0" containsNumber="1" containsInteger="1" minValue="2000" maxValue="2022" count="23"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</sharedItems>
    </cacheField>
    <cacheField name="sales " numFmtId="0">
      <sharedItems containsSemiMixedTypes="0" containsString="0" containsNumber="1" containsInteger="1" minValue="104" maxValue="199"/>
    </cacheField>
    <cacheField name="expenses " numFmtId="0">
      <sharedItems containsSemiMixedTypes="0" containsString="0" containsNumber="1" containsInteger="1" minValue="2" maxValue="50"/>
    </cacheField>
    <cacheField name="net profit " numFmtId="0">
      <sharedItems containsSemiMixedTypes="0" containsString="0" containsNumber="1" containsInteger="1" minValue="59" maxValue="1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n v="104"/>
    <n v="4"/>
    <n v="100"/>
  </r>
  <r>
    <x v="1"/>
    <x v="0"/>
    <n v="150"/>
    <n v="35"/>
    <n v="115"/>
  </r>
  <r>
    <x v="0"/>
    <x v="1"/>
    <n v="154"/>
    <n v="30"/>
    <n v="124"/>
  </r>
  <r>
    <x v="1"/>
    <x v="1"/>
    <n v="198"/>
    <n v="25"/>
    <n v="173"/>
  </r>
  <r>
    <x v="0"/>
    <x v="2"/>
    <n v="193"/>
    <n v="10"/>
    <n v="183"/>
  </r>
  <r>
    <x v="1"/>
    <x v="2"/>
    <n v="124"/>
    <n v="20"/>
    <n v="104"/>
  </r>
  <r>
    <x v="0"/>
    <x v="3"/>
    <n v="111"/>
    <n v="50"/>
    <n v="61"/>
  </r>
  <r>
    <x v="1"/>
    <x v="3"/>
    <n v="152"/>
    <n v="24"/>
    <n v="128"/>
  </r>
  <r>
    <x v="0"/>
    <x v="4"/>
    <n v="135"/>
    <n v="4"/>
    <n v="131"/>
  </r>
  <r>
    <x v="1"/>
    <x v="4"/>
    <n v="131"/>
    <n v="36"/>
    <n v="95"/>
  </r>
  <r>
    <x v="0"/>
    <x v="5"/>
    <n v="186"/>
    <n v="4"/>
    <n v="182"/>
  </r>
  <r>
    <x v="1"/>
    <x v="5"/>
    <n v="132"/>
    <n v="12"/>
    <n v="120"/>
  </r>
  <r>
    <x v="0"/>
    <x v="6"/>
    <n v="144"/>
    <n v="21"/>
    <n v="123"/>
  </r>
  <r>
    <x v="1"/>
    <x v="6"/>
    <n v="164"/>
    <n v="30"/>
    <n v="134"/>
  </r>
  <r>
    <x v="0"/>
    <x v="7"/>
    <n v="184"/>
    <n v="45"/>
    <n v="139"/>
  </r>
  <r>
    <x v="1"/>
    <x v="7"/>
    <n v="169"/>
    <n v="6"/>
    <n v="163"/>
  </r>
  <r>
    <x v="0"/>
    <x v="8"/>
    <n v="150"/>
    <n v="45"/>
    <n v="105"/>
  </r>
  <r>
    <x v="1"/>
    <x v="8"/>
    <n v="141"/>
    <n v="14"/>
    <n v="127"/>
  </r>
  <r>
    <x v="0"/>
    <x v="9"/>
    <n v="130"/>
    <n v="21"/>
    <n v="109"/>
  </r>
  <r>
    <x v="1"/>
    <x v="9"/>
    <n v="133"/>
    <n v="33"/>
    <n v="100"/>
  </r>
  <r>
    <x v="0"/>
    <x v="10"/>
    <n v="110"/>
    <n v="29"/>
    <n v="81"/>
  </r>
  <r>
    <x v="1"/>
    <x v="10"/>
    <n v="171"/>
    <n v="34"/>
    <n v="137"/>
  </r>
  <r>
    <x v="0"/>
    <x v="11"/>
    <n v="151"/>
    <n v="7"/>
    <n v="144"/>
  </r>
  <r>
    <x v="1"/>
    <x v="11"/>
    <n v="141"/>
    <n v="36"/>
    <n v="105"/>
  </r>
  <r>
    <x v="0"/>
    <x v="12"/>
    <n v="120"/>
    <n v="40"/>
    <n v="80"/>
  </r>
  <r>
    <x v="1"/>
    <x v="12"/>
    <n v="152"/>
    <n v="6"/>
    <n v="146"/>
  </r>
  <r>
    <x v="0"/>
    <x v="13"/>
    <n v="119"/>
    <n v="21"/>
    <n v="98"/>
  </r>
  <r>
    <x v="1"/>
    <x v="13"/>
    <n v="105"/>
    <n v="2"/>
    <n v="103"/>
  </r>
  <r>
    <x v="0"/>
    <x v="14"/>
    <n v="122"/>
    <n v="9"/>
    <n v="113"/>
  </r>
  <r>
    <x v="1"/>
    <x v="14"/>
    <n v="121"/>
    <n v="4"/>
    <n v="117"/>
  </r>
  <r>
    <x v="0"/>
    <x v="15"/>
    <n v="143"/>
    <n v="21"/>
    <n v="122"/>
  </r>
  <r>
    <x v="0"/>
    <x v="15"/>
    <n v="143"/>
    <n v="39"/>
    <n v="104"/>
  </r>
  <r>
    <x v="1"/>
    <x v="16"/>
    <n v="108"/>
    <n v="45"/>
    <n v="63"/>
  </r>
  <r>
    <x v="1"/>
    <x v="16"/>
    <n v="108"/>
    <n v="45"/>
    <n v="63"/>
  </r>
  <r>
    <x v="0"/>
    <x v="17"/>
    <n v="133"/>
    <n v="26"/>
    <n v="107"/>
  </r>
  <r>
    <x v="1"/>
    <x v="17"/>
    <n v="104"/>
    <n v="45"/>
    <n v="59"/>
  </r>
  <r>
    <x v="0"/>
    <x v="18"/>
    <n v="184"/>
    <n v="6"/>
    <n v="178"/>
  </r>
  <r>
    <x v="1"/>
    <x v="18"/>
    <n v="161"/>
    <n v="6"/>
    <n v="155"/>
  </r>
  <r>
    <x v="0"/>
    <x v="19"/>
    <n v="199"/>
    <n v="6"/>
    <n v="193"/>
  </r>
  <r>
    <x v="1"/>
    <x v="19"/>
    <n v="183"/>
    <n v="14"/>
    <n v="169"/>
  </r>
  <r>
    <x v="0"/>
    <x v="20"/>
    <n v="108"/>
    <n v="10"/>
    <n v="98"/>
  </r>
  <r>
    <x v="1"/>
    <x v="20"/>
    <n v="167"/>
    <n v="35"/>
    <n v="132"/>
  </r>
  <r>
    <x v="0"/>
    <x v="21"/>
    <n v="168"/>
    <n v="41"/>
    <n v="127"/>
  </r>
  <r>
    <x v="1"/>
    <x v="21"/>
    <n v="110"/>
    <n v="6"/>
    <n v="104"/>
  </r>
  <r>
    <x v="0"/>
    <x v="22"/>
    <n v="160"/>
    <n v="10"/>
    <n v="150"/>
  </r>
  <r>
    <x v="1"/>
    <x v="22"/>
    <n v="190"/>
    <n v="25"/>
    <n v="1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F57599-BB04-408F-8275-D91CBB8D8266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pany level each year ">
  <location ref="A3:B20" firstHeaderRow="1" firstDataRow="1" firstDataCol="1"/>
  <pivotFields count="5">
    <pivotField axis="axisRow" showAll="0">
      <items count="3">
        <item x="0"/>
        <item x="1"/>
        <item t="default"/>
      </items>
    </pivotField>
    <pivotField axis="axisRow" multipleItemSelectionAllowed="1" showAll="0">
      <items count="24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showAll="0"/>
    <pivotField dataField="1" showAll="0"/>
  </pivotFields>
  <rowFields count="2">
    <field x="0"/>
    <field x="1"/>
  </rowFields>
  <rowItems count="17">
    <i>
      <x/>
    </i>
    <i r="1">
      <x v="15"/>
    </i>
    <i r="1">
      <x v="17"/>
    </i>
    <i r="1">
      <x v="18"/>
    </i>
    <i r="1">
      <x v="19"/>
    </i>
    <i r="1">
      <x v="20"/>
    </i>
    <i r="1">
      <x v="21"/>
    </i>
    <i r="1">
      <x v="22"/>
    </i>
    <i>
      <x v="1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t="grand">
      <x/>
    </i>
  </rowItems>
  <colItems count="1">
    <i/>
  </colItems>
  <dataFields count="1">
    <dataField name="Sum of net profit 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215D-EB1B-4FDB-9E29-FCC1FB002359}">
  <dimension ref="A1:G47"/>
  <sheetViews>
    <sheetView zoomScaleNormal="100" workbookViewId="0">
      <selection activeCell="E3" sqref="E3"/>
    </sheetView>
  </sheetViews>
  <sheetFormatPr defaultRowHeight="14.4" x14ac:dyDescent="0.3"/>
  <cols>
    <col min="5" max="5" width="69.21875" bestFit="1" customWidth="1"/>
    <col min="8" max="8" width="18.44140625" customWidth="1"/>
    <col min="9" max="9" width="4.33203125" customWidth="1"/>
    <col min="10" max="10" width="20" customWidth="1"/>
  </cols>
  <sheetData>
    <row r="1" spans="1:5" x14ac:dyDescent="0.3">
      <c r="A1" s="4" t="s">
        <v>7</v>
      </c>
      <c r="B1" s="4" t="s">
        <v>0</v>
      </c>
      <c r="C1" s="4" t="s">
        <v>1</v>
      </c>
      <c r="E1" s="3" t="s">
        <v>2</v>
      </c>
    </row>
    <row r="2" spans="1:5" x14ac:dyDescent="0.3">
      <c r="A2" s="2" t="s">
        <v>3</v>
      </c>
      <c r="B2" s="2">
        <v>2000</v>
      </c>
      <c r="C2" s="2">
        <v>104</v>
      </c>
      <c r="E2" s="3" t="s">
        <v>4</v>
      </c>
    </row>
    <row r="3" spans="1:5" x14ac:dyDescent="0.3">
      <c r="A3" s="2" t="s">
        <v>5</v>
      </c>
      <c r="B3" s="2">
        <v>2000</v>
      </c>
      <c r="C3" s="2">
        <v>150</v>
      </c>
      <c r="E3" s="3" t="s">
        <v>8</v>
      </c>
    </row>
    <row r="4" spans="1:5" x14ac:dyDescent="0.3">
      <c r="A4" s="2" t="s">
        <v>3</v>
      </c>
      <c r="B4" s="2">
        <v>2001</v>
      </c>
      <c r="C4" s="2">
        <v>154</v>
      </c>
    </row>
    <row r="5" spans="1:5" x14ac:dyDescent="0.3">
      <c r="A5" s="2" t="s">
        <v>5</v>
      </c>
      <c r="B5" s="2">
        <v>2001</v>
      </c>
      <c r="C5" s="2">
        <v>198</v>
      </c>
    </row>
    <row r="6" spans="1:5" x14ac:dyDescent="0.3">
      <c r="A6" s="2" t="s">
        <v>3</v>
      </c>
      <c r="B6" s="2">
        <v>2002</v>
      </c>
      <c r="C6" s="2">
        <v>193</v>
      </c>
    </row>
    <row r="7" spans="1:5" x14ac:dyDescent="0.3">
      <c r="A7" s="2" t="s">
        <v>5</v>
      </c>
      <c r="B7" s="2">
        <v>2002</v>
      </c>
      <c r="C7" s="2">
        <v>124</v>
      </c>
    </row>
    <row r="8" spans="1:5" x14ac:dyDescent="0.3">
      <c r="A8" s="2" t="s">
        <v>3</v>
      </c>
      <c r="B8" s="2">
        <v>2003</v>
      </c>
      <c r="C8" s="2">
        <v>111</v>
      </c>
    </row>
    <row r="9" spans="1:5" x14ac:dyDescent="0.3">
      <c r="A9" s="2" t="s">
        <v>5</v>
      </c>
      <c r="B9" s="2">
        <v>2003</v>
      </c>
      <c r="C9" s="2">
        <v>152</v>
      </c>
    </row>
    <row r="10" spans="1:5" x14ac:dyDescent="0.3">
      <c r="A10" s="2" t="s">
        <v>3</v>
      </c>
      <c r="B10" s="2">
        <v>2004</v>
      </c>
      <c r="C10" s="2">
        <v>135</v>
      </c>
    </row>
    <row r="11" spans="1:5" x14ac:dyDescent="0.3">
      <c r="A11" s="2" t="s">
        <v>5</v>
      </c>
      <c r="B11" s="2">
        <v>2004</v>
      </c>
      <c r="C11" s="2">
        <v>131</v>
      </c>
    </row>
    <row r="12" spans="1:5" x14ac:dyDescent="0.3">
      <c r="A12" s="2" t="s">
        <v>3</v>
      </c>
      <c r="B12" s="2">
        <v>2005</v>
      </c>
      <c r="C12" s="2">
        <v>186</v>
      </c>
    </row>
    <row r="13" spans="1:5" x14ac:dyDescent="0.3">
      <c r="A13" s="2" t="s">
        <v>5</v>
      </c>
      <c r="B13" s="2">
        <v>2005</v>
      </c>
      <c r="C13" s="2">
        <v>132</v>
      </c>
    </row>
    <row r="14" spans="1:5" x14ac:dyDescent="0.3">
      <c r="A14" s="2" t="s">
        <v>3</v>
      </c>
      <c r="B14" s="2">
        <v>2006</v>
      </c>
      <c r="C14" s="2">
        <v>144</v>
      </c>
    </row>
    <row r="15" spans="1:5" x14ac:dyDescent="0.3">
      <c r="A15" s="2" t="s">
        <v>5</v>
      </c>
      <c r="B15" s="2">
        <v>2006</v>
      </c>
      <c r="C15" s="2">
        <v>164</v>
      </c>
    </row>
    <row r="16" spans="1:5" x14ac:dyDescent="0.3">
      <c r="A16" s="2" t="s">
        <v>3</v>
      </c>
      <c r="B16" s="2">
        <v>2007</v>
      </c>
      <c r="C16" s="2">
        <v>184</v>
      </c>
    </row>
    <row r="17" spans="1:3" x14ac:dyDescent="0.3">
      <c r="A17" s="2" t="s">
        <v>5</v>
      </c>
      <c r="B17" s="2">
        <v>2007</v>
      </c>
      <c r="C17" s="2">
        <v>169</v>
      </c>
    </row>
    <row r="18" spans="1:3" x14ac:dyDescent="0.3">
      <c r="A18" s="2" t="s">
        <v>3</v>
      </c>
      <c r="B18" s="2">
        <v>2008</v>
      </c>
      <c r="C18" s="2">
        <v>150</v>
      </c>
    </row>
    <row r="19" spans="1:3" x14ac:dyDescent="0.3">
      <c r="A19" s="2" t="s">
        <v>5</v>
      </c>
      <c r="B19" s="2">
        <v>2008</v>
      </c>
      <c r="C19" s="2">
        <v>141</v>
      </c>
    </row>
    <row r="20" spans="1:3" x14ac:dyDescent="0.3">
      <c r="A20" s="2" t="s">
        <v>3</v>
      </c>
      <c r="B20" s="2">
        <v>2009</v>
      </c>
      <c r="C20" s="2">
        <v>130</v>
      </c>
    </row>
    <row r="21" spans="1:3" x14ac:dyDescent="0.3">
      <c r="A21" s="2" t="s">
        <v>5</v>
      </c>
      <c r="B21" s="2">
        <v>2009</v>
      </c>
      <c r="C21" s="2">
        <v>133</v>
      </c>
    </row>
    <row r="22" spans="1:3" x14ac:dyDescent="0.3">
      <c r="A22" s="2" t="s">
        <v>3</v>
      </c>
      <c r="B22" s="2">
        <v>2010</v>
      </c>
      <c r="C22" s="2">
        <v>110</v>
      </c>
    </row>
    <row r="23" spans="1:3" x14ac:dyDescent="0.3">
      <c r="A23" s="2" t="s">
        <v>5</v>
      </c>
      <c r="B23" s="2">
        <v>2010</v>
      </c>
      <c r="C23" s="2">
        <v>171</v>
      </c>
    </row>
    <row r="24" spans="1:3" x14ac:dyDescent="0.3">
      <c r="A24" s="2" t="s">
        <v>3</v>
      </c>
      <c r="B24" s="2">
        <v>2011</v>
      </c>
      <c r="C24" s="2">
        <v>151</v>
      </c>
    </row>
    <row r="25" spans="1:3" x14ac:dyDescent="0.3">
      <c r="A25" s="2" t="s">
        <v>5</v>
      </c>
      <c r="B25" s="2">
        <v>2011</v>
      </c>
      <c r="C25" s="2">
        <v>141</v>
      </c>
    </row>
    <row r="26" spans="1:3" x14ac:dyDescent="0.3">
      <c r="A26" s="2" t="s">
        <v>3</v>
      </c>
      <c r="B26" s="2">
        <v>2012</v>
      </c>
      <c r="C26" s="2">
        <v>120</v>
      </c>
    </row>
    <row r="27" spans="1:3" x14ac:dyDescent="0.3">
      <c r="A27" s="2" t="s">
        <v>5</v>
      </c>
      <c r="B27" s="2">
        <v>2012</v>
      </c>
      <c r="C27" s="2">
        <v>152</v>
      </c>
    </row>
    <row r="28" spans="1:3" x14ac:dyDescent="0.3">
      <c r="A28" s="2" t="s">
        <v>3</v>
      </c>
      <c r="B28" s="2">
        <v>2013</v>
      </c>
      <c r="C28" s="2">
        <v>119</v>
      </c>
    </row>
    <row r="29" spans="1:3" x14ac:dyDescent="0.3">
      <c r="A29" s="2" t="s">
        <v>5</v>
      </c>
      <c r="B29" s="2">
        <v>2013</v>
      </c>
      <c r="C29" s="2">
        <v>105</v>
      </c>
    </row>
    <row r="30" spans="1:3" x14ac:dyDescent="0.3">
      <c r="A30" s="2" t="s">
        <v>3</v>
      </c>
      <c r="B30" s="2">
        <v>2014</v>
      </c>
      <c r="C30" s="2">
        <v>122</v>
      </c>
    </row>
    <row r="31" spans="1:3" x14ac:dyDescent="0.3">
      <c r="A31" s="2" t="s">
        <v>5</v>
      </c>
      <c r="B31" s="2">
        <v>2014</v>
      </c>
      <c r="C31" s="2">
        <v>121</v>
      </c>
    </row>
    <row r="32" spans="1:3" x14ac:dyDescent="0.3">
      <c r="A32" s="2" t="s">
        <v>3</v>
      </c>
      <c r="B32" s="2">
        <v>2015</v>
      </c>
      <c r="C32" s="2">
        <v>143</v>
      </c>
    </row>
    <row r="33" spans="1:7" x14ac:dyDescent="0.3">
      <c r="A33" s="2" t="s">
        <v>3</v>
      </c>
      <c r="B33" s="2">
        <v>2015</v>
      </c>
      <c r="C33" s="2">
        <v>102</v>
      </c>
    </row>
    <row r="34" spans="1:7" x14ac:dyDescent="0.3">
      <c r="A34" s="2" t="s">
        <v>5</v>
      </c>
      <c r="B34" s="2">
        <v>2016</v>
      </c>
      <c r="C34" s="2">
        <v>108</v>
      </c>
    </row>
    <row r="35" spans="1:7" x14ac:dyDescent="0.3">
      <c r="A35" s="2" t="s">
        <v>5</v>
      </c>
      <c r="B35" s="2">
        <v>2016</v>
      </c>
      <c r="C35" s="2">
        <v>108</v>
      </c>
    </row>
    <row r="36" spans="1:7" x14ac:dyDescent="0.3">
      <c r="A36" s="2" t="s">
        <v>3</v>
      </c>
      <c r="B36" s="2">
        <v>2017</v>
      </c>
      <c r="C36" s="2">
        <v>133</v>
      </c>
    </row>
    <row r="37" spans="1:7" x14ac:dyDescent="0.3">
      <c r="A37" s="2" t="s">
        <v>5</v>
      </c>
      <c r="B37" s="2">
        <v>2017</v>
      </c>
      <c r="C37" s="2">
        <v>104</v>
      </c>
    </row>
    <row r="38" spans="1:7" x14ac:dyDescent="0.3">
      <c r="A38" s="2" t="s">
        <v>3</v>
      </c>
      <c r="B38" s="2">
        <v>2018</v>
      </c>
      <c r="C38" s="2">
        <v>184</v>
      </c>
    </row>
    <row r="39" spans="1:7" x14ac:dyDescent="0.3">
      <c r="A39" s="2" t="s">
        <v>5</v>
      </c>
      <c r="B39" s="2">
        <v>2018</v>
      </c>
      <c r="C39" s="2">
        <v>161</v>
      </c>
    </row>
    <row r="40" spans="1:7" x14ac:dyDescent="0.3">
      <c r="A40" s="2" t="s">
        <v>3</v>
      </c>
      <c r="B40" s="2">
        <v>2019</v>
      </c>
      <c r="C40" s="2">
        <v>199</v>
      </c>
    </row>
    <row r="41" spans="1:7" x14ac:dyDescent="0.3">
      <c r="A41" s="2" t="s">
        <v>5</v>
      </c>
      <c r="B41" s="2">
        <v>2019</v>
      </c>
      <c r="C41" s="2">
        <v>183</v>
      </c>
    </row>
    <row r="42" spans="1:7" x14ac:dyDescent="0.3">
      <c r="A42" s="2" t="s">
        <v>3</v>
      </c>
      <c r="B42" s="2">
        <v>2020</v>
      </c>
      <c r="C42" s="2">
        <v>108</v>
      </c>
    </row>
    <row r="43" spans="1:7" x14ac:dyDescent="0.3">
      <c r="A43" s="2" t="s">
        <v>5</v>
      </c>
      <c r="B43" s="2">
        <v>2020</v>
      </c>
      <c r="C43" s="2">
        <v>167</v>
      </c>
    </row>
    <row r="44" spans="1:7" x14ac:dyDescent="0.3">
      <c r="A44" s="2" t="s">
        <v>3</v>
      </c>
      <c r="B44" s="2">
        <v>2021</v>
      </c>
      <c r="C44" s="2">
        <v>168</v>
      </c>
    </row>
    <row r="45" spans="1:7" x14ac:dyDescent="0.3">
      <c r="A45" s="2" t="s">
        <v>5</v>
      </c>
      <c r="B45" s="2">
        <v>2021</v>
      </c>
      <c r="C45" s="2">
        <v>110</v>
      </c>
      <c r="G45" s="1"/>
    </row>
    <row r="46" spans="1:7" x14ac:dyDescent="0.3">
      <c r="A46" s="2" t="s">
        <v>3</v>
      </c>
      <c r="B46" s="2">
        <v>2022</v>
      </c>
      <c r="C46" s="2">
        <v>160</v>
      </c>
      <c r="E46" s="1"/>
    </row>
    <row r="47" spans="1:7" x14ac:dyDescent="0.3">
      <c r="A47" s="2" t="s">
        <v>5</v>
      </c>
      <c r="B47" s="2">
        <v>2022</v>
      </c>
      <c r="C47" s="2">
        <v>190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D74BB-1532-48D4-A9E2-6720263A361E}">
  <dimension ref="A1:C49"/>
  <sheetViews>
    <sheetView workbookViewId="0">
      <selection activeCell="C2" sqref="C2"/>
    </sheetView>
  </sheetViews>
  <sheetFormatPr defaultRowHeight="14.4" x14ac:dyDescent="0.3"/>
  <sheetData>
    <row r="1" spans="1:3" x14ac:dyDescent="0.3">
      <c r="A1" s="4" t="s">
        <v>7</v>
      </c>
      <c r="B1" s="4" t="s">
        <v>0</v>
      </c>
      <c r="C1" s="4" t="s">
        <v>6</v>
      </c>
    </row>
    <row r="2" spans="1:3" x14ac:dyDescent="0.3">
      <c r="A2" s="2" t="s">
        <v>3</v>
      </c>
      <c r="B2" s="2">
        <v>2000</v>
      </c>
      <c r="C2" s="2">
        <v>4</v>
      </c>
    </row>
    <row r="3" spans="1:3" x14ac:dyDescent="0.3">
      <c r="A3" s="2" t="s">
        <v>5</v>
      </c>
      <c r="B3" s="2">
        <v>2000</v>
      </c>
      <c r="C3" s="2">
        <v>35</v>
      </c>
    </row>
    <row r="4" spans="1:3" x14ac:dyDescent="0.3">
      <c r="A4" s="2" t="s">
        <v>3</v>
      </c>
      <c r="B4" s="2">
        <v>2001</v>
      </c>
      <c r="C4" s="2">
        <v>30</v>
      </c>
    </row>
    <row r="5" spans="1:3" x14ac:dyDescent="0.3">
      <c r="A5" s="2" t="s">
        <v>5</v>
      </c>
      <c r="B5" s="2">
        <v>2001</v>
      </c>
      <c r="C5" s="2">
        <v>25</v>
      </c>
    </row>
    <row r="6" spans="1:3" x14ac:dyDescent="0.3">
      <c r="A6" s="2" t="s">
        <v>3</v>
      </c>
      <c r="B6" s="2">
        <v>2002</v>
      </c>
      <c r="C6" s="2">
        <v>10</v>
      </c>
    </row>
    <row r="7" spans="1:3" x14ac:dyDescent="0.3">
      <c r="A7" s="2" t="s">
        <v>5</v>
      </c>
      <c r="B7" s="2">
        <v>2002</v>
      </c>
      <c r="C7" s="2">
        <v>20</v>
      </c>
    </row>
    <row r="8" spans="1:3" x14ac:dyDescent="0.3">
      <c r="A8" s="2" t="s">
        <v>3</v>
      </c>
      <c r="B8" s="2">
        <v>2003</v>
      </c>
      <c r="C8" s="2">
        <v>50</v>
      </c>
    </row>
    <row r="9" spans="1:3" x14ac:dyDescent="0.3">
      <c r="A9" s="2" t="s">
        <v>5</v>
      </c>
      <c r="B9" s="2">
        <v>2003</v>
      </c>
      <c r="C9" s="2">
        <v>24</v>
      </c>
    </row>
    <row r="10" spans="1:3" x14ac:dyDescent="0.3">
      <c r="A10" s="2" t="s">
        <v>5</v>
      </c>
      <c r="B10" s="2">
        <v>2004</v>
      </c>
      <c r="C10" s="2">
        <v>36</v>
      </c>
    </row>
    <row r="11" spans="1:3" x14ac:dyDescent="0.3">
      <c r="A11" s="2" t="s">
        <v>3</v>
      </c>
      <c r="B11" s="2">
        <v>2004</v>
      </c>
      <c r="C11" s="2">
        <v>4</v>
      </c>
    </row>
    <row r="12" spans="1:3" x14ac:dyDescent="0.3">
      <c r="A12" s="2" t="s">
        <v>3</v>
      </c>
      <c r="B12" s="2">
        <v>2004</v>
      </c>
      <c r="C12" s="2">
        <v>12</v>
      </c>
    </row>
    <row r="13" spans="1:3" x14ac:dyDescent="0.3">
      <c r="A13" s="2" t="s">
        <v>5</v>
      </c>
      <c r="B13" s="2">
        <v>2005</v>
      </c>
      <c r="C13" s="2">
        <v>12</v>
      </c>
    </row>
    <row r="14" spans="1:3" x14ac:dyDescent="0.3">
      <c r="A14" s="2" t="s">
        <v>3</v>
      </c>
      <c r="B14" s="2">
        <v>2005</v>
      </c>
      <c r="C14" s="2">
        <v>21</v>
      </c>
    </row>
    <row r="15" spans="1:3" x14ac:dyDescent="0.3">
      <c r="A15" s="2" t="s">
        <v>5</v>
      </c>
      <c r="B15" s="2">
        <v>2006</v>
      </c>
      <c r="C15" s="2">
        <v>30</v>
      </c>
    </row>
    <row r="16" spans="1:3" x14ac:dyDescent="0.3">
      <c r="A16" s="2" t="s">
        <v>5</v>
      </c>
      <c r="B16" s="2">
        <v>2006</v>
      </c>
      <c r="C16" s="2">
        <v>6</v>
      </c>
    </row>
    <row r="17" spans="1:3" x14ac:dyDescent="0.3">
      <c r="A17" s="2" t="s">
        <v>3</v>
      </c>
      <c r="B17" s="2">
        <v>2006</v>
      </c>
      <c r="C17" s="2">
        <v>45</v>
      </c>
    </row>
    <row r="18" spans="1:3" x14ac:dyDescent="0.3">
      <c r="A18" s="2" t="s">
        <v>5</v>
      </c>
      <c r="B18" s="2">
        <v>2007</v>
      </c>
      <c r="C18" s="2">
        <v>14</v>
      </c>
    </row>
    <row r="19" spans="1:3" x14ac:dyDescent="0.3">
      <c r="A19" s="2" t="s">
        <v>3</v>
      </c>
      <c r="B19" s="2">
        <v>2007</v>
      </c>
      <c r="C19" s="2">
        <v>21</v>
      </c>
    </row>
    <row r="20" spans="1:3" x14ac:dyDescent="0.3">
      <c r="A20" s="2" t="s">
        <v>5</v>
      </c>
      <c r="B20" s="2">
        <v>2008</v>
      </c>
      <c r="C20" s="2">
        <v>33</v>
      </c>
    </row>
    <row r="21" spans="1:3" x14ac:dyDescent="0.3">
      <c r="A21" s="2" t="s">
        <v>3</v>
      </c>
      <c r="B21" s="2">
        <v>2008</v>
      </c>
      <c r="C21" s="2">
        <v>29</v>
      </c>
    </row>
    <row r="22" spans="1:3" x14ac:dyDescent="0.3">
      <c r="A22" s="2" t="s">
        <v>5</v>
      </c>
      <c r="B22" s="2">
        <v>2009</v>
      </c>
      <c r="C22" s="2">
        <v>34</v>
      </c>
    </row>
    <row r="23" spans="1:3" x14ac:dyDescent="0.3">
      <c r="A23" s="2" t="s">
        <v>3</v>
      </c>
      <c r="B23" s="2">
        <v>2009</v>
      </c>
      <c r="C23" s="2">
        <v>7</v>
      </c>
    </row>
    <row r="24" spans="1:3" x14ac:dyDescent="0.3">
      <c r="A24" s="2" t="s">
        <v>5</v>
      </c>
      <c r="B24" s="2">
        <v>2010</v>
      </c>
      <c r="C24" s="2">
        <v>36</v>
      </c>
    </row>
    <row r="25" spans="1:3" x14ac:dyDescent="0.3">
      <c r="A25" s="2" t="s">
        <v>3</v>
      </c>
      <c r="B25" s="2">
        <v>2010</v>
      </c>
      <c r="C25" s="2">
        <v>40</v>
      </c>
    </row>
    <row r="26" spans="1:3" x14ac:dyDescent="0.3">
      <c r="A26" s="2" t="s">
        <v>5</v>
      </c>
      <c r="B26" s="2">
        <v>2011</v>
      </c>
      <c r="C26" s="2">
        <v>6</v>
      </c>
    </row>
    <row r="27" spans="1:3" x14ac:dyDescent="0.3">
      <c r="A27" s="2" t="s">
        <v>3</v>
      </c>
      <c r="B27" s="2">
        <v>2011</v>
      </c>
      <c r="C27" s="2">
        <v>21</v>
      </c>
    </row>
    <row r="28" spans="1:3" x14ac:dyDescent="0.3">
      <c r="A28" s="2" t="s">
        <v>5</v>
      </c>
      <c r="B28" s="2">
        <v>2012</v>
      </c>
      <c r="C28" s="2">
        <v>2</v>
      </c>
    </row>
    <row r="29" spans="1:3" x14ac:dyDescent="0.3">
      <c r="A29" s="2" t="s">
        <v>3</v>
      </c>
      <c r="B29" s="2">
        <v>2012</v>
      </c>
      <c r="C29" s="2">
        <v>9</v>
      </c>
    </row>
    <row r="30" spans="1:3" x14ac:dyDescent="0.3">
      <c r="A30" s="2" t="s">
        <v>5</v>
      </c>
      <c r="B30" s="2">
        <v>2013</v>
      </c>
      <c r="C30" s="2">
        <v>4</v>
      </c>
    </row>
    <row r="31" spans="1:3" x14ac:dyDescent="0.3">
      <c r="A31" s="2" t="s">
        <v>3</v>
      </c>
      <c r="B31" s="2">
        <v>2013</v>
      </c>
      <c r="C31" s="2">
        <v>21</v>
      </c>
    </row>
    <row r="32" spans="1:3" x14ac:dyDescent="0.3">
      <c r="A32" s="2" t="s">
        <v>5</v>
      </c>
      <c r="B32" s="2">
        <v>2014</v>
      </c>
      <c r="C32" s="2">
        <v>31</v>
      </c>
    </row>
    <row r="33" spans="1:3" x14ac:dyDescent="0.3">
      <c r="A33" s="2" t="s">
        <v>3</v>
      </c>
      <c r="B33" s="2">
        <v>2014</v>
      </c>
      <c r="C33" s="2">
        <v>39</v>
      </c>
    </row>
    <row r="34" spans="1:3" x14ac:dyDescent="0.3">
      <c r="A34" s="2" t="s">
        <v>3</v>
      </c>
      <c r="B34" s="2">
        <v>2015</v>
      </c>
      <c r="C34" s="2">
        <v>22</v>
      </c>
    </row>
    <row r="35" spans="1:3" x14ac:dyDescent="0.3">
      <c r="A35" s="2" t="s">
        <v>3</v>
      </c>
      <c r="B35" s="2">
        <v>2015</v>
      </c>
      <c r="C35" s="2">
        <v>26</v>
      </c>
    </row>
    <row r="36" spans="1:3" x14ac:dyDescent="0.3">
      <c r="A36" s="2" t="s">
        <v>5</v>
      </c>
      <c r="B36" s="2">
        <v>2016</v>
      </c>
      <c r="C36" s="2">
        <v>45</v>
      </c>
    </row>
    <row r="37" spans="1:3" x14ac:dyDescent="0.3">
      <c r="A37" s="2" t="s">
        <v>5</v>
      </c>
      <c r="B37" s="2">
        <v>2016</v>
      </c>
      <c r="C37" s="2">
        <v>24</v>
      </c>
    </row>
    <row r="38" spans="1:3" x14ac:dyDescent="0.3">
      <c r="A38" s="2" t="s">
        <v>5</v>
      </c>
      <c r="B38" s="2">
        <v>2017</v>
      </c>
      <c r="C38" s="2">
        <v>6</v>
      </c>
    </row>
    <row r="39" spans="1:3" x14ac:dyDescent="0.3">
      <c r="A39" s="2" t="s">
        <v>3</v>
      </c>
      <c r="B39" s="2">
        <v>2017</v>
      </c>
      <c r="C39" s="2">
        <v>6</v>
      </c>
    </row>
    <row r="40" spans="1:3" x14ac:dyDescent="0.3">
      <c r="A40" s="2" t="s">
        <v>5</v>
      </c>
      <c r="B40" s="2">
        <v>2018</v>
      </c>
      <c r="C40" s="2">
        <v>14</v>
      </c>
    </row>
    <row r="41" spans="1:3" x14ac:dyDescent="0.3">
      <c r="A41" s="2" t="s">
        <v>3</v>
      </c>
      <c r="B41" s="2">
        <v>2018</v>
      </c>
      <c r="C41" s="2">
        <v>10</v>
      </c>
    </row>
    <row r="42" spans="1:3" x14ac:dyDescent="0.3">
      <c r="A42" s="2" t="s">
        <v>5</v>
      </c>
      <c r="B42" s="2">
        <v>2019</v>
      </c>
      <c r="C42" s="2">
        <v>35</v>
      </c>
    </row>
    <row r="43" spans="1:3" x14ac:dyDescent="0.3">
      <c r="A43" s="2" t="s">
        <v>3</v>
      </c>
      <c r="B43" s="2">
        <v>2019</v>
      </c>
      <c r="C43" s="2">
        <v>41</v>
      </c>
    </row>
    <row r="44" spans="1:3" x14ac:dyDescent="0.3">
      <c r="A44" s="2" t="s">
        <v>5</v>
      </c>
      <c r="B44" s="2">
        <v>2020</v>
      </c>
      <c r="C44" s="2">
        <v>6</v>
      </c>
    </row>
    <row r="45" spans="1:3" x14ac:dyDescent="0.3">
      <c r="A45" s="2" t="s">
        <v>3</v>
      </c>
      <c r="B45" s="2">
        <v>2020</v>
      </c>
      <c r="C45" s="2">
        <v>10</v>
      </c>
    </row>
    <row r="46" spans="1:3" x14ac:dyDescent="0.3">
      <c r="A46" s="2" t="s">
        <v>5</v>
      </c>
      <c r="B46" s="2">
        <v>2021</v>
      </c>
      <c r="C46" s="2">
        <v>25</v>
      </c>
    </row>
    <row r="47" spans="1:3" x14ac:dyDescent="0.3">
      <c r="A47" s="2" t="s">
        <v>3</v>
      </c>
      <c r="B47" s="2">
        <v>2021</v>
      </c>
      <c r="C47" s="2">
        <v>7</v>
      </c>
    </row>
    <row r="48" spans="1:3" x14ac:dyDescent="0.3">
      <c r="A48" s="2" t="s">
        <v>5</v>
      </c>
      <c r="B48" s="2">
        <v>2022</v>
      </c>
      <c r="C48" s="2">
        <v>27</v>
      </c>
    </row>
    <row r="49" spans="1:3" x14ac:dyDescent="0.3">
      <c r="A49" s="2" t="s">
        <v>3</v>
      </c>
      <c r="B49" s="2">
        <v>2022</v>
      </c>
      <c r="C49" s="2">
        <v>7</v>
      </c>
    </row>
  </sheetData>
  <autoFilter ref="A1:D49" xr:uid="{439D74BB-1532-48D4-A9E2-6720263A361E}">
    <sortState xmlns:xlrd2="http://schemas.microsoft.com/office/spreadsheetml/2017/richdata2" ref="A2:C49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5F05B-C98A-42D5-872A-FE8D84007C70}">
  <dimension ref="A3:B20"/>
  <sheetViews>
    <sheetView workbookViewId="0">
      <selection activeCell="B12" sqref="B12"/>
    </sheetView>
  </sheetViews>
  <sheetFormatPr defaultRowHeight="14.4" x14ac:dyDescent="0.3"/>
  <cols>
    <col min="1" max="1" width="24.77734375" bestFit="1" customWidth="1"/>
    <col min="2" max="2" width="15.88671875" bestFit="1" customWidth="1"/>
    <col min="3" max="24" width="5" bestFit="1" customWidth="1"/>
    <col min="25" max="25" width="10.77734375" bestFit="1" customWidth="1"/>
  </cols>
  <sheetData>
    <row r="3" spans="1:2" x14ac:dyDescent="0.3">
      <c r="A3" s="5" t="s">
        <v>14</v>
      </c>
      <c r="B3" t="s">
        <v>13</v>
      </c>
    </row>
    <row r="4" spans="1:2" x14ac:dyDescent="0.3">
      <c r="A4" s="6" t="s">
        <v>3</v>
      </c>
      <c r="B4" s="8">
        <v>1079</v>
      </c>
    </row>
    <row r="5" spans="1:2" x14ac:dyDescent="0.3">
      <c r="A5" s="7">
        <v>2015</v>
      </c>
      <c r="B5" s="8">
        <v>226</v>
      </c>
    </row>
    <row r="6" spans="1:2" x14ac:dyDescent="0.3">
      <c r="A6" s="7">
        <v>2017</v>
      </c>
      <c r="B6" s="8">
        <v>107</v>
      </c>
    </row>
    <row r="7" spans="1:2" x14ac:dyDescent="0.3">
      <c r="A7" s="7">
        <v>2018</v>
      </c>
      <c r="B7" s="8">
        <v>178</v>
      </c>
    </row>
    <row r="8" spans="1:2" x14ac:dyDescent="0.3">
      <c r="A8" s="7">
        <v>2019</v>
      </c>
      <c r="B8" s="8">
        <v>193</v>
      </c>
    </row>
    <row r="9" spans="1:2" x14ac:dyDescent="0.3">
      <c r="A9" s="7">
        <v>2020</v>
      </c>
      <c r="B9" s="8">
        <v>98</v>
      </c>
    </row>
    <row r="10" spans="1:2" x14ac:dyDescent="0.3">
      <c r="A10" s="7">
        <v>2021</v>
      </c>
      <c r="B10" s="8">
        <v>127</v>
      </c>
    </row>
    <row r="11" spans="1:2" x14ac:dyDescent="0.3">
      <c r="A11" s="7">
        <v>2022</v>
      </c>
      <c r="B11" s="8">
        <v>150</v>
      </c>
    </row>
    <row r="12" spans="1:2" x14ac:dyDescent="0.3">
      <c r="A12" s="6" t="s">
        <v>5</v>
      </c>
      <c r="B12" s="8">
        <v>910</v>
      </c>
    </row>
    <row r="13" spans="1:2" x14ac:dyDescent="0.3">
      <c r="A13" s="7">
        <v>2016</v>
      </c>
      <c r="B13" s="8">
        <v>126</v>
      </c>
    </row>
    <row r="14" spans="1:2" x14ac:dyDescent="0.3">
      <c r="A14" s="7">
        <v>2017</v>
      </c>
      <c r="B14" s="8">
        <v>59</v>
      </c>
    </row>
    <row r="15" spans="1:2" x14ac:dyDescent="0.3">
      <c r="A15" s="7">
        <v>2018</v>
      </c>
      <c r="B15" s="8">
        <v>155</v>
      </c>
    </row>
    <row r="16" spans="1:2" x14ac:dyDescent="0.3">
      <c r="A16" s="7">
        <v>2019</v>
      </c>
      <c r="B16" s="8">
        <v>169</v>
      </c>
    </row>
    <row r="17" spans="1:2" x14ac:dyDescent="0.3">
      <c r="A17" s="7">
        <v>2020</v>
      </c>
      <c r="B17" s="8">
        <v>132</v>
      </c>
    </row>
    <row r="18" spans="1:2" x14ac:dyDescent="0.3">
      <c r="A18" s="7">
        <v>2021</v>
      </c>
      <c r="B18" s="8">
        <v>104</v>
      </c>
    </row>
    <row r="19" spans="1:2" x14ac:dyDescent="0.3">
      <c r="A19" s="7">
        <v>2022</v>
      </c>
      <c r="B19" s="8">
        <v>165</v>
      </c>
    </row>
    <row r="20" spans="1:2" x14ac:dyDescent="0.3">
      <c r="A20" s="6" t="s">
        <v>12</v>
      </c>
      <c r="B20" s="8">
        <v>1989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9C94C-6ACF-4F69-B1EA-9086081C8632}">
  <dimension ref="A1:I47"/>
  <sheetViews>
    <sheetView tabSelected="1" workbookViewId="0">
      <selection activeCell="I8" sqref="I8"/>
    </sheetView>
  </sheetViews>
  <sheetFormatPr defaultRowHeight="14.4" x14ac:dyDescent="0.3"/>
  <cols>
    <col min="2" max="2" width="11.88671875" customWidth="1"/>
    <col min="4" max="4" width="20.6640625" customWidth="1"/>
    <col min="5" max="5" width="24.21875" customWidth="1"/>
    <col min="6" max="6" width="16.88671875" customWidth="1"/>
    <col min="9" max="9" width="28.21875" customWidth="1"/>
  </cols>
  <sheetData>
    <row r="1" spans="1:9" x14ac:dyDescent="0.3">
      <c r="A1" t="s">
        <v>7</v>
      </c>
      <c r="B1" t="s">
        <v>0</v>
      </c>
      <c r="C1" t="s">
        <v>9</v>
      </c>
      <c r="D1" t="s">
        <v>10</v>
      </c>
      <c r="E1" t="s">
        <v>11</v>
      </c>
      <c r="I1" t="s">
        <v>16</v>
      </c>
    </row>
    <row r="2" spans="1:9" x14ac:dyDescent="0.3">
      <c r="A2" t="s">
        <v>3</v>
      </c>
      <c r="B2">
        <v>2000</v>
      </c>
      <c r="C2">
        <f>VLOOKUP(A2,Sheet1!A1:C47,3,FALSE)</f>
        <v>104</v>
      </c>
      <c r="D2">
        <f>VLOOKUP(A2,Sheet2!A1:C49,3,FALSE)</f>
        <v>4</v>
      </c>
      <c r="E2">
        <f>C2-D2</f>
        <v>100</v>
      </c>
    </row>
    <row r="3" spans="1:9" x14ac:dyDescent="0.3">
      <c r="A3" t="s">
        <v>5</v>
      </c>
      <c r="B3">
        <v>2000</v>
      </c>
      <c r="C3">
        <f>VLOOKUP(A3,Sheet1!A2:C48,3,FALSE)</f>
        <v>150</v>
      </c>
      <c r="D3">
        <f>VLOOKUP(A3,Sheet2!A2:C50,3,FALSE)</f>
        <v>35</v>
      </c>
      <c r="E3">
        <f t="shared" ref="E3:E47" si="0">C3-D3</f>
        <v>115</v>
      </c>
      <c r="F3" t="s">
        <v>15</v>
      </c>
      <c r="I3" t="s">
        <v>17</v>
      </c>
    </row>
    <row r="4" spans="1:9" x14ac:dyDescent="0.3">
      <c r="A4" t="s">
        <v>3</v>
      </c>
      <c r="B4">
        <v>2001</v>
      </c>
      <c r="C4">
        <f>VLOOKUP(A4,Sheet1!A3:C49,3,FALSE)</f>
        <v>154</v>
      </c>
      <c r="D4">
        <f>VLOOKUP(A4,Sheet2!A3:C51,3,FALSE)</f>
        <v>30</v>
      </c>
      <c r="E4">
        <f t="shared" si="0"/>
        <v>124</v>
      </c>
      <c r="F4" s="9" t="s">
        <v>3</v>
      </c>
      <c r="G4" s="10">
        <f>(SUMIFS($C:$C,$A:$A,"A",$B:$B,2022)-SUMIFS($C:$C,$A:$A,"A",$B:$B,2021))/SUMIFS($C:$C,$A:$A,"A",$B:$B,2021)</f>
        <v>-4.7619047619047616E-2</v>
      </c>
      <c r="I4" s="9">
        <f>SUMIF(A:A,"A",C:C)</f>
        <v>3351</v>
      </c>
    </row>
    <row r="5" spans="1:9" x14ac:dyDescent="0.3">
      <c r="A5" t="s">
        <v>5</v>
      </c>
      <c r="B5">
        <v>2001</v>
      </c>
      <c r="C5">
        <f>VLOOKUP(A5,Sheet1!A4:C50,3,FALSE)</f>
        <v>198</v>
      </c>
      <c r="D5">
        <f>VLOOKUP(A5,Sheet2!A4:C52,3,FALSE)</f>
        <v>25</v>
      </c>
      <c r="E5">
        <f t="shared" si="0"/>
        <v>173</v>
      </c>
      <c r="F5" s="9" t="s">
        <v>5</v>
      </c>
      <c r="G5" s="10">
        <f>(SUMIFS($C:$C,$A:$A,"B",$B:$B,2022)-SUMIFS($C:$C,$A:$A,"B",$B:$B,2021))/SUMIFS($C:$C,$A:$A,"B",$B:$B,2021)</f>
        <v>0.72727272727272729</v>
      </c>
      <c r="I5" t="s">
        <v>18</v>
      </c>
    </row>
    <row r="6" spans="1:9" x14ac:dyDescent="0.3">
      <c r="A6" t="s">
        <v>3</v>
      </c>
      <c r="B6">
        <v>2002</v>
      </c>
      <c r="C6">
        <f>VLOOKUP(A6,Sheet1!A5:C51,3,FALSE)</f>
        <v>193</v>
      </c>
      <c r="D6">
        <f>VLOOKUP(A6,Sheet2!A5:C53,3,FALSE)</f>
        <v>10</v>
      </c>
      <c r="E6">
        <f t="shared" si="0"/>
        <v>183</v>
      </c>
      <c r="I6" s="9">
        <f>SUM(C:C)</f>
        <v>6666</v>
      </c>
    </row>
    <row r="7" spans="1:9" x14ac:dyDescent="0.3">
      <c r="A7" t="s">
        <v>5</v>
      </c>
      <c r="B7">
        <v>2002</v>
      </c>
      <c r="C7">
        <f>VLOOKUP(A7,Sheet1!A6:C52,3,FALSE)</f>
        <v>124</v>
      </c>
      <c r="D7">
        <f>VLOOKUP(A7,Sheet2!A6:C54,3,FALSE)</f>
        <v>20</v>
      </c>
      <c r="E7">
        <f t="shared" si="0"/>
        <v>104</v>
      </c>
      <c r="I7" t="s">
        <v>19</v>
      </c>
    </row>
    <row r="8" spans="1:9" x14ac:dyDescent="0.3">
      <c r="A8" t="s">
        <v>3</v>
      </c>
      <c r="B8">
        <v>2003</v>
      </c>
      <c r="C8">
        <f>VLOOKUP(A8,Sheet1!A7:C53,3,FALSE)</f>
        <v>111</v>
      </c>
      <c r="D8">
        <f>VLOOKUP(A8,Sheet2!A7:C55,3,FALSE)</f>
        <v>50</v>
      </c>
      <c r="E8">
        <f t="shared" si="0"/>
        <v>61</v>
      </c>
      <c r="I8" s="10">
        <f>SUMIF(A:A,"A",C:C)/SUM(C:C)</f>
        <v>0.50270027002700268</v>
      </c>
    </row>
    <row r="9" spans="1:9" x14ac:dyDescent="0.3">
      <c r="A9" t="s">
        <v>5</v>
      </c>
      <c r="B9">
        <v>2003</v>
      </c>
      <c r="C9">
        <f>VLOOKUP(A9,Sheet1!A8:C54,3,FALSE)</f>
        <v>152</v>
      </c>
      <c r="D9">
        <f>VLOOKUP(A9,Sheet2!A8:C56,3,FALSE)</f>
        <v>24</v>
      </c>
      <c r="E9">
        <f t="shared" si="0"/>
        <v>128</v>
      </c>
    </row>
    <row r="10" spans="1:9" x14ac:dyDescent="0.3">
      <c r="A10" t="s">
        <v>3</v>
      </c>
      <c r="B10">
        <v>2004</v>
      </c>
      <c r="C10">
        <f>VLOOKUP(A10,Sheet1!A9:C55,3,FALSE)</f>
        <v>135</v>
      </c>
      <c r="D10">
        <f>VLOOKUP(A10,Sheet2!A9:C57,3,FALSE)</f>
        <v>4</v>
      </c>
      <c r="E10">
        <f t="shared" si="0"/>
        <v>131</v>
      </c>
    </row>
    <row r="11" spans="1:9" x14ac:dyDescent="0.3">
      <c r="A11" t="s">
        <v>5</v>
      </c>
      <c r="B11">
        <v>2004</v>
      </c>
      <c r="C11">
        <f>VLOOKUP(A11,Sheet1!A10:C56,3,FALSE)</f>
        <v>131</v>
      </c>
      <c r="D11">
        <f>VLOOKUP(A11,Sheet2!A10:C58,3,FALSE)</f>
        <v>36</v>
      </c>
      <c r="E11">
        <f t="shared" si="0"/>
        <v>95</v>
      </c>
    </row>
    <row r="12" spans="1:9" x14ac:dyDescent="0.3">
      <c r="A12" t="s">
        <v>3</v>
      </c>
      <c r="B12">
        <v>2005</v>
      </c>
      <c r="C12">
        <f>VLOOKUP(A12,Sheet1!A11:C57,3,FALSE)</f>
        <v>186</v>
      </c>
      <c r="D12">
        <f>VLOOKUP(A12,Sheet2!A11:C59,3,FALSE)</f>
        <v>4</v>
      </c>
      <c r="E12">
        <f t="shared" si="0"/>
        <v>182</v>
      </c>
    </row>
    <row r="13" spans="1:9" x14ac:dyDescent="0.3">
      <c r="A13" t="s">
        <v>5</v>
      </c>
      <c r="B13">
        <v>2005</v>
      </c>
      <c r="C13">
        <f>VLOOKUP(A13,Sheet1!A12:C58,3,FALSE)</f>
        <v>132</v>
      </c>
      <c r="D13">
        <f>VLOOKUP(A13,Sheet2!A12:C60,3,FALSE)</f>
        <v>12</v>
      </c>
      <c r="E13">
        <f t="shared" si="0"/>
        <v>120</v>
      </c>
    </row>
    <row r="14" spans="1:9" x14ac:dyDescent="0.3">
      <c r="A14" t="s">
        <v>3</v>
      </c>
      <c r="B14">
        <v>2006</v>
      </c>
      <c r="C14">
        <f>VLOOKUP(A14,Sheet1!A13:C59,3,FALSE)</f>
        <v>144</v>
      </c>
      <c r="D14">
        <f>VLOOKUP(A14,Sheet2!A13:C61,3,FALSE)</f>
        <v>21</v>
      </c>
      <c r="E14">
        <f t="shared" si="0"/>
        <v>123</v>
      </c>
    </row>
    <row r="15" spans="1:9" x14ac:dyDescent="0.3">
      <c r="A15" t="s">
        <v>5</v>
      </c>
      <c r="B15">
        <v>2006</v>
      </c>
      <c r="C15">
        <f>VLOOKUP(A15,Sheet1!A14:C60,3,FALSE)</f>
        <v>164</v>
      </c>
      <c r="D15">
        <f>VLOOKUP(A15,Sheet2!A14:C62,3,FALSE)</f>
        <v>30</v>
      </c>
      <c r="E15">
        <f t="shared" si="0"/>
        <v>134</v>
      </c>
    </row>
    <row r="16" spans="1:9" x14ac:dyDescent="0.3">
      <c r="A16" t="s">
        <v>3</v>
      </c>
      <c r="B16">
        <v>2007</v>
      </c>
      <c r="C16">
        <f>VLOOKUP(A16,Sheet1!A15:C61,3,FALSE)</f>
        <v>184</v>
      </c>
      <c r="D16">
        <f>VLOOKUP(A16,Sheet2!A15:C63,3,FALSE)</f>
        <v>45</v>
      </c>
      <c r="E16">
        <f t="shared" si="0"/>
        <v>139</v>
      </c>
    </row>
    <row r="17" spans="1:5" x14ac:dyDescent="0.3">
      <c r="A17" t="s">
        <v>5</v>
      </c>
      <c r="B17">
        <v>2007</v>
      </c>
      <c r="C17">
        <f>VLOOKUP(A17,Sheet1!A16:C62,3,FALSE)</f>
        <v>169</v>
      </c>
      <c r="D17">
        <f>VLOOKUP(A17,Sheet2!A16:C64,3,FALSE)</f>
        <v>6</v>
      </c>
      <c r="E17">
        <f t="shared" si="0"/>
        <v>163</v>
      </c>
    </row>
    <row r="18" spans="1:5" x14ac:dyDescent="0.3">
      <c r="A18" t="s">
        <v>3</v>
      </c>
      <c r="B18">
        <v>2008</v>
      </c>
      <c r="C18">
        <f>VLOOKUP(A18,Sheet1!A17:C63,3,FALSE)</f>
        <v>150</v>
      </c>
      <c r="D18">
        <f>VLOOKUP(A18,Sheet2!A17:C65,3,FALSE)</f>
        <v>45</v>
      </c>
      <c r="E18">
        <f t="shared" si="0"/>
        <v>105</v>
      </c>
    </row>
    <row r="19" spans="1:5" x14ac:dyDescent="0.3">
      <c r="A19" t="s">
        <v>5</v>
      </c>
      <c r="B19">
        <v>2008</v>
      </c>
      <c r="C19">
        <f>VLOOKUP(A19,Sheet1!A18:C64,3,FALSE)</f>
        <v>141</v>
      </c>
      <c r="D19">
        <f>VLOOKUP(A19,Sheet2!A18:C66,3,FALSE)</f>
        <v>14</v>
      </c>
      <c r="E19">
        <f t="shared" si="0"/>
        <v>127</v>
      </c>
    </row>
    <row r="20" spans="1:5" x14ac:dyDescent="0.3">
      <c r="A20" t="s">
        <v>3</v>
      </c>
      <c r="B20">
        <v>2009</v>
      </c>
      <c r="C20">
        <f>VLOOKUP(A20,Sheet1!A19:C65,3,FALSE)</f>
        <v>130</v>
      </c>
      <c r="D20">
        <f>VLOOKUP(A20,Sheet2!A19:C67,3,FALSE)</f>
        <v>21</v>
      </c>
      <c r="E20">
        <f t="shared" si="0"/>
        <v>109</v>
      </c>
    </row>
    <row r="21" spans="1:5" x14ac:dyDescent="0.3">
      <c r="A21" t="s">
        <v>5</v>
      </c>
      <c r="B21">
        <v>2009</v>
      </c>
      <c r="C21">
        <f>VLOOKUP(A21,Sheet1!A20:C66,3,FALSE)</f>
        <v>133</v>
      </c>
      <c r="D21">
        <f>VLOOKUP(A21,Sheet2!A20:C68,3,FALSE)</f>
        <v>33</v>
      </c>
      <c r="E21">
        <f t="shared" si="0"/>
        <v>100</v>
      </c>
    </row>
    <row r="22" spans="1:5" x14ac:dyDescent="0.3">
      <c r="A22" t="s">
        <v>3</v>
      </c>
      <c r="B22">
        <v>2010</v>
      </c>
      <c r="C22">
        <f>VLOOKUP(A22,Sheet1!A21:C67,3,FALSE)</f>
        <v>110</v>
      </c>
      <c r="D22">
        <f>VLOOKUP(A22,Sheet2!A21:C69,3,FALSE)</f>
        <v>29</v>
      </c>
      <c r="E22">
        <f t="shared" si="0"/>
        <v>81</v>
      </c>
    </row>
    <row r="23" spans="1:5" x14ac:dyDescent="0.3">
      <c r="A23" t="s">
        <v>5</v>
      </c>
      <c r="B23">
        <v>2010</v>
      </c>
      <c r="C23">
        <f>VLOOKUP(A23,Sheet1!A22:C68,3,FALSE)</f>
        <v>171</v>
      </c>
      <c r="D23">
        <f>VLOOKUP(A23,Sheet2!A22:C70,3,FALSE)</f>
        <v>34</v>
      </c>
      <c r="E23">
        <f t="shared" si="0"/>
        <v>137</v>
      </c>
    </row>
    <row r="24" spans="1:5" x14ac:dyDescent="0.3">
      <c r="A24" t="s">
        <v>3</v>
      </c>
      <c r="B24">
        <v>2011</v>
      </c>
      <c r="C24">
        <f>VLOOKUP(A24,Sheet1!A23:C69,3,FALSE)</f>
        <v>151</v>
      </c>
      <c r="D24">
        <f>VLOOKUP(A24,Sheet2!A23:C71,3,FALSE)</f>
        <v>7</v>
      </c>
      <c r="E24">
        <f t="shared" si="0"/>
        <v>144</v>
      </c>
    </row>
    <row r="25" spans="1:5" x14ac:dyDescent="0.3">
      <c r="A25" t="s">
        <v>5</v>
      </c>
      <c r="B25">
        <v>2011</v>
      </c>
      <c r="C25">
        <f>VLOOKUP(A25,Sheet1!A24:C70,3,FALSE)</f>
        <v>141</v>
      </c>
      <c r="D25">
        <f>VLOOKUP(A25,Sheet2!A24:C72,3,FALSE)</f>
        <v>36</v>
      </c>
      <c r="E25">
        <f t="shared" si="0"/>
        <v>105</v>
      </c>
    </row>
    <row r="26" spans="1:5" x14ac:dyDescent="0.3">
      <c r="A26" t="s">
        <v>3</v>
      </c>
      <c r="B26">
        <v>2012</v>
      </c>
      <c r="C26">
        <f>VLOOKUP(A26,Sheet1!A25:C71,3,FALSE)</f>
        <v>120</v>
      </c>
      <c r="D26">
        <f>VLOOKUP(A26,Sheet2!A25:C73,3,FALSE)</f>
        <v>40</v>
      </c>
      <c r="E26">
        <f t="shared" si="0"/>
        <v>80</v>
      </c>
    </row>
    <row r="27" spans="1:5" x14ac:dyDescent="0.3">
      <c r="A27" t="s">
        <v>5</v>
      </c>
      <c r="B27">
        <v>2012</v>
      </c>
      <c r="C27">
        <f>VLOOKUP(A27,Sheet1!A26:C72,3,FALSE)</f>
        <v>152</v>
      </c>
      <c r="D27">
        <f>VLOOKUP(A27,Sheet2!A26:C74,3,FALSE)</f>
        <v>6</v>
      </c>
      <c r="E27">
        <f t="shared" si="0"/>
        <v>146</v>
      </c>
    </row>
    <row r="28" spans="1:5" x14ac:dyDescent="0.3">
      <c r="A28" t="s">
        <v>3</v>
      </c>
      <c r="B28">
        <v>2013</v>
      </c>
      <c r="C28">
        <f>VLOOKUP(A28,Sheet1!A27:C73,3,FALSE)</f>
        <v>119</v>
      </c>
      <c r="D28">
        <f>VLOOKUP(A28,Sheet2!A27:C75,3,FALSE)</f>
        <v>21</v>
      </c>
      <c r="E28">
        <f t="shared" si="0"/>
        <v>98</v>
      </c>
    </row>
    <row r="29" spans="1:5" x14ac:dyDescent="0.3">
      <c r="A29" t="s">
        <v>5</v>
      </c>
      <c r="B29">
        <v>2013</v>
      </c>
      <c r="C29">
        <f>VLOOKUP(A29,Sheet1!A28:C74,3,FALSE)</f>
        <v>105</v>
      </c>
      <c r="D29">
        <f>VLOOKUP(A29,Sheet2!A28:C76,3,FALSE)</f>
        <v>2</v>
      </c>
      <c r="E29">
        <f t="shared" si="0"/>
        <v>103</v>
      </c>
    </row>
    <row r="30" spans="1:5" x14ac:dyDescent="0.3">
      <c r="A30" t="s">
        <v>3</v>
      </c>
      <c r="B30">
        <v>2014</v>
      </c>
      <c r="C30">
        <f>VLOOKUP(A30,Sheet1!A29:C75,3,FALSE)</f>
        <v>122</v>
      </c>
      <c r="D30">
        <f>VLOOKUP(A30,Sheet2!A29:C77,3,FALSE)</f>
        <v>9</v>
      </c>
      <c r="E30">
        <f t="shared" si="0"/>
        <v>113</v>
      </c>
    </row>
    <row r="31" spans="1:5" x14ac:dyDescent="0.3">
      <c r="A31" t="s">
        <v>5</v>
      </c>
      <c r="B31">
        <v>2014</v>
      </c>
      <c r="C31">
        <f>VLOOKUP(A31,Sheet1!A30:C76,3,FALSE)</f>
        <v>121</v>
      </c>
      <c r="D31">
        <f>VLOOKUP(A31,Sheet2!A30:C78,3,FALSE)</f>
        <v>4</v>
      </c>
      <c r="E31">
        <f t="shared" si="0"/>
        <v>117</v>
      </c>
    </row>
    <row r="32" spans="1:5" x14ac:dyDescent="0.3">
      <c r="A32" t="s">
        <v>3</v>
      </c>
      <c r="B32">
        <v>2015</v>
      </c>
      <c r="C32">
        <f>VLOOKUP(A32,Sheet1!A31:C77,3,FALSE)</f>
        <v>143</v>
      </c>
      <c r="D32">
        <f>VLOOKUP(A32,Sheet2!A31:C79,3,FALSE)</f>
        <v>21</v>
      </c>
      <c r="E32">
        <f t="shared" si="0"/>
        <v>122</v>
      </c>
    </row>
    <row r="33" spans="1:5" x14ac:dyDescent="0.3">
      <c r="A33" t="s">
        <v>3</v>
      </c>
      <c r="B33">
        <v>2015</v>
      </c>
      <c r="C33">
        <f>VLOOKUP(A33,Sheet1!A32:C78,3,FALSE)</f>
        <v>143</v>
      </c>
      <c r="D33">
        <f>VLOOKUP(A33,Sheet2!A32:C80,3,FALSE)</f>
        <v>39</v>
      </c>
      <c r="E33">
        <f t="shared" si="0"/>
        <v>104</v>
      </c>
    </row>
    <row r="34" spans="1:5" x14ac:dyDescent="0.3">
      <c r="A34" t="s">
        <v>5</v>
      </c>
      <c r="B34">
        <v>2016</v>
      </c>
      <c r="C34">
        <f>VLOOKUP(A34,Sheet1!A33:C79,3,FALSE)</f>
        <v>108</v>
      </c>
      <c r="D34">
        <f>VLOOKUP(A34,Sheet2!A33:C81,3,FALSE)</f>
        <v>45</v>
      </c>
      <c r="E34">
        <f t="shared" si="0"/>
        <v>63</v>
      </c>
    </row>
    <row r="35" spans="1:5" x14ac:dyDescent="0.3">
      <c r="A35" t="s">
        <v>5</v>
      </c>
      <c r="B35">
        <v>2016</v>
      </c>
      <c r="C35">
        <f>VLOOKUP(A35,Sheet1!A34:C80,3,FALSE)</f>
        <v>108</v>
      </c>
      <c r="D35">
        <f>VLOOKUP(A35,Sheet2!A34:C82,3,FALSE)</f>
        <v>45</v>
      </c>
      <c r="E35">
        <f t="shared" si="0"/>
        <v>63</v>
      </c>
    </row>
    <row r="36" spans="1:5" x14ac:dyDescent="0.3">
      <c r="A36" t="s">
        <v>3</v>
      </c>
      <c r="B36">
        <v>2017</v>
      </c>
      <c r="C36">
        <f>VLOOKUP(A36,Sheet1!A35:C81,3,FALSE)</f>
        <v>133</v>
      </c>
      <c r="D36">
        <f>VLOOKUP(A36,Sheet2!A35:C83,3,FALSE)</f>
        <v>26</v>
      </c>
      <c r="E36">
        <f t="shared" si="0"/>
        <v>107</v>
      </c>
    </row>
    <row r="37" spans="1:5" x14ac:dyDescent="0.3">
      <c r="A37" t="s">
        <v>5</v>
      </c>
      <c r="B37">
        <v>2017</v>
      </c>
      <c r="C37">
        <f>VLOOKUP(A37,Sheet1!A36:C82,3,FALSE)</f>
        <v>104</v>
      </c>
      <c r="D37">
        <f>VLOOKUP(A37,Sheet2!A36:C84,3,FALSE)</f>
        <v>45</v>
      </c>
      <c r="E37">
        <f t="shared" si="0"/>
        <v>59</v>
      </c>
    </row>
    <row r="38" spans="1:5" x14ac:dyDescent="0.3">
      <c r="A38" t="s">
        <v>3</v>
      </c>
      <c r="B38">
        <v>2018</v>
      </c>
      <c r="C38">
        <f>VLOOKUP(A38,Sheet1!A37:C83,3,FALSE)</f>
        <v>184</v>
      </c>
      <c r="D38">
        <f>VLOOKUP(A38,Sheet2!A37:C85,3,FALSE)</f>
        <v>6</v>
      </c>
      <c r="E38">
        <f t="shared" si="0"/>
        <v>178</v>
      </c>
    </row>
    <row r="39" spans="1:5" x14ac:dyDescent="0.3">
      <c r="A39" t="s">
        <v>5</v>
      </c>
      <c r="B39">
        <v>2018</v>
      </c>
      <c r="C39">
        <f>VLOOKUP(A39,Sheet1!A38:C84,3,FALSE)</f>
        <v>161</v>
      </c>
      <c r="D39">
        <f>VLOOKUP(A39,Sheet2!A38:C86,3,FALSE)</f>
        <v>6</v>
      </c>
      <c r="E39">
        <f t="shared" si="0"/>
        <v>155</v>
      </c>
    </row>
    <row r="40" spans="1:5" x14ac:dyDescent="0.3">
      <c r="A40" t="s">
        <v>3</v>
      </c>
      <c r="B40">
        <v>2019</v>
      </c>
      <c r="C40">
        <f>VLOOKUP(A40,Sheet1!A39:C85,3,FALSE)</f>
        <v>199</v>
      </c>
      <c r="D40">
        <f>VLOOKUP(A40,Sheet2!A39:C87,3,FALSE)</f>
        <v>6</v>
      </c>
      <c r="E40">
        <f t="shared" si="0"/>
        <v>193</v>
      </c>
    </row>
    <row r="41" spans="1:5" x14ac:dyDescent="0.3">
      <c r="A41" t="s">
        <v>5</v>
      </c>
      <c r="B41">
        <v>2019</v>
      </c>
      <c r="C41">
        <f>VLOOKUP(A41,Sheet1!A40:C86,3,FALSE)</f>
        <v>183</v>
      </c>
      <c r="D41">
        <f>VLOOKUP(A41,Sheet2!A40:C88,3,FALSE)</f>
        <v>14</v>
      </c>
      <c r="E41">
        <f t="shared" si="0"/>
        <v>169</v>
      </c>
    </row>
    <row r="42" spans="1:5" x14ac:dyDescent="0.3">
      <c r="A42" t="s">
        <v>3</v>
      </c>
      <c r="B42">
        <v>2020</v>
      </c>
      <c r="C42">
        <f>VLOOKUP(A42,Sheet1!A41:C87,3,FALSE)</f>
        <v>108</v>
      </c>
      <c r="D42">
        <f>VLOOKUP(A42,Sheet2!A41:C89,3,FALSE)</f>
        <v>10</v>
      </c>
      <c r="E42">
        <f t="shared" si="0"/>
        <v>98</v>
      </c>
    </row>
    <row r="43" spans="1:5" x14ac:dyDescent="0.3">
      <c r="A43" t="s">
        <v>5</v>
      </c>
      <c r="B43">
        <v>2020</v>
      </c>
      <c r="C43">
        <f>VLOOKUP(A43,Sheet1!A42:C88,3,FALSE)</f>
        <v>167</v>
      </c>
      <c r="D43">
        <f>VLOOKUP(A43,Sheet2!A42:C90,3,FALSE)</f>
        <v>35</v>
      </c>
      <c r="E43">
        <f t="shared" si="0"/>
        <v>132</v>
      </c>
    </row>
    <row r="44" spans="1:5" x14ac:dyDescent="0.3">
      <c r="A44" t="s">
        <v>3</v>
      </c>
      <c r="B44">
        <v>2021</v>
      </c>
      <c r="C44">
        <f>VLOOKUP(A44,Sheet1!A43:C89,3,FALSE)</f>
        <v>168</v>
      </c>
      <c r="D44">
        <f>VLOOKUP(A44,Sheet2!A43:C91,3,FALSE)</f>
        <v>41</v>
      </c>
      <c r="E44">
        <f t="shared" si="0"/>
        <v>127</v>
      </c>
    </row>
    <row r="45" spans="1:5" x14ac:dyDescent="0.3">
      <c r="A45" t="s">
        <v>5</v>
      </c>
      <c r="B45">
        <v>2021</v>
      </c>
      <c r="C45">
        <f>VLOOKUP(A45,Sheet1!A44:C90,3,FALSE)</f>
        <v>110</v>
      </c>
      <c r="D45">
        <f>VLOOKUP(A45,Sheet2!A44:C92,3,FALSE)</f>
        <v>6</v>
      </c>
      <c r="E45">
        <f t="shared" si="0"/>
        <v>104</v>
      </c>
    </row>
    <row r="46" spans="1:5" x14ac:dyDescent="0.3">
      <c r="A46" t="s">
        <v>3</v>
      </c>
      <c r="B46">
        <v>2022</v>
      </c>
      <c r="C46">
        <f>VLOOKUP(A46,Sheet1!A45:C91,3,FALSE)</f>
        <v>160</v>
      </c>
      <c r="D46">
        <f>VLOOKUP(A46,Sheet2!A45:C93,3,FALSE)</f>
        <v>10</v>
      </c>
      <c r="E46">
        <f t="shared" si="0"/>
        <v>150</v>
      </c>
    </row>
    <row r="47" spans="1:5" x14ac:dyDescent="0.3">
      <c r="A47" t="s">
        <v>5</v>
      </c>
      <c r="B47">
        <v>2022</v>
      </c>
      <c r="C47">
        <f>VLOOKUP(A47,Sheet1!A46:C92,3,FALSE)</f>
        <v>190</v>
      </c>
      <c r="D47">
        <f>VLOOKUP(A47,Sheet2!A46:C94,3,FALSE)</f>
        <v>25</v>
      </c>
      <c r="E47">
        <f t="shared" si="0"/>
        <v>165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41C311CA674743B1D2C8C554CCCCFA" ma:contentTypeVersion="11" ma:contentTypeDescription="Create a new document." ma:contentTypeScope="" ma:versionID="9bb86564ee6a49c339b7ad503131ae9c">
  <xsd:schema xmlns:xsd="http://www.w3.org/2001/XMLSchema" xmlns:xs="http://www.w3.org/2001/XMLSchema" xmlns:p="http://schemas.microsoft.com/office/2006/metadata/properties" xmlns:ns3="88afbce5-d206-4235-ae0f-3bbab004eb82" targetNamespace="http://schemas.microsoft.com/office/2006/metadata/properties" ma:root="true" ma:fieldsID="d72cadd2e8f91c4e4011ba934c4f50e2" ns3:_="">
    <xsd:import namespace="88afbce5-d206-4235-ae0f-3bbab004eb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fbce5-d206-4235-ae0f-3bbab004eb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fbce5-d206-4235-ae0f-3bbab004eb82" xsi:nil="true"/>
  </documentManagement>
</p:properties>
</file>

<file path=customXml/itemProps1.xml><?xml version="1.0" encoding="utf-8"?>
<ds:datastoreItem xmlns:ds="http://schemas.openxmlformats.org/officeDocument/2006/customXml" ds:itemID="{75E04DC0-B054-4298-9BED-6841C727CAB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5F46ABE-64CA-4F97-BE2B-505B036E07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afbce5-d206-4235-ae0f-3bbab004e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0DC22C3-2353-407D-91A6-6F2D4B306D40}">
  <ds:schemaRefs>
    <ds:schemaRef ds:uri="http://purl.org/dc/terms/"/>
    <ds:schemaRef ds:uri="http://schemas.microsoft.com/office/infopath/2007/PartnerControls"/>
    <ds:schemaRef ds:uri="http://purl.org/dc/dcmitype/"/>
    <ds:schemaRef ds:uri="http://purl.org/dc/elements/1.1/"/>
    <ds:schemaRef ds:uri="88afbce5-d206-4235-ae0f-3bbab004eb82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q1 answer </vt:lpstr>
      <vt:lpstr>answers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Aalekh</dc:creator>
  <cp:keywords/>
  <dc:description/>
  <cp:lastModifiedBy>mudit agarwal</cp:lastModifiedBy>
  <cp:revision/>
  <dcterms:created xsi:type="dcterms:W3CDTF">2022-06-20T10:38:50Z</dcterms:created>
  <dcterms:modified xsi:type="dcterms:W3CDTF">2026-10-29T09:30:17Z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0x0101000241C311CA674743B1D2C8C554CCCCFA</vt:lpwstr>
  </property>
</Properties>
</file>