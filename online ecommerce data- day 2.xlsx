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c05475d4aa1723/Desktop/"/>
    </mc:Choice>
  </mc:AlternateContent>
  <xr:revisionPtr revIDLastSave="0" documentId="8_{8EB05B8C-DFC7-417A-B32C-32BBDB46D73C}" xr6:coauthVersionLast="47" xr6:coauthVersionMax="47" xr10:uidLastSave="{00000000-0000-0000-0000-000000000000}"/>
  <bookViews>
    <workbookView xWindow="-108" yWindow="-108" windowWidth="23256" windowHeight="12456" xr2:uid="{4359746C-6973-4CF0-A872-A7E1615FAD9B}"/>
  </bookViews>
  <sheets>
    <sheet name="Sheet2" sheetId="3" r:id="rId1"/>
    <sheet name="ecommerce-order (1)" sheetId="2" r:id="rId2"/>
    <sheet name="Sheet1" sheetId="1" r:id="rId3"/>
  </sheets>
  <definedNames>
    <definedName name="ExternalData_1" localSheetId="1" hidden="1">'ecommerce-order (1)'!$A$1:$N$203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" i="1"/>
  <c r="C2" i="1"/>
  <c r="M1" i="1"/>
  <c r="L1" i="1"/>
  <c r="K1" i="1"/>
  <c r="J1" i="1"/>
  <c r="I1" i="1"/>
  <c r="H1" i="1"/>
  <c r="G1" i="1"/>
  <c r="F1" i="1"/>
  <c r="E1" i="1"/>
  <c r="D1" i="1"/>
  <c r="C1" i="1"/>
  <c r="B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O6" i="2"/>
  <c r="O5" i="2"/>
  <c r="O4" i="2"/>
  <c r="O3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2309E-6DA5-4210-B740-DEFCCF3C164D}" keepAlive="1" name="Query - ecommerce-order (1)" description="Connection to the 'ecommerce-order (1)' query in the workbook." type="5" refreshedVersion="8" background="1" saveData="1">
    <dbPr connection="Provider=Microsoft.Mashup.OleDb.1;Data Source=$Workbook$;Location=&quot;ecommerce-order (1)&quot;;Extended Properties=&quot;&quot;" command="SELECT * FROM [ecommerce-order (1)]"/>
  </connection>
</connections>
</file>

<file path=xl/sharedStrings.xml><?xml version="1.0" encoding="utf-8"?>
<sst xmlns="http://schemas.openxmlformats.org/spreadsheetml/2006/main" count="2392" uniqueCount="576">
  <si>
    <t>order_id</t>
  </si>
  <si>
    <t>order_date</t>
  </si>
  <si>
    <t>customer_email</t>
  </si>
  <si>
    <t>country</t>
  </si>
  <si>
    <t>channel</t>
  </si>
  <si>
    <t>product_sku</t>
  </si>
  <si>
    <t>product_name</t>
  </si>
  <si>
    <t>quantity</t>
  </si>
  <si>
    <t>unit_price</t>
  </si>
  <si>
    <t>order_total</t>
  </si>
  <si>
    <t>weight</t>
  </si>
  <si>
    <t>currency</t>
  </si>
  <si>
    <t>status</t>
  </si>
  <si>
    <t xml:space="preserve">unit_price_fixed </t>
  </si>
  <si>
    <t>ORD-101805</t>
  </si>
  <si>
    <t>19-03-2026</t>
  </si>
  <si>
    <t>customer0457@example.com</t>
  </si>
  <si>
    <t>France</t>
  </si>
  <si>
    <t>direct</t>
  </si>
  <si>
    <t>FR-9902</t>
  </si>
  <si>
    <t>Trekking Poles</t>
  </si>
  <si>
    <t>EUR</t>
  </si>
  <si>
    <t>completed</t>
  </si>
  <si>
    <t>ORD-102690</t>
  </si>
  <si>
    <t>19-05-2026</t>
  </si>
  <si>
    <t>customer0814@example.com</t>
  </si>
  <si>
    <t>social</t>
  </si>
  <si>
    <t>FR-2210</t>
  </si>
  <si>
    <t>Trail Softshell</t>
  </si>
  <si>
    <t>GBP</t>
  </si>
  <si>
    <t>ORD-101454</t>
  </si>
  <si>
    <t>14-06-2026</t>
  </si>
  <si>
    <t>customer0858@example.com</t>
  </si>
  <si>
    <t>UK</t>
  </si>
  <si>
    <t>email</t>
  </si>
  <si>
    <t>FR-1120</t>
  </si>
  <si>
    <t>Fell Runner Cap</t>
  </si>
  <si>
    <t>ORD-100450</t>
  </si>
  <si>
    <t>08-01-2026</t>
  </si>
  <si>
    <t>customer0116@example.com</t>
  </si>
  <si>
    <t xml:space="preserve"> UK</t>
  </si>
  <si>
    <t>organic</t>
  </si>
  <si>
    <t>FR-5567</t>
  </si>
  <si>
    <t>Merino Base Layer</t>
  </si>
  <si>
    <t>ORD-101501</t>
  </si>
  <si>
    <t>20-05-2026</t>
  </si>
  <si>
    <t>customer1397@example.com</t>
  </si>
  <si>
    <t>Ireland</t>
  </si>
  <si>
    <t>FR-8890</t>
  </si>
  <si>
    <t>Summit Down Gilet</t>
  </si>
  <si>
    <t>ORD-101788</t>
  </si>
  <si>
    <t>14-03-2026</t>
  </si>
  <si>
    <t>customer0775@example.com</t>
  </si>
  <si>
    <t>GB</t>
  </si>
  <si>
    <t>ORD-102657</t>
  </si>
  <si>
    <t>25-04-2026</t>
  </si>
  <si>
    <t>customer1328@example.com</t>
  </si>
  <si>
    <t>refunded</t>
  </si>
  <si>
    <t>ORD-102047</t>
  </si>
  <si>
    <t>customer0760@example.com</t>
  </si>
  <si>
    <t>ireland</t>
  </si>
  <si>
    <t>ORD-102650</t>
  </si>
  <si>
    <t>02-04-2026</t>
  </si>
  <si>
    <t>customer0013@example.com</t>
  </si>
  <si>
    <t>gb</t>
  </si>
  <si>
    <t>paid_search</t>
  </si>
  <si>
    <t>ORD-102734</t>
  </si>
  <si>
    <t>16-02-2026</t>
  </si>
  <si>
    <t>customer0805@example.com</t>
  </si>
  <si>
    <t>ORD-102012</t>
  </si>
  <si>
    <t>21-04-2026</t>
  </si>
  <si>
    <t>customer0123@example.com</t>
  </si>
  <si>
    <t>FR-7781</t>
  </si>
  <si>
    <t>Storm Overtrousers</t>
  </si>
  <si>
    <t>ORD-102152</t>
  </si>
  <si>
    <t>01-07-2026</t>
  </si>
  <si>
    <t>customer0956@example.com</t>
  </si>
  <si>
    <t>ORD-102773</t>
  </si>
  <si>
    <t>02/27/2026</t>
  </si>
  <si>
    <t>customer1363@example.com</t>
  </si>
  <si>
    <t>FR-3345</t>
  </si>
  <si>
    <t>CafÃ© Latte Mug</t>
  </si>
  <si>
    <t>ORD-102215</t>
  </si>
  <si>
    <t>21-02-2026</t>
  </si>
  <si>
    <t>customer1206@example.com</t>
  </si>
  <si>
    <t>FR-4471</t>
  </si>
  <si>
    <t>Alpine Jacket</t>
  </si>
  <si>
    <t>ORD-100612</t>
  </si>
  <si>
    <t>05-07-2026</t>
  </si>
  <si>
    <t>customer0555@example.com</t>
  </si>
  <si>
    <t xml:space="preserve">uk </t>
  </si>
  <si>
    <t>ORD-102771</t>
  </si>
  <si>
    <t>11-01-2026</t>
  </si>
  <si>
    <t>customer1312@example.com</t>
  </si>
  <si>
    <t>ORD-101929</t>
  </si>
  <si>
    <t>19-06-2026</t>
  </si>
  <si>
    <t>customer0084@example.com</t>
  </si>
  <si>
    <t>United Kingdom</t>
  </si>
  <si>
    <t>ORD-101855</t>
  </si>
  <si>
    <t>07-06-2026</t>
  </si>
  <si>
    <t>customer0527@example.com</t>
  </si>
  <si>
    <t>ORD-101033</t>
  </si>
  <si>
    <t>23-04-2026</t>
  </si>
  <si>
    <t>customer0970@example.com</t>
  </si>
  <si>
    <t>ORD-100485</t>
  </si>
  <si>
    <t>customer1056@example.com</t>
  </si>
  <si>
    <t>ORD-101121</t>
  </si>
  <si>
    <t>28-03-2026</t>
  </si>
  <si>
    <t>customer0910@example.com</t>
  </si>
  <si>
    <t>ORD-101302</t>
  </si>
  <si>
    <t>28-02-2026</t>
  </si>
  <si>
    <t>customer1155@example.com</t>
  </si>
  <si>
    <t>Germany</t>
  </si>
  <si>
    <t>ORD-100778</t>
  </si>
  <si>
    <t>customer1044@example.com</t>
  </si>
  <si>
    <t>ORD-100968</t>
  </si>
  <si>
    <t>03/21/2026</t>
  </si>
  <si>
    <t>customer0047@example.com</t>
  </si>
  <si>
    <t>ORD-101676</t>
  </si>
  <si>
    <t>01-04-2026</t>
  </si>
  <si>
    <t>customer0180@example.com</t>
  </si>
  <si>
    <t>ORD-102809</t>
  </si>
  <si>
    <t>customer0212@example.com</t>
  </si>
  <si>
    <t>ORD-102890</t>
  </si>
  <si>
    <t>09-01-2026</t>
  </si>
  <si>
    <t>customer0605@example.com</t>
  </si>
  <si>
    <t>ORD-100039</t>
  </si>
  <si>
    <t>31-05-2026</t>
  </si>
  <si>
    <t>customer0449@example.com</t>
  </si>
  <si>
    <t>ORD-102776</t>
  </si>
  <si>
    <t>30-06-2026</t>
  </si>
  <si>
    <t>customer0321@example.com</t>
  </si>
  <si>
    <t>ORD-100053</t>
  </si>
  <si>
    <t>04-04-2026</t>
  </si>
  <si>
    <t>customer1166@example.com</t>
  </si>
  <si>
    <t>ORD-101914</t>
  </si>
  <si>
    <t>13-03-2026</t>
  </si>
  <si>
    <t>customer0347@example.com</t>
  </si>
  <si>
    <t>ORD-100303</t>
  </si>
  <si>
    <t>17-01-2026</t>
  </si>
  <si>
    <t>customer1186@example.com</t>
  </si>
  <si>
    <t>ORD-102075</t>
  </si>
  <si>
    <t>customer1029@example.com</t>
  </si>
  <si>
    <t>ORD-101025</t>
  </si>
  <si>
    <t>15-02-2026</t>
  </si>
  <si>
    <t>customer1144@example.com</t>
  </si>
  <si>
    <t>ORD-101946</t>
  </si>
  <si>
    <t>10-05-2026</t>
  </si>
  <si>
    <t>customer1248@example.com</t>
  </si>
  <si>
    <t>ORD-101075</t>
  </si>
  <si>
    <t>03/19/2026</t>
  </si>
  <si>
    <t>customer0388@example.com</t>
  </si>
  <si>
    <t>ORD-101807</t>
  </si>
  <si>
    <t>04/24/2026</t>
  </si>
  <si>
    <t>customer1225@example.com</t>
  </si>
  <si>
    <t>ORD-102879</t>
  </si>
  <si>
    <t>30-03-2026</t>
  </si>
  <si>
    <t>customer1087@example.com</t>
  </si>
  <si>
    <t>ORD-100229</t>
  </si>
  <si>
    <t>02/14/2026</t>
  </si>
  <si>
    <t>customer0706@example.com</t>
  </si>
  <si>
    <t>ORD-101507</t>
  </si>
  <si>
    <t>06/20/2026</t>
  </si>
  <si>
    <t>customer0951@example.com</t>
  </si>
  <si>
    <t>ORD-100281</t>
  </si>
  <si>
    <t>20-06-2026</t>
  </si>
  <si>
    <t>customer1318@example.com</t>
  </si>
  <si>
    <t>ORD-100155</t>
  </si>
  <si>
    <t>27-05-2026</t>
  </si>
  <si>
    <t>customer0109@example.com</t>
  </si>
  <si>
    <t>ORD-102793</t>
  </si>
  <si>
    <t>03-02-2026</t>
  </si>
  <si>
    <t>customer0701@example.com</t>
  </si>
  <si>
    <t>ORD-102266</t>
  </si>
  <si>
    <t>19-01-2026</t>
  </si>
  <si>
    <t>customer0725@example.com</t>
  </si>
  <si>
    <t>ORD-102177</t>
  </si>
  <si>
    <t>06/24/2026</t>
  </si>
  <si>
    <t>customer0599@example.com</t>
  </si>
  <si>
    <t>ORD-102794</t>
  </si>
  <si>
    <t>21-05-2026</t>
  </si>
  <si>
    <t>customer0480@example.com</t>
  </si>
  <si>
    <t>ORD-102860</t>
  </si>
  <si>
    <t>24-03-2026</t>
  </si>
  <si>
    <t>customer1378@example.com</t>
  </si>
  <si>
    <t>ORD-102717</t>
  </si>
  <si>
    <t>20-03-2026</t>
  </si>
  <si>
    <t>customer0415@example.com</t>
  </si>
  <si>
    <t>ORD-100226</t>
  </si>
  <si>
    <t>14-01-2026</t>
  </si>
  <si>
    <t>customer0210@example.com</t>
  </si>
  <si>
    <t>ORD-101221</t>
  </si>
  <si>
    <t>15-01-2026</t>
  </si>
  <si>
    <t>customer1184@example.com</t>
  </si>
  <si>
    <t>ORD-102055</t>
  </si>
  <si>
    <t>13-05-2026</t>
  </si>
  <si>
    <t>customer0735@example.com</t>
  </si>
  <si>
    <t>ORD-102118</t>
  </si>
  <si>
    <t>customer1072@example.com</t>
  </si>
  <si>
    <t>ORD-101531</t>
  </si>
  <si>
    <t>11-05-2026</t>
  </si>
  <si>
    <t>ORD-101429</t>
  </si>
  <si>
    <t>26-05-2026</t>
  </si>
  <si>
    <t>customer0368@example.com</t>
  </si>
  <si>
    <t>ORD-101372</t>
  </si>
  <si>
    <t>16-01-2026</t>
  </si>
  <si>
    <t>customer0658@example.com</t>
  </si>
  <si>
    <t>ORD-101570</t>
  </si>
  <si>
    <t>07-04-2026</t>
  </si>
  <si>
    <t>customer0843@example.com</t>
  </si>
  <si>
    <t>ORD-101237</t>
  </si>
  <si>
    <t>24-04-2026</t>
  </si>
  <si>
    <t>customer1101@example.com</t>
  </si>
  <si>
    <t>ORD-102733</t>
  </si>
  <si>
    <t>06-03-2026</t>
  </si>
  <si>
    <t>customer1291@example.com</t>
  </si>
  <si>
    <t>ORD-100314</t>
  </si>
  <si>
    <t>08-05-2026</t>
  </si>
  <si>
    <t>customer0820@example.com</t>
  </si>
  <si>
    <t>ORD-102277</t>
  </si>
  <si>
    <t>28-06-2026</t>
  </si>
  <si>
    <t>customer0975@example.com</t>
  </si>
  <si>
    <t>ORD-102431</t>
  </si>
  <si>
    <t>02-07-2026</t>
  </si>
  <si>
    <t>customer0946@example.com</t>
  </si>
  <si>
    <t>ORD-101431</t>
  </si>
  <si>
    <t>01-05-2026</t>
  </si>
  <si>
    <t>customer0844@example.com</t>
  </si>
  <si>
    <t>ORD-102072</t>
  </si>
  <si>
    <t>20-01-2026</t>
  </si>
  <si>
    <t>customer0732@example.com</t>
  </si>
  <si>
    <t>ORD-102983</t>
  </si>
  <si>
    <t>10-02-2026</t>
  </si>
  <si>
    <t>customer1264@example.com</t>
  </si>
  <si>
    <t>ORD-101945</t>
  </si>
  <si>
    <t>05-09-2026</t>
  </si>
  <si>
    <t>customer0119@example.com</t>
  </si>
  <si>
    <t>ORD-101850</t>
  </si>
  <si>
    <t>03/14/2026</t>
  </si>
  <si>
    <t>customer0063@example.com</t>
  </si>
  <si>
    <t>ORD-101650</t>
  </si>
  <si>
    <t>customer0184@example.com</t>
  </si>
  <si>
    <t>ORD-102725</t>
  </si>
  <si>
    <t>05/17/2026</t>
  </si>
  <si>
    <t>customer1123@example.com</t>
  </si>
  <si>
    <t>ORD-102852</t>
  </si>
  <si>
    <t>customer0394@example.com</t>
  </si>
  <si>
    <t>ORD-101069</t>
  </si>
  <si>
    <t>customer0006@example.com</t>
  </si>
  <si>
    <t>ORD-102523</t>
  </si>
  <si>
    <t>31-03-2026</t>
  </si>
  <si>
    <t>customer0921@example.com</t>
  </si>
  <si>
    <t>ORD-101173</t>
  </si>
  <si>
    <t>16-05-2026</t>
  </si>
  <si>
    <t>customer0245@example.com</t>
  </si>
  <si>
    <t>ORD-100798</t>
  </si>
  <si>
    <t>customer0918@example.com</t>
  </si>
  <si>
    <t>ORD-100370</t>
  </si>
  <si>
    <t>05/20/2026</t>
  </si>
  <si>
    <t>customer1151@example.com</t>
  </si>
  <si>
    <t>ORD-100464</t>
  </si>
  <si>
    <t>19-02-2026</t>
  </si>
  <si>
    <t>ORD-100662</t>
  </si>
  <si>
    <t>01-03-2026</t>
  </si>
  <si>
    <t>customer1198@example.com</t>
  </si>
  <si>
    <t>ORD-102005</t>
  </si>
  <si>
    <t>customer0369@example.com</t>
  </si>
  <si>
    <t>ORD-102592</t>
  </si>
  <si>
    <t>07-05-2026</t>
  </si>
  <si>
    <t>customer0842@example.com</t>
  </si>
  <si>
    <t>ORD-100862</t>
  </si>
  <si>
    <t>23-02-2026</t>
  </si>
  <si>
    <t>customer0427@example.com</t>
  </si>
  <si>
    <t>ORD-101693</t>
  </si>
  <si>
    <t>customer0461@example.com</t>
  </si>
  <si>
    <t>ORD-102839</t>
  </si>
  <si>
    <t>04-05-2026</t>
  </si>
  <si>
    <t>customer0251@example.com</t>
  </si>
  <si>
    <t>ORD-102331</t>
  </si>
  <si>
    <t>customer0592@example.com</t>
  </si>
  <si>
    <t>ORD-102439</t>
  </si>
  <si>
    <t>06/30/2026</t>
  </si>
  <si>
    <t>customer1164@example.com</t>
  </si>
  <si>
    <t>ORD-101437</t>
  </si>
  <si>
    <t>20-02-2026</t>
  </si>
  <si>
    <t>customer0990@example.com</t>
  </si>
  <si>
    <t>ORD-101980</t>
  </si>
  <si>
    <t>25-05-2026</t>
  </si>
  <si>
    <t>customer0809@example.com</t>
  </si>
  <si>
    <t>ORD-100372</t>
  </si>
  <si>
    <t>22-01-2026</t>
  </si>
  <si>
    <t>customer0638@example.com</t>
  </si>
  <si>
    <t>ORD-102170</t>
  </si>
  <si>
    <t>03/15/2026</t>
  </si>
  <si>
    <t>customer1232@example.com</t>
  </si>
  <si>
    <t>ORD-100509</t>
  </si>
  <si>
    <t>customer0905@example.com</t>
  </si>
  <si>
    <t>ORD-102217</t>
  </si>
  <si>
    <t>07-03-2026</t>
  </si>
  <si>
    <t>customer1220@example.com</t>
  </si>
  <si>
    <t>ORD-101947</t>
  </si>
  <si>
    <t>26-03-2026</t>
  </si>
  <si>
    <t>customer0751@example.com</t>
  </si>
  <si>
    <t>ORD-102481</t>
  </si>
  <si>
    <t>04-02-2026</t>
  </si>
  <si>
    <t>customer0381@example.com</t>
  </si>
  <si>
    <t>ORD-101426</t>
  </si>
  <si>
    <t>customer0673@example.com</t>
  </si>
  <si>
    <t>ORD-100203</t>
  </si>
  <si>
    <t>11-06-2026</t>
  </si>
  <si>
    <t>customer1140@example.com</t>
  </si>
  <si>
    <t>ORD-100364</t>
  </si>
  <si>
    <t>customer0044@example.com</t>
  </si>
  <si>
    <t>ORD-102488</t>
  </si>
  <si>
    <t>customer0412@example.com</t>
  </si>
  <si>
    <t>ORD-100121</t>
  </si>
  <si>
    <t>29-04-2026</t>
  </si>
  <si>
    <t>customer0761@example.com</t>
  </si>
  <si>
    <t>ORD-100228</t>
  </si>
  <si>
    <t>12-06-2026</t>
  </si>
  <si>
    <t>customer0542@example.com</t>
  </si>
  <si>
    <t>ORD-101841</t>
  </si>
  <si>
    <t>25-02-2026</t>
  </si>
  <si>
    <t>customer0579@example.com</t>
  </si>
  <si>
    <t>ORD-101427</t>
  </si>
  <si>
    <t>customer0672@example.com</t>
  </si>
  <si>
    <t>ORD-102234</t>
  </si>
  <si>
    <t>05-06-2026</t>
  </si>
  <si>
    <t>customer0891@example.com</t>
  </si>
  <si>
    <t>ORD-101483</t>
  </si>
  <si>
    <t>03/29/2026</t>
  </si>
  <si>
    <t>customer0068@example.com</t>
  </si>
  <si>
    <t>ORD-100885</t>
  </si>
  <si>
    <t>25-06-2026</t>
  </si>
  <si>
    <t>customer0929@example.com</t>
  </si>
  <si>
    <t>ORD-102200</t>
  </si>
  <si>
    <t>04-07-2026</t>
  </si>
  <si>
    <t>customer0061@example.com</t>
  </si>
  <si>
    <t>ORD-102695</t>
  </si>
  <si>
    <t>03-05-2026</t>
  </si>
  <si>
    <t>customer0183@example.com</t>
  </si>
  <si>
    <t>ORD-102535</t>
  </si>
  <si>
    <t>22-04-2026</t>
  </si>
  <si>
    <t>customer0541@example.com</t>
  </si>
  <si>
    <t>ORD-100620</t>
  </si>
  <si>
    <t>23-05-2026</t>
  </si>
  <si>
    <t>customer0327@example.com</t>
  </si>
  <si>
    <t>ORD-101520</t>
  </si>
  <si>
    <t>01/13/2026</t>
  </si>
  <si>
    <t>customer0273@example.com</t>
  </si>
  <si>
    <t>ORD-102713</t>
  </si>
  <si>
    <t>04/13/2026</t>
  </si>
  <si>
    <t>customer0524@example.com</t>
  </si>
  <si>
    <t>ORD-102552</t>
  </si>
  <si>
    <t>22-05-2026</t>
  </si>
  <si>
    <t>customer1305@example.com</t>
  </si>
  <si>
    <t>ORD-100392</t>
  </si>
  <si>
    <t>21-03-2026</t>
  </si>
  <si>
    <t>customer1001@example.com</t>
  </si>
  <si>
    <t>ORD-100027</t>
  </si>
  <si>
    <t>17-06-2026</t>
  </si>
  <si>
    <t>customer0058@example.com</t>
  </si>
  <si>
    <t>ORD-102163</t>
  </si>
  <si>
    <t>28-01-2026</t>
  </si>
  <si>
    <t>customer0981@example.com</t>
  </si>
  <si>
    <t>ORD-101576</t>
  </si>
  <si>
    <t>17-05-2026</t>
  </si>
  <si>
    <t>customer0114@example.com</t>
  </si>
  <si>
    <t>ORD-101972</t>
  </si>
  <si>
    <t>07-01-2026</t>
  </si>
  <si>
    <t>customer0626@example.com</t>
  </si>
  <si>
    <t>ORD-102653</t>
  </si>
  <si>
    <t>customer0512@example.com</t>
  </si>
  <si>
    <t>ORD-102768</t>
  </si>
  <si>
    <t>customer0942@example.com</t>
  </si>
  <si>
    <t>ORD-100431</t>
  </si>
  <si>
    <t>09-06-2026</t>
  </si>
  <si>
    <t>customer0095@example.com</t>
  </si>
  <si>
    <t>ORD-101311</t>
  </si>
  <si>
    <t>customer0104@example.com</t>
  </si>
  <si>
    <t>ORD-101762</t>
  </si>
  <si>
    <t>12-05-2026</t>
  </si>
  <si>
    <t>customer0563@example.com</t>
  </si>
  <si>
    <t>ORD-102302</t>
  </si>
  <si>
    <t>customer0693@example.com</t>
  </si>
  <si>
    <t>ORD-102616</t>
  </si>
  <si>
    <t>06-02-2026</t>
  </si>
  <si>
    <t>customer0195@example.com</t>
  </si>
  <si>
    <t>ORD-101512</t>
  </si>
  <si>
    <t>21-01-2026</t>
  </si>
  <si>
    <t>customer0782@example.com</t>
  </si>
  <si>
    <t>ORD-100853</t>
  </si>
  <si>
    <t>customer1357@example.com</t>
  </si>
  <si>
    <t>ORD-102810</t>
  </si>
  <si>
    <t>08-03-2026</t>
  </si>
  <si>
    <t>customer0132@example.com</t>
  </si>
  <si>
    <t>ORD-102908</t>
  </si>
  <si>
    <t>10-04-2026</t>
  </si>
  <si>
    <t>customer0950@example.com</t>
  </si>
  <si>
    <t>ORD-101658</t>
  </si>
  <si>
    <t>customer0226@example.com</t>
  </si>
  <si>
    <t>ORD-101562</t>
  </si>
  <si>
    <t>02/19/2026</t>
  </si>
  <si>
    <t>ORD-100423</t>
  </si>
  <si>
    <t>02-02-2026</t>
  </si>
  <si>
    <t>customer0410@example.com</t>
  </si>
  <si>
    <t>ORD-100967</t>
  </si>
  <si>
    <t>customer0661@example.com</t>
  </si>
  <si>
    <t>ORD-101234</t>
  </si>
  <si>
    <t>customer1089@example.com</t>
  </si>
  <si>
    <t>ORD-102973</t>
  </si>
  <si>
    <t>customer0025@example.com</t>
  </si>
  <si>
    <t>ORD-100500</t>
  </si>
  <si>
    <t>11-03-2026</t>
  </si>
  <si>
    <t>ORD-102830</t>
  </si>
  <si>
    <t>ORD-100683</t>
  </si>
  <si>
    <t>30-04-2026</t>
  </si>
  <si>
    <t>customer0238@example.com</t>
  </si>
  <si>
    <t>ORD-102620</t>
  </si>
  <si>
    <t>customer0501@example.com</t>
  </si>
  <si>
    <t>ORD-100358</t>
  </si>
  <si>
    <t>03-07-2026</t>
  </si>
  <si>
    <t>customer1277@example.com</t>
  </si>
  <si>
    <t>ORD-102472</t>
  </si>
  <si>
    <t>customer0682@example.com</t>
  </si>
  <si>
    <t>ORD-101235</t>
  </si>
  <si>
    <t>29-05-2026</t>
  </si>
  <si>
    <t>customer0642@example.com</t>
  </si>
  <si>
    <t>ORD-100511</t>
  </si>
  <si>
    <t>06-01-2026</t>
  </si>
  <si>
    <t>customer1371@example.com</t>
  </si>
  <si>
    <t>ORD-102106</t>
  </si>
  <si>
    <t>ORD-102016</t>
  </si>
  <si>
    <t>ORD-100276</t>
  </si>
  <si>
    <t>20-04-2026</t>
  </si>
  <si>
    <t>customer0703@example.com</t>
  </si>
  <si>
    <t>ORD-100869</t>
  </si>
  <si>
    <t>ORD-100849</t>
  </si>
  <si>
    <t>customer0695@example.com</t>
  </si>
  <si>
    <t>ORD-100754</t>
  </si>
  <si>
    <t>02-05-2026</t>
  </si>
  <si>
    <t>customer1129@example.com</t>
  </si>
  <si>
    <t>ORD-102483</t>
  </si>
  <si>
    <t>24-02-2026</t>
  </si>
  <si>
    <t>customer0034@example.com</t>
  </si>
  <si>
    <t>ORD-100476</t>
  </si>
  <si>
    <t>customer0186@example.com</t>
  </si>
  <si>
    <t>ORD-102598</t>
  </si>
  <si>
    <t>05-03-2026</t>
  </si>
  <si>
    <t>customer0077@example.com</t>
  </si>
  <si>
    <t>ORD-100292</t>
  </si>
  <si>
    <t>customer0734@example.com</t>
  </si>
  <si>
    <t>ORD-101114</t>
  </si>
  <si>
    <t>03/28/2026</t>
  </si>
  <si>
    <t>customer0274@example.com</t>
  </si>
  <si>
    <t>ORD-101024</t>
  </si>
  <si>
    <t>customer0850@example.com</t>
  </si>
  <si>
    <t>ORD-100037</t>
  </si>
  <si>
    <t>customer1301@example.com</t>
  </si>
  <si>
    <t>ORD-101065</t>
  </si>
  <si>
    <t>ORD-101448</t>
  </si>
  <si>
    <t>26-06-2026</t>
  </si>
  <si>
    <t>customer1174@example.com</t>
  </si>
  <si>
    <t>ORD-101379</t>
  </si>
  <si>
    <t>customer1265@example.com</t>
  </si>
  <si>
    <t>ORD-100505</t>
  </si>
  <si>
    <t>customer1278@example.com</t>
  </si>
  <si>
    <t>ORD-101168</t>
  </si>
  <si>
    <t>05-02-2026</t>
  </si>
  <si>
    <t>customer0489@example.com</t>
  </si>
  <si>
    <t>ORD-100214</t>
  </si>
  <si>
    <t>customer0357@example.com</t>
  </si>
  <si>
    <t>ORD-100487</t>
  </si>
  <si>
    <t>03-11-2026</t>
  </si>
  <si>
    <t>customer1323@example.com</t>
  </si>
  <si>
    <t>ORD-102787</t>
  </si>
  <si>
    <t>customer0080@example.com</t>
  </si>
  <si>
    <t>ORD-101204</t>
  </si>
  <si>
    <t>ORD-101924</t>
  </si>
  <si>
    <t>customer0851@example.com</t>
  </si>
  <si>
    <t>ORD-100356</t>
  </si>
  <si>
    <t>customer0214@example.com</t>
  </si>
  <si>
    <t>ORD-101343</t>
  </si>
  <si>
    <t>09-02-2026</t>
  </si>
  <si>
    <t>customer1025@example.com</t>
  </si>
  <si>
    <t>ORD-101077</t>
  </si>
  <si>
    <t>18-02-2026</t>
  </si>
  <si>
    <t>customer0479@example.com</t>
  </si>
  <si>
    <t>ORD-101010</t>
  </si>
  <si>
    <t>24-05-2026</t>
  </si>
  <si>
    <t>customer0240@example.com</t>
  </si>
  <si>
    <t>ORD-101742</t>
  </si>
  <si>
    <t>customer0390@example.com</t>
  </si>
  <si>
    <t>ORD-100163</t>
  </si>
  <si>
    <t>customer1197@example.com</t>
  </si>
  <si>
    <t>ORD-101585</t>
  </si>
  <si>
    <t>customer0748@example.com</t>
  </si>
  <si>
    <t>ORD-102316</t>
  </si>
  <si>
    <t>01-02-2026</t>
  </si>
  <si>
    <t>customer0473@example.com</t>
  </si>
  <si>
    <t>ORD-101662</t>
  </si>
  <si>
    <t>03/25/2026</t>
  </si>
  <si>
    <t>customer0991@example.com</t>
  </si>
  <si>
    <t>ORD-100225</t>
  </si>
  <si>
    <t>28-04-2026</t>
  </si>
  <si>
    <t>customer0835@example.com</t>
  </si>
  <si>
    <t>ORD-101449</t>
  </si>
  <si>
    <t>12-02-2026</t>
  </si>
  <si>
    <t>customer0753@example.com</t>
  </si>
  <si>
    <t>ORD-101452</t>
  </si>
  <si>
    <t>customer1243@example.com</t>
  </si>
  <si>
    <t>ORD-100711</t>
  </si>
  <si>
    <t>22-02-2026</t>
  </si>
  <si>
    <t>ORD-102402</t>
  </si>
  <si>
    <t>03-06-2026</t>
  </si>
  <si>
    <t>customer1192@example.com</t>
  </si>
  <si>
    <t>ORD-100740</t>
  </si>
  <si>
    <t>customer0029@example.com</t>
  </si>
  <si>
    <t>ORD-101017</t>
  </si>
  <si>
    <t>customer0373@example.com</t>
  </si>
  <si>
    <t>ORD-102941</t>
  </si>
  <si>
    <t>customer0010@example.com</t>
  </si>
  <si>
    <t>ORD-101600</t>
  </si>
  <si>
    <t>customer0258@example.com</t>
  </si>
  <si>
    <t>ORD-100745</t>
  </si>
  <si>
    <t>customer0581@example.com</t>
  </si>
  <si>
    <t>ORD-102482</t>
  </si>
  <si>
    <t>24-06-2026</t>
  </si>
  <si>
    <t>ORD-102054</t>
  </si>
  <si>
    <t>customer0904@example.com</t>
  </si>
  <si>
    <t>ORD-100948</t>
  </si>
  <si>
    <t>customer0840@example.com</t>
  </si>
  <si>
    <t>ORD-100047</t>
  </si>
  <si>
    <t>28-05-2026</t>
  </si>
  <si>
    <t>ORD-100809</t>
  </si>
  <si>
    <t>customer0833@example.com</t>
  </si>
  <si>
    <t>ORD-100817</t>
  </si>
  <si>
    <t>22-03-2026</t>
  </si>
  <si>
    <t>customer0959@example.com</t>
  </si>
  <si>
    <t>ORD-101665</t>
  </si>
  <si>
    <t>29-03-2026</t>
  </si>
  <si>
    <t>customer0462@example.com</t>
  </si>
  <si>
    <t>ORD-101637</t>
  </si>
  <si>
    <t>ORD-100896</t>
  </si>
  <si>
    <t>customer0416@example.com</t>
  </si>
  <si>
    <t>ORD-100347</t>
  </si>
  <si>
    <t>customer1012@example.com</t>
  </si>
  <si>
    <t>ORD-100712</t>
  </si>
  <si>
    <t>customer1341@example.com</t>
  </si>
  <si>
    <t>ORD-102414</t>
  </si>
  <si>
    <t>customer0888@example.com</t>
  </si>
  <si>
    <t>ORD-101775</t>
  </si>
  <si>
    <t>customer1380@example.com</t>
  </si>
  <si>
    <t>ORD-100886</t>
  </si>
  <si>
    <t>customer0387@example.com</t>
  </si>
  <si>
    <t>ORD-102758</t>
  </si>
  <si>
    <t>customer0845@example.com</t>
  </si>
  <si>
    <t>ORD-101484</t>
  </si>
  <si>
    <t>04-03-2026</t>
  </si>
  <si>
    <t>customer0646@example.com</t>
  </si>
  <si>
    <t>ORD-100275</t>
  </si>
  <si>
    <t>customer1325@example.com</t>
  </si>
  <si>
    <t xml:space="preserve">aggregate functions </t>
  </si>
  <si>
    <t>sum</t>
  </si>
  <si>
    <t xml:space="preserve">aggregate function name </t>
  </si>
  <si>
    <t>max</t>
  </si>
  <si>
    <t>min</t>
  </si>
  <si>
    <t>count</t>
  </si>
  <si>
    <t xml:space="preserve">count if </t>
  </si>
  <si>
    <t>vlookup</t>
  </si>
  <si>
    <t>Sum of order_total</t>
  </si>
  <si>
    <t>Average of order_total</t>
  </si>
  <si>
    <t>Grand Total</t>
  </si>
  <si>
    <t xml:space="preserve">country </t>
  </si>
  <si>
    <t xml:space="preserve">order date </t>
  </si>
  <si>
    <t>keep using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</si>
</sst>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73.890859259256" createdVersion="8" refreshedVersion="8" minRefreshableVersion="3" recordCount="202" xr:uid="{1957AC14-5AA8-4EC9-84C7-562562DC397F}">
  <cacheSource type="worksheet">
    <worksheetSource name="ecommerce_order__1"/>
  </cacheSource>
  <cacheFields count="17">
    <cacheField name="order_id" numFmtId="0">
      <sharedItems/>
    </cacheField>
    <cacheField name="order_date" numFmtId="0">
      <sharedItems count="131">
        <s v="19-03-2026"/>
        <s v="19-05-2026"/>
        <s v="14-06-2026"/>
        <s v="08-01-2026"/>
        <s v="20-05-2026"/>
        <s v="14-03-2026"/>
        <s v="25-04-2026"/>
        <s v="02-04-2026"/>
        <s v="16-02-2026"/>
        <s v="21-04-2026"/>
        <s v="01-07-2026"/>
        <s v="02/27/2026"/>
        <s v="21-02-2026"/>
        <s v="05-07-2026"/>
        <s v="11-01-2026"/>
        <s v="19-06-2026"/>
        <s v="07-06-2026"/>
        <s v="23-04-2026"/>
        <s v="28-03-2026"/>
        <s v="28-02-2026"/>
        <s v="03/21/2026"/>
        <s v="01-04-2026"/>
        <s v="09-01-2026"/>
        <s v="31-05-2026"/>
        <s v="30-06-2026"/>
        <s v="04-04-2026"/>
        <s v="13-03-2026"/>
        <s v="17-01-2026"/>
        <s v="15-02-2026"/>
        <s v="10-05-2026"/>
        <s v="03/19/2026"/>
        <s v="04/24/2026"/>
        <s v="30-03-2026"/>
        <s v="02/14/2026"/>
        <s v="06/20/2026"/>
        <s v="20-06-2026"/>
        <s v="27-05-2026"/>
        <s v="03-02-2026"/>
        <s v="19-01-2026"/>
        <s v="06/24/2026"/>
        <s v="21-05-2026"/>
        <s v="24-03-2026"/>
        <s v="20-03-2026"/>
        <s v="14-01-2026"/>
        <s v="15-01-2026"/>
        <s v="13-05-2026"/>
        <s v="11-05-2026"/>
        <s v="26-05-2026"/>
        <s v="16-01-2026"/>
        <s v="07-04-2026"/>
        <s v="24-04-2026"/>
        <s v="06-03-2026"/>
        <s v="08-05-2026"/>
        <s v="28-06-2026"/>
        <s v="02-07-2026"/>
        <s v="01-05-2026"/>
        <s v="20-01-2026"/>
        <s v="10-02-2026"/>
        <s v="05-09-2026"/>
        <s v="03/14/2026"/>
        <s v="05/17/2026"/>
        <s v="31-03-2026"/>
        <s v="16-05-2026"/>
        <s v="05/20/2026"/>
        <s v="19-02-2026"/>
        <s v="01-03-2026"/>
        <s v="07-05-2026"/>
        <s v="23-02-2026"/>
        <s v="04-05-2026"/>
        <s v="06/30/2026"/>
        <s v="20-02-2026"/>
        <s v="25-05-2026"/>
        <s v="22-01-2026"/>
        <s v="03/15/2026"/>
        <s v="07-03-2026"/>
        <s v="26-03-2026"/>
        <s v="04-02-2026"/>
        <s v="11-06-2026"/>
        <s v="29-04-2026"/>
        <s v="12-06-2026"/>
        <s v="25-02-2026"/>
        <s v="05-06-2026"/>
        <s v="03/29/2026"/>
        <s v="25-06-2026"/>
        <s v="04-07-2026"/>
        <s v="03-05-2026"/>
        <s v="22-04-2026"/>
        <s v="23-05-2026"/>
        <s v="01/13/2026"/>
        <s v="04/13/2026"/>
        <s v="22-05-2026"/>
        <s v="21-03-2026"/>
        <s v="17-06-2026"/>
        <s v="28-01-2026"/>
        <s v="17-05-2026"/>
        <s v="07-01-2026"/>
        <s v="09-06-2026"/>
        <s v="12-05-2026"/>
        <s v="06-02-2026"/>
        <s v="21-01-2026"/>
        <s v="08-03-2026"/>
        <s v="10-04-2026"/>
        <s v="02/19/2026"/>
        <s v="02-02-2026"/>
        <s v="11-03-2026"/>
        <s v="30-04-2026"/>
        <s v="03-07-2026"/>
        <s v="29-05-2026"/>
        <s v="06-01-2026"/>
        <s v="20-04-2026"/>
        <s v="02-05-2026"/>
        <s v="24-02-2026"/>
        <s v="05-03-2026"/>
        <s v="03/28/2026"/>
        <s v="26-06-2026"/>
        <s v="05-02-2026"/>
        <s v="03-11-2026"/>
        <s v="09-02-2026"/>
        <s v="18-02-2026"/>
        <s v="24-05-2026"/>
        <s v="01-02-2026"/>
        <s v="03/25/2026"/>
        <s v="28-04-2026"/>
        <s v="12-02-2026"/>
        <s v="22-02-2026"/>
        <s v="03-06-2026"/>
        <s v="24-06-2026"/>
        <s v="28-05-2026"/>
        <s v="22-03-2026"/>
        <s v="29-03-2026"/>
        <s v="04-03-2026"/>
      </sharedItems>
    </cacheField>
    <cacheField name="customer_email" numFmtId="0">
      <sharedItems/>
    </cacheField>
    <cacheField name="country" numFmtId="0">
      <sharedItems count="8">
        <s v="France"/>
        <s v="UK"/>
        <s v=" UK"/>
        <s v="Ireland"/>
        <s v="GB"/>
        <s v="uk "/>
        <s v="United Kingdom"/>
        <s v="Germany"/>
      </sharedItems>
    </cacheField>
    <cacheField name="channel" numFmtId="0">
      <sharedItems count="5">
        <s v="direct"/>
        <s v="social"/>
        <s v="email"/>
        <s v="organic"/>
        <s v="paid_search"/>
      </sharedItems>
    </cacheField>
    <cacheField name="product_sku" numFmtId="0">
      <sharedItems count="8">
        <s v="FR-9902"/>
        <s v="FR-2210"/>
        <s v="FR-1120"/>
        <s v="FR-5567"/>
        <s v="FR-8890"/>
        <s v="FR-7781"/>
        <s v="FR-3345"/>
        <s v="FR-4471"/>
      </sharedItems>
    </cacheField>
    <cacheField name="product_name" numFmtId="0">
      <sharedItems count="8">
        <s v="Trekking Poles"/>
        <s v="Trail Softshell"/>
        <s v="Fell Runner Cap"/>
        <s v="Merino Base Layer"/>
        <s v="Summit Down Gilet"/>
        <s v="Storm Overtrousers"/>
        <s v="CafÃ© Latte Mug"/>
        <s v="Alpine Jacket"/>
      </sharedItems>
    </cacheField>
    <cacheField name="quantity" numFmtId="0">
      <sharedItems containsSemiMixedTypes="0" containsString="0" containsNumber="1" containsInteger="1" minValue="-3" maxValue="3"/>
    </cacheField>
    <cacheField name="unit_price" numFmtId="0">
      <sharedItems containsString="0" containsBlank="1" containsNumber="1" minValue="11.25" maxValue="149"/>
    </cacheField>
    <cacheField name="order_total" numFmtId="0">
      <sharedItems containsSemiMixedTypes="0" containsString="0" containsNumber="1" minValue="-258" maxValue="447"/>
    </cacheField>
    <cacheField name="weight" numFmtId="0">
      <sharedItems containsSemiMixedTypes="0" containsString="0" containsNumber="1" minValue="0" maxValue="640"/>
    </cacheField>
    <cacheField name="currency" numFmtId="0">
      <sharedItems count="2">
        <s v="EUR"/>
        <s v="GBP"/>
      </sharedItems>
    </cacheField>
    <cacheField name="status" numFmtId="0">
      <sharedItems count="2">
        <s v="completed"/>
        <s v="refunded"/>
      </sharedItems>
    </cacheField>
    <cacheField name="unit_price_fixed " numFmtId="0">
      <sharedItems containsString="0" containsBlank="1" containsNumber="1" minValue="11.25" maxValue="149"/>
    </cacheField>
    <cacheField name="aggregate functions " numFmtId="0">
      <sharedItems containsString="0" containsBlank="1" containsNumber="1" minValue="-258" maxValue="25704.050000000003"/>
    </cacheField>
    <cacheField name="aggregate function name " numFmtId="0">
      <sharedItems containsBlank="1"/>
    </cacheField>
    <cacheField name="vlookup" numFmtId="0">
      <sharedItems containsSemiMixedTypes="0" containsString="0" containsNumber="1" minValue="21.6" maxValue="3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s v="ORD-101805"/>
    <x v="0"/>
    <s v="customer0457@example.com"/>
    <x v="0"/>
    <x v="0"/>
    <x v="0"/>
    <x v="0"/>
    <n v="1"/>
    <n v="45"/>
    <n v="36"/>
    <n v="520"/>
    <x v="0"/>
    <x v="0"/>
    <n v="45"/>
    <n v="25704.050000000003"/>
    <s v="sum"/>
    <n v="36"/>
  </r>
  <r>
    <s v="ORD-102690"/>
    <x v="1"/>
    <s v="customer0814@example.com"/>
    <x v="0"/>
    <x v="1"/>
    <x v="1"/>
    <x v="1"/>
    <n v="1"/>
    <n v="71.099999999999994"/>
    <n v="71.099999999999994"/>
    <n v="0.52"/>
    <x v="1"/>
    <x v="0"/>
    <n v="71.099999999999994"/>
    <n v="447"/>
    <s v="max"/>
    <n v="71.099999999999994"/>
  </r>
  <r>
    <s v="ORD-101454"/>
    <x v="2"/>
    <s v="customer0858@example.com"/>
    <x v="1"/>
    <x v="2"/>
    <x v="2"/>
    <x v="2"/>
    <n v="1"/>
    <m/>
    <n v="45"/>
    <n v="8.5000000000000006E-2"/>
    <x v="1"/>
    <x v="0"/>
    <n v="45"/>
    <n v="-258"/>
    <s v="min"/>
    <n v="45"/>
  </r>
  <r>
    <s v="ORD-100450"/>
    <x v="3"/>
    <s v="customer0116@example.com"/>
    <x v="2"/>
    <x v="3"/>
    <x v="3"/>
    <x v="3"/>
    <n v="1"/>
    <n v="71.099999999999994"/>
    <n v="71.099999999999994"/>
    <n v="190"/>
    <x v="0"/>
    <x v="0"/>
    <n v="71.099999999999994"/>
    <n v="202"/>
    <s v="count"/>
    <n v="71.099999999999994"/>
  </r>
  <r>
    <s v="ORD-101501"/>
    <x v="4"/>
    <s v="customer1397@example.com"/>
    <x v="3"/>
    <x v="2"/>
    <x v="4"/>
    <x v="4"/>
    <n v="1"/>
    <n v="21.6"/>
    <n v="21.6"/>
    <n v="0.38"/>
    <x v="1"/>
    <x v="0"/>
    <n v="21.6"/>
    <n v="45"/>
    <s v="count if "/>
    <n v="21.6"/>
  </r>
  <r>
    <s v="ORD-101788"/>
    <x v="5"/>
    <s v="customer0775@example.com"/>
    <x v="4"/>
    <x v="3"/>
    <x v="2"/>
    <x v="2"/>
    <n v="1"/>
    <n v="45"/>
    <n v="45"/>
    <n v="85"/>
    <x v="1"/>
    <x v="0"/>
    <n v="45"/>
    <m/>
    <m/>
    <n v="45"/>
  </r>
  <r>
    <s v="ORD-102657"/>
    <x v="6"/>
    <s v="customer1328@example.com"/>
    <x v="4"/>
    <x v="1"/>
    <x v="2"/>
    <x v="2"/>
    <n v="3"/>
    <n v="85.5"/>
    <n v="256.5"/>
    <n v="8.5000000000000006E-2"/>
    <x v="1"/>
    <x v="1"/>
    <n v="85.5"/>
    <m/>
    <m/>
    <n v="45"/>
  </r>
  <r>
    <s v="ORD-102047"/>
    <x v="4"/>
    <s v="customer0760@example.com"/>
    <x v="3"/>
    <x v="3"/>
    <x v="2"/>
    <x v="2"/>
    <n v="2"/>
    <n v="134.1"/>
    <n v="268.2"/>
    <n v="8.5000000000000006E-2"/>
    <x v="0"/>
    <x v="1"/>
    <n v="134.1"/>
    <m/>
    <m/>
    <n v="45"/>
  </r>
  <r>
    <s v="ORD-102650"/>
    <x v="7"/>
    <s v="customer0013@example.com"/>
    <x v="4"/>
    <x v="4"/>
    <x v="3"/>
    <x v="3"/>
    <n v="1"/>
    <n v="24"/>
    <n v="24"/>
    <n v="190"/>
    <x v="1"/>
    <x v="0"/>
    <n v="24"/>
    <m/>
    <m/>
    <n v="71.099999999999994"/>
  </r>
  <r>
    <s v="ORD-102734"/>
    <x v="8"/>
    <s v="customer0805@example.com"/>
    <x v="2"/>
    <x v="4"/>
    <x v="3"/>
    <x v="3"/>
    <n v="1"/>
    <n v="95"/>
    <n v="95"/>
    <n v="190"/>
    <x v="0"/>
    <x v="1"/>
    <n v="95"/>
    <m/>
    <m/>
    <n v="71.099999999999994"/>
  </r>
  <r>
    <s v="ORD-102012"/>
    <x v="9"/>
    <s v="customer0123@example.com"/>
    <x v="2"/>
    <x v="2"/>
    <x v="5"/>
    <x v="5"/>
    <n v="1"/>
    <n v="45"/>
    <n v="45"/>
    <n v="0.41"/>
    <x v="1"/>
    <x v="0"/>
    <n v="45"/>
    <m/>
    <m/>
    <n v="45"/>
  </r>
  <r>
    <s v="ORD-102152"/>
    <x v="10"/>
    <s v="customer0956@example.com"/>
    <x v="3"/>
    <x v="2"/>
    <x v="5"/>
    <x v="5"/>
    <n v="1"/>
    <n v="129"/>
    <n v="129"/>
    <n v="410"/>
    <x v="1"/>
    <x v="0"/>
    <n v="129"/>
    <m/>
    <m/>
    <n v="45"/>
  </r>
  <r>
    <s v="ORD-102773"/>
    <x v="11"/>
    <s v="customer1363@example.com"/>
    <x v="4"/>
    <x v="3"/>
    <x v="6"/>
    <x v="6"/>
    <n v="3"/>
    <n v="116.1"/>
    <n v="348.3"/>
    <n v="340"/>
    <x v="1"/>
    <x v="1"/>
    <n v="116.1"/>
    <m/>
    <m/>
    <n v="348.3"/>
  </r>
  <r>
    <s v="ORD-102215"/>
    <x v="12"/>
    <s v="customer1206@example.com"/>
    <x v="4"/>
    <x v="0"/>
    <x v="7"/>
    <x v="7"/>
    <n v="-3"/>
    <n v="129"/>
    <n v="387"/>
    <n v="640"/>
    <x v="1"/>
    <x v="0"/>
    <n v="129"/>
    <m/>
    <m/>
    <n v="387"/>
  </r>
  <r>
    <s v="ORD-100612"/>
    <x v="13"/>
    <s v="customer0555@example.com"/>
    <x v="5"/>
    <x v="2"/>
    <x v="1"/>
    <x v="1"/>
    <n v="1"/>
    <n v="45"/>
    <n v="45"/>
    <n v="0.52"/>
    <x v="0"/>
    <x v="0"/>
    <n v="45"/>
    <m/>
    <m/>
    <n v="71.099999999999994"/>
  </r>
  <r>
    <s v="ORD-102771"/>
    <x v="14"/>
    <s v="customer1312@example.com"/>
    <x v="3"/>
    <x v="4"/>
    <x v="2"/>
    <x v="2"/>
    <n v="1"/>
    <n v="71.099999999999994"/>
    <n v="71.099999999999994"/>
    <n v="85"/>
    <x v="1"/>
    <x v="0"/>
    <n v="71.099999999999994"/>
    <m/>
    <m/>
    <n v="45"/>
  </r>
  <r>
    <s v="ORD-101929"/>
    <x v="15"/>
    <s v="customer0084@example.com"/>
    <x v="6"/>
    <x v="3"/>
    <x v="5"/>
    <x v="5"/>
    <n v="1"/>
    <n v="116.1"/>
    <n v="116.1"/>
    <n v="0.41"/>
    <x v="1"/>
    <x v="0"/>
    <n v="116.1"/>
    <m/>
    <m/>
    <n v="45"/>
  </r>
  <r>
    <s v="ORD-101855"/>
    <x v="16"/>
    <s v="customer0527@example.com"/>
    <x v="4"/>
    <x v="4"/>
    <x v="6"/>
    <x v="6"/>
    <n v="1"/>
    <n v="89"/>
    <n v="89"/>
    <n v="0.34"/>
    <x v="1"/>
    <x v="1"/>
    <n v="89"/>
    <m/>
    <m/>
    <n v="348.3"/>
  </r>
  <r>
    <s v="ORD-101033"/>
    <x v="17"/>
    <s v="customer0970@example.com"/>
    <x v="2"/>
    <x v="3"/>
    <x v="7"/>
    <x v="7"/>
    <n v="2"/>
    <n v="149"/>
    <n v="298"/>
    <n v="0.64"/>
    <x v="1"/>
    <x v="0"/>
    <n v="149"/>
    <m/>
    <m/>
    <n v="387"/>
  </r>
  <r>
    <s v="ORD-100485"/>
    <x v="2"/>
    <s v="customer1056@example.com"/>
    <x v="5"/>
    <x v="2"/>
    <x v="3"/>
    <x v="3"/>
    <n v="1"/>
    <n v="45"/>
    <n v="45"/>
    <n v="0.19"/>
    <x v="1"/>
    <x v="0"/>
    <n v="45"/>
    <m/>
    <m/>
    <n v="71.099999999999994"/>
  </r>
  <r>
    <s v="ORD-101121"/>
    <x v="18"/>
    <s v="customer0910@example.com"/>
    <x v="0"/>
    <x v="0"/>
    <x v="3"/>
    <x v="3"/>
    <n v="1"/>
    <n v="85.5"/>
    <n v="85.5"/>
    <n v="190"/>
    <x v="1"/>
    <x v="0"/>
    <n v="85.5"/>
    <m/>
    <m/>
    <n v="71.099999999999994"/>
  </r>
  <r>
    <s v="ORD-101302"/>
    <x v="19"/>
    <s v="customer1155@example.com"/>
    <x v="7"/>
    <x v="2"/>
    <x v="4"/>
    <x v="4"/>
    <n v="2"/>
    <n v="149"/>
    <n v="298"/>
    <n v="380"/>
    <x v="1"/>
    <x v="0"/>
    <n v="149"/>
    <m/>
    <m/>
    <n v="21.6"/>
  </r>
  <r>
    <s v="ORD-100778"/>
    <x v="8"/>
    <s v="customer1044@example.com"/>
    <x v="5"/>
    <x v="1"/>
    <x v="2"/>
    <x v="2"/>
    <n v="1"/>
    <n v="21.6"/>
    <n v="21.6"/>
    <n v="0"/>
    <x v="1"/>
    <x v="0"/>
    <n v="21.6"/>
    <m/>
    <m/>
    <n v="45"/>
  </r>
  <r>
    <s v="ORD-100968"/>
    <x v="20"/>
    <s v="customer0047@example.com"/>
    <x v="3"/>
    <x v="3"/>
    <x v="6"/>
    <x v="6"/>
    <n v="1"/>
    <n v="21.6"/>
    <n v="21.6"/>
    <n v="340"/>
    <x v="1"/>
    <x v="0"/>
    <n v="21.6"/>
    <m/>
    <m/>
    <n v="348.3"/>
  </r>
  <r>
    <s v="ORD-101676"/>
    <x v="21"/>
    <s v="customer0180@example.com"/>
    <x v="4"/>
    <x v="2"/>
    <x v="5"/>
    <x v="5"/>
    <n v="-1"/>
    <n v="129"/>
    <n v="-129"/>
    <n v="410"/>
    <x v="1"/>
    <x v="0"/>
    <n v="129"/>
    <m/>
    <m/>
    <n v="45"/>
  </r>
  <r>
    <s v="ORD-102809"/>
    <x v="17"/>
    <s v="customer0212@example.com"/>
    <x v="7"/>
    <x v="3"/>
    <x v="3"/>
    <x v="3"/>
    <n v="3"/>
    <n v="89"/>
    <n v="267"/>
    <n v="0.19"/>
    <x v="0"/>
    <x v="0"/>
    <n v="89"/>
    <m/>
    <m/>
    <n v="71.099999999999994"/>
  </r>
  <r>
    <s v="ORD-102890"/>
    <x v="22"/>
    <s v="customer0605@example.com"/>
    <x v="1"/>
    <x v="0"/>
    <x v="6"/>
    <x v="6"/>
    <n v="1"/>
    <m/>
    <n v="21.6"/>
    <n v="340"/>
    <x v="1"/>
    <x v="1"/>
    <n v="21.6"/>
    <m/>
    <m/>
    <n v="348.3"/>
  </r>
  <r>
    <s v="ORD-100039"/>
    <x v="23"/>
    <s v="customer0449@example.com"/>
    <x v="2"/>
    <x v="1"/>
    <x v="4"/>
    <x v="4"/>
    <n v="2"/>
    <n v="79"/>
    <n v="158"/>
    <n v="0.38"/>
    <x v="1"/>
    <x v="0"/>
    <n v="79"/>
    <m/>
    <m/>
    <n v="21.6"/>
  </r>
  <r>
    <s v="ORD-102776"/>
    <x v="24"/>
    <s v="customer0321@example.com"/>
    <x v="4"/>
    <x v="0"/>
    <x v="4"/>
    <x v="4"/>
    <n v="3"/>
    <n v="11.25"/>
    <n v="33.75"/>
    <n v="0.38"/>
    <x v="1"/>
    <x v="0"/>
    <n v="11.25"/>
    <m/>
    <m/>
    <n v="21.6"/>
  </r>
  <r>
    <s v="ORD-100053"/>
    <x v="25"/>
    <s v="customer1166@example.com"/>
    <x v="4"/>
    <x v="1"/>
    <x v="1"/>
    <x v="1"/>
    <n v="1"/>
    <m/>
    <n v="36"/>
    <n v="520"/>
    <x v="1"/>
    <x v="0"/>
    <m/>
    <m/>
    <m/>
    <n v="71.099999999999994"/>
  </r>
  <r>
    <s v="ORD-101914"/>
    <x v="26"/>
    <s v="customer0347@example.com"/>
    <x v="7"/>
    <x v="4"/>
    <x v="3"/>
    <x v="3"/>
    <n v="2"/>
    <n v="129"/>
    <n v="258"/>
    <n v="190"/>
    <x v="1"/>
    <x v="0"/>
    <n v="129"/>
    <m/>
    <m/>
    <n v="71.099999999999994"/>
  </r>
  <r>
    <s v="ORD-100303"/>
    <x v="27"/>
    <s v="customer1186@example.com"/>
    <x v="2"/>
    <x v="1"/>
    <x v="7"/>
    <x v="7"/>
    <n v="1"/>
    <n v="71.099999999999994"/>
    <n v="71.099999999999994"/>
    <n v="640"/>
    <x v="1"/>
    <x v="0"/>
    <n v="71.099999999999994"/>
    <m/>
    <m/>
    <n v="387"/>
  </r>
  <r>
    <s v="ORD-102075"/>
    <x v="21"/>
    <s v="customer1029@example.com"/>
    <x v="2"/>
    <x v="3"/>
    <x v="6"/>
    <x v="6"/>
    <n v="-2"/>
    <n v="45"/>
    <n v="-90"/>
    <n v="340"/>
    <x v="1"/>
    <x v="0"/>
    <n v="45"/>
    <m/>
    <m/>
    <n v="348.3"/>
  </r>
  <r>
    <s v="ORD-101025"/>
    <x v="28"/>
    <s v="customer1144@example.com"/>
    <x v="6"/>
    <x v="2"/>
    <x v="7"/>
    <x v="7"/>
    <n v="2"/>
    <m/>
    <n v="160.19999999999999"/>
    <n v="640"/>
    <x v="0"/>
    <x v="0"/>
    <m/>
    <m/>
    <m/>
    <n v="387"/>
  </r>
  <r>
    <s v="ORD-101946"/>
    <x v="29"/>
    <s v="customer1248@example.com"/>
    <x v="1"/>
    <x v="3"/>
    <x v="7"/>
    <x v="7"/>
    <n v="2"/>
    <m/>
    <n v="25"/>
    <n v="0.64"/>
    <x v="1"/>
    <x v="0"/>
    <m/>
    <m/>
    <m/>
    <n v="387"/>
  </r>
  <r>
    <s v="ORD-101075"/>
    <x v="30"/>
    <s v="customer0388@example.com"/>
    <x v="2"/>
    <x v="3"/>
    <x v="5"/>
    <x v="5"/>
    <n v="3"/>
    <n v="149"/>
    <n v="447"/>
    <n v="410"/>
    <x v="1"/>
    <x v="0"/>
    <n v="149"/>
    <m/>
    <m/>
    <n v="45"/>
  </r>
  <r>
    <s v="ORD-101807"/>
    <x v="31"/>
    <s v="customer1225@example.com"/>
    <x v="2"/>
    <x v="0"/>
    <x v="5"/>
    <x v="5"/>
    <n v="2"/>
    <n v="11.25"/>
    <n v="22.5"/>
    <n v="0.41"/>
    <x v="1"/>
    <x v="1"/>
    <n v="11.25"/>
    <m/>
    <m/>
    <n v="45"/>
  </r>
  <r>
    <s v="ORD-102879"/>
    <x v="32"/>
    <s v="customer1087@example.com"/>
    <x v="3"/>
    <x v="4"/>
    <x v="5"/>
    <x v="5"/>
    <n v="1"/>
    <n v="149"/>
    <n v="149"/>
    <n v="410"/>
    <x v="1"/>
    <x v="1"/>
    <n v="149"/>
    <m/>
    <m/>
    <n v="45"/>
  </r>
  <r>
    <s v="ORD-100229"/>
    <x v="33"/>
    <s v="customer0706@example.com"/>
    <x v="4"/>
    <x v="4"/>
    <x v="2"/>
    <x v="2"/>
    <n v="1"/>
    <n v="80.099999999999994"/>
    <n v="80.099999999999994"/>
    <n v="85"/>
    <x v="1"/>
    <x v="0"/>
    <n v="80.099999999999994"/>
    <m/>
    <m/>
    <n v="45"/>
  </r>
  <r>
    <s v="ORD-101507"/>
    <x v="34"/>
    <s v="customer0951@example.com"/>
    <x v="5"/>
    <x v="3"/>
    <x v="3"/>
    <x v="3"/>
    <n v="1"/>
    <n v="95"/>
    <n v="95"/>
    <n v="0.19"/>
    <x v="1"/>
    <x v="0"/>
    <n v="95"/>
    <m/>
    <m/>
    <n v="71.099999999999994"/>
  </r>
  <r>
    <s v="ORD-100281"/>
    <x v="35"/>
    <s v="customer1318@example.com"/>
    <x v="4"/>
    <x v="3"/>
    <x v="5"/>
    <x v="5"/>
    <n v="3"/>
    <n v="11.25"/>
    <n v="33.75"/>
    <n v="0.41"/>
    <x v="1"/>
    <x v="0"/>
    <n v="11.25"/>
    <m/>
    <m/>
    <n v="45"/>
  </r>
  <r>
    <s v="ORD-100155"/>
    <x v="36"/>
    <s v="customer0109@example.com"/>
    <x v="2"/>
    <x v="1"/>
    <x v="7"/>
    <x v="7"/>
    <n v="2"/>
    <n v="21.6"/>
    <n v="43.2"/>
    <n v="0.64"/>
    <x v="0"/>
    <x v="1"/>
    <n v="21.6"/>
    <m/>
    <m/>
    <n v="387"/>
  </r>
  <r>
    <s v="ORD-102793"/>
    <x v="37"/>
    <s v="customer0701@example.com"/>
    <x v="6"/>
    <x v="2"/>
    <x v="4"/>
    <x v="4"/>
    <n v="2"/>
    <n v="89"/>
    <n v="178"/>
    <n v="380"/>
    <x v="1"/>
    <x v="0"/>
    <n v="89"/>
    <m/>
    <m/>
    <n v="21.6"/>
  </r>
  <r>
    <s v="ORD-102266"/>
    <x v="38"/>
    <s v="customer0725@example.com"/>
    <x v="2"/>
    <x v="2"/>
    <x v="6"/>
    <x v="6"/>
    <n v="1"/>
    <m/>
    <n v="80.099999999999994"/>
    <n v="340"/>
    <x v="1"/>
    <x v="0"/>
    <m/>
    <m/>
    <m/>
    <n v="348.3"/>
  </r>
  <r>
    <s v="ORD-102177"/>
    <x v="39"/>
    <s v="customer0599@example.com"/>
    <x v="1"/>
    <x v="0"/>
    <x v="6"/>
    <x v="6"/>
    <n v="3"/>
    <n v="129"/>
    <n v="387"/>
    <n v="0.34"/>
    <x v="1"/>
    <x v="0"/>
    <n v="129"/>
    <m/>
    <m/>
    <n v="348.3"/>
  </r>
  <r>
    <s v="ORD-102794"/>
    <x v="40"/>
    <s v="customer0480@example.com"/>
    <x v="3"/>
    <x v="4"/>
    <x v="5"/>
    <x v="5"/>
    <n v="2"/>
    <n v="129"/>
    <n v="258"/>
    <n v="0.41"/>
    <x v="1"/>
    <x v="0"/>
    <n v="129"/>
    <m/>
    <m/>
    <n v="45"/>
  </r>
  <r>
    <s v="ORD-102860"/>
    <x v="41"/>
    <s v="customer1378@example.com"/>
    <x v="1"/>
    <x v="0"/>
    <x v="7"/>
    <x v="7"/>
    <n v="2"/>
    <m/>
    <n v="171"/>
    <n v="640"/>
    <x v="1"/>
    <x v="1"/>
    <m/>
    <m/>
    <m/>
    <n v="387"/>
  </r>
  <r>
    <s v="ORD-102717"/>
    <x v="42"/>
    <s v="customer0415@example.com"/>
    <x v="3"/>
    <x v="4"/>
    <x v="5"/>
    <x v="5"/>
    <n v="1"/>
    <n v="89"/>
    <n v="89"/>
    <n v="410"/>
    <x v="1"/>
    <x v="0"/>
    <n v="89"/>
    <m/>
    <m/>
    <n v="45"/>
  </r>
  <r>
    <s v="ORD-100226"/>
    <x v="43"/>
    <s v="customer0210@example.com"/>
    <x v="7"/>
    <x v="2"/>
    <x v="6"/>
    <x v="6"/>
    <n v="1"/>
    <n v="95"/>
    <n v="95"/>
    <n v="340"/>
    <x v="0"/>
    <x v="0"/>
    <n v="95"/>
    <m/>
    <m/>
    <n v="348.3"/>
  </r>
  <r>
    <s v="ORD-101221"/>
    <x v="44"/>
    <s v="customer1184@example.com"/>
    <x v="3"/>
    <x v="0"/>
    <x v="6"/>
    <x v="6"/>
    <n v="2"/>
    <n v="89"/>
    <n v="178"/>
    <n v="340"/>
    <x v="1"/>
    <x v="0"/>
    <n v="89"/>
    <m/>
    <m/>
    <n v="348.3"/>
  </r>
  <r>
    <s v="ORD-102055"/>
    <x v="45"/>
    <s v="customer0735@example.com"/>
    <x v="6"/>
    <x v="3"/>
    <x v="3"/>
    <x v="3"/>
    <n v="-1"/>
    <n v="149"/>
    <n v="-149"/>
    <n v="0.19"/>
    <x v="1"/>
    <x v="0"/>
    <n v="149"/>
    <m/>
    <m/>
    <n v="71.099999999999994"/>
  </r>
  <r>
    <s v="ORD-102118"/>
    <x v="15"/>
    <s v="customer1072@example.com"/>
    <x v="3"/>
    <x v="1"/>
    <x v="2"/>
    <x v="2"/>
    <n v="3"/>
    <n v="24"/>
    <n v="72"/>
    <n v="8.5000000000000006E-2"/>
    <x v="1"/>
    <x v="0"/>
    <n v="24"/>
    <m/>
    <m/>
    <n v="45"/>
  </r>
  <r>
    <s v="ORD-101531"/>
    <x v="46"/>
    <s v="customer0814@example.com"/>
    <x v="1"/>
    <x v="2"/>
    <x v="6"/>
    <x v="6"/>
    <n v="2"/>
    <n v="85.5"/>
    <n v="171"/>
    <n v="0.34"/>
    <x v="0"/>
    <x v="0"/>
    <n v="85.5"/>
    <m/>
    <m/>
    <n v="348.3"/>
  </r>
  <r>
    <s v="ORD-101429"/>
    <x v="47"/>
    <s v="customer0368@example.com"/>
    <x v="1"/>
    <x v="3"/>
    <x v="5"/>
    <x v="5"/>
    <n v="3"/>
    <n v="24"/>
    <n v="72"/>
    <n v="0.41"/>
    <x v="1"/>
    <x v="1"/>
    <n v="24"/>
    <m/>
    <m/>
    <n v="45"/>
  </r>
  <r>
    <s v="ORD-101372"/>
    <x v="48"/>
    <s v="customer0658@example.com"/>
    <x v="5"/>
    <x v="0"/>
    <x v="4"/>
    <x v="4"/>
    <n v="1"/>
    <n v="11.25"/>
    <n v="11.25"/>
    <n v="380"/>
    <x v="1"/>
    <x v="0"/>
    <n v="11.25"/>
    <m/>
    <m/>
    <n v="21.6"/>
  </r>
  <r>
    <s v="ORD-101570"/>
    <x v="49"/>
    <s v="customer0843@example.com"/>
    <x v="2"/>
    <x v="4"/>
    <x v="1"/>
    <x v="1"/>
    <n v="2"/>
    <n v="11.25"/>
    <n v="22.5"/>
    <n v="520"/>
    <x v="1"/>
    <x v="0"/>
    <n v="11.25"/>
    <m/>
    <m/>
    <n v="71.099999999999994"/>
  </r>
  <r>
    <s v="ORD-101237"/>
    <x v="50"/>
    <s v="customer1101@example.com"/>
    <x v="5"/>
    <x v="3"/>
    <x v="0"/>
    <x v="0"/>
    <n v="2"/>
    <n v="95"/>
    <n v="171"/>
    <n v="0.52"/>
    <x v="1"/>
    <x v="0"/>
    <n v="95"/>
    <m/>
    <m/>
    <n v="36"/>
  </r>
  <r>
    <s v="ORD-102733"/>
    <x v="51"/>
    <s v="customer1291@example.com"/>
    <x v="3"/>
    <x v="0"/>
    <x v="1"/>
    <x v="1"/>
    <n v="1"/>
    <m/>
    <n v="116.1"/>
    <n v="520"/>
    <x v="0"/>
    <x v="0"/>
    <m/>
    <m/>
    <m/>
    <n v="71.099999999999994"/>
  </r>
  <r>
    <s v="ORD-100314"/>
    <x v="52"/>
    <s v="customer0820@example.com"/>
    <x v="3"/>
    <x v="0"/>
    <x v="7"/>
    <x v="7"/>
    <n v="2"/>
    <n v="40.5"/>
    <n v="81"/>
    <n v="0.64"/>
    <x v="1"/>
    <x v="0"/>
    <n v="40.5"/>
    <m/>
    <m/>
    <n v="387"/>
  </r>
  <r>
    <s v="ORD-102277"/>
    <x v="53"/>
    <s v="customer0975@example.com"/>
    <x v="2"/>
    <x v="3"/>
    <x v="1"/>
    <x v="1"/>
    <n v="1"/>
    <n v="85.5"/>
    <n v="85.5"/>
    <n v="0.52"/>
    <x v="0"/>
    <x v="0"/>
    <n v="85.5"/>
    <m/>
    <m/>
    <n v="71.099999999999994"/>
  </r>
  <r>
    <s v="ORD-102431"/>
    <x v="54"/>
    <s v="customer0946@example.com"/>
    <x v="4"/>
    <x v="0"/>
    <x v="2"/>
    <x v="2"/>
    <n v="2"/>
    <n v="40.5"/>
    <n v="81"/>
    <n v="8.5000000000000006E-2"/>
    <x v="1"/>
    <x v="1"/>
    <n v="40.5"/>
    <m/>
    <m/>
    <n v="45"/>
  </r>
  <r>
    <s v="ORD-101431"/>
    <x v="55"/>
    <s v="customer0844@example.com"/>
    <x v="5"/>
    <x v="3"/>
    <x v="0"/>
    <x v="0"/>
    <n v="2"/>
    <n v="85.5"/>
    <n v="171"/>
    <n v="0.52"/>
    <x v="1"/>
    <x v="0"/>
    <n v="85.5"/>
    <m/>
    <m/>
    <n v="36"/>
  </r>
  <r>
    <s v="ORD-102072"/>
    <x v="56"/>
    <s v="customer0732@example.com"/>
    <x v="7"/>
    <x v="3"/>
    <x v="6"/>
    <x v="6"/>
    <n v="3"/>
    <n v="11.25"/>
    <n v="33.75"/>
    <n v="340"/>
    <x v="1"/>
    <x v="0"/>
    <n v="11.25"/>
    <m/>
    <m/>
    <n v="348.3"/>
  </r>
  <r>
    <s v="ORD-102983"/>
    <x v="57"/>
    <s v="customer1264@example.com"/>
    <x v="4"/>
    <x v="0"/>
    <x v="0"/>
    <x v="0"/>
    <n v="3"/>
    <n v="79"/>
    <n v="237"/>
    <n v="520"/>
    <x v="1"/>
    <x v="0"/>
    <n v="79"/>
    <m/>
    <m/>
    <n v="36"/>
  </r>
  <r>
    <s v="ORD-101945"/>
    <x v="58"/>
    <s v="customer0119@example.com"/>
    <x v="0"/>
    <x v="4"/>
    <x v="6"/>
    <x v="6"/>
    <n v="3"/>
    <n v="89"/>
    <n v="267"/>
    <n v="0.34"/>
    <x v="1"/>
    <x v="0"/>
    <n v="89"/>
    <m/>
    <m/>
    <n v="348.3"/>
  </r>
  <r>
    <s v="ORD-101850"/>
    <x v="59"/>
    <s v="customer0063@example.com"/>
    <x v="0"/>
    <x v="0"/>
    <x v="5"/>
    <x v="5"/>
    <n v="2"/>
    <n v="45"/>
    <n v="90"/>
    <n v="410"/>
    <x v="1"/>
    <x v="0"/>
    <n v="45"/>
    <m/>
    <m/>
    <n v="45"/>
  </r>
  <r>
    <s v="ORD-101650"/>
    <x v="1"/>
    <s v="customer0184@example.com"/>
    <x v="6"/>
    <x v="3"/>
    <x v="5"/>
    <x v="5"/>
    <n v="3"/>
    <n v="129"/>
    <n v="387"/>
    <n v="0.41"/>
    <x v="1"/>
    <x v="0"/>
    <n v="129"/>
    <m/>
    <m/>
    <n v="45"/>
  </r>
  <r>
    <s v="ORD-102725"/>
    <x v="60"/>
    <s v="customer1123@example.com"/>
    <x v="0"/>
    <x v="4"/>
    <x v="4"/>
    <x v="4"/>
    <n v="2"/>
    <n v="129"/>
    <n v="258"/>
    <n v="0.38"/>
    <x v="1"/>
    <x v="1"/>
    <n v="129"/>
    <m/>
    <m/>
    <n v="21.6"/>
  </r>
  <r>
    <s v="ORD-102852"/>
    <x v="47"/>
    <s v="customer0394@example.com"/>
    <x v="3"/>
    <x v="4"/>
    <x v="2"/>
    <x v="2"/>
    <n v="1"/>
    <n v="116.1"/>
    <n v="116.1"/>
    <n v="8.5000000000000006E-2"/>
    <x v="1"/>
    <x v="0"/>
    <n v="116.1"/>
    <m/>
    <m/>
    <n v="45"/>
  </r>
  <r>
    <s v="ORD-101069"/>
    <x v="0"/>
    <s v="customer0006@example.com"/>
    <x v="4"/>
    <x v="0"/>
    <x v="4"/>
    <x v="4"/>
    <n v="2"/>
    <n v="24"/>
    <n v="48"/>
    <n v="380"/>
    <x v="0"/>
    <x v="0"/>
    <n v="24"/>
    <m/>
    <m/>
    <n v="21.6"/>
  </r>
  <r>
    <s v="ORD-102523"/>
    <x v="61"/>
    <s v="customer0921@example.com"/>
    <x v="1"/>
    <x v="1"/>
    <x v="3"/>
    <x v="3"/>
    <n v="1"/>
    <n v="129"/>
    <n v="103.2"/>
    <n v="190"/>
    <x v="1"/>
    <x v="1"/>
    <n v="129"/>
    <m/>
    <m/>
    <n v="71.099999999999994"/>
  </r>
  <r>
    <s v="ORD-101173"/>
    <x v="62"/>
    <s v="customer0245@example.com"/>
    <x v="3"/>
    <x v="1"/>
    <x v="5"/>
    <x v="5"/>
    <n v="1"/>
    <n v="12.5"/>
    <n v="12.5"/>
    <n v="0.41"/>
    <x v="1"/>
    <x v="0"/>
    <n v="12.5"/>
    <m/>
    <m/>
    <n v="45"/>
  </r>
  <r>
    <s v="ORD-100798"/>
    <x v="1"/>
    <s v="customer0918@example.com"/>
    <x v="2"/>
    <x v="1"/>
    <x v="6"/>
    <x v="6"/>
    <n v="3"/>
    <n v="21.6"/>
    <n v="64.8"/>
    <n v="0.34"/>
    <x v="1"/>
    <x v="0"/>
    <n v="21.6"/>
    <m/>
    <m/>
    <n v="348.3"/>
  </r>
  <r>
    <s v="ORD-100370"/>
    <x v="63"/>
    <s v="customer1151@example.com"/>
    <x v="3"/>
    <x v="3"/>
    <x v="3"/>
    <x v="3"/>
    <n v="1"/>
    <n v="149"/>
    <n v="149"/>
    <n v="0.19"/>
    <x v="1"/>
    <x v="0"/>
    <n v="149"/>
    <m/>
    <m/>
    <n v="71.099999999999994"/>
  </r>
  <r>
    <s v="ORD-100464"/>
    <x v="64"/>
    <s v="customer0844@example.com"/>
    <x v="1"/>
    <x v="1"/>
    <x v="2"/>
    <x v="2"/>
    <n v="1"/>
    <n v="79"/>
    <n v="79"/>
    <n v="85"/>
    <x v="1"/>
    <x v="0"/>
    <n v="79"/>
    <m/>
    <m/>
    <n v="45"/>
  </r>
  <r>
    <s v="ORD-100662"/>
    <x v="65"/>
    <s v="customer1198@example.com"/>
    <x v="0"/>
    <x v="3"/>
    <x v="7"/>
    <x v="7"/>
    <n v="1"/>
    <n v="24"/>
    <n v="24"/>
    <n v="640"/>
    <x v="1"/>
    <x v="0"/>
    <n v="24"/>
    <m/>
    <m/>
    <n v="387"/>
  </r>
  <r>
    <s v="ORD-102005"/>
    <x v="43"/>
    <s v="customer0369@example.com"/>
    <x v="2"/>
    <x v="3"/>
    <x v="0"/>
    <x v="0"/>
    <n v="2"/>
    <m/>
    <n v="232.2"/>
    <n v="520"/>
    <x v="1"/>
    <x v="1"/>
    <m/>
    <m/>
    <m/>
    <n v="36"/>
  </r>
  <r>
    <s v="ORD-102592"/>
    <x v="66"/>
    <s v="customer0842@example.com"/>
    <x v="5"/>
    <x v="2"/>
    <x v="3"/>
    <x v="3"/>
    <n v="1"/>
    <n v="85.5"/>
    <n v="85.5"/>
    <n v="0.19"/>
    <x v="1"/>
    <x v="0"/>
    <n v="85.5"/>
    <m/>
    <m/>
    <n v="71.099999999999994"/>
  </r>
  <r>
    <s v="ORD-100862"/>
    <x v="67"/>
    <s v="customer0427@example.com"/>
    <x v="7"/>
    <x v="1"/>
    <x v="7"/>
    <x v="7"/>
    <n v="2"/>
    <n v="40.5"/>
    <n v="81"/>
    <n v="640"/>
    <x v="1"/>
    <x v="0"/>
    <n v="40.5"/>
    <m/>
    <m/>
    <n v="387"/>
  </r>
  <r>
    <s v="ORD-101693"/>
    <x v="0"/>
    <s v="customer0461@example.com"/>
    <x v="5"/>
    <x v="4"/>
    <x v="2"/>
    <x v="2"/>
    <n v="1"/>
    <n v="79"/>
    <n v="79"/>
    <n v="85"/>
    <x v="0"/>
    <x v="0"/>
    <n v="79"/>
    <m/>
    <m/>
    <n v="45"/>
  </r>
  <r>
    <s v="ORD-102839"/>
    <x v="68"/>
    <s v="customer0251@example.com"/>
    <x v="2"/>
    <x v="3"/>
    <x v="0"/>
    <x v="0"/>
    <n v="1"/>
    <n v="80.099999999999994"/>
    <n v="80.099999999999994"/>
    <n v="520"/>
    <x v="1"/>
    <x v="0"/>
    <n v="80.099999999999994"/>
    <m/>
    <m/>
    <n v="36"/>
  </r>
  <r>
    <s v="ORD-102331"/>
    <x v="67"/>
    <s v="customer0592@example.com"/>
    <x v="0"/>
    <x v="3"/>
    <x v="3"/>
    <x v="3"/>
    <n v="1"/>
    <n v="71.099999999999994"/>
    <n v="71.099999999999994"/>
    <n v="190"/>
    <x v="1"/>
    <x v="0"/>
    <n v="71.099999999999994"/>
    <m/>
    <m/>
    <n v="71.099999999999994"/>
  </r>
  <r>
    <s v="ORD-102439"/>
    <x v="69"/>
    <s v="customer1164@example.com"/>
    <x v="3"/>
    <x v="3"/>
    <x v="4"/>
    <x v="4"/>
    <n v="-2"/>
    <n v="129"/>
    <n v="-258"/>
    <n v="0.38"/>
    <x v="1"/>
    <x v="0"/>
    <n v="129"/>
    <m/>
    <m/>
    <n v="21.6"/>
  </r>
  <r>
    <s v="ORD-101437"/>
    <x v="70"/>
    <s v="customer0990@example.com"/>
    <x v="0"/>
    <x v="1"/>
    <x v="3"/>
    <x v="3"/>
    <n v="1"/>
    <n v="79"/>
    <n v="79"/>
    <n v="190"/>
    <x v="1"/>
    <x v="0"/>
    <n v="79"/>
    <m/>
    <m/>
    <n v="71.099999999999994"/>
  </r>
  <r>
    <s v="ORD-101980"/>
    <x v="71"/>
    <s v="customer0809@example.com"/>
    <x v="5"/>
    <x v="4"/>
    <x v="5"/>
    <x v="5"/>
    <n v="2"/>
    <n v="95"/>
    <n v="190"/>
    <n v="0.41"/>
    <x v="1"/>
    <x v="0"/>
    <n v="95"/>
    <m/>
    <m/>
    <n v="45"/>
  </r>
  <r>
    <s v="ORD-100372"/>
    <x v="72"/>
    <s v="customer0638@example.com"/>
    <x v="7"/>
    <x v="3"/>
    <x v="7"/>
    <x v="7"/>
    <n v="3"/>
    <n v="149"/>
    <n v="447"/>
    <n v="640"/>
    <x v="1"/>
    <x v="1"/>
    <n v="149"/>
    <m/>
    <m/>
    <n v="387"/>
  </r>
  <r>
    <s v="ORD-102170"/>
    <x v="73"/>
    <s v="customer1232@example.com"/>
    <x v="5"/>
    <x v="2"/>
    <x v="6"/>
    <x v="6"/>
    <n v="3"/>
    <n v="79"/>
    <n v="237"/>
    <n v="340"/>
    <x v="1"/>
    <x v="1"/>
    <n v="79"/>
    <m/>
    <m/>
    <n v="348.3"/>
  </r>
  <r>
    <s v="ORD-100509"/>
    <x v="27"/>
    <s v="customer0905@example.com"/>
    <x v="4"/>
    <x v="3"/>
    <x v="7"/>
    <x v="7"/>
    <n v="1"/>
    <n v="12.5"/>
    <n v="12.5"/>
    <n v="640"/>
    <x v="0"/>
    <x v="0"/>
    <n v="12.5"/>
    <m/>
    <m/>
    <n v="387"/>
  </r>
  <r>
    <s v="ORD-102217"/>
    <x v="74"/>
    <s v="customer1220@example.com"/>
    <x v="3"/>
    <x v="1"/>
    <x v="2"/>
    <x v="2"/>
    <n v="1"/>
    <n v="45"/>
    <n v="45"/>
    <n v="85"/>
    <x v="1"/>
    <x v="0"/>
    <n v="45"/>
    <m/>
    <m/>
    <n v="45"/>
  </r>
  <r>
    <s v="ORD-101947"/>
    <x v="75"/>
    <s v="customer0751@example.com"/>
    <x v="1"/>
    <x v="2"/>
    <x v="0"/>
    <x v="0"/>
    <n v="1"/>
    <n v="89"/>
    <n v="89"/>
    <n v="520"/>
    <x v="1"/>
    <x v="0"/>
    <n v="89"/>
    <m/>
    <m/>
    <n v="36"/>
  </r>
  <r>
    <s v="ORD-102481"/>
    <x v="76"/>
    <s v="customer0381@example.com"/>
    <x v="0"/>
    <x v="3"/>
    <x v="7"/>
    <x v="7"/>
    <n v="-1"/>
    <n v="12.5"/>
    <n v="-12.5"/>
    <n v="640"/>
    <x v="1"/>
    <x v="0"/>
    <n v="12.5"/>
    <m/>
    <m/>
    <n v="387"/>
  </r>
  <r>
    <s v="ORD-101426"/>
    <x v="65"/>
    <s v="customer0673@example.com"/>
    <x v="4"/>
    <x v="0"/>
    <x v="7"/>
    <x v="7"/>
    <n v="-1"/>
    <n v="80.099999999999994"/>
    <n v="-80.099999999999994"/>
    <n v="640"/>
    <x v="1"/>
    <x v="0"/>
    <n v="80.099999999999994"/>
    <m/>
    <m/>
    <n v="387"/>
  </r>
  <r>
    <s v="ORD-100203"/>
    <x v="77"/>
    <s v="customer1140@example.com"/>
    <x v="0"/>
    <x v="4"/>
    <x v="5"/>
    <x v="5"/>
    <n v="1"/>
    <n v="11.25"/>
    <n v="11.25"/>
    <n v="0.41"/>
    <x v="0"/>
    <x v="0"/>
    <n v="11.25"/>
    <m/>
    <m/>
    <n v="45"/>
  </r>
  <r>
    <s v="ORD-100364"/>
    <x v="74"/>
    <s v="customer0044@example.com"/>
    <x v="7"/>
    <x v="1"/>
    <x v="4"/>
    <x v="4"/>
    <n v="2"/>
    <n v="95"/>
    <n v="190"/>
    <n v="380"/>
    <x v="0"/>
    <x v="1"/>
    <n v="95"/>
    <m/>
    <m/>
    <n v="21.6"/>
  </r>
  <r>
    <s v="ORD-102488"/>
    <x v="51"/>
    <s v="customer0412@example.com"/>
    <x v="4"/>
    <x v="3"/>
    <x v="5"/>
    <x v="5"/>
    <n v="2"/>
    <n v="95"/>
    <n v="190"/>
    <n v="410"/>
    <x v="1"/>
    <x v="0"/>
    <n v="95"/>
    <m/>
    <m/>
    <n v="45"/>
  </r>
  <r>
    <s v="ORD-100485"/>
    <x v="2"/>
    <s v="customer1056@example.com"/>
    <x v="5"/>
    <x v="2"/>
    <x v="3"/>
    <x v="3"/>
    <n v="1"/>
    <n v="45"/>
    <n v="45"/>
    <n v="0.19"/>
    <x v="1"/>
    <x v="0"/>
    <n v="45"/>
    <m/>
    <m/>
    <n v="71.099999999999994"/>
  </r>
  <r>
    <s v="ORD-100121"/>
    <x v="78"/>
    <s v="customer0761@example.com"/>
    <x v="4"/>
    <x v="0"/>
    <x v="1"/>
    <x v="1"/>
    <n v="2"/>
    <n v="11.25"/>
    <n v="22.5"/>
    <n v="0.52"/>
    <x v="1"/>
    <x v="0"/>
    <n v="11.25"/>
    <m/>
    <m/>
    <n v="71.099999999999994"/>
  </r>
  <r>
    <s v="ORD-100228"/>
    <x v="79"/>
    <s v="customer0542@example.com"/>
    <x v="0"/>
    <x v="4"/>
    <x v="4"/>
    <x v="4"/>
    <n v="1"/>
    <n v="21.6"/>
    <n v="21.6"/>
    <n v="0.38"/>
    <x v="1"/>
    <x v="0"/>
    <n v="21.6"/>
    <m/>
    <m/>
    <n v="21.6"/>
  </r>
  <r>
    <s v="ORD-101841"/>
    <x v="80"/>
    <s v="customer0579@example.com"/>
    <x v="6"/>
    <x v="3"/>
    <x v="6"/>
    <x v="6"/>
    <n v="2"/>
    <n v="71.099999999999994"/>
    <n v="142.19999999999999"/>
    <n v="340"/>
    <x v="1"/>
    <x v="0"/>
    <n v="71.099999999999994"/>
    <m/>
    <m/>
    <n v="348.3"/>
  </r>
  <r>
    <s v="ORD-101427"/>
    <x v="47"/>
    <s v="customer0672@example.com"/>
    <x v="0"/>
    <x v="4"/>
    <x v="4"/>
    <x v="4"/>
    <n v="1"/>
    <n v="89"/>
    <n v="89"/>
    <n v="0.38"/>
    <x v="1"/>
    <x v="0"/>
    <n v="89"/>
    <m/>
    <m/>
    <n v="21.6"/>
  </r>
  <r>
    <s v="ORD-102234"/>
    <x v="81"/>
    <s v="customer0891@example.com"/>
    <x v="6"/>
    <x v="0"/>
    <x v="0"/>
    <x v="0"/>
    <n v="2"/>
    <n v="80.099999999999994"/>
    <n v="160.19999999999999"/>
    <n v="0.52"/>
    <x v="1"/>
    <x v="0"/>
    <n v="80.099999999999994"/>
    <m/>
    <m/>
    <n v="36"/>
  </r>
  <r>
    <s v="ORD-101483"/>
    <x v="82"/>
    <s v="customer0068@example.com"/>
    <x v="4"/>
    <x v="1"/>
    <x v="4"/>
    <x v="4"/>
    <n v="3"/>
    <n v="24"/>
    <n v="72"/>
    <n v="380"/>
    <x v="1"/>
    <x v="0"/>
    <n v="24"/>
    <m/>
    <m/>
    <n v="21.6"/>
  </r>
  <r>
    <s v="ORD-100885"/>
    <x v="83"/>
    <s v="customer0929@example.com"/>
    <x v="5"/>
    <x v="2"/>
    <x v="6"/>
    <x v="6"/>
    <n v="3"/>
    <n v="45"/>
    <n v="135"/>
    <n v="0.34"/>
    <x v="1"/>
    <x v="0"/>
    <n v="45"/>
    <m/>
    <m/>
    <n v="348.3"/>
  </r>
  <r>
    <s v="ORD-102200"/>
    <x v="84"/>
    <s v="customer0061@example.com"/>
    <x v="7"/>
    <x v="1"/>
    <x v="4"/>
    <x v="4"/>
    <n v="2"/>
    <n v="45"/>
    <n v="90"/>
    <n v="0.38"/>
    <x v="0"/>
    <x v="1"/>
    <n v="45"/>
    <m/>
    <m/>
    <n v="21.6"/>
  </r>
  <r>
    <s v="ORD-102695"/>
    <x v="85"/>
    <s v="customer0183@example.com"/>
    <x v="2"/>
    <x v="2"/>
    <x v="4"/>
    <x v="4"/>
    <n v="2"/>
    <n v="79"/>
    <n v="158"/>
    <n v="0.38"/>
    <x v="1"/>
    <x v="0"/>
    <n v="79"/>
    <m/>
    <m/>
    <n v="21.6"/>
  </r>
  <r>
    <s v="ORD-102535"/>
    <x v="86"/>
    <s v="customer0541@example.com"/>
    <x v="6"/>
    <x v="1"/>
    <x v="3"/>
    <x v="3"/>
    <n v="2"/>
    <n v="89"/>
    <n v="178"/>
    <n v="0.19"/>
    <x v="1"/>
    <x v="0"/>
    <n v="89"/>
    <m/>
    <m/>
    <n v="71.099999999999994"/>
  </r>
  <r>
    <s v="ORD-100620"/>
    <x v="87"/>
    <s v="customer0327@example.com"/>
    <x v="0"/>
    <x v="1"/>
    <x v="0"/>
    <x v="0"/>
    <n v="2"/>
    <n v="95"/>
    <n v="190"/>
    <n v="0.52"/>
    <x v="1"/>
    <x v="0"/>
    <n v="95"/>
    <m/>
    <m/>
    <n v="36"/>
  </r>
  <r>
    <s v="ORD-101520"/>
    <x v="88"/>
    <s v="customer0273@example.com"/>
    <x v="2"/>
    <x v="1"/>
    <x v="1"/>
    <x v="1"/>
    <n v="3"/>
    <n v="129"/>
    <n v="387"/>
    <n v="520"/>
    <x v="0"/>
    <x v="1"/>
    <n v="129"/>
    <m/>
    <m/>
    <n v="71.099999999999994"/>
  </r>
  <r>
    <s v="ORD-102713"/>
    <x v="89"/>
    <s v="customer0524@example.com"/>
    <x v="4"/>
    <x v="4"/>
    <x v="0"/>
    <x v="0"/>
    <n v="2"/>
    <n v="134.1"/>
    <n v="268.2"/>
    <n v="520"/>
    <x v="1"/>
    <x v="1"/>
    <n v="134.1"/>
    <m/>
    <m/>
    <n v="36"/>
  </r>
  <r>
    <s v="ORD-102552"/>
    <x v="90"/>
    <s v="customer1305@example.com"/>
    <x v="2"/>
    <x v="3"/>
    <x v="7"/>
    <x v="7"/>
    <n v="2"/>
    <m/>
    <n v="160.19999999999999"/>
    <n v="0.64"/>
    <x v="1"/>
    <x v="0"/>
    <m/>
    <m/>
    <m/>
    <n v="387"/>
  </r>
  <r>
    <s v="ORD-100392"/>
    <x v="91"/>
    <s v="customer1001@example.com"/>
    <x v="7"/>
    <x v="4"/>
    <x v="7"/>
    <x v="7"/>
    <n v="1"/>
    <n v="11.25"/>
    <n v="11.25"/>
    <n v="640"/>
    <x v="0"/>
    <x v="0"/>
    <n v="11.25"/>
    <m/>
    <m/>
    <n v="387"/>
  </r>
  <r>
    <s v="ORD-100027"/>
    <x v="92"/>
    <s v="customer0058@example.com"/>
    <x v="4"/>
    <x v="1"/>
    <x v="7"/>
    <x v="7"/>
    <n v="1"/>
    <n v="45"/>
    <n v="45"/>
    <n v="0.64"/>
    <x v="1"/>
    <x v="0"/>
    <n v="45"/>
    <m/>
    <m/>
    <n v="387"/>
  </r>
  <r>
    <s v="ORD-102163"/>
    <x v="93"/>
    <s v="customer0981@example.com"/>
    <x v="3"/>
    <x v="4"/>
    <x v="2"/>
    <x v="2"/>
    <n v="3"/>
    <n v="129"/>
    <n v="387"/>
    <n v="85"/>
    <x v="1"/>
    <x v="0"/>
    <n v="129"/>
    <m/>
    <m/>
    <n v="45"/>
  </r>
  <r>
    <s v="ORD-101576"/>
    <x v="94"/>
    <s v="customer0114@example.com"/>
    <x v="3"/>
    <x v="4"/>
    <x v="0"/>
    <x v="0"/>
    <n v="1"/>
    <n v="45"/>
    <n v="45"/>
    <n v="0.52"/>
    <x v="1"/>
    <x v="1"/>
    <n v="45"/>
    <m/>
    <m/>
    <n v="36"/>
  </r>
  <r>
    <s v="ORD-101972"/>
    <x v="95"/>
    <s v="customer0626@example.com"/>
    <x v="2"/>
    <x v="0"/>
    <x v="2"/>
    <x v="2"/>
    <n v="3"/>
    <n v="116.1"/>
    <n v="348.3"/>
    <n v="85"/>
    <x v="0"/>
    <x v="1"/>
    <n v="116.1"/>
    <m/>
    <m/>
    <n v="45"/>
  </r>
  <r>
    <s v="ORD-102653"/>
    <x v="86"/>
    <s v="customer0512@example.com"/>
    <x v="5"/>
    <x v="4"/>
    <x v="3"/>
    <x v="3"/>
    <n v="1"/>
    <n v="129"/>
    <n v="129"/>
    <n v="0.19"/>
    <x v="1"/>
    <x v="0"/>
    <n v="129"/>
    <m/>
    <m/>
    <n v="71.099999999999994"/>
  </r>
  <r>
    <s v="ORD-102768"/>
    <x v="83"/>
    <s v="customer0942@example.com"/>
    <x v="5"/>
    <x v="0"/>
    <x v="0"/>
    <x v="0"/>
    <n v="1"/>
    <n v="24"/>
    <n v="24"/>
    <n v="0.52"/>
    <x v="1"/>
    <x v="0"/>
    <n v="24"/>
    <m/>
    <m/>
    <n v="36"/>
  </r>
  <r>
    <s v="ORD-100431"/>
    <x v="96"/>
    <s v="customer0095@example.com"/>
    <x v="4"/>
    <x v="0"/>
    <x v="7"/>
    <x v="7"/>
    <n v="1"/>
    <n v="24"/>
    <n v="20.399999999999999"/>
    <n v="0.64"/>
    <x v="1"/>
    <x v="0"/>
    <n v="24"/>
    <m/>
    <m/>
    <n v="387"/>
  </r>
  <r>
    <s v="ORD-101311"/>
    <x v="8"/>
    <s v="customer0104@example.com"/>
    <x v="2"/>
    <x v="2"/>
    <x v="5"/>
    <x v="5"/>
    <n v="1"/>
    <m/>
    <n v="24"/>
    <n v="410"/>
    <x v="1"/>
    <x v="0"/>
    <m/>
    <m/>
    <m/>
    <n v="45"/>
  </r>
  <r>
    <s v="ORD-101762"/>
    <x v="97"/>
    <s v="customer0563@example.com"/>
    <x v="3"/>
    <x v="4"/>
    <x v="3"/>
    <x v="3"/>
    <n v="3"/>
    <n v="89"/>
    <n v="267"/>
    <n v="0.19"/>
    <x v="1"/>
    <x v="1"/>
    <n v="89"/>
    <m/>
    <m/>
    <n v="71.099999999999994"/>
  </r>
  <r>
    <s v="ORD-102302"/>
    <x v="14"/>
    <s v="customer0693@example.com"/>
    <x v="0"/>
    <x v="3"/>
    <x v="7"/>
    <x v="7"/>
    <n v="1"/>
    <n v="40.5"/>
    <n v="40.5"/>
    <n v="640"/>
    <x v="1"/>
    <x v="0"/>
    <n v="40.5"/>
    <m/>
    <m/>
    <n v="387"/>
  </r>
  <r>
    <s v="ORD-102616"/>
    <x v="98"/>
    <s v="customer0195@example.com"/>
    <x v="1"/>
    <x v="2"/>
    <x v="2"/>
    <x v="2"/>
    <n v="1"/>
    <n v="134.1"/>
    <n v="134.1"/>
    <n v="85"/>
    <x v="1"/>
    <x v="1"/>
    <n v="134.1"/>
    <m/>
    <m/>
    <n v="45"/>
  </r>
  <r>
    <s v="ORD-101512"/>
    <x v="99"/>
    <s v="customer0782@example.com"/>
    <x v="2"/>
    <x v="1"/>
    <x v="0"/>
    <x v="0"/>
    <n v="3"/>
    <n v="129"/>
    <n v="387"/>
    <n v="520"/>
    <x v="1"/>
    <x v="1"/>
    <n v="129"/>
    <m/>
    <m/>
    <n v="36"/>
  </r>
  <r>
    <s v="ORD-100853"/>
    <x v="28"/>
    <s v="customer1357@example.com"/>
    <x v="3"/>
    <x v="2"/>
    <x v="6"/>
    <x v="6"/>
    <n v="2"/>
    <n v="129"/>
    <n v="258"/>
    <n v="340"/>
    <x v="1"/>
    <x v="0"/>
    <n v="129"/>
    <m/>
    <m/>
    <n v="348.3"/>
  </r>
  <r>
    <s v="ORD-102810"/>
    <x v="100"/>
    <s v="customer0132@example.com"/>
    <x v="4"/>
    <x v="0"/>
    <x v="7"/>
    <x v="7"/>
    <n v="3"/>
    <n v="129"/>
    <n v="348.3"/>
    <n v="640"/>
    <x v="1"/>
    <x v="0"/>
    <n v="129"/>
    <m/>
    <m/>
    <n v="387"/>
  </r>
  <r>
    <s v="ORD-102908"/>
    <x v="101"/>
    <s v="customer0950@example.com"/>
    <x v="6"/>
    <x v="1"/>
    <x v="3"/>
    <x v="3"/>
    <n v="1"/>
    <n v="134.1"/>
    <n v="134.1"/>
    <n v="190"/>
    <x v="0"/>
    <x v="0"/>
    <n v="134.1"/>
    <m/>
    <m/>
    <n v="71.099999999999994"/>
  </r>
  <r>
    <s v="ORD-101658"/>
    <x v="42"/>
    <s v="customer0226@example.com"/>
    <x v="7"/>
    <x v="4"/>
    <x v="0"/>
    <x v="0"/>
    <n v="3"/>
    <n v="95"/>
    <n v="285"/>
    <n v="520"/>
    <x v="1"/>
    <x v="1"/>
    <n v="95"/>
    <m/>
    <m/>
    <n v="36"/>
  </r>
  <r>
    <s v="ORD-101562"/>
    <x v="102"/>
    <s v="customer0782@example.com"/>
    <x v="3"/>
    <x v="2"/>
    <x v="3"/>
    <x v="3"/>
    <n v="1"/>
    <n v="79"/>
    <n v="79"/>
    <n v="190"/>
    <x v="1"/>
    <x v="0"/>
    <n v="79"/>
    <m/>
    <m/>
    <n v="71.099999999999994"/>
  </r>
  <r>
    <s v="ORD-100423"/>
    <x v="103"/>
    <s v="customer0410@example.com"/>
    <x v="4"/>
    <x v="4"/>
    <x v="0"/>
    <x v="0"/>
    <n v="1"/>
    <n v="80.099999999999994"/>
    <n v="80.099999999999994"/>
    <n v="520"/>
    <x v="1"/>
    <x v="0"/>
    <n v="80.099999999999994"/>
    <m/>
    <m/>
    <n v="36"/>
  </r>
  <r>
    <s v="ORD-100967"/>
    <x v="18"/>
    <s v="customer0661@example.com"/>
    <x v="4"/>
    <x v="1"/>
    <x v="5"/>
    <x v="5"/>
    <n v="3"/>
    <n v="11.25"/>
    <n v="33.75"/>
    <n v="0"/>
    <x v="1"/>
    <x v="0"/>
    <n v="11.25"/>
    <m/>
    <m/>
    <n v="45"/>
  </r>
  <r>
    <s v="ORD-101234"/>
    <x v="17"/>
    <s v="customer1089@example.com"/>
    <x v="7"/>
    <x v="3"/>
    <x v="3"/>
    <x v="3"/>
    <n v="2"/>
    <n v="149"/>
    <n v="298"/>
    <n v="0.19"/>
    <x v="1"/>
    <x v="0"/>
    <n v="149"/>
    <m/>
    <m/>
    <n v="71.099999999999994"/>
  </r>
  <r>
    <s v="ORD-102973"/>
    <x v="48"/>
    <s v="customer0025@example.com"/>
    <x v="0"/>
    <x v="4"/>
    <x v="6"/>
    <x v="6"/>
    <n v="3"/>
    <n v="12.5"/>
    <n v="37.5"/>
    <n v="340"/>
    <x v="1"/>
    <x v="0"/>
    <n v="12.5"/>
    <m/>
    <m/>
    <n v="348.3"/>
  </r>
  <r>
    <s v="ORD-100500"/>
    <x v="104"/>
    <s v="customer0327@example.com"/>
    <x v="6"/>
    <x v="3"/>
    <x v="6"/>
    <x v="6"/>
    <n v="1"/>
    <n v="95"/>
    <n v="95"/>
    <n v="340"/>
    <x v="1"/>
    <x v="1"/>
    <n v="95"/>
    <m/>
    <m/>
    <n v="348.3"/>
  </r>
  <r>
    <s v="ORD-102830"/>
    <x v="32"/>
    <s v="customer1378@example.com"/>
    <x v="3"/>
    <x v="0"/>
    <x v="7"/>
    <x v="7"/>
    <n v="-1"/>
    <n v="45"/>
    <n v="-45"/>
    <n v="640"/>
    <x v="1"/>
    <x v="0"/>
    <n v="45"/>
    <m/>
    <m/>
    <n v="387"/>
  </r>
  <r>
    <s v="ORD-100683"/>
    <x v="105"/>
    <s v="customer0238@example.com"/>
    <x v="6"/>
    <x v="2"/>
    <x v="3"/>
    <x v="3"/>
    <n v="3"/>
    <m/>
    <n v="348.3"/>
    <n v="0.19"/>
    <x v="1"/>
    <x v="0"/>
    <n v="116.10000000000001"/>
    <m/>
    <m/>
    <n v="71.099999999999994"/>
  </r>
  <r>
    <s v="ORD-102620"/>
    <x v="105"/>
    <s v="customer0501@example.com"/>
    <x v="3"/>
    <x v="0"/>
    <x v="0"/>
    <x v="0"/>
    <n v="2"/>
    <n v="80.099999999999994"/>
    <n v="160.19999999999999"/>
    <n v="0.52"/>
    <x v="0"/>
    <x v="0"/>
    <n v="80.099999999999994"/>
    <m/>
    <m/>
    <n v="36"/>
  </r>
  <r>
    <s v="ORD-100358"/>
    <x v="106"/>
    <s v="customer1277@example.com"/>
    <x v="6"/>
    <x v="1"/>
    <x v="0"/>
    <x v="0"/>
    <n v="2"/>
    <n v="40.5"/>
    <n v="81"/>
    <n v="0.52"/>
    <x v="1"/>
    <x v="0"/>
    <n v="40.5"/>
    <m/>
    <m/>
    <n v="36"/>
  </r>
  <r>
    <s v="ORD-102472"/>
    <x v="96"/>
    <s v="customer0682@example.com"/>
    <x v="4"/>
    <x v="4"/>
    <x v="7"/>
    <x v="7"/>
    <n v="2"/>
    <n v="134.1"/>
    <n v="268.2"/>
    <n v="0.64"/>
    <x v="1"/>
    <x v="0"/>
    <n v="134.1"/>
    <m/>
    <m/>
    <n v="387"/>
  </r>
  <r>
    <s v="ORD-101235"/>
    <x v="107"/>
    <s v="customer0642@example.com"/>
    <x v="4"/>
    <x v="1"/>
    <x v="7"/>
    <x v="7"/>
    <n v="2"/>
    <n v="85.5"/>
    <n v="171"/>
    <n v="0.64"/>
    <x v="1"/>
    <x v="0"/>
    <n v="85.5"/>
    <m/>
    <m/>
    <n v="387"/>
  </r>
  <r>
    <s v="ORD-100511"/>
    <x v="108"/>
    <s v="customer1371@example.com"/>
    <x v="6"/>
    <x v="0"/>
    <x v="2"/>
    <x v="2"/>
    <n v="1"/>
    <n v="71.099999999999994"/>
    <n v="71.099999999999994"/>
    <n v="85"/>
    <x v="1"/>
    <x v="1"/>
    <n v="71.099999999999994"/>
    <m/>
    <m/>
    <n v="45"/>
  </r>
  <r>
    <s v="ORD-102106"/>
    <x v="1"/>
    <s v="customer1101@example.com"/>
    <x v="3"/>
    <x v="0"/>
    <x v="5"/>
    <x v="5"/>
    <n v="1"/>
    <n v="45"/>
    <n v="45"/>
    <n v="0.41"/>
    <x v="1"/>
    <x v="0"/>
    <n v="45"/>
    <m/>
    <m/>
    <n v="45"/>
  </r>
  <r>
    <s v="ORD-102016"/>
    <x v="28"/>
    <s v="customer1305@example.com"/>
    <x v="6"/>
    <x v="4"/>
    <x v="6"/>
    <x v="6"/>
    <n v="2"/>
    <n v="129"/>
    <n v="258"/>
    <n v="340"/>
    <x v="0"/>
    <x v="0"/>
    <n v="129"/>
    <m/>
    <m/>
    <n v="348.3"/>
  </r>
  <r>
    <s v="ORD-100276"/>
    <x v="109"/>
    <s v="customer0703@example.com"/>
    <x v="3"/>
    <x v="0"/>
    <x v="0"/>
    <x v="0"/>
    <n v="3"/>
    <n v="95"/>
    <n v="285"/>
    <n v="0.52"/>
    <x v="1"/>
    <x v="1"/>
    <n v="95"/>
    <m/>
    <m/>
    <n v="36"/>
  </r>
  <r>
    <s v="ORD-100869"/>
    <x v="45"/>
    <s v="customer0394@example.com"/>
    <x v="0"/>
    <x v="3"/>
    <x v="6"/>
    <x v="6"/>
    <n v="1"/>
    <n v="24"/>
    <n v="24"/>
    <n v="0.34"/>
    <x v="1"/>
    <x v="0"/>
    <n v="24"/>
    <m/>
    <m/>
    <n v="348.3"/>
  </r>
  <r>
    <s v="ORD-100849"/>
    <x v="16"/>
    <s v="customer0695@example.com"/>
    <x v="3"/>
    <x v="0"/>
    <x v="1"/>
    <x v="1"/>
    <n v="1"/>
    <n v="71.099999999999994"/>
    <n v="71.099999999999994"/>
    <n v="0.52"/>
    <x v="1"/>
    <x v="0"/>
    <n v="71.099999999999994"/>
    <m/>
    <m/>
    <n v="71.099999999999994"/>
  </r>
  <r>
    <s v="ORD-100754"/>
    <x v="110"/>
    <s v="customer1129@example.com"/>
    <x v="1"/>
    <x v="3"/>
    <x v="3"/>
    <x v="3"/>
    <n v="2"/>
    <n v="116.1"/>
    <n v="232.2"/>
    <n v="0.19"/>
    <x v="1"/>
    <x v="0"/>
    <n v="116.1"/>
    <m/>
    <m/>
    <n v="71.099999999999994"/>
  </r>
  <r>
    <s v="ORD-102483"/>
    <x v="111"/>
    <s v="customer0034@example.com"/>
    <x v="3"/>
    <x v="1"/>
    <x v="1"/>
    <x v="1"/>
    <n v="1"/>
    <n v="45"/>
    <n v="45"/>
    <n v="520"/>
    <x v="1"/>
    <x v="0"/>
    <n v="45"/>
    <m/>
    <m/>
    <n v="71.099999999999994"/>
  </r>
  <r>
    <s v="ORD-100476"/>
    <x v="100"/>
    <s v="customer0186@example.com"/>
    <x v="1"/>
    <x v="4"/>
    <x v="0"/>
    <x v="0"/>
    <n v="1"/>
    <n v="149"/>
    <n v="149"/>
    <n v="520"/>
    <x v="1"/>
    <x v="0"/>
    <n v="149"/>
    <m/>
    <m/>
    <n v="36"/>
  </r>
  <r>
    <s v="ORD-102598"/>
    <x v="112"/>
    <s v="customer0077@example.com"/>
    <x v="5"/>
    <x v="1"/>
    <x v="3"/>
    <x v="3"/>
    <n v="-2"/>
    <n v="129"/>
    <n v="-258"/>
    <n v="190"/>
    <x v="1"/>
    <x v="0"/>
    <n v="129"/>
    <m/>
    <m/>
    <n v="71.099999999999994"/>
  </r>
  <r>
    <s v="ORD-100292"/>
    <x v="6"/>
    <s v="customer0734@example.com"/>
    <x v="4"/>
    <x v="3"/>
    <x v="5"/>
    <x v="5"/>
    <n v="1"/>
    <n v="45"/>
    <n v="45"/>
    <n v="0.41"/>
    <x v="1"/>
    <x v="1"/>
    <n v="45"/>
    <m/>
    <m/>
    <n v="45"/>
  </r>
  <r>
    <s v="ORD-101114"/>
    <x v="113"/>
    <s v="customer0274@example.com"/>
    <x v="1"/>
    <x v="4"/>
    <x v="7"/>
    <x v="7"/>
    <n v="2"/>
    <m/>
    <n v="142.19999999999999"/>
    <n v="640"/>
    <x v="1"/>
    <x v="0"/>
    <m/>
    <m/>
    <m/>
    <n v="387"/>
  </r>
  <r>
    <s v="ORD-101024"/>
    <x v="45"/>
    <s v="customer0850@example.com"/>
    <x v="5"/>
    <x v="4"/>
    <x v="5"/>
    <x v="5"/>
    <n v="3"/>
    <n v="116.1"/>
    <n v="348.3"/>
    <n v="0.41"/>
    <x v="1"/>
    <x v="0"/>
    <n v="116.1"/>
    <m/>
    <m/>
    <n v="45"/>
  </r>
  <r>
    <s v="ORD-100037"/>
    <x v="22"/>
    <s v="customer1301@example.com"/>
    <x v="3"/>
    <x v="0"/>
    <x v="3"/>
    <x v="3"/>
    <n v="1"/>
    <n v="79"/>
    <n v="79"/>
    <n v="190"/>
    <x v="1"/>
    <x v="1"/>
    <n v="79"/>
    <m/>
    <m/>
    <n v="71.099999999999994"/>
  </r>
  <r>
    <s v="ORD-101065"/>
    <x v="90"/>
    <s v="customer1291@example.com"/>
    <x v="3"/>
    <x v="0"/>
    <x v="4"/>
    <x v="4"/>
    <n v="3"/>
    <n v="79"/>
    <n v="237"/>
    <n v="0.38"/>
    <x v="0"/>
    <x v="0"/>
    <n v="79"/>
    <m/>
    <m/>
    <n v="21.6"/>
  </r>
  <r>
    <s v="ORD-101448"/>
    <x v="114"/>
    <s v="customer1174@example.com"/>
    <x v="2"/>
    <x v="1"/>
    <x v="2"/>
    <x v="2"/>
    <n v="1"/>
    <n v="129"/>
    <n v="129"/>
    <n v="8.5000000000000006E-2"/>
    <x v="1"/>
    <x v="1"/>
    <n v="129"/>
    <m/>
    <m/>
    <n v="45"/>
  </r>
  <r>
    <s v="ORD-101379"/>
    <x v="95"/>
    <s v="customer1265@example.com"/>
    <x v="7"/>
    <x v="1"/>
    <x v="4"/>
    <x v="4"/>
    <n v="3"/>
    <m/>
    <n v="328.95"/>
    <n v="380"/>
    <x v="1"/>
    <x v="0"/>
    <m/>
    <m/>
    <m/>
    <n v="21.6"/>
  </r>
  <r>
    <s v="ORD-100505"/>
    <x v="65"/>
    <s v="customer1278@example.com"/>
    <x v="7"/>
    <x v="2"/>
    <x v="5"/>
    <x v="5"/>
    <n v="3"/>
    <n v="11.25"/>
    <n v="33.75"/>
    <n v="410"/>
    <x v="1"/>
    <x v="0"/>
    <n v="11.25"/>
    <m/>
    <m/>
    <n v="45"/>
  </r>
  <r>
    <s v="ORD-101168"/>
    <x v="115"/>
    <s v="customer0489@example.com"/>
    <x v="7"/>
    <x v="0"/>
    <x v="5"/>
    <x v="5"/>
    <n v="1"/>
    <n v="11.25"/>
    <n v="11.25"/>
    <n v="410"/>
    <x v="1"/>
    <x v="1"/>
    <n v="11.25"/>
    <m/>
    <m/>
    <n v="45"/>
  </r>
  <r>
    <s v="ORD-100214"/>
    <x v="27"/>
    <s v="customer0357@example.com"/>
    <x v="4"/>
    <x v="0"/>
    <x v="3"/>
    <x v="3"/>
    <n v="1"/>
    <n v="149"/>
    <n v="149"/>
    <n v="190"/>
    <x v="1"/>
    <x v="1"/>
    <n v="149"/>
    <m/>
    <m/>
    <n v="71.099999999999994"/>
  </r>
  <r>
    <s v="ORD-100487"/>
    <x v="116"/>
    <s v="customer1323@example.com"/>
    <x v="4"/>
    <x v="2"/>
    <x v="5"/>
    <x v="5"/>
    <n v="1"/>
    <n v="79"/>
    <n v="79"/>
    <n v="410"/>
    <x v="1"/>
    <x v="1"/>
    <n v="79"/>
    <m/>
    <m/>
    <n v="45"/>
  </r>
  <r>
    <s v="ORD-102787"/>
    <x v="76"/>
    <s v="customer0080@example.com"/>
    <x v="3"/>
    <x v="1"/>
    <x v="5"/>
    <x v="5"/>
    <n v="2"/>
    <n v="11.25"/>
    <n v="20.25"/>
    <n v="410"/>
    <x v="1"/>
    <x v="0"/>
    <n v="11.25"/>
    <m/>
    <m/>
    <n v="45"/>
  </r>
  <r>
    <s v="ORD-101204"/>
    <x v="101"/>
    <s v="customer1164@example.com"/>
    <x v="3"/>
    <x v="3"/>
    <x v="3"/>
    <x v="3"/>
    <n v="1"/>
    <n v="45"/>
    <n v="40.5"/>
    <n v="190"/>
    <x v="1"/>
    <x v="0"/>
    <n v="45"/>
    <m/>
    <m/>
    <n v="71.099999999999994"/>
  </r>
  <r>
    <s v="ORD-101924"/>
    <x v="85"/>
    <s v="customer0851@example.com"/>
    <x v="6"/>
    <x v="2"/>
    <x v="7"/>
    <x v="7"/>
    <n v="3"/>
    <n v="116.1"/>
    <n v="348.3"/>
    <n v="0.64"/>
    <x v="1"/>
    <x v="0"/>
    <n v="116.1"/>
    <m/>
    <m/>
    <n v="387"/>
  </r>
  <r>
    <s v="ORD-100356"/>
    <x v="114"/>
    <s v="customer0214@example.com"/>
    <x v="3"/>
    <x v="1"/>
    <x v="2"/>
    <x v="2"/>
    <n v="2"/>
    <n v="71.099999999999994"/>
    <n v="142.19999999999999"/>
    <n v="8.5000000000000006E-2"/>
    <x v="1"/>
    <x v="1"/>
    <n v="71.099999999999994"/>
    <m/>
    <m/>
    <n v="45"/>
  </r>
  <r>
    <s v="ORD-101343"/>
    <x v="117"/>
    <s v="customer1025@example.com"/>
    <x v="3"/>
    <x v="4"/>
    <x v="7"/>
    <x v="7"/>
    <n v="1"/>
    <n v="45"/>
    <n v="45"/>
    <n v="640"/>
    <x v="1"/>
    <x v="0"/>
    <n v="45"/>
    <m/>
    <m/>
    <n v="387"/>
  </r>
  <r>
    <s v="ORD-101077"/>
    <x v="118"/>
    <s v="customer0479@example.com"/>
    <x v="4"/>
    <x v="4"/>
    <x v="4"/>
    <x v="4"/>
    <n v="1"/>
    <n v="45"/>
    <n v="45"/>
    <n v="380"/>
    <x v="1"/>
    <x v="0"/>
    <n v="45"/>
    <m/>
    <m/>
    <n v="21.6"/>
  </r>
  <r>
    <s v="ORD-101010"/>
    <x v="119"/>
    <s v="customer0240@example.com"/>
    <x v="4"/>
    <x v="3"/>
    <x v="7"/>
    <x v="7"/>
    <n v="1"/>
    <n v="95"/>
    <n v="76"/>
    <n v="0.64"/>
    <x v="1"/>
    <x v="1"/>
    <n v="95"/>
    <m/>
    <m/>
    <n v="387"/>
  </r>
  <r>
    <s v="ORD-101742"/>
    <x v="114"/>
    <s v="customer0390@example.com"/>
    <x v="4"/>
    <x v="1"/>
    <x v="2"/>
    <x v="2"/>
    <n v="1"/>
    <n v="79"/>
    <n v="79"/>
    <n v="8.5000000000000006E-2"/>
    <x v="1"/>
    <x v="0"/>
    <n v="79"/>
    <m/>
    <m/>
    <n v="45"/>
  </r>
  <r>
    <s v="ORD-100163"/>
    <x v="14"/>
    <s v="customer1197@example.com"/>
    <x v="3"/>
    <x v="3"/>
    <x v="0"/>
    <x v="0"/>
    <n v="2"/>
    <n v="80.099999999999994"/>
    <n v="160.19999999999999"/>
    <n v="520"/>
    <x v="1"/>
    <x v="0"/>
    <n v="80.099999999999994"/>
    <m/>
    <m/>
    <n v="36"/>
  </r>
  <r>
    <s v="ORD-101585"/>
    <x v="52"/>
    <s v="customer0748@example.com"/>
    <x v="4"/>
    <x v="4"/>
    <x v="1"/>
    <x v="1"/>
    <n v="2"/>
    <n v="79"/>
    <n v="158"/>
    <n v="0.52"/>
    <x v="1"/>
    <x v="1"/>
    <n v="79"/>
    <m/>
    <m/>
    <n v="71.099999999999994"/>
  </r>
  <r>
    <s v="ORD-102316"/>
    <x v="120"/>
    <s v="customer0473@example.com"/>
    <x v="4"/>
    <x v="4"/>
    <x v="2"/>
    <x v="2"/>
    <n v="3"/>
    <n v="149"/>
    <n v="447"/>
    <n v="85"/>
    <x v="1"/>
    <x v="0"/>
    <n v="149"/>
    <m/>
    <m/>
    <n v="45"/>
  </r>
  <r>
    <s v="ORD-101662"/>
    <x v="121"/>
    <s v="customer0991@example.com"/>
    <x v="4"/>
    <x v="2"/>
    <x v="1"/>
    <x v="1"/>
    <n v="2"/>
    <n v="95"/>
    <n v="190"/>
    <n v="520"/>
    <x v="0"/>
    <x v="1"/>
    <n v="95"/>
    <m/>
    <m/>
    <n v="71.099999999999994"/>
  </r>
  <r>
    <s v="ORD-100225"/>
    <x v="122"/>
    <s v="customer0835@example.com"/>
    <x v="1"/>
    <x v="1"/>
    <x v="7"/>
    <x v="7"/>
    <n v="1"/>
    <n v="24"/>
    <n v="24"/>
    <n v="0.64"/>
    <x v="1"/>
    <x v="1"/>
    <n v="24"/>
    <m/>
    <m/>
    <n v="387"/>
  </r>
  <r>
    <s v="ORD-101449"/>
    <x v="123"/>
    <s v="customer0753@example.com"/>
    <x v="2"/>
    <x v="3"/>
    <x v="0"/>
    <x v="0"/>
    <n v="3"/>
    <n v="149"/>
    <n v="447"/>
    <n v="520"/>
    <x v="1"/>
    <x v="0"/>
    <n v="149"/>
    <m/>
    <m/>
    <n v="36"/>
  </r>
  <r>
    <s v="ORD-101452"/>
    <x v="114"/>
    <s v="customer1243@example.com"/>
    <x v="4"/>
    <x v="3"/>
    <x v="4"/>
    <x v="4"/>
    <n v="1"/>
    <n v="134.1"/>
    <n v="134.1"/>
    <n v="0.38"/>
    <x v="1"/>
    <x v="0"/>
    <n v="134.1"/>
    <m/>
    <m/>
    <n v="21.6"/>
  </r>
  <r>
    <s v="ORD-100711"/>
    <x v="124"/>
    <s v="customer0238@example.com"/>
    <x v="1"/>
    <x v="2"/>
    <x v="4"/>
    <x v="4"/>
    <n v="2"/>
    <m/>
    <n v="190"/>
    <n v="380"/>
    <x v="1"/>
    <x v="1"/>
    <m/>
    <m/>
    <m/>
    <n v="21.6"/>
  </r>
  <r>
    <s v="ORD-102402"/>
    <x v="125"/>
    <s v="customer1192@example.com"/>
    <x v="0"/>
    <x v="2"/>
    <x v="1"/>
    <x v="1"/>
    <n v="3"/>
    <n v="79"/>
    <n v="237"/>
    <n v="0.52"/>
    <x v="0"/>
    <x v="0"/>
    <n v="79"/>
    <m/>
    <m/>
    <n v="71.099999999999994"/>
  </r>
  <r>
    <s v="ORD-100740"/>
    <x v="7"/>
    <s v="customer0029@example.com"/>
    <x v="4"/>
    <x v="4"/>
    <x v="4"/>
    <x v="4"/>
    <n v="2"/>
    <n v="11.25"/>
    <n v="22.5"/>
    <n v="380"/>
    <x v="1"/>
    <x v="0"/>
    <n v="11.25"/>
    <m/>
    <m/>
    <n v="21.6"/>
  </r>
  <r>
    <s v="ORD-101017"/>
    <x v="22"/>
    <s v="customer0373@example.com"/>
    <x v="3"/>
    <x v="0"/>
    <x v="5"/>
    <x v="5"/>
    <n v="1"/>
    <n v="116.1"/>
    <n v="116.1"/>
    <n v="410"/>
    <x v="1"/>
    <x v="0"/>
    <n v="116.1"/>
    <m/>
    <m/>
    <n v="45"/>
  </r>
  <r>
    <s v="ORD-102941"/>
    <x v="15"/>
    <s v="customer0010@example.com"/>
    <x v="4"/>
    <x v="4"/>
    <x v="3"/>
    <x v="3"/>
    <n v="3"/>
    <n v="134.1"/>
    <n v="402.3"/>
    <n v="0.19"/>
    <x v="0"/>
    <x v="0"/>
    <n v="134.1"/>
    <m/>
    <m/>
    <n v="71.099999999999994"/>
  </r>
  <r>
    <s v="ORD-101600"/>
    <x v="3"/>
    <s v="customer0258@example.com"/>
    <x v="2"/>
    <x v="4"/>
    <x v="1"/>
    <x v="1"/>
    <n v="1"/>
    <n v="24"/>
    <n v="24"/>
    <n v="520"/>
    <x v="1"/>
    <x v="0"/>
    <n v="24"/>
    <m/>
    <m/>
    <n v="71.099999999999994"/>
  </r>
  <r>
    <s v="ORD-100745"/>
    <x v="45"/>
    <s v="customer0581@example.com"/>
    <x v="1"/>
    <x v="4"/>
    <x v="1"/>
    <x v="1"/>
    <n v="1"/>
    <n v="45"/>
    <n v="45"/>
    <n v="0.52"/>
    <x v="1"/>
    <x v="0"/>
    <n v="45"/>
    <m/>
    <m/>
    <n v="71.099999999999994"/>
  </r>
  <r>
    <s v="ORD-102482"/>
    <x v="126"/>
    <s v="customer1278@example.com"/>
    <x v="5"/>
    <x v="0"/>
    <x v="2"/>
    <x v="2"/>
    <n v="3"/>
    <n v="40.5"/>
    <n v="121.5"/>
    <n v="8.5000000000000006E-2"/>
    <x v="0"/>
    <x v="0"/>
    <n v="40.5"/>
    <m/>
    <m/>
    <n v="45"/>
  </r>
  <r>
    <s v="ORD-102054"/>
    <x v="115"/>
    <s v="customer0904@example.com"/>
    <x v="5"/>
    <x v="2"/>
    <x v="7"/>
    <x v="7"/>
    <n v="1"/>
    <n v="95"/>
    <n v="95"/>
    <n v="640"/>
    <x v="1"/>
    <x v="0"/>
    <n v="95"/>
    <m/>
    <m/>
    <n v="387"/>
  </r>
  <r>
    <s v="ORD-100948"/>
    <x v="91"/>
    <s v="customer0840@example.com"/>
    <x v="0"/>
    <x v="1"/>
    <x v="6"/>
    <x v="6"/>
    <n v="2"/>
    <n v="45"/>
    <n v="90"/>
    <n v="340"/>
    <x v="0"/>
    <x v="1"/>
    <n v="45"/>
    <m/>
    <m/>
    <n v="348.3"/>
  </r>
  <r>
    <s v="ORD-100047"/>
    <x v="127"/>
    <s v="customer1164@example.com"/>
    <x v="6"/>
    <x v="3"/>
    <x v="4"/>
    <x v="4"/>
    <n v="1"/>
    <m/>
    <n v="40.5"/>
    <n v="0.38"/>
    <x v="1"/>
    <x v="0"/>
    <m/>
    <m/>
    <m/>
    <n v="21.6"/>
  </r>
  <r>
    <s v="ORD-100809"/>
    <x v="80"/>
    <s v="customer0833@example.com"/>
    <x v="3"/>
    <x v="3"/>
    <x v="5"/>
    <x v="5"/>
    <n v="1"/>
    <n v="45"/>
    <n v="45"/>
    <n v="410"/>
    <x v="1"/>
    <x v="1"/>
    <n v="45"/>
    <m/>
    <m/>
    <n v="45"/>
  </r>
  <r>
    <s v="ORD-100817"/>
    <x v="128"/>
    <s v="customer0959@example.com"/>
    <x v="3"/>
    <x v="3"/>
    <x v="7"/>
    <x v="7"/>
    <n v="3"/>
    <n v="149"/>
    <n v="447"/>
    <n v="640"/>
    <x v="1"/>
    <x v="1"/>
    <n v="149"/>
    <m/>
    <m/>
    <n v="387"/>
  </r>
  <r>
    <s v="ORD-101665"/>
    <x v="129"/>
    <s v="customer0462@example.com"/>
    <x v="0"/>
    <x v="4"/>
    <x v="5"/>
    <x v="5"/>
    <n v="3"/>
    <n v="95"/>
    <n v="285"/>
    <n v="410"/>
    <x v="1"/>
    <x v="0"/>
    <n v="95"/>
    <m/>
    <m/>
    <n v="45"/>
  </r>
  <r>
    <s v="ORD-101637"/>
    <x v="26"/>
    <s v="customer1265@example.com"/>
    <x v="3"/>
    <x v="1"/>
    <x v="4"/>
    <x v="4"/>
    <n v="2"/>
    <n v="21.6"/>
    <n v="43.2"/>
    <n v="380"/>
    <x v="1"/>
    <x v="0"/>
    <n v="21.6"/>
    <m/>
    <m/>
    <n v="21.6"/>
  </r>
  <r>
    <s v="ORD-100896"/>
    <x v="5"/>
    <s v="customer0416@example.com"/>
    <x v="4"/>
    <x v="4"/>
    <x v="5"/>
    <x v="5"/>
    <n v="1"/>
    <n v="24"/>
    <n v="24"/>
    <n v="410"/>
    <x v="0"/>
    <x v="0"/>
    <n v="24"/>
    <m/>
    <m/>
    <n v="45"/>
  </r>
  <r>
    <s v="ORD-100347"/>
    <x v="49"/>
    <s v="customer1012@example.com"/>
    <x v="2"/>
    <x v="2"/>
    <x v="6"/>
    <x v="6"/>
    <n v="2"/>
    <n v="116.1"/>
    <n v="232.2"/>
    <n v="340"/>
    <x v="0"/>
    <x v="0"/>
    <n v="116.1"/>
    <m/>
    <m/>
    <n v="348.3"/>
  </r>
  <r>
    <s v="ORD-100712"/>
    <x v="7"/>
    <s v="customer1341@example.com"/>
    <x v="3"/>
    <x v="1"/>
    <x v="6"/>
    <x v="6"/>
    <n v="1"/>
    <n v="89"/>
    <n v="89"/>
    <n v="340"/>
    <x v="1"/>
    <x v="0"/>
    <n v="89"/>
    <m/>
    <m/>
    <n v="348.3"/>
  </r>
  <r>
    <s v="ORD-102414"/>
    <x v="46"/>
    <s v="customer0888@example.com"/>
    <x v="0"/>
    <x v="4"/>
    <x v="0"/>
    <x v="0"/>
    <n v="3"/>
    <n v="45"/>
    <n v="135"/>
    <n v="0.52"/>
    <x v="1"/>
    <x v="0"/>
    <n v="45"/>
    <m/>
    <m/>
    <n v="36"/>
  </r>
  <r>
    <s v="ORD-101775"/>
    <x v="54"/>
    <s v="customer1380@example.com"/>
    <x v="2"/>
    <x v="4"/>
    <x v="4"/>
    <x v="4"/>
    <n v="1"/>
    <n v="149"/>
    <n v="149"/>
    <n v="0.38"/>
    <x v="1"/>
    <x v="0"/>
    <n v="149"/>
    <m/>
    <m/>
    <n v="21.6"/>
  </r>
  <r>
    <s v="ORD-100886"/>
    <x v="47"/>
    <s v="customer0387@example.com"/>
    <x v="3"/>
    <x v="2"/>
    <x v="7"/>
    <x v="7"/>
    <n v="1"/>
    <n v="85.5"/>
    <n v="85.5"/>
    <n v="0.64"/>
    <x v="1"/>
    <x v="0"/>
    <n v="85.5"/>
    <m/>
    <m/>
    <n v="387"/>
  </r>
  <r>
    <s v="ORD-102758"/>
    <x v="86"/>
    <s v="customer0845@example.com"/>
    <x v="0"/>
    <x v="2"/>
    <x v="3"/>
    <x v="3"/>
    <n v="1"/>
    <n v="89"/>
    <n v="89"/>
    <n v="0.19"/>
    <x v="0"/>
    <x v="0"/>
    <n v="89"/>
    <m/>
    <m/>
    <n v="71.099999999999994"/>
  </r>
  <r>
    <s v="ORD-101484"/>
    <x v="130"/>
    <s v="customer0646@example.com"/>
    <x v="4"/>
    <x v="1"/>
    <x v="7"/>
    <x v="7"/>
    <n v="2"/>
    <n v="71.099999999999994"/>
    <n v="142.19999999999999"/>
    <n v="640"/>
    <x v="1"/>
    <x v="0"/>
    <n v="71.099999999999994"/>
    <m/>
    <m/>
    <n v="387"/>
  </r>
  <r>
    <s v="ORD-100275"/>
    <x v="119"/>
    <s v="customer1325@example.com"/>
    <x v="4"/>
    <x v="2"/>
    <x v="1"/>
    <x v="1"/>
    <n v="2"/>
    <n v="149"/>
    <n v="298"/>
    <n v="0.52"/>
    <x v="1"/>
    <x v="1"/>
    <n v="149"/>
    <m/>
    <m/>
    <n v="71.099999999999994"/>
  </r>
  <r>
    <s v="ORD-101454"/>
    <x v="2"/>
    <s v="customer0858@example.com"/>
    <x v="1"/>
    <x v="2"/>
    <x v="2"/>
    <x v="2"/>
    <n v="1"/>
    <n v="45"/>
    <n v="45"/>
    <n v="8.5000000000000006E-2"/>
    <x v="1"/>
    <x v="0"/>
    <n v="45"/>
    <m/>
    <m/>
    <n v="45"/>
  </r>
  <r>
    <s v="ORD-102734"/>
    <x v="8"/>
    <s v="customer0805@example.com"/>
    <x v="2"/>
    <x v="4"/>
    <x v="3"/>
    <x v="3"/>
    <n v="1"/>
    <n v="95"/>
    <n v="95"/>
    <n v="190"/>
    <x v="0"/>
    <x v="1"/>
    <n v="95"/>
    <m/>
    <m/>
    <n v="71.099999999999994"/>
  </r>
  <r>
    <s v="ORD-102012"/>
    <x v="9"/>
    <s v="customer0123@example.com"/>
    <x v="2"/>
    <x v="2"/>
    <x v="5"/>
    <x v="5"/>
    <n v="1"/>
    <n v="45"/>
    <n v="45"/>
    <n v="0.41"/>
    <x v="1"/>
    <x v="0"/>
    <n v="45"/>
    <m/>
    <m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45C47-475B-419E-B483-615D6151123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date ">
  <location ref="C8:D288" firstHeaderRow="1" firstDataRow="1" firstDataCol="1"/>
  <pivotFields count="17">
    <pivotField showAll="0"/>
    <pivotField axis="axisRow" showAll="0">
      <items count="132">
        <item x="88"/>
        <item x="120"/>
        <item x="65"/>
        <item x="21"/>
        <item x="55"/>
        <item x="10"/>
        <item x="33"/>
        <item x="102"/>
        <item x="11"/>
        <item x="103"/>
        <item x="7"/>
        <item x="110"/>
        <item x="54"/>
        <item x="59"/>
        <item x="73"/>
        <item x="30"/>
        <item x="20"/>
        <item x="121"/>
        <item x="113"/>
        <item x="82"/>
        <item x="37"/>
        <item x="85"/>
        <item x="125"/>
        <item x="106"/>
        <item x="116"/>
        <item x="89"/>
        <item x="31"/>
        <item x="76"/>
        <item x="130"/>
        <item x="25"/>
        <item x="68"/>
        <item x="84"/>
        <item x="60"/>
        <item x="63"/>
        <item x="115"/>
        <item x="112"/>
        <item x="81"/>
        <item x="13"/>
        <item x="58"/>
        <item x="34"/>
        <item x="39"/>
        <item x="69"/>
        <item x="108"/>
        <item x="98"/>
        <item x="51"/>
        <item x="95"/>
        <item x="74"/>
        <item x="49"/>
        <item x="66"/>
        <item x="16"/>
        <item x="3"/>
        <item x="100"/>
        <item x="52"/>
        <item x="22"/>
        <item x="117"/>
        <item x="96"/>
        <item x="57"/>
        <item x="101"/>
        <item x="29"/>
        <item x="14"/>
        <item x="104"/>
        <item x="46"/>
        <item x="77"/>
        <item x="123"/>
        <item x="97"/>
        <item x="79"/>
        <item x="26"/>
        <item x="45"/>
        <item x="43"/>
        <item x="5"/>
        <item x="2"/>
        <item x="44"/>
        <item x="28"/>
        <item x="48"/>
        <item x="8"/>
        <item x="62"/>
        <item x="27"/>
        <item x="94"/>
        <item x="92"/>
        <item x="118"/>
        <item x="38"/>
        <item x="64"/>
        <item x="0"/>
        <item x="1"/>
        <item x="15"/>
        <item x="56"/>
        <item x="70"/>
        <item x="42"/>
        <item x="109"/>
        <item x="4"/>
        <item x="35"/>
        <item x="99"/>
        <item x="12"/>
        <item x="91"/>
        <item x="9"/>
        <item x="40"/>
        <item x="72"/>
        <item x="124"/>
        <item x="128"/>
        <item x="86"/>
        <item x="90"/>
        <item x="67"/>
        <item x="17"/>
        <item x="87"/>
        <item x="111"/>
        <item x="41"/>
        <item x="50"/>
        <item x="119"/>
        <item x="126"/>
        <item x="80"/>
        <item x="6"/>
        <item x="71"/>
        <item x="83"/>
        <item x="75"/>
        <item x="47"/>
        <item x="114"/>
        <item x="36"/>
        <item x="93"/>
        <item x="19"/>
        <item x="18"/>
        <item x="122"/>
        <item x="127"/>
        <item x="53"/>
        <item x="129"/>
        <item x="78"/>
        <item x="107"/>
        <item x="32"/>
        <item x="105"/>
        <item x="24"/>
        <item x="61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2">
    <field x="1"/>
    <field x="12"/>
  </rowFields>
  <rowItems count="280">
    <i>
      <x/>
    </i>
    <i r="1">
      <x v="1"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 v="1"/>
    </i>
    <i>
      <x v="9"/>
    </i>
    <i r="1">
      <x/>
    </i>
    <i>
      <x v="10"/>
    </i>
    <i r="1">
      <x/>
    </i>
    <i>
      <x v="11"/>
    </i>
    <i r="1">
      <x/>
    </i>
    <i>
      <x v="12"/>
    </i>
    <i r="1">
      <x/>
    </i>
    <i r="1">
      <x v="1"/>
    </i>
    <i>
      <x v="13"/>
    </i>
    <i r="1">
      <x/>
    </i>
    <i>
      <x v="14"/>
    </i>
    <i r="1">
      <x v="1"/>
    </i>
    <i>
      <x v="15"/>
    </i>
    <i r="1">
      <x/>
    </i>
    <i>
      <x v="16"/>
    </i>
    <i r="1">
      <x/>
    </i>
    <i>
      <x v="17"/>
    </i>
    <i r="1">
      <x v="1"/>
    </i>
    <i>
      <x v="18"/>
    </i>
    <i r="1">
      <x/>
    </i>
    <i>
      <x v="19"/>
    </i>
    <i r="1">
      <x/>
    </i>
    <i>
      <x v="20"/>
    </i>
    <i r="1">
      <x/>
    </i>
    <i>
      <x v="21"/>
    </i>
    <i r="1">
      <x/>
    </i>
    <i>
      <x v="22"/>
    </i>
    <i r="1">
      <x/>
    </i>
    <i>
      <x v="23"/>
    </i>
    <i r="1">
      <x/>
    </i>
    <i>
      <x v="24"/>
    </i>
    <i r="1">
      <x v="1"/>
    </i>
    <i>
      <x v="25"/>
    </i>
    <i r="1">
      <x v="1"/>
    </i>
    <i>
      <x v="26"/>
    </i>
    <i r="1">
      <x v="1"/>
    </i>
    <i>
      <x v="27"/>
    </i>
    <i r="1">
      <x/>
    </i>
    <i>
      <x v="28"/>
    </i>
    <i r="1">
      <x/>
    </i>
    <i>
      <x v="29"/>
    </i>
    <i r="1">
      <x/>
    </i>
    <i>
      <x v="30"/>
    </i>
    <i r="1">
      <x/>
    </i>
    <i>
      <x v="31"/>
    </i>
    <i r="1">
      <x v="1"/>
    </i>
    <i>
      <x v="32"/>
    </i>
    <i r="1">
      <x v="1"/>
    </i>
    <i>
      <x v="33"/>
    </i>
    <i r="1">
      <x/>
    </i>
    <i>
      <x v="34"/>
    </i>
    <i r="1">
      <x/>
    </i>
    <i r="1">
      <x v="1"/>
    </i>
    <i>
      <x v="35"/>
    </i>
    <i r="1">
      <x/>
    </i>
    <i>
      <x v="36"/>
    </i>
    <i r="1">
      <x/>
    </i>
    <i>
      <x v="37"/>
    </i>
    <i r="1">
      <x/>
    </i>
    <i>
      <x v="38"/>
    </i>
    <i r="1">
      <x/>
    </i>
    <i>
      <x v="39"/>
    </i>
    <i r="1">
      <x/>
    </i>
    <i>
      <x v="40"/>
    </i>
    <i r="1">
      <x/>
    </i>
    <i>
      <x v="41"/>
    </i>
    <i r="1">
      <x/>
    </i>
    <i>
      <x v="42"/>
    </i>
    <i r="1">
      <x v="1"/>
    </i>
    <i>
      <x v="43"/>
    </i>
    <i r="1">
      <x v="1"/>
    </i>
    <i>
      <x v="44"/>
    </i>
    <i r="1">
      <x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>
      <x v="48"/>
    </i>
    <i r="1">
      <x/>
    </i>
    <i>
      <x v="49"/>
    </i>
    <i r="1">
      <x/>
    </i>
    <i r="1">
      <x v="1"/>
    </i>
    <i>
      <x v="50"/>
    </i>
    <i r="1">
      <x/>
    </i>
    <i>
      <x v="51"/>
    </i>
    <i r="1">
      <x/>
    </i>
    <i>
      <x v="52"/>
    </i>
    <i r="1">
      <x/>
    </i>
    <i r="1">
      <x v="1"/>
    </i>
    <i>
      <x v="53"/>
    </i>
    <i r="1">
      <x/>
    </i>
    <i r="1">
      <x v="1"/>
    </i>
    <i>
      <x v="54"/>
    </i>
    <i r="1">
      <x/>
    </i>
    <i>
      <x v="55"/>
    </i>
    <i r="1">
      <x/>
    </i>
    <i>
      <x v="56"/>
    </i>
    <i r="1">
      <x/>
    </i>
    <i>
      <x v="57"/>
    </i>
    <i r="1">
      <x/>
    </i>
    <i>
      <x v="58"/>
    </i>
    <i r="1">
      <x/>
    </i>
    <i>
      <x v="59"/>
    </i>
    <i r="1">
      <x/>
    </i>
    <i>
      <x v="60"/>
    </i>
    <i r="1">
      <x v="1"/>
    </i>
    <i>
      <x v="61"/>
    </i>
    <i r="1">
      <x/>
    </i>
    <i>
      <x v="62"/>
    </i>
    <i r="1">
      <x/>
    </i>
    <i>
      <x v="63"/>
    </i>
    <i r="1">
      <x/>
    </i>
    <i>
      <x v="64"/>
    </i>
    <i r="1">
      <x v="1"/>
    </i>
    <i>
      <x v="65"/>
    </i>
    <i r="1">
      <x/>
    </i>
    <i>
      <x v="66"/>
    </i>
    <i r="1">
      <x/>
    </i>
    <i>
      <x v="67"/>
    </i>
    <i r="1">
      <x/>
    </i>
    <i>
      <x v="68"/>
    </i>
    <i r="1">
      <x/>
    </i>
    <i r="1">
      <x v="1"/>
    </i>
    <i>
      <x v="69"/>
    </i>
    <i r="1">
      <x/>
    </i>
    <i>
      <x v="70"/>
    </i>
    <i r="1">
      <x/>
    </i>
    <i>
      <x v="71"/>
    </i>
    <i r="1">
      <x/>
    </i>
    <i>
      <x v="72"/>
    </i>
    <i r="1">
      <x/>
    </i>
    <i>
      <x v="73"/>
    </i>
    <i r="1">
      <x/>
    </i>
    <i>
      <x v="74"/>
    </i>
    <i r="1">
      <x/>
    </i>
    <i r="1">
      <x v="1"/>
    </i>
    <i>
      <x v="75"/>
    </i>
    <i r="1">
      <x/>
    </i>
    <i>
      <x v="76"/>
    </i>
    <i r="1">
      <x/>
    </i>
    <i r="1">
      <x v="1"/>
    </i>
    <i>
      <x v="77"/>
    </i>
    <i r="1">
      <x v="1"/>
    </i>
    <i>
      <x v="78"/>
    </i>
    <i r="1">
      <x/>
    </i>
    <i>
      <x v="79"/>
    </i>
    <i r="1">
      <x/>
    </i>
    <i>
      <x v="80"/>
    </i>
    <i r="1">
      <x/>
    </i>
    <i>
      <x v="81"/>
    </i>
    <i r="1">
      <x/>
    </i>
    <i>
      <x v="82"/>
    </i>
    <i r="1">
      <x/>
    </i>
    <i>
      <x v="83"/>
    </i>
    <i r="1">
      <x/>
    </i>
    <i>
      <x v="84"/>
    </i>
    <i r="1">
      <x/>
    </i>
    <i>
      <x v="85"/>
    </i>
    <i r="1">
      <x/>
    </i>
    <i>
      <x v="86"/>
    </i>
    <i r="1">
      <x/>
    </i>
    <i>
      <x v="87"/>
    </i>
    <i r="1">
      <x/>
    </i>
    <i r="1">
      <x v="1"/>
    </i>
    <i>
      <x v="88"/>
    </i>
    <i r="1">
      <x v="1"/>
    </i>
    <i>
      <x v="89"/>
    </i>
    <i r="1">
      <x/>
    </i>
    <i r="1">
      <x v="1"/>
    </i>
    <i>
      <x v="90"/>
    </i>
    <i r="1">
      <x/>
    </i>
    <i>
      <x v="91"/>
    </i>
    <i r="1">
      <x v="1"/>
    </i>
    <i>
      <x v="92"/>
    </i>
    <i r="1">
      <x/>
    </i>
    <i>
      <x v="93"/>
    </i>
    <i r="1">
      <x/>
    </i>
    <i r="1">
      <x v="1"/>
    </i>
    <i>
      <x v="94"/>
    </i>
    <i r="1">
      <x/>
    </i>
    <i>
      <x v="95"/>
    </i>
    <i r="1">
      <x/>
    </i>
    <i>
      <x v="96"/>
    </i>
    <i r="1">
      <x v="1"/>
    </i>
    <i>
      <x v="97"/>
    </i>
    <i r="1">
      <x v="1"/>
    </i>
    <i>
      <x v="98"/>
    </i>
    <i r="1">
      <x v="1"/>
    </i>
    <i>
      <x v="99"/>
    </i>
    <i r="1">
      <x/>
    </i>
    <i>
      <x v="100"/>
    </i>
    <i r="1">
      <x/>
    </i>
    <i>
      <x v="101"/>
    </i>
    <i r="1">
      <x/>
    </i>
    <i>
      <x v="102"/>
    </i>
    <i r="1">
      <x/>
    </i>
    <i>
      <x v="103"/>
    </i>
    <i r="1">
      <x/>
    </i>
    <i>
      <x v="104"/>
    </i>
    <i r="1">
      <x/>
    </i>
    <i>
      <x v="105"/>
    </i>
    <i r="1">
      <x v="1"/>
    </i>
    <i>
      <x v="106"/>
    </i>
    <i r="1">
      <x/>
    </i>
    <i>
      <x v="107"/>
    </i>
    <i r="1">
      <x v="1"/>
    </i>
    <i>
      <x v="108"/>
    </i>
    <i r="1">
      <x/>
    </i>
    <i>
      <x v="109"/>
    </i>
    <i r="1">
      <x/>
    </i>
    <i r="1">
      <x v="1"/>
    </i>
    <i>
      <x v="110"/>
    </i>
    <i r="1">
      <x v="1"/>
    </i>
    <i>
      <x v="111"/>
    </i>
    <i r="1">
      <x/>
    </i>
    <i>
      <x v="112"/>
    </i>
    <i r="1">
      <x/>
    </i>
    <i>
      <x v="113"/>
    </i>
    <i r="1">
      <x/>
    </i>
    <i>
      <x v="114"/>
    </i>
    <i r="1">
      <x/>
    </i>
    <i r="1">
      <x v="1"/>
    </i>
    <i>
      <x v="115"/>
    </i>
    <i r="1">
      <x/>
    </i>
    <i r="1">
      <x v="1"/>
    </i>
    <i>
      <x v="116"/>
    </i>
    <i r="1">
      <x v="1"/>
    </i>
    <i>
      <x v="117"/>
    </i>
    <i r="1">
      <x/>
    </i>
    <i>
      <x v="118"/>
    </i>
    <i r="1">
      <x/>
    </i>
    <i>
      <x v="119"/>
    </i>
    <i r="1">
      <x/>
    </i>
    <i>
      <x v="120"/>
    </i>
    <i r="1">
      <x v="1"/>
    </i>
    <i>
      <x v="121"/>
    </i>
    <i r="1">
      <x/>
    </i>
    <i>
      <x v="122"/>
    </i>
    <i r="1">
      <x/>
    </i>
    <i>
      <x v="123"/>
    </i>
    <i r="1">
      <x/>
    </i>
    <i>
      <x v="124"/>
    </i>
    <i r="1">
      <x/>
    </i>
    <i>
      <x v="125"/>
    </i>
    <i r="1">
      <x/>
    </i>
    <i>
      <x v="126"/>
    </i>
    <i r="1">
      <x/>
    </i>
    <i r="1">
      <x v="1"/>
    </i>
    <i>
      <x v="127"/>
    </i>
    <i r="1">
      <x/>
    </i>
    <i>
      <x v="128"/>
    </i>
    <i r="1">
      <x/>
    </i>
    <i>
      <x v="129"/>
    </i>
    <i r="1">
      <x v="1"/>
    </i>
    <i>
      <x v="130"/>
    </i>
    <i r="1">
      <x/>
    </i>
    <i t="grand">
      <x/>
    </i>
  </rowItems>
  <colItems count="1">
    <i/>
  </colItems>
  <dataFields count="1">
    <dataField name="Sum of order_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2A790-7075-4B9F-8043-914EB84C788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 ">
  <location ref="A3:B52" firstHeaderRow="1" firstDataRow="1" firstDataCol="1"/>
  <pivotFields count="17">
    <pivotField showAll="0"/>
    <pivotField showAll="0"/>
    <pivotField showAll="0"/>
    <pivotField axis="axisRow" showAll="0" sortType="ascending">
      <items count="9">
        <item x="2"/>
        <item x="0"/>
        <item x="4"/>
        <item x="7"/>
        <item x="3"/>
        <item x="1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0"/>
        <item x="2"/>
        <item x="3"/>
        <item x="4"/>
        <item x="1"/>
        <item t="default"/>
      </items>
    </pivotField>
    <pivotField multipleItemSelectionAllowed="1" showAll="0">
      <items count="9">
        <item h="1" x="2"/>
        <item x="1"/>
        <item h="1" x="6"/>
        <item h="1" x="7"/>
        <item h="1" x="3"/>
        <item h="1" x="5"/>
        <item h="1" x="4"/>
        <item h="1" x="0"/>
        <item t="default"/>
      </items>
    </pivotField>
    <pivotField showAll="0">
      <items count="9">
        <item x="7"/>
        <item x="6"/>
        <item x="2"/>
        <item x="3"/>
        <item x="5"/>
        <item x="4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4"/>
  </rowFields>
  <rowItems count="49">
    <i>
      <x v="6"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of order_total" fld="9" subtotal="average" baseField="3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700B5-78E2-456C-9533-F083350250E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rrency">
  <location ref="F20:G33" firstHeaderRow="1" firstDataRow="1" firstDataCol="1"/>
  <pivotFields count="17"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2">
    <field x="11"/>
    <field x="4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order_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F8693E-7756-4952-953B-27CCD9430C05}" autoFormatId="16" applyNumberFormats="0" applyBorderFormats="0" applyFontFormats="0" applyPatternFormats="0" applyAlignmentFormats="0" applyWidthHeightFormats="0">
  <queryTableRefresh nextId="19" unboundColumnsRight="3">
    <queryTableFields count="17">
      <queryTableField id="1" name="order_id" tableColumnId="1"/>
      <queryTableField id="2" name="order_date" tableColumnId="2"/>
      <queryTableField id="3" name="customer_email" tableColumnId="3"/>
      <queryTableField id="4" name="country" tableColumnId="4"/>
      <queryTableField id="5" name="channel" tableColumnId="5"/>
      <queryTableField id="6" name="product_sku" tableColumnId="6"/>
      <queryTableField id="7" name="product_name" tableColumnId="7"/>
      <queryTableField id="8" name="quantity" tableColumnId="8"/>
      <queryTableField id="9" name="unit_price" tableColumnId="9"/>
      <queryTableField id="10" name="order_total" tableColumnId="10"/>
      <queryTableField id="11" name="weight" tableColumnId="11"/>
      <queryTableField id="12" name="currency" tableColumnId="12"/>
      <queryTableField id="13" name="status" tableColumnId="13"/>
      <queryTableField id="14" name="unit_price_fixed 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7D0F85-7350-45C1-9AF7-2B46757A61C7}" name="ecommerce_order__1" displayName="ecommerce_order__1" ref="A1:Q203" tableType="queryTable" totalsRowShown="0">
  <autoFilter ref="A1:Q203" xr:uid="{E67D0F85-7350-45C1-9AF7-2B46757A61C7}"/>
  <tableColumns count="17">
    <tableColumn id="1" xr3:uid="{79D409A0-8D25-474B-8AD1-840F4C3B4552}" uniqueName="1" name="order_id" queryTableFieldId="1" dataDxfId="9"/>
    <tableColumn id="2" xr3:uid="{A3ADA5AF-C485-4B1A-9A1A-E0189B325488}" uniqueName="2" name="order_date" queryTableFieldId="2" dataDxfId="8"/>
    <tableColumn id="3" xr3:uid="{CF089533-8C8F-4B63-B92C-B9A184A86906}" uniqueName="3" name="customer_email" queryTableFieldId="3" dataDxfId="7"/>
    <tableColumn id="4" xr3:uid="{EDE44C0C-A684-429E-B435-E6E5299B9E6E}" uniqueName="4" name="country" queryTableFieldId="4" dataDxfId="6"/>
    <tableColumn id="5" xr3:uid="{28798EEA-730E-4788-BD1B-AD026DF32C38}" uniqueName="5" name="channel" queryTableFieldId="5" dataDxfId="5"/>
    <tableColumn id="6" xr3:uid="{6D9DE3A7-66F6-42B4-9544-B30BE22CD4E7}" uniqueName="6" name="product_sku" queryTableFieldId="6" dataDxfId="4"/>
    <tableColumn id="7" xr3:uid="{281954E4-D4C3-4DB4-994A-8A7BF53166E1}" uniqueName="7" name="product_name" queryTableFieldId="7" dataDxfId="3"/>
    <tableColumn id="8" xr3:uid="{DF2E2A39-00D3-4A95-B023-16FDD8A3BF30}" uniqueName="8" name="quantity" queryTableFieldId="8"/>
    <tableColumn id="9" xr3:uid="{FE3A6922-7454-40A9-A85B-B953BB658447}" uniqueName="9" name="unit_price" queryTableFieldId="9"/>
    <tableColumn id="10" xr3:uid="{59FB8A6D-BC4B-48A4-8180-9B19786C9105}" uniqueName="10" name="order_total" queryTableFieldId="10"/>
    <tableColumn id="11" xr3:uid="{6F7F6CF9-792C-4CCE-A3A6-CE0AE4AF1A0A}" uniqueName="11" name="weight" queryTableFieldId="11"/>
    <tableColumn id="12" xr3:uid="{5AD99B24-B712-4ED5-87FB-7BE672388817}" uniqueName="12" name="currency" queryTableFieldId="12" dataDxfId="2"/>
    <tableColumn id="13" xr3:uid="{70F63C6A-CC25-4D32-9DBD-A04E79C3F70F}" uniqueName="13" name="status" queryTableFieldId="13" dataDxfId="1"/>
    <tableColumn id="14" xr3:uid="{57D17E64-3306-452C-ABAA-7184576065BB}" uniqueName="14" name="unit_price_fixed " queryTableFieldId="14"/>
    <tableColumn id="15" xr3:uid="{8DD703A7-CEED-4BDB-BFC9-8F0E3632DDD1}" uniqueName="15" name="aggregate functions " queryTableFieldId="15"/>
    <tableColumn id="16" xr3:uid="{ED71270B-61A5-4C1C-84A0-1706C3011DAB}" uniqueName="16" name="aggregate function name " queryTableFieldId="16"/>
    <tableColumn id="17" xr3:uid="{8EF49F04-C78B-41C1-B3C7-2DCC96691160}" uniqueName="17" name="vlookup" queryTableFieldId="17" dataDxfId="0">
      <calculatedColumnFormula>VLOOKUP(ecommerce_order__1[[#This Row],[product_sku]],F:J,5,FALSE)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AE22-DEDB-4538-9823-657C53B129FC}">
  <dimension ref="A3:G288"/>
  <sheetViews>
    <sheetView tabSelected="1" workbookViewId="0">
      <selection activeCell="C6" sqref="C6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3.6640625" bestFit="1" customWidth="1"/>
    <col min="4" max="4" width="17" bestFit="1" customWidth="1"/>
    <col min="5" max="5" width="12" bestFit="1" customWidth="1"/>
    <col min="6" max="6" width="14.77734375" bestFit="1" customWidth="1"/>
    <col min="7" max="7" width="17" bestFit="1" customWidth="1"/>
    <col min="8" max="8" width="8.5546875" bestFit="1" customWidth="1"/>
    <col min="9" max="9" width="5.5546875" bestFit="1" customWidth="1"/>
    <col min="10" max="10" width="7.21875" bestFit="1" customWidth="1"/>
    <col min="11" max="11" width="11.109375" bestFit="1" customWidth="1"/>
    <col min="12" max="12" width="8" bestFit="1" customWidth="1"/>
    <col min="13" max="14" width="12" bestFit="1" customWidth="1"/>
    <col min="15" max="15" width="7" bestFit="1" customWidth="1"/>
    <col min="16" max="16" width="9" bestFit="1" customWidth="1"/>
    <col min="17" max="17" width="12" bestFit="1" customWidth="1"/>
    <col min="18" max="18" width="9" bestFit="1" customWidth="1"/>
    <col min="19" max="19" width="12" bestFit="1" customWidth="1"/>
    <col min="20" max="20" width="6" bestFit="1" customWidth="1"/>
    <col min="21" max="21" width="7" bestFit="1" customWidth="1"/>
    <col min="22" max="25" width="12" bestFit="1" customWidth="1"/>
    <col min="26" max="26" width="8" bestFit="1" customWidth="1"/>
    <col min="27" max="27" width="6" bestFit="1" customWidth="1"/>
    <col min="28" max="28" width="10" bestFit="1" customWidth="1"/>
    <col min="29" max="29" width="12" bestFit="1" customWidth="1"/>
    <col min="30" max="30" width="10" bestFit="1" customWidth="1"/>
    <col min="31" max="31" width="12" bestFit="1" customWidth="1"/>
    <col min="32" max="32" width="6" bestFit="1" customWidth="1"/>
    <col min="33" max="34" width="12" bestFit="1" customWidth="1"/>
    <col min="35" max="35" width="11.109375" bestFit="1" customWidth="1"/>
    <col min="36" max="37" width="12" bestFit="1" customWidth="1"/>
    <col min="38" max="38" width="16.77734375" bestFit="1" customWidth="1"/>
    <col min="39" max="39" width="6" bestFit="1" customWidth="1"/>
    <col min="40" max="40" width="7.21875" bestFit="1" customWidth="1"/>
    <col min="41" max="41" width="11.109375" bestFit="1" customWidth="1"/>
    <col min="42" max="42" width="12" bestFit="1" customWidth="1"/>
    <col min="43" max="43" width="19.5546875" bestFit="1" customWidth="1"/>
    <col min="44" max="44" width="10.6640625" bestFit="1" customWidth="1"/>
    <col min="45" max="45" width="7" bestFit="1" customWidth="1"/>
    <col min="46" max="46" width="9" bestFit="1" customWidth="1"/>
    <col min="47" max="47" width="11.109375" bestFit="1" customWidth="1"/>
    <col min="48" max="48" width="9" bestFit="1" customWidth="1"/>
    <col min="49" max="49" width="13.44140625" bestFit="1" customWidth="1"/>
    <col min="50" max="50" width="12" bestFit="1" customWidth="1"/>
  </cols>
  <sheetData>
    <row r="3" spans="1:4" x14ac:dyDescent="0.3">
      <c r="A3" s="2" t="s">
        <v>573</v>
      </c>
      <c r="B3" t="s">
        <v>571</v>
      </c>
    </row>
    <row r="4" spans="1:4" x14ac:dyDescent="0.3">
      <c r="A4" s="3" t="s">
        <v>90</v>
      </c>
      <c r="B4">
        <v>94.271052631578954</v>
      </c>
    </row>
    <row r="5" spans="1:4" x14ac:dyDescent="0.3">
      <c r="A5" s="4" t="s">
        <v>18</v>
      </c>
      <c r="B5">
        <v>52.25</v>
      </c>
    </row>
    <row r="6" spans="1:4" x14ac:dyDescent="0.3">
      <c r="A6" s="4" t="s">
        <v>34</v>
      </c>
      <c r="B6">
        <v>98.214285714285708</v>
      </c>
    </row>
    <row r="7" spans="1:4" x14ac:dyDescent="0.3">
      <c r="A7" s="4" t="s">
        <v>41</v>
      </c>
      <c r="B7">
        <v>145.66666666666666</v>
      </c>
    </row>
    <row r="8" spans="1:4" x14ac:dyDescent="0.3">
      <c r="A8" s="4" t="s">
        <v>65</v>
      </c>
      <c r="B8">
        <v>186.57499999999999</v>
      </c>
      <c r="C8" s="2" t="s">
        <v>574</v>
      </c>
      <c r="D8" t="s">
        <v>570</v>
      </c>
    </row>
    <row r="9" spans="1:4" x14ac:dyDescent="0.3">
      <c r="A9" s="4" t="s">
        <v>26</v>
      </c>
      <c r="B9">
        <v>-118.2</v>
      </c>
      <c r="C9" s="3" t="s">
        <v>348</v>
      </c>
      <c r="D9">
        <v>387</v>
      </c>
    </row>
    <row r="10" spans="1:4" x14ac:dyDescent="0.3">
      <c r="A10" s="3" t="s">
        <v>17</v>
      </c>
      <c r="B10">
        <v>100.86590909090908</v>
      </c>
      <c r="C10" s="4" t="s">
        <v>57</v>
      </c>
      <c r="D10">
        <v>387</v>
      </c>
    </row>
    <row r="11" spans="1:4" x14ac:dyDescent="0.3">
      <c r="A11" s="4" t="s">
        <v>18</v>
      </c>
      <c r="B11">
        <v>70.5</v>
      </c>
      <c r="C11" s="3" t="s">
        <v>498</v>
      </c>
      <c r="D11">
        <v>447</v>
      </c>
    </row>
    <row r="12" spans="1:4" x14ac:dyDescent="0.3">
      <c r="A12" s="4" t="s">
        <v>34</v>
      </c>
      <c r="B12">
        <v>163</v>
      </c>
      <c r="C12" s="4" t="s">
        <v>22</v>
      </c>
      <c r="D12">
        <v>447</v>
      </c>
    </row>
    <row r="13" spans="1:4" x14ac:dyDescent="0.3">
      <c r="A13" s="4" t="s">
        <v>41</v>
      </c>
      <c r="B13">
        <v>29.419999999999998</v>
      </c>
      <c r="C13" s="3" t="s">
        <v>263</v>
      </c>
      <c r="D13">
        <v>-22.349999999999994</v>
      </c>
    </row>
    <row r="14" spans="1:4" x14ac:dyDescent="0.3">
      <c r="A14" s="4" t="s">
        <v>65</v>
      </c>
      <c r="B14">
        <v>138.04374999999999</v>
      </c>
      <c r="C14" s="4" t="s">
        <v>22</v>
      </c>
      <c r="D14">
        <v>-22.349999999999994</v>
      </c>
    </row>
    <row r="15" spans="1:4" x14ac:dyDescent="0.3">
      <c r="A15" s="4" t="s">
        <v>26</v>
      </c>
      <c r="B15">
        <v>107.52500000000001</v>
      </c>
      <c r="C15" s="3" t="s">
        <v>119</v>
      </c>
      <c r="D15">
        <v>-219</v>
      </c>
    </row>
    <row r="16" spans="1:4" x14ac:dyDescent="0.3">
      <c r="A16" s="3" t="s">
        <v>47</v>
      </c>
      <c r="B16">
        <v>113.81585365853655</v>
      </c>
      <c r="C16" s="4" t="s">
        <v>22</v>
      </c>
      <c r="D16">
        <v>-219</v>
      </c>
    </row>
    <row r="17" spans="1:7" x14ac:dyDescent="0.3">
      <c r="A17" s="4" t="s">
        <v>18</v>
      </c>
      <c r="B17">
        <v>120.31818181818181</v>
      </c>
      <c r="C17" s="3" t="s">
        <v>226</v>
      </c>
      <c r="D17">
        <v>171</v>
      </c>
    </row>
    <row r="18" spans="1:7" x14ac:dyDescent="0.3">
      <c r="A18" s="4" t="s">
        <v>34</v>
      </c>
      <c r="B18">
        <v>114.62</v>
      </c>
      <c r="C18" s="4" t="s">
        <v>22</v>
      </c>
      <c r="D18">
        <v>171</v>
      </c>
    </row>
    <row r="19" spans="1:7" x14ac:dyDescent="0.3">
      <c r="A19" s="4" t="s">
        <v>41</v>
      </c>
      <c r="B19">
        <v>109.1875</v>
      </c>
      <c r="C19" s="3" t="s">
        <v>75</v>
      </c>
      <c r="D19">
        <v>129</v>
      </c>
    </row>
    <row r="20" spans="1:7" x14ac:dyDescent="0.3">
      <c r="A20" s="4" t="s">
        <v>65</v>
      </c>
      <c r="B20">
        <v>158.57777777777778</v>
      </c>
      <c r="C20" s="4" t="s">
        <v>22</v>
      </c>
      <c r="D20">
        <v>129</v>
      </c>
      <c r="F20" s="2" t="s">
        <v>11</v>
      </c>
      <c r="G20" t="s">
        <v>570</v>
      </c>
    </row>
    <row r="21" spans="1:7" x14ac:dyDescent="0.3">
      <c r="A21" s="4" t="s">
        <v>26</v>
      </c>
      <c r="B21">
        <v>58.643749999999997</v>
      </c>
      <c r="C21" s="3" t="s">
        <v>159</v>
      </c>
      <c r="D21">
        <v>80.099999999999994</v>
      </c>
      <c r="F21" s="3" t="s">
        <v>21</v>
      </c>
      <c r="G21">
        <v>4900.9000000000005</v>
      </c>
    </row>
    <row r="22" spans="1:7" x14ac:dyDescent="0.3">
      <c r="A22" s="3" t="s">
        <v>33</v>
      </c>
      <c r="B22">
        <v>118.07222222222224</v>
      </c>
      <c r="C22" s="4" t="s">
        <v>22</v>
      </c>
      <c r="D22">
        <v>80.099999999999994</v>
      </c>
      <c r="F22" s="4" t="s">
        <v>18</v>
      </c>
      <c r="G22">
        <v>1067.0999999999999</v>
      </c>
    </row>
    <row r="23" spans="1:7" x14ac:dyDescent="0.3">
      <c r="A23" s="4" t="s">
        <v>18</v>
      </c>
      <c r="B23">
        <v>193.20000000000002</v>
      </c>
      <c r="C23" s="3" t="s">
        <v>402</v>
      </c>
      <c r="D23">
        <v>79</v>
      </c>
      <c r="F23" s="4" t="s">
        <v>34</v>
      </c>
      <c r="G23">
        <v>1219.4000000000001</v>
      </c>
    </row>
    <row r="24" spans="1:7" x14ac:dyDescent="0.3">
      <c r="A24" s="4" t="s">
        <v>34</v>
      </c>
      <c r="B24">
        <v>112.35000000000001</v>
      </c>
      <c r="C24" s="4" t="s">
        <v>22</v>
      </c>
      <c r="D24">
        <v>79</v>
      </c>
      <c r="F24" s="4" t="s">
        <v>41</v>
      </c>
      <c r="G24">
        <v>704.3</v>
      </c>
    </row>
    <row r="25" spans="1:7" x14ac:dyDescent="0.3">
      <c r="A25" s="4" t="s">
        <v>41</v>
      </c>
      <c r="B25">
        <v>109.73333333333333</v>
      </c>
      <c r="C25" s="3" t="s">
        <v>78</v>
      </c>
      <c r="D25">
        <v>348.3</v>
      </c>
      <c r="F25" s="4" t="s">
        <v>65</v>
      </c>
      <c r="G25">
        <v>975.8</v>
      </c>
    </row>
    <row r="26" spans="1:7" x14ac:dyDescent="0.3">
      <c r="A26" s="4" t="s">
        <v>65</v>
      </c>
      <c r="B26">
        <v>112.06666666666666</v>
      </c>
      <c r="C26" s="4" t="s">
        <v>57</v>
      </c>
      <c r="D26">
        <v>348.3</v>
      </c>
      <c r="F26" s="4" t="s">
        <v>26</v>
      </c>
      <c r="G26">
        <v>934.30000000000007</v>
      </c>
    </row>
    <row r="27" spans="1:7" x14ac:dyDescent="0.3">
      <c r="A27" s="4" t="s">
        <v>26</v>
      </c>
      <c r="B27">
        <v>68.733333333333334</v>
      </c>
      <c r="C27" s="3" t="s">
        <v>404</v>
      </c>
      <c r="D27">
        <v>80.099999999999994</v>
      </c>
      <c r="F27" s="3" t="s">
        <v>29</v>
      </c>
      <c r="G27">
        <v>20803.149999999998</v>
      </c>
    </row>
    <row r="28" spans="1:7" x14ac:dyDescent="0.3">
      <c r="A28" s="3" t="s">
        <v>53</v>
      </c>
      <c r="B28">
        <v>126.50833333333333</v>
      </c>
      <c r="C28" s="4" t="s">
        <v>22</v>
      </c>
      <c r="D28">
        <v>80.099999999999994</v>
      </c>
      <c r="F28" s="4" t="s">
        <v>18</v>
      </c>
      <c r="G28">
        <v>3064.45</v>
      </c>
    </row>
    <row r="29" spans="1:7" x14ac:dyDescent="0.3">
      <c r="A29" s="4" t="s">
        <v>18</v>
      </c>
      <c r="B29">
        <v>124.68499999999999</v>
      </c>
      <c r="C29" s="3" t="s">
        <v>62</v>
      </c>
      <c r="D29">
        <v>135.5</v>
      </c>
      <c r="F29" s="4" t="s">
        <v>34</v>
      </c>
      <c r="G29">
        <v>3525.15</v>
      </c>
    </row>
    <row r="30" spans="1:7" x14ac:dyDescent="0.3">
      <c r="A30" s="4" t="s">
        <v>34</v>
      </c>
      <c r="B30">
        <v>109.5</v>
      </c>
      <c r="C30" s="4" t="s">
        <v>22</v>
      </c>
      <c r="D30">
        <v>135.5</v>
      </c>
      <c r="F30" s="4" t="s">
        <v>41</v>
      </c>
      <c r="G30">
        <v>5375.7999999999993</v>
      </c>
    </row>
    <row r="31" spans="1:7" x14ac:dyDescent="0.3">
      <c r="A31" s="4" t="s">
        <v>41</v>
      </c>
      <c r="B31">
        <v>110.58125</v>
      </c>
      <c r="C31" s="3" t="s">
        <v>440</v>
      </c>
      <c r="D31">
        <v>232.2</v>
      </c>
      <c r="F31" s="4" t="s">
        <v>65</v>
      </c>
      <c r="G31">
        <v>5744.4</v>
      </c>
    </row>
    <row r="32" spans="1:7" x14ac:dyDescent="0.3">
      <c r="A32" s="4" t="s">
        <v>65</v>
      </c>
      <c r="B32">
        <v>159.03333333333333</v>
      </c>
      <c r="C32" s="4" t="s">
        <v>22</v>
      </c>
      <c r="D32">
        <v>232.2</v>
      </c>
      <c r="F32" s="4" t="s">
        <v>26</v>
      </c>
      <c r="G32">
        <v>3093.3499999999995</v>
      </c>
    </row>
    <row r="33" spans="1:7" x14ac:dyDescent="0.3">
      <c r="A33" s="4" t="s">
        <v>26</v>
      </c>
      <c r="B33">
        <v>104.43125000000001</v>
      </c>
      <c r="C33" s="3" t="s">
        <v>223</v>
      </c>
      <c r="D33">
        <v>230</v>
      </c>
      <c r="F33" s="3" t="s">
        <v>572</v>
      </c>
      <c r="G33">
        <v>25704.049999999996</v>
      </c>
    </row>
    <row r="34" spans="1:7" x14ac:dyDescent="0.3">
      <c r="A34" s="3" t="s">
        <v>40</v>
      </c>
      <c r="B34">
        <v>148.68275862068964</v>
      </c>
      <c r="C34" s="4" t="s">
        <v>22</v>
      </c>
      <c r="D34">
        <v>149</v>
      </c>
    </row>
    <row r="35" spans="1:7" x14ac:dyDescent="0.3">
      <c r="A35" s="4" t="s">
        <v>18</v>
      </c>
      <c r="B35">
        <v>185.4</v>
      </c>
      <c r="C35" s="4" t="s">
        <v>57</v>
      </c>
      <c r="D35">
        <v>81</v>
      </c>
    </row>
    <row r="36" spans="1:7" x14ac:dyDescent="0.3">
      <c r="A36" s="4" t="s">
        <v>34</v>
      </c>
      <c r="B36">
        <v>97.383333333333326</v>
      </c>
      <c r="C36" s="3" t="s">
        <v>238</v>
      </c>
      <c r="D36">
        <v>90</v>
      </c>
    </row>
    <row r="37" spans="1:7" x14ac:dyDescent="0.3">
      <c r="A37" s="4" t="s">
        <v>41</v>
      </c>
      <c r="B37">
        <v>192.34444444444443</v>
      </c>
      <c r="C37" s="4" t="s">
        <v>22</v>
      </c>
      <c r="D37">
        <v>90</v>
      </c>
    </row>
    <row r="38" spans="1:7" x14ac:dyDescent="0.3">
      <c r="A38" s="4" t="s">
        <v>65</v>
      </c>
      <c r="B38">
        <v>77.099999999999994</v>
      </c>
      <c r="C38" s="3" t="s">
        <v>293</v>
      </c>
      <c r="D38">
        <v>237</v>
      </c>
    </row>
    <row r="39" spans="1:7" x14ac:dyDescent="0.3">
      <c r="A39" s="4" t="s">
        <v>26</v>
      </c>
      <c r="B39">
        <v>177.15714285714284</v>
      </c>
      <c r="C39" s="4" t="s">
        <v>57</v>
      </c>
      <c r="D39">
        <v>237</v>
      </c>
    </row>
    <row r="40" spans="1:7" x14ac:dyDescent="0.3">
      <c r="A40" s="3" t="s">
        <v>97</v>
      </c>
      <c r="B40">
        <v>159.31249999999997</v>
      </c>
      <c r="C40" s="3" t="s">
        <v>150</v>
      </c>
      <c r="D40">
        <v>447</v>
      </c>
    </row>
    <row r="41" spans="1:7" x14ac:dyDescent="0.3">
      <c r="A41" s="4" t="s">
        <v>18</v>
      </c>
      <c r="B41">
        <v>115.64999999999999</v>
      </c>
      <c r="C41" s="4" t="s">
        <v>22</v>
      </c>
      <c r="D41">
        <v>447</v>
      </c>
    </row>
    <row r="42" spans="1:7" x14ac:dyDescent="0.3">
      <c r="A42" s="4" t="s">
        <v>34</v>
      </c>
      <c r="B42">
        <v>258.7</v>
      </c>
      <c r="C42" s="3" t="s">
        <v>116</v>
      </c>
      <c r="D42">
        <v>21.6</v>
      </c>
    </row>
    <row r="43" spans="1:7" x14ac:dyDescent="0.3">
      <c r="A43" s="4" t="s">
        <v>41</v>
      </c>
      <c r="B43">
        <v>105.3</v>
      </c>
      <c r="C43" s="4" t="s">
        <v>22</v>
      </c>
      <c r="D43">
        <v>21.6</v>
      </c>
    </row>
    <row r="44" spans="1:7" x14ac:dyDescent="0.3">
      <c r="A44" s="4" t="s">
        <v>65</v>
      </c>
      <c r="B44">
        <v>258</v>
      </c>
      <c r="C44" s="3" t="s">
        <v>501</v>
      </c>
      <c r="D44">
        <v>190</v>
      </c>
    </row>
    <row r="45" spans="1:7" x14ac:dyDescent="0.3">
      <c r="A45" s="4" t="s">
        <v>26</v>
      </c>
      <c r="B45">
        <v>131.03333333333333</v>
      </c>
      <c r="C45" s="4" t="s">
        <v>57</v>
      </c>
      <c r="D45">
        <v>190</v>
      </c>
    </row>
    <row r="46" spans="1:7" x14ac:dyDescent="0.3">
      <c r="A46" s="3" t="s">
        <v>112</v>
      </c>
      <c r="B46">
        <v>181.86333333333332</v>
      </c>
      <c r="C46" s="3" t="s">
        <v>453</v>
      </c>
      <c r="D46">
        <v>142.19999999999999</v>
      </c>
    </row>
    <row r="47" spans="1:7" x14ac:dyDescent="0.3">
      <c r="A47" s="4" t="s">
        <v>18</v>
      </c>
      <c r="B47">
        <v>11.25</v>
      </c>
      <c r="C47" s="4" t="s">
        <v>22</v>
      </c>
      <c r="D47">
        <v>142.19999999999999</v>
      </c>
    </row>
    <row r="48" spans="1:7" x14ac:dyDescent="0.3">
      <c r="A48" s="4" t="s">
        <v>34</v>
      </c>
      <c r="B48">
        <v>142.25</v>
      </c>
      <c r="C48" s="3" t="s">
        <v>330</v>
      </c>
      <c r="D48">
        <v>72</v>
      </c>
    </row>
    <row r="49" spans="1:4" x14ac:dyDescent="0.3">
      <c r="A49" s="4" t="s">
        <v>41</v>
      </c>
      <c r="B49">
        <v>261.4375</v>
      </c>
      <c r="C49" s="4" t="s">
        <v>22</v>
      </c>
      <c r="D49">
        <v>72</v>
      </c>
    </row>
    <row r="50" spans="1:4" x14ac:dyDescent="0.3">
      <c r="A50" s="4" t="s">
        <v>65</v>
      </c>
      <c r="B50">
        <v>184.75</v>
      </c>
      <c r="C50" s="3" t="s">
        <v>171</v>
      </c>
      <c r="D50">
        <v>178</v>
      </c>
    </row>
    <row r="51" spans="1:4" x14ac:dyDescent="0.3">
      <c r="A51" s="4" t="s">
        <v>26</v>
      </c>
      <c r="B51">
        <v>172.48750000000001</v>
      </c>
      <c r="C51" s="4" t="s">
        <v>22</v>
      </c>
      <c r="D51">
        <v>178</v>
      </c>
    </row>
    <row r="52" spans="1:4" x14ac:dyDescent="0.3">
      <c r="A52" s="3" t="s">
        <v>572</v>
      </c>
      <c r="B52">
        <v>127.24777227722772</v>
      </c>
      <c r="C52" s="3" t="s">
        <v>339</v>
      </c>
      <c r="D52">
        <v>506.3</v>
      </c>
    </row>
    <row r="53" spans="1:4" x14ac:dyDescent="0.3">
      <c r="C53" s="4" t="s">
        <v>22</v>
      </c>
      <c r="D53">
        <v>506.3</v>
      </c>
    </row>
    <row r="54" spans="1:4" x14ac:dyDescent="0.3">
      <c r="C54" s="3" t="s">
        <v>514</v>
      </c>
      <c r="D54">
        <v>237</v>
      </c>
    </row>
    <row r="55" spans="1:4" x14ac:dyDescent="0.3">
      <c r="C55" s="4" t="s">
        <v>22</v>
      </c>
      <c r="D55">
        <v>237</v>
      </c>
    </row>
    <row r="56" spans="1:4" x14ac:dyDescent="0.3">
      <c r="C56" s="3" t="s">
        <v>421</v>
      </c>
      <c r="D56">
        <v>81</v>
      </c>
    </row>
    <row r="57" spans="1:4" x14ac:dyDescent="0.3">
      <c r="C57" s="4" t="s">
        <v>22</v>
      </c>
      <c r="D57">
        <v>81</v>
      </c>
    </row>
    <row r="58" spans="1:4" x14ac:dyDescent="0.3">
      <c r="C58" s="3" t="s">
        <v>473</v>
      </c>
      <c r="D58">
        <v>79</v>
      </c>
    </row>
    <row r="59" spans="1:4" x14ac:dyDescent="0.3">
      <c r="C59" s="4" t="s">
        <v>57</v>
      </c>
      <c r="D59">
        <v>79</v>
      </c>
    </row>
    <row r="60" spans="1:4" x14ac:dyDescent="0.3">
      <c r="C60" s="3" t="s">
        <v>351</v>
      </c>
      <c r="D60">
        <v>268.2</v>
      </c>
    </row>
    <row r="61" spans="1:4" x14ac:dyDescent="0.3">
      <c r="C61" s="4" t="s">
        <v>57</v>
      </c>
      <c r="D61">
        <v>268.2</v>
      </c>
    </row>
    <row r="62" spans="1:4" x14ac:dyDescent="0.3">
      <c r="C62" s="3" t="s">
        <v>153</v>
      </c>
      <c r="D62">
        <v>22.5</v>
      </c>
    </row>
    <row r="63" spans="1:4" x14ac:dyDescent="0.3">
      <c r="C63" s="4" t="s">
        <v>57</v>
      </c>
      <c r="D63">
        <v>22.5</v>
      </c>
    </row>
    <row r="64" spans="1:4" x14ac:dyDescent="0.3">
      <c r="C64" s="3" t="s">
        <v>304</v>
      </c>
      <c r="D64">
        <v>7.75</v>
      </c>
    </row>
    <row r="65" spans="3:4" x14ac:dyDescent="0.3">
      <c r="C65" s="4" t="s">
        <v>22</v>
      </c>
      <c r="D65">
        <v>7.75</v>
      </c>
    </row>
    <row r="66" spans="3:4" x14ac:dyDescent="0.3">
      <c r="C66" s="3" t="s">
        <v>558</v>
      </c>
      <c r="D66">
        <v>142.19999999999999</v>
      </c>
    </row>
    <row r="67" spans="3:4" x14ac:dyDescent="0.3">
      <c r="C67" s="4" t="s">
        <v>22</v>
      </c>
      <c r="D67">
        <v>142.19999999999999</v>
      </c>
    </row>
    <row r="68" spans="3:4" x14ac:dyDescent="0.3">
      <c r="C68" s="3" t="s">
        <v>133</v>
      </c>
      <c r="D68">
        <v>36</v>
      </c>
    </row>
    <row r="69" spans="3:4" x14ac:dyDescent="0.3">
      <c r="C69" s="4" t="s">
        <v>22</v>
      </c>
      <c r="D69">
        <v>36</v>
      </c>
    </row>
    <row r="70" spans="3:4" x14ac:dyDescent="0.3">
      <c r="C70" s="3" t="s">
        <v>276</v>
      </c>
      <c r="D70">
        <v>80.099999999999994</v>
      </c>
    </row>
    <row r="71" spans="3:4" x14ac:dyDescent="0.3">
      <c r="C71" s="4" t="s">
        <v>22</v>
      </c>
      <c r="D71">
        <v>80.099999999999994</v>
      </c>
    </row>
    <row r="72" spans="3:4" x14ac:dyDescent="0.3">
      <c r="C72" s="3" t="s">
        <v>336</v>
      </c>
      <c r="D72">
        <v>90</v>
      </c>
    </row>
    <row r="73" spans="3:4" x14ac:dyDescent="0.3">
      <c r="C73" s="4" t="s">
        <v>57</v>
      </c>
      <c r="D73">
        <v>90</v>
      </c>
    </row>
    <row r="74" spans="3:4" x14ac:dyDescent="0.3">
      <c r="C74" s="3" t="s">
        <v>243</v>
      </c>
      <c r="D74">
        <v>258</v>
      </c>
    </row>
    <row r="75" spans="3:4" x14ac:dyDescent="0.3">
      <c r="C75" s="4" t="s">
        <v>57</v>
      </c>
      <c r="D75">
        <v>258</v>
      </c>
    </row>
    <row r="76" spans="3:4" x14ac:dyDescent="0.3">
      <c r="C76" s="3" t="s">
        <v>258</v>
      </c>
      <c r="D76">
        <v>149</v>
      </c>
    </row>
    <row r="77" spans="3:4" x14ac:dyDescent="0.3">
      <c r="C77" s="4" t="s">
        <v>22</v>
      </c>
      <c r="D77">
        <v>149</v>
      </c>
    </row>
    <row r="78" spans="3:4" x14ac:dyDescent="0.3">
      <c r="C78" s="3" t="s">
        <v>468</v>
      </c>
      <c r="D78">
        <v>106.25</v>
      </c>
    </row>
    <row r="79" spans="3:4" x14ac:dyDescent="0.3">
      <c r="C79" s="4" t="s">
        <v>22</v>
      </c>
      <c r="D79">
        <v>95</v>
      </c>
    </row>
    <row r="80" spans="3:4" x14ac:dyDescent="0.3">
      <c r="C80" s="4" t="s">
        <v>57</v>
      </c>
      <c r="D80">
        <v>11.25</v>
      </c>
    </row>
    <row r="81" spans="3:4" x14ac:dyDescent="0.3">
      <c r="C81" s="3" t="s">
        <v>448</v>
      </c>
      <c r="D81">
        <v>-258</v>
      </c>
    </row>
    <row r="82" spans="3:4" x14ac:dyDescent="0.3">
      <c r="C82" s="4" t="s">
        <v>22</v>
      </c>
      <c r="D82">
        <v>-258</v>
      </c>
    </row>
    <row r="83" spans="3:4" x14ac:dyDescent="0.3">
      <c r="C83" s="3" t="s">
        <v>327</v>
      </c>
      <c r="D83">
        <v>160.19999999999999</v>
      </c>
    </row>
    <row r="84" spans="3:4" x14ac:dyDescent="0.3">
      <c r="C84" s="4" t="s">
        <v>22</v>
      </c>
      <c r="D84">
        <v>160.19999999999999</v>
      </c>
    </row>
    <row r="85" spans="3:4" x14ac:dyDescent="0.3">
      <c r="C85" s="3" t="s">
        <v>88</v>
      </c>
      <c r="D85">
        <v>45</v>
      </c>
    </row>
    <row r="86" spans="3:4" x14ac:dyDescent="0.3">
      <c r="C86" s="4" t="s">
        <v>22</v>
      </c>
      <c r="D86">
        <v>45</v>
      </c>
    </row>
    <row r="87" spans="3:4" x14ac:dyDescent="0.3">
      <c r="C87" s="3" t="s">
        <v>235</v>
      </c>
      <c r="D87">
        <v>267</v>
      </c>
    </row>
    <row r="88" spans="3:4" x14ac:dyDescent="0.3">
      <c r="C88" s="4" t="s">
        <v>22</v>
      </c>
      <c r="D88">
        <v>267</v>
      </c>
    </row>
    <row r="89" spans="3:4" x14ac:dyDescent="0.3">
      <c r="C89" s="3" t="s">
        <v>162</v>
      </c>
      <c r="D89">
        <v>95</v>
      </c>
    </row>
    <row r="90" spans="3:4" x14ac:dyDescent="0.3">
      <c r="C90" s="4" t="s">
        <v>22</v>
      </c>
      <c r="D90">
        <v>95</v>
      </c>
    </row>
    <row r="91" spans="3:4" x14ac:dyDescent="0.3">
      <c r="C91" s="3" t="s">
        <v>177</v>
      </c>
      <c r="D91">
        <v>387</v>
      </c>
    </row>
    <row r="92" spans="3:4" x14ac:dyDescent="0.3">
      <c r="C92" s="4" t="s">
        <v>22</v>
      </c>
      <c r="D92">
        <v>387</v>
      </c>
    </row>
    <row r="93" spans="3:4" x14ac:dyDescent="0.3">
      <c r="C93" s="3" t="s">
        <v>281</v>
      </c>
      <c r="D93">
        <v>-258</v>
      </c>
    </row>
    <row r="94" spans="3:4" x14ac:dyDescent="0.3">
      <c r="C94" s="4" t="s">
        <v>22</v>
      </c>
      <c r="D94">
        <v>-258</v>
      </c>
    </row>
    <row r="95" spans="3:4" x14ac:dyDescent="0.3">
      <c r="C95" s="3" t="s">
        <v>429</v>
      </c>
      <c r="D95">
        <v>71.099999999999994</v>
      </c>
    </row>
    <row r="96" spans="3:4" x14ac:dyDescent="0.3">
      <c r="C96" s="4" t="s">
        <v>57</v>
      </c>
      <c r="D96">
        <v>71.099999999999994</v>
      </c>
    </row>
    <row r="97" spans="3:4" x14ac:dyDescent="0.3">
      <c r="C97" s="3" t="s">
        <v>386</v>
      </c>
      <c r="D97">
        <v>134.1</v>
      </c>
    </row>
    <row r="98" spans="3:4" x14ac:dyDescent="0.3">
      <c r="C98" s="4" t="s">
        <v>57</v>
      </c>
      <c r="D98">
        <v>134.1</v>
      </c>
    </row>
    <row r="99" spans="3:4" x14ac:dyDescent="0.3">
      <c r="C99" s="3" t="s">
        <v>214</v>
      </c>
      <c r="D99">
        <v>306.10000000000002</v>
      </c>
    </row>
    <row r="100" spans="3:4" x14ac:dyDescent="0.3">
      <c r="C100" s="4" t="s">
        <v>22</v>
      </c>
      <c r="D100">
        <v>306.10000000000002</v>
      </c>
    </row>
    <row r="101" spans="3:4" x14ac:dyDescent="0.3">
      <c r="C101" s="3" t="s">
        <v>369</v>
      </c>
      <c r="D101">
        <v>677.25</v>
      </c>
    </row>
    <row r="102" spans="3:4" x14ac:dyDescent="0.3">
      <c r="C102" s="4" t="s">
        <v>22</v>
      </c>
      <c r="D102">
        <v>328.95</v>
      </c>
    </row>
    <row r="103" spans="3:4" x14ac:dyDescent="0.3">
      <c r="C103" s="4" t="s">
        <v>57</v>
      </c>
      <c r="D103">
        <v>348.3</v>
      </c>
    </row>
    <row r="104" spans="3:4" x14ac:dyDescent="0.3">
      <c r="C104" s="3" t="s">
        <v>298</v>
      </c>
      <c r="D104">
        <v>235</v>
      </c>
    </row>
    <row r="105" spans="3:4" x14ac:dyDescent="0.3">
      <c r="C105" s="4" t="s">
        <v>22</v>
      </c>
      <c r="D105">
        <v>45</v>
      </c>
    </row>
    <row r="106" spans="3:4" x14ac:dyDescent="0.3">
      <c r="C106" s="4" t="s">
        <v>57</v>
      </c>
      <c r="D106">
        <v>190</v>
      </c>
    </row>
    <row r="107" spans="3:4" x14ac:dyDescent="0.3">
      <c r="C107" s="3" t="s">
        <v>208</v>
      </c>
      <c r="D107">
        <v>254.7</v>
      </c>
    </row>
    <row r="108" spans="3:4" x14ac:dyDescent="0.3">
      <c r="C108" s="4" t="s">
        <v>22</v>
      </c>
      <c r="D108">
        <v>254.7</v>
      </c>
    </row>
    <row r="109" spans="3:4" x14ac:dyDescent="0.3">
      <c r="C109" s="3" t="s">
        <v>268</v>
      </c>
      <c r="D109">
        <v>85.5</v>
      </c>
    </row>
    <row r="110" spans="3:4" x14ac:dyDescent="0.3">
      <c r="C110" s="4" t="s">
        <v>22</v>
      </c>
      <c r="D110">
        <v>85.5</v>
      </c>
    </row>
    <row r="111" spans="3:4" x14ac:dyDescent="0.3">
      <c r="C111" s="3" t="s">
        <v>99</v>
      </c>
      <c r="D111">
        <v>160.1</v>
      </c>
    </row>
    <row r="112" spans="3:4" x14ac:dyDescent="0.3">
      <c r="C112" s="4" t="s">
        <v>22</v>
      </c>
      <c r="D112">
        <v>71.099999999999994</v>
      </c>
    </row>
    <row r="113" spans="3:4" x14ac:dyDescent="0.3">
      <c r="C113" s="4" t="s">
        <v>57</v>
      </c>
      <c r="D113">
        <v>89</v>
      </c>
    </row>
    <row r="114" spans="3:4" x14ac:dyDescent="0.3">
      <c r="C114" s="3" t="s">
        <v>38</v>
      </c>
      <c r="D114">
        <v>95.1</v>
      </c>
    </row>
    <row r="115" spans="3:4" x14ac:dyDescent="0.3">
      <c r="C115" s="4" t="s">
        <v>22</v>
      </c>
      <c r="D115">
        <v>95.1</v>
      </c>
    </row>
    <row r="116" spans="3:4" x14ac:dyDescent="0.3">
      <c r="C116" s="3" t="s">
        <v>394</v>
      </c>
      <c r="D116">
        <v>497.3</v>
      </c>
    </row>
    <row r="117" spans="3:4" x14ac:dyDescent="0.3">
      <c r="C117" s="4" t="s">
        <v>22</v>
      </c>
      <c r="D117">
        <v>497.3</v>
      </c>
    </row>
    <row r="118" spans="3:4" x14ac:dyDescent="0.3">
      <c r="C118" s="3" t="s">
        <v>217</v>
      </c>
      <c r="D118">
        <v>239</v>
      </c>
    </row>
    <row r="119" spans="3:4" x14ac:dyDescent="0.3">
      <c r="C119" s="4" t="s">
        <v>22</v>
      </c>
      <c r="D119">
        <v>81</v>
      </c>
    </row>
    <row r="120" spans="3:4" x14ac:dyDescent="0.3">
      <c r="C120" s="4" t="s">
        <v>57</v>
      </c>
      <c r="D120">
        <v>158</v>
      </c>
    </row>
    <row r="121" spans="3:4" x14ac:dyDescent="0.3">
      <c r="C121" s="3" t="s">
        <v>124</v>
      </c>
      <c r="D121">
        <v>216.7</v>
      </c>
    </row>
    <row r="122" spans="3:4" x14ac:dyDescent="0.3">
      <c r="C122" s="4" t="s">
        <v>22</v>
      </c>
      <c r="D122">
        <v>116.1</v>
      </c>
    </row>
    <row r="123" spans="3:4" x14ac:dyDescent="0.3">
      <c r="C123" s="4" t="s">
        <v>57</v>
      </c>
      <c r="D123">
        <v>100.6</v>
      </c>
    </row>
    <row r="124" spans="3:4" x14ac:dyDescent="0.3">
      <c r="C124" s="3" t="s">
        <v>483</v>
      </c>
      <c r="D124">
        <v>45</v>
      </c>
    </row>
    <row r="125" spans="3:4" x14ac:dyDescent="0.3">
      <c r="C125" s="4" t="s">
        <v>22</v>
      </c>
      <c r="D125">
        <v>45</v>
      </c>
    </row>
    <row r="126" spans="3:4" x14ac:dyDescent="0.3">
      <c r="C126" s="3" t="s">
        <v>376</v>
      </c>
      <c r="D126">
        <v>288.59999999999997</v>
      </c>
    </row>
    <row r="127" spans="3:4" x14ac:dyDescent="0.3">
      <c r="C127" s="4" t="s">
        <v>22</v>
      </c>
      <c r="D127">
        <v>288.59999999999997</v>
      </c>
    </row>
    <row r="128" spans="3:4" x14ac:dyDescent="0.3">
      <c r="C128" s="3" t="s">
        <v>232</v>
      </c>
      <c r="D128">
        <v>237</v>
      </c>
    </row>
    <row r="129" spans="3:4" x14ac:dyDescent="0.3">
      <c r="C129" s="4" t="s">
        <v>22</v>
      </c>
      <c r="D129">
        <v>237</v>
      </c>
    </row>
    <row r="130" spans="3:4" x14ac:dyDescent="0.3">
      <c r="C130" s="3" t="s">
        <v>397</v>
      </c>
      <c r="D130">
        <v>174.6</v>
      </c>
    </row>
    <row r="131" spans="3:4" x14ac:dyDescent="0.3">
      <c r="C131" s="4" t="s">
        <v>22</v>
      </c>
      <c r="D131">
        <v>174.6</v>
      </c>
    </row>
    <row r="132" spans="3:4" x14ac:dyDescent="0.3">
      <c r="C132" s="3" t="s">
        <v>147</v>
      </c>
      <c r="D132">
        <v>25</v>
      </c>
    </row>
    <row r="133" spans="3:4" x14ac:dyDescent="0.3">
      <c r="C133" s="4" t="s">
        <v>22</v>
      </c>
      <c r="D133">
        <v>25</v>
      </c>
    </row>
    <row r="134" spans="3:4" x14ac:dyDescent="0.3">
      <c r="C134" s="3" t="s">
        <v>92</v>
      </c>
      <c r="D134">
        <v>271.79999999999995</v>
      </c>
    </row>
    <row r="135" spans="3:4" x14ac:dyDescent="0.3">
      <c r="C135" s="4" t="s">
        <v>22</v>
      </c>
      <c r="D135">
        <v>271.79999999999995</v>
      </c>
    </row>
    <row r="136" spans="3:4" x14ac:dyDescent="0.3">
      <c r="C136" s="3" t="s">
        <v>413</v>
      </c>
      <c r="D136">
        <v>95</v>
      </c>
    </row>
    <row r="137" spans="3:4" x14ac:dyDescent="0.3">
      <c r="C137" s="4" t="s">
        <v>57</v>
      </c>
      <c r="D137">
        <v>95</v>
      </c>
    </row>
    <row r="138" spans="3:4" x14ac:dyDescent="0.3">
      <c r="C138" s="3" t="s">
        <v>200</v>
      </c>
      <c r="D138">
        <v>306</v>
      </c>
    </row>
    <row r="139" spans="3:4" x14ac:dyDescent="0.3">
      <c r="C139" s="4" t="s">
        <v>22</v>
      </c>
      <c r="D139">
        <v>306</v>
      </c>
    </row>
    <row r="140" spans="3:4" x14ac:dyDescent="0.3">
      <c r="C140" s="3" t="s">
        <v>309</v>
      </c>
      <c r="D140">
        <v>11.25</v>
      </c>
    </row>
    <row r="141" spans="3:4" x14ac:dyDescent="0.3">
      <c r="C141" s="4" t="s">
        <v>22</v>
      </c>
      <c r="D141">
        <v>11.25</v>
      </c>
    </row>
    <row r="142" spans="3:4" x14ac:dyDescent="0.3">
      <c r="C142" s="3" t="s">
        <v>507</v>
      </c>
      <c r="D142">
        <v>447</v>
      </c>
    </row>
    <row r="143" spans="3:4" x14ac:dyDescent="0.3">
      <c r="C143" s="4" t="s">
        <v>22</v>
      </c>
      <c r="D143">
        <v>447</v>
      </c>
    </row>
    <row r="144" spans="3:4" x14ac:dyDescent="0.3">
      <c r="C144" s="3" t="s">
        <v>381</v>
      </c>
      <c r="D144">
        <v>267</v>
      </c>
    </row>
    <row r="145" spans="3:4" x14ac:dyDescent="0.3">
      <c r="C145" s="4" t="s">
        <v>57</v>
      </c>
      <c r="D145">
        <v>267</v>
      </c>
    </row>
    <row r="146" spans="3:4" x14ac:dyDescent="0.3">
      <c r="C146" s="3" t="s">
        <v>319</v>
      </c>
      <c r="D146">
        <v>21.6</v>
      </c>
    </row>
    <row r="147" spans="3:4" x14ac:dyDescent="0.3">
      <c r="C147" s="4" t="s">
        <v>22</v>
      </c>
      <c r="D147">
        <v>21.6</v>
      </c>
    </row>
    <row r="148" spans="3:4" x14ac:dyDescent="0.3">
      <c r="C148" s="3" t="s">
        <v>136</v>
      </c>
      <c r="D148">
        <v>301.2</v>
      </c>
    </row>
    <row r="149" spans="3:4" x14ac:dyDescent="0.3">
      <c r="C149" s="4" t="s">
        <v>22</v>
      </c>
      <c r="D149">
        <v>301.2</v>
      </c>
    </row>
    <row r="150" spans="3:4" x14ac:dyDescent="0.3">
      <c r="C150" s="3" t="s">
        <v>195</v>
      </c>
      <c r="D150">
        <v>268.3</v>
      </c>
    </row>
    <row r="151" spans="3:4" x14ac:dyDescent="0.3">
      <c r="C151" s="4" t="s">
        <v>22</v>
      </c>
      <c r="D151">
        <v>268.3</v>
      </c>
    </row>
    <row r="152" spans="3:4" x14ac:dyDescent="0.3">
      <c r="C152" s="3" t="s">
        <v>189</v>
      </c>
      <c r="D152">
        <v>327.2</v>
      </c>
    </row>
    <row r="153" spans="3:4" x14ac:dyDescent="0.3">
      <c r="C153" s="4" t="s">
        <v>22</v>
      </c>
      <c r="D153">
        <v>95</v>
      </c>
    </row>
    <row r="154" spans="3:4" x14ac:dyDescent="0.3">
      <c r="C154" s="4" t="s">
        <v>57</v>
      </c>
      <c r="D154">
        <v>232.2</v>
      </c>
    </row>
    <row r="155" spans="3:4" x14ac:dyDescent="0.3">
      <c r="C155" s="3" t="s">
        <v>51</v>
      </c>
      <c r="D155">
        <v>69</v>
      </c>
    </row>
    <row r="156" spans="3:4" x14ac:dyDescent="0.3">
      <c r="C156" s="4" t="s">
        <v>22</v>
      </c>
      <c r="D156">
        <v>69</v>
      </c>
    </row>
    <row r="157" spans="3:4" x14ac:dyDescent="0.3">
      <c r="C157" s="3" t="s">
        <v>31</v>
      </c>
      <c r="D157">
        <v>180</v>
      </c>
    </row>
    <row r="158" spans="3:4" x14ac:dyDescent="0.3">
      <c r="C158" s="4" t="s">
        <v>22</v>
      </c>
      <c r="D158">
        <v>180</v>
      </c>
    </row>
    <row r="159" spans="3:4" x14ac:dyDescent="0.3">
      <c r="C159" s="3" t="s">
        <v>192</v>
      </c>
      <c r="D159">
        <v>178</v>
      </c>
    </row>
    <row r="160" spans="3:4" x14ac:dyDescent="0.3">
      <c r="C160" s="4" t="s">
        <v>22</v>
      </c>
      <c r="D160">
        <v>178</v>
      </c>
    </row>
    <row r="161" spans="3:4" x14ac:dyDescent="0.3">
      <c r="C161" s="3" t="s">
        <v>144</v>
      </c>
      <c r="D161">
        <v>676.2</v>
      </c>
    </row>
    <row r="162" spans="3:4" x14ac:dyDescent="0.3">
      <c r="C162" s="4" t="s">
        <v>22</v>
      </c>
      <c r="D162">
        <v>676.2</v>
      </c>
    </row>
    <row r="163" spans="3:4" x14ac:dyDescent="0.3">
      <c r="C163" s="3" t="s">
        <v>205</v>
      </c>
      <c r="D163">
        <v>48.75</v>
      </c>
    </row>
    <row r="164" spans="3:4" x14ac:dyDescent="0.3">
      <c r="C164" s="4" t="s">
        <v>22</v>
      </c>
      <c r="D164">
        <v>48.75</v>
      </c>
    </row>
    <row r="165" spans="3:4" x14ac:dyDescent="0.3">
      <c r="C165" s="3" t="s">
        <v>67</v>
      </c>
      <c r="D165">
        <v>235.6</v>
      </c>
    </row>
    <row r="166" spans="3:4" x14ac:dyDescent="0.3">
      <c r="C166" s="4" t="s">
        <v>22</v>
      </c>
      <c r="D166">
        <v>45.6</v>
      </c>
    </row>
    <row r="167" spans="3:4" x14ac:dyDescent="0.3">
      <c r="C167" s="4" t="s">
        <v>57</v>
      </c>
      <c r="D167">
        <v>190</v>
      </c>
    </row>
    <row r="168" spans="3:4" x14ac:dyDescent="0.3">
      <c r="C168" s="3" t="s">
        <v>253</v>
      </c>
      <c r="D168">
        <v>12.5</v>
      </c>
    </row>
    <row r="169" spans="3:4" x14ac:dyDescent="0.3">
      <c r="C169" s="4" t="s">
        <v>22</v>
      </c>
      <c r="D169">
        <v>12.5</v>
      </c>
    </row>
    <row r="170" spans="3:4" x14ac:dyDescent="0.3">
      <c r="C170" s="3" t="s">
        <v>139</v>
      </c>
      <c r="D170">
        <v>232.6</v>
      </c>
    </row>
    <row r="171" spans="3:4" x14ac:dyDescent="0.3">
      <c r="C171" s="4" t="s">
        <v>22</v>
      </c>
      <c r="D171">
        <v>83.6</v>
      </c>
    </row>
    <row r="172" spans="3:4" x14ac:dyDescent="0.3">
      <c r="C172" s="4" t="s">
        <v>57</v>
      </c>
      <c r="D172">
        <v>149</v>
      </c>
    </row>
    <row r="173" spans="3:4" x14ac:dyDescent="0.3">
      <c r="C173" s="3" t="s">
        <v>366</v>
      </c>
      <c r="D173">
        <v>45</v>
      </c>
    </row>
    <row r="174" spans="3:4" x14ac:dyDescent="0.3">
      <c r="C174" s="4" t="s">
        <v>57</v>
      </c>
      <c r="D174">
        <v>45</v>
      </c>
    </row>
    <row r="175" spans="3:4" x14ac:dyDescent="0.3">
      <c r="C175" s="3" t="s">
        <v>360</v>
      </c>
      <c r="D175">
        <v>45</v>
      </c>
    </row>
    <row r="176" spans="3:4" x14ac:dyDescent="0.3">
      <c r="C176" s="4" t="s">
        <v>22</v>
      </c>
      <c r="D176">
        <v>45</v>
      </c>
    </row>
    <row r="177" spans="3:4" x14ac:dyDescent="0.3">
      <c r="C177" s="3" t="s">
        <v>486</v>
      </c>
      <c r="D177">
        <v>45</v>
      </c>
    </row>
    <row r="178" spans="3:4" x14ac:dyDescent="0.3">
      <c r="C178" s="4" t="s">
        <v>22</v>
      </c>
      <c r="D178">
        <v>45</v>
      </c>
    </row>
    <row r="179" spans="3:4" x14ac:dyDescent="0.3">
      <c r="C179" s="3" t="s">
        <v>174</v>
      </c>
      <c r="D179">
        <v>80.099999999999994</v>
      </c>
    </row>
    <row r="180" spans="3:4" x14ac:dyDescent="0.3">
      <c r="C180" s="4" t="s">
        <v>22</v>
      </c>
      <c r="D180">
        <v>80.099999999999994</v>
      </c>
    </row>
    <row r="181" spans="3:4" x14ac:dyDescent="0.3">
      <c r="C181" s="3" t="s">
        <v>261</v>
      </c>
      <c r="D181">
        <v>79</v>
      </c>
    </row>
    <row r="182" spans="3:4" x14ac:dyDescent="0.3">
      <c r="C182" s="4" t="s">
        <v>22</v>
      </c>
      <c r="D182">
        <v>79</v>
      </c>
    </row>
    <row r="183" spans="3:4" x14ac:dyDescent="0.3">
      <c r="C183" s="3" t="s">
        <v>15</v>
      </c>
      <c r="D183">
        <v>163</v>
      </c>
    </row>
    <row r="184" spans="3:4" x14ac:dyDescent="0.3">
      <c r="C184" s="4" t="s">
        <v>22</v>
      </c>
      <c r="D184">
        <v>163</v>
      </c>
    </row>
    <row r="185" spans="3:4" x14ac:dyDescent="0.3">
      <c r="C185" s="3" t="s">
        <v>24</v>
      </c>
      <c r="D185">
        <v>567.9</v>
      </c>
    </row>
    <row r="186" spans="3:4" x14ac:dyDescent="0.3">
      <c r="C186" s="4" t="s">
        <v>22</v>
      </c>
      <c r="D186">
        <v>567.9</v>
      </c>
    </row>
    <row r="187" spans="3:4" x14ac:dyDescent="0.3">
      <c r="C187" s="3" t="s">
        <v>95</v>
      </c>
      <c r="D187">
        <v>590.4</v>
      </c>
    </row>
    <row r="188" spans="3:4" x14ac:dyDescent="0.3">
      <c r="C188" s="4" t="s">
        <v>22</v>
      </c>
      <c r="D188">
        <v>590.4</v>
      </c>
    </row>
    <row r="189" spans="3:4" x14ac:dyDescent="0.3">
      <c r="C189" s="3" t="s">
        <v>229</v>
      </c>
      <c r="D189">
        <v>33.75</v>
      </c>
    </row>
    <row r="190" spans="3:4" x14ac:dyDescent="0.3">
      <c r="C190" s="4" t="s">
        <v>22</v>
      </c>
      <c r="D190">
        <v>33.75</v>
      </c>
    </row>
    <row r="191" spans="3:4" x14ac:dyDescent="0.3">
      <c r="C191" s="3" t="s">
        <v>284</v>
      </c>
      <c r="D191">
        <v>79</v>
      </c>
    </row>
    <row r="192" spans="3:4" x14ac:dyDescent="0.3">
      <c r="C192" s="4" t="s">
        <v>22</v>
      </c>
      <c r="D192">
        <v>79</v>
      </c>
    </row>
    <row r="193" spans="3:4" x14ac:dyDescent="0.3">
      <c r="C193" s="3" t="s">
        <v>186</v>
      </c>
      <c r="D193">
        <v>374</v>
      </c>
    </row>
    <row r="194" spans="3:4" x14ac:dyDescent="0.3">
      <c r="C194" s="4" t="s">
        <v>22</v>
      </c>
      <c r="D194">
        <v>89</v>
      </c>
    </row>
    <row r="195" spans="3:4" x14ac:dyDescent="0.3">
      <c r="C195" s="4" t="s">
        <v>57</v>
      </c>
      <c r="D195">
        <v>285</v>
      </c>
    </row>
    <row r="196" spans="3:4" x14ac:dyDescent="0.3">
      <c r="C196" s="3" t="s">
        <v>434</v>
      </c>
      <c r="D196">
        <v>285</v>
      </c>
    </row>
    <row r="197" spans="3:4" x14ac:dyDescent="0.3">
      <c r="C197" s="4" t="s">
        <v>57</v>
      </c>
      <c r="D197">
        <v>285</v>
      </c>
    </row>
    <row r="198" spans="3:4" x14ac:dyDescent="0.3">
      <c r="C198" s="3" t="s">
        <v>45</v>
      </c>
      <c r="D198">
        <v>289.8</v>
      </c>
    </row>
    <row r="199" spans="3:4" x14ac:dyDescent="0.3">
      <c r="C199" s="4" t="s">
        <v>22</v>
      </c>
      <c r="D199">
        <v>21.6</v>
      </c>
    </row>
    <row r="200" spans="3:4" x14ac:dyDescent="0.3">
      <c r="C200" s="4" t="s">
        <v>57</v>
      </c>
      <c r="D200">
        <v>268.2</v>
      </c>
    </row>
    <row r="201" spans="3:4" x14ac:dyDescent="0.3">
      <c r="C201" s="3" t="s">
        <v>165</v>
      </c>
      <c r="D201">
        <v>33.75</v>
      </c>
    </row>
    <row r="202" spans="3:4" x14ac:dyDescent="0.3">
      <c r="C202" s="4" t="s">
        <v>22</v>
      </c>
      <c r="D202">
        <v>33.75</v>
      </c>
    </row>
    <row r="203" spans="3:4" x14ac:dyDescent="0.3">
      <c r="C203" s="3" t="s">
        <v>389</v>
      </c>
      <c r="D203">
        <v>387</v>
      </c>
    </row>
    <row r="204" spans="3:4" x14ac:dyDescent="0.3">
      <c r="C204" s="4" t="s">
        <v>57</v>
      </c>
      <c r="D204">
        <v>387</v>
      </c>
    </row>
    <row r="205" spans="3:4" x14ac:dyDescent="0.3">
      <c r="C205" s="3" t="s">
        <v>83</v>
      </c>
      <c r="D205">
        <v>387</v>
      </c>
    </row>
    <row r="206" spans="3:4" x14ac:dyDescent="0.3">
      <c r="C206" s="4" t="s">
        <v>22</v>
      </c>
      <c r="D206">
        <v>387</v>
      </c>
    </row>
    <row r="207" spans="3:4" x14ac:dyDescent="0.3">
      <c r="C207" s="3" t="s">
        <v>357</v>
      </c>
      <c r="D207">
        <v>101.25</v>
      </c>
    </row>
    <row r="208" spans="3:4" x14ac:dyDescent="0.3">
      <c r="C208" s="4" t="s">
        <v>22</v>
      </c>
      <c r="D208">
        <v>11.25</v>
      </c>
    </row>
    <row r="209" spans="3:4" x14ac:dyDescent="0.3">
      <c r="C209" s="4" t="s">
        <v>57</v>
      </c>
      <c r="D209">
        <v>90</v>
      </c>
    </row>
    <row r="210" spans="3:4" x14ac:dyDescent="0.3">
      <c r="C210" s="3" t="s">
        <v>70</v>
      </c>
      <c r="D210">
        <v>90</v>
      </c>
    </row>
    <row r="211" spans="3:4" x14ac:dyDescent="0.3">
      <c r="C211" s="4" t="s">
        <v>22</v>
      </c>
      <c r="D211">
        <v>90</v>
      </c>
    </row>
    <row r="212" spans="3:4" x14ac:dyDescent="0.3">
      <c r="C212" s="3" t="s">
        <v>180</v>
      </c>
      <c r="D212">
        <v>258</v>
      </c>
    </row>
    <row r="213" spans="3:4" x14ac:dyDescent="0.3">
      <c r="C213" s="4" t="s">
        <v>22</v>
      </c>
      <c r="D213">
        <v>258</v>
      </c>
    </row>
    <row r="214" spans="3:4" x14ac:dyDescent="0.3">
      <c r="C214" s="3" t="s">
        <v>290</v>
      </c>
      <c r="D214">
        <v>447</v>
      </c>
    </row>
    <row r="215" spans="3:4" x14ac:dyDescent="0.3">
      <c r="C215" s="4" t="s">
        <v>57</v>
      </c>
      <c r="D215">
        <v>447</v>
      </c>
    </row>
    <row r="216" spans="3:4" x14ac:dyDescent="0.3">
      <c r="C216" s="3" t="s">
        <v>512</v>
      </c>
      <c r="D216">
        <v>190</v>
      </c>
    </row>
    <row r="217" spans="3:4" x14ac:dyDescent="0.3">
      <c r="C217" s="4" t="s">
        <v>57</v>
      </c>
      <c r="D217">
        <v>190</v>
      </c>
    </row>
    <row r="218" spans="3:4" x14ac:dyDescent="0.3">
      <c r="C218" s="3" t="s">
        <v>537</v>
      </c>
      <c r="D218">
        <v>447</v>
      </c>
    </row>
    <row r="219" spans="3:4" x14ac:dyDescent="0.3">
      <c r="C219" s="4" t="s">
        <v>57</v>
      </c>
      <c r="D219">
        <v>447</v>
      </c>
    </row>
    <row r="220" spans="3:4" x14ac:dyDescent="0.3">
      <c r="C220" s="3" t="s">
        <v>342</v>
      </c>
      <c r="D220">
        <v>396</v>
      </c>
    </row>
    <row r="221" spans="3:4" x14ac:dyDescent="0.3">
      <c r="C221" s="4" t="s">
        <v>22</v>
      </c>
      <c r="D221">
        <v>396</v>
      </c>
    </row>
    <row r="222" spans="3:4" x14ac:dyDescent="0.3">
      <c r="C222" s="3" t="s">
        <v>354</v>
      </c>
      <c r="D222">
        <v>397.2</v>
      </c>
    </row>
    <row r="223" spans="3:4" x14ac:dyDescent="0.3">
      <c r="C223" s="4" t="s">
        <v>22</v>
      </c>
      <c r="D223">
        <v>397.2</v>
      </c>
    </row>
    <row r="224" spans="3:4" x14ac:dyDescent="0.3">
      <c r="C224" s="3" t="s">
        <v>271</v>
      </c>
      <c r="D224">
        <v>152.1</v>
      </c>
    </row>
    <row r="225" spans="3:4" x14ac:dyDescent="0.3">
      <c r="C225" s="4" t="s">
        <v>22</v>
      </c>
      <c r="D225">
        <v>152.1</v>
      </c>
    </row>
    <row r="226" spans="3:4" x14ac:dyDescent="0.3">
      <c r="C226" s="3" t="s">
        <v>102</v>
      </c>
      <c r="D226">
        <v>863</v>
      </c>
    </row>
    <row r="227" spans="3:4" x14ac:dyDescent="0.3">
      <c r="C227" s="4" t="s">
        <v>22</v>
      </c>
      <c r="D227">
        <v>863</v>
      </c>
    </row>
    <row r="228" spans="3:4" x14ac:dyDescent="0.3">
      <c r="C228" s="3" t="s">
        <v>345</v>
      </c>
      <c r="D228">
        <v>190</v>
      </c>
    </row>
    <row r="229" spans="3:4" x14ac:dyDescent="0.3">
      <c r="C229" s="4" t="s">
        <v>22</v>
      </c>
      <c r="D229">
        <v>190</v>
      </c>
    </row>
    <row r="230" spans="3:4" x14ac:dyDescent="0.3">
      <c r="C230" s="3" t="s">
        <v>443</v>
      </c>
      <c r="D230">
        <v>45</v>
      </c>
    </row>
    <row r="231" spans="3:4" x14ac:dyDescent="0.3">
      <c r="C231" s="4" t="s">
        <v>22</v>
      </c>
      <c r="D231">
        <v>45</v>
      </c>
    </row>
    <row r="232" spans="3:4" x14ac:dyDescent="0.3">
      <c r="C232" s="3" t="s">
        <v>183</v>
      </c>
      <c r="D232">
        <v>171</v>
      </c>
    </row>
    <row r="233" spans="3:4" x14ac:dyDescent="0.3">
      <c r="C233" s="4" t="s">
        <v>57</v>
      </c>
      <c r="D233">
        <v>171</v>
      </c>
    </row>
    <row r="234" spans="3:4" x14ac:dyDescent="0.3">
      <c r="C234" s="3" t="s">
        <v>211</v>
      </c>
      <c r="D234">
        <v>171</v>
      </c>
    </row>
    <row r="235" spans="3:4" x14ac:dyDescent="0.3">
      <c r="C235" s="4" t="s">
        <v>22</v>
      </c>
      <c r="D235">
        <v>171</v>
      </c>
    </row>
    <row r="236" spans="3:4" x14ac:dyDescent="0.3">
      <c r="C236" s="3" t="s">
        <v>489</v>
      </c>
      <c r="D236">
        <v>374</v>
      </c>
    </row>
    <row r="237" spans="3:4" x14ac:dyDescent="0.3">
      <c r="C237" s="4" t="s">
        <v>57</v>
      </c>
      <c r="D237">
        <v>374</v>
      </c>
    </row>
    <row r="238" spans="3:4" x14ac:dyDescent="0.3">
      <c r="C238" s="3" t="s">
        <v>527</v>
      </c>
      <c r="D238">
        <v>121.5</v>
      </c>
    </row>
    <row r="239" spans="3:4" x14ac:dyDescent="0.3">
      <c r="C239" s="4" t="s">
        <v>22</v>
      </c>
      <c r="D239">
        <v>121.5</v>
      </c>
    </row>
    <row r="240" spans="3:4" x14ac:dyDescent="0.3">
      <c r="C240" s="3" t="s">
        <v>322</v>
      </c>
      <c r="D240">
        <v>187.2</v>
      </c>
    </row>
    <row r="241" spans="3:4" x14ac:dyDescent="0.3">
      <c r="C241" s="4" t="s">
        <v>22</v>
      </c>
      <c r="D241">
        <v>142.19999999999999</v>
      </c>
    </row>
    <row r="242" spans="3:4" x14ac:dyDescent="0.3">
      <c r="C242" s="4" t="s">
        <v>57</v>
      </c>
      <c r="D242">
        <v>45</v>
      </c>
    </row>
    <row r="243" spans="3:4" x14ac:dyDescent="0.3">
      <c r="C243" s="3" t="s">
        <v>55</v>
      </c>
      <c r="D243">
        <v>301.5</v>
      </c>
    </row>
    <row r="244" spans="3:4" x14ac:dyDescent="0.3">
      <c r="C244" s="4" t="s">
        <v>57</v>
      </c>
      <c r="D244">
        <v>301.5</v>
      </c>
    </row>
    <row r="245" spans="3:4" x14ac:dyDescent="0.3">
      <c r="C245" s="3" t="s">
        <v>287</v>
      </c>
      <c r="D245">
        <v>190</v>
      </c>
    </row>
    <row r="246" spans="3:4" x14ac:dyDescent="0.3">
      <c r="C246" s="4" t="s">
        <v>22</v>
      </c>
      <c r="D246">
        <v>190</v>
      </c>
    </row>
    <row r="247" spans="3:4" x14ac:dyDescent="0.3">
      <c r="C247" s="3" t="s">
        <v>333</v>
      </c>
      <c r="D247">
        <v>159</v>
      </c>
    </row>
    <row r="248" spans="3:4" x14ac:dyDescent="0.3">
      <c r="C248" s="4" t="s">
        <v>22</v>
      </c>
      <c r="D248">
        <v>159</v>
      </c>
    </row>
    <row r="249" spans="3:4" x14ac:dyDescent="0.3">
      <c r="C249" s="3" t="s">
        <v>301</v>
      </c>
      <c r="D249">
        <v>89</v>
      </c>
    </row>
    <row r="250" spans="3:4" x14ac:dyDescent="0.3">
      <c r="C250" s="4" t="s">
        <v>22</v>
      </c>
      <c r="D250">
        <v>89</v>
      </c>
    </row>
    <row r="251" spans="3:4" x14ac:dyDescent="0.3">
      <c r="C251" s="3" t="s">
        <v>202</v>
      </c>
      <c r="D251">
        <v>362.6</v>
      </c>
    </row>
    <row r="252" spans="3:4" x14ac:dyDescent="0.3">
      <c r="C252" s="4" t="s">
        <v>22</v>
      </c>
      <c r="D252">
        <v>290.60000000000002</v>
      </c>
    </row>
    <row r="253" spans="3:4" x14ac:dyDescent="0.3">
      <c r="C253" s="4" t="s">
        <v>57</v>
      </c>
      <c r="D253">
        <v>72</v>
      </c>
    </row>
    <row r="254" spans="3:4" x14ac:dyDescent="0.3">
      <c r="C254" s="3" t="s">
        <v>461</v>
      </c>
      <c r="D254">
        <v>484.29999999999995</v>
      </c>
    </row>
    <row r="255" spans="3:4" x14ac:dyDescent="0.3">
      <c r="C255" s="4" t="s">
        <v>22</v>
      </c>
      <c r="D255">
        <v>213.1</v>
      </c>
    </row>
    <row r="256" spans="3:4" x14ac:dyDescent="0.3">
      <c r="C256" s="4" t="s">
        <v>57</v>
      </c>
      <c r="D256">
        <v>271.2</v>
      </c>
    </row>
    <row r="257" spans="3:4" x14ac:dyDescent="0.3">
      <c r="C257" s="3" t="s">
        <v>168</v>
      </c>
      <c r="D257">
        <v>43.2</v>
      </c>
    </row>
    <row r="258" spans="3:4" x14ac:dyDescent="0.3">
      <c r="C258" s="4" t="s">
        <v>57</v>
      </c>
      <c r="D258">
        <v>43.2</v>
      </c>
    </row>
    <row r="259" spans="3:4" x14ac:dyDescent="0.3">
      <c r="C259" s="3" t="s">
        <v>363</v>
      </c>
      <c r="D259">
        <v>387</v>
      </c>
    </row>
    <row r="260" spans="3:4" x14ac:dyDescent="0.3">
      <c r="C260" s="4" t="s">
        <v>22</v>
      </c>
      <c r="D260">
        <v>387</v>
      </c>
    </row>
    <row r="261" spans="3:4" x14ac:dyDescent="0.3">
      <c r="C261" s="3" t="s">
        <v>110</v>
      </c>
      <c r="D261">
        <v>298</v>
      </c>
    </row>
    <row r="262" spans="3:4" x14ac:dyDescent="0.3">
      <c r="C262" s="4" t="s">
        <v>22</v>
      </c>
      <c r="D262">
        <v>298</v>
      </c>
    </row>
    <row r="263" spans="3:4" x14ac:dyDescent="0.3">
      <c r="C263" s="3" t="s">
        <v>107</v>
      </c>
      <c r="D263">
        <v>119.25</v>
      </c>
    </row>
    <row r="264" spans="3:4" x14ac:dyDescent="0.3">
      <c r="C264" s="4" t="s">
        <v>22</v>
      </c>
      <c r="D264">
        <v>119.25</v>
      </c>
    </row>
    <row r="265" spans="3:4" x14ac:dyDescent="0.3">
      <c r="C265" s="3" t="s">
        <v>504</v>
      </c>
      <c r="D265">
        <v>24</v>
      </c>
    </row>
    <row r="266" spans="3:4" x14ac:dyDescent="0.3">
      <c r="C266" s="4" t="s">
        <v>57</v>
      </c>
      <c r="D266">
        <v>24</v>
      </c>
    </row>
    <row r="267" spans="3:4" x14ac:dyDescent="0.3">
      <c r="C267" s="3" t="s">
        <v>533</v>
      </c>
      <c r="D267">
        <v>40.5</v>
      </c>
    </row>
    <row r="268" spans="3:4" x14ac:dyDescent="0.3">
      <c r="C268" s="4" t="s">
        <v>22</v>
      </c>
      <c r="D268">
        <v>40.5</v>
      </c>
    </row>
    <row r="269" spans="3:4" x14ac:dyDescent="0.3">
      <c r="C269" s="3" t="s">
        <v>220</v>
      </c>
      <c r="D269">
        <v>85.5</v>
      </c>
    </row>
    <row r="270" spans="3:4" x14ac:dyDescent="0.3">
      <c r="C270" s="4" t="s">
        <v>22</v>
      </c>
      <c r="D270">
        <v>85.5</v>
      </c>
    </row>
    <row r="271" spans="3:4" x14ac:dyDescent="0.3">
      <c r="C271" s="3" t="s">
        <v>540</v>
      </c>
      <c r="D271">
        <v>285</v>
      </c>
    </row>
    <row r="272" spans="3:4" x14ac:dyDescent="0.3">
      <c r="C272" s="4" t="s">
        <v>22</v>
      </c>
      <c r="D272">
        <v>285</v>
      </c>
    </row>
    <row r="273" spans="3:4" x14ac:dyDescent="0.3">
      <c r="C273" s="3" t="s">
        <v>316</v>
      </c>
      <c r="D273">
        <v>22.5</v>
      </c>
    </row>
    <row r="274" spans="3:4" x14ac:dyDescent="0.3">
      <c r="C274" s="4" t="s">
        <v>22</v>
      </c>
      <c r="D274">
        <v>22.5</v>
      </c>
    </row>
    <row r="275" spans="3:4" x14ac:dyDescent="0.3">
      <c r="C275" s="3" t="s">
        <v>426</v>
      </c>
      <c r="D275">
        <v>171</v>
      </c>
    </row>
    <row r="276" spans="3:4" x14ac:dyDescent="0.3">
      <c r="C276" s="4" t="s">
        <v>22</v>
      </c>
      <c r="D276">
        <v>171</v>
      </c>
    </row>
    <row r="277" spans="3:4" x14ac:dyDescent="0.3">
      <c r="C277" s="3" t="s">
        <v>156</v>
      </c>
      <c r="D277">
        <v>104</v>
      </c>
    </row>
    <row r="278" spans="3:4" x14ac:dyDescent="0.3">
      <c r="C278" s="4" t="s">
        <v>22</v>
      </c>
      <c r="D278">
        <v>-45</v>
      </c>
    </row>
    <row r="279" spans="3:4" x14ac:dyDescent="0.3">
      <c r="C279" s="4" t="s">
        <v>57</v>
      </c>
      <c r="D279">
        <v>149</v>
      </c>
    </row>
    <row r="280" spans="3:4" x14ac:dyDescent="0.3">
      <c r="C280" s="3" t="s">
        <v>416</v>
      </c>
      <c r="D280">
        <v>508.5</v>
      </c>
    </row>
    <row r="281" spans="3:4" x14ac:dyDescent="0.3">
      <c r="C281" s="4" t="s">
        <v>22</v>
      </c>
      <c r="D281">
        <v>508.5</v>
      </c>
    </row>
    <row r="282" spans="3:4" x14ac:dyDescent="0.3">
      <c r="C282" s="3" t="s">
        <v>130</v>
      </c>
      <c r="D282">
        <v>33.75</v>
      </c>
    </row>
    <row r="283" spans="3:4" x14ac:dyDescent="0.3">
      <c r="C283" s="4" t="s">
        <v>22</v>
      </c>
      <c r="D283">
        <v>33.75</v>
      </c>
    </row>
    <row r="284" spans="3:4" x14ac:dyDescent="0.3">
      <c r="C284" s="3" t="s">
        <v>250</v>
      </c>
      <c r="D284">
        <v>103.2</v>
      </c>
    </row>
    <row r="285" spans="3:4" x14ac:dyDescent="0.3">
      <c r="C285" s="4" t="s">
        <v>57</v>
      </c>
      <c r="D285">
        <v>103.2</v>
      </c>
    </row>
    <row r="286" spans="3:4" x14ac:dyDescent="0.3">
      <c r="C286" s="3" t="s">
        <v>127</v>
      </c>
      <c r="D286">
        <v>158</v>
      </c>
    </row>
    <row r="287" spans="3:4" x14ac:dyDescent="0.3">
      <c r="C287" s="4" t="s">
        <v>22</v>
      </c>
      <c r="D287">
        <v>158</v>
      </c>
    </row>
    <row r="288" spans="3:4" x14ac:dyDescent="0.3">
      <c r="C288" s="3" t="s">
        <v>572</v>
      </c>
      <c r="D288">
        <v>25704.050000000007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8905-C862-4F44-B17D-927EE917E935}">
  <dimension ref="A1:Q203"/>
  <sheetViews>
    <sheetView topLeftCell="D1" workbookViewId="0">
      <selection activeCell="Q7" sqref="Q7"/>
    </sheetView>
  </sheetViews>
  <sheetFormatPr defaultRowHeight="14.4" x14ac:dyDescent="0.3"/>
  <cols>
    <col min="1" max="1" width="11.33203125" bestFit="1" customWidth="1"/>
    <col min="2" max="2" width="12.5546875" bestFit="1" customWidth="1"/>
    <col min="3" max="3" width="25.88671875" bestFit="1" customWidth="1"/>
    <col min="4" max="4" width="14" bestFit="1" customWidth="1"/>
    <col min="5" max="5" width="10.77734375" bestFit="1" customWidth="1"/>
    <col min="6" max="6" width="13.77734375" bestFit="1" customWidth="1"/>
    <col min="7" max="7" width="17" bestFit="1" customWidth="1"/>
    <col min="8" max="8" width="10.33203125" bestFit="1" customWidth="1"/>
    <col min="9" max="9" width="11.6640625" bestFit="1" customWidth="1"/>
    <col min="10" max="10" width="12.6640625" bestFit="1" customWidth="1"/>
    <col min="12" max="12" width="10.5546875" bestFit="1" customWidth="1"/>
    <col min="13" max="13" width="9.6640625" bestFit="1" customWidth="1"/>
    <col min="14" max="14" width="17.33203125" bestFit="1" customWidth="1"/>
    <col min="15" max="15" width="12.6640625" customWidth="1"/>
    <col min="16" max="16" width="12" customWidth="1"/>
    <col min="17" max="17" width="15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562</v>
      </c>
      <c r="P1" t="s">
        <v>564</v>
      </c>
      <c r="Q1" t="s">
        <v>569</v>
      </c>
    </row>
    <row r="2" spans="1:17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>
        <v>45</v>
      </c>
      <c r="J2">
        <v>36</v>
      </c>
      <c r="K2">
        <v>520</v>
      </c>
      <c r="L2" t="s">
        <v>21</v>
      </c>
      <c r="M2" t="s">
        <v>22</v>
      </c>
      <c r="N2">
        <v>45</v>
      </c>
      <c r="O2">
        <f>SUM(J:J)</f>
        <v>25704.050000000003</v>
      </c>
      <c r="P2" s="1" t="s">
        <v>563</v>
      </c>
      <c r="Q2">
        <f>VLOOKUP(ecommerce_order__1[[#This Row],[product_sku]],F:J,5,FALSE)</f>
        <v>36</v>
      </c>
    </row>
    <row r="3" spans="1:17" x14ac:dyDescent="0.3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27</v>
      </c>
      <c r="G3" t="s">
        <v>28</v>
      </c>
      <c r="H3">
        <v>1</v>
      </c>
      <c r="I3">
        <v>71.099999999999994</v>
      </c>
      <c r="J3">
        <v>71.099999999999994</v>
      </c>
      <c r="K3">
        <v>0.52</v>
      </c>
      <c r="L3" t="s">
        <v>29</v>
      </c>
      <c r="M3" t="s">
        <v>22</v>
      </c>
      <c r="N3">
        <v>71.099999999999994</v>
      </c>
      <c r="O3">
        <f>MAX(J:J)</f>
        <v>447</v>
      </c>
      <c r="P3" s="1" t="s">
        <v>565</v>
      </c>
      <c r="Q3">
        <f>VLOOKUP(ecommerce_order__1[[#This Row],[product_sku]],F:J,5,FALSE)</f>
        <v>71.099999999999994</v>
      </c>
    </row>
    <row r="4" spans="1:17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v>1</v>
      </c>
      <c r="J4">
        <v>45</v>
      </c>
      <c r="K4">
        <v>8.5000000000000006E-2</v>
      </c>
      <c r="L4" t="s">
        <v>29</v>
      </c>
      <c r="M4" t="s">
        <v>22</v>
      </c>
      <c r="N4">
        <v>45</v>
      </c>
      <c r="O4">
        <f>MIN(J:J)</f>
        <v>-258</v>
      </c>
      <c r="P4" s="1" t="s">
        <v>566</v>
      </c>
      <c r="Q4">
        <f>VLOOKUP(ecommerce_order__1[[#This Row],[product_sku]],F:J,5,FALSE)</f>
        <v>45</v>
      </c>
    </row>
    <row r="5" spans="1:17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>
        <v>1</v>
      </c>
      <c r="I5">
        <v>71.099999999999994</v>
      </c>
      <c r="J5">
        <v>71.099999999999994</v>
      </c>
      <c r="K5">
        <v>190</v>
      </c>
      <c r="L5" t="s">
        <v>21</v>
      </c>
      <c r="M5" t="s">
        <v>22</v>
      </c>
      <c r="N5">
        <v>71.099999999999994</v>
      </c>
      <c r="O5">
        <f>COUNT(J:J)</f>
        <v>202</v>
      </c>
      <c r="P5" s="1" t="s">
        <v>567</v>
      </c>
      <c r="Q5">
        <f>VLOOKUP(ecommerce_order__1[[#This Row],[product_sku]],F:J,5,FALSE)</f>
        <v>71.099999999999994</v>
      </c>
    </row>
    <row r="6" spans="1:17" x14ac:dyDescent="0.3">
      <c r="A6" t="s">
        <v>44</v>
      </c>
      <c r="B6" t="s">
        <v>45</v>
      </c>
      <c r="C6" t="s">
        <v>46</v>
      </c>
      <c r="D6" t="s">
        <v>47</v>
      </c>
      <c r="E6" t="s">
        <v>34</v>
      </c>
      <c r="F6" t="s">
        <v>48</v>
      </c>
      <c r="G6" t="s">
        <v>49</v>
      </c>
      <c r="H6">
        <v>1</v>
      </c>
      <c r="I6">
        <v>21.6</v>
      </c>
      <c r="J6">
        <v>21.6</v>
      </c>
      <c r="K6">
        <v>0.38</v>
      </c>
      <c r="L6" t="s">
        <v>29</v>
      </c>
      <c r="M6" t="s">
        <v>22</v>
      </c>
      <c r="N6">
        <v>21.6</v>
      </c>
      <c r="O6">
        <f>COUNTIF(J:J,"&gt;200")</f>
        <v>45</v>
      </c>
      <c r="P6" s="1" t="s">
        <v>568</v>
      </c>
      <c r="Q6">
        <f>VLOOKUP(ecommerce_order__1[[#This Row],[product_sku]],F:J,5,FALSE)</f>
        <v>21.6</v>
      </c>
    </row>
    <row r="7" spans="1:17" x14ac:dyDescent="0.3">
      <c r="A7" t="s">
        <v>50</v>
      </c>
      <c r="B7" t="s">
        <v>51</v>
      </c>
      <c r="C7" t="s">
        <v>52</v>
      </c>
      <c r="D7" t="s">
        <v>53</v>
      </c>
      <c r="E7" t="s">
        <v>41</v>
      </c>
      <c r="F7" t="s">
        <v>35</v>
      </c>
      <c r="G7" t="s">
        <v>36</v>
      </c>
      <c r="H7">
        <v>1</v>
      </c>
      <c r="I7">
        <v>45</v>
      </c>
      <c r="J7">
        <v>45</v>
      </c>
      <c r="K7">
        <v>85</v>
      </c>
      <c r="L7" t="s">
        <v>29</v>
      </c>
      <c r="M7" t="s">
        <v>22</v>
      </c>
      <c r="N7">
        <v>45</v>
      </c>
      <c r="Q7">
        <f>VLOOKUP(ecommerce_order__1[[#This Row],[product_sku]],F:J,5,FALSE)</f>
        <v>45</v>
      </c>
    </row>
    <row r="8" spans="1:17" x14ac:dyDescent="0.3">
      <c r="A8" t="s">
        <v>54</v>
      </c>
      <c r="B8" t="s">
        <v>55</v>
      </c>
      <c r="C8" t="s">
        <v>56</v>
      </c>
      <c r="D8" t="s">
        <v>53</v>
      </c>
      <c r="E8" t="s">
        <v>26</v>
      </c>
      <c r="F8" t="s">
        <v>35</v>
      </c>
      <c r="G8" t="s">
        <v>36</v>
      </c>
      <c r="H8">
        <v>3</v>
      </c>
      <c r="I8">
        <v>85.5</v>
      </c>
      <c r="J8">
        <v>256.5</v>
      </c>
      <c r="K8">
        <v>8.5000000000000006E-2</v>
      </c>
      <c r="L8" t="s">
        <v>29</v>
      </c>
      <c r="M8" t="s">
        <v>57</v>
      </c>
      <c r="N8">
        <v>85.5</v>
      </c>
      <c r="Q8">
        <f>VLOOKUP(ecommerce_order__1[[#This Row],[product_sku]],F:J,5,FALSE)</f>
        <v>45</v>
      </c>
    </row>
    <row r="9" spans="1:17" x14ac:dyDescent="0.3">
      <c r="A9" t="s">
        <v>58</v>
      </c>
      <c r="B9" t="s">
        <v>45</v>
      </c>
      <c r="C9" t="s">
        <v>59</v>
      </c>
      <c r="D9" t="s">
        <v>60</v>
      </c>
      <c r="E9" t="s">
        <v>41</v>
      </c>
      <c r="F9" t="s">
        <v>35</v>
      </c>
      <c r="G9" t="s">
        <v>36</v>
      </c>
      <c r="H9">
        <v>2</v>
      </c>
      <c r="I9">
        <v>134.1</v>
      </c>
      <c r="J9">
        <v>268.2</v>
      </c>
      <c r="K9">
        <v>8.5000000000000006E-2</v>
      </c>
      <c r="L9" t="s">
        <v>21</v>
      </c>
      <c r="M9" t="s">
        <v>57</v>
      </c>
      <c r="N9">
        <v>134.1</v>
      </c>
      <c r="Q9">
        <f>VLOOKUP(ecommerce_order__1[[#This Row],[product_sku]],F:J,5,FALSE)</f>
        <v>45</v>
      </c>
    </row>
    <row r="10" spans="1:17" x14ac:dyDescent="0.3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42</v>
      </c>
      <c r="G10" t="s">
        <v>43</v>
      </c>
      <c r="H10">
        <v>1</v>
      </c>
      <c r="I10">
        <v>24</v>
      </c>
      <c r="J10">
        <v>24</v>
      </c>
      <c r="K10">
        <v>190</v>
      </c>
      <c r="L10" t="s">
        <v>29</v>
      </c>
      <c r="M10" t="s">
        <v>22</v>
      </c>
      <c r="N10">
        <v>24</v>
      </c>
      <c r="Q10">
        <f>VLOOKUP(ecommerce_order__1[[#This Row],[product_sku]],F:J,5,FALSE)</f>
        <v>71.099999999999994</v>
      </c>
    </row>
    <row r="11" spans="1:17" x14ac:dyDescent="0.3">
      <c r="A11" t="s">
        <v>66</v>
      </c>
      <c r="B11" t="s">
        <v>67</v>
      </c>
      <c r="C11" t="s">
        <v>68</v>
      </c>
      <c r="D11" t="s">
        <v>40</v>
      </c>
      <c r="E11" t="s">
        <v>65</v>
      </c>
      <c r="F11" t="s">
        <v>42</v>
      </c>
      <c r="G11" t="s">
        <v>43</v>
      </c>
      <c r="H11">
        <v>1</v>
      </c>
      <c r="I11">
        <v>95</v>
      </c>
      <c r="J11">
        <v>95</v>
      </c>
      <c r="K11">
        <v>190</v>
      </c>
      <c r="L11" t="s">
        <v>21</v>
      </c>
      <c r="M11" t="s">
        <v>57</v>
      </c>
      <c r="N11">
        <v>95</v>
      </c>
      <c r="Q11">
        <f>VLOOKUP(ecommerce_order__1[[#This Row],[product_sku]],F:J,5,FALSE)</f>
        <v>71.099999999999994</v>
      </c>
    </row>
    <row r="12" spans="1:17" x14ac:dyDescent="0.3">
      <c r="A12" t="s">
        <v>69</v>
      </c>
      <c r="B12" t="s">
        <v>70</v>
      </c>
      <c r="C12" t="s">
        <v>71</v>
      </c>
      <c r="D12" t="s">
        <v>40</v>
      </c>
      <c r="E12" t="s">
        <v>34</v>
      </c>
      <c r="F12" t="s">
        <v>72</v>
      </c>
      <c r="G12" t="s">
        <v>73</v>
      </c>
      <c r="H12">
        <v>1</v>
      </c>
      <c r="I12">
        <v>45</v>
      </c>
      <c r="J12">
        <v>45</v>
      </c>
      <c r="K12">
        <v>0.41</v>
      </c>
      <c r="L12" t="s">
        <v>29</v>
      </c>
      <c r="M12" t="s">
        <v>22</v>
      </c>
      <c r="N12">
        <v>45</v>
      </c>
      <c r="Q12">
        <f>VLOOKUP(ecommerce_order__1[[#This Row],[product_sku]],F:J,5,FALSE)</f>
        <v>45</v>
      </c>
    </row>
    <row r="13" spans="1:17" x14ac:dyDescent="0.3">
      <c r="A13" t="s">
        <v>74</v>
      </c>
      <c r="B13" t="s">
        <v>75</v>
      </c>
      <c r="C13" t="s">
        <v>76</v>
      </c>
      <c r="D13" t="s">
        <v>47</v>
      </c>
      <c r="E13" t="s">
        <v>34</v>
      </c>
      <c r="F13" t="s">
        <v>72</v>
      </c>
      <c r="G13" t="s">
        <v>73</v>
      </c>
      <c r="H13">
        <v>1</v>
      </c>
      <c r="I13">
        <v>129</v>
      </c>
      <c r="J13">
        <v>129</v>
      </c>
      <c r="K13">
        <v>410</v>
      </c>
      <c r="L13" t="s">
        <v>29</v>
      </c>
      <c r="M13" t="s">
        <v>22</v>
      </c>
      <c r="N13">
        <v>129</v>
      </c>
      <c r="Q13">
        <f>VLOOKUP(ecommerce_order__1[[#This Row],[product_sku]],F:J,5,FALSE)</f>
        <v>45</v>
      </c>
    </row>
    <row r="14" spans="1:17" x14ac:dyDescent="0.3">
      <c r="A14" t="s">
        <v>77</v>
      </c>
      <c r="B14" t="s">
        <v>78</v>
      </c>
      <c r="C14" t="s">
        <v>79</v>
      </c>
      <c r="D14" t="s">
        <v>53</v>
      </c>
      <c r="E14" t="s">
        <v>41</v>
      </c>
      <c r="F14" t="s">
        <v>80</v>
      </c>
      <c r="G14" t="s">
        <v>81</v>
      </c>
      <c r="H14">
        <v>3</v>
      </c>
      <c r="I14">
        <v>116.1</v>
      </c>
      <c r="J14">
        <v>348.3</v>
      </c>
      <c r="K14">
        <v>340</v>
      </c>
      <c r="L14" t="s">
        <v>29</v>
      </c>
      <c r="M14" t="s">
        <v>57</v>
      </c>
      <c r="N14">
        <v>116.1</v>
      </c>
      <c r="Q14">
        <f>VLOOKUP(ecommerce_order__1[[#This Row],[product_sku]],F:J,5,FALSE)</f>
        <v>348.3</v>
      </c>
    </row>
    <row r="15" spans="1:17" x14ac:dyDescent="0.3">
      <c r="A15" t="s">
        <v>82</v>
      </c>
      <c r="B15" t="s">
        <v>83</v>
      </c>
      <c r="C15" t="s">
        <v>84</v>
      </c>
      <c r="D15" t="s">
        <v>64</v>
      </c>
      <c r="E15" t="s">
        <v>18</v>
      </c>
      <c r="F15" t="s">
        <v>85</v>
      </c>
      <c r="G15" t="s">
        <v>86</v>
      </c>
      <c r="H15">
        <v>-3</v>
      </c>
      <c r="I15">
        <v>129</v>
      </c>
      <c r="J15">
        <v>387</v>
      </c>
      <c r="K15">
        <v>640</v>
      </c>
      <c r="L15" t="s">
        <v>29</v>
      </c>
      <c r="M15" t="s">
        <v>22</v>
      </c>
      <c r="N15">
        <v>129</v>
      </c>
      <c r="Q15">
        <f>VLOOKUP(ecommerce_order__1[[#This Row],[product_sku]],F:J,5,FALSE)</f>
        <v>387</v>
      </c>
    </row>
    <row r="16" spans="1:17" x14ac:dyDescent="0.3">
      <c r="A16" t="s">
        <v>87</v>
      </c>
      <c r="B16" t="s">
        <v>88</v>
      </c>
      <c r="C16" t="s">
        <v>89</v>
      </c>
      <c r="D16" t="s">
        <v>90</v>
      </c>
      <c r="E16" t="s">
        <v>34</v>
      </c>
      <c r="F16" t="s">
        <v>27</v>
      </c>
      <c r="G16" t="s">
        <v>28</v>
      </c>
      <c r="H16">
        <v>1</v>
      </c>
      <c r="I16">
        <v>45</v>
      </c>
      <c r="J16">
        <v>45</v>
      </c>
      <c r="K16">
        <v>0.52</v>
      </c>
      <c r="L16" t="s">
        <v>21</v>
      </c>
      <c r="M16" t="s">
        <v>22</v>
      </c>
      <c r="N16">
        <v>45</v>
      </c>
      <c r="Q16">
        <f>VLOOKUP(ecommerce_order__1[[#This Row],[product_sku]],F:J,5,FALSE)</f>
        <v>71.099999999999994</v>
      </c>
    </row>
    <row r="17" spans="1:17" x14ac:dyDescent="0.3">
      <c r="A17" t="s">
        <v>91</v>
      </c>
      <c r="B17" t="s">
        <v>92</v>
      </c>
      <c r="C17" t="s">
        <v>93</v>
      </c>
      <c r="D17" t="s">
        <v>47</v>
      </c>
      <c r="E17" t="s">
        <v>65</v>
      </c>
      <c r="F17" t="s">
        <v>35</v>
      </c>
      <c r="G17" t="s">
        <v>36</v>
      </c>
      <c r="H17">
        <v>1</v>
      </c>
      <c r="I17">
        <v>71.099999999999994</v>
      </c>
      <c r="J17">
        <v>71.099999999999994</v>
      </c>
      <c r="K17">
        <v>85</v>
      </c>
      <c r="L17" t="s">
        <v>29</v>
      </c>
      <c r="M17" t="s">
        <v>22</v>
      </c>
      <c r="N17">
        <v>71.099999999999994</v>
      </c>
      <c r="Q17">
        <f>VLOOKUP(ecommerce_order__1[[#This Row],[product_sku]],F:J,5,FALSE)</f>
        <v>45</v>
      </c>
    </row>
    <row r="18" spans="1:17" x14ac:dyDescent="0.3">
      <c r="A18" t="s">
        <v>94</v>
      </c>
      <c r="B18" t="s">
        <v>95</v>
      </c>
      <c r="C18" t="s">
        <v>96</v>
      </c>
      <c r="D18" t="s">
        <v>97</v>
      </c>
      <c r="E18" t="s">
        <v>41</v>
      </c>
      <c r="F18" t="s">
        <v>72</v>
      </c>
      <c r="G18" t="s">
        <v>73</v>
      </c>
      <c r="H18">
        <v>1</v>
      </c>
      <c r="I18">
        <v>116.1</v>
      </c>
      <c r="J18">
        <v>116.1</v>
      </c>
      <c r="K18">
        <v>0.41</v>
      </c>
      <c r="L18" t="s">
        <v>29</v>
      </c>
      <c r="M18" t="s">
        <v>22</v>
      </c>
      <c r="N18">
        <v>116.1</v>
      </c>
      <c r="Q18">
        <f>VLOOKUP(ecommerce_order__1[[#This Row],[product_sku]],F:J,5,FALSE)</f>
        <v>45</v>
      </c>
    </row>
    <row r="19" spans="1:17" x14ac:dyDescent="0.3">
      <c r="A19" t="s">
        <v>98</v>
      </c>
      <c r="B19" t="s">
        <v>99</v>
      </c>
      <c r="C19" t="s">
        <v>100</v>
      </c>
      <c r="D19" t="s">
        <v>53</v>
      </c>
      <c r="E19" t="s">
        <v>65</v>
      </c>
      <c r="F19" t="s">
        <v>80</v>
      </c>
      <c r="G19" t="s">
        <v>81</v>
      </c>
      <c r="H19">
        <v>1</v>
      </c>
      <c r="I19">
        <v>89</v>
      </c>
      <c r="J19">
        <v>89</v>
      </c>
      <c r="K19">
        <v>0.34</v>
      </c>
      <c r="L19" t="s">
        <v>29</v>
      </c>
      <c r="M19" t="s">
        <v>57</v>
      </c>
      <c r="N19">
        <v>89</v>
      </c>
      <c r="Q19">
        <f>VLOOKUP(ecommerce_order__1[[#This Row],[product_sku]],F:J,5,FALSE)</f>
        <v>348.3</v>
      </c>
    </row>
    <row r="20" spans="1:17" x14ac:dyDescent="0.3">
      <c r="A20" t="s">
        <v>101</v>
      </c>
      <c r="B20" t="s">
        <v>102</v>
      </c>
      <c r="C20" t="s">
        <v>103</v>
      </c>
      <c r="D20" t="s">
        <v>40</v>
      </c>
      <c r="E20" t="s">
        <v>41</v>
      </c>
      <c r="F20" t="s">
        <v>85</v>
      </c>
      <c r="G20" t="s">
        <v>86</v>
      </c>
      <c r="H20">
        <v>2</v>
      </c>
      <c r="I20">
        <v>149</v>
      </c>
      <c r="J20">
        <v>298</v>
      </c>
      <c r="K20">
        <v>0.64</v>
      </c>
      <c r="L20" t="s">
        <v>29</v>
      </c>
      <c r="M20" t="s">
        <v>22</v>
      </c>
      <c r="N20">
        <v>149</v>
      </c>
      <c r="Q20">
        <f>VLOOKUP(ecommerce_order__1[[#This Row],[product_sku]],F:J,5,FALSE)</f>
        <v>387</v>
      </c>
    </row>
    <row r="21" spans="1:17" x14ac:dyDescent="0.3">
      <c r="A21" t="s">
        <v>104</v>
      </c>
      <c r="B21" t="s">
        <v>31</v>
      </c>
      <c r="C21" t="s">
        <v>105</v>
      </c>
      <c r="D21" t="s">
        <v>90</v>
      </c>
      <c r="E21" t="s">
        <v>34</v>
      </c>
      <c r="F21" t="s">
        <v>42</v>
      </c>
      <c r="G21" t="s">
        <v>43</v>
      </c>
      <c r="H21">
        <v>1</v>
      </c>
      <c r="I21">
        <v>45</v>
      </c>
      <c r="J21">
        <v>45</v>
      </c>
      <c r="K21">
        <v>0.19</v>
      </c>
      <c r="L21" t="s">
        <v>29</v>
      </c>
      <c r="M21" t="s">
        <v>22</v>
      </c>
      <c r="N21">
        <v>45</v>
      </c>
      <c r="Q21">
        <f>VLOOKUP(ecommerce_order__1[[#This Row],[product_sku]],F:J,5,FALSE)</f>
        <v>71.099999999999994</v>
      </c>
    </row>
    <row r="22" spans="1:17" x14ac:dyDescent="0.3">
      <c r="A22" t="s">
        <v>106</v>
      </c>
      <c r="B22" t="s">
        <v>107</v>
      </c>
      <c r="C22" t="s">
        <v>108</v>
      </c>
      <c r="D22" t="s">
        <v>17</v>
      </c>
      <c r="E22" t="s">
        <v>18</v>
      </c>
      <c r="F22" t="s">
        <v>42</v>
      </c>
      <c r="G22" t="s">
        <v>43</v>
      </c>
      <c r="H22">
        <v>1</v>
      </c>
      <c r="I22">
        <v>85.5</v>
      </c>
      <c r="J22">
        <v>85.5</v>
      </c>
      <c r="K22">
        <v>190</v>
      </c>
      <c r="L22" t="s">
        <v>29</v>
      </c>
      <c r="M22" t="s">
        <v>22</v>
      </c>
      <c r="N22">
        <v>85.5</v>
      </c>
      <c r="Q22">
        <f>VLOOKUP(ecommerce_order__1[[#This Row],[product_sku]],F:J,5,FALSE)</f>
        <v>71.099999999999994</v>
      </c>
    </row>
    <row r="23" spans="1:17" x14ac:dyDescent="0.3">
      <c r="A23" t="s">
        <v>109</v>
      </c>
      <c r="B23" t="s">
        <v>110</v>
      </c>
      <c r="C23" t="s">
        <v>111</v>
      </c>
      <c r="D23" t="s">
        <v>112</v>
      </c>
      <c r="E23" t="s">
        <v>34</v>
      </c>
      <c r="F23" t="s">
        <v>48</v>
      </c>
      <c r="G23" t="s">
        <v>49</v>
      </c>
      <c r="H23">
        <v>2</v>
      </c>
      <c r="I23">
        <v>149</v>
      </c>
      <c r="J23">
        <v>298</v>
      </c>
      <c r="K23">
        <v>380</v>
      </c>
      <c r="L23" t="s">
        <v>29</v>
      </c>
      <c r="M23" t="s">
        <v>22</v>
      </c>
      <c r="N23">
        <v>149</v>
      </c>
      <c r="Q23">
        <f>VLOOKUP(ecommerce_order__1[[#This Row],[product_sku]],F:J,5,FALSE)</f>
        <v>21.6</v>
      </c>
    </row>
    <row r="24" spans="1:17" x14ac:dyDescent="0.3">
      <c r="A24" t="s">
        <v>113</v>
      </c>
      <c r="B24" t="s">
        <v>67</v>
      </c>
      <c r="C24" t="s">
        <v>114</v>
      </c>
      <c r="D24" t="s">
        <v>90</v>
      </c>
      <c r="E24" t="s">
        <v>26</v>
      </c>
      <c r="F24" t="s">
        <v>35</v>
      </c>
      <c r="G24" t="s">
        <v>36</v>
      </c>
      <c r="H24">
        <v>1</v>
      </c>
      <c r="I24">
        <v>21.6</v>
      </c>
      <c r="J24">
        <v>21.6</v>
      </c>
      <c r="K24">
        <v>0</v>
      </c>
      <c r="L24" t="s">
        <v>29</v>
      </c>
      <c r="M24" t="s">
        <v>22</v>
      </c>
      <c r="N24">
        <v>21.6</v>
      </c>
      <c r="Q24">
        <f>VLOOKUP(ecommerce_order__1[[#This Row],[product_sku]],F:J,5,FALSE)</f>
        <v>45</v>
      </c>
    </row>
    <row r="25" spans="1:17" x14ac:dyDescent="0.3">
      <c r="A25" t="s">
        <v>115</v>
      </c>
      <c r="B25" t="s">
        <v>116</v>
      </c>
      <c r="C25" t="s">
        <v>117</v>
      </c>
      <c r="D25" t="s">
        <v>60</v>
      </c>
      <c r="E25" t="s">
        <v>41</v>
      </c>
      <c r="F25" t="s">
        <v>80</v>
      </c>
      <c r="G25" t="s">
        <v>81</v>
      </c>
      <c r="H25">
        <v>1</v>
      </c>
      <c r="I25">
        <v>21.6</v>
      </c>
      <c r="J25">
        <v>21.6</v>
      </c>
      <c r="K25">
        <v>340</v>
      </c>
      <c r="L25" t="s">
        <v>29</v>
      </c>
      <c r="M25" t="s">
        <v>22</v>
      </c>
      <c r="N25">
        <v>21.6</v>
      </c>
      <c r="Q25">
        <f>VLOOKUP(ecommerce_order__1[[#This Row],[product_sku]],F:J,5,FALSE)</f>
        <v>348.3</v>
      </c>
    </row>
    <row r="26" spans="1:17" x14ac:dyDescent="0.3">
      <c r="A26" t="s">
        <v>118</v>
      </c>
      <c r="B26" t="s">
        <v>119</v>
      </c>
      <c r="C26" t="s">
        <v>120</v>
      </c>
      <c r="D26" t="s">
        <v>64</v>
      </c>
      <c r="E26" t="s">
        <v>34</v>
      </c>
      <c r="F26" t="s">
        <v>72</v>
      </c>
      <c r="G26" t="s">
        <v>73</v>
      </c>
      <c r="H26">
        <v>-1</v>
      </c>
      <c r="I26">
        <v>129</v>
      </c>
      <c r="J26">
        <v>-129</v>
      </c>
      <c r="K26">
        <v>410</v>
      </c>
      <c r="L26" t="s">
        <v>29</v>
      </c>
      <c r="M26" t="s">
        <v>22</v>
      </c>
      <c r="N26">
        <v>129</v>
      </c>
      <c r="Q26">
        <f>VLOOKUP(ecommerce_order__1[[#This Row],[product_sku]],F:J,5,FALSE)</f>
        <v>45</v>
      </c>
    </row>
    <row r="27" spans="1:17" x14ac:dyDescent="0.3">
      <c r="A27" t="s">
        <v>121</v>
      </c>
      <c r="B27" t="s">
        <v>102</v>
      </c>
      <c r="C27" t="s">
        <v>122</v>
      </c>
      <c r="D27" t="s">
        <v>112</v>
      </c>
      <c r="E27" t="s">
        <v>41</v>
      </c>
      <c r="F27" t="s">
        <v>42</v>
      </c>
      <c r="G27" t="s">
        <v>43</v>
      </c>
      <c r="H27">
        <v>3</v>
      </c>
      <c r="I27">
        <v>89</v>
      </c>
      <c r="J27">
        <v>267</v>
      </c>
      <c r="K27">
        <v>0.19</v>
      </c>
      <c r="L27" t="s">
        <v>21</v>
      </c>
      <c r="M27" t="s">
        <v>22</v>
      </c>
      <c r="N27">
        <v>89</v>
      </c>
      <c r="Q27">
        <f>VLOOKUP(ecommerce_order__1[[#This Row],[product_sku]],F:J,5,FALSE)</f>
        <v>71.099999999999994</v>
      </c>
    </row>
    <row r="28" spans="1:17" x14ac:dyDescent="0.3">
      <c r="A28" t="s">
        <v>123</v>
      </c>
      <c r="B28" t="s">
        <v>124</v>
      </c>
      <c r="C28" t="s">
        <v>125</v>
      </c>
      <c r="D28" t="s">
        <v>33</v>
      </c>
      <c r="E28" t="s">
        <v>18</v>
      </c>
      <c r="F28" t="s">
        <v>80</v>
      </c>
      <c r="G28" t="s">
        <v>81</v>
      </c>
      <c r="H28">
        <v>1</v>
      </c>
      <c r="J28">
        <v>21.6</v>
      </c>
      <c r="K28">
        <v>340</v>
      </c>
      <c r="L28" t="s">
        <v>29</v>
      </c>
      <c r="M28" t="s">
        <v>57</v>
      </c>
      <c r="N28">
        <v>21.6</v>
      </c>
      <c r="Q28">
        <f>VLOOKUP(ecommerce_order__1[[#This Row],[product_sku]],F:J,5,FALSE)</f>
        <v>348.3</v>
      </c>
    </row>
    <row r="29" spans="1:17" x14ac:dyDescent="0.3">
      <c r="A29" t="s">
        <v>126</v>
      </c>
      <c r="B29" t="s">
        <v>127</v>
      </c>
      <c r="C29" t="s">
        <v>128</v>
      </c>
      <c r="D29" t="s">
        <v>40</v>
      </c>
      <c r="E29" t="s">
        <v>26</v>
      </c>
      <c r="F29" t="s">
        <v>48</v>
      </c>
      <c r="G29" t="s">
        <v>49</v>
      </c>
      <c r="H29">
        <v>2</v>
      </c>
      <c r="I29">
        <v>79</v>
      </c>
      <c r="J29">
        <v>158</v>
      </c>
      <c r="K29">
        <v>0.38</v>
      </c>
      <c r="L29" t="s">
        <v>29</v>
      </c>
      <c r="M29" t="s">
        <v>22</v>
      </c>
      <c r="N29">
        <v>79</v>
      </c>
      <c r="Q29">
        <f>VLOOKUP(ecommerce_order__1[[#This Row],[product_sku]],F:J,5,FALSE)</f>
        <v>21.6</v>
      </c>
    </row>
    <row r="30" spans="1:17" x14ac:dyDescent="0.3">
      <c r="A30" t="s">
        <v>129</v>
      </c>
      <c r="B30" t="s">
        <v>130</v>
      </c>
      <c r="C30" t="s">
        <v>131</v>
      </c>
      <c r="D30" t="s">
        <v>53</v>
      </c>
      <c r="E30" t="s">
        <v>18</v>
      </c>
      <c r="F30" t="s">
        <v>48</v>
      </c>
      <c r="G30" t="s">
        <v>49</v>
      </c>
      <c r="H30">
        <v>3</v>
      </c>
      <c r="I30">
        <v>11.25</v>
      </c>
      <c r="J30">
        <v>33.75</v>
      </c>
      <c r="K30">
        <v>0.38</v>
      </c>
      <c r="L30" t="s">
        <v>29</v>
      </c>
      <c r="M30" t="s">
        <v>22</v>
      </c>
      <c r="N30">
        <v>11.25</v>
      </c>
      <c r="Q30">
        <f>VLOOKUP(ecommerce_order__1[[#This Row],[product_sku]],F:J,5,FALSE)</f>
        <v>21.6</v>
      </c>
    </row>
    <row r="31" spans="1:17" x14ac:dyDescent="0.3">
      <c r="A31" t="s">
        <v>132</v>
      </c>
      <c r="B31" t="s">
        <v>133</v>
      </c>
      <c r="C31" t="s">
        <v>134</v>
      </c>
      <c r="D31" t="s">
        <v>64</v>
      </c>
      <c r="E31" t="s">
        <v>26</v>
      </c>
      <c r="F31" t="s">
        <v>27</v>
      </c>
      <c r="G31" t="s">
        <v>28</v>
      </c>
      <c r="H31">
        <v>1</v>
      </c>
      <c r="J31">
        <v>36</v>
      </c>
      <c r="K31">
        <v>520</v>
      </c>
      <c r="L31" t="s">
        <v>29</v>
      </c>
      <c r="M31" t="s">
        <v>22</v>
      </c>
      <c r="Q31">
        <f>VLOOKUP(ecommerce_order__1[[#This Row],[product_sku]],F:J,5,FALSE)</f>
        <v>71.099999999999994</v>
      </c>
    </row>
    <row r="32" spans="1:17" x14ac:dyDescent="0.3">
      <c r="A32" t="s">
        <v>135</v>
      </c>
      <c r="B32" t="s">
        <v>136</v>
      </c>
      <c r="C32" t="s">
        <v>137</v>
      </c>
      <c r="D32" t="s">
        <v>112</v>
      </c>
      <c r="E32" t="s">
        <v>65</v>
      </c>
      <c r="F32" t="s">
        <v>42</v>
      </c>
      <c r="G32" t="s">
        <v>43</v>
      </c>
      <c r="H32">
        <v>2</v>
      </c>
      <c r="I32">
        <v>129</v>
      </c>
      <c r="J32">
        <v>258</v>
      </c>
      <c r="K32">
        <v>190</v>
      </c>
      <c r="L32" t="s">
        <v>29</v>
      </c>
      <c r="M32" t="s">
        <v>22</v>
      </c>
      <c r="N32">
        <v>129</v>
      </c>
      <c r="Q32">
        <f>VLOOKUP(ecommerce_order__1[[#This Row],[product_sku]],F:J,5,FALSE)</f>
        <v>71.099999999999994</v>
      </c>
    </row>
    <row r="33" spans="1:17" x14ac:dyDescent="0.3">
      <c r="A33" t="s">
        <v>138</v>
      </c>
      <c r="B33" t="s">
        <v>139</v>
      </c>
      <c r="C33" t="s">
        <v>140</v>
      </c>
      <c r="D33" t="s">
        <v>40</v>
      </c>
      <c r="E33" t="s">
        <v>26</v>
      </c>
      <c r="F33" t="s">
        <v>85</v>
      </c>
      <c r="G33" t="s">
        <v>86</v>
      </c>
      <c r="H33">
        <v>1</v>
      </c>
      <c r="I33">
        <v>71.099999999999994</v>
      </c>
      <c r="J33">
        <v>71.099999999999994</v>
      </c>
      <c r="K33">
        <v>640</v>
      </c>
      <c r="L33" t="s">
        <v>29</v>
      </c>
      <c r="M33" t="s">
        <v>22</v>
      </c>
      <c r="N33">
        <v>71.099999999999994</v>
      </c>
      <c r="Q33">
        <f>VLOOKUP(ecommerce_order__1[[#This Row],[product_sku]],F:J,5,FALSE)</f>
        <v>387</v>
      </c>
    </row>
    <row r="34" spans="1:17" x14ac:dyDescent="0.3">
      <c r="A34" t="s">
        <v>141</v>
      </c>
      <c r="B34" t="s">
        <v>119</v>
      </c>
      <c r="C34" t="s">
        <v>142</v>
      </c>
      <c r="D34" t="s">
        <v>40</v>
      </c>
      <c r="E34" t="s">
        <v>41</v>
      </c>
      <c r="F34" t="s">
        <v>80</v>
      </c>
      <c r="G34" t="s">
        <v>81</v>
      </c>
      <c r="H34">
        <v>-2</v>
      </c>
      <c r="I34">
        <v>45</v>
      </c>
      <c r="J34">
        <v>-90</v>
      </c>
      <c r="K34">
        <v>340</v>
      </c>
      <c r="L34" t="s">
        <v>29</v>
      </c>
      <c r="M34" t="s">
        <v>22</v>
      </c>
      <c r="N34">
        <v>45</v>
      </c>
      <c r="Q34">
        <f>VLOOKUP(ecommerce_order__1[[#This Row],[product_sku]],F:J,5,FALSE)</f>
        <v>348.3</v>
      </c>
    </row>
    <row r="35" spans="1:17" x14ac:dyDescent="0.3">
      <c r="A35" t="s">
        <v>143</v>
      </c>
      <c r="B35" t="s">
        <v>144</v>
      </c>
      <c r="C35" t="s">
        <v>145</v>
      </c>
      <c r="D35" t="s">
        <v>97</v>
      </c>
      <c r="E35" t="s">
        <v>34</v>
      </c>
      <c r="F35" t="s">
        <v>85</v>
      </c>
      <c r="G35" t="s">
        <v>86</v>
      </c>
      <c r="H35">
        <v>2</v>
      </c>
      <c r="J35">
        <v>160.19999999999999</v>
      </c>
      <c r="K35">
        <v>640</v>
      </c>
      <c r="L35" t="s">
        <v>21</v>
      </c>
      <c r="M35" t="s">
        <v>22</v>
      </c>
      <c r="Q35">
        <f>VLOOKUP(ecommerce_order__1[[#This Row],[product_sku]],F:J,5,FALSE)</f>
        <v>387</v>
      </c>
    </row>
    <row r="36" spans="1:17" x14ac:dyDescent="0.3">
      <c r="A36" t="s">
        <v>146</v>
      </c>
      <c r="B36" t="s">
        <v>147</v>
      </c>
      <c r="C36" t="s">
        <v>148</v>
      </c>
      <c r="D36" t="s">
        <v>33</v>
      </c>
      <c r="E36" t="s">
        <v>41</v>
      </c>
      <c r="F36" t="s">
        <v>85</v>
      </c>
      <c r="G36" t="s">
        <v>86</v>
      </c>
      <c r="H36">
        <v>2</v>
      </c>
      <c r="J36">
        <v>25</v>
      </c>
      <c r="K36">
        <v>0.64</v>
      </c>
      <c r="L36" t="s">
        <v>29</v>
      </c>
      <c r="M36" t="s">
        <v>22</v>
      </c>
      <c r="Q36">
        <f>VLOOKUP(ecommerce_order__1[[#This Row],[product_sku]],F:J,5,FALSE)</f>
        <v>387</v>
      </c>
    </row>
    <row r="37" spans="1:17" x14ac:dyDescent="0.3">
      <c r="A37" t="s">
        <v>149</v>
      </c>
      <c r="B37" t="s">
        <v>150</v>
      </c>
      <c r="C37" t="s">
        <v>151</v>
      </c>
      <c r="D37" t="s">
        <v>40</v>
      </c>
      <c r="E37" t="s">
        <v>41</v>
      </c>
      <c r="F37" t="s">
        <v>72</v>
      </c>
      <c r="G37" t="s">
        <v>73</v>
      </c>
      <c r="H37">
        <v>3</v>
      </c>
      <c r="I37">
        <v>149</v>
      </c>
      <c r="J37">
        <v>447</v>
      </c>
      <c r="K37">
        <v>410</v>
      </c>
      <c r="L37" t="s">
        <v>29</v>
      </c>
      <c r="M37" t="s">
        <v>22</v>
      </c>
      <c r="N37">
        <v>149</v>
      </c>
      <c r="Q37">
        <f>VLOOKUP(ecommerce_order__1[[#This Row],[product_sku]],F:J,5,FALSE)</f>
        <v>45</v>
      </c>
    </row>
    <row r="38" spans="1:17" x14ac:dyDescent="0.3">
      <c r="A38" t="s">
        <v>152</v>
      </c>
      <c r="B38" t="s">
        <v>153</v>
      </c>
      <c r="C38" t="s">
        <v>154</v>
      </c>
      <c r="D38" t="s">
        <v>40</v>
      </c>
      <c r="E38" t="s">
        <v>18</v>
      </c>
      <c r="F38" t="s">
        <v>72</v>
      </c>
      <c r="G38" t="s">
        <v>73</v>
      </c>
      <c r="H38">
        <v>2</v>
      </c>
      <c r="I38">
        <v>11.25</v>
      </c>
      <c r="J38">
        <v>22.5</v>
      </c>
      <c r="K38">
        <v>0.41</v>
      </c>
      <c r="L38" t="s">
        <v>29</v>
      </c>
      <c r="M38" t="s">
        <v>57</v>
      </c>
      <c r="N38">
        <v>11.25</v>
      </c>
      <c r="Q38">
        <f>VLOOKUP(ecommerce_order__1[[#This Row],[product_sku]],F:J,5,FALSE)</f>
        <v>45</v>
      </c>
    </row>
    <row r="39" spans="1:17" x14ac:dyDescent="0.3">
      <c r="A39" t="s">
        <v>155</v>
      </c>
      <c r="B39" t="s">
        <v>156</v>
      </c>
      <c r="C39" t="s">
        <v>157</v>
      </c>
      <c r="D39" t="s">
        <v>60</v>
      </c>
      <c r="E39" t="s">
        <v>65</v>
      </c>
      <c r="F39" t="s">
        <v>72</v>
      </c>
      <c r="G39" t="s">
        <v>73</v>
      </c>
      <c r="H39">
        <v>1</v>
      </c>
      <c r="I39">
        <v>149</v>
      </c>
      <c r="J39">
        <v>149</v>
      </c>
      <c r="K39">
        <v>410</v>
      </c>
      <c r="L39" t="s">
        <v>29</v>
      </c>
      <c r="M39" t="s">
        <v>57</v>
      </c>
      <c r="N39">
        <v>149</v>
      </c>
      <c r="Q39">
        <f>VLOOKUP(ecommerce_order__1[[#This Row],[product_sku]],F:J,5,FALSE)</f>
        <v>45</v>
      </c>
    </row>
    <row r="40" spans="1:17" x14ac:dyDescent="0.3">
      <c r="A40" t="s">
        <v>158</v>
      </c>
      <c r="B40" t="s">
        <v>159</v>
      </c>
      <c r="C40" t="s">
        <v>160</v>
      </c>
      <c r="D40" t="s">
        <v>64</v>
      </c>
      <c r="E40" t="s">
        <v>65</v>
      </c>
      <c r="F40" t="s">
        <v>35</v>
      </c>
      <c r="G40" t="s">
        <v>36</v>
      </c>
      <c r="H40">
        <v>1</v>
      </c>
      <c r="I40">
        <v>80.099999999999994</v>
      </c>
      <c r="J40">
        <v>80.099999999999994</v>
      </c>
      <c r="K40">
        <v>85</v>
      </c>
      <c r="L40" t="s">
        <v>29</v>
      </c>
      <c r="M40" t="s">
        <v>22</v>
      </c>
      <c r="N40">
        <v>80.099999999999994</v>
      </c>
      <c r="Q40">
        <f>VLOOKUP(ecommerce_order__1[[#This Row],[product_sku]],F:J,5,FALSE)</f>
        <v>45</v>
      </c>
    </row>
    <row r="41" spans="1:17" x14ac:dyDescent="0.3">
      <c r="A41" t="s">
        <v>161</v>
      </c>
      <c r="B41" t="s">
        <v>162</v>
      </c>
      <c r="C41" t="s">
        <v>163</v>
      </c>
      <c r="D41" t="s">
        <v>90</v>
      </c>
      <c r="E41" t="s">
        <v>41</v>
      </c>
      <c r="F41" t="s">
        <v>42</v>
      </c>
      <c r="G41" t="s">
        <v>43</v>
      </c>
      <c r="H41">
        <v>1</v>
      </c>
      <c r="I41">
        <v>95</v>
      </c>
      <c r="J41">
        <v>95</v>
      </c>
      <c r="K41">
        <v>0.19</v>
      </c>
      <c r="L41" t="s">
        <v>29</v>
      </c>
      <c r="M41" t="s">
        <v>22</v>
      </c>
      <c r="N41">
        <v>95</v>
      </c>
      <c r="Q41">
        <f>VLOOKUP(ecommerce_order__1[[#This Row],[product_sku]],F:J,5,FALSE)</f>
        <v>71.099999999999994</v>
      </c>
    </row>
    <row r="42" spans="1:17" x14ac:dyDescent="0.3">
      <c r="A42" t="s">
        <v>164</v>
      </c>
      <c r="B42" t="s">
        <v>165</v>
      </c>
      <c r="C42" t="s">
        <v>166</v>
      </c>
      <c r="D42" t="s">
        <v>64</v>
      </c>
      <c r="E42" t="s">
        <v>41</v>
      </c>
      <c r="F42" t="s">
        <v>72</v>
      </c>
      <c r="G42" t="s">
        <v>73</v>
      </c>
      <c r="H42">
        <v>3</v>
      </c>
      <c r="I42">
        <v>11.25</v>
      </c>
      <c r="J42">
        <v>33.75</v>
      </c>
      <c r="K42">
        <v>0.41</v>
      </c>
      <c r="L42" t="s">
        <v>29</v>
      </c>
      <c r="M42" t="s">
        <v>22</v>
      </c>
      <c r="N42">
        <v>11.25</v>
      </c>
      <c r="Q42">
        <f>VLOOKUP(ecommerce_order__1[[#This Row],[product_sku]],F:J,5,FALSE)</f>
        <v>45</v>
      </c>
    </row>
    <row r="43" spans="1:17" x14ac:dyDescent="0.3">
      <c r="A43" t="s">
        <v>167</v>
      </c>
      <c r="B43" t="s">
        <v>168</v>
      </c>
      <c r="C43" t="s">
        <v>169</v>
      </c>
      <c r="D43" t="s">
        <v>40</v>
      </c>
      <c r="E43" t="s">
        <v>26</v>
      </c>
      <c r="F43" t="s">
        <v>85</v>
      </c>
      <c r="G43" t="s">
        <v>86</v>
      </c>
      <c r="H43">
        <v>2</v>
      </c>
      <c r="I43">
        <v>21.6</v>
      </c>
      <c r="J43">
        <v>43.2</v>
      </c>
      <c r="K43">
        <v>0.64</v>
      </c>
      <c r="L43" t="s">
        <v>21</v>
      </c>
      <c r="M43" t="s">
        <v>57</v>
      </c>
      <c r="N43">
        <v>21.6</v>
      </c>
      <c r="Q43">
        <f>VLOOKUP(ecommerce_order__1[[#This Row],[product_sku]],F:J,5,FALSE)</f>
        <v>387</v>
      </c>
    </row>
    <row r="44" spans="1:17" x14ac:dyDescent="0.3">
      <c r="A44" t="s">
        <v>170</v>
      </c>
      <c r="B44" t="s">
        <v>171</v>
      </c>
      <c r="C44" t="s">
        <v>172</v>
      </c>
      <c r="D44" t="s">
        <v>97</v>
      </c>
      <c r="E44" t="s">
        <v>34</v>
      </c>
      <c r="F44" t="s">
        <v>48</v>
      </c>
      <c r="G44" t="s">
        <v>49</v>
      </c>
      <c r="H44">
        <v>2</v>
      </c>
      <c r="I44">
        <v>89</v>
      </c>
      <c r="J44">
        <v>178</v>
      </c>
      <c r="K44">
        <v>380</v>
      </c>
      <c r="L44" t="s">
        <v>29</v>
      </c>
      <c r="M44" t="s">
        <v>22</v>
      </c>
      <c r="N44">
        <v>89</v>
      </c>
      <c r="Q44">
        <f>VLOOKUP(ecommerce_order__1[[#This Row],[product_sku]],F:J,5,FALSE)</f>
        <v>21.6</v>
      </c>
    </row>
    <row r="45" spans="1:17" x14ac:dyDescent="0.3">
      <c r="A45" t="s">
        <v>173</v>
      </c>
      <c r="B45" t="s">
        <v>174</v>
      </c>
      <c r="C45" t="s">
        <v>175</v>
      </c>
      <c r="D45" t="s">
        <v>40</v>
      </c>
      <c r="E45" t="s">
        <v>34</v>
      </c>
      <c r="F45" t="s">
        <v>80</v>
      </c>
      <c r="G45" t="s">
        <v>81</v>
      </c>
      <c r="H45">
        <v>1</v>
      </c>
      <c r="J45">
        <v>80.099999999999994</v>
      </c>
      <c r="K45">
        <v>340</v>
      </c>
      <c r="L45" t="s">
        <v>29</v>
      </c>
      <c r="M45" t="s">
        <v>22</v>
      </c>
      <c r="Q45">
        <f>VLOOKUP(ecommerce_order__1[[#This Row],[product_sku]],F:J,5,FALSE)</f>
        <v>348.3</v>
      </c>
    </row>
    <row r="46" spans="1:17" x14ac:dyDescent="0.3">
      <c r="A46" t="s">
        <v>176</v>
      </c>
      <c r="B46" t="s">
        <v>177</v>
      </c>
      <c r="C46" t="s">
        <v>178</v>
      </c>
      <c r="D46" t="s">
        <v>33</v>
      </c>
      <c r="E46" t="s">
        <v>18</v>
      </c>
      <c r="F46" t="s">
        <v>80</v>
      </c>
      <c r="G46" t="s">
        <v>81</v>
      </c>
      <c r="H46">
        <v>3</v>
      </c>
      <c r="I46">
        <v>129</v>
      </c>
      <c r="J46">
        <v>387</v>
      </c>
      <c r="K46">
        <v>0.34</v>
      </c>
      <c r="L46" t="s">
        <v>29</v>
      </c>
      <c r="M46" t="s">
        <v>22</v>
      </c>
      <c r="N46">
        <v>129</v>
      </c>
      <c r="Q46">
        <f>VLOOKUP(ecommerce_order__1[[#This Row],[product_sku]],F:J,5,FALSE)</f>
        <v>348.3</v>
      </c>
    </row>
    <row r="47" spans="1:17" x14ac:dyDescent="0.3">
      <c r="A47" t="s">
        <v>179</v>
      </c>
      <c r="B47" t="s">
        <v>180</v>
      </c>
      <c r="C47" t="s">
        <v>181</v>
      </c>
      <c r="D47" t="s">
        <v>60</v>
      </c>
      <c r="E47" t="s">
        <v>65</v>
      </c>
      <c r="F47" t="s">
        <v>72</v>
      </c>
      <c r="G47" t="s">
        <v>73</v>
      </c>
      <c r="H47">
        <v>2</v>
      </c>
      <c r="I47">
        <v>129</v>
      </c>
      <c r="J47">
        <v>258</v>
      </c>
      <c r="K47">
        <v>0.41</v>
      </c>
      <c r="L47" t="s">
        <v>29</v>
      </c>
      <c r="M47" t="s">
        <v>22</v>
      </c>
      <c r="N47">
        <v>129</v>
      </c>
      <c r="Q47">
        <f>VLOOKUP(ecommerce_order__1[[#This Row],[product_sku]],F:J,5,FALSE)</f>
        <v>45</v>
      </c>
    </row>
    <row r="48" spans="1:17" x14ac:dyDescent="0.3">
      <c r="A48" t="s">
        <v>182</v>
      </c>
      <c r="B48" t="s">
        <v>183</v>
      </c>
      <c r="C48" t="s">
        <v>184</v>
      </c>
      <c r="D48" t="s">
        <v>33</v>
      </c>
      <c r="E48" t="s">
        <v>18</v>
      </c>
      <c r="F48" t="s">
        <v>85</v>
      </c>
      <c r="G48" t="s">
        <v>86</v>
      </c>
      <c r="H48">
        <v>2</v>
      </c>
      <c r="J48">
        <v>171</v>
      </c>
      <c r="K48">
        <v>640</v>
      </c>
      <c r="L48" t="s">
        <v>29</v>
      </c>
      <c r="M48" t="s">
        <v>57</v>
      </c>
      <c r="Q48">
        <f>VLOOKUP(ecommerce_order__1[[#This Row],[product_sku]],F:J,5,FALSE)</f>
        <v>387</v>
      </c>
    </row>
    <row r="49" spans="1:17" x14ac:dyDescent="0.3">
      <c r="A49" t="s">
        <v>185</v>
      </c>
      <c r="B49" t="s">
        <v>186</v>
      </c>
      <c r="C49" t="s">
        <v>187</v>
      </c>
      <c r="D49" t="s">
        <v>60</v>
      </c>
      <c r="E49" t="s">
        <v>65</v>
      </c>
      <c r="F49" t="s">
        <v>72</v>
      </c>
      <c r="G49" t="s">
        <v>73</v>
      </c>
      <c r="H49">
        <v>1</v>
      </c>
      <c r="I49">
        <v>89</v>
      </c>
      <c r="J49">
        <v>89</v>
      </c>
      <c r="K49">
        <v>410</v>
      </c>
      <c r="L49" t="s">
        <v>29</v>
      </c>
      <c r="M49" t="s">
        <v>22</v>
      </c>
      <c r="N49">
        <v>89</v>
      </c>
      <c r="Q49">
        <f>VLOOKUP(ecommerce_order__1[[#This Row],[product_sku]],F:J,5,FALSE)</f>
        <v>45</v>
      </c>
    </row>
    <row r="50" spans="1:17" x14ac:dyDescent="0.3">
      <c r="A50" t="s">
        <v>188</v>
      </c>
      <c r="B50" t="s">
        <v>189</v>
      </c>
      <c r="C50" t="s">
        <v>190</v>
      </c>
      <c r="D50" t="s">
        <v>112</v>
      </c>
      <c r="E50" t="s">
        <v>34</v>
      </c>
      <c r="F50" t="s">
        <v>80</v>
      </c>
      <c r="G50" t="s">
        <v>81</v>
      </c>
      <c r="H50">
        <v>1</v>
      </c>
      <c r="I50">
        <v>95</v>
      </c>
      <c r="J50">
        <v>95</v>
      </c>
      <c r="K50">
        <v>340</v>
      </c>
      <c r="L50" t="s">
        <v>21</v>
      </c>
      <c r="M50" t="s">
        <v>22</v>
      </c>
      <c r="N50">
        <v>95</v>
      </c>
      <c r="Q50">
        <f>VLOOKUP(ecommerce_order__1[[#This Row],[product_sku]],F:J,5,FALSE)</f>
        <v>348.3</v>
      </c>
    </row>
    <row r="51" spans="1:17" x14ac:dyDescent="0.3">
      <c r="A51" t="s">
        <v>191</v>
      </c>
      <c r="B51" t="s">
        <v>192</v>
      </c>
      <c r="C51" t="s">
        <v>193</v>
      </c>
      <c r="D51" t="s">
        <v>60</v>
      </c>
      <c r="E51" t="s">
        <v>18</v>
      </c>
      <c r="F51" t="s">
        <v>80</v>
      </c>
      <c r="G51" t="s">
        <v>81</v>
      </c>
      <c r="H51">
        <v>2</v>
      </c>
      <c r="I51">
        <v>89</v>
      </c>
      <c r="J51">
        <v>178</v>
      </c>
      <c r="K51">
        <v>340</v>
      </c>
      <c r="L51" t="s">
        <v>29</v>
      </c>
      <c r="M51" t="s">
        <v>22</v>
      </c>
      <c r="N51">
        <v>89</v>
      </c>
      <c r="Q51">
        <f>VLOOKUP(ecommerce_order__1[[#This Row],[product_sku]],F:J,5,FALSE)</f>
        <v>348.3</v>
      </c>
    </row>
    <row r="52" spans="1:17" x14ac:dyDescent="0.3">
      <c r="A52" t="s">
        <v>194</v>
      </c>
      <c r="B52" t="s">
        <v>195</v>
      </c>
      <c r="C52" t="s">
        <v>196</v>
      </c>
      <c r="D52" t="s">
        <v>97</v>
      </c>
      <c r="E52" t="s">
        <v>41</v>
      </c>
      <c r="F52" t="s">
        <v>42</v>
      </c>
      <c r="G52" t="s">
        <v>43</v>
      </c>
      <c r="H52">
        <v>-1</v>
      </c>
      <c r="I52">
        <v>149</v>
      </c>
      <c r="J52">
        <v>-149</v>
      </c>
      <c r="K52">
        <v>0.19</v>
      </c>
      <c r="L52" t="s">
        <v>29</v>
      </c>
      <c r="M52" t="s">
        <v>22</v>
      </c>
      <c r="N52">
        <v>149</v>
      </c>
      <c r="Q52">
        <f>VLOOKUP(ecommerce_order__1[[#This Row],[product_sku]],F:J,5,FALSE)</f>
        <v>71.099999999999994</v>
      </c>
    </row>
    <row r="53" spans="1:17" x14ac:dyDescent="0.3">
      <c r="A53" t="s">
        <v>197</v>
      </c>
      <c r="B53" t="s">
        <v>95</v>
      </c>
      <c r="C53" t="s">
        <v>198</v>
      </c>
      <c r="D53" t="s">
        <v>47</v>
      </c>
      <c r="E53" t="s">
        <v>26</v>
      </c>
      <c r="F53" t="s">
        <v>35</v>
      </c>
      <c r="G53" t="s">
        <v>36</v>
      </c>
      <c r="H53">
        <v>3</v>
      </c>
      <c r="I53">
        <v>24</v>
      </c>
      <c r="J53">
        <v>72</v>
      </c>
      <c r="K53">
        <v>8.5000000000000006E-2</v>
      </c>
      <c r="L53" t="s">
        <v>29</v>
      </c>
      <c r="M53" t="s">
        <v>22</v>
      </c>
      <c r="N53">
        <v>24</v>
      </c>
      <c r="Q53">
        <f>VLOOKUP(ecommerce_order__1[[#This Row],[product_sku]],F:J,5,FALSE)</f>
        <v>45</v>
      </c>
    </row>
    <row r="54" spans="1:17" x14ac:dyDescent="0.3">
      <c r="A54" t="s">
        <v>199</v>
      </c>
      <c r="B54" t="s">
        <v>200</v>
      </c>
      <c r="C54" t="s">
        <v>25</v>
      </c>
      <c r="D54" t="s">
        <v>33</v>
      </c>
      <c r="E54" t="s">
        <v>34</v>
      </c>
      <c r="F54" t="s">
        <v>80</v>
      </c>
      <c r="G54" t="s">
        <v>81</v>
      </c>
      <c r="H54">
        <v>2</v>
      </c>
      <c r="I54">
        <v>85.5</v>
      </c>
      <c r="J54">
        <v>171</v>
      </c>
      <c r="K54">
        <v>0.34</v>
      </c>
      <c r="L54" t="s">
        <v>21</v>
      </c>
      <c r="M54" t="s">
        <v>22</v>
      </c>
      <c r="N54">
        <v>85.5</v>
      </c>
      <c r="Q54">
        <f>VLOOKUP(ecommerce_order__1[[#This Row],[product_sku]],F:J,5,FALSE)</f>
        <v>348.3</v>
      </c>
    </row>
    <row r="55" spans="1:17" x14ac:dyDescent="0.3">
      <c r="A55" t="s">
        <v>201</v>
      </c>
      <c r="B55" t="s">
        <v>202</v>
      </c>
      <c r="C55" t="s">
        <v>203</v>
      </c>
      <c r="D55" t="s">
        <v>33</v>
      </c>
      <c r="E55" t="s">
        <v>41</v>
      </c>
      <c r="F55" t="s">
        <v>72</v>
      </c>
      <c r="G55" t="s">
        <v>73</v>
      </c>
      <c r="H55">
        <v>3</v>
      </c>
      <c r="I55">
        <v>24</v>
      </c>
      <c r="J55">
        <v>72</v>
      </c>
      <c r="K55">
        <v>0.41</v>
      </c>
      <c r="L55" t="s">
        <v>29</v>
      </c>
      <c r="M55" t="s">
        <v>57</v>
      </c>
      <c r="N55">
        <v>24</v>
      </c>
      <c r="Q55">
        <f>VLOOKUP(ecommerce_order__1[[#This Row],[product_sku]],F:J,5,FALSE)</f>
        <v>45</v>
      </c>
    </row>
    <row r="56" spans="1:17" x14ac:dyDescent="0.3">
      <c r="A56" t="s">
        <v>204</v>
      </c>
      <c r="B56" t="s">
        <v>205</v>
      </c>
      <c r="C56" t="s">
        <v>206</v>
      </c>
      <c r="D56" t="s">
        <v>90</v>
      </c>
      <c r="E56" t="s">
        <v>18</v>
      </c>
      <c r="F56" t="s">
        <v>48</v>
      </c>
      <c r="G56" t="s">
        <v>49</v>
      </c>
      <c r="H56">
        <v>1</v>
      </c>
      <c r="I56">
        <v>11.25</v>
      </c>
      <c r="J56">
        <v>11.25</v>
      </c>
      <c r="K56">
        <v>380</v>
      </c>
      <c r="L56" t="s">
        <v>29</v>
      </c>
      <c r="M56" t="s">
        <v>22</v>
      </c>
      <c r="N56">
        <v>11.25</v>
      </c>
      <c r="Q56">
        <f>VLOOKUP(ecommerce_order__1[[#This Row],[product_sku]],F:J,5,FALSE)</f>
        <v>21.6</v>
      </c>
    </row>
    <row r="57" spans="1:17" x14ac:dyDescent="0.3">
      <c r="A57" t="s">
        <v>207</v>
      </c>
      <c r="B57" t="s">
        <v>208</v>
      </c>
      <c r="C57" t="s">
        <v>209</v>
      </c>
      <c r="D57" t="s">
        <v>40</v>
      </c>
      <c r="E57" t="s">
        <v>65</v>
      </c>
      <c r="F57" t="s">
        <v>27</v>
      </c>
      <c r="G57" t="s">
        <v>28</v>
      </c>
      <c r="H57">
        <v>2</v>
      </c>
      <c r="I57">
        <v>11.25</v>
      </c>
      <c r="J57">
        <v>22.5</v>
      </c>
      <c r="K57">
        <v>520</v>
      </c>
      <c r="L57" t="s">
        <v>29</v>
      </c>
      <c r="M57" t="s">
        <v>22</v>
      </c>
      <c r="N57">
        <v>11.25</v>
      </c>
      <c r="Q57">
        <f>VLOOKUP(ecommerce_order__1[[#This Row],[product_sku]],F:J,5,FALSE)</f>
        <v>71.099999999999994</v>
      </c>
    </row>
    <row r="58" spans="1:17" x14ac:dyDescent="0.3">
      <c r="A58" t="s">
        <v>210</v>
      </c>
      <c r="B58" t="s">
        <v>211</v>
      </c>
      <c r="C58" t="s">
        <v>212</v>
      </c>
      <c r="D58" t="s">
        <v>90</v>
      </c>
      <c r="E58" t="s">
        <v>41</v>
      </c>
      <c r="F58" t="s">
        <v>19</v>
      </c>
      <c r="G58" t="s">
        <v>20</v>
      </c>
      <c r="H58">
        <v>2</v>
      </c>
      <c r="I58">
        <v>95</v>
      </c>
      <c r="J58">
        <v>171</v>
      </c>
      <c r="K58">
        <v>0.52</v>
      </c>
      <c r="L58" t="s">
        <v>29</v>
      </c>
      <c r="M58" t="s">
        <v>22</v>
      </c>
      <c r="N58">
        <v>95</v>
      </c>
      <c r="Q58">
        <f>VLOOKUP(ecommerce_order__1[[#This Row],[product_sku]],F:J,5,FALSE)</f>
        <v>36</v>
      </c>
    </row>
    <row r="59" spans="1:17" x14ac:dyDescent="0.3">
      <c r="A59" t="s">
        <v>213</v>
      </c>
      <c r="B59" t="s">
        <v>214</v>
      </c>
      <c r="C59" t="s">
        <v>215</v>
      </c>
      <c r="D59" t="s">
        <v>60</v>
      </c>
      <c r="E59" t="s">
        <v>18</v>
      </c>
      <c r="F59" t="s">
        <v>27</v>
      </c>
      <c r="G59" t="s">
        <v>28</v>
      </c>
      <c r="H59">
        <v>1</v>
      </c>
      <c r="J59">
        <v>116.1</v>
      </c>
      <c r="K59">
        <v>520</v>
      </c>
      <c r="L59" t="s">
        <v>21</v>
      </c>
      <c r="M59" t="s">
        <v>22</v>
      </c>
      <c r="Q59">
        <f>VLOOKUP(ecommerce_order__1[[#This Row],[product_sku]],F:J,5,FALSE)</f>
        <v>71.099999999999994</v>
      </c>
    </row>
    <row r="60" spans="1:17" x14ac:dyDescent="0.3">
      <c r="A60" t="s">
        <v>216</v>
      </c>
      <c r="B60" t="s">
        <v>217</v>
      </c>
      <c r="C60" t="s">
        <v>218</v>
      </c>
      <c r="D60" t="s">
        <v>47</v>
      </c>
      <c r="E60" t="s">
        <v>18</v>
      </c>
      <c r="F60" t="s">
        <v>85</v>
      </c>
      <c r="G60" t="s">
        <v>86</v>
      </c>
      <c r="H60">
        <v>2</v>
      </c>
      <c r="I60">
        <v>40.5</v>
      </c>
      <c r="J60">
        <v>81</v>
      </c>
      <c r="K60">
        <v>0.64</v>
      </c>
      <c r="L60" t="s">
        <v>29</v>
      </c>
      <c r="M60" t="s">
        <v>22</v>
      </c>
      <c r="N60">
        <v>40.5</v>
      </c>
      <c r="Q60">
        <f>VLOOKUP(ecommerce_order__1[[#This Row],[product_sku]],F:J,5,FALSE)</f>
        <v>387</v>
      </c>
    </row>
    <row r="61" spans="1:17" x14ac:dyDescent="0.3">
      <c r="A61" t="s">
        <v>219</v>
      </c>
      <c r="B61" t="s">
        <v>220</v>
      </c>
      <c r="C61" t="s">
        <v>221</v>
      </c>
      <c r="D61" t="s">
        <v>40</v>
      </c>
      <c r="E61" t="s">
        <v>41</v>
      </c>
      <c r="F61" t="s">
        <v>27</v>
      </c>
      <c r="G61" t="s">
        <v>28</v>
      </c>
      <c r="H61">
        <v>1</v>
      </c>
      <c r="I61">
        <v>85.5</v>
      </c>
      <c r="J61">
        <v>85.5</v>
      </c>
      <c r="K61">
        <v>0.52</v>
      </c>
      <c r="L61" t="s">
        <v>21</v>
      </c>
      <c r="M61" t="s">
        <v>22</v>
      </c>
      <c r="N61">
        <v>85.5</v>
      </c>
      <c r="Q61">
        <f>VLOOKUP(ecommerce_order__1[[#This Row],[product_sku]],F:J,5,FALSE)</f>
        <v>71.099999999999994</v>
      </c>
    </row>
    <row r="62" spans="1:17" x14ac:dyDescent="0.3">
      <c r="A62" t="s">
        <v>222</v>
      </c>
      <c r="B62" t="s">
        <v>223</v>
      </c>
      <c r="C62" t="s">
        <v>224</v>
      </c>
      <c r="D62" t="s">
        <v>64</v>
      </c>
      <c r="E62" t="s">
        <v>18</v>
      </c>
      <c r="F62" t="s">
        <v>35</v>
      </c>
      <c r="G62" t="s">
        <v>36</v>
      </c>
      <c r="H62">
        <v>2</v>
      </c>
      <c r="I62">
        <v>40.5</v>
      </c>
      <c r="J62">
        <v>81</v>
      </c>
      <c r="K62">
        <v>8.5000000000000006E-2</v>
      </c>
      <c r="L62" t="s">
        <v>29</v>
      </c>
      <c r="M62" t="s">
        <v>57</v>
      </c>
      <c r="N62">
        <v>40.5</v>
      </c>
      <c r="Q62">
        <f>VLOOKUP(ecommerce_order__1[[#This Row],[product_sku]],F:J,5,FALSE)</f>
        <v>45</v>
      </c>
    </row>
    <row r="63" spans="1:17" x14ac:dyDescent="0.3">
      <c r="A63" t="s">
        <v>225</v>
      </c>
      <c r="B63" t="s">
        <v>226</v>
      </c>
      <c r="C63" t="s">
        <v>227</v>
      </c>
      <c r="D63" t="s">
        <v>90</v>
      </c>
      <c r="E63" t="s">
        <v>41</v>
      </c>
      <c r="F63" t="s">
        <v>19</v>
      </c>
      <c r="G63" t="s">
        <v>20</v>
      </c>
      <c r="H63">
        <v>2</v>
      </c>
      <c r="I63">
        <v>85.5</v>
      </c>
      <c r="J63">
        <v>171</v>
      </c>
      <c r="K63">
        <v>0.52</v>
      </c>
      <c r="L63" t="s">
        <v>29</v>
      </c>
      <c r="M63" t="s">
        <v>22</v>
      </c>
      <c r="N63">
        <v>85.5</v>
      </c>
      <c r="Q63">
        <f>VLOOKUP(ecommerce_order__1[[#This Row],[product_sku]],F:J,5,FALSE)</f>
        <v>36</v>
      </c>
    </row>
    <row r="64" spans="1:17" x14ac:dyDescent="0.3">
      <c r="A64" t="s">
        <v>228</v>
      </c>
      <c r="B64" t="s">
        <v>229</v>
      </c>
      <c r="C64" t="s">
        <v>230</v>
      </c>
      <c r="D64" t="s">
        <v>112</v>
      </c>
      <c r="E64" t="s">
        <v>41</v>
      </c>
      <c r="F64" t="s">
        <v>80</v>
      </c>
      <c r="G64" t="s">
        <v>81</v>
      </c>
      <c r="H64">
        <v>3</v>
      </c>
      <c r="I64">
        <v>11.25</v>
      </c>
      <c r="J64">
        <v>33.75</v>
      </c>
      <c r="K64">
        <v>340</v>
      </c>
      <c r="L64" t="s">
        <v>29</v>
      </c>
      <c r="M64" t="s">
        <v>22</v>
      </c>
      <c r="N64">
        <v>11.25</v>
      </c>
      <c r="Q64">
        <f>VLOOKUP(ecommerce_order__1[[#This Row],[product_sku]],F:J,5,FALSE)</f>
        <v>348.3</v>
      </c>
    </row>
    <row r="65" spans="1:17" x14ac:dyDescent="0.3">
      <c r="A65" t="s">
        <v>231</v>
      </c>
      <c r="B65" t="s">
        <v>232</v>
      </c>
      <c r="C65" t="s">
        <v>233</v>
      </c>
      <c r="D65" t="s">
        <v>64</v>
      </c>
      <c r="E65" t="s">
        <v>18</v>
      </c>
      <c r="F65" t="s">
        <v>19</v>
      </c>
      <c r="G65" t="s">
        <v>20</v>
      </c>
      <c r="H65">
        <v>3</v>
      </c>
      <c r="I65">
        <v>79</v>
      </c>
      <c r="J65">
        <v>237</v>
      </c>
      <c r="K65">
        <v>520</v>
      </c>
      <c r="L65" t="s">
        <v>29</v>
      </c>
      <c r="M65" t="s">
        <v>22</v>
      </c>
      <c r="N65">
        <v>79</v>
      </c>
      <c r="Q65">
        <f>VLOOKUP(ecommerce_order__1[[#This Row],[product_sku]],F:J,5,FALSE)</f>
        <v>36</v>
      </c>
    </row>
    <row r="66" spans="1:17" x14ac:dyDescent="0.3">
      <c r="A66" t="s">
        <v>234</v>
      </c>
      <c r="B66" t="s">
        <v>235</v>
      </c>
      <c r="C66" t="s">
        <v>236</v>
      </c>
      <c r="D66" t="s">
        <v>17</v>
      </c>
      <c r="E66" t="s">
        <v>65</v>
      </c>
      <c r="F66" t="s">
        <v>80</v>
      </c>
      <c r="G66" t="s">
        <v>81</v>
      </c>
      <c r="H66">
        <v>3</v>
      </c>
      <c r="I66">
        <v>89</v>
      </c>
      <c r="J66">
        <v>267</v>
      </c>
      <c r="K66">
        <v>0.34</v>
      </c>
      <c r="L66" t="s">
        <v>29</v>
      </c>
      <c r="M66" t="s">
        <v>22</v>
      </c>
      <c r="N66">
        <v>89</v>
      </c>
      <c r="Q66">
        <f>VLOOKUP(ecommerce_order__1[[#This Row],[product_sku]],F:J,5,FALSE)</f>
        <v>348.3</v>
      </c>
    </row>
    <row r="67" spans="1:17" x14ac:dyDescent="0.3">
      <c r="A67" t="s">
        <v>237</v>
      </c>
      <c r="B67" t="s">
        <v>238</v>
      </c>
      <c r="C67" t="s">
        <v>239</v>
      </c>
      <c r="D67" t="s">
        <v>17</v>
      </c>
      <c r="E67" t="s">
        <v>18</v>
      </c>
      <c r="F67" t="s">
        <v>72</v>
      </c>
      <c r="G67" t="s">
        <v>73</v>
      </c>
      <c r="H67">
        <v>2</v>
      </c>
      <c r="I67">
        <v>45</v>
      </c>
      <c r="J67">
        <v>90</v>
      </c>
      <c r="K67">
        <v>410</v>
      </c>
      <c r="L67" t="s">
        <v>29</v>
      </c>
      <c r="M67" t="s">
        <v>22</v>
      </c>
      <c r="N67">
        <v>45</v>
      </c>
      <c r="Q67">
        <f>VLOOKUP(ecommerce_order__1[[#This Row],[product_sku]],F:J,5,FALSE)</f>
        <v>45</v>
      </c>
    </row>
    <row r="68" spans="1:17" x14ac:dyDescent="0.3">
      <c r="A68" t="s">
        <v>240</v>
      </c>
      <c r="B68" t="s">
        <v>24</v>
      </c>
      <c r="C68" t="s">
        <v>241</v>
      </c>
      <c r="D68" t="s">
        <v>97</v>
      </c>
      <c r="E68" t="s">
        <v>41</v>
      </c>
      <c r="F68" t="s">
        <v>72</v>
      </c>
      <c r="G68" t="s">
        <v>73</v>
      </c>
      <c r="H68">
        <v>3</v>
      </c>
      <c r="I68">
        <v>129</v>
      </c>
      <c r="J68">
        <v>387</v>
      </c>
      <c r="K68">
        <v>0.41</v>
      </c>
      <c r="L68" t="s">
        <v>29</v>
      </c>
      <c r="M68" t="s">
        <v>22</v>
      </c>
      <c r="N68">
        <v>129</v>
      </c>
      <c r="Q68">
        <f>VLOOKUP(ecommerce_order__1[[#This Row],[product_sku]],F:J,5,FALSE)</f>
        <v>45</v>
      </c>
    </row>
    <row r="69" spans="1:17" x14ac:dyDescent="0.3">
      <c r="A69" t="s">
        <v>242</v>
      </c>
      <c r="B69" t="s">
        <v>243</v>
      </c>
      <c r="C69" t="s">
        <v>244</v>
      </c>
      <c r="D69" t="s">
        <v>17</v>
      </c>
      <c r="E69" t="s">
        <v>65</v>
      </c>
      <c r="F69" t="s">
        <v>48</v>
      </c>
      <c r="G69" t="s">
        <v>49</v>
      </c>
      <c r="H69">
        <v>2</v>
      </c>
      <c r="I69">
        <v>129</v>
      </c>
      <c r="J69">
        <v>258</v>
      </c>
      <c r="K69">
        <v>0.38</v>
      </c>
      <c r="L69" t="s">
        <v>29</v>
      </c>
      <c r="M69" t="s">
        <v>57</v>
      </c>
      <c r="N69">
        <v>129</v>
      </c>
      <c r="Q69">
        <f>VLOOKUP(ecommerce_order__1[[#This Row],[product_sku]],F:J,5,FALSE)</f>
        <v>21.6</v>
      </c>
    </row>
    <row r="70" spans="1:17" x14ac:dyDescent="0.3">
      <c r="A70" t="s">
        <v>245</v>
      </c>
      <c r="B70" t="s">
        <v>202</v>
      </c>
      <c r="C70" t="s">
        <v>246</v>
      </c>
      <c r="D70" t="s">
        <v>47</v>
      </c>
      <c r="E70" t="s">
        <v>65</v>
      </c>
      <c r="F70" t="s">
        <v>35</v>
      </c>
      <c r="G70" t="s">
        <v>36</v>
      </c>
      <c r="H70">
        <v>1</v>
      </c>
      <c r="I70">
        <v>116.1</v>
      </c>
      <c r="J70">
        <v>116.1</v>
      </c>
      <c r="K70">
        <v>8.5000000000000006E-2</v>
      </c>
      <c r="L70" t="s">
        <v>29</v>
      </c>
      <c r="M70" t="s">
        <v>22</v>
      </c>
      <c r="N70">
        <v>116.1</v>
      </c>
      <c r="Q70">
        <f>VLOOKUP(ecommerce_order__1[[#This Row],[product_sku]],F:J,5,FALSE)</f>
        <v>45</v>
      </c>
    </row>
    <row r="71" spans="1:17" x14ac:dyDescent="0.3">
      <c r="A71" t="s">
        <v>247</v>
      </c>
      <c r="B71" t="s">
        <v>15</v>
      </c>
      <c r="C71" t="s">
        <v>248</v>
      </c>
      <c r="D71" t="s">
        <v>53</v>
      </c>
      <c r="E71" t="s">
        <v>18</v>
      </c>
      <c r="F71" t="s">
        <v>48</v>
      </c>
      <c r="G71" t="s">
        <v>49</v>
      </c>
      <c r="H71">
        <v>2</v>
      </c>
      <c r="I71">
        <v>24</v>
      </c>
      <c r="J71">
        <v>48</v>
      </c>
      <c r="K71">
        <v>380</v>
      </c>
      <c r="L71" t="s">
        <v>21</v>
      </c>
      <c r="M71" t="s">
        <v>22</v>
      </c>
      <c r="N71">
        <v>24</v>
      </c>
      <c r="Q71">
        <f>VLOOKUP(ecommerce_order__1[[#This Row],[product_sku]],F:J,5,FALSE)</f>
        <v>21.6</v>
      </c>
    </row>
    <row r="72" spans="1:17" x14ac:dyDescent="0.3">
      <c r="A72" t="s">
        <v>249</v>
      </c>
      <c r="B72" t="s">
        <v>250</v>
      </c>
      <c r="C72" t="s">
        <v>251</v>
      </c>
      <c r="D72" t="s">
        <v>33</v>
      </c>
      <c r="E72" t="s">
        <v>26</v>
      </c>
      <c r="F72" t="s">
        <v>42</v>
      </c>
      <c r="G72" t="s">
        <v>43</v>
      </c>
      <c r="H72">
        <v>1</v>
      </c>
      <c r="I72">
        <v>129</v>
      </c>
      <c r="J72">
        <v>103.2</v>
      </c>
      <c r="K72">
        <v>190</v>
      </c>
      <c r="L72" t="s">
        <v>29</v>
      </c>
      <c r="M72" t="s">
        <v>57</v>
      </c>
      <c r="N72">
        <v>129</v>
      </c>
      <c r="Q72">
        <f>VLOOKUP(ecommerce_order__1[[#This Row],[product_sku]],F:J,5,FALSE)</f>
        <v>71.099999999999994</v>
      </c>
    </row>
    <row r="73" spans="1:17" x14ac:dyDescent="0.3">
      <c r="A73" t="s">
        <v>252</v>
      </c>
      <c r="B73" t="s">
        <v>253</v>
      </c>
      <c r="C73" t="s">
        <v>254</v>
      </c>
      <c r="D73" t="s">
        <v>47</v>
      </c>
      <c r="E73" t="s">
        <v>26</v>
      </c>
      <c r="F73" t="s">
        <v>72</v>
      </c>
      <c r="G73" t="s">
        <v>73</v>
      </c>
      <c r="H73">
        <v>1</v>
      </c>
      <c r="I73">
        <v>12.5</v>
      </c>
      <c r="J73">
        <v>12.5</v>
      </c>
      <c r="K73">
        <v>0.41</v>
      </c>
      <c r="L73" t="s">
        <v>29</v>
      </c>
      <c r="M73" t="s">
        <v>22</v>
      </c>
      <c r="N73">
        <v>12.5</v>
      </c>
      <c r="Q73">
        <f>VLOOKUP(ecommerce_order__1[[#This Row],[product_sku]],F:J,5,FALSE)</f>
        <v>45</v>
      </c>
    </row>
    <row r="74" spans="1:17" x14ac:dyDescent="0.3">
      <c r="A74" t="s">
        <v>255</v>
      </c>
      <c r="B74" t="s">
        <v>24</v>
      </c>
      <c r="C74" t="s">
        <v>256</v>
      </c>
      <c r="D74" t="s">
        <v>40</v>
      </c>
      <c r="E74" t="s">
        <v>26</v>
      </c>
      <c r="F74" t="s">
        <v>80</v>
      </c>
      <c r="G74" t="s">
        <v>81</v>
      </c>
      <c r="H74">
        <v>3</v>
      </c>
      <c r="I74">
        <v>21.6</v>
      </c>
      <c r="J74">
        <v>64.8</v>
      </c>
      <c r="K74">
        <v>0.34</v>
      </c>
      <c r="L74" t="s">
        <v>29</v>
      </c>
      <c r="M74" t="s">
        <v>22</v>
      </c>
      <c r="N74">
        <v>21.6</v>
      </c>
      <c r="Q74">
        <f>VLOOKUP(ecommerce_order__1[[#This Row],[product_sku]],F:J,5,FALSE)</f>
        <v>348.3</v>
      </c>
    </row>
    <row r="75" spans="1:17" x14ac:dyDescent="0.3">
      <c r="A75" t="s">
        <v>257</v>
      </c>
      <c r="B75" t="s">
        <v>258</v>
      </c>
      <c r="C75" t="s">
        <v>259</v>
      </c>
      <c r="D75" t="s">
        <v>47</v>
      </c>
      <c r="E75" t="s">
        <v>41</v>
      </c>
      <c r="F75" t="s">
        <v>42</v>
      </c>
      <c r="G75" t="s">
        <v>43</v>
      </c>
      <c r="H75">
        <v>1</v>
      </c>
      <c r="I75">
        <v>149</v>
      </c>
      <c r="J75">
        <v>149</v>
      </c>
      <c r="K75">
        <v>0.19</v>
      </c>
      <c r="L75" t="s">
        <v>29</v>
      </c>
      <c r="M75" t="s">
        <v>22</v>
      </c>
      <c r="N75">
        <v>149</v>
      </c>
      <c r="Q75">
        <f>VLOOKUP(ecommerce_order__1[[#This Row],[product_sku]],F:J,5,FALSE)</f>
        <v>71.099999999999994</v>
      </c>
    </row>
    <row r="76" spans="1:17" x14ac:dyDescent="0.3">
      <c r="A76" t="s">
        <v>260</v>
      </c>
      <c r="B76" t="s">
        <v>261</v>
      </c>
      <c r="C76" t="s">
        <v>227</v>
      </c>
      <c r="D76" t="s">
        <v>33</v>
      </c>
      <c r="E76" t="s">
        <v>26</v>
      </c>
      <c r="F76" t="s">
        <v>35</v>
      </c>
      <c r="G76" t="s">
        <v>36</v>
      </c>
      <c r="H76">
        <v>1</v>
      </c>
      <c r="I76">
        <v>79</v>
      </c>
      <c r="J76">
        <v>79</v>
      </c>
      <c r="K76">
        <v>85</v>
      </c>
      <c r="L76" t="s">
        <v>29</v>
      </c>
      <c r="M76" t="s">
        <v>22</v>
      </c>
      <c r="N76">
        <v>79</v>
      </c>
      <c r="Q76">
        <f>VLOOKUP(ecommerce_order__1[[#This Row],[product_sku]],F:J,5,FALSE)</f>
        <v>45</v>
      </c>
    </row>
    <row r="77" spans="1:17" x14ac:dyDescent="0.3">
      <c r="A77" t="s">
        <v>262</v>
      </c>
      <c r="B77" t="s">
        <v>263</v>
      </c>
      <c r="C77" t="s">
        <v>264</v>
      </c>
      <c r="D77" t="s">
        <v>17</v>
      </c>
      <c r="E77" t="s">
        <v>41</v>
      </c>
      <c r="F77" t="s">
        <v>85</v>
      </c>
      <c r="G77" t="s">
        <v>86</v>
      </c>
      <c r="H77">
        <v>1</v>
      </c>
      <c r="I77">
        <v>24</v>
      </c>
      <c r="J77">
        <v>24</v>
      </c>
      <c r="K77">
        <v>640</v>
      </c>
      <c r="L77" t="s">
        <v>29</v>
      </c>
      <c r="M77" t="s">
        <v>22</v>
      </c>
      <c r="N77">
        <v>24</v>
      </c>
      <c r="Q77">
        <f>VLOOKUP(ecommerce_order__1[[#This Row],[product_sku]],F:J,5,FALSE)</f>
        <v>387</v>
      </c>
    </row>
    <row r="78" spans="1:17" x14ac:dyDescent="0.3">
      <c r="A78" t="s">
        <v>265</v>
      </c>
      <c r="B78" t="s">
        <v>189</v>
      </c>
      <c r="C78" t="s">
        <v>266</v>
      </c>
      <c r="D78" t="s">
        <v>40</v>
      </c>
      <c r="E78" t="s">
        <v>41</v>
      </c>
      <c r="F78" t="s">
        <v>19</v>
      </c>
      <c r="G78" t="s">
        <v>20</v>
      </c>
      <c r="H78">
        <v>2</v>
      </c>
      <c r="J78">
        <v>232.2</v>
      </c>
      <c r="K78">
        <v>520</v>
      </c>
      <c r="L78" t="s">
        <v>29</v>
      </c>
      <c r="M78" t="s">
        <v>57</v>
      </c>
      <c r="Q78">
        <f>VLOOKUP(ecommerce_order__1[[#This Row],[product_sku]],F:J,5,FALSE)</f>
        <v>36</v>
      </c>
    </row>
    <row r="79" spans="1:17" x14ac:dyDescent="0.3">
      <c r="A79" t="s">
        <v>267</v>
      </c>
      <c r="B79" t="s">
        <v>268</v>
      </c>
      <c r="C79" t="s">
        <v>269</v>
      </c>
      <c r="D79" t="s">
        <v>90</v>
      </c>
      <c r="E79" t="s">
        <v>34</v>
      </c>
      <c r="F79" t="s">
        <v>42</v>
      </c>
      <c r="G79" t="s">
        <v>43</v>
      </c>
      <c r="H79">
        <v>1</v>
      </c>
      <c r="I79">
        <v>85.5</v>
      </c>
      <c r="J79">
        <v>85.5</v>
      </c>
      <c r="K79">
        <v>0.19</v>
      </c>
      <c r="L79" t="s">
        <v>29</v>
      </c>
      <c r="M79" t="s">
        <v>22</v>
      </c>
      <c r="N79">
        <v>85.5</v>
      </c>
      <c r="Q79">
        <f>VLOOKUP(ecommerce_order__1[[#This Row],[product_sku]],F:J,5,FALSE)</f>
        <v>71.099999999999994</v>
      </c>
    </row>
    <row r="80" spans="1:17" x14ac:dyDescent="0.3">
      <c r="A80" t="s">
        <v>270</v>
      </c>
      <c r="B80" t="s">
        <v>271</v>
      </c>
      <c r="C80" t="s">
        <v>272</v>
      </c>
      <c r="D80" t="s">
        <v>112</v>
      </c>
      <c r="E80" t="s">
        <v>26</v>
      </c>
      <c r="F80" t="s">
        <v>85</v>
      </c>
      <c r="G80" t="s">
        <v>86</v>
      </c>
      <c r="H80">
        <v>2</v>
      </c>
      <c r="I80">
        <v>40.5</v>
      </c>
      <c r="J80">
        <v>81</v>
      </c>
      <c r="K80">
        <v>640</v>
      </c>
      <c r="L80" t="s">
        <v>29</v>
      </c>
      <c r="M80" t="s">
        <v>22</v>
      </c>
      <c r="N80">
        <v>40.5</v>
      </c>
      <c r="Q80">
        <f>VLOOKUP(ecommerce_order__1[[#This Row],[product_sku]],F:J,5,FALSE)</f>
        <v>387</v>
      </c>
    </row>
    <row r="81" spans="1:17" x14ac:dyDescent="0.3">
      <c r="A81" t="s">
        <v>273</v>
      </c>
      <c r="B81" t="s">
        <v>15</v>
      </c>
      <c r="C81" t="s">
        <v>274</v>
      </c>
      <c r="D81" t="s">
        <v>90</v>
      </c>
      <c r="E81" t="s">
        <v>65</v>
      </c>
      <c r="F81" t="s">
        <v>35</v>
      </c>
      <c r="G81" t="s">
        <v>36</v>
      </c>
      <c r="H81">
        <v>1</v>
      </c>
      <c r="I81">
        <v>79</v>
      </c>
      <c r="J81">
        <v>79</v>
      </c>
      <c r="K81">
        <v>85</v>
      </c>
      <c r="L81" t="s">
        <v>21</v>
      </c>
      <c r="M81" t="s">
        <v>22</v>
      </c>
      <c r="N81">
        <v>79</v>
      </c>
      <c r="Q81">
        <f>VLOOKUP(ecommerce_order__1[[#This Row],[product_sku]],F:J,5,FALSE)</f>
        <v>45</v>
      </c>
    </row>
    <row r="82" spans="1:17" x14ac:dyDescent="0.3">
      <c r="A82" t="s">
        <v>275</v>
      </c>
      <c r="B82" t="s">
        <v>276</v>
      </c>
      <c r="C82" t="s">
        <v>277</v>
      </c>
      <c r="D82" t="s">
        <v>40</v>
      </c>
      <c r="E82" t="s">
        <v>41</v>
      </c>
      <c r="F82" t="s">
        <v>19</v>
      </c>
      <c r="G82" t="s">
        <v>20</v>
      </c>
      <c r="H82">
        <v>1</v>
      </c>
      <c r="I82">
        <v>80.099999999999994</v>
      </c>
      <c r="J82">
        <v>80.099999999999994</v>
      </c>
      <c r="K82">
        <v>520</v>
      </c>
      <c r="L82" t="s">
        <v>29</v>
      </c>
      <c r="M82" t="s">
        <v>22</v>
      </c>
      <c r="N82">
        <v>80.099999999999994</v>
      </c>
      <c r="Q82">
        <f>VLOOKUP(ecommerce_order__1[[#This Row],[product_sku]],F:J,5,FALSE)</f>
        <v>36</v>
      </c>
    </row>
    <row r="83" spans="1:17" x14ac:dyDescent="0.3">
      <c r="A83" t="s">
        <v>278</v>
      </c>
      <c r="B83" t="s">
        <v>271</v>
      </c>
      <c r="C83" t="s">
        <v>279</v>
      </c>
      <c r="D83" t="s">
        <v>17</v>
      </c>
      <c r="E83" t="s">
        <v>41</v>
      </c>
      <c r="F83" t="s">
        <v>42</v>
      </c>
      <c r="G83" t="s">
        <v>43</v>
      </c>
      <c r="H83">
        <v>1</v>
      </c>
      <c r="I83">
        <v>71.099999999999994</v>
      </c>
      <c r="J83">
        <v>71.099999999999994</v>
      </c>
      <c r="K83">
        <v>190</v>
      </c>
      <c r="L83" t="s">
        <v>29</v>
      </c>
      <c r="M83" t="s">
        <v>22</v>
      </c>
      <c r="N83">
        <v>71.099999999999994</v>
      </c>
      <c r="Q83">
        <f>VLOOKUP(ecommerce_order__1[[#This Row],[product_sku]],F:J,5,FALSE)</f>
        <v>71.099999999999994</v>
      </c>
    </row>
    <row r="84" spans="1:17" x14ac:dyDescent="0.3">
      <c r="A84" t="s">
        <v>280</v>
      </c>
      <c r="B84" t="s">
        <v>281</v>
      </c>
      <c r="C84" t="s">
        <v>282</v>
      </c>
      <c r="D84" t="s">
        <v>47</v>
      </c>
      <c r="E84" t="s">
        <v>41</v>
      </c>
      <c r="F84" t="s">
        <v>48</v>
      </c>
      <c r="G84" t="s">
        <v>49</v>
      </c>
      <c r="H84">
        <v>-2</v>
      </c>
      <c r="I84">
        <v>129</v>
      </c>
      <c r="J84">
        <v>-258</v>
      </c>
      <c r="K84">
        <v>0.38</v>
      </c>
      <c r="L84" t="s">
        <v>29</v>
      </c>
      <c r="M84" t="s">
        <v>22</v>
      </c>
      <c r="N84">
        <v>129</v>
      </c>
      <c r="Q84">
        <f>VLOOKUP(ecommerce_order__1[[#This Row],[product_sku]],F:J,5,FALSE)</f>
        <v>21.6</v>
      </c>
    </row>
    <row r="85" spans="1:17" x14ac:dyDescent="0.3">
      <c r="A85" t="s">
        <v>283</v>
      </c>
      <c r="B85" t="s">
        <v>284</v>
      </c>
      <c r="C85" t="s">
        <v>285</v>
      </c>
      <c r="D85" t="s">
        <v>17</v>
      </c>
      <c r="E85" t="s">
        <v>26</v>
      </c>
      <c r="F85" t="s">
        <v>42</v>
      </c>
      <c r="G85" t="s">
        <v>43</v>
      </c>
      <c r="H85">
        <v>1</v>
      </c>
      <c r="I85">
        <v>79</v>
      </c>
      <c r="J85">
        <v>79</v>
      </c>
      <c r="K85">
        <v>190</v>
      </c>
      <c r="L85" t="s">
        <v>29</v>
      </c>
      <c r="M85" t="s">
        <v>22</v>
      </c>
      <c r="N85">
        <v>79</v>
      </c>
      <c r="Q85">
        <f>VLOOKUP(ecommerce_order__1[[#This Row],[product_sku]],F:J,5,FALSE)</f>
        <v>71.099999999999994</v>
      </c>
    </row>
    <row r="86" spans="1:17" x14ac:dyDescent="0.3">
      <c r="A86" t="s">
        <v>286</v>
      </c>
      <c r="B86" t="s">
        <v>287</v>
      </c>
      <c r="C86" t="s">
        <v>288</v>
      </c>
      <c r="D86" t="s">
        <v>90</v>
      </c>
      <c r="E86" t="s">
        <v>65</v>
      </c>
      <c r="F86" t="s">
        <v>72</v>
      </c>
      <c r="G86" t="s">
        <v>73</v>
      </c>
      <c r="H86">
        <v>2</v>
      </c>
      <c r="I86">
        <v>95</v>
      </c>
      <c r="J86">
        <v>190</v>
      </c>
      <c r="K86">
        <v>0.41</v>
      </c>
      <c r="L86" t="s">
        <v>29</v>
      </c>
      <c r="M86" t="s">
        <v>22</v>
      </c>
      <c r="N86">
        <v>95</v>
      </c>
      <c r="Q86">
        <f>VLOOKUP(ecommerce_order__1[[#This Row],[product_sku]],F:J,5,FALSE)</f>
        <v>45</v>
      </c>
    </row>
    <row r="87" spans="1:17" x14ac:dyDescent="0.3">
      <c r="A87" t="s">
        <v>289</v>
      </c>
      <c r="B87" t="s">
        <v>290</v>
      </c>
      <c r="C87" t="s">
        <v>291</v>
      </c>
      <c r="D87" t="s">
        <v>112</v>
      </c>
      <c r="E87" t="s">
        <v>41</v>
      </c>
      <c r="F87" t="s">
        <v>85</v>
      </c>
      <c r="G87" t="s">
        <v>86</v>
      </c>
      <c r="H87">
        <v>3</v>
      </c>
      <c r="I87">
        <v>149</v>
      </c>
      <c r="J87">
        <v>447</v>
      </c>
      <c r="K87">
        <v>640</v>
      </c>
      <c r="L87" t="s">
        <v>29</v>
      </c>
      <c r="M87" t="s">
        <v>57</v>
      </c>
      <c r="N87">
        <v>149</v>
      </c>
      <c r="Q87">
        <f>VLOOKUP(ecommerce_order__1[[#This Row],[product_sku]],F:J,5,FALSE)</f>
        <v>387</v>
      </c>
    </row>
    <row r="88" spans="1:17" x14ac:dyDescent="0.3">
      <c r="A88" t="s">
        <v>292</v>
      </c>
      <c r="B88" t="s">
        <v>293</v>
      </c>
      <c r="C88" t="s">
        <v>294</v>
      </c>
      <c r="D88" t="s">
        <v>90</v>
      </c>
      <c r="E88" t="s">
        <v>34</v>
      </c>
      <c r="F88" t="s">
        <v>80</v>
      </c>
      <c r="G88" t="s">
        <v>81</v>
      </c>
      <c r="H88">
        <v>3</v>
      </c>
      <c r="I88">
        <v>79</v>
      </c>
      <c r="J88">
        <v>237</v>
      </c>
      <c r="K88">
        <v>340</v>
      </c>
      <c r="L88" t="s">
        <v>29</v>
      </c>
      <c r="M88" t="s">
        <v>57</v>
      </c>
      <c r="N88">
        <v>79</v>
      </c>
      <c r="Q88">
        <f>VLOOKUP(ecommerce_order__1[[#This Row],[product_sku]],F:J,5,FALSE)</f>
        <v>348.3</v>
      </c>
    </row>
    <row r="89" spans="1:17" x14ac:dyDescent="0.3">
      <c r="A89" t="s">
        <v>295</v>
      </c>
      <c r="B89" t="s">
        <v>139</v>
      </c>
      <c r="C89" t="s">
        <v>296</v>
      </c>
      <c r="D89" t="s">
        <v>53</v>
      </c>
      <c r="E89" t="s">
        <v>41</v>
      </c>
      <c r="F89" t="s">
        <v>85</v>
      </c>
      <c r="G89" t="s">
        <v>86</v>
      </c>
      <c r="H89">
        <v>1</v>
      </c>
      <c r="I89">
        <v>12.5</v>
      </c>
      <c r="J89">
        <v>12.5</v>
      </c>
      <c r="K89">
        <v>640</v>
      </c>
      <c r="L89" t="s">
        <v>21</v>
      </c>
      <c r="M89" t="s">
        <v>22</v>
      </c>
      <c r="N89">
        <v>12.5</v>
      </c>
      <c r="Q89">
        <f>VLOOKUP(ecommerce_order__1[[#This Row],[product_sku]],F:J,5,FALSE)</f>
        <v>387</v>
      </c>
    </row>
    <row r="90" spans="1:17" x14ac:dyDescent="0.3">
      <c r="A90" t="s">
        <v>297</v>
      </c>
      <c r="B90" t="s">
        <v>298</v>
      </c>
      <c r="C90" t="s">
        <v>299</v>
      </c>
      <c r="D90" t="s">
        <v>47</v>
      </c>
      <c r="E90" t="s">
        <v>26</v>
      </c>
      <c r="F90" t="s">
        <v>35</v>
      </c>
      <c r="G90" t="s">
        <v>36</v>
      </c>
      <c r="H90">
        <v>1</v>
      </c>
      <c r="I90">
        <v>45</v>
      </c>
      <c r="J90">
        <v>45</v>
      </c>
      <c r="K90">
        <v>85</v>
      </c>
      <c r="L90" t="s">
        <v>29</v>
      </c>
      <c r="M90" t="s">
        <v>22</v>
      </c>
      <c r="N90">
        <v>45</v>
      </c>
      <c r="Q90">
        <f>VLOOKUP(ecommerce_order__1[[#This Row],[product_sku]],F:J,5,FALSE)</f>
        <v>45</v>
      </c>
    </row>
    <row r="91" spans="1:17" x14ac:dyDescent="0.3">
      <c r="A91" t="s">
        <v>300</v>
      </c>
      <c r="B91" t="s">
        <v>301</v>
      </c>
      <c r="C91" t="s">
        <v>302</v>
      </c>
      <c r="D91" t="s">
        <v>33</v>
      </c>
      <c r="E91" t="s">
        <v>34</v>
      </c>
      <c r="F91" t="s">
        <v>19</v>
      </c>
      <c r="G91" t="s">
        <v>20</v>
      </c>
      <c r="H91">
        <v>1</v>
      </c>
      <c r="I91">
        <v>89</v>
      </c>
      <c r="J91">
        <v>89</v>
      </c>
      <c r="K91">
        <v>520</v>
      </c>
      <c r="L91" t="s">
        <v>29</v>
      </c>
      <c r="M91" t="s">
        <v>22</v>
      </c>
      <c r="N91">
        <v>89</v>
      </c>
      <c r="Q91">
        <f>VLOOKUP(ecommerce_order__1[[#This Row],[product_sku]],F:J,5,FALSE)</f>
        <v>36</v>
      </c>
    </row>
    <row r="92" spans="1:17" x14ac:dyDescent="0.3">
      <c r="A92" t="s">
        <v>303</v>
      </c>
      <c r="B92" t="s">
        <v>304</v>
      </c>
      <c r="C92" t="s">
        <v>305</v>
      </c>
      <c r="D92" t="s">
        <v>17</v>
      </c>
      <c r="E92" t="s">
        <v>41</v>
      </c>
      <c r="F92" t="s">
        <v>85</v>
      </c>
      <c r="G92" t="s">
        <v>86</v>
      </c>
      <c r="H92">
        <v>-1</v>
      </c>
      <c r="I92">
        <v>12.5</v>
      </c>
      <c r="J92">
        <v>-12.5</v>
      </c>
      <c r="K92">
        <v>640</v>
      </c>
      <c r="L92" t="s">
        <v>29</v>
      </c>
      <c r="M92" t="s">
        <v>22</v>
      </c>
      <c r="N92">
        <v>12.5</v>
      </c>
      <c r="Q92">
        <f>VLOOKUP(ecommerce_order__1[[#This Row],[product_sku]],F:J,5,FALSE)</f>
        <v>387</v>
      </c>
    </row>
    <row r="93" spans="1:17" x14ac:dyDescent="0.3">
      <c r="A93" t="s">
        <v>306</v>
      </c>
      <c r="B93" t="s">
        <v>263</v>
      </c>
      <c r="C93" t="s">
        <v>307</v>
      </c>
      <c r="D93" t="s">
        <v>64</v>
      </c>
      <c r="E93" t="s">
        <v>18</v>
      </c>
      <c r="F93" t="s">
        <v>85</v>
      </c>
      <c r="G93" t="s">
        <v>86</v>
      </c>
      <c r="H93">
        <v>-1</v>
      </c>
      <c r="I93">
        <v>80.099999999999994</v>
      </c>
      <c r="J93">
        <v>-80.099999999999994</v>
      </c>
      <c r="K93">
        <v>640</v>
      </c>
      <c r="L93" t="s">
        <v>29</v>
      </c>
      <c r="M93" t="s">
        <v>22</v>
      </c>
      <c r="N93">
        <v>80.099999999999994</v>
      </c>
      <c r="Q93">
        <f>VLOOKUP(ecommerce_order__1[[#This Row],[product_sku]],F:J,5,FALSE)</f>
        <v>387</v>
      </c>
    </row>
    <row r="94" spans="1:17" x14ac:dyDescent="0.3">
      <c r="A94" t="s">
        <v>308</v>
      </c>
      <c r="B94" t="s">
        <v>309</v>
      </c>
      <c r="C94" t="s">
        <v>310</v>
      </c>
      <c r="D94" t="s">
        <v>17</v>
      </c>
      <c r="E94" t="s">
        <v>65</v>
      </c>
      <c r="F94" t="s">
        <v>72</v>
      </c>
      <c r="G94" t="s">
        <v>73</v>
      </c>
      <c r="H94">
        <v>1</v>
      </c>
      <c r="I94">
        <v>11.25</v>
      </c>
      <c r="J94">
        <v>11.25</v>
      </c>
      <c r="K94">
        <v>0.41</v>
      </c>
      <c r="L94" t="s">
        <v>21</v>
      </c>
      <c r="M94" t="s">
        <v>22</v>
      </c>
      <c r="N94">
        <v>11.25</v>
      </c>
      <c r="Q94">
        <f>VLOOKUP(ecommerce_order__1[[#This Row],[product_sku]],F:J,5,FALSE)</f>
        <v>45</v>
      </c>
    </row>
    <row r="95" spans="1:17" x14ac:dyDescent="0.3">
      <c r="A95" t="s">
        <v>311</v>
      </c>
      <c r="B95" t="s">
        <v>298</v>
      </c>
      <c r="C95" t="s">
        <v>312</v>
      </c>
      <c r="D95" t="s">
        <v>112</v>
      </c>
      <c r="E95" t="s">
        <v>26</v>
      </c>
      <c r="F95" t="s">
        <v>48</v>
      </c>
      <c r="G95" t="s">
        <v>49</v>
      </c>
      <c r="H95">
        <v>2</v>
      </c>
      <c r="I95">
        <v>95</v>
      </c>
      <c r="J95">
        <v>190</v>
      </c>
      <c r="K95">
        <v>380</v>
      </c>
      <c r="L95" t="s">
        <v>21</v>
      </c>
      <c r="M95" t="s">
        <v>57</v>
      </c>
      <c r="N95">
        <v>95</v>
      </c>
      <c r="Q95">
        <f>VLOOKUP(ecommerce_order__1[[#This Row],[product_sku]],F:J,5,FALSE)</f>
        <v>21.6</v>
      </c>
    </row>
    <row r="96" spans="1:17" x14ac:dyDescent="0.3">
      <c r="A96" t="s">
        <v>313</v>
      </c>
      <c r="B96" t="s">
        <v>214</v>
      </c>
      <c r="C96" t="s">
        <v>314</v>
      </c>
      <c r="D96" t="s">
        <v>64</v>
      </c>
      <c r="E96" t="s">
        <v>41</v>
      </c>
      <c r="F96" t="s">
        <v>72</v>
      </c>
      <c r="G96" t="s">
        <v>73</v>
      </c>
      <c r="H96">
        <v>2</v>
      </c>
      <c r="I96">
        <v>95</v>
      </c>
      <c r="J96">
        <v>190</v>
      </c>
      <c r="K96">
        <v>410</v>
      </c>
      <c r="L96" t="s">
        <v>29</v>
      </c>
      <c r="M96" t="s">
        <v>22</v>
      </c>
      <c r="N96">
        <v>95</v>
      </c>
      <c r="Q96">
        <f>VLOOKUP(ecommerce_order__1[[#This Row],[product_sku]],F:J,5,FALSE)</f>
        <v>45</v>
      </c>
    </row>
    <row r="97" spans="1:17" x14ac:dyDescent="0.3">
      <c r="A97" t="s">
        <v>104</v>
      </c>
      <c r="B97" t="s">
        <v>31</v>
      </c>
      <c r="C97" t="s">
        <v>105</v>
      </c>
      <c r="D97" t="s">
        <v>90</v>
      </c>
      <c r="E97" t="s">
        <v>34</v>
      </c>
      <c r="F97" t="s">
        <v>42</v>
      </c>
      <c r="G97" t="s">
        <v>43</v>
      </c>
      <c r="H97">
        <v>1</v>
      </c>
      <c r="I97">
        <v>45</v>
      </c>
      <c r="J97">
        <v>45</v>
      </c>
      <c r="K97">
        <v>0.19</v>
      </c>
      <c r="L97" t="s">
        <v>29</v>
      </c>
      <c r="M97" t="s">
        <v>22</v>
      </c>
      <c r="N97">
        <v>45</v>
      </c>
      <c r="Q97">
        <f>VLOOKUP(ecommerce_order__1[[#This Row],[product_sku]],F:J,5,FALSE)</f>
        <v>71.099999999999994</v>
      </c>
    </row>
    <row r="98" spans="1:17" x14ac:dyDescent="0.3">
      <c r="A98" t="s">
        <v>315</v>
      </c>
      <c r="B98" t="s">
        <v>316</v>
      </c>
      <c r="C98" t="s">
        <v>317</v>
      </c>
      <c r="D98" t="s">
        <v>64</v>
      </c>
      <c r="E98" t="s">
        <v>18</v>
      </c>
      <c r="F98" t="s">
        <v>27</v>
      </c>
      <c r="G98" t="s">
        <v>28</v>
      </c>
      <c r="H98">
        <v>2</v>
      </c>
      <c r="I98">
        <v>11.25</v>
      </c>
      <c r="J98">
        <v>22.5</v>
      </c>
      <c r="K98">
        <v>0.52</v>
      </c>
      <c r="L98" t="s">
        <v>29</v>
      </c>
      <c r="M98" t="s">
        <v>22</v>
      </c>
      <c r="N98">
        <v>11.25</v>
      </c>
      <c r="Q98">
        <f>VLOOKUP(ecommerce_order__1[[#This Row],[product_sku]],F:J,5,FALSE)</f>
        <v>71.099999999999994</v>
      </c>
    </row>
    <row r="99" spans="1:17" x14ac:dyDescent="0.3">
      <c r="A99" t="s">
        <v>318</v>
      </c>
      <c r="B99" t="s">
        <v>319</v>
      </c>
      <c r="C99" t="s">
        <v>320</v>
      </c>
      <c r="D99" t="s">
        <v>17</v>
      </c>
      <c r="E99" t="s">
        <v>65</v>
      </c>
      <c r="F99" t="s">
        <v>48</v>
      </c>
      <c r="G99" t="s">
        <v>49</v>
      </c>
      <c r="H99">
        <v>1</v>
      </c>
      <c r="I99">
        <v>21.6</v>
      </c>
      <c r="J99">
        <v>21.6</v>
      </c>
      <c r="K99">
        <v>0.38</v>
      </c>
      <c r="L99" t="s">
        <v>29</v>
      </c>
      <c r="M99" t="s">
        <v>22</v>
      </c>
      <c r="N99">
        <v>21.6</v>
      </c>
      <c r="Q99">
        <f>VLOOKUP(ecommerce_order__1[[#This Row],[product_sku]],F:J,5,FALSE)</f>
        <v>21.6</v>
      </c>
    </row>
    <row r="100" spans="1:17" x14ac:dyDescent="0.3">
      <c r="A100" t="s">
        <v>321</v>
      </c>
      <c r="B100" t="s">
        <v>322</v>
      </c>
      <c r="C100" t="s">
        <v>323</v>
      </c>
      <c r="D100" t="s">
        <v>97</v>
      </c>
      <c r="E100" t="s">
        <v>41</v>
      </c>
      <c r="F100" t="s">
        <v>80</v>
      </c>
      <c r="G100" t="s">
        <v>81</v>
      </c>
      <c r="H100">
        <v>2</v>
      </c>
      <c r="I100">
        <v>71.099999999999994</v>
      </c>
      <c r="J100">
        <v>142.19999999999999</v>
      </c>
      <c r="K100">
        <v>340</v>
      </c>
      <c r="L100" t="s">
        <v>29</v>
      </c>
      <c r="M100" t="s">
        <v>22</v>
      </c>
      <c r="N100">
        <v>71.099999999999994</v>
      </c>
      <c r="Q100">
        <f>VLOOKUP(ecommerce_order__1[[#This Row],[product_sku]],F:J,5,FALSE)</f>
        <v>348.3</v>
      </c>
    </row>
    <row r="101" spans="1:17" x14ac:dyDescent="0.3">
      <c r="A101" t="s">
        <v>324</v>
      </c>
      <c r="B101" t="s">
        <v>202</v>
      </c>
      <c r="C101" t="s">
        <v>325</v>
      </c>
      <c r="D101" t="s">
        <v>17</v>
      </c>
      <c r="E101" t="s">
        <v>65</v>
      </c>
      <c r="F101" t="s">
        <v>48</v>
      </c>
      <c r="G101" t="s">
        <v>49</v>
      </c>
      <c r="H101">
        <v>1</v>
      </c>
      <c r="I101">
        <v>89</v>
      </c>
      <c r="J101">
        <v>89</v>
      </c>
      <c r="K101">
        <v>0.38</v>
      </c>
      <c r="L101" t="s">
        <v>29</v>
      </c>
      <c r="M101" t="s">
        <v>22</v>
      </c>
      <c r="N101">
        <v>89</v>
      </c>
      <c r="Q101">
        <f>VLOOKUP(ecommerce_order__1[[#This Row],[product_sku]],F:J,5,FALSE)</f>
        <v>21.6</v>
      </c>
    </row>
    <row r="102" spans="1:17" x14ac:dyDescent="0.3">
      <c r="A102" t="s">
        <v>326</v>
      </c>
      <c r="B102" t="s">
        <v>327</v>
      </c>
      <c r="C102" t="s">
        <v>328</v>
      </c>
      <c r="D102" t="s">
        <v>97</v>
      </c>
      <c r="E102" t="s">
        <v>18</v>
      </c>
      <c r="F102" t="s">
        <v>19</v>
      </c>
      <c r="G102" t="s">
        <v>20</v>
      </c>
      <c r="H102">
        <v>2</v>
      </c>
      <c r="I102">
        <v>80.099999999999994</v>
      </c>
      <c r="J102">
        <v>160.19999999999999</v>
      </c>
      <c r="K102">
        <v>0.52</v>
      </c>
      <c r="L102" t="s">
        <v>29</v>
      </c>
      <c r="M102" t="s">
        <v>22</v>
      </c>
      <c r="N102">
        <v>80.099999999999994</v>
      </c>
      <c r="Q102">
        <f>VLOOKUP(ecommerce_order__1[[#This Row],[product_sku]],F:J,5,FALSE)</f>
        <v>36</v>
      </c>
    </row>
    <row r="103" spans="1:17" x14ac:dyDescent="0.3">
      <c r="A103" t="s">
        <v>329</v>
      </c>
      <c r="B103" t="s">
        <v>330</v>
      </c>
      <c r="C103" t="s">
        <v>331</v>
      </c>
      <c r="D103" t="s">
        <v>64</v>
      </c>
      <c r="E103" t="s">
        <v>26</v>
      </c>
      <c r="F103" t="s">
        <v>48</v>
      </c>
      <c r="G103" t="s">
        <v>49</v>
      </c>
      <c r="H103">
        <v>3</v>
      </c>
      <c r="I103">
        <v>24</v>
      </c>
      <c r="J103">
        <v>72</v>
      </c>
      <c r="K103">
        <v>380</v>
      </c>
      <c r="L103" t="s">
        <v>29</v>
      </c>
      <c r="M103" t="s">
        <v>22</v>
      </c>
      <c r="N103">
        <v>24</v>
      </c>
      <c r="Q103">
        <f>VLOOKUP(ecommerce_order__1[[#This Row],[product_sku]],F:J,5,FALSE)</f>
        <v>21.6</v>
      </c>
    </row>
    <row r="104" spans="1:17" x14ac:dyDescent="0.3">
      <c r="A104" t="s">
        <v>332</v>
      </c>
      <c r="B104" t="s">
        <v>333</v>
      </c>
      <c r="C104" t="s">
        <v>334</v>
      </c>
      <c r="D104" t="s">
        <v>90</v>
      </c>
      <c r="E104" t="s">
        <v>34</v>
      </c>
      <c r="F104" t="s">
        <v>80</v>
      </c>
      <c r="G104" t="s">
        <v>81</v>
      </c>
      <c r="H104">
        <v>3</v>
      </c>
      <c r="I104">
        <v>45</v>
      </c>
      <c r="J104">
        <v>135</v>
      </c>
      <c r="K104">
        <v>0.34</v>
      </c>
      <c r="L104" t="s">
        <v>29</v>
      </c>
      <c r="M104" t="s">
        <v>22</v>
      </c>
      <c r="N104">
        <v>45</v>
      </c>
      <c r="Q104">
        <f>VLOOKUP(ecommerce_order__1[[#This Row],[product_sku]],F:J,5,FALSE)</f>
        <v>348.3</v>
      </c>
    </row>
    <row r="105" spans="1:17" x14ac:dyDescent="0.3">
      <c r="A105" t="s">
        <v>335</v>
      </c>
      <c r="B105" t="s">
        <v>336</v>
      </c>
      <c r="C105" t="s">
        <v>337</v>
      </c>
      <c r="D105" t="s">
        <v>112</v>
      </c>
      <c r="E105" t="s">
        <v>26</v>
      </c>
      <c r="F105" t="s">
        <v>48</v>
      </c>
      <c r="G105" t="s">
        <v>49</v>
      </c>
      <c r="H105">
        <v>2</v>
      </c>
      <c r="I105">
        <v>45</v>
      </c>
      <c r="J105">
        <v>90</v>
      </c>
      <c r="K105">
        <v>0.38</v>
      </c>
      <c r="L105" t="s">
        <v>21</v>
      </c>
      <c r="M105" t="s">
        <v>57</v>
      </c>
      <c r="N105">
        <v>45</v>
      </c>
      <c r="Q105">
        <f>VLOOKUP(ecommerce_order__1[[#This Row],[product_sku]],F:J,5,FALSE)</f>
        <v>21.6</v>
      </c>
    </row>
    <row r="106" spans="1:17" x14ac:dyDescent="0.3">
      <c r="A106" t="s">
        <v>338</v>
      </c>
      <c r="B106" t="s">
        <v>339</v>
      </c>
      <c r="C106" t="s">
        <v>340</v>
      </c>
      <c r="D106" t="s">
        <v>40</v>
      </c>
      <c r="E106" t="s">
        <v>34</v>
      </c>
      <c r="F106" t="s">
        <v>48</v>
      </c>
      <c r="G106" t="s">
        <v>49</v>
      </c>
      <c r="H106">
        <v>2</v>
      </c>
      <c r="I106">
        <v>79</v>
      </c>
      <c r="J106">
        <v>158</v>
      </c>
      <c r="K106">
        <v>0.38</v>
      </c>
      <c r="L106" t="s">
        <v>29</v>
      </c>
      <c r="M106" t="s">
        <v>22</v>
      </c>
      <c r="N106">
        <v>79</v>
      </c>
      <c r="Q106">
        <f>VLOOKUP(ecommerce_order__1[[#This Row],[product_sku]],F:J,5,FALSE)</f>
        <v>21.6</v>
      </c>
    </row>
    <row r="107" spans="1:17" x14ac:dyDescent="0.3">
      <c r="A107" t="s">
        <v>341</v>
      </c>
      <c r="B107" t="s">
        <v>342</v>
      </c>
      <c r="C107" t="s">
        <v>343</v>
      </c>
      <c r="D107" t="s">
        <v>97</v>
      </c>
      <c r="E107" t="s">
        <v>26</v>
      </c>
      <c r="F107" t="s">
        <v>42</v>
      </c>
      <c r="G107" t="s">
        <v>43</v>
      </c>
      <c r="H107">
        <v>2</v>
      </c>
      <c r="I107">
        <v>89</v>
      </c>
      <c r="J107">
        <v>178</v>
      </c>
      <c r="K107">
        <v>0.19</v>
      </c>
      <c r="L107" t="s">
        <v>29</v>
      </c>
      <c r="M107" t="s">
        <v>22</v>
      </c>
      <c r="N107">
        <v>89</v>
      </c>
      <c r="Q107">
        <f>VLOOKUP(ecommerce_order__1[[#This Row],[product_sku]],F:J,5,FALSE)</f>
        <v>71.099999999999994</v>
      </c>
    </row>
    <row r="108" spans="1:17" x14ac:dyDescent="0.3">
      <c r="A108" t="s">
        <v>344</v>
      </c>
      <c r="B108" t="s">
        <v>345</v>
      </c>
      <c r="C108" t="s">
        <v>346</v>
      </c>
      <c r="D108" t="s">
        <v>17</v>
      </c>
      <c r="E108" t="s">
        <v>26</v>
      </c>
      <c r="F108" t="s">
        <v>19</v>
      </c>
      <c r="G108" t="s">
        <v>20</v>
      </c>
      <c r="H108">
        <v>2</v>
      </c>
      <c r="I108">
        <v>95</v>
      </c>
      <c r="J108">
        <v>190</v>
      </c>
      <c r="K108">
        <v>0.52</v>
      </c>
      <c r="L108" t="s">
        <v>29</v>
      </c>
      <c r="M108" t="s">
        <v>22</v>
      </c>
      <c r="N108">
        <v>95</v>
      </c>
      <c r="Q108">
        <f>VLOOKUP(ecommerce_order__1[[#This Row],[product_sku]],F:J,5,FALSE)</f>
        <v>36</v>
      </c>
    </row>
    <row r="109" spans="1:17" x14ac:dyDescent="0.3">
      <c r="A109" t="s">
        <v>347</v>
      </c>
      <c r="B109" t="s">
        <v>348</v>
      </c>
      <c r="C109" t="s">
        <v>349</v>
      </c>
      <c r="D109" t="s">
        <v>40</v>
      </c>
      <c r="E109" t="s">
        <v>26</v>
      </c>
      <c r="F109" t="s">
        <v>27</v>
      </c>
      <c r="G109" t="s">
        <v>28</v>
      </c>
      <c r="H109">
        <v>3</v>
      </c>
      <c r="I109">
        <v>129</v>
      </c>
      <c r="J109">
        <v>387</v>
      </c>
      <c r="K109">
        <v>520</v>
      </c>
      <c r="L109" t="s">
        <v>21</v>
      </c>
      <c r="M109" t="s">
        <v>57</v>
      </c>
      <c r="N109">
        <v>129</v>
      </c>
      <c r="Q109">
        <f>VLOOKUP(ecommerce_order__1[[#This Row],[product_sku]],F:J,5,FALSE)</f>
        <v>71.099999999999994</v>
      </c>
    </row>
    <row r="110" spans="1:17" x14ac:dyDescent="0.3">
      <c r="A110" t="s">
        <v>350</v>
      </c>
      <c r="B110" t="s">
        <v>351</v>
      </c>
      <c r="C110" t="s">
        <v>352</v>
      </c>
      <c r="D110" t="s">
        <v>64</v>
      </c>
      <c r="E110" t="s">
        <v>65</v>
      </c>
      <c r="F110" t="s">
        <v>19</v>
      </c>
      <c r="G110" t="s">
        <v>20</v>
      </c>
      <c r="H110">
        <v>2</v>
      </c>
      <c r="I110">
        <v>134.1</v>
      </c>
      <c r="J110">
        <v>268.2</v>
      </c>
      <c r="K110">
        <v>520</v>
      </c>
      <c r="L110" t="s">
        <v>29</v>
      </c>
      <c r="M110" t="s">
        <v>57</v>
      </c>
      <c r="N110">
        <v>134.1</v>
      </c>
      <c r="Q110">
        <f>VLOOKUP(ecommerce_order__1[[#This Row],[product_sku]],F:J,5,FALSE)</f>
        <v>36</v>
      </c>
    </row>
    <row r="111" spans="1:17" x14ac:dyDescent="0.3">
      <c r="A111" t="s">
        <v>353</v>
      </c>
      <c r="B111" t="s">
        <v>354</v>
      </c>
      <c r="C111" t="s">
        <v>355</v>
      </c>
      <c r="D111" t="s">
        <v>40</v>
      </c>
      <c r="E111" t="s">
        <v>41</v>
      </c>
      <c r="F111" t="s">
        <v>85</v>
      </c>
      <c r="G111" t="s">
        <v>86</v>
      </c>
      <c r="H111">
        <v>2</v>
      </c>
      <c r="J111">
        <v>160.19999999999999</v>
      </c>
      <c r="K111">
        <v>0.64</v>
      </c>
      <c r="L111" t="s">
        <v>29</v>
      </c>
      <c r="M111" t="s">
        <v>22</v>
      </c>
      <c r="Q111">
        <f>VLOOKUP(ecommerce_order__1[[#This Row],[product_sku]],F:J,5,FALSE)</f>
        <v>387</v>
      </c>
    </row>
    <row r="112" spans="1:17" x14ac:dyDescent="0.3">
      <c r="A112" t="s">
        <v>356</v>
      </c>
      <c r="B112" t="s">
        <v>357</v>
      </c>
      <c r="C112" t="s">
        <v>358</v>
      </c>
      <c r="D112" t="s">
        <v>112</v>
      </c>
      <c r="E112" t="s">
        <v>65</v>
      </c>
      <c r="F112" t="s">
        <v>85</v>
      </c>
      <c r="G112" t="s">
        <v>86</v>
      </c>
      <c r="H112">
        <v>1</v>
      </c>
      <c r="I112">
        <v>11.25</v>
      </c>
      <c r="J112">
        <v>11.25</v>
      </c>
      <c r="K112">
        <v>640</v>
      </c>
      <c r="L112" t="s">
        <v>21</v>
      </c>
      <c r="M112" t="s">
        <v>22</v>
      </c>
      <c r="N112">
        <v>11.25</v>
      </c>
      <c r="Q112">
        <f>VLOOKUP(ecommerce_order__1[[#This Row],[product_sku]],F:J,5,FALSE)</f>
        <v>387</v>
      </c>
    </row>
    <row r="113" spans="1:17" x14ac:dyDescent="0.3">
      <c r="A113" t="s">
        <v>359</v>
      </c>
      <c r="B113" t="s">
        <v>360</v>
      </c>
      <c r="C113" t="s">
        <v>361</v>
      </c>
      <c r="D113" t="s">
        <v>64</v>
      </c>
      <c r="E113" t="s">
        <v>26</v>
      </c>
      <c r="F113" t="s">
        <v>85</v>
      </c>
      <c r="G113" t="s">
        <v>86</v>
      </c>
      <c r="H113">
        <v>1</v>
      </c>
      <c r="I113">
        <v>45</v>
      </c>
      <c r="J113">
        <v>45</v>
      </c>
      <c r="K113">
        <v>0.64</v>
      </c>
      <c r="L113" t="s">
        <v>29</v>
      </c>
      <c r="M113" t="s">
        <v>22</v>
      </c>
      <c r="N113">
        <v>45</v>
      </c>
      <c r="Q113">
        <f>VLOOKUP(ecommerce_order__1[[#This Row],[product_sku]],F:J,5,FALSE)</f>
        <v>387</v>
      </c>
    </row>
    <row r="114" spans="1:17" x14ac:dyDescent="0.3">
      <c r="A114" t="s">
        <v>362</v>
      </c>
      <c r="B114" t="s">
        <v>363</v>
      </c>
      <c r="C114" t="s">
        <v>364</v>
      </c>
      <c r="D114" t="s">
        <v>47</v>
      </c>
      <c r="E114" t="s">
        <v>65</v>
      </c>
      <c r="F114" t="s">
        <v>35</v>
      </c>
      <c r="G114" t="s">
        <v>36</v>
      </c>
      <c r="H114">
        <v>3</v>
      </c>
      <c r="I114">
        <v>129</v>
      </c>
      <c r="J114">
        <v>387</v>
      </c>
      <c r="K114">
        <v>85</v>
      </c>
      <c r="L114" t="s">
        <v>29</v>
      </c>
      <c r="M114" t="s">
        <v>22</v>
      </c>
      <c r="N114">
        <v>129</v>
      </c>
      <c r="Q114">
        <f>VLOOKUP(ecommerce_order__1[[#This Row],[product_sku]],F:J,5,FALSE)</f>
        <v>45</v>
      </c>
    </row>
    <row r="115" spans="1:17" x14ac:dyDescent="0.3">
      <c r="A115" t="s">
        <v>365</v>
      </c>
      <c r="B115" t="s">
        <v>366</v>
      </c>
      <c r="C115" t="s">
        <v>367</v>
      </c>
      <c r="D115" t="s">
        <v>47</v>
      </c>
      <c r="E115" t="s">
        <v>65</v>
      </c>
      <c r="F115" t="s">
        <v>19</v>
      </c>
      <c r="G115" t="s">
        <v>20</v>
      </c>
      <c r="H115">
        <v>1</v>
      </c>
      <c r="I115">
        <v>45</v>
      </c>
      <c r="J115">
        <v>45</v>
      </c>
      <c r="K115">
        <v>0.52</v>
      </c>
      <c r="L115" t="s">
        <v>29</v>
      </c>
      <c r="M115" t="s">
        <v>57</v>
      </c>
      <c r="N115">
        <v>45</v>
      </c>
      <c r="Q115">
        <f>VLOOKUP(ecommerce_order__1[[#This Row],[product_sku]],F:J,5,FALSE)</f>
        <v>36</v>
      </c>
    </row>
    <row r="116" spans="1:17" x14ac:dyDescent="0.3">
      <c r="A116" t="s">
        <v>368</v>
      </c>
      <c r="B116" t="s">
        <v>369</v>
      </c>
      <c r="C116" t="s">
        <v>370</v>
      </c>
      <c r="D116" t="s">
        <v>40</v>
      </c>
      <c r="E116" t="s">
        <v>18</v>
      </c>
      <c r="F116" t="s">
        <v>35</v>
      </c>
      <c r="G116" t="s">
        <v>36</v>
      </c>
      <c r="H116">
        <v>3</v>
      </c>
      <c r="I116">
        <v>116.1</v>
      </c>
      <c r="J116">
        <v>348.3</v>
      </c>
      <c r="K116">
        <v>85</v>
      </c>
      <c r="L116" t="s">
        <v>21</v>
      </c>
      <c r="M116" t="s">
        <v>57</v>
      </c>
      <c r="N116">
        <v>116.1</v>
      </c>
      <c r="Q116">
        <f>VLOOKUP(ecommerce_order__1[[#This Row],[product_sku]],F:J,5,FALSE)</f>
        <v>45</v>
      </c>
    </row>
    <row r="117" spans="1:17" x14ac:dyDescent="0.3">
      <c r="A117" t="s">
        <v>371</v>
      </c>
      <c r="B117" t="s">
        <v>342</v>
      </c>
      <c r="C117" t="s">
        <v>372</v>
      </c>
      <c r="D117" t="s">
        <v>90</v>
      </c>
      <c r="E117" t="s">
        <v>65</v>
      </c>
      <c r="F117" t="s">
        <v>42</v>
      </c>
      <c r="G117" t="s">
        <v>43</v>
      </c>
      <c r="H117">
        <v>1</v>
      </c>
      <c r="I117">
        <v>129</v>
      </c>
      <c r="J117">
        <v>129</v>
      </c>
      <c r="K117">
        <v>0.19</v>
      </c>
      <c r="L117" t="s">
        <v>29</v>
      </c>
      <c r="M117" t="s">
        <v>22</v>
      </c>
      <c r="N117">
        <v>129</v>
      </c>
      <c r="Q117">
        <f>VLOOKUP(ecommerce_order__1[[#This Row],[product_sku]],F:J,5,FALSE)</f>
        <v>71.099999999999994</v>
      </c>
    </row>
    <row r="118" spans="1:17" x14ac:dyDescent="0.3">
      <c r="A118" t="s">
        <v>373</v>
      </c>
      <c r="B118" t="s">
        <v>333</v>
      </c>
      <c r="C118" t="s">
        <v>374</v>
      </c>
      <c r="D118" t="s">
        <v>90</v>
      </c>
      <c r="E118" t="s">
        <v>18</v>
      </c>
      <c r="F118" t="s">
        <v>19</v>
      </c>
      <c r="G118" t="s">
        <v>20</v>
      </c>
      <c r="H118">
        <v>1</v>
      </c>
      <c r="I118">
        <v>24</v>
      </c>
      <c r="J118">
        <v>24</v>
      </c>
      <c r="K118">
        <v>0.52</v>
      </c>
      <c r="L118" t="s">
        <v>29</v>
      </c>
      <c r="M118" t="s">
        <v>22</v>
      </c>
      <c r="N118">
        <v>24</v>
      </c>
      <c r="Q118">
        <f>VLOOKUP(ecommerce_order__1[[#This Row],[product_sku]],F:J,5,FALSE)</f>
        <v>36</v>
      </c>
    </row>
    <row r="119" spans="1:17" x14ac:dyDescent="0.3">
      <c r="A119" t="s">
        <v>375</v>
      </c>
      <c r="B119" t="s">
        <v>376</v>
      </c>
      <c r="C119" t="s">
        <v>377</v>
      </c>
      <c r="D119" t="s">
        <v>53</v>
      </c>
      <c r="E119" t="s">
        <v>18</v>
      </c>
      <c r="F119" t="s">
        <v>85</v>
      </c>
      <c r="G119" t="s">
        <v>86</v>
      </c>
      <c r="H119">
        <v>1</v>
      </c>
      <c r="I119">
        <v>24</v>
      </c>
      <c r="J119">
        <v>20.399999999999999</v>
      </c>
      <c r="K119">
        <v>0.64</v>
      </c>
      <c r="L119" t="s">
        <v>29</v>
      </c>
      <c r="M119" t="s">
        <v>22</v>
      </c>
      <c r="N119">
        <v>24</v>
      </c>
      <c r="Q119">
        <f>VLOOKUP(ecommerce_order__1[[#This Row],[product_sku]],F:J,5,FALSE)</f>
        <v>387</v>
      </c>
    </row>
    <row r="120" spans="1:17" x14ac:dyDescent="0.3">
      <c r="A120" t="s">
        <v>378</v>
      </c>
      <c r="B120" t="s">
        <v>67</v>
      </c>
      <c r="C120" t="s">
        <v>379</v>
      </c>
      <c r="D120" t="s">
        <v>40</v>
      </c>
      <c r="E120" t="s">
        <v>34</v>
      </c>
      <c r="F120" t="s">
        <v>72</v>
      </c>
      <c r="G120" t="s">
        <v>73</v>
      </c>
      <c r="H120">
        <v>1</v>
      </c>
      <c r="J120">
        <v>24</v>
      </c>
      <c r="K120">
        <v>410</v>
      </c>
      <c r="L120" t="s">
        <v>29</v>
      </c>
      <c r="M120" t="s">
        <v>22</v>
      </c>
      <c r="Q120">
        <f>VLOOKUP(ecommerce_order__1[[#This Row],[product_sku]],F:J,5,FALSE)</f>
        <v>45</v>
      </c>
    </row>
    <row r="121" spans="1:17" x14ac:dyDescent="0.3">
      <c r="A121" t="s">
        <v>380</v>
      </c>
      <c r="B121" t="s">
        <v>381</v>
      </c>
      <c r="C121" t="s">
        <v>382</v>
      </c>
      <c r="D121" t="s">
        <v>47</v>
      </c>
      <c r="E121" t="s">
        <v>65</v>
      </c>
      <c r="F121" t="s">
        <v>42</v>
      </c>
      <c r="G121" t="s">
        <v>43</v>
      </c>
      <c r="H121">
        <v>3</v>
      </c>
      <c r="I121">
        <v>89</v>
      </c>
      <c r="J121">
        <v>267</v>
      </c>
      <c r="K121">
        <v>0.19</v>
      </c>
      <c r="L121" t="s">
        <v>29</v>
      </c>
      <c r="M121" t="s">
        <v>57</v>
      </c>
      <c r="N121">
        <v>89</v>
      </c>
      <c r="Q121">
        <f>VLOOKUP(ecommerce_order__1[[#This Row],[product_sku]],F:J,5,FALSE)</f>
        <v>71.099999999999994</v>
      </c>
    </row>
    <row r="122" spans="1:17" x14ac:dyDescent="0.3">
      <c r="A122" t="s">
        <v>383</v>
      </c>
      <c r="B122" t="s">
        <v>92</v>
      </c>
      <c r="C122" t="s">
        <v>384</v>
      </c>
      <c r="D122" t="s">
        <v>17</v>
      </c>
      <c r="E122" t="s">
        <v>41</v>
      </c>
      <c r="F122" t="s">
        <v>85</v>
      </c>
      <c r="G122" t="s">
        <v>86</v>
      </c>
      <c r="H122">
        <v>1</v>
      </c>
      <c r="I122">
        <v>40.5</v>
      </c>
      <c r="J122">
        <v>40.5</v>
      </c>
      <c r="K122">
        <v>640</v>
      </c>
      <c r="L122" t="s">
        <v>29</v>
      </c>
      <c r="M122" t="s">
        <v>22</v>
      </c>
      <c r="N122">
        <v>40.5</v>
      </c>
      <c r="Q122">
        <f>VLOOKUP(ecommerce_order__1[[#This Row],[product_sku]],F:J,5,FALSE)</f>
        <v>387</v>
      </c>
    </row>
    <row r="123" spans="1:17" x14ac:dyDescent="0.3">
      <c r="A123" t="s">
        <v>385</v>
      </c>
      <c r="B123" t="s">
        <v>386</v>
      </c>
      <c r="C123" t="s">
        <v>387</v>
      </c>
      <c r="D123" t="s">
        <v>33</v>
      </c>
      <c r="E123" t="s">
        <v>34</v>
      </c>
      <c r="F123" t="s">
        <v>35</v>
      </c>
      <c r="G123" t="s">
        <v>36</v>
      </c>
      <c r="H123">
        <v>1</v>
      </c>
      <c r="I123">
        <v>134.1</v>
      </c>
      <c r="J123">
        <v>134.1</v>
      </c>
      <c r="K123">
        <v>85</v>
      </c>
      <c r="L123" t="s">
        <v>29</v>
      </c>
      <c r="M123" t="s">
        <v>57</v>
      </c>
      <c r="N123">
        <v>134.1</v>
      </c>
      <c r="Q123">
        <f>VLOOKUP(ecommerce_order__1[[#This Row],[product_sku]],F:J,5,FALSE)</f>
        <v>45</v>
      </c>
    </row>
    <row r="124" spans="1:17" x14ac:dyDescent="0.3">
      <c r="A124" t="s">
        <v>388</v>
      </c>
      <c r="B124" t="s">
        <v>389</v>
      </c>
      <c r="C124" t="s">
        <v>390</v>
      </c>
      <c r="D124" t="s">
        <v>40</v>
      </c>
      <c r="E124" t="s">
        <v>26</v>
      </c>
      <c r="F124" t="s">
        <v>19</v>
      </c>
      <c r="G124" t="s">
        <v>20</v>
      </c>
      <c r="H124">
        <v>3</v>
      </c>
      <c r="I124">
        <v>129</v>
      </c>
      <c r="J124">
        <v>387</v>
      </c>
      <c r="K124">
        <v>520</v>
      </c>
      <c r="L124" t="s">
        <v>29</v>
      </c>
      <c r="M124" t="s">
        <v>57</v>
      </c>
      <c r="N124">
        <v>129</v>
      </c>
      <c r="Q124">
        <f>VLOOKUP(ecommerce_order__1[[#This Row],[product_sku]],F:J,5,FALSE)</f>
        <v>36</v>
      </c>
    </row>
    <row r="125" spans="1:17" x14ac:dyDescent="0.3">
      <c r="A125" t="s">
        <v>391</v>
      </c>
      <c r="B125" t="s">
        <v>144</v>
      </c>
      <c r="C125" t="s">
        <v>392</v>
      </c>
      <c r="D125" t="s">
        <v>47</v>
      </c>
      <c r="E125" t="s">
        <v>34</v>
      </c>
      <c r="F125" t="s">
        <v>80</v>
      </c>
      <c r="G125" t="s">
        <v>81</v>
      </c>
      <c r="H125">
        <v>2</v>
      </c>
      <c r="I125">
        <v>129</v>
      </c>
      <c r="J125">
        <v>258</v>
      </c>
      <c r="K125">
        <v>340</v>
      </c>
      <c r="L125" t="s">
        <v>29</v>
      </c>
      <c r="M125" t="s">
        <v>22</v>
      </c>
      <c r="N125">
        <v>129</v>
      </c>
      <c r="Q125">
        <f>VLOOKUP(ecommerce_order__1[[#This Row],[product_sku]],F:J,5,FALSE)</f>
        <v>348.3</v>
      </c>
    </row>
    <row r="126" spans="1:17" x14ac:dyDescent="0.3">
      <c r="A126" t="s">
        <v>393</v>
      </c>
      <c r="B126" t="s">
        <v>394</v>
      </c>
      <c r="C126" t="s">
        <v>395</v>
      </c>
      <c r="D126" t="s">
        <v>53</v>
      </c>
      <c r="E126" t="s">
        <v>18</v>
      </c>
      <c r="F126" t="s">
        <v>85</v>
      </c>
      <c r="G126" t="s">
        <v>86</v>
      </c>
      <c r="H126">
        <v>3</v>
      </c>
      <c r="I126">
        <v>129</v>
      </c>
      <c r="J126">
        <v>348.3</v>
      </c>
      <c r="K126">
        <v>640</v>
      </c>
      <c r="L126" t="s">
        <v>29</v>
      </c>
      <c r="M126" t="s">
        <v>22</v>
      </c>
      <c r="N126">
        <v>129</v>
      </c>
      <c r="Q126">
        <f>VLOOKUP(ecommerce_order__1[[#This Row],[product_sku]],F:J,5,FALSE)</f>
        <v>387</v>
      </c>
    </row>
    <row r="127" spans="1:17" x14ac:dyDescent="0.3">
      <c r="A127" t="s">
        <v>396</v>
      </c>
      <c r="B127" t="s">
        <v>397</v>
      </c>
      <c r="C127" t="s">
        <v>398</v>
      </c>
      <c r="D127" t="s">
        <v>97</v>
      </c>
      <c r="E127" t="s">
        <v>26</v>
      </c>
      <c r="F127" t="s">
        <v>42</v>
      </c>
      <c r="G127" t="s">
        <v>43</v>
      </c>
      <c r="H127">
        <v>1</v>
      </c>
      <c r="I127">
        <v>134.1</v>
      </c>
      <c r="J127">
        <v>134.1</v>
      </c>
      <c r="K127">
        <v>190</v>
      </c>
      <c r="L127" t="s">
        <v>21</v>
      </c>
      <c r="M127" t="s">
        <v>22</v>
      </c>
      <c r="N127">
        <v>134.1</v>
      </c>
      <c r="Q127">
        <f>VLOOKUP(ecommerce_order__1[[#This Row],[product_sku]],F:J,5,FALSE)</f>
        <v>71.099999999999994</v>
      </c>
    </row>
    <row r="128" spans="1:17" x14ac:dyDescent="0.3">
      <c r="A128" t="s">
        <v>399</v>
      </c>
      <c r="B128" t="s">
        <v>186</v>
      </c>
      <c r="C128" t="s">
        <v>400</v>
      </c>
      <c r="D128" t="s">
        <v>112</v>
      </c>
      <c r="E128" t="s">
        <v>65</v>
      </c>
      <c r="F128" t="s">
        <v>19</v>
      </c>
      <c r="G128" t="s">
        <v>20</v>
      </c>
      <c r="H128">
        <v>3</v>
      </c>
      <c r="I128">
        <v>95</v>
      </c>
      <c r="J128">
        <v>285</v>
      </c>
      <c r="K128">
        <v>520</v>
      </c>
      <c r="L128" t="s">
        <v>29</v>
      </c>
      <c r="M128" t="s">
        <v>57</v>
      </c>
      <c r="N128">
        <v>95</v>
      </c>
      <c r="Q128">
        <f>VLOOKUP(ecommerce_order__1[[#This Row],[product_sku]],F:J,5,FALSE)</f>
        <v>36</v>
      </c>
    </row>
    <row r="129" spans="1:17" x14ac:dyDescent="0.3">
      <c r="A129" t="s">
        <v>401</v>
      </c>
      <c r="B129" t="s">
        <v>402</v>
      </c>
      <c r="C129" t="s">
        <v>390</v>
      </c>
      <c r="D129" t="s">
        <v>47</v>
      </c>
      <c r="E129" t="s">
        <v>34</v>
      </c>
      <c r="F129" t="s">
        <v>42</v>
      </c>
      <c r="G129" t="s">
        <v>43</v>
      </c>
      <c r="H129">
        <v>1</v>
      </c>
      <c r="I129">
        <v>79</v>
      </c>
      <c r="J129">
        <v>79</v>
      </c>
      <c r="K129">
        <v>190</v>
      </c>
      <c r="L129" t="s">
        <v>29</v>
      </c>
      <c r="M129" t="s">
        <v>22</v>
      </c>
      <c r="N129">
        <v>79</v>
      </c>
      <c r="Q129">
        <f>VLOOKUP(ecommerce_order__1[[#This Row],[product_sku]],F:J,5,FALSE)</f>
        <v>71.099999999999994</v>
      </c>
    </row>
    <row r="130" spans="1:17" x14ac:dyDescent="0.3">
      <c r="A130" t="s">
        <v>403</v>
      </c>
      <c r="B130" t="s">
        <v>404</v>
      </c>
      <c r="C130" t="s">
        <v>405</v>
      </c>
      <c r="D130" t="s">
        <v>53</v>
      </c>
      <c r="E130" t="s">
        <v>65</v>
      </c>
      <c r="F130" t="s">
        <v>19</v>
      </c>
      <c r="G130" t="s">
        <v>20</v>
      </c>
      <c r="H130">
        <v>1</v>
      </c>
      <c r="I130">
        <v>80.099999999999994</v>
      </c>
      <c r="J130">
        <v>80.099999999999994</v>
      </c>
      <c r="K130">
        <v>520</v>
      </c>
      <c r="L130" t="s">
        <v>29</v>
      </c>
      <c r="M130" t="s">
        <v>22</v>
      </c>
      <c r="N130">
        <v>80.099999999999994</v>
      </c>
      <c r="Q130">
        <f>VLOOKUP(ecommerce_order__1[[#This Row],[product_sku]],F:J,5,FALSE)</f>
        <v>36</v>
      </c>
    </row>
    <row r="131" spans="1:17" x14ac:dyDescent="0.3">
      <c r="A131" t="s">
        <v>406</v>
      </c>
      <c r="B131" t="s">
        <v>107</v>
      </c>
      <c r="C131" t="s">
        <v>407</v>
      </c>
      <c r="D131" t="s">
        <v>53</v>
      </c>
      <c r="E131" t="s">
        <v>26</v>
      </c>
      <c r="F131" t="s">
        <v>72</v>
      </c>
      <c r="G131" t="s">
        <v>73</v>
      </c>
      <c r="H131">
        <v>3</v>
      </c>
      <c r="I131">
        <v>11.25</v>
      </c>
      <c r="J131">
        <v>33.75</v>
      </c>
      <c r="K131">
        <v>0</v>
      </c>
      <c r="L131" t="s">
        <v>29</v>
      </c>
      <c r="M131" t="s">
        <v>22</v>
      </c>
      <c r="N131">
        <v>11.25</v>
      </c>
      <c r="Q131">
        <f>VLOOKUP(ecommerce_order__1[[#This Row],[product_sku]],F:J,5,FALSE)</f>
        <v>45</v>
      </c>
    </row>
    <row r="132" spans="1:17" x14ac:dyDescent="0.3">
      <c r="A132" t="s">
        <v>408</v>
      </c>
      <c r="B132" t="s">
        <v>102</v>
      </c>
      <c r="C132" t="s">
        <v>409</v>
      </c>
      <c r="D132" t="s">
        <v>112</v>
      </c>
      <c r="E132" t="s">
        <v>41</v>
      </c>
      <c r="F132" t="s">
        <v>42</v>
      </c>
      <c r="G132" t="s">
        <v>43</v>
      </c>
      <c r="H132">
        <v>2</v>
      </c>
      <c r="I132">
        <v>149</v>
      </c>
      <c r="J132">
        <v>298</v>
      </c>
      <c r="K132">
        <v>0.19</v>
      </c>
      <c r="L132" t="s">
        <v>29</v>
      </c>
      <c r="M132" t="s">
        <v>22</v>
      </c>
      <c r="N132">
        <v>149</v>
      </c>
      <c r="Q132">
        <f>VLOOKUP(ecommerce_order__1[[#This Row],[product_sku]],F:J,5,FALSE)</f>
        <v>71.099999999999994</v>
      </c>
    </row>
    <row r="133" spans="1:17" x14ac:dyDescent="0.3">
      <c r="A133" t="s">
        <v>410</v>
      </c>
      <c r="B133" t="s">
        <v>205</v>
      </c>
      <c r="C133" t="s">
        <v>411</v>
      </c>
      <c r="D133" t="s">
        <v>17</v>
      </c>
      <c r="E133" t="s">
        <v>65</v>
      </c>
      <c r="F133" t="s">
        <v>80</v>
      </c>
      <c r="G133" t="s">
        <v>81</v>
      </c>
      <c r="H133">
        <v>3</v>
      </c>
      <c r="I133">
        <v>12.5</v>
      </c>
      <c r="J133">
        <v>37.5</v>
      </c>
      <c r="K133">
        <v>340</v>
      </c>
      <c r="L133" t="s">
        <v>29</v>
      </c>
      <c r="M133" t="s">
        <v>22</v>
      </c>
      <c r="N133">
        <v>12.5</v>
      </c>
      <c r="Q133">
        <f>VLOOKUP(ecommerce_order__1[[#This Row],[product_sku]],F:J,5,FALSE)</f>
        <v>348.3</v>
      </c>
    </row>
    <row r="134" spans="1:17" x14ac:dyDescent="0.3">
      <c r="A134" t="s">
        <v>412</v>
      </c>
      <c r="B134" t="s">
        <v>413</v>
      </c>
      <c r="C134" t="s">
        <v>346</v>
      </c>
      <c r="D134" t="s">
        <v>97</v>
      </c>
      <c r="E134" t="s">
        <v>41</v>
      </c>
      <c r="F134" t="s">
        <v>80</v>
      </c>
      <c r="G134" t="s">
        <v>81</v>
      </c>
      <c r="H134">
        <v>1</v>
      </c>
      <c r="I134">
        <v>95</v>
      </c>
      <c r="J134">
        <v>95</v>
      </c>
      <c r="K134">
        <v>340</v>
      </c>
      <c r="L134" t="s">
        <v>29</v>
      </c>
      <c r="M134" t="s">
        <v>57</v>
      </c>
      <c r="N134">
        <v>95</v>
      </c>
      <c r="Q134">
        <f>VLOOKUP(ecommerce_order__1[[#This Row],[product_sku]],F:J,5,FALSE)</f>
        <v>348.3</v>
      </c>
    </row>
    <row r="135" spans="1:17" x14ac:dyDescent="0.3">
      <c r="A135" t="s">
        <v>414</v>
      </c>
      <c r="B135" t="s">
        <v>156</v>
      </c>
      <c r="C135" t="s">
        <v>184</v>
      </c>
      <c r="D135" t="s">
        <v>60</v>
      </c>
      <c r="E135" t="s">
        <v>18</v>
      </c>
      <c r="F135" t="s">
        <v>85</v>
      </c>
      <c r="G135" t="s">
        <v>86</v>
      </c>
      <c r="H135">
        <v>-1</v>
      </c>
      <c r="I135">
        <v>45</v>
      </c>
      <c r="J135">
        <v>-45</v>
      </c>
      <c r="K135">
        <v>640</v>
      </c>
      <c r="L135" t="s">
        <v>29</v>
      </c>
      <c r="M135" t="s">
        <v>22</v>
      </c>
      <c r="N135">
        <v>45</v>
      </c>
      <c r="Q135">
        <f>VLOOKUP(ecommerce_order__1[[#This Row],[product_sku]],F:J,5,FALSE)</f>
        <v>387</v>
      </c>
    </row>
    <row r="136" spans="1:17" x14ac:dyDescent="0.3">
      <c r="A136" t="s">
        <v>415</v>
      </c>
      <c r="B136" t="s">
        <v>416</v>
      </c>
      <c r="C136" t="s">
        <v>417</v>
      </c>
      <c r="D136" t="s">
        <v>97</v>
      </c>
      <c r="E136" t="s">
        <v>34</v>
      </c>
      <c r="F136" t="s">
        <v>42</v>
      </c>
      <c r="G136" t="s">
        <v>43</v>
      </c>
      <c r="H136">
        <v>3</v>
      </c>
      <c r="J136">
        <v>348.3</v>
      </c>
      <c r="K136">
        <v>0.19</v>
      </c>
      <c r="L136" t="s">
        <v>29</v>
      </c>
      <c r="M136" t="s">
        <v>22</v>
      </c>
      <c r="N136">
        <v>116.10000000000001</v>
      </c>
      <c r="Q136">
        <f>VLOOKUP(ecommerce_order__1[[#This Row],[product_sku]],F:J,5,FALSE)</f>
        <v>71.099999999999994</v>
      </c>
    </row>
    <row r="137" spans="1:17" x14ac:dyDescent="0.3">
      <c r="A137" t="s">
        <v>418</v>
      </c>
      <c r="B137" t="s">
        <v>416</v>
      </c>
      <c r="C137" t="s">
        <v>419</v>
      </c>
      <c r="D137" t="s">
        <v>47</v>
      </c>
      <c r="E137" t="s">
        <v>18</v>
      </c>
      <c r="F137" t="s">
        <v>19</v>
      </c>
      <c r="G137" t="s">
        <v>20</v>
      </c>
      <c r="H137">
        <v>2</v>
      </c>
      <c r="I137">
        <v>80.099999999999994</v>
      </c>
      <c r="J137">
        <v>160.19999999999999</v>
      </c>
      <c r="K137">
        <v>0.52</v>
      </c>
      <c r="L137" t="s">
        <v>21</v>
      </c>
      <c r="M137" t="s">
        <v>22</v>
      </c>
      <c r="N137">
        <v>80.099999999999994</v>
      </c>
      <c r="Q137">
        <f>VLOOKUP(ecommerce_order__1[[#This Row],[product_sku]],F:J,5,FALSE)</f>
        <v>36</v>
      </c>
    </row>
    <row r="138" spans="1:17" x14ac:dyDescent="0.3">
      <c r="A138" t="s">
        <v>420</v>
      </c>
      <c r="B138" t="s">
        <v>421</v>
      </c>
      <c r="C138" t="s">
        <v>422</v>
      </c>
      <c r="D138" t="s">
        <v>97</v>
      </c>
      <c r="E138" t="s">
        <v>26</v>
      </c>
      <c r="F138" t="s">
        <v>19</v>
      </c>
      <c r="G138" t="s">
        <v>20</v>
      </c>
      <c r="H138">
        <v>2</v>
      </c>
      <c r="I138">
        <v>40.5</v>
      </c>
      <c r="J138">
        <v>81</v>
      </c>
      <c r="K138">
        <v>0.52</v>
      </c>
      <c r="L138" t="s">
        <v>29</v>
      </c>
      <c r="M138" t="s">
        <v>22</v>
      </c>
      <c r="N138">
        <v>40.5</v>
      </c>
      <c r="Q138">
        <f>VLOOKUP(ecommerce_order__1[[#This Row],[product_sku]],F:J,5,FALSE)</f>
        <v>36</v>
      </c>
    </row>
    <row r="139" spans="1:17" x14ac:dyDescent="0.3">
      <c r="A139" t="s">
        <v>423</v>
      </c>
      <c r="B139" t="s">
        <v>376</v>
      </c>
      <c r="C139" t="s">
        <v>424</v>
      </c>
      <c r="D139" t="s">
        <v>64</v>
      </c>
      <c r="E139" t="s">
        <v>65</v>
      </c>
      <c r="F139" t="s">
        <v>85</v>
      </c>
      <c r="G139" t="s">
        <v>86</v>
      </c>
      <c r="H139">
        <v>2</v>
      </c>
      <c r="I139">
        <v>134.1</v>
      </c>
      <c r="J139">
        <v>268.2</v>
      </c>
      <c r="K139">
        <v>0.64</v>
      </c>
      <c r="L139" t="s">
        <v>29</v>
      </c>
      <c r="M139" t="s">
        <v>22</v>
      </c>
      <c r="N139">
        <v>134.1</v>
      </c>
      <c r="Q139">
        <f>VLOOKUP(ecommerce_order__1[[#This Row],[product_sku]],F:J,5,FALSE)</f>
        <v>387</v>
      </c>
    </row>
    <row r="140" spans="1:17" x14ac:dyDescent="0.3">
      <c r="A140" t="s">
        <v>425</v>
      </c>
      <c r="B140" t="s">
        <v>426</v>
      </c>
      <c r="C140" t="s">
        <v>427</v>
      </c>
      <c r="D140" t="s">
        <v>53</v>
      </c>
      <c r="E140" t="s">
        <v>26</v>
      </c>
      <c r="F140" t="s">
        <v>85</v>
      </c>
      <c r="G140" t="s">
        <v>86</v>
      </c>
      <c r="H140">
        <v>2</v>
      </c>
      <c r="I140">
        <v>85.5</v>
      </c>
      <c r="J140">
        <v>171</v>
      </c>
      <c r="K140">
        <v>0.64</v>
      </c>
      <c r="L140" t="s">
        <v>29</v>
      </c>
      <c r="M140" t="s">
        <v>22</v>
      </c>
      <c r="N140">
        <v>85.5</v>
      </c>
      <c r="Q140">
        <f>VLOOKUP(ecommerce_order__1[[#This Row],[product_sku]],F:J,5,FALSE)</f>
        <v>387</v>
      </c>
    </row>
    <row r="141" spans="1:17" x14ac:dyDescent="0.3">
      <c r="A141" t="s">
        <v>428</v>
      </c>
      <c r="B141" t="s">
        <v>429</v>
      </c>
      <c r="C141" t="s">
        <v>430</v>
      </c>
      <c r="D141" t="s">
        <v>97</v>
      </c>
      <c r="E141" t="s">
        <v>18</v>
      </c>
      <c r="F141" t="s">
        <v>35</v>
      </c>
      <c r="G141" t="s">
        <v>36</v>
      </c>
      <c r="H141">
        <v>1</v>
      </c>
      <c r="I141">
        <v>71.099999999999994</v>
      </c>
      <c r="J141">
        <v>71.099999999999994</v>
      </c>
      <c r="K141">
        <v>85</v>
      </c>
      <c r="L141" t="s">
        <v>29</v>
      </c>
      <c r="M141" t="s">
        <v>57</v>
      </c>
      <c r="N141">
        <v>71.099999999999994</v>
      </c>
      <c r="Q141">
        <f>VLOOKUP(ecommerce_order__1[[#This Row],[product_sku]],F:J,5,FALSE)</f>
        <v>45</v>
      </c>
    </row>
    <row r="142" spans="1:17" x14ac:dyDescent="0.3">
      <c r="A142" t="s">
        <v>431</v>
      </c>
      <c r="B142" t="s">
        <v>24</v>
      </c>
      <c r="C142" t="s">
        <v>212</v>
      </c>
      <c r="D142" t="s">
        <v>60</v>
      </c>
      <c r="E142" t="s">
        <v>18</v>
      </c>
      <c r="F142" t="s">
        <v>72</v>
      </c>
      <c r="G142" t="s">
        <v>73</v>
      </c>
      <c r="H142">
        <v>1</v>
      </c>
      <c r="I142">
        <v>45</v>
      </c>
      <c r="J142">
        <v>45</v>
      </c>
      <c r="K142">
        <v>0.41</v>
      </c>
      <c r="L142" t="s">
        <v>29</v>
      </c>
      <c r="M142" t="s">
        <v>22</v>
      </c>
      <c r="N142">
        <v>45</v>
      </c>
      <c r="Q142">
        <f>VLOOKUP(ecommerce_order__1[[#This Row],[product_sku]],F:J,5,FALSE)</f>
        <v>45</v>
      </c>
    </row>
    <row r="143" spans="1:17" x14ac:dyDescent="0.3">
      <c r="A143" t="s">
        <v>432</v>
      </c>
      <c r="B143" t="s">
        <v>144</v>
      </c>
      <c r="C143" t="s">
        <v>355</v>
      </c>
      <c r="D143" t="s">
        <v>97</v>
      </c>
      <c r="E143" t="s">
        <v>65</v>
      </c>
      <c r="F143" t="s">
        <v>80</v>
      </c>
      <c r="G143" t="s">
        <v>81</v>
      </c>
      <c r="H143">
        <v>2</v>
      </c>
      <c r="I143">
        <v>129</v>
      </c>
      <c r="J143">
        <v>258</v>
      </c>
      <c r="K143">
        <v>340</v>
      </c>
      <c r="L143" t="s">
        <v>21</v>
      </c>
      <c r="M143" t="s">
        <v>22</v>
      </c>
      <c r="N143">
        <v>129</v>
      </c>
      <c r="Q143">
        <f>VLOOKUP(ecommerce_order__1[[#This Row],[product_sku]],F:J,5,FALSE)</f>
        <v>348.3</v>
      </c>
    </row>
    <row r="144" spans="1:17" x14ac:dyDescent="0.3">
      <c r="A144" t="s">
        <v>433</v>
      </c>
      <c r="B144" t="s">
        <v>434</v>
      </c>
      <c r="C144" t="s">
        <v>435</v>
      </c>
      <c r="D144" t="s">
        <v>47</v>
      </c>
      <c r="E144" t="s">
        <v>18</v>
      </c>
      <c r="F144" t="s">
        <v>19</v>
      </c>
      <c r="G144" t="s">
        <v>20</v>
      </c>
      <c r="H144">
        <v>3</v>
      </c>
      <c r="I144">
        <v>95</v>
      </c>
      <c r="J144">
        <v>285</v>
      </c>
      <c r="K144">
        <v>0.52</v>
      </c>
      <c r="L144" t="s">
        <v>29</v>
      </c>
      <c r="M144" t="s">
        <v>57</v>
      </c>
      <c r="N144">
        <v>95</v>
      </c>
      <c r="Q144">
        <f>VLOOKUP(ecommerce_order__1[[#This Row],[product_sku]],F:J,5,FALSE)</f>
        <v>36</v>
      </c>
    </row>
    <row r="145" spans="1:17" x14ac:dyDescent="0.3">
      <c r="A145" t="s">
        <v>436</v>
      </c>
      <c r="B145" t="s">
        <v>195</v>
      </c>
      <c r="C145" t="s">
        <v>246</v>
      </c>
      <c r="D145" t="s">
        <v>17</v>
      </c>
      <c r="E145" t="s">
        <v>41</v>
      </c>
      <c r="F145" t="s">
        <v>80</v>
      </c>
      <c r="G145" t="s">
        <v>81</v>
      </c>
      <c r="H145">
        <v>1</v>
      </c>
      <c r="I145">
        <v>24</v>
      </c>
      <c r="J145">
        <v>24</v>
      </c>
      <c r="K145">
        <v>0.34</v>
      </c>
      <c r="L145" t="s">
        <v>29</v>
      </c>
      <c r="M145" t="s">
        <v>22</v>
      </c>
      <c r="N145">
        <v>24</v>
      </c>
      <c r="Q145">
        <f>VLOOKUP(ecommerce_order__1[[#This Row],[product_sku]],F:J,5,FALSE)</f>
        <v>348.3</v>
      </c>
    </row>
    <row r="146" spans="1:17" x14ac:dyDescent="0.3">
      <c r="A146" t="s">
        <v>437</v>
      </c>
      <c r="B146" t="s">
        <v>99</v>
      </c>
      <c r="C146" t="s">
        <v>438</v>
      </c>
      <c r="D146" t="s">
        <v>60</v>
      </c>
      <c r="E146" t="s">
        <v>18</v>
      </c>
      <c r="F146" t="s">
        <v>27</v>
      </c>
      <c r="G146" t="s">
        <v>28</v>
      </c>
      <c r="H146">
        <v>1</v>
      </c>
      <c r="I146">
        <v>71.099999999999994</v>
      </c>
      <c r="J146">
        <v>71.099999999999994</v>
      </c>
      <c r="K146">
        <v>0.52</v>
      </c>
      <c r="L146" t="s">
        <v>29</v>
      </c>
      <c r="M146" t="s">
        <v>22</v>
      </c>
      <c r="N146">
        <v>71.099999999999994</v>
      </c>
      <c r="Q146">
        <f>VLOOKUP(ecommerce_order__1[[#This Row],[product_sku]],F:J,5,FALSE)</f>
        <v>71.099999999999994</v>
      </c>
    </row>
    <row r="147" spans="1:17" x14ac:dyDescent="0.3">
      <c r="A147" t="s">
        <v>439</v>
      </c>
      <c r="B147" t="s">
        <v>440</v>
      </c>
      <c r="C147" t="s">
        <v>441</v>
      </c>
      <c r="D147" t="s">
        <v>33</v>
      </c>
      <c r="E147" t="s">
        <v>41</v>
      </c>
      <c r="F147" t="s">
        <v>42</v>
      </c>
      <c r="G147" t="s">
        <v>43</v>
      </c>
      <c r="H147">
        <v>2</v>
      </c>
      <c r="I147">
        <v>116.1</v>
      </c>
      <c r="J147">
        <v>232.2</v>
      </c>
      <c r="K147">
        <v>0.19</v>
      </c>
      <c r="L147" t="s">
        <v>29</v>
      </c>
      <c r="M147" t="s">
        <v>22</v>
      </c>
      <c r="N147">
        <v>116.1</v>
      </c>
      <c r="Q147">
        <f>VLOOKUP(ecommerce_order__1[[#This Row],[product_sku]],F:J,5,FALSE)</f>
        <v>71.099999999999994</v>
      </c>
    </row>
    <row r="148" spans="1:17" x14ac:dyDescent="0.3">
      <c r="A148" t="s">
        <v>442</v>
      </c>
      <c r="B148" t="s">
        <v>443</v>
      </c>
      <c r="C148" t="s">
        <v>444</v>
      </c>
      <c r="D148" t="s">
        <v>60</v>
      </c>
      <c r="E148" t="s">
        <v>26</v>
      </c>
      <c r="F148" t="s">
        <v>27</v>
      </c>
      <c r="G148" t="s">
        <v>28</v>
      </c>
      <c r="H148">
        <v>1</v>
      </c>
      <c r="I148">
        <v>45</v>
      </c>
      <c r="J148">
        <v>45</v>
      </c>
      <c r="K148">
        <v>520</v>
      </c>
      <c r="L148" t="s">
        <v>29</v>
      </c>
      <c r="M148" t="s">
        <v>22</v>
      </c>
      <c r="N148">
        <v>45</v>
      </c>
      <c r="Q148">
        <f>VLOOKUP(ecommerce_order__1[[#This Row],[product_sku]],F:J,5,FALSE)</f>
        <v>71.099999999999994</v>
      </c>
    </row>
    <row r="149" spans="1:17" x14ac:dyDescent="0.3">
      <c r="A149" t="s">
        <v>445</v>
      </c>
      <c r="B149" t="s">
        <v>394</v>
      </c>
      <c r="C149" t="s">
        <v>446</v>
      </c>
      <c r="D149" t="s">
        <v>33</v>
      </c>
      <c r="E149" t="s">
        <v>65</v>
      </c>
      <c r="F149" t="s">
        <v>19</v>
      </c>
      <c r="G149" t="s">
        <v>20</v>
      </c>
      <c r="H149">
        <v>1</v>
      </c>
      <c r="I149">
        <v>149</v>
      </c>
      <c r="J149">
        <v>149</v>
      </c>
      <c r="K149">
        <v>520</v>
      </c>
      <c r="L149" t="s">
        <v>29</v>
      </c>
      <c r="M149" t="s">
        <v>22</v>
      </c>
      <c r="N149">
        <v>149</v>
      </c>
      <c r="Q149">
        <f>VLOOKUP(ecommerce_order__1[[#This Row],[product_sku]],F:J,5,FALSE)</f>
        <v>36</v>
      </c>
    </row>
    <row r="150" spans="1:17" x14ac:dyDescent="0.3">
      <c r="A150" t="s">
        <v>447</v>
      </c>
      <c r="B150" t="s">
        <v>448</v>
      </c>
      <c r="C150" t="s">
        <v>449</v>
      </c>
      <c r="D150" t="s">
        <v>90</v>
      </c>
      <c r="E150" t="s">
        <v>26</v>
      </c>
      <c r="F150" t="s">
        <v>42</v>
      </c>
      <c r="G150" t="s">
        <v>43</v>
      </c>
      <c r="H150">
        <v>-2</v>
      </c>
      <c r="I150">
        <v>129</v>
      </c>
      <c r="J150">
        <v>-258</v>
      </c>
      <c r="K150">
        <v>190</v>
      </c>
      <c r="L150" t="s">
        <v>29</v>
      </c>
      <c r="M150" t="s">
        <v>22</v>
      </c>
      <c r="N150">
        <v>129</v>
      </c>
      <c r="Q150">
        <f>VLOOKUP(ecommerce_order__1[[#This Row],[product_sku]],F:J,5,FALSE)</f>
        <v>71.099999999999994</v>
      </c>
    </row>
    <row r="151" spans="1:17" x14ac:dyDescent="0.3">
      <c r="A151" t="s">
        <v>450</v>
      </c>
      <c r="B151" t="s">
        <v>55</v>
      </c>
      <c r="C151" t="s">
        <v>451</v>
      </c>
      <c r="D151" t="s">
        <v>53</v>
      </c>
      <c r="E151" t="s">
        <v>41</v>
      </c>
      <c r="F151" t="s">
        <v>72</v>
      </c>
      <c r="G151" t="s">
        <v>73</v>
      </c>
      <c r="H151">
        <v>1</v>
      </c>
      <c r="I151">
        <v>45</v>
      </c>
      <c r="J151">
        <v>45</v>
      </c>
      <c r="K151">
        <v>0.41</v>
      </c>
      <c r="L151" t="s">
        <v>29</v>
      </c>
      <c r="M151" t="s">
        <v>57</v>
      </c>
      <c r="N151">
        <v>45</v>
      </c>
      <c r="Q151">
        <f>VLOOKUP(ecommerce_order__1[[#This Row],[product_sku]],F:J,5,FALSE)</f>
        <v>45</v>
      </c>
    </row>
    <row r="152" spans="1:17" x14ac:dyDescent="0.3">
      <c r="A152" t="s">
        <v>452</v>
      </c>
      <c r="B152" t="s">
        <v>453</v>
      </c>
      <c r="C152" t="s">
        <v>454</v>
      </c>
      <c r="D152" t="s">
        <v>33</v>
      </c>
      <c r="E152" t="s">
        <v>65</v>
      </c>
      <c r="F152" t="s">
        <v>85</v>
      </c>
      <c r="G152" t="s">
        <v>86</v>
      </c>
      <c r="H152">
        <v>2</v>
      </c>
      <c r="J152">
        <v>142.19999999999999</v>
      </c>
      <c r="K152">
        <v>640</v>
      </c>
      <c r="L152" t="s">
        <v>29</v>
      </c>
      <c r="M152" t="s">
        <v>22</v>
      </c>
      <c r="Q152">
        <f>VLOOKUP(ecommerce_order__1[[#This Row],[product_sku]],F:J,5,FALSE)</f>
        <v>387</v>
      </c>
    </row>
    <row r="153" spans="1:17" x14ac:dyDescent="0.3">
      <c r="A153" t="s">
        <v>455</v>
      </c>
      <c r="B153" t="s">
        <v>195</v>
      </c>
      <c r="C153" t="s">
        <v>456</v>
      </c>
      <c r="D153" t="s">
        <v>90</v>
      </c>
      <c r="E153" t="s">
        <v>65</v>
      </c>
      <c r="F153" t="s">
        <v>72</v>
      </c>
      <c r="G153" t="s">
        <v>73</v>
      </c>
      <c r="H153">
        <v>3</v>
      </c>
      <c r="I153">
        <v>116.1</v>
      </c>
      <c r="J153">
        <v>348.3</v>
      </c>
      <c r="K153">
        <v>0.41</v>
      </c>
      <c r="L153" t="s">
        <v>29</v>
      </c>
      <c r="M153" t="s">
        <v>22</v>
      </c>
      <c r="N153">
        <v>116.1</v>
      </c>
      <c r="Q153">
        <f>VLOOKUP(ecommerce_order__1[[#This Row],[product_sku]],F:J,5,FALSE)</f>
        <v>45</v>
      </c>
    </row>
    <row r="154" spans="1:17" x14ac:dyDescent="0.3">
      <c r="A154" t="s">
        <v>457</v>
      </c>
      <c r="B154" t="s">
        <v>124</v>
      </c>
      <c r="C154" t="s">
        <v>458</v>
      </c>
      <c r="D154" t="s">
        <v>47</v>
      </c>
      <c r="E154" t="s">
        <v>18</v>
      </c>
      <c r="F154" t="s">
        <v>42</v>
      </c>
      <c r="G154" t="s">
        <v>43</v>
      </c>
      <c r="H154">
        <v>1</v>
      </c>
      <c r="I154">
        <v>79</v>
      </c>
      <c r="J154">
        <v>79</v>
      </c>
      <c r="K154">
        <v>190</v>
      </c>
      <c r="L154" t="s">
        <v>29</v>
      </c>
      <c r="M154" t="s">
        <v>57</v>
      </c>
      <c r="N154">
        <v>79</v>
      </c>
      <c r="Q154">
        <f>VLOOKUP(ecommerce_order__1[[#This Row],[product_sku]],F:J,5,FALSE)</f>
        <v>71.099999999999994</v>
      </c>
    </row>
    <row r="155" spans="1:17" x14ac:dyDescent="0.3">
      <c r="A155" t="s">
        <v>459</v>
      </c>
      <c r="B155" t="s">
        <v>354</v>
      </c>
      <c r="C155" t="s">
        <v>215</v>
      </c>
      <c r="D155" t="s">
        <v>47</v>
      </c>
      <c r="E155" t="s">
        <v>18</v>
      </c>
      <c r="F155" t="s">
        <v>48</v>
      </c>
      <c r="G155" t="s">
        <v>49</v>
      </c>
      <c r="H155">
        <v>3</v>
      </c>
      <c r="I155">
        <v>79</v>
      </c>
      <c r="J155">
        <v>237</v>
      </c>
      <c r="K155">
        <v>0.38</v>
      </c>
      <c r="L155" t="s">
        <v>21</v>
      </c>
      <c r="M155" t="s">
        <v>22</v>
      </c>
      <c r="N155">
        <v>79</v>
      </c>
      <c r="Q155">
        <f>VLOOKUP(ecommerce_order__1[[#This Row],[product_sku]],F:J,5,FALSE)</f>
        <v>21.6</v>
      </c>
    </row>
    <row r="156" spans="1:17" x14ac:dyDescent="0.3">
      <c r="A156" t="s">
        <v>460</v>
      </c>
      <c r="B156" t="s">
        <v>461</v>
      </c>
      <c r="C156" t="s">
        <v>462</v>
      </c>
      <c r="D156" t="s">
        <v>40</v>
      </c>
      <c r="E156" t="s">
        <v>26</v>
      </c>
      <c r="F156" t="s">
        <v>35</v>
      </c>
      <c r="G156" t="s">
        <v>36</v>
      </c>
      <c r="H156">
        <v>1</v>
      </c>
      <c r="I156">
        <v>129</v>
      </c>
      <c r="J156">
        <v>129</v>
      </c>
      <c r="K156">
        <v>8.5000000000000006E-2</v>
      </c>
      <c r="L156" t="s">
        <v>29</v>
      </c>
      <c r="M156" t="s">
        <v>57</v>
      </c>
      <c r="N156">
        <v>129</v>
      </c>
      <c r="Q156">
        <f>VLOOKUP(ecommerce_order__1[[#This Row],[product_sku]],F:J,5,FALSE)</f>
        <v>45</v>
      </c>
    </row>
    <row r="157" spans="1:17" x14ac:dyDescent="0.3">
      <c r="A157" t="s">
        <v>463</v>
      </c>
      <c r="B157" t="s">
        <v>369</v>
      </c>
      <c r="C157" t="s">
        <v>464</v>
      </c>
      <c r="D157" t="s">
        <v>112</v>
      </c>
      <c r="E157" t="s">
        <v>26</v>
      </c>
      <c r="F157" t="s">
        <v>48</v>
      </c>
      <c r="G157" t="s">
        <v>49</v>
      </c>
      <c r="H157">
        <v>3</v>
      </c>
      <c r="J157">
        <v>328.95</v>
      </c>
      <c r="K157">
        <v>380</v>
      </c>
      <c r="L157" t="s">
        <v>29</v>
      </c>
      <c r="M157" t="s">
        <v>22</v>
      </c>
      <c r="Q157">
        <f>VLOOKUP(ecommerce_order__1[[#This Row],[product_sku]],F:J,5,FALSE)</f>
        <v>21.6</v>
      </c>
    </row>
    <row r="158" spans="1:17" x14ac:dyDescent="0.3">
      <c r="A158" t="s">
        <v>465</v>
      </c>
      <c r="B158" t="s">
        <v>263</v>
      </c>
      <c r="C158" t="s">
        <v>466</v>
      </c>
      <c r="D158" t="s">
        <v>112</v>
      </c>
      <c r="E158" t="s">
        <v>34</v>
      </c>
      <c r="F158" t="s">
        <v>72</v>
      </c>
      <c r="G158" t="s">
        <v>73</v>
      </c>
      <c r="H158">
        <v>3</v>
      </c>
      <c r="I158">
        <v>11.25</v>
      </c>
      <c r="J158">
        <v>33.75</v>
      </c>
      <c r="K158">
        <v>410</v>
      </c>
      <c r="L158" t="s">
        <v>29</v>
      </c>
      <c r="M158" t="s">
        <v>22</v>
      </c>
      <c r="N158">
        <v>11.25</v>
      </c>
      <c r="Q158">
        <f>VLOOKUP(ecommerce_order__1[[#This Row],[product_sku]],F:J,5,FALSE)</f>
        <v>45</v>
      </c>
    </row>
    <row r="159" spans="1:17" x14ac:dyDescent="0.3">
      <c r="A159" t="s">
        <v>467</v>
      </c>
      <c r="B159" t="s">
        <v>468</v>
      </c>
      <c r="C159" t="s">
        <v>469</v>
      </c>
      <c r="D159" t="s">
        <v>112</v>
      </c>
      <c r="E159" t="s">
        <v>18</v>
      </c>
      <c r="F159" t="s">
        <v>72</v>
      </c>
      <c r="G159" t="s">
        <v>73</v>
      </c>
      <c r="H159">
        <v>1</v>
      </c>
      <c r="I159">
        <v>11.25</v>
      </c>
      <c r="J159">
        <v>11.25</v>
      </c>
      <c r="K159">
        <v>410</v>
      </c>
      <c r="L159" t="s">
        <v>29</v>
      </c>
      <c r="M159" t="s">
        <v>57</v>
      </c>
      <c r="N159">
        <v>11.25</v>
      </c>
      <c r="Q159">
        <f>VLOOKUP(ecommerce_order__1[[#This Row],[product_sku]],F:J,5,FALSE)</f>
        <v>45</v>
      </c>
    </row>
    <row r="160" spans="1:17" x14ac:dyDescent="0.3">
      <c r="A160" t="s">
        <v>470</v>
      </c>
      <c r="B160" t="s">
        <v>139</v>
      </c>
      <c r="C160" t="s">
        <v>471</v>
      </c>
      <c r="D160" t="s">
        <v>53</v>
      </c>
      <c r="E160" t="s">
        <v>18</v>
      </c>
      <c r="F160" t="s">
        <v>42</v>
      </c>
      <c r="G160" t="s">
        <v>43</v>
      </c>
      <c r="H160">
        <v>1</v>
      </c>
      <c r="I160">
        <v>149</v>
      </c>
      <c r="J160">
        <v>149</v>
      </c>
      <c r="K160">
        <v>190</v>
      </c>
      <c r="L160" t="s">
        <v>29</v>
      </c>
      <c r="M160" t="s">
        <v>57</v>
      </c>
      <c r="N160">
        <v>149</v>
      </c>
      <c r="Q160">
        <f>VLOOKUP(ecommerce_order__1[[#This Row],[product_sku]],F:J,5,FALSE)</f>
        <v>71.099999999999994</v>
      </c>
    </row>
    <row r="161" spans="1:17" x14ac:dyDescent="0.3">
      <c r="A161" t="s">
        <v>472</v>
      </c>
      <c r="B161" t="s">
        <v>473</v>
      </c>
      <c r="C161" t="s">
        <v>474</v>
      </c>
      <c r="D161" t="s">
        <v>64</v>
      </c>
      <c r="E161" t="s">
        <v>34</v>
      </c>
      <c r="F161" t="s">
        <v>72</v>
      </c>
      <c r="G161" t="s">
        <v>73</v>
      </c>
      <c r="H161">
        <v>1</v>
      </c>
      <c r="I161">
        <v>79</v>
      </c>
      <c r="J161">
        <v>79</v>
      </c>
      <c r="K161">
        <v>410</v>
      </c>
      <c r="L161" t="s">
        <v>29</v>
      </c>
      <c r="M161" t="s">
        <v>57</v>
      </c>
      <c r="N161">
        <v>79</v>
      </c>
      <c r="Q161">
        <f>VLOOKUP(ecommerce_order__1[[#This Row],[product_sku]],F:J,5,FALSE)</f>
        <v>45</v>
      </c>
    </row>
    <row r="162" spans="1:17" x14ac:dyDescent="0.3">
      <c r="A162" t="s">
        <v>475</v>
      </c>
      <c r="B162" t="s">
        <v>304</v>
      </c>
      <c r="C162" t="s">
        <v>476</v>
      </c>
      <c r="D162" t="s">
        <v>47</v>
      </c>
      <c r="E162" t="s">
        <v>26</v>
      </c>
      <c r="F162" t="s">
        <v>72</v>
      </c>
      <c r="G162" t="s">
        <v>73</v>
      </c>
      <c r="H162">
        <v>2</v>
      </c>
      <c r="I162">
        <v>11.25</v>
      </c>
      <c r="J162">
        <v>20.25</v>
      </c>
      <c r="K162">
        <v>410</v>
      </c>
      <c r="L162" t="s">
        <v>29</v>
      </c>
      <c r="M162" t="s">
        <v>22</v>
      </c>
      <c r="N162">
        <v>11.25</v>
      </c>
      <c r="Q162">
        <f>VLOOKUP(ecommerce_order__1[[#This Row],[product_sku]],F:J,5,FALSE)</f>
        <v>45</v>
      </c>
    </row>
    <row r="163" spans="1:17" x14ac:dyDescent="0.3">
      <c r="A163" t="s">
        <v>477</v>
      </c>
      <c r="B163" t="s">
        <v>397</v>
      </c>
      <c r="C163" t="s">
        <v>282</v>
      </c>
      <c r="D163" t="s">
        <v>60</v>
      </c>
      <c r="E163" t="s">
        <v>41</v>
      </c>
      <c r="F163" t="s">
        <v>42</v>
      </c>
      <c r="G163" t="s">
        <v>43</v>
      </c>
      <c r="H163">
        <v>1</v>
      </c>
      <c r="I163">
        <v>45</v>
      </c>
      <c r="J163">
        <v>40.5</v>
      </c>
      <c r="K163">
        <v>190</v>
      </c>
      <c r="L163" t="s">
        <v>29</v>
      </c>
      <c r="M163" t="s">
        <v>22</v>
      </c>
      <c r="N163">
        <v>45</v>
      </c>
      <c r="Q163">
        <f>VLOOKUP(ecommerce_order__1[[#This Row],[product_sku]],F:J,5,FALSE)</f>
        <v>71.099999999999994</v>
      </c>
    </row>
    <row r="164" spans="1:17" x14ac:dyDescent="0.3">
      <c r="A164" t="s">
        <v>478</v>
      </c>
      <c r="B164" t="s">
        <v>339</v>
      </c>
      <c r="C164" t="s">
        <v>479</v>
      </c>
      <c r="D164" t="s">
        <v>97</v>
      </c>
      <c r="E164" t="s">
        <v>34</v>
      </c>
      <c r="F164" t="s">
        <v>85</v>
      </c>
      <c r="G164" t="s">
        <v>86</v>
      </c>
      <c r="H164">
        <v>3</v>
      </c>
      <c r="I164">
        <v>116.1</v>
      </c>
      <c r="J164">
        <v>348.3</v>
      </c>
      <c r="K164">
        <v>0.64</v>
      </c>
      <c r="L164" t="s">
        <v>29</v>
      </c>
      <c r="M164" t="s">
        <v>22</v>
      </c>
      <c r="N164">
        <v>116.1</v>
      </c>
      <c r="Q164">
        <f>VLOOKUP(ecommerce_order__1[[#This Row],[product_sku]],F:J,5,FALSE)</f>
        <v>387</v>
      </c>
    </row>
    <row r="165" spans="1:17" x14ac:dyDescent="0.3">
      <c r="A165" t="s">
        <v>480</v>
      </c>
      <c r="B165" t="s">
        <v>461</v>
      </c>
      <c r="C165" t="s">
        <v>481</v>
      </c>
      <c r="D165" t="s">
        <v>60</v>
      </c>
      <c r="E165" t="s">
        <v>26</v>
      </c>
      <c r="F165" t="s">
        <v>35</v>
      </c>
      <c r="G165" t="s">
        <v>36</v>
      </c>
      <c r="H165">
        <v>2</v>
      </c>
      <c r="I165">
        <v>71.099999999999994</v>
      </c>
      <c r="J165">
        <v>142.19999999999999</v>
      </c>
      <c r="K165">
        <v>8.5000000000000006E-2</v>
      </c>
      <c r="L165" t="s">
        <v>29</v>
      </c>
      <c r="M165" t="s">
        <v>57</v>
      </c>
      <c r="N165">
        <v>71.099999999999994</v>
      </c>
      <c r="Q165">
        <f>VLOOKUP(ecommerce_order__1[[#This Row],[product_sku]],F:J,5,FALSE)</f>
        <v>45</v>
      </c>
    </row>
    <row r="166" spans="1:17" x14ac:dyDescent="0.3">
      <c r="A166" t="s">
        <v>482</v>
      </c>
      <c r="B166" t="s">
        <v>483</v>
      </c>
      <c r="C166" t="s">
        <v>484</v>
      </c>
      <c r="D166" t="s">
        <v>60</v>
      </c>
      <c r="E166" t="s">
        <v>65</v>
      </c>
      <c r="F166" t="s">
        <v>85</v>
      </c>
      <c r="G166" t="s">
        <v>86</v>
      </c>
      <c r="H166">
        <v>1</v>
      </c>
      <c r="I166">
        <v>45</v>
      </c>
      <c r="J166">
        <v>45</v>
      </c>
      <c r="K166">
        <v>640</v>
      </c>
      <c r="L166" t="s">
        <v>29</v>
      </c>
      <c r="M166" t="s">
        <v>22</v>
      </c>
      <c r="N166">
        <v>45</v>
      </c>
      <c r="Q166">
        <f>VLOOKUP(ecommerce_order__1[[#This Row],[product_sku]],F:J,5,FALSE)</f>
        <v>387</v>
      </c>
    </row>
    <row r="167" spans="1:17" x14ac:dyDescent="0.3">
      <c r="A167" t="s">
        <v>485</v>
      </c>
      <c r="B167" t="s">
        <v>486</v>
      </c>
      <c r="C167" t="s">
        <v>487</v>
      </c>
      <c r="D167" t="s">
        <v>53</v>
      </c>
      <c r="E167" t="s">
        <v>65</v>
      </c>
      <c r="F167" t="s">
        <v>48</v>
      </c>
      <c r="G167" t="s">
        <v>49</v>
      </c>
      <c r="H167">
        <v>1</v>
      </c>
      <c r="I167">
        <v>45</v>
      </c>
      <c r="J167">
        <v>45</v>
      </c>
      <c r="K167">
        <v>380</v>
      </c>
      <c r="L167" t="s">
        <v>29</v>
      </c>
      <c r="M167" t="s">
        <v>22</v>
      </c>
      <c r="N167">
        <v>45</v>
      </c>
      <c r="Q167">
        <f>VLOOKUP(ecommerce_order__1[[#This Row],[product_sku]],F:J,5,FALSE)</f>
        <v>21.6</v>
      </c>
    </row>
    <row r="168" spans="1:17" x14ac:dyDescent="0.3">
      <c r="A168" t="s">
        <v>488</v>
      </c>
      <c r="B168" t="s">
        <v>489</v>
      </c>
      <c r="C168" t="s">
        <v>490</v>
      </c>
      <c r="D168" t="s">
        <v>53</v>
      </c>
      <c r="E168" t="s">
        <v>41</v>
      </c>
      <c r="F168" t="s">
        <v>85</v>
      </c>
      <c r="G168" t="s">
        <v>86</v>
      </c>
      <c r="H168">
        <v>1</v>
      </c>
      <c r="I168">
        <v>95</v>
      </c>
      <c r="J168">
        <v>76</v>
      </c>
      <c r="K168">
        <v>0.64</v>
      </c>
      <c r="L168" t="s">
        <v>29</v>
      </c>
      <c r="M168" t="s">
        <v>57</v>
      </c>
      <c r="N168">
        <v>95</v>
      </c>
      <c r="Q168">
        <f>VLOOKUP(ecommerce_order__1[[#This Row],[product_sku]],F:J,5,FALSE)</f>
        <v>387</v>
      </c>
    </row>
    <row r="169" spans="1:17" x14ac:dyDescent="0.3">
      <c r="A169" t="s">
        <v>491</v>
      </c>
      <c r="B169" t="s">
        <v>461</v>
      </c>
      <c r="C169" t="s">
        <v>492</v>
      </c>
      <c r="D169" t="s">
        <v>64</v>
      </c>
      <c r="E169" t="s">
        <v>26</v>
      </c>
      <c r="F169" t="s">
        <v>35</v>
      </c>
      <c r="G169" t="s">
        <v>36</v>
      </c>
      <c r="H169">
        <v>1</v>
      </c>
      <c r="I169">
        <v>79</v>
      </c>
      <c r="J169">
        <v>79</v>
      </c>
      <c r="K169">
        <v>8.5000000000000006E-2</v>
      </c>
      <c r="L169" t="s">
        <v>29</v>
      </c>
      <c r="M169" t="s">
        <v>22</v>
      </c>
      <c r="N169">
        <v>79</v>
      </c>
      <c r="Q169">
        <f>VLOOKUP(ecommerce_order__1[[#This Row],[product_sku]],F:J,5,FALSE)</f>
        <v>45</v>
      </c>
    </row>
    <row r="170" spans="1:17" x14ac:dyDescent="0.3">
      <c r="A170" t="s">
        <v>493</v>
      </c>
      <c r="B170" t="s">
        <v>92</v>
      </c>
      <c r="C170" t="s">
        <v>494</v>
      </c>
      <c r="D170" t="s">
        <v>60</v>
      </c>
      <c r="E170" t="s">
        <v>41</v>
      </c>
      <c r="F170" t="s">
        <v>19</v>
      </c>
      <c r="G170" t="s">
        <v>20</v>
      </c>
      <c r="H170">
        <v>2</v>
      </c>
      <c r="I170">
        <v>80.099999999999994</v>
      </c>
      <c r="J170">
        <v>160.19999999999999</v>
      </c>
      <c r="K170">
        <v>520</v>
      </c>
      <c r="L170" t="s">
        <v>29</v>
      </c>
      <c r="M170" t="s">
        <v>22</v>
      </c>
      <c r="N170">
        <v>80.099999999999994</v>
      </c>
      <c r="Q170">
        <f>VLOOKUP(ecommerce_order__1[[#This Row],[product_sku]],F:J,5,FALSE)</f>
        <v>36</v>
      </c>
    </row>
    <row r="171" spans="1:17" x14ac:dyDescent="0.3">
      <c r="A171" t="s">
        <v>495</v>
      </c>
      <c r="B171" t="s">
        <v>217</v>
      </c>
      <c r="C171" t="s">
        <v>496</v>
      </c>
      <c r="D171" t="s">
        <v>64</v>
      </c>
      <c r="E171" t="s">
        <v>65</v>
      </c>
      <c r="F171" t="s">
        <v>27</v>
      </c>
      <c r="G171" t="s">
        <v>28</v>
      </c>
      <c r="H171">
        <v>2</v>
      </c>
      <c r="I171">
        <v>79</v>
      </c>
      <c r="J171">
        <v>158</v>
      </c>
      <c r="K171">
        <v>0.52</v>
      </c>
      <c r="L171" t="s">
        <v>29</v>
      </c>
      <c r="M171" t="s">
        <v>57</v>
      </c>
      <c r="N171">
        <v>79</v>
      </c>
      <c r="Q171">
        <f>VLOOKUP(ecommerce_order__1[[#This Row],[product_sku]],F:J,5,FALSE)</f>
        <v>71.099999999999994</v>
      </c>
    </row>
    <row r="172" spans="1:17" x14ac:dyDescent="0.3">
      <c r="A172" t="s">
        <v>497</v>
      </c>
      <c r="B172" t="s">
        <v>498</v>
      </c>
      <c r="C172" t="s">
        <v>499</v>
      </c>
      <c r="D172" t="s">
        <v>64</v>
      </c>
      <c r="E172" t="s">
        <v>65</v>
      </c>
      <c r="F172" t="s">
        <v>35</v>
      </c>
      <c r="G172" t="s">
        <v>36</v>
      </c>
      <c r="H172">
        <v>3</v>
      </c>
      <c r="I172">
        <v>149</v>
      </c>
      <c r="J172">
        <v>447</v>
      </c>
      <c r="K172">
        <v>85</v>
      </c>
      <c r="L172" t="s">
        <v>29</v>
      </c>
      <c r="M172" t="s">
        <v>22</v>
      </c>
      <c r="N172">
        <v>149</v>
      </c>
      <c r="Q172">
        <f>VLOOKUP(ecommerce_order__1[[#This Row],[product_sku]],F:J,5,FALSE)</f>
        <v>45</v>
      </c>
    </row>
    <row r="173" spans="1:17" x14ac:dyDescent="0.3">
      <c r="A173" t="s">
        <v>500</v>
      </c>
      <c r="B173" t="s">
        <v>501</v>
      </c>
      <c r="C173" t="s">
        <v>502</v>
      </c>
      <c r="D173" t="s">
        <v>64</v>
      </c>
      <c r="E173" t="s">
        <v>34</v>
      </c>
      <c r="F173" t="s">
        <v>27</v>
      </c>
      <c r="G173" t="s">
        <v>28</v>
      </c>
      <c r="H173">
        <v>2</v>
      </c>
      <c r="I173">
        <v>95</v>
      </c>
      <c r="J173">
        <v>190</v>
      </c>
      <c r="K173">
        <v>520</v>
      </c>
      <c r="L173" t="s">
        <v>21</v>
      </c>
      <c r="M173" t="s">
        <v>57</v>
      </c>
      <c r="N173">
        <v>95</v>
      </c>
      <c r="Q173">
        <f>VLOOKUP(ecommerce_order__1[[#This Row],[product_sku]],F:J,5,FALSE)</f>
        <v>71.099999999999994</v>
      </c>
    </row>
    <row r="174" spans="1:17" x14ac:dyDescent="0.3">
      <c r="A174" t="s">
        <v>503</v>
      </c>
      <c r="B174" t="s">
        <v>504</v>
      </c>
      <c r="C174" t="s">
        <v>505</v>
      </c>
      <c r="D174" t="s">
        <v>33</v>
      </c>
      <c r="E174" t="s">
        <v>26</v>
      </c>
      <c r="F174" t="s">
        <v>85</v>
      </c>
      <c r="G174" t="s">
        <v>86</v>
      </c>
      <c r="H174">
        <v>1</v>
      </c>
      <c r="I174">
        <v>24</v>
      </c>
      <c r="J174">
        <v>24</v>
      </c>
      <c r="K174">
        <v>0.64</v>
      </c>
      <c r="L174" t="s">
        <v>29</v>
      </c>
      <c r="M174" t="s">
        <v>57</v>
      </c>
      <c r="N174">
        <v>24</v>
      </c>
      <c r="Q174">
        <f>VLOOKUP(ecommerce_order__1[[#This Row],[product_sku]],F:J,5,FALSE)</f>
        <v>387</v>
      </c>
    </row>
    <row r="175" spans="1:17" x14ac:dyDescent="0.3">
      <c r="A175" t="s">
        <v>506</v>
      </c>
      <c r="B175" t="s">
        <v>507</v>
      </c>
      <c r="C175" t="s">
        <v>508</v>
      </c>
      <c r="D175" t="s">
        <v>40</v>
      </c>
      <c r="E175" t="s">
        <v>41</v>
      </c>
      <c r="F175" t="s">
        <v>19</v>
      </c>
      <c r="G175" t="s">
        <v>20</v>
      </c>
      <c r="H175">
        <v>3</v>
      </c>
      <c r="I175">
        <v>149</v>
      </c>
      <c r="J175">
        <v>447</v>
      </c>
      <c r="K175">
        <v>520</v>
      </c>
      <c r="L175" t="s">
        <v>29</v>
      </c>
      <c r="M175" t="s">
        <v>22</v>
      </c>
      <c r="N175">
        <v>149</v>
      </c>
      <c r="Q175">
        <f>VLOOKUP(ecommerce_order__1[[#This Row],[product_sku]],F:J,5,FALSE)</f>
        <v>36</v>
      </c>
    </row>
    <row r="176" spans="1:17" x14ac:dyDescent="0.3">
      <c r="A176" t="s">
        <v>509</v>
      </c>
      <c r="B176" t="s">
        <v>461</v>
      </c>
      <c r="C176" t="s">
        <v>510</v>
      </c>
      <c r="D176" t="s">
        <v>64</v>
      </c>
      <c r="E176" t="s">
        <v>41</v>
      </c>
      <c r="F176" t="s">
        <v>48</v>
      </c>
      <c r="G176" t="s">
        <v>49</v>
      </c>
      <c r="H176">
        <v>1</v>
      </c>
      <c r="I176">
        <v>134.1</v>
      </c>
      <c r="J176">
        <v>134.1</v>
      </c>
      <c r="K176">
        <v>0.38</v>
      </c>
      <c r="L176" t="s">
        <v>29</v>
      </c>
      <c r="M176" t="s">
        <v>22</v>
      </c>
      <c r="N176">
        <v>134.1</v>
      </c>
      <c r="Q176">
        <f>VLOOKUP(ecommerce_order__1[[#This Row],[product_sku]],F:J,5,FALSE)</f>
        <v>21.6</v>
      </c>
    </row>
    <row r="177" spans="1:17" x14ac:dyDescent="0.3">
      <c r="A177" t="s">
        <v>511</v>
      </c>
      <c r="B177" t="s">
        <v>512</v>
      </c>
      <c r="C177" t="s">
        <v>417</v>
      </c>
      <c r="D177" t="s">
        <v>33</v>
      </c>
      <c r="E177" t="s">
        <v>34</v>
      </c>
      <c r="F177" t="s">
        <v>48</v>
      </c>
      <c r="G177" t="s">
        <v>49</v>
      </c>
      <c r="H177">
        <v>2</v>
      </c>
      <c r="J177">
        <v>190</v>
      </c>
      <c r="K177">
        <v>380</v>
      </c>
      <c r="L177" t="s">
        <v>29</v>
      </c>
      <c r="M177" t="s">
        <v>57</v>
      </c>
      <c r="Q177">
        <f>VLOOKUP(ecommerce_order__1[[#This Row],[product_sku]],F:J,5,FALSE)</f>
        <v>21.6</v>
      </c>
    </row>
    <row r="178" spans="1:17" x14ac:dyDescent="0.3">
      <c r="A178" t="s">
        <v>513</v>
      </c>
      <c r="B178" t="s">
        <v>514</v>
      </c>
      <c r="C178" t="s">
        <v>515</v>
      </c>
      <c r="D178" t="s">
        <v>17</v>
      </c>
      <c r="E178" t="s">
        <v>34</v>
      </c>
      <c r="F178" t="s">
        <v>27</v>
      </c>
      <c r="G178" t="s">
        <v>28</v>
      </c>
      <c r="H178">
        <v>3</v>
      </c>
      <c r="I178">
        <v>79</v>
      </c>
      <c r="J178">
        <v>237</v>
      </c>
      <c r="K178">
        <v>0.52</v>
      </c>
      <c r="L178" t="s">
        <v>21</v>
      </c>
      <c r="M178" t="s">
        <v>22</v>
      </c>
      <c r="N178">
        <v>79</v>
      </c>
      <c r="Q178">
        <f>VLOOKUP(ecommerce_order__1[[#This Row],[product_sku]],F:J,5,FALSE)</f>
        <v>71.099999999999994</v>
      </c>
    </row>
    <row r="179" spans="1:17" x14ac:dyDescent="0.3">
      <c r="A179" t="s">
        <v>516</v>
      </c>
      <c r="B179" t="s">
        <v>62</v>
      </c>
      <c r="C179" t="s">
        <v>517</v>
      </c>
      <c r="D179" t="s">
        <v>53</v>
      </c>
      <c r="E179" t="s">
        <v>65</v>
      </c>
      <c r="F179" t="s">
        <v>48</v>
      </c>
      <c r="G179" t="s">
        <v>49</v>
      </c>
      <c r="H179">
        <v>2</v>
      </c>
      <c r="I179">
        <v>11.25</v>
      </c>
      <c r="J179">
        <v>22.5</v>
      </c>
      <c r="K179">
        <v>380</v>
      </c>
      <c r="L179" t="s">
        <v>29</v>
      </c>
      <c r="M179" t="s">
        <v>22</v>
      </c>
      <c r="N179">
        <v>11.25</v>
      </c>
      <c r="Q179">
        <f>VLOOKUP(ecommerce_order__1[[#This Row],[product_sku]],F:J,5,FALSE)</f>
        <v>21.6</v>
      </c>
    </row>
    <row r="180" spans="1:17" x14ac:dyDescent="0.3">
      <c r="A180" t="s">
        <v>518</v>
      </c>
      <c r="B180" t="s">
        <v>124</v>
      </c>
      <c r="C180" t="s">
        <v>519</v>
      </c>
      <c r="D180" t="s">
        <v>47</v>
      </c>
      <c r="E180" t="s">
        <v>18</v>
      </c>
      <c r="F180" t="s">
        <v>72</v>
      </c>
      <c r="G180" t="s">
        <v>73</v>
      </c>
      <c r="H180">
        <v>1</v>
      </c>
      <c r="I180">
        <v>116.1</v>
      </c>
      <c r="J180">
        <v>116.1</v>
      </c>
      <c r="K180">
        <v>410</v>
      </c>
      <c r="L180" t="s">
        <v>29</v>
      </c>
      <c r="M180" t="s">
        <v>22</v>
      </c>
      <c r="N180">
        <v>116.1</v>
      </c>
      <c r="Q180">
        <f>VLOOKUP(ecommerce_order__1[[#This Row],[product_sku]],F:J,5,FALSE)</f>
        <v>45</v>
      </c>
    </row>
    <row r="181" spans="1:17" x14ac:dyDescent="0.3">
      <c r="A181" t="s">
        <v>520</v>
      </c>
      <c r="B181" t="s">
        <v>95</v>
      </c>
      <c r="C181" t="s">
        <v>521</v>
      </c>
      <c r="D181" t="s">
        <v>64</v>
      </c>
      <c r="E181" t="s">
        <v>65</v>
      </c>
      <c r="F181" t="s">
        <v>42</v>
      </c>
      <c r="G181" t="s">
        <v>43</v>
      </c>
      <c r="H181">
        <v>3</v>
      </c>
      <c r="I181">
        <v>134.1</v>
      </c>
      <c r="J181">
        <v>402.3</v>
      </c>
      <c r="K181">
        <v>0.19</v>
      </c>
      <c r="L181" t="s">
        <v>21</v>
      </c>
      <c r="M181" t="s">
        <v>22</v>
      </c>
      <c r="N181">
        <v>134.1</v>
      </c>
      <c r="Q181">
        <f>VLOOKUP(ecommerce_order__1[[#This Row],[product_sku]],F:J,5,FALSE)</f>
        <v>71.099999999999994</v>
      </c>
    </row>
    <row r="182" spans="1:17" x14ac:dyDescent="0.3">
      <c r="A182" t="s">
        <v>522</v>
      </c>
      <c r="B182" t="s">
        <v>38</v>
      </c>
      <c r="C182" t="s">
        <v>523</v>
      </c>
      <c r="D182" t="s">
        <v>40</v>
      </c>
      <c r="E182" t="s">
        <v>65</v>
      </c>
      <c r="F182" t="s">
        <v>27</v>
      </c>
      <c r="G182" t="s">
        <v>28</v>
      </c>
      <c r="H182">
        <v>1</v>
      </c>
      <c r="I182">
        <v>24</v>
      </c>
      <c r="J182">
        <v>24</v>
      </c>
      <c r="K182">
        <v>520</v>
      </c>
      <c r="L182" t="s">
        <v>29</v>
      </c>
      <c r="M182" t="s">
        <v>22</v>
      </c>
      <c r="N182">
        <v>24</v>
      </c>
      <c r="Q182">
        <f>VLOOKUP(ecommerce_order__1[[#This Row],[product_sku]],F:J,5,FALSE)</f>
        <v>71.099999999999994</v>
      </c>
    </row>
    <row r="183" spans="1:17" x14ac:dyDescent="0.3">
      <c r="A183" t="s">
        <v>524</v>
      </c>
      <c r="B183" t="s">
        <v>195</v>
      </c>
      <c r="C183" t="s">
        <v>525</v>
      </c>
      <c r="D183" t="s">
        <v>33</v>
      </c>
      <c r="E183" t="s">
        <v>65</v>
      </c>
      <c r="F183" t="s">
        <v>27</v>
      </c>
      <c r="G183" t="s">
        <v>28</v>
      </c>
      <c r="H183">
        <v>1</v>
      </c>
      <c r="I183">
        <v>45</v>
      </c>
      <c r="J183">
        <v>45</v>
      </c>
      <c r="K183">
        <v>0.52</v>
      </c>
      <c r="L183" t="s">
        <v>29</v>
      </c>
      <c r="M183" t="s">
        <v>22</v>
      </c>
      <c r="N183">
        <v>45</v>
      </c>
      <c r="Q183">
        <f>VLOOKUP(ecommerce_order__1[[#This Row],[product_sku]],F:J,5,FALSE)</f>
        <v>71.099999999999994</v>
      </c>
    </row>
    <row r="184" spans="1:17" x14ac:dyDescent="0.3">
      <c r="A184" t="s">
        <v>526</v>
      </c>
      <c r="B184" t="s">
        <v>527</v>
      </c>
      <c r="C184" t="s">
        <v>466</v>
      </c>
      <c r="D184" t="s">
        <v>90</v>
      </c>
      <c r="E184" t="s">
        <v>18</v>
      </c>
      <c r="F184" t="s">
        <v>35</v>
      </c>
      <c r="G184" t="s">
        <v>36</v>
      </c>
      <c r="H184">
        <v>3</v>
      </c>
      <c r="I184">
        <v>40.5</v>
      </c>
      <c r="J184">
        <v>121.5</v>
      </c>
      <c r="K184">
        <v>8.5000000000000006E-2</v>
      </c>
      <c r="L184" t="s">
        <v>21</v>
      </c>
      <c r="M184" t="s">
        <v>22</v>
      </c>
      <c r="N184">
        <v>40.5</v>
      </c>
      <c r="Q184">
        <f>VLOOKUP(ecommerce_order__1[[#This Row],[product_sku]],F:J,5,FALSE)</f>
        <v>45</v>
      </c>
    </row>
    <row r="185" spans="1:17" x14ac:dyDescent="0.3">
      <c r="A185" t="s">
        <v>528</v>
      </c>
      <c r="B185" t="s">
        <v>468</v>
      </c>
      <c r="C185" t="s">
        <v>529</v>
      </c>
      <c r="D185" t="s">
        <v>90</v>
      </c>
      <c r="E185" t="s">
        <v>34</v>
      </c>
      <c r="F185" t="s">
        <v>85</v>
      </c>
      <c r="G185" t="s">
        <v>86</v>
      </c>
      <c r="H185">
        <v>1</v>
      </c>
      <c r="I185">
        <v>95</v>
      </c>
      <c r="J185">
        <v>95</v>
      </c>
      <c r="K185">
        <v>640</v>
      </c>
      <c r="L185" t="s">
        <v>29</v>
      </c>
      <c r="M185" t="s">
        <v>22</v>
      </c>
      <c r="N185">
        <v>95</v>
      </c>
      <c r="Q185">
        <f>VLOOKUP(ecommerce_order__1[[#This Row],[product_sku]],F:J,5,FALSE)</f>
        <v>387</v>
      </c>
    </row>
    <row r="186" spans="1:17" x14ac:dyDescent="0.3">
      <c r="A186" t="s">
        <v>530</v>
      </c>
      <c r="B186" t="s">
        <v>357</v>
      </c>
      <c r="C186" t="s">
        <v>531</v>
      </c>
      <c r="D186" t="s">
        <v>17</v>
      </c>
      <c r="E186" t="s">
        <v>26</v>
      </c>
      <c r="F186" t="s">
        <v>80</v>
      </c>
      <c r="G186" t="s">
        <v>81</v>
      </c>
      <c r="H186">
        <v>2</v>
      </c>
      <c r="I186">
        <v>45</v>
      </c>
      <c r="J186">
        <v>90</v>
      </c>
      <c r="K186">
        <v>340</v>
      </c>
      <c r="L186" t="s">
        <v>21</v>
      </c>
      <c r="M186" t="s">
        <v>57</v>
      </c>
      <c r="N186">
        <v>45</v>
      </c>
      <c r="Q186">
        <f>VLOOKUP(ecommerce_order__1[[#This Row],[product_sku]],F:J,5,FALSE)</f>
        <v>348.3</v>
      </c>
    </row>
    <row r="187" spans="1:17" x14ac:dyDescent="0.3">
      <c r="A187" t="s">
        <v>532</v>
      </c>
      <c r="B187" t="s">
        <v>533</v>
      </c>
      <c r="C187" t="s">
        <v>282</v>
      </c>
      <c r="D187" t="s">
        <v>97</v>
      </c>
      <c r="E187" t="s">
        <v>41</v>
      </c>
      <c r="F187" t="s">
        <v>48</v>
      </c>
      <c r="G187" t="s">
        <v>49</v>
      </c>
      <c r="H187">
        <v>1</v>
      </c>
      <c r="J187">
        <v>40.5</v>
      </c>
      <c r="K187">
        <v>0.38</v>
      </c>
      <c r="L187" t="s">
        <v>29</v>
      </c>
      <c r="M187" t="s">
        <v>22</v>
      </c>
      <c r="Q187">
        <f>VLOOKUP(ecommerce_order__1[[#This Row],[product_sku]],F:J,5,FALSE)</f>
        <v>21.6</v>
      </c>
    </row>
    <row r="188" spans="1:17" x14ac:dyDescent="0.3">
      <c r="A188" t="s">
        <v>534</v>
      </c>
      <c r="B188" t="s">
        <v>322</v>
      </c>
      <c r="C188" t="s">
        <v>535</v>
      </c>
      <c r="D188" t="s">
        <v>60</v>
      </c>
      <c r="E188" t="s">
        <v>41</v>
      </c>
      <c r="F188" t="s">
        <v>72</v>
      </c>
      <c r="G188" t="s">
        <v>73</v>
      </c>
      <c r="H188">
        <v>1</v>
      </c>
      <c r="I188">
        <v>45</v>
      </c>
      <c r="J188">
        <v>45</v>
      </c>
      <c r="K188">
        <v>410</v>
      </c>
      <c r="L188" t="s">
        <v>29</v>
      </c>
      <c r="M188" t="s">
        <v>57</v>
      </c>
      <c r="N188">
        <v>45</v>
      </c>
      <c r="Q188">
        <f>VLOOKUP(ecommerce_order__1[[#This Row],[product_sku]],F:J,5,FALSE)</f>
        <v>45</v>
      </c>
    </row>
    <row r="189" spans="1:17" x14ac:dyDescent="0.3">
      <c r="A189" t="s">
        <v>536</v>
      </c>
      <c r="B189" t="s">
        <v>537</v>
      </c>
      <c r="C189" t="s">
        <v>538</v>
      </c>
      <c r="D189" t="s">
        <v>60</v>
      </c>
      <c r="E189" t="s">
        <v>41</v>
      </c>
      <c r="F189" t="s">
        <v>85</v>
      </c>
      <c r="G189" t="s">
        <v>86</v>
      </c>
      <c r="H189">
        <v>3</v>
      </c>
      <c r="I189">
        <v>149</v>
      </c>
      <c r="J189">
        <v>447</v>
      </c>
      <c r="K189">
        <v>640</v>
      </c>
      <c r="L189" t="s">
        <v>29</v>
      </c>
      <c r="M189" t="s">
        <v>57</v>
      </c>
      <c r="N189">
        <v>149</v>
      </c>
      <c r="Q189">
        <f>VLOOKUP(ecommerce_order__1[[#This Row],[product_sku]],F:J,5,FALSE)</f>
        <v>387</v>
      </c>
    </row>
    <row r="190" spans="1:17" x14ac:dyDescent="0.3">
      <c r="A190" t="s">
        <v>539</v>
      </c>
      <c r="B190" t="s">
        <v>540</v>
      </c>
      <c r="C190" t="s">
        <v>541</v>
      </c>
      <c r="D190" t="s">
        <v>17</v>
      </c>
      <c r="E190" t="s">
        <v>65</v>
      </c>
      <c r="F190" t="s">
        <v>72</v>
      </c>
      <c r="G190" t="s">
        <v>73</v>
      </c>
      <c r="H190">
        <v>3</v>
      </c>
      <c r="I190">
        <v>95</v>
      </c>
      <c r="J190">
        <v>285</v>
      </c>
      <c r="K190">
        <v>410</v>
      </c>
      <c r="L190" t="s">
        <v>29</v>
      </c>
      <c r="M190" t="s">
        <v>22</v>
      </c>
      <c r="N190">
        <v>95</v>
      </c>
      <c r="Q190">
        <f>VLOOKUP(ecommerce_order__1[[#This Row],[product_sku]],F:J,5,FALSE)</f>
        <v>45</v>
      </c>
    </row>
    <row r="191" spans="1:17" x14ac:dyDescent="0.3">
      <c r="A191" t="s">
        <v>542</v>
      </c>
      <c r="B191" t="s">
        <v>136</v>
      </c>
      <c r="C191" t="s">
        <v>464</v>
      </c>
      <c r="D191" t="s">
        <v>47</v>
      </c>
      <c r="E191" t="s">
        <v>26</v>
      </c>
      <c r="F191" t="s">
        <v>48</v>
      </c>
      <c r="G191" t="s">
        <v>49</v>
      </c>
      <c r="H191">
        <v>2</v>
      </c>
      <c r="I191">
        <v>21.6</v>
      </c>
      <c r="J191">
        <v>43.2</v>
      </c>
      <c r="K191">
        <v>380</v>
      </c>
      <c r="L191" t="s">
        <v>29</v>
      </c>
      <c r="M191" t="s">
        <v>22</v>
      </c>
      <c r="N191">
        <v>21.6</v>
      </c>
      <c r="Q191">
        <f>VLOOKUP(ecommerce_order__1[[#This Row],[product_sku]],F:J,5,FALSE)</f>
        <v>21.6</v>
      </c>
    </row>
    <row r="192" spans="1:17" x14ac:dyDescent="0.3">
      <c r="A192" t="s">
        <v>543</v>
      </c>
      <c r="B192" t="s">
        <v>51</v>
      </c>
      <c r="C192" t="s">
        <v>544</v>
      </c>
      <c r="D192" t="s">
        <v>53</v>
      </c>
      <c r="E192" t="s">
        <v>65</v>
      </c>
      <c r="F192" t="s">
        <v>72</v>
      </c>
      <c r="G192" t="s">
        <v>73</v>
      </c>
      <c r="H192">
        <v>1</v>
      </c>
      <c r="I192">
        <v>24</v>
      </c>
      <c r="J192">
        <v>24</v>
      </c>
      <c r="K192">
        <v>410</v>
      </c>
      <c r="L192" t="s">
        <v>21</v>
      </c>
      <c r="M192" t="s">
        <v>22</v>
      </c>
      <c r="N192">
        <v>24</v>
      </c>
      <c r="Q192">
        <f>VLOOKUP(ecommerce_order__1[[#This Row],[product_sku]],F:J,5,FALSE)</f>
        <v>45</v>
      </c>
    </row>
    <row r="193" spans="1:17" x14ac:dyDescent="0.3">
      <c r="A193" t="s">
        <v>545</v>
      </c>
      <c r="B193" t="s">
        <v>208</v>
      </c>
      <c r="C193" t="s">
        <v>546</v>
      </c>
      <c r="D193" t="s">
        <v>40</v>
      </c>
      <c r="E193" t="s">
        <v>34</v>
      </c>
      <c r="F193" t="s">
        <v>80</v>
      </c>
      <c r="G193" t="s">
        <v>81</v>
      </c>
      <c r="H193">
        <v>2</v>
      </c>
      <c r="I193">
        <v>116.1</v>
      </c>
      <c r="J193">
        <v>232.2</v>
      </c>
      <c r="K193">
        <v>340</v>
      </c>
      <c r="L193" t="s">
        <v>21</v>
      </c>
      <c r="M193" t="s">
        <v>22</v>
      </c>
      <c r="N193">
        <v>116.1</v>
      </c>
      <c r="Q193">
        <f>VLOOKUP(ecommerce_order__1[[#This Row],[product_sku]],F:J,5,FALSE)</f>
        <v>348.3</v>
      </c>
    </row>
    <row r="194" spans="1:17" x14ac:dyDescent="0.3">
      <c r="A194" t="s">
        <v>547</v>
      </c>
      <c r="B194" t="s">
        <v>62</v>
      </c>
      <c r="C194" t="s">
        <v>548</v>
      </c>
      <c r="D194" t="s">
        <v>60</v>
      </c>
      <c r="E194" t="s">
        <v>26</v>
      </c>
      <c r="F194" t="s">
        <v>80</v>
      </c>
      <c r="G194" t="s">
        <v>81</v>
      </c>
      <c r="H194">
        <v>1</v>
      </c>
      <c r="I194">
        <v>89</v>
      </c>
      <c r="J194">
        <v>89</v>
      </c>
      <c r="K194">
        <v>340</v>
      </c>
      <c r="L194" t="s">
        <v>29</v>
      </c>
      <c r="M194" t="s">
        <v>22</v>
      </c>
      <c r="N194">
        <v>89</v>
      </c>
      <c r="Q194">
        <f>VLOOKUP(ecommerce_order__1[[#This Row],[product_sku]],F:J,5,FALSE)</f>
        <v>348.3</v>
      </c>
    </row>
    <row r="195" spans="1:17" x14ac:dyDescent="0.3">
      <c r="A195" t="s">
        <v>549</v>
      </c>
      <c r="B195" t="s">
        <v>200</v>
      </c>
      <c r="C195" t="s">
        <v>550</v>
      </c>
      <c r="D195" t="s">
        <v>17</v>
      </c>
      <c r="E195" t="s">
        <v>65</v>
      </c>
      <c r="F195" t="s">
        <v>19</v>
      </c>
      <c r="G195" t="s">
        <v>20</v>
      </c>
      <c r="H195">
        <v>3</v>
      </c>
      <c r="I195">
        <v>45</v>
      </c>
      <c r="J195">
        <v>135</v>
      </c>
      <c r="K195">
        <v>0.52</v>
      </c>
      <c r="L195" t="s">
        <v>29</v>
      </c>
      <c r="M195" t="s">
        <v>22</v>
      </c>
      <c r="N195">
        <v>45</v>
      </c>
      <c r="Q195">
        <f>VLOOKUP(ecommerce_order__1[[#This Row],[product_sku]],F:J,5,FALSE)</f>
        <v>36</v>
      </c>
    </row>
    <row r="196" spans="1:17" x14ac:dyDescent="0.3">
      <c r="A196" t="s">
        <v>551</v>
      </c>
      <c r="B196" t="s">
        <v>223</v>
      </c>
      <c r="C196" t="s">
        <v>552</v>
      </c>
      <c r="D196" t="s">
        <v>40</v>
      </c>
      <c r="E196" t="s">
        <v>65</v>
      </c>
      <c r="F196" t="s">
        <v>48</v>
      </c>
      <c r="G196" t="s">
        <v>49</v>
      </c>
      <c r="H196">
        <v>1</v>
      </c>
      <c r="I196">
        <v>149</v>
      </c>
      <c r="J196">
        <v>149</v>
      </c>
      <c r="K196">
        <v>0.38</v>
      </c>
      <c r="L196" t="s">
        <v>29</v>
      </c>
      <c r="M196" t="s">
        <v>22</v>
      </c>
      <c r="N196">
        <v>149</v>
      </c>
      <c r="Q196">
        <f>VLOOKUP(ecommerce_order__1[[#This Row],[product_sku]],F:J,5,FALSE)</f>
        <v>21.6</v>
      </c>
    </row>
    <row r="197" spans="1:17" x14ac:dyDescent="0.3">
      <c r="A197" t="s">
        <v>553</v>
      </c>
      <c r="B197" t="s">
        <v>202</v>
      </c>
      <c r="C197" t="s">
        <v>554</v>
      </c>
      <c r="D197" t="s">
        <v>60</v>
      </c>
      <c r="E197" t="s">
        <v>34</v>
      </c>
      <c r="F197" t="s">
        <v>85</v>
      </c>
      <c r="G197" t="s">
        <v>86</v>
      </c>
      <c r="H197">
        <v>1</v>
      </c>
      <c r="I197">
        <v>85.5</v>
      </c>
      <c r="J197">
        <v>85.5</v>
      </c>
      <c r="K197">
        <v>0.64</v>
      </c>
      <c r="L197" t="s">
        <v>29</v>
      </c>
      <c r="M197" t="s">
        <v>22</v>
      </c>
      <c r="N197">
        <v>85.5</v>
      </c>
      <c r="Q197">
        <f>VLOOKUP(ecommerce_order__1[[#This Row],[product_sku]],F:J,5,FALSE)</f>
        <v>387</v>
      </c>
    </row>
    <row r="198" spans="1:17" x14ac:dyDescent="0.3">
      <c r="A198" t="s">
        <v>555</v>
      </c>
      <c r="B198" t="s">
        <v>342</v>
      </c>
      <c r="C198" t="s">
        <v>556</v>
      </c>
      <c r="D198" t="s">
        <v>17</v>
      </c>
      <c r="E198" t="s">
        <v>34</v>
      </c>
      <c r="F198" t="s">
        <v>42</v>
      </c>
      <c r="G198" t="s">
        <v>43</v>
      </c>
      <c r="H198">
        <v>1</v>
      </c>
      <c r="I198">
        <v>89</v>
      </c>
      <c r="J198">
        <v>89</v>
      </c>
      <c r="K198">
        <v>0.19</v>
      </c>
      <c r="L198" t="s">
        <v>21</v>
      </c>
      <c r="M198" t="s">
        <v>22</v>
      </c>
      <c r="N198">
        <v>89</v>
      </c>
      <c r="Q198">
        <f>VLOOKUP(ecommerce_order__1[[#This Row],[product_sku]],F:J,5,FALSE)</f>
        <v>71.099999999999994</v>
      </c>
    </row>
    <row r="199" spans="1:17" x14ac:dyDescent="0.3">
      <c r="A199" t="s">
        <v>557</v>
      </c>
      <c r="B199" t="s">
        <v>558</v>
      </c>
      <c r="C199" t="s">
        <v>559</v>
      </c>
      <c r="D199" t="s">
        <v>53</v>
      </c>
      <c r="E199" t="s">
        <v>26</v>
      </c>
      <c r="F199" t="s">
        <v>85</v>
      </c>
      <c r="G199" t="s">
        <v>86</v>
      </c>
      <c r="H199">
        <v>2</v>
      </c>
      <c r="I199">
        <v>71.099999999999994</v>
      </c>
      <c r="J199">
        <v>142.19999999999999</v>
      </c>
      <c r="K199">
        <v>640</v>
      </c>
      <c r="L199" t="s">
        <v>29</v>
      </c>
      <c r="M199" t="s">
        <v>22</v>
      </c>
      <c r="N199">
        <v>71.099999999999994</v>
      </c>
      <c r="Q199">
        <f>VLOOKUP(ecommerce_order__1[[#This Row],[product_sku]],F:J,5,FALSE)</f>
        <v>387</v>
      </c>
    </row>
    <row r="200" spans="1:17" x14ac:dyDescent="0.3">
      <c r="A200" t="s">
        <v>560</v>
      </c>
      <c r="B200" t="s">
        <v>489</v>
      </c>
      <c r="C200" t="s">
        <v>561</v>
      </c>
      <c r="D200" t="s">
        <v>53</v>
      </c>
      <c r="E200" t="s">
        <v>34</v>
      </c>
      <c r="F200" t="s">
        <v>27</v>
      </c>
      <c r="G200" t="s">
        <v>28</v>
      </c>
      <c r="H200">
        <v>2</v>
      </c>
      <c r="I200">
        <v>149</v>
      </c>
      <c r="J200">
        <v>298</v>
      </c>
      <c r="K200">
        <v>0.52</v>
      </c>
      <c r="L200" t="s">
        <v>29</v>
      </c>
      <c r="M200" t="s">
        <v>57</v>
      </c>
      <c r="N200">
        <v>149</v>
      </c>
      <c r="Q200">
        <f>VLOOKUP(ecommerce_order__1[[#This Row],[product_sku]],F:J,5,FALSE)</f>
        <v>71.099999999999994</v>
      </c>
    </row>
    <row r="201" spans="1:17" x14ac:dyDescent="0.3">
      <c r="A201" t="s">
        <v>30</v>
      </c>
      <c r="B201" t="s">
        <v>31</v>
      </c>
      <c r="C201" t="s">
        <v>32</v>
      </c>
      <c r="D201" t="s">
        <v>33</v>
      </c>
      <c r="E201" t="s">
        <v>34</v>
      </c>
      <c r="F201" t="s">
        <v>35</v>
      </c>
      <c r="G201" t="s">
        <v>36</v>
      </c>
      <c r="H201">
        <v>1</v>
      </c>
      <c r="I201">
        <v>45</v>
      </c>
      <c r="J201">
        <v>45</v>
      </c>
      <c r="K201">
        <v>8.5000000000000006E-2</v>
      </c>
      <c r="L201" t="s">
        <v>29</v>
      </c>
      <c r="M201" t="s">
        <v>22</v>
      </c>
      <c r="N201">
        <v>45</v>
      </c>
      <c r="Q201">
        <f>VLOOKUP(ecommerce_order__1[[#This Row],[product_sku]],F:J,5,FALSE)</f>
        <v>45</v>
      </c>
    </row>
    <row r="202" spans="1:17" x14ac:dyDescent="0.3">
      <c r="A202" t="s">
        <v>66</v>
      </c>
      <c r="B202" t="s">
        <v>67</v>
      </c>
      <c r="C202" t="s">
        <v>68</v>
      </c>
      <c r="D202" t="s">
        <v>40</v>
      </c>
      <c r="E202" t="s">
        <v>65</v>
      </c>
      <c r="F202" t="s">
        <v>42</v>
      </c>
      <c r="G202" t="s">
        <v>43</v>
      </c>
      <c r="H202">
        <v>1</v>
      </c>
      <c r="I202">
        <v>95</v>
      </c>
      <c r="J202">
        <v>95</v>
      </c>
      <c r="K202">
        <v>190</v>
      </c>
      <c r="L202" t="s">
        <v>21</v>
      </c>
      <c r="M202" t="s">
        <v>57</v>
      </c>
      <c r="N202">
        <v>95</v>
      </c>
      <c r="Q202">
        <f>VLOOKUP(ecommerce_order__1[[#This Row],[product_sku]],F:J,5,FALSE)</f>
        <v>71.099999999999994</v>
      </c>
    </row>
    <row r="203" spans="1:17" x14ac:dyDescent="0.3">
      <c r="A203" t="s">
        <v>69</v>
      </c>
      <c r="B203" t="s">
        <v>70</v>
      </c>
      <c r="C203" t="s">
        <v>71</v>
      </c>
      <c r="D203" t="s">
        <v>40</v>
      </c>
      <c r="E203" t="s">
        <v>34</v>
      </c>
      <c r="F203" t="s">
        <v>72</v>
      </c>
      <c r="G203" t="s">
        <v>73</v>
      </c>
      <c r="H203">
        <v>1</v>
      </c>
      <c r="I203">
        <v>45</v>
      </c>
      <c r="J203">
        <v>45</v>
      </c>
      <c r="K203">
        <v>0.41</v>
      </c>
      <c r="L203" t="s">
        <v>29</v>
      </c>
      <c r="M203" t="s">
        <v>22</v>
      </c>
      <c r="N203">
        <v>45</v>
      </c>
      <c r="Q203">
        <f>VLOOKUP(ecommerce_order__1[[#This Row],[product_sku]],F:J,5,FALSE)</f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484D-90E2-405E-AE96-F0E7815EC740}">
  <dimension ref="A1:N203"/>
  <sheetViews>
    <sheetView topLeftCell="D1" workbookViewId="0">
      <selection activeCell="F16" sqref="F16"/>
    </sheetView>
  </sheetViews>
  <sheetFormatPr defaultRowHeight="14.4" x14ac:dyDescent="0.3"/>
  <cols>
    <col min="1" max="1" width="29.21875" customWidth="1"/>
    <col min="2" max="2" width="14" customWidth="1"/>
    <col min="3" max="3" width="31.109375" customWidth="1"/>
    <col min="4" max="4" width="20.21875" customWidth="1"/>
    <col min="6" max="6" width="21.77734375" customWidth="1"/>
    <col min="7" max="7" width="29.5546875" customWidth="1"/>
    <col min="8" max="9" width="18.33203125" customWidth="1"/>
    <col min="10" max="10" width="18.21875" customWidth="1"/>
    <col min="11" max="11" width="18.6640625" customWidth="1"/>
    <col min="13" max="13" width="15.33203125" customWidth="1"/>
    <col min="14" max="14" width="24.5546875" customWidth="1"/>
  </cols>
  <sheetData>
    <row r="1" spans="1:14" x14ac:dyDescent="0.3">
      <c r="A1" t="s">
        <v>0</v>
      </c>
      <c r="B1" t="str">
        <f>VLOOKUP($A$1,'ecommerce-order (1)'!$A:$M,2,FALSE)</f>
        <v>order_date</v>
      </c>
      <c r="C1" t="str">
        <f>VLOOKUP($A$1,'ecommerce-order (1)'!$A:$M,3,FALSE)</f>
        <v>customer_email</v>
      </c>
      <c r="D1" t="str">
        <f>VLOOKUP($A$1,'ecommerce-order (1)'!$A:$M,4,FALSE)</f>
        <v>country</v>
      </c>
      <c r="E1" t="str">
        <f>VLOOKUP($A$1,'ecommerce-order (1)'!$A:$M,5,FALSE)</f>
        <v>channel</v>
      </c>
      <c r="F1" t="str">
        <f>VLOOKUP($A$1,'ecommerce-order (1)'!$A:$M,6,FALSE)</f>
        <v>product_sku</v>
      </c>
      <c r="G1" t="str">
        <f>VLOOKUP($A$1,'ecommerce-order (1)'!$A:$M,7,FALSE)</f>
        <v>product_name</v>
      </c>
      <c r="H1" t="str">
        <f>VLOOKUP($A$1,'ecommerce-order (1)'!$A:$M,8,FALSE)</f>
        <v>quantity</v>
      </c>
      <c r="I1" t="str">
        <f>VLOOKUP($A$1,'ecommerce-order (1)'!$A:$M,9,FALSE)</f>
        <v>unit_price</v>
      </c>
      <c r="J1" t="str">
        <f>VLOOKUP($A$1,'ecommerce-order (1)'!$A:$M,10,FALSE)</f>
        <v>order_total</v>
      </c>
      <c r="K1" t="str">
        <f>VLOOKUP($A$1,'ecommerce-order (1)'!$A:$M,11,FALSE)</f>
        <v>weight</v>
      </c>
      <c r="L1" t="str">
        <f>VLOOKUP($A$1,'ecommerce-order (1)'!$A:$M,12,FALSE)</f>
        <v>currency</v>
      </c>
      <c r="M1" t="str">
        <f>VLOOKUP($A$1,'ecommerce-order (1)'!$A:$M,13,FALSE)</f>
        <v>status</v>
      </c>
      <c r="N1" t="s">
        <v>575</v>
      </c>
    </row>
    <row r="2" spans="1:14" x14ac:dyDescent="0.3">
      <c r="A2" t="s">
        <v>14</v>
      </c>
      <c r="B2" t="str">
        <f>VLOOKUP(A2,'ecommerce-order (1)'!$A:$M,2,FALSE)</f>
        <v>19-03-2026</v>
      </c>
      <c r="C2" t="str">
        <f>VLOOKUP($A2,'ecommerce-order (1)'!$A:$M,3,FALSE)</f>
        <v>customer0457@example.com</v>
      </c>
      <c r="D2" t="str">
        <f>VLOOKUP($A2,'ecommerce-order (1)'!$A:$M,4,FALSE)</f>
        <v>France</v>
      </c>
      <c r="E2" t="str">
        <f>VLOOKUP($A2,'ecommerce-order (1)'!$A:$M,5,FALSE)</f>
        <v>direct</v>
      </c>
      <c r="F2" t="str">
        <f>VLOOKUP($A2,'ecommerce-order (1)'!$A:$M,6,FALSE)</f>
        <v>FR-9902</v>
      </c>
      <c r="G2" t="str">
        <f>VLOOKUP($A2,'ecommerce-order (1)'!$A:$M,7,FALSE)</f>
        <v>Trekking Poles</v>
      </c>
      <c r="H2">
        <f>VLOOKUP($A2,'ecommerce-order (1)'!$A:$M,8,FALSE)</f>
        <v>1</v>
      </c>
      <c r="I2">
        <f>VLOOKUP($A2,'ecommerce-order (1)'!$A:$M,9,FALSE)</f>
        <v>45</v>
      </c>
      <c r="J2">
        <f>VLOOKUP($A2,'ecommerce-order (1)'!$A:$M,10,FALSE)</f>
        <v>36</v>
      </c>
      <c r="K2">
        <f>VLOOKUP($A2,'ecommerce-order (1)'!$A:$M,11,FALSE)</f>
        <v>520</v>
      </c>
      <c r="L2" t="str">
        <f>VLOOKUP($A2,'ecommerce-order (1)'!$A:$M,12,FALSE)</f>
        <v>EUR</v>
      </c>
      <c r="M2" t="str">
        <f>VLOOKUP($A2,'ecommerce-order (1)'!$A:$M,13,FALSE)</f>
        <v>completed</v>
      </c>
      <c r="N2" t="str">
        <f>IF(ISNA(VLOOKUP(A2,'ecommerce-order (1)'!A:A,1,FALSE)),"KEEEP","REMOVE")</f>
        <v>REMOVE</v>
      </c>
    </row>
    <row r="3" spans="1:14" x14ac:dyDescent="0.3">
      <c r="A3" t="s">
        <v>23</v>
      </c>
      <c r="B3" t="str">
        <f>VLOOKUP(A3,'ecommerce-order (1)'!$A:$M,2,FALSE)</f>
        <v>19-05-2026</v>
      </c>
      <c r="C3" t="str">
        <f>VLOOKUP($A3,'ecommerce-order (1)'!$A:$M,3,FALSE)</f>
        <v>customer0814@example.com</v>
      </c>
      <c r="D3" t="str">
        <f>VLOOKUP($A3,'ecommerce-order (1)'!$A:$M,4,FALSE)</f>
        <v>France</v>
      </c>
      <c r="E3" t="str">
        <f>VLOOKUP($A3,'ecommerce-order (1)'!$A:$M,5,FALSE)</f>
        <v>social</v>
      </c>
      <c r="F3" t="str">
        <f>VLOOKUP($A3,'ecommerce-order (1)'!$A:$M,6,FALSE)</f>
        <v>FR-2210</v>
      </c>
      <c r="G3" t="str">
        <f>VLOOKUP($A3,'ecommerce-order (1)'!$A:$M,7,FALSE)</f>
        <v>Trail Softshell</v>
      </c>
      <c r="H3">
        <f>VLOOKUP($A3,'ecommerce-order (1)'!$A:$M,8,FALSE)</f>
        <v>1</v>
      </c>
      <c r="I3">
        <f>VLOOKUP($A3,'ecommerce-order (1)'!$A:$M,9,FALSE)</f>
        <v>71.099999999999994</v>
      </c>
      <c r="J3">
        <f>VLOOKUP($A3,'ecommerce-order (1)'!$A:$M,10,FALSE)</f>
        <v>71.099999999999994</v>
      </c>
      <c r="K3">
        <f>VLOOKUP($A3,'ecommerce-order (1)'!$A:$M,11,FALSE)</f>
        <v>0.52</v>
      </c>
      <c r="L3" t="str">
        <f>VLOOKUP($A3,'ecommerce-order (1)'!$A:$M,12,FALSE)</f>
        <v>GBP</v>
      </c>
      <c r="M3" t="str">
        <f>VLOOKUP($A3,'ecommerce-order (1)'!$A:$M,13,FALSE)</f>
        <v>completed</v>
      </c>
      <c r="N3" t="str">
        <f>IF(ISNA(VLOOKUP(A3,'ecommerce-order (1)'!A:A,1,FALSE)),"KEEEP","REMOVE")</f>
        <v>REMOVE</v>
      </c>
    </row>
    <row r="4" spans="1:14" x14ac:dyDescent="0.3">
      <c r="A4" t="s">
        <v>30</v>
      </c>
      <c r="B4" t="str">
        <f>VLOOKUP(A4,'ecommerce-order (1)'!$A:$M,2,FALSE)</f>
        <v>14-06-2026</v>
      </c>
      <c r="C4" t="str">
        <f>VLOOKUP($A4,'ecommerce-order (1)'!$A:$M,3,FALSE)</f>
        <v>customer0858@example.com</v>
      </c>
      <c r="D4" t="str">
        <f>VLOOKUP($A4,'ecommerce-order (1)'!$A:$M,4,FALSE)</f>
        <v>UK</v>
      </c>
      <c r="E4" t="str">
        <f>VLOOKUP($A4,'ecommerce-order (1)'!$A:$M,5,FALSE)</f>
        <v>email</v>
      </c>
      <c r="F4" t="str">
        <f>VLOOKUP($A4,'ecommerce-order (1)'!$A:$M,6,FALSE)</f>
        <v>FR-1120</v>
      </c>
      <c r="G4" t="str">
        <f>VLOOKUP($A4,'ecommerce-order (1)'!$A:$M,7,FALSE)</f>
        <v>Fell Runner Cap</v>
      </c>
      <c r="H4">
        <f>VLOOKUP($A4,'ecommerce-order (1)'!$A:$M,8,FALSE)</f>
        <v>1</v>
      </c>
      <c r="I4">
        <f>VLOOKUP($A4,'ecommerce-order (1)'!$A:$M,9,FALSE)</f>
        <v>0</v>
      </c>
      <c r="J4">
        <f>VLOOKUP($A4,'ecommerce-order (1)'!$A:$M,10,FALSE)</f>
        <v>45</v>
      </c>
      <c r="K4">
        <f>VLOOKUP($A4,'ecommerce-order (1)'!$A:$M,11,FALSE)</f>
        <v>8.5000000000000006E-2</v>
      </c>
      <c r="L4" t="str">
        <f>VLOOKUP($A4,'ecommerce-order (1)'!$A:$M,12,FALSE)</f>
        <v>GBP</v>
      </c>
      <c r="M4" t="str">
        <f>VLOOKUP($A4,'ecommerce-order (1)'!$A:$M,13,FALSE)</f>
        <v>completed</v>
      </c>
      <c r="N4" t="str">
        <f>IF(ISNA(VLOOKUP(A4,'ecommerce-order (1)'!A:A,1,FALSE)),"KEEEP","REMOVE")</f>
        <v>REMOVE</v>
      </c>
    </row>
    <row r="5" spans="1:14" x14ac:dyDescent="0.3">
      <c r="A5" t="s">
        <v>37</v>
      </c>
      <c r="B5" t="str">
        <f>VLOOKUP(A5,'ecommerce-order (1)'!$A:$M,2,FALSE)</f>
        <v>08-01-2026</v>
      </c>
      <c r="C5" t="str">
        <f>VLOOKUP($A5,'ecommerce-order (1)'!$A:$M,3,FALSE)</f>
        <v>customer0116@example.com</v>
      </c>
      <c r="D5" t="str">
        <f>VLOOKUP($A5,'ecommerce-order (1)'!$A:$M,4,FALSE)</f>
        <v xml:space="preserve"> UK</v>
      </c>
      <c r="E5" t="str">
        <f>VLOOKUP($A5,'ecommerce-order (1)'!$A:$M,5,FALSE)</f>
        <v>organic</v>
      </c>
      <c r="F5" t="str">
        <f>VLOOKUP($A5,'ecommerce-order (1)'!$A:$M,6,FALSE)</f>
        <v>FR-5567</v>
      </c>
      <c r="G5" t="str">
        <f>VLOOKUP($A5,'ecommerce-order (1)'!$A:$M,7,FALSE)</f>
        <v>Merino Base Layer</v>
      </c>
      <c r="H5">
        <f>VLOOKUP($A5,'ecommerce-order (1)'!$A:$M,8,FALSE)</f>
        <v>1</v>
      </c>
      <c r="I5">
        <f>VLOOKUP($A5,'ecommerce-order (1)'!$A:$M,9,FALSE)</f>
        <v>71.099999999999994</v>
      </c>
      <c r="J5">
        <f>VLOOKUP($A5,'ecommerce-order (1)'!$A:$M,10,FALSE)</f>
        <v>71.099999999999994</v>
      </c>
      <c r="K5">
        <f>VLOOKUP($A5,'ecommerce-order (1)'!$A:$M,11,FALSE)</f>
        <v>190</v>
      </c>
      <c r="L5" t="str">
        <f>VLOOKUP($A5,'ecommerce-order (1)'!$A:$M,12,FALSE)</f>
        <v>EUR</v>
      </c>
      <c r="M5" t="str">
        <f>VLOOKUP($A5,'ecommerce-order (1)'!$A:$M,13,FALSE)</f>
        <v>completed</v>
      </c>
      <c r="N5" t="str">
        <f>IF(ISNA(VLOOKUP(A5,'ecommerce-order (1)'!A:A,1,FALSE)),"KEEEP","REMOVE")</f>
        <v>REMOVE</v>
      </c>
    </row>
    <row r="6" spans="1:14" x14ac:dyDescent="0.3">
      <c r="A6" t="s">
        <v>44</v>
      </c>
      <c r="B6" t="str">
        <f>VLOOKUP(A6,'ecommerce-order (1)'!$A:$M,2,FALSE)</f>
        <v>20-05-2026</v>
      </c>
      <c r="C6" t="str">
        <f>VLOOKUP($A6,'ecommerce-order (1)'!$A:$M,3,FALSE)</f>
        <v>customer1397@example.com</v>
      </c>
      <c r="D6" t="str">
        <f>VLOOKUP($A6,'ecommerce-order (1)'!$A:$M,4,FALSE)</f>
        <v>Ireland</v>
      </c>
      <c r="E6" t="str">
        <f>VLOOKUP($A6,'ecommerce-order (1)'!$A:$M,5,FALSE)</f>
        <v>email</v>
      </c>
      <c r="F6" t="str">
        <f>VLOOKUP($A6,'ecommerce-order (1)'!$A:$M,6,FALSE)</f>
        <v>FR-8890</v>
      </c>
      <c r="G6" t="str">
        <f>VLOOKUP($A6,'ecommerce-order (1)'!$A:$M,7,FALSE)</f>
        <v>Summit Down Gilet</v>
      </c>
      <c r="H6">
        <f>VLOOKUP($A6,'ecommerce-order (1)'!$A:$M,8,FALSE)</f>
        <v>1</v>
      </c>
      <c r="I6">
        <f>VLOOKUP($A6,'ecommerce-order (1)'!$A:$M,9,FALSE)</f>
        <v>21.6</v>
      </c>
      <c r="J6">
        <f>VLOOKUP($A6,'ecommerce-order (1)'!$A:$M,10,FALSE)</f>
        <v>21.6</v>
      </c>
      <c r="K6">
        <f>VLOOKUP($A6,'ecommerce-order (1)'!$A:$M,11,FALSE)</f>
        <v>0.38</v>
      </c>
      <c r="L6" t="str">
        <f>VLOOKUP($A6,'ecommerce-order (1)'!$A:$M,12,FALSE)</f>
        <v>GBP</v>
      </c>
      <c r="M6" t="str">
        <f>VLOOKUP($A6,'ecommerce-order (1)'!$A:$M,13,FALSE)</f>
        <v>completed</v>
      </c>
      <c r="N6" t="str">
        <f>IF(ISNA(VLOOKUP(A6,'ecommerce-order (1)'!A:A,1,FALSE)),"KEEEP","REMOVE")</f>
        <v>REMOVE</v>
      </c>
    </row>
    <row r="7" spans="1:14" x14ac:dyDescent="0.3">
      <c r="A7" t="s">
        <v>50</v>
      </c>
      <c r="B7" t="str">
        <f>VLOOKUP(A7,'ecommerce-order (1)'!$A:$M,2,FALSE)</f>
        <v>14-03-2026</v>
      </c>
      <c r="C7" t="str">
        <f>VLOOKUP($A7,'ecommerce-order (1)'!$A:$M,3,FALSE)</f>
        <v>customer0775@example.com</v>
      </c>
      <c r="D7" t="str">
        <f>VLOOKUP($A7,'ecommerce-order (1)'!$A:$M,4,FALSE)</f>
        <v>GB</v>
      </c>
      <c r="E7" t="str">
        <f>VLOOKUP($A7,'ecommerce-order (1)'!$A:$M,5,FALSE)</f>
        <v>organic</v>
      </c>
      <c r="F7" t="str">
        <f>VLOOKUP($A7,'ecommerce-order (1)'!$A:$M,6,FALSE)</f>
        <v>FR-1120</v>
      </c>
      <c r="G7" t="str">
        <f>VLOOKUP($A7,'ecommerce-order (1)'!$A:$M,7,FALSE)</f>
        <v>Fell Runner Cap</v>
      </c>
      <c r="H7">
        <f>VLOOKUP($A7,'ecommerce-order (1)'!$A:$M,8,FALSE)</f>
        <v>1</v>
      </c>
      <c r="I7">
        <f>VLOOKUP($A7,'ecommerce-order (1)'!$A:$M,9,FALSE)</f>
        <v>45</v>
      </c>
      <c r="J7">
        <f>VLOOKUP($A7,'ecommerce-order (1)'!$A:$M,10,FALSE)</f>
        <v>45</v>
      </c>
      <c r="K7">
        <f>VLOOKUP($A7,'ecommerce-order (1)'!$A:$M,11,FALSE)</f>
        <v>85</v>
      </c>
      <c r="L7" t="str">
        <f>VLOOKUP($A7,'ecommerce-order (1)'!$A:$M,12,FALSE)</f>
        <v>GBP</v>
      </c>
      <c r="M7" t="str">
        <f>VLOOKUP($A7,'ecommerce-order (1)'!$A:$M,13,FALSE)</f>
        <v>completed</v>
      </c>
      <c r="N7" t="str">
        <f>IF(ISNA(VLOOKUP(A7,'ecommerce-order (1)'!A:A,1,FALSE)),"KEEEP","REMOVE")</f>
        <v>REMOVE</v>
      </c>
    </row>
    <row r="8" spans="1:14" x14ac:dyDescent="0.3">
      <c r="A8" t="s">
        <v>54</v>
      </c>
      <c r="B8" t="str">
        <f>VLOOKUP(A8,'ecommerce-order (1)'!$A:$M,2,FALSE)</f>
        <v>25-04-2026</v>
      </c>
      <c r="C8" t="str">
        <f>VLOOKUP($A8,'ecommerce-order (1)'!$A:$M,3,FALSE)</f>
        <v>customer1328@example.com</v>
      </c>
      <c r="D8" t="str">
        <f>VLOOKUP($A8,'ecommerce-order (1)'!$A:$M,4,FALSE)</f>
        <v>GB</v>
      </c>
      <c r="E8" t="str">
        <f>VLOOKUP($A8,'ecommerce-order (1)'!$A:$M,5,FALSE)</f>
        <v>social</v>
      </c>
      <c r="F8" t="str">
        <f>VLOOKUP($A8,'ecommerce-order (1)'!$A:$M,6,FALSE)</f>
        <v>FR-1120</v>
      </c>
      <c r="G8" t="str">
        <f>VLOOKUP($A8,'ecommerce-order (1)'!$A:$M,7,FALSE)</f>
        <v>Fell Runner Cap</v>
      </c>
      <c r="H8">
        <f>VLOOKUP($A8,'ecommerce-order (1)'!$A:$M,8,FALSE)</f>
        <v>3</v>
      </c>
      <c r="I8">
        <f>VLOOKUP($A8,'ecommerce-order (1)'!$A:$M,9,FALSE)</f>
        <v>85.5</v>
      </c>
      <c r="J8">
        <f>VLOOKUP($A8,'ecommerce-order (1)'!$A:$M,10,FALSE)</f>
        <v>256.5</v>
      </c>
      <c r="K8">
        <f>VLOOKUP($A8,'ecommerce-order (1)'!$A:$M,11,FALSE)</f>
        <v>8.5000000000000006E-2</v>
      </c>
      <c r="L8" t="str">
        <f>VLOOKUP($A8,'ecommerce-order (1)'!$A:$M,12,FALSE)</f>
        <v>GBP</v>
      </c>
      <c r="M8" t="str">
        <f>VLOOKUP($A8,'ecommerce-order (1)'!$A:$M,13,FALSE)</f>
        <v>refunded</v>
      </c>
      <c r="N8" t="str">
        <f>IF(ISNA(VLOOKUP(A8,'ecommerce-order (1)'!A:A,1,FALSE)),"KEEEP","REMOVE")</f>
        <v>REMOVE</v>
      </c>
    </row>
    <row r="9" spans="1:14" x14ac:dyDescent="0.3">
      <c r="A9" t="s">
        <v>58</v>
      </c>
      <c r="B9" t="str">
        <f>VLOOKUP(A9,'ecommerce-order (1)'!$A:$M,2,FALSE)</f>
        <v>20-05-2026</v>
      </c>
      <c r="C9" t="str">
        <f>VLOOKUP($A9,'ecommerce-order (1)'!$A:$M,3,FALSE)</f>
        <v>customer0760@example.com</v>
      </c>
      <c r="D9" t="str">
        <f>VLOOKUP($A9,'ecommerce-order (1)'!$A:$M,4,FALSE)</f>
        <v>ireland</v>
      </c>
      <c r="E9" t="str">
        <f>VLOOKUP($A9,'ecommerce-order (1)'!$A:$M,5,FALSE)</f>
        <v>organic</v>
      </c>
      <c r="F9" t="str">
        <f>VLOOKUP($A9,'ecommerce-order (1)'!$A:$M,6,FALSE)</f>
        <v>FR-1120</v>
      </c>
      <c r="G9" t="str">
        <f>VLOOKUP($A9,'ecommerce-order (1)'!$A:$M,7,FALSE)</f>
        <v>Fell Runner Cap</v>
      </c>
      <c r="H9">
        <f>VLOOKUP($A9,'ecommerce-order (1)'!$A:$M,8,FALSE)</f>
        <v>2</v>
      </c>
      <c r="I9">
        <f>VLOOKUP($A9,'ecommerce-order (1)'!$A:$M,9,FALSE)</f>
        <v>134.1</v>
      </c>
      <c r="J9">
        <f>VLOOKUP($A9,'ecommerce-order (1)'!$A:$M,10,FALSE)</f>
        <v>268.2</v>
      </c>
      <c r="K9">
        <f>VLOOKUP($A9,'ecommerce-order (1)'!$A:$M,11,FALSE)</f>
        <v>8.5000000000000006E-2</v>
      </c>
      <c r="L9" t="str">
        <f>VLOOKUP($A9,'ecommerce-order (1)'!$A:$M,12,FALSE)</f>
        <v>EUR</v>
      </c>
      <c r="M9" t="str">
        <f>VLOOKUP($A9,'ecommerce-order (1)'!$A:$M,13,FALSE)</f>
        <v>refunded</v>
      </c>
      <c r="N9" t="str">
        <f>IF(ISNA(VLOOKUP(A9,'ecommerce-order (1)'!A:A,1,FALSE)),"KEEEP","REMOVE")</f>
        <v>REMOVE</v>
      </c>
    </row>
    <row r="10" spans="1:14" x14ac:dyDescent="0.3">
      <c r="A10" t="s">
        <v>61</v>
      </c>
      <c r="B10" t="str">
        <f>VLOOKUP(A10,'ecommerce-order (1)'!$A:$M,2,FALSE)</f>
        <v>02-04-2026</v>
      </c>
      <c r="C10" t="str">
        <f>VLOOKUP($A10,'ecommerce-order (1)'!$A:$M,3,FALSE)</f>
        <v>customer0013@example.com</v>
      </c>
      <c r="D10" t="str">
        <f>VLOOKUP($A10,'ecommerce-order (1)'!$A:$M,4,FALSE)</f>
        <v>gb</v>
      </c>
      <c r="E10" t="str">
        <f>VLOOKUP($A10,'ecommerce-order (1)'!$A:$M,5,FALSE)</f>
        <v>paid_search</v>
      </c>
      <c r="F10" t="str">
        <f>VLOOKUP($A10,'ecommerce-order (1)'!$A:$M,6,FALSE)</f>
        <v>FR-5567</v>
      </c>
      <c r="G10" t="str">
        <f>VLOOKUP($A10,'ecommerce-order (1)'!$A:$M,7,FALSE)</f>
        <v>Merino Base Layer</v>
      </c>
      <c r="H10">
        <f>VLOOKUP($A10,'ecommerce-order (1)'!$A:$M,8,FALSE)</f>
        <v>1</v>
      </c>
      <c r="I10">
        <f>VLOOKUP($A10,'ecommerce-order (1)'!$A:$M,9,FALSE)</f>
        <v>24</v>
      </c>
      <c r="J10">
        <f>VLOOKUP($A10,'ecommerce-order (1)'!$A:$M,10,FALSE)</f>
        <v>24</v>
      </c>
      <c r="K10">
        <f>VLOOKUP($A10,'ecommerce-order (1)'!$A:$M,11,FALSE)</f>
        <v>190</v>
      </c>
      <c r="L10" t="str">
        <f>VLOOKUP($A10,'ecommerce-order (1)'!$A:$M,12,FALSE)</f>
        <v>GBP</v>
      </c>
      <c r="M10" t="str">
        <f>VLOOKUP($A10,'ecommerce-order (1)'!$A:$M,13,FALSE)</f>
        <v>completed</v>
      </c>
      <c r="N10" t="str">
        <f>IF(ISNA(VLOOKUP(A10,'ecommerce-order (1)'!A:A,1,FALSE)),"KEEEP","REMOVE")</f>
        <v>REMOVE</v>
      </c>
    </row>
    <row r="11" spans="1:14" x14ac:dyDescent="0.3">
      <c r="A11" t="s">
        <v>66</v>
      </c>
      <c r="B11" t="str">
        <f>VLOOKUP(A11,'ecommerce-order (1)'!$A:$M,2,FALSE)</f>
        <v>16-02-2026</v>
      </c>
      <c r="C11" t="str">
        <f>VLOOKUP($A11,'ecommerce-order (1)'!$A:$M,3,FALSE)</f>
        <v>customer0805@example.com</v>
      </c>
      <c r="D11" t="str">
        <f>VLOOKUP($A11,'ecommerce-order (1)'!$A:$M,4,FALSE)</f>
        <v xml:space="preserve"> UK</v>
      </c>
      <c r="E11" t="str">
        <f>VLOOKUP($A11,'ecommerce-order (1)'!$A:$M,5,FALSE)</f>
        <v>paid_search</v>
      </c>
      <c r="F11" t="str">
        <f>VLOOKUP($A11,'ecommerce-order (1)'!$A:$M,6,FALSE)</f>
        <v>FR-5567</v>
      </c>
      <c r="G11" t="str">
        <f>VLOOKUP($A11,'ecommerce-order (1)'!$A:$M,7,FALSE)</f>
        <v>Merino Base Layer</v>
      </c>
      <c r="H11">
        <f>VLOOKUP($A11,'ecommerce-order (1)'!$A:$M,8,FALSE)</f>
        <v>1</v>
      </c>
      <c r="I11">
        <f>VLOOKUP($A11,'ecommerce-order (1)'!$A:$M,9,FALSE)</f>
        <v>95</v>
      </c>
      <c r="J11">
        <f>VLOOKUP($A11,'ecommerce-order (1)'!$A:$M,10,FALSE)</f>
        <v>95</v>
      </c>
      <c r="K11">
        <f>VLOOKUP($A11,'ecommerce-order (1)'!$A:$M,11,FALSE)</f>
        <v>190</v>
      </c>
      <c r="L11" t="str">
        <f>VLOOKUP($A11,'ecommerce-order (1)'!$A:$M,12,FALSE)</f>
        <v>EUR</v>
      </c>
      <c r="M11" t="str">
        <f>VLOOKUP($A11,'ecommerce-order (1)'!$A:$M,13,FALSE)</f>
        <v>refunded</v>
      </c>
      <c r="N11" t="str">
        <f>IF(ISNA(VLOOKUP(A11,'ecommerce-order (1)'!A:A,1,FALSE)),"KEEEP","REMOVE")</f>
        <v>REMOVE</v>
      </c>
    </row>
    <row r="12" spans="1:14" x14ac:dyDescent="0.3">
      <c r="A12" t="s">
        <v>69</v>
      </c>
      <c r="B12" t="str">
        <f>VLOOKUP(A12,'ecommerce-order (1)'!$A:$M,2,FALSE)</f>
        <v>21-04-2026</v>
      </c>
      <c r="C12" t="str">
        <f>VLOOKUP($A12,'ecommerce-order (1)'!$A:$M,3,FALSE)</f>
        <v>customer0123@example.com</v>
      </c>
      <c r="D12" t="str">
        <f>VLOOKUP($A12,'ecommerce-order (1)'!$A:$M,4,FALSE)</f>
        <v xml:space="preserve"> UK</v>
      </c>
      <c r="E12" t="str">
        <f>VLOOKUP($A12,'ecommerce-order (1)'!$A:$M,5,FALSE)</f>
        <v>email</v>
      </c>
      <c r="F12" t="str">
        <f>VLOOKUP($A12,'ecommerce-order (1)'!$A:$M,6,FALSE)</f>
        <v>FR-7781</v>
      </c>
      <c r="G12" t="str">
        <f>VLOOKUP($A12,'ecommerce-order (1)'!$A:$M,7,FALSE)</f>
        <v>Storm Overtrousers</v>
      </c>
      <c r="H12">
        <f>VLOOKUP($A12,'ecommerce-order (1)'!$A:$M,8,FALSE)</f>
        <v>1</v>
      </c>
      <c r="I12">
        <f>VLOOKUP($A12,'ecommerce-order (1)'!$A:$M,9,FALSE)</f>
        <v>45</v>
      </c>
      <c r="J12">
        <f>VLOOKUP($A12,'ecommerce-order (1)'!$A:$M,10,FALSE)</f>
        <v>45</v>
      </c>
      <c r="K12">
        <f>VLOOKUP($A12,'ecommerce-order (1)'!$A:$M,11,FALSE)</f>
        <v>0.41</v>
      </c>
      <c r="L12" t="str">
        <f>VLOOKUP($A12,'ecommerce-order (1)'!$A:$M,12,FALSE)</f>
        <v>GBP</v>
      </c>
      <c r="M12" t="str">
        <f>VLOOKUP($A12,'ecommerce-order (1)'!$A:$M,13,FALSE)</f>
        <v>completed</v>
      </c>
      <c r="N12" t="str">
        <f>IF(ISNA(VLOOKUP(A12,'ecommerce-order (1)'!A:A,1,FALSE)),"KEEEP","REMOVE")</f>
        <v>REMOVE</v>
      </c>
    </row>
    <row r="13" spans="1:14" x14ac:dyDescent="0.3">
      <c r="A13" t="s">
        <v>74</v>
      </c>
      <c r="B13" t="str">
        <f>VLOOKUP(A13,'ecommerce-order (1)'!$A:$M,2,FALSE)</f>
        <v>01-07-2026</v>
      </c>
      <c r="C13" t="str">
        <f>VLOOKUP($A13,'ecommerce-order (1)'!$A:$M,3,FALSE)</f>
        <v>customer0956@example.com</v>
      </c>
      <c r="D13" t="str">
        <f>VLOOKUP($A13,'ecommerce-order (1)'!$A:$M,4,FALSE)</f>
        <v>Ireland</v>
      </c>
      <c r="E13" t="str">
        <f>VLOOKUP($A13,'ecommerce-order (1)'!$A:$M,5,FALSE)</f>
        <v>email</v>
      </c>
      <c r="F13" t="str">
        <f>VLOOKUP($A13,'ecommerce-order (1)'!$A:$M,6,FALSE)</f>
        <v>FR-7781</v>
      </c>
      <c r="G13" t="str">
        <f>VLOOKUP($A13,'ecommerce-order (1)'!$A:$M,7,FALSE)</f>
        <v>Storm Overtrousers</v>
      </c>
      <c r="H13">
        <f>VLOOKUP($A13,'ecommerce-order (1)'!$A:$M,8,FALSE)</f>
        <v>1</v>
      </c>
      <c r="I13">
        <f>VLOOKUP($A13,'ecommerce-order (1)'!$A:$M,9,FALSE)</f>
        <v>129</v>
      </c>
      <c r="J13">
        <f>VLOOKUP($A13,'ecommerce-order (1)'!$A:$M,10,FALSE)</f>
        <v>129</v>
      </c>
      <c r="K13">
        <f>VLOOKUP($A13,'ecommerce-order (1)'!$A:$M,11,FALSE)</f>
        <v>410</v>
      </c>
      <c r="L13" t="str">
        <f>VLOOKUP($A13,'ecommerce-order (1)'!$A:$M,12,FALSE)</f>
        <v>GBP</v>
      </c>
      <c r="M13" t="str">
        <f>VLOOKUP($A13,'ecommerce-order (1)'!$A:$M,13,FALSE)</f>
        <v>completed</v>
      </c>
      <c r="N13" t="str">
        <f>IF(ISNA(VLOOKUP(A13,'ecommerce-order (1)'!A:A,1,FALSE)),"KEEEP","REMOVE")</f>
        <v>REMOVE</v>
      </c>
    </row>
    <row r="14" spans="1:14" x14ac:dyDescent="0.3">
      <c r="A14" t="s">
        <v>77</v>
      </c>
      <c r="B14" t="str">
        <f>VLOOKUP(A14,'ecommerce-order (1)'!$A:$M,2,FALSE)</f>
        <v>02/27/2026</v>
      </c>
      <c r="C14" t="str">
        <f>VLOOKUP($A14,'ecommerce-order (1)'!$A:$M,3,FALSE)</f>
        <v>customer1363@example.com</v>
      </c>
      <c r="D14" t="str">
        <f>VLOOKUP($A14,'ecommerce-order (1)'!$A:$M,4,FALSE)</f>
        <v>GB</v>
      </c>
      <c r="E14" t="str">
        <f>VLOOKUP($A14,'ecommerce-order (1)'!$A:$M,5,FALSE)</f>
        <v>organic</v>
      </c>
      <c r="F14" t="str">
        <f>VLOOKUP($A14,'ecommerce-order (1)'!$A:$M,6,FALSE)</f>
        <v>FR-3345</v>
      </c>
      <c r="G14" t="str">
        <f>VLOOKUP($A14,'ecommerce-order (1)'!$A:$M,7,FALSE)</f>
        <v>CafÃ© Latte Mug</v>
      </c>
      <c r="H14">
        <f>VLOOKUP($A14,'ecommerce-order (1)'!$A:$M,8,FALSE)</f>
        <v>3</v>
      </c>
      <c r="I14">
        <f>VLOOKUP($A14,'ecommerce-order (1)'!$A:$M,9,FALSE)</f>
        <v>116.1</v>
      </c>
      <c r="J14">
        <f>VLOOKUP($A14,'ecommerce-order (1)'!$A:$M,10,FALSE)</f>
        <v>348.3</v>
      </c>
      <c r="K14">
        <f>VLOOKUP($A14,'ecommerce-order (1)'!$A:$M,11,FALSE)</f>
        <v>340</v>
      </c>
      <c r="L14" t="str">
        <f>VLOOKUP($A14,'ecommerce-order (1)'!$A:$M,12,FALSE)</f>
        <v>GBP</v>
      </c>
      <c r="M14" t="str">
        <f>VLOOKUP($A14,'ecommerce-order (1)'!$A:$M,13,FALSE)</f>
        <v>refunded</v>
      </c>
      <c r="N14" t="str">
        <f>IF(ISNA(VLOOKUP(A14,'ecommerce-order (1)'!A:A,1,FALSE)),"KEEEP","REMOVE")</f>
        <v>REMOVE</v>
      </c>
    </row>
    <row r="15" spans="1:14" x14ac:dyDescent="0.3">
      <c r="A15" t="s">
        <v>82</v>
      </c>
      <c r="B15" t="str">
        <f>VLOOKUP(A15,'ecommerce-order (1)'!$A:$M,2,FALSE)</f>
        <v>21-02-2026</v>
      </c>
      <c r="C15" t="str">
        <f>VLOOKUP($A15,'ecommerce-order (1)'!$A:$M,3,FALSE)</f>
        <v>customer1206@example.com</v>
      </c>
      <c r="D15" t="str">
        <f>VLOOKUP($A15,'ecommerce-order (1)'!$A:$M,4,FALSE)</f>
        <v>gb</v>
      </c>
      <c r="E15" t="str">
        <f>VLOOKUP($A15,'ecommerce-order (1)'!$A:$M,5,FALSE)</f>
        <v>direct</v>
      </c>
      <c r="F15" t="str">
        <f>VLOOKUP($A15,'ecommerce-order (1)'!$A:$M,6,FALSE)</f>
        <v>FR-4471</v>
      </c>
      <c r="G15" t="str">
        <f>VLOOKUP($A15,'ecommerce-order (1)'!$A:$M,7,FALSE)</f>
        <v>Alpine Jacket</v>
      </c>
      <c r="H15">
        <f>VLOOKUP($A15,'ecommerce-order (1)'!$A:$M,8,FALSE)</f>
        <v>-3</v>
      </c>
      <c r="I15">
        <f>VLOOKUP($A15,'ecommerce-order (1)'!$A:$M,9,FALSE)</f>
        <v>129</v>
      </c>
      <c r="J15">
        <f>VLOOKUP($A15,'ecommerce-order (1)'!$A:$M,10,FALSE)</f>
        <v>387</v>
      </c>
      <c r="K15">
        <f>VLOOKUP($A15,'ecommerce-order (1)'!$A:$M,11,FALSE)</f>
        <v>640</v>
      </c>
      <c r="L15" t="str">
        <f>VLOOKUP($A15,'ecommerce-order (1)'!$A:$M,12,FALSE)</f>
        <v>GBP</v>
      </c>
      <c r="M15" t="str">
        <f>VLOOKUP($A15,'ecommerce-order (1)'!$A:$M,13,FALSE)</f>
        <v>completed</v>
      </c>
      <c r="N15" t="str">
        <f>IF(ISNA(VLOOKUP(A15,'ecommerce-order (1)'!A:A,1,FALSE)),"KEEEP","REMOVE")</f>
        <v>REMOVE</v>
      </c>
    </row>
    <row r="16" spans="1:14" x14ac:dyDescent="0.3">
      <c r="A16" t="s">
        <v>87</v>
      </c>
      <c r="B16" t="str">
        <f>VLOOKUP(A16,'ecommerce-order (1)'!$A:$M,2,FALSE)</f>
        <v>05-07-2026</v>
      </c>
      <c r="C16" t="str">
        <f>VLOOKUP($A16,'ecommerce-order (1)'!$A:$M,3,FALSE)</f>
        <v>customer0555@example.com</v>
      </c>
      <c r="D16" t="str">
        <f>VLOOKUP($A16,'ecommerce-order (1)'!$A:$M,4,FALSE)</f>
        <v xml:space="preserve">uk </v>
      </c>
      <c r="E16" t="str">
        <f>VLOOKUP($A16,'ecommerce-order (1)'!$A:$M,5,FALSE)</f>
        <v>email</v>
      </c>
      <c r="F16" t="str">
        <f>VLOOKUP($A16,'ecommerce-order (1)'!$A:$M,6,FALSE)</f>
        <v>FR-2210</v>
      </c>
      <c r="G16" t="str">
        <f>VLOOKUP($A16,'ecommerce-order (1)'!$A:$M,7,FALSE)</f>
        <v>Trail Softshell</v>
      </c>
      <c r="H16">
        <f>VLOOKUP($A16,'ecommerce-order (1)'!$A:$M,8,FALSE)</f>
        <v>1</v>
      </c>
      <c r="I16">
        <f>VLOOKUP($A16,'ecommerce-order (1)'!$A:$M,9,FALSE)</f>
        <v>45</v>
      </c>
      <c r="J16">
        <f>VLOOKUP($A16,'ecommerce-order (1)'!$A:$M,10,FALSE)</f>
        <v>45</v>
      </c>
      <c r="K16">
        <f>VLOOKUP($A16,'ecommerce-order (1)'!$A:$M,11,FALSE)</f>
        <v>0.52</v>
      </c>
      <c r="L16" t="str">
        <f>VLOOKUP($A16,'ecommerce-order (1)'!$A:$M,12,FALSE)</f>
        <v>EUR</v>
      </c>
      <c r="M16" t="str">
        <f>VLOOKUP($A16,'ecommerce-order (1)'!$A:$M,13,FALSE)</f>
        <v>completed</v>
      </c>
      <c r="N16" t="str">
        <f>IF(ISNA(VLOOKUP(A16,'ecommerce-order (1)'!A:A,1,FALSE)),"KEEEP","REMOVE")</f>
        <v>REMOVE</v>
      </c>
    </row>
    <row r="17" spans="1:14" x14ac:dyDescent="0.3">
      <c r="A17" t="s">
        <v>91</v>
      </c>
      <c r="B17" t="str">
        <f>VLOOKUP(A17,'ecommerce-order (1)'!$A:$M,2,FALSE)</f>
        <v>11-01-2026</v>
      </c>
      <c r="C17" t="str">
        <f>VLOOKUP($A17,'ecommerce-order (1)'!$A:$M,3,FALSE)</f>
        <v>customer1312@example.com</v>
      </c>
      <c r="D17" t="str">
        <f>VLOOKUP($A17,'ecommerce-order (1)'!$A:$M,4,FALSE)</f>
        <v>Ireland</v>
      </c>
      <c r="E17" t="str">
        <f>VLOOKUP($A17,'ecommerce-order (1)'!$A:$M,5,FALSE)</f>
        <v>paid_search</v>
      </c>
      <c r="F17" t="str">
        <f>VLOOKUP($A17,'ecommerce-order (1)'!$A:$M,6,FALSE)</f>
        <v>FR-1120</v>
      </c>
      <c r="G17" t="str">
        <f>VLOOKUP($A17,'ecommerce-order (1)'!$A:$M,7,FALSE)</f>
        <v>Fell Runner Cap</v>
      </c>
      <c r="H17">
        <f>VLOOKUP($A17,'ecommerce-order (1)'!$A:$M,8,FALSE)</f>
        <v>1</v>
      </c>
      <c r="I17">
        <f>VLOOKUP($A17,'ecommerce-order (1)'!$A:$M,9,FALSE)</f>
        <v>71.099999999999994</v>
      </c>
      <c r="J17">
        <f>VLOOKUP($A17,'ecommerce-order (1)'!$A:$M,10,FALSE)</f>
        <v>71.099999999999994</v>
      </c>
      <c r="K17">
        <f>VLOOKUP($A17,'ecommerce-order (1)'!$A:$M,11,FALSE)</f>
        <v>85</v>
      </c>
      <c r="L17" t="str">
        <f>VLOOKUP($A17,'ecommerce-order (1)'!$A:$M,12,FALSE)</f>
        <v>GBP</v>
      </c>
      <c r="M17" t="str">
        <f>VLOOKUP($A17,'ecommerce-order (1)'!$A:$M,13,FALSE)</f>
        <v>completed</v>
      </c>
      <c r="N17" t="str">
        <f>IF(ISNA(VLOOKUP(A17,'ecommerce-order (1)'!A:A,1,FALSE)),"KEEEP","REMOVE")</f>
        <v>REMOVE</v>
      </c>
    </row>
    <row r="18" spans="1:14" x14ac:dyDescent="0.3">
      <c r="A18" t="s">
        <v>94</v>
      </c>
      <c r="B18" t="str">
        <f>VLOOKUP(A18,'ecommerce-order (1)'!$A:$M,2,FALSE)</f>
        <v>19-06-2026</v>
      </c>
      <c r="C18" t="str">
        <f>VLOOKUP($A18,'ecommerce-order (1)'!$A:$M,3,FALSE)</f>
        <v>customer0084@example.com</v>
      </c>
      <c r="D18" t="str">
        <f>VLOOKUP($A18,'ecommerce-order (1)'!$A:$M,4,FALSE)</f>
        <v>United Kingdom</v>
      </c>
      <c r="E18" t="str">
        <f>VLOOKUP($A18,'ecommerce-order (1)'!$A:$M,5,FALSE)</f>
        <v>organic</v>
      </c>
      <c r="F18" t="str">
        <f>VLOOKUP($A18,'ecommerce-order (1)'!$A:$M,6,FALSE)</f>
        <v>FR-7781</v>
      </c>
      <c r="G18" t="str">
        <f>VLOOKUP($A18,'ecommerce-order (1)'!$A:$M,7,FALSE)</f>
        <v>Storm Overtrousers</v>
      </c>
      <c r="H18">
        <f>VLOOKUP($A18,'ecommerce-order (1)'!$A:$M,8,FALSE)</f>
        <v>1</v>
      </c>
      <c r="I18">
        <f>VLOOKUP($A18,'ecommerce-order (1)'!$A:$M,9,FALSE)</f>
        <v>116.1</v>
      </c>
      <c r="J18">
        <f>VLOOKUP($A18,'ecommerce-order (1)'!$A:$M,10,FALSE)</f>
        <v>116.1</v>
      </c>
      <c r="K18">
        <f>VLOOKUP($A18,'ecommerce-order (1)'!$A:$M,11,FALSE)</f>
        <v>0.41</v>
      </c>
      <c r="L18" t="str">
        <f>VLOOKUP($A18,'ecommerce-order (1)'!$A:$M,12,FALSE)</f>
        <v>GBP</v>
      </c>
      <c r="M18" t="str">
        <f>VLOOKUP($A18,'ecommerce-order (1)'!$A:$M,13,FALSE)</f>
        <v>completed</v>
      </c>
      <c r="N18" t="str">
        <f>IF(ISNA(VLOOKUP(A18,'ecommerce-order (1)'!A:A,1,FALSE)),"KEEEP","REMOVE")</f>
        <v>REMOVE</v>
      </c>
    </row>
    <row r="19" spans="1:14" x14ac:dyDescent="0.3">
      <c r="A19" t="s">
        <v>98</v>
      </c>
      <c r="B19" t="str">
        <f>VLOOKUP(A19,'ecommerce-order (1)'!$A:$M,2,FALSE)</f>
        <v>07-06-2026</v>
      </c>
      <c r="C19" t="str">
        <f>VLOOKUP($A19,'ecommerce-order (1)'!$A:$M,3,FALSE)</f>
        <v>customer0527@example.com</v>
      </c>
      <c r="D19" t="str">
        <f>VLOOKUP($A19,'ecommerce-order (1)'!$A:$M,4,FALSE)</f>
        <v>GB</v>
      </c>
      <c r="E19" t="str">
        <f>VLOOKUP($A19,'ecommerce-order (1)'!$A:$M,5,FALSE)</f>
        <v>paid_search</v>
      </c>
      <c r="F19" t="str">
        <f>VLOOKUP($A19,'ecommerce-order (1)'!$A:$M,6,FALSE)</f>
        <v>FR-3345</v>
      </c>
      <c r="G19" t="str">
        <f>VLOOKUP($A19,'ecommerce-order (1)'!$A:$M,7,FALSE)</f>
        <v>CafÃ© Latte Mug</v>
      </c>
      <c r="H19">
        <f>VLOOKUP($A19,'ecommerce-order (1)'!$A:$M,8,FALSE)</f>
        <v>1</v>
      </c>
      <c r="I19">
        <f>VLOOKUP($A19,'ecommerce-order (1)'!$A:$M,9,FALSE)</f>
        <v>89</v>
      </c>
      <c r="J19">
        <f>VLOOKUP($A19,'ecommerce-order (1)'!$A:$M,10,FALSE)</f>
        <v>89</v>
      </c>
      <c r="K19">
        <f>VLOOKUP($A19,'ecommerce-order (1)'!$A:$M,11,FALSE)</f>
        <v>0.34</v>
      </c>
      <c r="L19" t="str">
        <f>VLOOKUP($A19,'ecommerce-order (1)'!$A:$M,12,FALSE)</f>
        <v>GBP</v>
      </c>
      <c r="M19" t="str">
        <f>VLOOKUP($A19,'ecommerce-order (1)'!$A:$M,13,FALSE)</f>
        <v>refunded</v>
      </c>
      <c r="N19" t="str">
        <f>IF(ISNA(VLOOKUP(A19,'ecommerce-order (1)'!A:A,1,FALSE)),"KEEEP","REMOVE")</f>
        <v>REMOVE</v>
      </c>
    </row>
    <row r="20" spans="1:14" x14ac:dyDescent="0.3">
      <c r="A20" t="s">
        <v>101</v>
      </c>
      <c r="B20" t="str">
        <f>VLOOKUP(A20,'ecommerce-order (1)'!$A:$M,2,FALSE)</f>
        <v>23-04-2026</v>
      </c>
      <c r="C20" t="str">
        <f>VLOOKUP($A20,'ecommerce-order (1)'!$A:$M,3,FALSE)</f>
        <v>customer0970@example.com</v>
      </c>
      <c r="D20" t="str">
        <f>VLOOKUP($A20,'ecommerce-order (1)'!$A:$M,4,FALSE)</f>
        <v xml:space="preserve"> UK</v>
      </c>
      <c r="E20" t="str">
        <f>VLOOKUP($A20,'ecommerce-order (1)'!$A:$M,5,FALSE)</f>
        <v>organic</v>
      </c>
      <c r="F20" t="str">
        <f>VLOOKUP($A20,'ecommerce-order (1)'!$A:$M,6,FALSE)</f>
        <v>FR-4471</v>
      </c>
      <c r="G20" t="str">
        <f>VLOOKUP($A20,'ecommerce-order (1)'!$A:$M,7,FALSE)</f>
        <v>Alpine Jacket</v>
      </c>
      <c r="H20">
        <f>VLOOKUP($A20,'ecommerce-order (1)'!$A:$M,8,FALSE)</f>
        <v>2</v>
      </c>
      <c r="I20">
        <f>VLOOKUP($A20,'ecommerce-order (1)'!$A:$M,9,FALSE)</f>
        <v>149</v>
      </c>
      <c r="J20">
        <f>VLOOKUP($A20,'ecommerce-order (1)'!$A:$M,10,FALSE)</f>
        <v>298</v>
      </c>
      <c r="K20">
        <f>VLOOKUP($A20,'ecommerce-order (1)'!$A:$M,11,FALSE)</f>
        <v>0.64</v>
      </c>
      <c r="L20" t="str">
        <f>VLOOKUP($A20,'ecommerce-order (1)'!$A:$M,12,FALSE)</f>
        <v>GBP</v>
      </c>
      <c r="M20" t="str">
        <f>VLOOKUP($A20,'ecommerce-order (1)'!$A:$M,13,FALSE)</f>
        <v>completed</v>
      </c>
      <c r="N20" t="str">
        <f>IF(ISNA(VLOOKUP(A20,'ecommerce-order (1)'!A:A,1,FALSE)),"KEEEP","REMOVE")</f>
        <v>REMOVE</v>
      </c>
    </row>
    <row r="21" spans="1:14" x14ac:dyDescent="0.3">
      <c r="A21" t="s">
        <v>104</v>
      </c>
      <c r="B21" t="str">
        <f>VLOOKUP(A21,'ecommerce-order (1)'!$A:$M,2,FALSE)</f>
        <v>14-06-2026</v>
      </c>
      <c r="C21" t="str">
        <f>VLOOKUP($A21,'ecommerce-order (1)'!$A:$M,3,FALSE)</f>
        <v>customer1056@example.com</v>
      </c>
      <c r="D21" t="str">
        <f>VLOOKUP($A21,'ecommerce-order (1)'!$A:$M,4,FALSE)</f>
        <v xml:space="preserve">uk </v>
      </c>
      <c r="E21" t="str">
        <f>VLOOKUP($A21,'ecommerce-order (1)'!$A:$M,5,FALSE)</f>
        <v>email</v>
      </c>
      <c r="F21" t="str">
        <f>VLOOKUP($A21,'ecommerce-order (1)'!$A:$M,6,FALSE)</f>
        <v>FR-5567</v>
      </c>
      <c r="G21" t="str">
        <f>VLOOKUP($A21,'ecommerce-order (1)'!$A:$M,7,FALSE)</f>
        <v>Merino Base Layer</v>
      </c>
      <c r="H21">
        <f>VLOOKUP($A21,'ecommerce-order (1)'!$A:$M,8,FALSE)</f>
        <v>1</v>
      </c>
      <c r="I21">
        <f>VLOOKUP($A21,'ecommerce-order (1)'!$A:$M,9,FALSE)</f>
        <v>45</v>
      </c>
      <c r="J21">
        <f>VLOOKUP($A21,'ecommerce-order (1)'!$A:$M,10,FALSE)</f>
        <v>45</v>
      </c>
      <c r="K21">
        <f>VLOOKUP($A21,'ecommerce-order (1)'!$A:$M,11,FALSE)</f>
        <v>0.19</v>
      </c>
      <c r="L21" t="str">
        <f>VLOOKUP($A21,'ecommerce-order (1)'!$A:$M,12,FALSE)</f>
        <v>GBP</v>
      </c>
      <c r="M21" t="str">
        <f>VLOOKUP($A21,'ecommerce-order (1)'!$A:$M,13,FALSE)</f>
        <v>completed</v>
      </c>
      <c r="N21" t="str">
        <f>IF(ISNA(VLOOKUP(A21,'ecommerce-order (1)'!A:A,1,FALSE)),"KEEEP","REMOVE")</f>
        <v>REMOVE</v>
      </c>
    </row>
    <row r="22" spans="1:14" x14ac:dyDescent="0.3">
      <c r="A22" t="s">
        <v>106</v>
      </c>
      <c r="B22" t="str">
        <f>VLOOKUP(A22,'ecommerce-order (1)'!$A:$M,2,FALSE)</f>
        <v>28-03-2026</v>
      </c>
      <c r="C22" t="str">
        <f>VLOOKUP($A22,'ecommerce-order (1)'!$A:$M,3,FALSE)</f>
        <v>customer0910@example.com</v>
      </c>
      <c r="D22" t="str">
        <f>VLOOKUP($A22,'ecommerce-order (1)'!$A:$M,4,FALSE)</f>
        <v>France</v>
      </c>
      <c r="E22" t="str">
        <f>VLOOKUP($A22,'ecommerce-order (1)'!$A:$M,5,FALSE)</f>
        <v>direct</v>
      </c>
      <c r="F22" t="str">
        <f>VLOOKUP($A22,'ecommerce-order (1)'!$A:$M,6,FALSE)</f>
        <v>FR-5567</v>
      </c>
      <c r="G22" t="str">
        <f>VLOOKUP($A22,'ecommerce-order (1)'!$A:$M,7,FALSE)</f>
        <v>Merino Base Layer</v>
      </c>
      <c r="H22">
        <f>VLOOKUP($A22,'ecommerce-order (1)'!$A:$M,8,FALSE)</f>
        <v>1</v>
      </c>
      <c r="I22">
        <f>VLOOKUP($A22,'ecommerce-order (1)'!$A:$M,9,FALSE)</f>
        <v>85.5</v>
      </c>
      <c r="J22">
        <f>VLOOKUP($A22,'ecommerce-order (1)'!$A:$M,10,FALSE)</f>
        <v>85.5</v>
      </c>
      <c r="K22">
        <f>VLOOKUP($A22,'ecommerce-order (1)'!$A:$M,11,FALSE)</f>
        <v>190</v>
      </c>
      <c r="L22" t="str">
        <f>VLOOKUP($A22,'ecommerce-order (1)'!$A:$M,12,FALSE)</f>
        <v>GBP</v>
      </c>
      <c r="M22" t="str">
        <f>VLOOKUP($A22,'ecommerce-order (1)'!$A:$M,13,FALSE)</f>
        <v>completed</v>
      </c>
      <c r="N22" t="str">
        <f>IF(ISNA(VLOOKUP(A22,'ecommerce-order (1)'!A:A,1,FALSE)),"KEEEP","REMOVE")</f>
        <v>REMOVE</v>
      </c>
    </row>
    <row r="23" spans="1:14" x14ac:dyDescent="0.3">
      <c r="A23" t="s">
        <v>109</v>
      </c>
      <c r="B23" t="str">
        <f>VLOOKUP(A23,'ecommerce-order (1)'!$A:$M,2,FALSE)</f>
        <v>28-02-2026</v>
      </c>
      <c r="C23" t="str">
        <f>VLOOKUP($A23,'ecommerce-order (1)'!$A:$M,3,FALSE)</f>
        <v>customer1155@example.com</v>
      </c>
      <c r="D23" t="str">
        <f>VLOOKUP($A23,'ecommerce-order (1)'!$A:$M,4,FALSE)</f>
        <v>Germany</v>
      </c>
      <c r="E23" t="str">
        <f>VLOOKUP($A23,'ecommerce-order (1)'!$A:$M,5,FALSE)</f>
        <v>email</v>
      </c>
      <c r="F23" t="str">
        <f>VLOOKUP($A23,'ecommerce-order (1)'!$A:$M,6,FALSE)</f>
        <v>FR-8890</v>
      </c>
      <c r="G23" t="str">
        <f>VLOOKUP($A23,'ecommerce-order (1)'!$A:$M,7,FALSE)</f>
        <v>Summit Down Gilet</v>
      </c>
      <c r="H23">
        <f>VLOOKUP($A23,'ecommerce-order (1)'!$A:$M,8,FALSE)</f>
        <v>2</v>
      </c>
      <c r="I23">
        <f>VLOOKUP($A23,'ecommerce-order (1)'!$A:$M,9,FALSE)</f>
        <v>149</v>
      </c>
      <c r="J23">
        <f>VLOOKUP($A23,'ecommerce-order (1)'!$A:$M,10,FALSE)</f>
        <v>298</v>
      </c>
      <c r="K23">
        <f>VLOOKUP($A23,'ecommerce-order (1)'!$A:$M,11,FALSE)</f>
        <v>380</v>
      </c>
      <c r="L23" t="str">
        <f>VLOOKUP($A23,'ecommerce-order (1)'!$A:$M,12,FALSE)</f>
        <v>GBP</v>
      </c>
      <c r="M23" t="str">
        <f>VLOOKUP($A23,'ecommerce-order (1)'!$A:$M,13,FALSE)</f>
        <v>completed</v>
      </c>
      <c r="N23" t="str">
        <f>IF(ISNA(VLOOKUP(A23,'ecommerce-order (1)'!A:A,1,FALSE)),"KEEEP","REMOVE")</f>
        <v>REMOVE</v>
      </c>
    </row>
    <row r="24" spans="1:14" x14ac:dyDescent="0.3">
      <c r="A24" t="s">
        <v>113</v>
      </c>
      <c r="B24" t="str">
        <f>VLOOKUP(A24,'ecommerce-order (1)'!$A:$M,2,FALSE)</f>
        <v>16-02-2026</v>
      </c>
      <c r="C24" t="str">
        <f>VLOOKUP($A24,'ecommerce-order (1)'!$A:$M,3,FALSE)</f>
        <v>customer1044@example.com</v>
      </c>
      <c r="D24" t="str">
        <f>VLOOKUP($A24,'ecommerce-order (1)'!$A:$M,4,FALSE)</f>
        <v xml:space="preserve">uk </v>
      </c>
      <c r="E24" t="str">
        <f>VLOOKUP($A24,'ecommerce-order (1)'!$A:$M,5,FALSE)</f>
        <v>social</v>
      </c>
      <c r="F24" t="str">
        <f>VLOOKUP($A24,'ecommerce-order (1)'!$A:$M,6,FALSE)</f>
        <v>FR-1120</v>
      </c>
      <c r="G24" t="str">
        <f>VLOOKUP($A24,'ecommerce-order (1)'!$A:$M,7,FALSE)</f>
        <v>Fell Runner Cap</v>
      </c>
      <c r="H24">
        <f>VLOOKUP($A24,'ecommerce-order (1)'!$A:$M,8,FALSE)</f>
        <v>1</v>
      </c>
      <c r="I24">
        <f>VLOOKUP($A24,'ecommerce-order (1)'!$A:$M,9,FALSE)</f>
        <v>21.6</v>
      </c>
      <c r="J24">
        <f>VLOOKUP($A24,'ecommerce-order (1)'!$A:$M,10,FALSE)</f>
        <v>21.6</v>
      </c>
      <c r="K24">
        <f>VLOOKUP($A24,'ecommerce-order (1)'!$A:$M,11,FALSE)</f>
        <v>0</v>
      </c>
      <c r="L24" t="str">
        <f>VLOOKUP($A24,'ecommerce-order (1)'!$A:$M,12,FALSE)</f>
        <v>GBP</v>
      </c>
      <c r="M24" t="str">
        <f>VLOOKUP($A24,'ecommerce-order (1)'!$A:$M,13,FALSE)</f>
        <v>completed</v>
      </c>
      <c r="N24" t="str">
        <f>IF(ISNA(VLOOKUP(A24,'ecommerce-order (1)'!A:A,1,FALSE)),"KEEEP","REMOVE")</f>
        <v>REMOVE</v>
      </c>
    </row>
    <row r="25" spans="1:14" x14ac:dyDescent="0.3">
      <c r="A25" t="s">
        <v>115</v>
      </c>
      <c r="B25" t="str">
        <f>VLOOKUP(A25,'ecommerce-order (1)'!$A:$M,2,FALSE)</f>
        <v>03/21/2026</v>
      </c>
      <c r="C25" t="str">
        <f>VLOOKUP($A25,'ecommerce-order (1)'!$A:$M,3,FALSE)</f>
        <v>customer0047@example.com</v>
      </c>
      <c r="D25" t="str">
        <f>VLOOKUP($A25,'ecommerce-order (1)'!$A:$M,4,FALSE)</f>
        <v>ireland</v>
      </c>
      <c r="E25" t="str">
        <f>VLOOKUP($A25,'ecommerce-order (1)'!$A:$M,5,FALSE)</f>
        <v>organic</v>
      </c>
      <c r="F25" t="str">
        <f>VLOOKUP($A25,'ecommerce-order (1)'!$A:$M,6,FALSE)</f>
        <v>FR-3345</v>
      </c>
      <c r="G25" t="str">
        <f>VLOOKUP($A25,'ecommerce-order (1)'!$A:$M,7,FALSE)</f>
        <v>CafÃ© Latte Mug</v>
      </c>
      <c r="H25">
        <f>VLOOKUP($A25,'ecommerce-order (1)'!$A:$M,8,FALSE)</f>
        <v>1</v>
      </c>
      <c r="I25">
        <f>VLOOKUP($A25,'ecommerce-order (1)'!$A:$M,9,FALSE)</f>
        <v>21.6</v>
      </c>
      <c r="J25">
        <f>VLOOKUP($A25,'ecommerce-order (1)'!$A:$M,10,FALSE)</f>
        <v>21.6</v>
      </c>
      <c r="K25">
        <f>VLOOKUP($A25,'ecommerce-order (1)'!$A:$M,11,FALSE)</f>
        <v>340</v>
      </c>
      <c r="L25" t="str">
        <f>VLOOKUP($A25,'ecommerce-order (1)'!$A:$M,12,FALSE)</f>
        <v>GBP</v>
      </c>
      <c r="M25" t="str">
        <f>VLOOKUP($A25,'ecommerce-order (1)'!$A:$M,13,FALSE)</f>
        <v>completed</v>
      </c>
      <c r="N25" t="str">
        <f>IF(ISNA(VLOOKUP(A25,'ecommerce-order (1)'!A:A,1,FALSE)),"KEEEP","REMOVE")</f>
        <v>REMOVE</v>
      </c>
    </row>
    <row r="26" spans="1:14" x14ac:dyDescent="0.3">
      <c r="A26" t="s">
        <v>118</v>
      </c>
      <c r="B26" t="str">
        <f>VLOOKUP(A26,'ecommerce-order (1)'!$A:$M,2,FALSE)</f>
        <v>01-04-2026</v>
      </c>
      <c r="C26" t="str">
        <f>VLOOKUP($A26,'ecommerce-order (1)'!$A:$M,3,FALSE)</f>
        <v>customer0180@example.com</v>
      </c>
      <c r="D26" t="str">
        <f>VLOOKUP($A26,'ecommerce-order (1)'!$A:$M,4,FALSE)</f>
        <v>gb</v>
      </c>
      <c r="E26" t="str">
        <f>VLOOKUP($A26,'ecommerce-order (1)'!$A:$M,5,FALSE)</f>
        <v>email</v>
      </c>
      <c r="F26" t="str">
        <f>VLOOKUP($A26,'ecommerce-order (1)'!$A:$M,6,FALSE)</f>
        <v>FR-7781</v>
      </c>
      <c r="G26" t="str">
        <f>VLOOKUP($A26,'ecommerce-order (1)'!$A:$M,7,FALSE)</f>
        <v>Storm Overtrousers</v>
      </c>
      <c r="H26">
        <f>VLOOKUP($A26,'ecommerce-order (1)'!$A:$M,8,FALSE)</f>
        <v>-1</v>
      </c>
      <c r="I26">
        <f>VLOOKUP($A26,'ecommerce-order (1)'!$A:$M,9,FALSE)</f>
        <v>129</v>
      </c>
      <c r="J26">
        <f>VLOOKUP($A26,'ecommerce-order (1)'!$A:$M,10,FALSE)</f>
        <v>-129</v>
      </c>
      <c r="K26">
        <f>VLOOKUP($A26,'ecommerce-order (1)'!$A:$M,11,FALSE)</f>
        <v>410</v>
      </c>
      <c r="L26" t="str">
        <f>VLOOKUP($A26,'ecommerce-order (1)'!$A:$M,12,FALSE)</f>
        <v>GBP</v>
      </c>
      <c r="M26" t="str">
        <f>VLOOKUP($A26,'ecommerce-order (1)'!$A:$M,13,FALSE)</f>
        <v>completed</v>
      </c>
      <c r="N26" t="str">
        <f>IF(ISNA(VLOOKUP(A26,'ecommerce-order (1)'!A:A,1,FALSE)),"KEEEP","REMOVE")</f>
        <v>REMOVE</v>
      </c>
    </row>
    <row r="27" spans="1:14" x14ac:dyDescent="0.3">
      <c r="A27" t="s">
        <v>121</v>
      </c>
      <c r="B27" t="str">
        <f>VLOOKUP(A27,'ecommerce-order (1)'!$A:$M,2,FALSE)</f>
        <v>23-04-2026</v>
      </c>
      <c r="C27" t="str">
        <f>VLOOKUP($A27,'ecommerce-order (1)'!$A:$M,3,FALSE)</f>
        <v>customer0212@example.com</v>
      </c>
      <c r="D27" t="str">
        <f>VLOOKUP($A27,'ecommerce-order (1)'!$A:$M,4,FALSE)</f>
        <v>Germany</v>
      </c>
      <c r="E27" t="str">
        <f>VLOOKUP($A27,'ecommerce-order (1)'!$A:$M,5,FALSE)</f>
        <v>organic</v>
      </c>
      <c r="F27" t="str">
        <f>VLOOKUP($A27,'ecommerce-order (1)'!$A:$M,6,FALSE)</f>
        <v>FR-5567</v>
      </c>
      <c r="G27" t="str">
        <f>VLOOKUP($A27,'ecommerce-order (1)'!$A:$M,7,FALSE)</f>
        <v>Merino Base Layer</v>
      </c>
      <c r="H27">
        <f>VLOOKUP($A27,'ecommerce-order (1)'!$A:$M,8,FALSE)</f>
        <v>3</v>
      </c>
      <c r="I27">
        <f>VLOOKUP($A27,'ecommerce-order (1)'!$A:$M,9,FALSE)</f>
        <v>89</v>
      </c>
      <c r="J27">
        <f>VLOOKUP($A27,'ecommerce-order (1)'!$A:$M,10,FALSE)</f>
        <v>267</v>
      </c>
      <c r="K27">
        <f>VLOOKUP($A27,'ecommerce-order (1)'!$A:$M,11,FALSE)</f>
        <v>0.19</v>
      </c>
      <c r="L27" t="str">
        <f>VLOOKUP($A27,'ecommerce-order (1)'!$A:$M,12,FALSE)</f>
        <v>EUR</v>
      </c>
      <c r="M27" t="str">
        <f>VLOOKUP($A27,'ecommerce-order (1)'!$A:$M,13,FALSE)</f>
        <v>completed</v>
      </c>
      <c r="N27" t="str">
        <f>IF(ISNA(VLOOKUP(A27,'ecommerce-order (1)'!A:A,1,FALSE)),"KEEEP","REMOVE")</f>
        <v>REMOVE</v>
      </c>
    </row>
    <row r="28" spans="1:14" x14ac:dyDescent="0.3">
      <c r="A28" t="s">
        <v>123</v>
      </c>
      <c r="B28" t="str">
        <f>VLOOKUP(A28,'ecommerce-order (1)'!$A:$M,2,FALSE)</f>
        <v>09-01-2026</v>
      </c>
      <c r="C28" t="str">
        <f>VLOOKUP($A28,'ecommerce-order (1)'!$A:$M,3,FALSE)</f>
        <v>customer0605@example.com</v>
      </c>
      <c r="D28" t="str">
        <f>VLOOKUP($A28,'ecommerce-order (1)'!$A:$M,4,FALSE)</f>
        <v>UK</v>
      </c>
      <c r="E28" t="str">
        <f>VLOOKUP($A28,'ecommerce-order (1)'!$A:$M,5,FALSE)</f>
        <v>direct</v>
      </c>
      <c r="F28" t="str">
        <f>VLOOKUP($A28,'ecommerce-order (1)'!$A:$M,6,FALSE)</f>
        <v>FR-3345</v>
      </c>
      <c r="G28" t="str">
        <f>VLOOKUP($A28,'ecommerce-order (1)'!$A:$M,7,FALSE)</f>
        <v>CafÃ© Latte Mug</v>
      </c>
      <c r="H28">
        <f>VLOOKUP($A28,'ecommerce-order (1)'!$A:$M,8,FALSE)</f>
        <v>1</v>
      </c>
      <c r="I28">
        <f>VLOOKUP($A28,'ecommerce-order (1)'!$A:$M,9,FALSE)</f>
        <v>0</v>
      </c>
      <c r="J28">
        <f>VLOOKUP($A28,'ecommerce-order (1)'!$A:$M,10,FALSE)</f>
        <v>21.6</v>
      </c>
      <c r="K28">
        <f>VLOOKUP($A28,'ecommerce-order (1)'!$A:$M,11,FALSE)</f>
        <v>340</v>
      </c>
      <c r="L28" t="str">
        <f>VLOOKUP($A28,'ecommerce-order (1)'!$A:$M,12,FALSE)</f>
        <v>GBP</v>
      </c>
      <c r="M28" t="str">
        <f>VLOOKUP($A28,'ecommerce-order (1)'!$A:$M,13,FALSE)</f>
        <v>refunded</v>
      </c>
      <c r="N28" t="str">
        <f>IF(ISNA(VLOOKUP(A28,'ecommerce-order (1)'!A:A,1,FALSE)),"KEEEP","REMOVE")</f>
        <v>REMOVE</v>
      </c>
    </row>
    <row r="29" spans="1:14" x14ac:dyDescent="0.3">
      <c r="A29" t="s">
        <v>126</v>
      </c>
      <c r="B29" t="str">
        <f>VLOOKUP(A29,'ecommerce-order (1)'!$A:$M,2,FALSE)</f>
        <v>31-05-2026</v>
      </c>
      <c r="C29" t="str">
        <f>VLOOKUP($A29,'ecommerce-order (1)'!$A:$M,3,FALSE)</f>
        <v>customer0449@example.com</v>
      </c>
      <c r="D29" t="str">
        <f>VLOOKUP($A29,'ecommerce-order (1)'!$A:$M,4,FALSE)</f>
        <v xml:space="preserve"> UK</v>
      </c>
      <c r="E29" t="str">
        <f>VLOOKUP($A29,'ecommerce-order (1)'!$A:$M,5,FALSE)</f>
        <v>social</v>
      </c>
      <c r="F29" t="str">
        <f>VLOOKUP($A29,'ecommerce-order (1)'!$A:$M,6,FALSE)</f>
        <v>FR-8890</v>
      </c>
      <c r="G29" t="str">
        <f>VLOOKUP($A29,'ecommerce-order (1)'!$A:$M,7,FALSE)</f>
        <v>Summit Down Gilet</v>
      </c>
      <c r="H29">
        <f>VLOOKUP($A29,'ecommerce-order (1)'!$A:$M,8,FALSE)</f>
        <v>2</v>
      </c>
      <c r="I29">
        <f>VLOOKUP($A29,'ecommerce-order (1)'!$A:$M,9,FALSE)</f>
        <v>79</v>
      </c>
      <c r="J29">
        <f>VLOOKUP($A29,'ecommerce-order (1)'!$A:$M,10,FALSE)</f>
        <v>158</v>
      </c>
      <c r="K29">
        <f>VLOOKUP($A29,'ecommerce-order (1)'!$A:$M,11,FALSE)</f>
        <v>0.38</v>
      </c>
      <c r="L29" t="str">
        <f>VLOOKUP($A29,'ecommerce-order (1)'!$A:$M,12,FALSE)</f>
        <v>GBP</v>
      </c>
      <c r="M29" t="str">
        <f>VLOOKUP($A29,'ecommerce-order (1)'!$A:$M,13,FALSE)</f>
        <v>completed</v>
      </c>
      <c r="N29" t="str">
        <f>IF(ISNA(VLOOKUP(A29,'ecommerce-order (1)'!A:A,1,FALSE)),"KEEEP","REMOVE")</f>
        <v>REMOVE</v>
      </c>
    </row>
    <row r="30" spans="1:14" x14ac:dyDescent="0.3">
      <c r="A30" t="s">
        <v>129</v>
      </c>
      <c r="B30" t="str">
        <f>VLOOKUP(A30,'ecommerce-order (1)'!$A:$M,2,FALSE)</f>
        <v>30-06-2026</v>
      </c>
      <c r="C30" t="str">
        <f>VLOOKUP($A30,'ecommerce-order (1)'!$A:$M,3,FALSE)</f>
        <v>customer0321@example.com</v>
      </c>
      <c r="D30" t="str">
        <f>VLOOKUP($A30,'ecommerce-order (1)'!$A:$M,4,FALSE)</f>
        <v>GB</v>
      </c>
      <c r="E30" t="str">
        <f>VLOOKUP($A30,'ecommerce-order (1)'!$A:$M,5,FALSE)</f>
        <v>direct</v>
      </c>
      <c r="F30" t="str">
        <f>VLOOKUP($A30,'ecommerce-order (1)'!$A:$M,6,FALSE)</f>
        <v>FR-8890</v>
      </c>
      <c r="G30" t="str">
        <f>VLOOKUP($A30,'ecommerce-order (1)'!$A:$M,7,FALSE)</f>
        <v>Summit Down Gilet</v>
      </c>
      <c r="H30">
        <f>VLOOKUP($A30,'ecommerce-order (1)'!$A:$M,8,FALSE)</f>
        <v>3</v>
      </c>
      <c r="I30">
        <f>VLOOKUP($A30,'ecommerce-order (1)'!$A:$M,9,FALSE)</f>
        <v>11.25</v>
      </c>
      <c r="J30">
        <f>VLOOKUP($A30,'ecommerce-order (1)'!$A:$M,10,FALSE)</f>
        <v>33.75</v>
      </c>
      <c r="K30">
        <f>VLOOKUP($A30,'ecommerce-order (1)'!$A:$M,11,FALSE)</f>
        <v>0.38</v>
      </c>
      <c r="L30" t="str">
        <f>VLOOKUP($A30,'ecommerce-order (1)'!$A:$M,12,FALSE)</f>
        <v>GBP</v>
      </c>
      <c r="M30" t="str">
        <f>VLOOKUP($A30,'ecommerce-order (1)'!$A:$M,13,FALSE)</f>
        <v>completed</v>
      </c>
      <c r="N30" t="str">
        <f>IF(ISNA(VLOOKUP(A30,'ecommerce-order (1)'!A:A,1,FALSE)),"KEEEP","REMOVE")</f>
        <v>REMOVE</v>
      </c>
    </row>
    <row r="31" spans="1:14" x14ac:dyDescent="0.3">
      <c r="A31" t="s">
        <v>132</v>
      </c>
      <c r="B31" t="str">
        <f>VLOOKUP(A31,'ecommerce-order (1)'!$A:$M,2,FALSE)</f>
        <v>04-04-2026</v>
      </c>
      <c r="C31" t="str">
        <f>VLOOKUP($A31,'ecommerce-order (1)'!$A:$M,3,FALSE)</f>
        <v>customer1166@example.com</v>
      </c>
      <c r="D31" t="str">
        <f>VLOOKUP($A31,'ecommerce-order (1)'!$A:$M,4,FALSE)</f>
        <v>gb</v>
      </c>
      <c r="E31" t="str">
        <f>VLOOKUP($A31,'ecommerce-order (1)'!$A:$M,5,FALSE)</f>
        <v>social</v>
      </c>
      <c r="F31" t="str">
        <f>VLOOKUP($A31,'ecommerce-order (1)'!$A:$M,6,FALSE)</f>
        <v>FR-2210</v>
      </c>
      <c r="G31" t="str">
        <f>VLOOKUP($A31,'ecommerce-order (1)'!$A:$M,7,FALSE)</f>
        <v>Trail Softshell</v>
      </c>
      <c r="H31">
        <f>VLOOKUP($A31,'ecommerce-order (1)'!$A:$M,8,FALSE)</f>
        <v>1</v>
      </c>
      <c r="I31">
        <f>VLOOKUP($A31,'ecommerce-order (1)'!$A:$M,9,FALSE)</f>
        <v>0</v>
      </c>
      <c r="J31">
        <f>VLOOKUP($A31,'ecommerce-order (1)'!$A:$M,10,FALSE)</f>
        <v>36</v>
      </c>
      <c r="K31">
        <f>VLOOKUP($A31,'ecommerce-order (1)'!$A:$M,11,FALSE)</f>
        <v>520</v>
      </c>
      <c r="L31" t="str">
        <f>VLOOKUP($A31,'ecommerce-order (1)'!$A:$M,12,FALSE)</f>
        <v>GBP</v>
      </c>
      <c r="M31" t="str">
        <f>VLOOKUP($A31,'ecommerce-order (1)'!$A:$M,13,FALSE)</f>
        <v>completed</v>
      </c>
      <c r="N31" t="str">
        <f>IF(ISNA(VLOOKUP(A31,'ecommerce-order (1)'!A:A,1,FALSE)),"KEEEP","REMOVE")</f>
        <v>REMOVE</v>
      </c>
    </row>
    <row r="32" spans="1:14" x14ac:dyDescent="0.3">
      <c r="A32" t="s">
        <v>135</v>
      </c>
      <c r="B32" t="str">
        <f>VLOOKUP(A32,'ecommerce-order (1)'!$A:$M,2,FALSE)</f>
        <v>13-03-2026</v>
      </c>
      <c r="C32" t="str">
        <f>VLOOKUP($A32,'ecommerce-order (1)'!$A:$M,3,FALSE)</f>
        <v>customer0347@example.com</v>
      </c>
      <c r="D32" t="str">
        <f>VLOOKUP($A32,'ecommerce-order (1)'!$A:$M,4,FALSE)</f>
        <v>Germany</v>
      </c>
      <c r="E32" t="str">
        <f>VLOOKUP($A32,'ecommerce-order (1)'!$A:$M,5,FALSE)</f>
        <v>paid_search</v>
      </c>
      <c r="F32" t="str">
        <f>VLOOKUP($A32,'ecommerce-order (1)'!$A:$M,6,FALSE)</f>
        <v>FR-5567</v>
      </c>
      <c r="G32" t="str">
        <f>VLOOKUP($A32,'ecommerce-order (1)'!$A:$M,7,FALSE)</f>
        <v>Merino Base Layer</v>
      </c>
      <c r="H32">
        <f>VLOOKUP($A32,'ecommerce-order (1)'!$A:$M,8,FALSE)</f>
        <v>2</v>
      </c>
      <c r="I32">
        <f>VLOOKUP($A32,'ecommerce-order (1)'!$A:$M,9,FALSE)</f>
        <v>129</v>
      </c>
      <c r="J32">
        <f>VLOOKUP($A32,'ecommerce-order (1)'!$A:$M,10,FALSE)</f>
        <v>258</v>
      </c>
      <c r="K32">
        <f>VLOOKUP($A32,'ecommerce-order (1)'!$A:$M,11,FALSE)</f>
        <v>190</v>
      </c>
      <c r="L32" t="str">
        <f>VLOOKUP($A32,'ecommerce-order (1)'!$A:$M,12,FALSE)</f>
        <v>GBP</v>
      </c>
      <c r="M32" t="str">
        <f>VLOOKUP($A32,'ecommerce-order (1)'!$A:$M,13,FALSE)</f>
        <v>completed</v>
      </c>
      <c r="N32" t="str">
        <f>IF(ISNA(VLOOKUP(A32,'ecommerce-order (1)'!A:A,1,FALSE)),"KEEEP","REMOVE")</f>
        <v>REMOVE</v>
      </c>
    </row>
    <row r="33" spans="1:14" x14ac:dyDescent="0.3">
      <c r="A33" t="s">
        <v>138</v>
      </c>
      <c r="B33" t="str">
        <f>VLOOKUP(A33,'ecommerce-order (1)'!$A:$M,2,FALSE)</f>
        <v>17-01-2026</v>
      </c>
      <c r="C33" t="str">
        <f>VLOOKUP($A33,'ecommerce-order (1)'!$A:$M,3,FALSE)</f>
        <v>customer1186@example.com</v>
      </c>
      <c r="D33" t="str">
        <f>VLOOKUP($A33,'ecommerce-order (1)'!$A:$M,4,FALSE)</f>
        <v xml:space="preserve"> UK</v>
      </c>
      <c r="E33" t="str">
        <f>VLOOKUP($A33,'ecommerce-order (1)'!$A:$M,5,FALSE)</f>
        <v>social</v>
      </c>
      <c r="F33" t="str">
        <f>VLOOKUP($A33,'ecommerce-order (1)'!$A:$M,6,FALSE)</f>
        <v>FR-4471</v>
      </c>
      <c r="G33" t="str">
        <f>VLOOKUP($A33,'ecommerce-order (1)'!$A:$M,7,FALSE)</f>
        <v>Alpine Jacket</v>
      </c>
      <c r="H33">
        <f>VLOOKUP($A33,'ecommerce-order (1)'!$A:$M,8,FALSE)</f>
        <v>1</v>
      </c>
      <c r="I33">
        <f>VLOOKUP($A33,'ecommerce-order (1)'!$A:$M,9,FALSE)</f>
        <v>71.099999999999994</v>
      </c>
      <c r="J33">
        <f>VLOOKUP($A33,'ecommerce-order (1)'!$A:$M,10,FALSE)</f>
        <v>71.099999999999994</v>
      </c>
      <c r="K33">
        <f>VLOOKUP($A33,'ecommerce-order (1)'!$A:$M,11,FALSE)</f>
        <v>640</v>
      </c>
      <c r="L33" t="str">
        <f>VLOOKUP($A33,'ecommerce-order (1)'!$A:$M,12,FALSE)</f>
        <v>GBP</v>
      </c>
      <c r="M33" t="str">
        <f>VLOOKUP($A33,'ecommerce-order (1)'!$A:$M,13,FALSE)</f>
        <v>completed</v>
      </c>
      <c r="N33" t="str">
        <f>IF(ISNA(VLOOKUP(A33,'ecommerce-order (1)'!A:A,1,FALSE)),"KEEEP","REMOVE")</f>
        <v>REMOVE</v>
      </c>
    </row>
    <row r="34" spans="1:14" x14ac:dyDescent="0.3">
      <c r="A34" t="s">
        <v>141</v>
      </c>
      <c r="B34" t="str">
        <f>VLOOKUP(A34,'ecommerce-order (1)'!$A:$M,2,FALSE)</f>
        <v>01-04-2026</v>
      </c>
      <c r="C34" t="str">
        <f>VLOOKUP($A34,'ecommerce-order (1)'!$A:$M,3,FALSE)</f>
        <v>customer1029@example.com</v>
      </c>
      <c r="D34" t="str">
        <f>VLOOKUP($A34,'ecommerce-order (1)'!$A:$M,4,FALSE)</f>
        <v xml:space="preserve"> UK</v>
      </c>
      <c r="E34" t="str">
        <f>VLOOKUP($A34,'ecommerce-order (1)'!$A:$M,5,FALSE)</f>
        <v>organic</v>
      </c>
      <c r="F34" t="str">
        <f>VLOOKUP($A34,'ecommerce-order (1)'!$A:$M,6,FALSE)</f>
        <v>FR-3345</v>
      </c>
      <c r="G34" t="str">
        <f>VLOOKUP($A34,'ecommerce-order (1)'!$A:$M,7,FALSE)</f>
        <v>CafÃ© Latte Mug</v>
      </c>
      <c r="H34">
        <f>VLOOKUP($A34,'ecommerce-order (1)'!$A:$M,8,FALSE)</f>
        <v>-2</v>
      </c>
      <c r="I34">
        <f>VLOOKUP($A34,'ecommerce-order (1)'!$A:$M,9,FALSE)</f>
        <v>45</v>
      </c>
      <c r="J34">
        <f>VLOOKUP($A34,'ecommerce-order (1)'!$A:$M,10,FALSE)</f>
        <v>-90</v>
      </c>
      <c r="K34">
        <f>VLOOKUP($A34,'ecommerce-order (1)'!$A:$M,11,FALSE)</f>
        <v>340</v>
      </c>
      <c r="L34" t="str">
        <f>VLOOKUP($A34,'ecommerce-order (1)'!$A:$M,12,FALSE)</f>
        <v>GBP</v>
      </c>
      <c r="M34" t="str">
        <f>VLOOKUP($A34,'ecommerce-order (1)'!$A:$M,13,FALSE)</f>
        <v>completed</v>
      </c>
      <c r="N34" t="str">
        <f>IF(ISNA(VLOOKUP(A34,'ecommerce-order (1)'!A:A,1,FALSE)),"KEEEP","REMOVE")</f>
        <v>REMOVE</v>
      </c>
    </row>
    <row r="35" spans="1:14" x14ac:dyDescent="0.3">
      <c r="A35" t="s">
        <v>143</v>
      </c>
      <c r="B35" t="str">
        <f>VLOOKUP(A35,'ecommerce-order (1)'!$A:$M,2,FALSE)</f>
        <v>15-02-2026</v>
      </c>
      <c r="C35" t="str">
        <f>VLOOKUP($A35,'ecommerce-order (1)'!$A:$M,3,FALSE)</f>
        <v>customer1144@example.com</v>
      </c>
      <c r="D35" t="str">
        <f>VLOOKUP($A35,'ecommerce-order (1)'!$A:$M,4,FALSE)</f>
        <v>United Kingdom</v>
      </c>
      <c r="E35" t="str">
        <f>VLOOKUP($A35,'ecommerce-order (1)'!$A:$M,5,FALSE)</f>
        <v>email</v>
      </c>
      <c r="F35" t="str">
        <f>VLOOKUP($A35,'ecommerce-order (1)'!$A:$M,6,FALSE)</f>
        <v>FR-4471</v>
      </c>
      <c r="G35" t="str">
        <f>VLOOKUP($A35,'ecommerce-order (1)'!$A:$M,7,FALSE)</f>
        <v>Alpine Jacket</v>
      </c>
      <c r="H35">
        <f>VLOOKUP($A35,'ecommerce-order (1)'!$A:$M,8,FALSE)</f>
        <v>2</v>
      </c>
      <c r="I35">
        <f>VLOOKUP($A35,'ecommerce-order (1)'!$A:$M,9,FALSE)</f>
        <v>0</v>
      </c>
      <c r="J35">
        <f>VLOOKUP($A35,'ecommerce-order (1)'!$A:$M,10,FALSE)</f>
        <v>160.19999999999999</v>
      </c>
      <c r="K35">
        <f>VLOOKUP($A35,'ecommerce-order (1)'!$A:$M,11,FALSE)</f>
        <v>640</v>
      </c>
      <c r="L35" t="str">
        <f>VLOOKUP($A35,'ecommerce-order (1)'!$A:$M,12,FALSE)</f>
        <v>EUR</v>
      </c>
      <c r="M35" t="str">
        <f>VLOOKUP($A35,'ecommerce-order (1)'!$A:$M,13,FALSE)</f>
        <v>completed</v>
      </c>
      <c r="N35" t="str">
        <f>IF(ISNA(VLOOKUP(A35,'ecommerce-order (1)'!A:A,1,FALSE)),"KEEEP","REMOVE")</f>
        <v>REMOVE</v>
      </c>
    </row>
    <row r="36" spans="1:14" x14ac:dyDescent="0.3">
      <c r="A36" t="s">
        <v>146</v>
      </c>
      <c r="B36" t="str">
        <f>VLOOKUP(A36,'ecommerce-order (1)'!$A:$M,2,FALSE)</f>
        <v>10-05-2026</v>
      </c>
      <c r="C36" t="str">
        <f>VLOOKUP($A36,'ecommerce-order (1)'!$A:$M,3,FALSE)</f>
        <v>customer1248@example.com</v>
      </c>
      <c r="D36" t="str">
        <f>VLOOKUP($A36,'ecommerce-order (1)'!$A:$M,4,FALSE)</f>
        <v>UK</v>
      </c>
      <c r="E36" t="str">
        <f>VLOOKUP($A36,'ecommerce-order (1)'!$A:$M,5,FALSE)</f>
        <v>organic</v>
      </c>
      <c r="F36" t="str">
        <f>VLOOKUP($A36,'ecommerce-order (1)'!$A:$M,6,FALSE)</f>
        <v>FR-4471</v>
      </c>
      <c r="G36" t="str">
        <f>VLOOKUP($A36,'ecommerce-order (1)'!$A:$M,7,FALSE)</f>
        <v>Alpine Jacket</v>
      </c>
      <c r="H36">
        <f>VLOOKUP($A36,'ecommerce-order (1)'!$A:$M,8,FALSE)</f>
        <v>2</v>
      </c>
      <c r="I36">
        <f>VLOOKUP($A36,'ecommerce-order (1)'!$A:$M,9,FALSE)</f>
        <v>0</v>
      </c>
      <c r="J36">
        <f>VLOOKUP($A36,'ecommerce-order (1)'!$A:$M,10,FALSE)</f>
        <v>25</v>
      </c>
      <c r="K36">
        <f>VLOOKUP($A36,'ecommerce-order (1)'!$A:$M,11,FALSE)</f>
        <v>0.64</v>
      </c>
      <c r="L36" t="str">
        <f>VLOOKUP($A36,'ecommerce-order (1)'!$A:$M,12,FALSE)</f>
        <v>GBP</v>
      </c>
      <c r="M36" t="str">
        <f>VLOOKUP($A36,'ecommerce-order (1)'!$A:$M,13,FALSE)</f>
        <v>completed</v>
      </c>
      <c r="N36" t="str">
        <f>IF(ISNA(VLOOKUP(A36,'ecommerce-order (1)'!A:A,1,FALSE)),"KEEEP","REMOVE")</f>
        <v>REMOVE</v>
      </c>
    </row>
    <row r="37" spans="1:14" x14ac:dyDescent="0.3">
      <c r="A37" t="s">
        <v>149</v>
      </c>
      <c r="B37" t="str">
        <f>VLOOKUP(A37,'ecommerce-order (1)'!$A:$M,2,FALSE)</f>
        <v>03/19/2026</v>
      </c>
      <c r="C37" t="str">
        <f>VLOOKUP($A37,'ecommerce-order (1)'!$A:$M,3,FALSE)</f>
        <v>customer0388@example.com</v>
      </c>
      <c r="D37" t="str">
        <f>VLOOKUP($A37,'ecommerce-order (1)'!$A:$M,4,FALSE)</f>
        <v xml:space="preserve"> UK</v>
      </c>
      <c r="E37" t="str">
        <f>VLOOKUP($A37,'ecommerce-order (1)'!$A:$M,5,FALSE)</f>
        <v>organic</v>
      </c>
      <c r="F37" t="str">
        <f>VLOOKUP($A37,'ecommerce-order (1)'!$A:$M,6,FALSE)</f>
        <v>FR-7781</v>
      </c>
      <c r="G37" t="str">
        <f>VLOOKUP($A37,'ecommerce-order (1)'!$A:$M,7,FALSE)</f>
        <v>Storm Overtrousers</v>
      </c>
      <c r="H37">
        <f>VLOOKUP($A37,'ecommerce-order (1)'!$A:$M,8,FALSE)</f>
        <v>3</v>
      </c>
      <c r="I37">
        <f>VLOOKUP($A37,'ecommerce-order (1)'!$A:$M,9,FALSE)</f>
        <v>149</v>
      </c>
      <c r="J37">
        <f>VLOOKUP($A37,'ecommerce-order (1)'!$A:$M,10,FALSE)</f>
        <v>447</v>
      </c>
      <c r="K37">
        <f>VLOOKUP($A37,'ecommerce-order (1)'!$A:$M,11,FALSE)</f>
        <v>410</v>
      </c>
      <c r="L37" t="str">
        <f>VLOOKUP($A37,'ecommerce-order (1)'!$A:$M,12,FALSE)</f>
        <v>GBP</v>
      </c>
      <c r="M37" t="str">
        <f>VLOOKUP($A37,'ecommerce-order (1)'!$A:$M,13,FALSE)</f>
        <v>completed</v>
      </c>
      <c r="N37" t="str">
        <f>IF(ISNA(VLOOKUP(A37,'ecommerce-order (1)'!A:A,1,FALSE)),"KEEEP","REMOVE")</f>
        <v>REMOVE</v>
      </c>
    </row>
    <row r="38" spans="1:14" x14ac:dyDescent="0.3">
      <c r="A38" t="s">
        <v>152</v>
      </c>
      <c r="B38" t="str">
        <f>VLOOKUP(A38,'ecommerce-order (1)'!$A:$M,2,FALSE)</f>
        <v>04/24/2026</v>
      </c>
      <c r="C38" t="str">
        <f>VLOOKUP($A38,'ecommerce-order (1)'!$A:$M,3,FALSE)</f>
        <v>customer1225@example.com</v>
      </c>
      <c r="D38" t="str">
        <f>VLOOKUP($A38,'ecommerce-order (1)'!$A:$M,4,FALSE)</f>
        <v xml:space="preserve"> UK</v>
      </c>
      <c r="E38" t="str">
        <f>VLOOKUP($A38,'ecommerce-order (1)'!$A:$M,5,FALSE)</f>
        <v>direct</v>
      </c>
      <c r="F38" t="str">
        <f>VLOOKUP($A38,'ecommerce-order (1)'!$A:$M,6,FALSE)</f>
        <v>FR-7781</v>
      </c>
      <c r="G38" t="str">
        <f>VLOOKUP($A38,'ecommerce-order (1)'!$A:$M,7,FALSE)</f>
        <v>Storm Overtrousers</v>
      </c>
      <c r="H38">
        <f>VLOOKUP($A38,'ecommerce-order (1)'!$A:$M,8,FALSE)</f>
        <v>2</v>
      </c>
      <c r="I38">
        <f>VLOOKUP($A38,'ecommerce-order (1)'!$A:$M,9,FALSE)</f>
        <v>11.25</v>
      </c>
      <c r="J38">
        <f>VLOOKUP($A38,'ecommerce-order (1)'!$A:$M,10,FALSE)</f>
        <v>22.5</v>
      </c>
      <c r="K38">
        <f>VLOOKUP($A38,'ecommerce-order (1)'!$A:$M,11,FALSE)</f>
        <v>0.41</v>
      </c>
      <c r="L38" t="str">
        <f>VLOOKUP($A38,'ecommerce-order (1)'!$A:$M,12,FALSE)</f>
        <v>GBP</v>
      </c>
      <c r="M38" t="str">
        <f>VLOOKUP($A38,'ecommerce-order (1)'!$A:$M,13,FALSE)</f>
        <v>refunded</v>
      </c>
      <c r="N38" t="str">
        <f>IF(ISNA(VLOOKUP(A38,'ecommerce-order (1)'!A:A,1,FALSE)),"KEEEP","REMOVE")</f>
        <v>REMOVE</v>
      </c>
    </row>
    <row r="39" spans="1:14" x14ac:dyDescent="0.3">
      <c r="A39" t="s">
        <v>155</v>
      </c>
      <c r="B39" t="str">
        <f>VLOOKUP(A39,'ecommerce-order (1)'!$A:$M,2,FALSE)</f>
        <v>30-03-2026</v>
      </c>
      <c r="C39" t="str">
        <f>VLOOKUP($A39,'ecommerce-order (1)'!$A:$M,3,FALSE)</f>
        <v>customer1087@example.com</v>
      </c>
      <c r="D39" t="str">
        <f>VLOOKUP($A39,'ecommerce-order (1)'!$A:$M,4,FALSE)</f>
        <v>ireland</v>
      </c>
      <c r="E39" t="str">
        <f>VLOOKUP($A39,'ecommerce-order (1)'!$A:$M,5,FALSE)</f>
        <v>paid_search</v>
      </c>
      <c r="F39" t="str">
        <f>VLOOKUP($A39,'ecommerce-order (1)'!$A:$M,6,FALSE)</f>
        <v>FR-7781</v>
      </c>
      <c r="G39" t="str">
        <f>VLOOKUP($A39,'ecommerce-order (1)'!$A:$M,7,FALSE)</f>
        <v>Storm Overtrousers</v>
      </c>
      <c r="H39">
        <f>VLOOKUP($A39,'ecommerce-order (1)'!$A:$M,8,FALSE)</f>
        <v>1</v>
      </c>
      <c r="I39">
        <f>VLOOKUP($A39,'ecommerce-order (1)'!$A:$M,9,FALSE)</f>
        <v>149</v>
      </c>
      <c r="J39">
        <f>VLOOKUP($A39,'ecommerce-order (1)'!$A:$M,10,FALSE)</f>
        <v>149</v>
      </c>
      <c r="K39">
        <f>VLOOKUP($A39,'ecommerce-order (1)'!$A:$M,11,FALSE)</f>
        <v>410</v>
      </c>
      <c r="L39" t="str">
        <f>VLOOKUP($A39,'ecommerce-order (1)'!$A:$M,12,FALSE)</f>
        <v>GBP</v>
      </c>
      <c r="M39" t="str">
        <f>VLOOKUP($A39,'ecommerce-order (1)'!$A:$M,13,FALSE)</f>
        <v>refunded</v>
      </c>
      <c r="N39" t="str">
        <f>IF(ISNA(VLOOKUP(A39,'ecommerce-order (1)'!A:A,1,FALSE)),"KEEEP","REMOVE")</f>
        <v>REMOVE</v>
      </c>
    </row>
    <row r="40" spans="1:14" x14ac:dyDescent="0.3">
      <c r="A40" t="s">
        <v>158</v>
      </c>
      <c r="B40" t="str">
        <f>VLOOKUP(A40,'ecommerce-order (1)'!$A:$M,2,FALSE)</f>
        <v>02/14/2026</v>
      </c>
      <c r="C40" t="str">
        <f>VLOOKUP($A40,'ecommerce-order (1)'!$A:$M,3,FALSE)</f>
        <v>customer0706@example.com</v>
      </c>
      <c r="D40" t="str">
        <f>VLOOKUP($A40,'ecommerce-order (1)'!$A:$M,4,FALSE)</f>
        <v>gb</v>
      </c>
      <c r="E40" t="str">
        <f>VLOOKUP($A40,'ecommerce-order (1)'!$A:$M,5,FALSE)</f>
        <v>paid_search</v>
      </c>
      <c r="F40" t="str">
        <f>VLOOKUP($A40,'ecommerce-order (1)'!$A:$M,6,FALSE)</f>
        <v>FR-1120</v>
      </c>
      <c r="G40" t="str">
        <f>VLOOKUP($A40,'ecommerce-order (1)'!$A:$M,7,FALSE)</f>
        <v>Fell Runner Cap</v>
      </c>
      <c r="H40">
        <f>VLOOKUP($A40,'ecommerce-order (1)'!$A:$M,8,FALSE)</f>
        <v>1</v>
      </c>
      <c r="I40">
        <f>VLOOKUP($A40,'ecommerce-order (1)'!$A:$M,9,FALSE)</f>
        <v>80.099999999999994</v>
      </c>
      <c r="J40">
        <f>VLOOKUP($A40,'ecommerce-order (1)'!$A:$M,10,FALSE)</f>
        <v>80.099999999999994</v>
      </c>
      <c r="K40">
        <f>VLOOKUP($A40,'ecommerce-order (1)'!$A:$M,11,FALSE)</f>
        <v>85</v>
      </c>
      <c r="L40" t="str">
        <f>VLOOKUP($A40,'ecommerce-order (1)'!$A:$M,12,FALSE)</f>
        <v>GBP</v>
      </c>
      <c r="M40" t="str">
        <f>VLOOKUP($A40,'ecommerce-order (1)'!$A:$M,13,FALSE)</f>
        <v>completed</v>
      </c>
      <c r="N40" t="str">
        <f>IF(ISNA(VLOOKUP(A40,'ecommerce-order (1)'!A:A,1,FALSE)),"KEEEP","REMOVE")</f>
        <v>REMOVE</v>
      </c>
    </row>
    <row r="41" spans="1:14" x14ac:dyDescent="0.3">
      <c r="A41" t="s">
        <v>161</v>
      </c>
      <c r="B41" t="str">
        <f>VLOOKUP(A41,'ecommerce-order (1)'!$A:$M,2,FALSE)</f>
        <v>06/20/2026</v>
      </c>
      <c r="C41" t="str">
        <f>VLOOKUP($A41,'ecommerce-order (1)'!$A:$M,3,FALSE)</f>
        <v>customer0951@example.com</v>
      </c>
      <c r="D41" t="str">
        <f>VLOOKUP($A41,'ecommerce-order (1)'!$A:$M,4,FALSE)</f>
        <v xml:space="preserve">uk </v>
      </c>
      <c r="E41" t="str">
        <f>VLOOKUP($A41,'ecommerce-order (1)'!$A:$M,5,FALSE)</f>
        <v>organic</v>
      </c>
      <c r="F41" t="str">
        <f>VLOOKUP($A41,'ecommerce-order (1)'!$A:$M,6,FALSE)</f>
        <v>FR-5567</v>
      </c>
      <c r="G41" t="str">
        <f>VLOOKUP($A41,'ecommerce-order (1)'!$A:$M,7,FALSE)</f>
        <v>Merino Base Layer</v>
      </c>
      <c r="H41">
        <f>VLOOKUP($A41,'ecommerce-order (1)'!$A:$M,8,FALSE)</f>
        <v>1</v>
      </c>
      <c r="I41">
        <f>VLOOKUP($A41,'ecommerce-order (1)'!$A:$M,9,FALSE)</f>
        <v>95</v>
      </c>
      <c r="J41">
        <f>VLOOKUP($A41,'ecommerce-order (1)'!$A:$M,10,FALSE)</f>
        <v>95</v>
      </c>
      <c r="K41">
        <f>VLOOKUP($A41,'ecommerce-order (1)'!$A:$M,11,FALSE)</f>
        <v>0.19</v>
      </c>
      <c r="L41" t="str">
        <f>VLOOKUP($A41,'ecommerce-order (1)'!$A:$M,12,FALSE)</f>
        <v>GBP</v>
      </c>
      <c r="M41" t="str">
        <f>VLOOKUP($A41,'ecommerce-order (1)'!$A:$M,13,FALSE)</f>
        <v>completed</v>
      </c>
      <c r="N41" t="str">
        <f>IF(ISNA(VLOOKUP(A41,'ecommerce-order (1)'!A:A,1,FALSE)),"KEEEP","REMOVE")</f>
        <v>REMOVE</v>
      </c>
    </row>
    <row r="42" spans="1:14" x14ac:dyDescent="0.3">
      <c r="A42" t="s">
        <v>164</v>
      </c>
      <c r="B42" t="str">
        <f>VLOOKUP(A42,'ecommerce-order (1)'!$A:$M,2,FALSE)</f>
        <v>20-06-2026</v>
      </c>
      <c r="C42" t="str">
        <f>VLOOKUP($A42,'ecommerce-order (1)'!$A:$M,3,FALSE)</f>
        <v>customer1318@example.com</v>
      </c>
      <c r="D42" t="str">
        <f>VLOOKUP($A42,'ecommerce-order (1)'!$A:$M,4,FALSE)</f>
        <v>gb</v>
      </c>
      <c r="E42" t="str">
        <f>VLOOKUP($A42,'ecommerce-order (1)'!$A:$M,5,FALSE)</f>
        <v>organic</v>
      </c>
      <c r="F42" t="str">
        <f>VLOOKUP($A42,'ecommerce-order (1)'!$A:$M,6,FALSE)</f>
        <v>FR-7781</v>
      </c>
      <c r="G42" t="str">
        <f>VLOOKUP($A42,'ecommerce-order (1)'!$A:$M,7,FALSE)</f>
        <v>Storm Overtrousers</v>
      </c>
      <c r="H42">
        <f>VLOOKUP($A42,'ecommerce-order (1)'!$A:$M,8,FALSE)</f>
        <v>3</v>
      </c>
      <c r="I42">
        <f>VLOOKUP($A42,'ecommerce-order (1)'!$A:$M,9,FALSE)</f>
        <v>11.25</v>
      </c>
      <c r="J42">
        <f>VLOOKUP($A42,'ecommerce-order (1)'!$A:$M,10,FALSE)</f>
        <v>33.75</v>
      </c>
      <c r="K42">
        <f>VLOOKUP($A42,'ecommerce-order (1)'!$A:$M,11,FALSE)</f>
        <v>0.41</v>
      </c>
      <c r="L42" t="str">
        <f>VLOOKUP($A42,'ecommerce-order (1)'!$A:$M,12,FALSE)</f>
        <v>GBP</v>
      </c>
      <c r="M42" t="str">
        <f>VLOOKUP($A42,'ecommerce-order (1)'!$A:$M,13,FALSE)</f>
        <v>completed</v>
      </c>
      <c r="N42" t="str">
        <f>IF(ISNA(VLOOKUP(A42,'ecommerce-order (1)'!A:A,1,FALSE)),"KEEEP","REMOVE")</f>
        <v>REMOVE</v>
      </c>
    </row>
    <row r="43" spans="1:14" x14ac:dyDescent="0.3">
      <c r="A43" t="s">
        <v>167</v>
      </c>
      <c r="B43" t="str">
        <f>VLOOKUP(A43,'ecommerce-order (1)'!$A:$M,2,FALSE)</f>
        <v>27-05-2026</v>
      </c>
      <c r="C43" t="str">
        <f>VLOOKUP($A43,'ecommerce-order (1)'!$A:$M,3,FALSE)</f>
        <v>customer0109@example.com</v>
      </c>
      <c r="D43" t="str">
        <f>VLOOKUP($A43,'ecommerce-order (1)'!$A:$M,4,FALSE)</f>
        <v xml:space="preserve"> UK</v>
      </c>
      <c r="E43" t="str">
        <f>VLOOKUP($A43,'ecommerce-order (1)'!$A:$M,5,FALSE)</f>
        <v>social</v>
      </c>
      <c r="F43" t="str">
        <f>VLOOKUP($A43,'ecommerce-order (1)'!$A:$M,6,FALSE)</f>
        <v>FR-4471</v>
      </c>
      <c r="G43" t="str">
        <f>VLOOKUP($A43,'ecommerce-order (1)'!$A:$M,7,FALSE)</f>
        <v>Alpine Jacket</v>
      </c>
      <c r="H43">
        <f>VLOOKUP($A43,'ecommerce-order (1)'!$A:$M,8,FALSE)</f>
        <v>2</v>
      </c>
      <c r="I43">
        <f>VLOOKUP($A43,'ecommerce-order (1)'!$A:$M,9,FALSE)</f>
        <v>21.6</v>
      </c>
      <c r="J43">
        <f>VLOOKUP($A43,'ecommerce-order (1)'!$A:$M,10,FALSE)</f>
        <v>43.2</v>
      </c>
      <c r="K43">
        <f>VLOOKUP($A43,'ecommerce-order (1)'!$A:$M,11,FALSE)</f>
        <v>0.64</v>
      </c>
      <c r="L43" t="str">
        <f>VLOOKUP($A43,'ecommerce-order (1)'!$A:$M,12,FALSE)</f>
        <v>EUR</v>
      </c>
      <c r="M43" t="str">
        <f>VLOOKUP($A43,'ecommerce-order (1)'!$A:$M,13,FALSE)</f>
        <v>refunded</v>
      </c>
      <c r="N43" t="str">
        <f>IF(ISNA(VLOOKUP(A43,'ecommerce-order (1)'!A:A,1,FALSE)),"KEEEP","REMOVE")</f>
        <v>REMOVE</v>
      </c>
    </row>
    <row r="44" spans="1:14" x14ac:dyDescent="0.3">
      <c r="A44" t="s">
        <v>170</v>
      </c>
      <c r="B44" t="str">
        <f>VLOOKUP(A44,'ecommerce-order (1)'!$A:$M,2,FALSE)</f>
        <v>03-02-2026</v>
      </c>
      <c r="C44" t="str">
        <f>VLOOKUP($A44,'ecommerce-order (1)'!$A:$M,3,FALSE)</f>
        <v>customer0701@example.com</v>
      </c>
      <c r="D44" t="str">
        <f>VLOOKUP($A44,'ecommerce-order (1)'!$A:$M,4,FALSE)</f>
        <v>United Kingdom</v>
      </c>
      <c r="E44" t="str">
        <f>VLOOKUP($A44,'ecommerce-order (1)'!$A:$M,5,FALSE)</f>
        <v>email</v>
      </c>
      <c r="F44" t="str">
        <f>VLOOKUP($A44,'ecommerce-order (1)'!$A:$M,6,FALSE)</f>
        <v>FR-8890</v>
      </c>
      <c r="G44" t="str">
        <f>VLOOKUP($A44,'ecommerce-order (1)'!$A:$M,7,FALSE)</f>
        <v>Summit Down Gilet</v>
      </c>
      <c r="H44">
        <f>VLOOKUP($A44,'ecommerce-order (1)'!$A:$M,8,FALSE)</f>
        <v>2</v>
      </c>
      <c r="I44">
        <f>VLOOKUP($A44,'ecommerce-order (1)'!$A:$M,9,FALSE)</f>
        <v>89</v>
      </c>
      <c r="J44">
        <f>VLOOKUP($A44,'ecommerce-order (1)'!$A:$M,10,FALSE)</f>
        <v>178</v>
      </c>
      <c r="K44">
        <f>VLOOKUP($A44,'ecommerce-order (1)'!$A:$M,11,FALSE)</f>
        <v>380</v>
      </c>
      <c r="L44" t="str">
        <f>VLOOKUP($A44,'ecommerce-order (1)'!$A:$M,12,FALSE)</f>
        <v>GBP</v>
      </c>
      <c r="M44" t="str">
        <f>VLOOKUP($A44,'ecommerce-order (1)'!$A:$M,13,FALSE)</f>
        <v>completed</v>
      </c>
      <c r="N44" t="str">
        <f>IF(ISNA(VLOOKUP(A44,'ecommerce-order (1)'!A:A,1,FALSE)),"KEEEP","REMOVE")</f>
        <v>REMOVE</v>
      </c>
    </row>
    <row r="45" spans="1:14" x14ac:dyDescent="0.3">
      <c r="A45" t="s">
        <v>173</v>
      </c>
      <c r="B45" t="str">
        <f>VLOOKUP(A45,'ecommerce-order (1)'!$A:$M,2,FALSE)</f>
        <v>19-01-2026</v>
      </c>
      <c r="C45" t="str">
        <f>VLOOKUP($A45,'ecommerce-order (1)'!$A:$M,3,FALSE)</f>
        <v>customer0725@example.com</v>
      </c>
      <c r="D45" t="str">
        <f>VLOOKUP($A45,'ecommerce-order (1)'!$A:$M,4,FALSE)</f>
        <v xml:space="preserve"> UK</v>
      </c>
      <c r="E45" t="str">
        <f>VLOOKUP($A45,'ecommerce-order (1)'!$A:$M,5,FALSE)</f>
        <v>email</v>
      </c>
      <c r="F45" t="str">
        <f>VLOOKUP($A45,'ecommerce-order (1)'!$A:$M,6,FALSE)</f>
        <v>FR-3345</v>
      </c>
      <c r="G45" t="str">
        <f>VLOOKUP($A45,'ecommerce-order (1)'!$A:$M,7,FALSE)</f>
        <v>CafÃ© Latte Mug</v>
      </c>
      <c r="H45">
        <f>VLOOKUP($A45,'ecommerce-order (1)'!$A:$M,8,FALSE)</f>
        <v>1</v>
      </c>
      <c r="I45">
        <f>VLOOKUP($A45,'ecommerce-order (1)'!$A:$M,9,FALSE)</f>
        <v>0</v>
      </c>
      <c r="J45">
        <f>VLOOKUP($A45,'ecommerce-order (1)'!$A:$M,10,FALSE)</f>
        <v>80.099999999999994</v>
      </c>
      <c r="K45">
        <f>VLOOKUP($A45,'ecommerce-order (1)'!$A:$M,11,FALSE)</f>
        <v>340</v>
      </c>
      <c r="L45" t="str">
        <f>VLOOKUP($A45,'ecommerce-order (1)'!$A:$M,12,FALSE)</f>
        <v>GBP</v>
      </c>
      <c r="M45" t="str">
        <f>VLOOKUP($A45,'ecommerce-order (1)'!$A:$M,13,FALSE)</f>
        <v>completed</v>
      </c>
      <c r="N45" t="str">
        <f>IF(ISNA(VLOOKUP(A45,'ecommerce-order (1)'!A:A,1,FALSE)),"KEEEP","REMOVE")</f>
        <v>REMOVE</v>
      </c>
    </row>
    <row r="46" spans="1:14" x14ac:dyDescent="0.3">
      <c r="A46" t="s">
        <v>176</v>
      </c>
      <c r="B46" t="str">
        <f>VLOOKUP(A46,'ecommerce-order (1)'!$A:$M,2,FALSE)</f>
        <v>06/24/2026</v>
      </c>
      <c r="C46" t="str">
        <f>VLOOKUP($A46,'ecommerce-order (1)'!$A:$M,3,FALSE)</f>
        <v>customer0599@example.com</v>
      </c>
      <c r="D46" t="str">
        <f>VLOOKUP($A46,'ecommerce-order (1)'!$A:$M,4,FALSE)</f>
        <v>UK</v>
      </c>
      <c r="E46" t="str">
        <f>VLOOKUP($A46,'ecommerce-order (1)'!$A:$M,5,FALSE)</f>
        <v>direct</v>
      </c>
      <c r="F46" t="str">
        <f>VLOOKUP($A46,'ecommerce-order (1)'!$A:$M,6,FALSE)</f>
        <v>FR-3345</v>
      </c>
      <c r="G46" t="str">
        <f>VLOOKUP($A46,'ecommerce-order (1)'!$A:$M,7,FALSE)</f>
        <v>CafÃ© Latte Mug</v>
      </c>
      <c r="H46">
        <f>VLOOKUP($A46,'ecommerce-order (1)'!$A:$M,8,FALSE)</f>
        <v>3</v>
      </c>
      <c r="I46">
        <f>VLOOKUP($A46,'ecommerce-order (1)'!$A:$M,9,FALSE)</f>
        <v>129</v>
      </c>
      <c r="J46">
        <f>VLOOKUP($A46,'ecommerce-order (1)'!$A:$M,10,FALSE)</f>
        <v>387</v>
      </c>
      <c r="K46">
        <f>VLOOKUP($A46,'ecommerce-order (1)'!$A:$M,11,FALSE)</f>
        <v>0.34</v>
      </c>
      <c r="L46" t="str">
        <f>VLOOKUP($A46,'ecommerce-order (1)'!$A:$M,12,FALSE)</f>
        <v>GBP</v>
      </c>
      <c r="M46" t="str">
        <f>VLOOKUP($A46,'ecommerce-order (1)'!$A:$M,13,FALSE)</f>
        <v>completed</v>
      </c>
      <c r="N46" t="str">
        <f>IF(ISNA(VLOOKUP(A46,'ecommerce-order (1)'!A:A,1,FALSE)),"KEEEP","REMOVE")</f>
        <v>REMOVE</v>
      </c>
    </row>
    <row r="47" spans="1:14" x14ac:dyDescent="0.3">
      <c r="A47" t="s">
        <v>179</v>
      </c>
      <c r="B47" t="str">
        <f>VLOOKUP(A47,'ecommerce-order (1)'!$A:$M,2,FALSE)</f>
        <v>21-05-2026</v>
      </c>
      <c r="C47" t="str">
        <f>VLOOKUP($A47,'ecommerce-order (1)'!$A:$M,3,FALSE)</f>
        <v>customer0480@example.com</v>
      </c>
      <c r="D47" t="str">
        <f>VLOOKUP($A47,'ecommerce-order (1)'!$A:$M,4,FALSE)</f>
        <v>ireland</v>
      </c>
      <c r="E47" t="str">
        <f>VLOOKUP($A47,'ecommerce-order (1)'!$A:$M,5,FALSE)</f>
        <v>paid_search</v>
      </c>
      <c r="F47" t="str">
        <f>VLOOKUP($A47,'ecommerce-order (1)'!$A:$M,6,FALSE)</f>
        <v>FR-7781</v>
      </c>
      <c r="G47" t="str">
        <f>VLOOKUP($A47,'ecommerce-order (1)'!$A:$M,7,FALSE)</f>
        <v>Storm Overtrousers</v>
      </c>
      <c r="H47">
        <f>VLOOKUP($A47,'ecommerce-order (1)'!$A:$M,8,FALSE)</f>
        <v>2</v>
      </c>
      <c r="I47">
        <f>VLOOKUP($A47,'ecommerce-order (1)'!$A:$M,9,FALSE)</f>
        <v>129</v>
      </c>
      <c r="J47">
        <f>VLOOKUP($A47,'ecommerce-order (1)'!$A:$M,10,FALSE)</f>
        <v>258</v>
      </c>
      <c r="K47">
        <f>VLOOKUP($A47,'ecommerce-order (1)'!$A:$M,11,FALSE)</f>
        <v>0.41</v>
      </c>
      <c r="L47" t="str">
        <f>VLOOKUP($A47,'ecommerce-order (1)'!$A:$M,12,FALSE)</f>
        <v>GBP</v>
      </c>
      <c r="M47" t="str">
        <f>VLOOKUP($A47,'ecommerce-order (1)'!$A:$M,13,FALSE)</f>
        <v>completed</v>
      </c>
      <c r="N47" t="str">
        <f>IF(ISNA(VLOOKUP(A47,'ecommerce-order (1)'!A:A,1,FALSE)),"KEEEP","REMOVE")</f>
        <v>REMOVE</v>
      </c>
    </row>
    <row r="48" spans="1:14" x14ac:dyDescent="0.3">
      <c r="A48" t="s">
        <v>182</v>
      </c>
      <c r="B48" t="str">
        <f>VLOOKUP(A48,'ecommerce-order (1)'!$A:$M,2,FALSE)</f>
        <v>24-03-2026</v>
      </c>
      <c r="C48" t="str">
        <f>VLOOKUP($A48,'ecommerce-order (1)'!$A:$M,3,FALSE)</f>
        <v>customer1378@example.com</v>
      </c>
      <c r="D48" t="str">
        <f>VLOOKUP($A48,'ecommerce-order (1)'!$A:$M,4,FALSE)</f>
        <v>UK</v>
      </c>
      <c r="E48" t="str">
        <f>VLOOKUP($A48,'ecommerce-order (1)'!$A:$M,5,FALSE)</f>
        <v>direct</v>
      </c>
      <c r="F48" t="str">
        <f>VLOOKUP($A48,'ecommerce-order (1)'!$A:$M,6,FALSE)</f>
        <v>FR-4471</v>
      </c>
      <c r="G48" t="str">
        <f>VLOOKUP($A48,'ecommerce-order (1)'!$A:$M,7,FALSE)</f>
        <v>Alpine Jacket</v>
      </c>
      <c r="H48">
        <f>VLOOKUP($A48,'ecommerce-order (1)'!$A:$M,8,FALSE)</f>
        <v>2</v>
      </c>
      <c r="I48">
        <f>VLOOKUP($A48,'ecommerce-order (1)'!$A:$M,9,FALSE)</f>
        <v>0</v>
      </c>
      <c r="J48">
        <f>VLOOKUP($A48,'ecommerce-order (1)'!$A:$M,10,FALSE)</f>
        <v>171</v>
      </c>
      <c r="K48">
        <f>VLOOKUP($A48,'ecommerce-order (1)'!$A:$M,11,FALSE)</f>
        <v>640</v>
      </c>
      <c r="L48" t="str">
        <f>VLOOKUP($A48,'ecommerce-order (1)'!$A:$M,12,FALSE)</f>
        <v>GBP</v>
      </c>
      <c r="M48" t="str">
        <f>VLOOKUP($A48,'ecommerce-order (1)'!$A:$M,13,FALSE)</f>
        <v>refunded</v>
      </c>
      <c r="N48" t="str">
        <f>IF(ISNA(VLOOKUP(A48,'ecommerce-order (1)'!A:A,1,FALSE)),"KEEEP","REMOVE")</f>
        <v>REMOVE</v>
      </c>
    </row>
    <row r="49" spans="1:14" x14ac:dyDescent="0.3">
      <c r="A49" t="s">
        <v>185</v>
      </c>
      <c r="B49" t="str">
        <f>VLOOKUP(A49,'ecommerce-order (1)'!$A:$M,2,FALSE)</f>
        <v>20-03-2026</v>
      </c>
      <c r="C49" t="str">
        <f>VLOOKUP($A49,'ecommerce-order (1)'!$A:$M,3,FALSE)</f>
        <v>customer0415@example.com</v>
      </c>
      <c r="D49" t="str">
        <f>VLOOKUP($A49,'ecommerce-order (1)'!$A:$M,4,FALSE)</f>
        <v>ireland</v>
      </c>
      <c r="E49" t="str">
        <f>VLOOKUP($A49,'ecommerce-order (1)'!$A:$M,5,FALSE)</f>
        <v>paid_search</v>
      </c>
      <c r="F49" t="str">
        <f>VLOOKUP($A49,'ecommerce-order (1)'!$A:$M,6,FALSE)</f>
        <v>FR-7781</v>
      </c>
      <c r="G49" t="str">
        <f>VLOOKUP($A49,'ecommerce-order (1)'!$A:$M,7,FALSE)</f>
        <v>Storm Overtrousers</v>
      </c>
      <c r="H49">
        <f>VLOOKUP($A49,'ecommerce-order (1)'!$A:$M,8,FALSE)</f>
        <v>1</v>
      </c>
      <c r="I49">
        <f>VLOOKUP($A49,'ecommerce-order (1)'!$A:$M,9,FALSE)</f>
        <v>89</v>
      </c>
      <c r="J49">
        <f>VLOOKUP($A49,'ecommerce-order (1)'!$A:$M,10,FALSE)</f>
        <v>89</v>
      </c>
      <c r="K49">
        <f>VLOOKUP($A49,'ecommerce-order (1)'!$A:$M,11,FALSE)</f>
        <v>410</v>
      </c>
      <c r="L49" t="str">
        <f>VLOOKUP($A49,'ecommerce-order (1)'!$A:$M,12,FALSE)</f>
        <v>GBP</v>
      </c>
      <c r="M49" t="str">
        <f>VLOOKUP($A49,'ecommerce-order (1)'!$A:$M,13,FALSE)</f>
        <v>completed</v>
      </c>
      <c r="N49" t="str">
        <f>IF(ISNA(VLOOKUP(A49,'ecommerce-order (1)'!A:A,1,FALSE)),"KEEEP","REMOVE")</f>
        <v>REMOVE</v>
      </c>
    </row>
    <row r="50" spans="1:14" x14ac:dyDescent="0.3">
      <c r="A50" t="s">
        <v>188</v>
      </c>
      <c r="B50" t="str">
        <f>VLOOKUP(A50,'ecommerce-order (1)'!$A:$M,2,FALSE)</f>
        <v>14-01-2026</v>
      </c>
      <c r="C50" t="str">
        <f>VLOOKUP($A50,'ecommerce-order (1)'!$A:$M,3,FALSE)</f>
        <v>customer0210@example.com</v>
      </c>
      <c r="D50" t="str">
        <f>VLOOKUP($A50,'ecommerce-order (1)'!$A:$M,4,FALSE)</f>
        <v>Germany</v>
      </c>
      <c r="E50" t="str">
        <f>VLOOKUP($A50,'ecommerce-order (1)'!$A:$M,5,FALSE)</f>
        <v>email</v>
      </c>
      <c r="F50" t="str">
        <f>VLOOKUP($A50,'ecommerce-order (1)'!$A:$M,6,FALSE)</f>
        <v>FR-3345</v>
      </c>
      <c r="G50" t="str">
        <f>VLOOKUP($A50,'ecommerce-order (1)'!$A:$M,7,FALSE)</f>
        <v>CafÃ© Latte Mug</v>
      </c>
      <c r="H50">
        <f>VLOOKUP($A50,'ecommerce-order (1)'!$A:$M,8,FALSE)</f>
        <v>1</v>
      </c>
      <c r="I50">
        <f>VLOOKUP($A50,'ecommerce-order (1)'!$A:$M,9,FALSE)</f>
        <v>95</v>
      </c>
      <c r="J50">
        <f>VLOOKUP($A50,'ecommerce-order (1)'!$A:$M,10,FALSE)</f>
        <v>95</v>
      </c>
      <c r="K50">
        <f>VLOOKUP($A50,'ecommerce-order (1)'!$A:$M,11,FALSE)</f>
        <v>340</v>
      </c>
      <c r="L50" t="str">
        <f>VLOOKUP($A50,'ecommerce-order (1)'!$A:$M,12,FALSE)</f>
        <v>EUR</v>
      </c>
      <c r="M50" t="str">
        <f>VLOOKUP($A50,'ecommerce-order (1)'!$A:$M,13,FALSE)</f>
        <v>completed</v>
      </c>
      <c r="N50" t="str">
        <f>IF(ISNA(VLOOKUP(A50,'ecommerce-order (1)'!A:A,1,FALSE)),"KEEEP","REMOVE")</f>
        <v>REMOVE</v>
      </c>
    </row>
    <row r="51" spans="1:14" x14ac:dyDescent="0.3">
      <c r="A51" t="s">
        <v>191</v>
      </c>
      <c r="B51" t="str">
        <f>VLOOKUP(A51,'ecommerce-order (1)'!$A:$M,2,FALSE)</f>
        <v>15-01-2026</v>
      </c>
      <c r="C51" t="str">
        <f>VLOOKUP($A51,'ecommerce-order (1)'!$A:$M,3,FALSE)</f>
        <v>customer1184@example.com</v>
      </c>
      <c r="D51" t="str">
        <f>VLOOKUP($A51,'ecommerce-order (1)'!$A:$M,4,FALSE)</f>
        <v>ireland</v>
      </c>
      <c r="E51" t="str">
        <f>VLOOKUP($A51,'ecommerce-order (1)'!$A:$M,5,FALSE)</f>
        <v>direct</v>
      </c>
      <c r="F51" t="str">
        <f>VLOOKUP($A51,'ecommerce-order (1)'!$A:$M,6,FALSE)</f>
        <v>FR-3345</v>
      </c>
      <c r="G51" t="str">
        <f>VLOOKUP($A51,'ecommerce-order (1)'!$A:$M,7,FALSE)</f>
        <v>CafÃ© Latte Mug</v>
      </c>
      <c r="H51">
        <f>VLOOKUP($A51,'ecommerce-order (1)'!$A:$M,8,FALSE)</f>
        <v>2</v>
      </c>
      <c r="I51">
        <f>VLOOKUP($A51,'ecommerce-order (1)'!$A:$M,9,FALSE)</f>
        <v>89</v>
      </c>
      <c r="J51">
        <f>VLOOKUP($A51,'ecommerce-order (1)'!$A:$M,10,FALSE)</f>
        <v>178</v>
      </c>
      <c r="K51">
        <f>VLOOKUP($A51,'ecommerce-order (1)'!$A:$M,11,FALSE)</f>
        <v>340</v>
      </c>
      <c r="L51" t="str">
        <f>VLOOKUP($A51,'ecommerce-order (1)'!$A:$M,12,FALSE)</f>
        <v>GBP</v>
      </c>
      <c r="M51" t="str">
        <f>VLOOKUP($A51,'ecommerce-order (1)'!$A:$M,13,FALSE)</f>
        <v>completed</v>
      </c>
      <c r="N51" t="str">
        <f>IF(ISNA(VLOOKUP(A51,'ecommerce-order (1)'!A:A,1,FALSE)),"KEEEP","REMOVE")</f>
        <v>REMOVE</v>
      </c>
    </row>
    <row r="52" spans="1:14" x14ac:dyDescent="0.3">
      <c r="A52" t="s">
        <v>194</v>
      </c>
      <c r="B52" t="str">
        <f>VLOOKUP(A52,'ecommerce-order (1)'!$A:$M,2,FALSE)</f>
        <v>13-05-2026</v>
      </c>
      <c r="C52" t="str">
        <f>VLOOKUP($A52,'ecommerce-order (1)'!$A:$M,3,FALSE)</f>
        <v>customer0735@example.com</v>
      </c>
      <c r="D52" t="str">
        <f>VLOOKUP($A52,'ecommerce-order (1)'!$A:$M,4,FALSE)</f>
        <v>United Kingdom</v>
      </c>
      <c r="E52" t="str">
        <f>VLOOKUP($A52,'ecommerce-order (1)'!$A:$M,5,FALSE)</f>
        <v>organic</v>
      </c>
      <c r="F52" t="str">
        <f>VLOOKUP($A52,'ecommerce-order (1)'!$A:$M,6,FALSE)</f>
        <v>FR-5567</v>
      </c>
      <c r="G52" t="str">
        <f>VLOOKUP($A52,'ecommerce-order (1)'!$A:$M,7,FALSE)</f>
        <v>Merino Base Layer</v>
      </c>
      <c r="H52">
        <f>VLOOKUP($A52,'ecommerce-order (1)'!$A:$M,8,FALSE)</f>
        <v>-1</v>
      </c>
      <c r="I52">
        <f>VLOOKUP($A52,'ecommerce-order (1)'!$A:$M,9,FALSE)</f>
        <v>149</v>
      </c>
      <c r="J52">
        <f>VLOOKUP($A52,'ecommerce-order (1)'!$A:$M,10,FALSE)</f>
        <v>-149</v>
      </c>
      <c r="K52">
        <f>VLOOKUP($A52,'ecommerce-order (1)'!$A:$M,11,FALSE)</f>
        <v>0.19</v>
      </c>
      <c r="L52" t="str">
        <f>VLOOKUP($A52,'ecommerce-order (1)'!$A:$M,12,FALSE)</f>
        <v>GBP</v>
      </c>
      <c r="M52" t="str">
        <f>VLOOKUP($A52,'ecommerce-order (1)'!$A:$M,13,FALSE)</f>
        <v>completed</v>
      </c>
      <c r="N52" t="str">
        <f>IF(ISNA(VLOOKUP(A52,'ecommerce-order (1)'!A:A,1,FALSE)),"KEEEP","REMOVE")</f>
        <v>REMOVE</v>
      </c>
    </row>
    <row r="53" spans="1:14" x14ac:dyDescent="0.3">
      <c r="A53" t="s">
        <v>197</v>
      </c>
      <c r="B53" t="str">
        <f>VLOOKUP(A53,'ecommerce-order (1)'!$A:$M,2,FALSE)</f>
        <v>19-06-2026</v>
      </c>
      <c r="C53" t="str">
        <f>VLOOKUP($A53,'ecommerce-order (1)'!$A:$M,3,FALSE)</f>
        <v>customer1072@example.com</v>
      </c>
      <c r="D53" t="str">
        <f>VLOOKUP($A53,'ecommerce-order (1)'!$A:$M,4,FALSE)</f>
        <v>Ireland</v>
      </c>
      <c r="E53" t="str">
        <f>VLOOKUP($A53,'ecommerce-order (1)'!$A:$M,5,FALSE)</f>
        <v>social</v>
      </c>
      <c r="F53" t="str">
        <f>VLOOKUP($A53,'ecommerce-order (1)'!$A:$M,6,FALSE)</f>
        <v>FR-1120</v>
      </c>
      <c r="G53" t="str">
        <f>VLOOKUP($A53,'ecommerce-order (1)'!$A:$M,7,FALSE)</f>
        <v>Fell Runner Cap</v>
      </c>
      <c r="H53">
        <f>VLOOKUP($A53,'ecommerce-order (1)'!$A:$M,8,FALSE)</f>
        <v>3</v>
      </c>
      <c r="I53">
        <f>VLOOKUP($A53,'ecommerce-order (1)'!$A:$M,9,FALSE)</f>
        <v>24</v>
      </c>
      <c r="J53">
        <f>VLOOKUP($A53,'ecommerce-order (1)'!$A:$M,10,FALSE)</f>
        <v>72</v>
      </c>
      <c r="K53">
        <f>VLOOKUP($A53,'ecommerce-order (1)'!$A:$M,11,FALSE)</f>
        <v>8.5000000000000006E-2</v>
      </c>
      <c r="L53" t="str">
        <f>VLOOKUP($A53,'ecommerce-order (1)'!$A:$M,12,FALSE)</f>
        <v>GBP</v>
      </c>
      <c r="M53" t="str">
        <f>VLOOKUP($A53,'ecommerce-order (1)'!$A:$M,13,FALSE)</f>
        <v>completed</v>
      </c>
      <c r="N53" t="str">
        <f>IF(ISNA(VLOOKUP(A53,'ecommerce-order (1)'!A:A,1,FALSE)),"KEEEP","REMOVE")</f>
        <v>REMOVE</v>
      </c>
    </row>
    <row r="54" spans="1:14" x14ac:dyDescent="0.3">
      <c r="A54" t="s">
        <v>199</v>
      </c>
      <c r="B54" t="str">
        <f>VLOOKUP(A54,'ecommerce-order (1)'!$A:$M,2,FALSE)</f>
        <v>11-05-2026</v>
      </c>
      <c r="C54" t="str">
        <f>VLOOKUP($A54,'ecommerce-order (1)'!$A:$M,3,FALSE)</f>
        <v>customer0814@example.com</v>
      </c>
      <c r="D54" t="str">
        <f>VLOOKUP($A54,'ecommerce-order (1)'!$A:$M,4,FALSE)</f>
        <v>UK</v>
      </c>
      <c r="E54" t="str">
        <f>VLOOKUP($A54,'ecommerce-order (1)'!$A:$M,5,FALSE)</f>
        <v>email</v>
      </c>
      <c r="F54" t="str">
        <f>VLOOKUP($A54,'ecommerce-order (1)'!$A:$M,6,FALSE)</f>
        <v>FR-3345</v>
      </c>
      <c r="G54" t="str">
        <f>VLOOKUP($A54,'ecommerce-order (1)'!$A:$M,7,FALSE)</f>
        <v>CafÃ© Latte Mug</v>
      </c>
      <c r="H54">
        <f>VLOOKUP($A54,'ecommerce-order (1)'!$A:$M,8,FALSE)</f>
        <v>2</v>
      </c>
      <c r="I54">
        <f>VLOOKUP($A54,'ecommerce-order (1)'!$A:$M,9,FALSE)</f>
        <v>85.5</v>
      </c>
      <c r="J54">
        <f>VLOOKUP($A54,'ecommerce-order (1)'!$A:$M,10,FALSE)</f>
        <v>171</v>
      </c>
      <c r="K54">
        <f>VLOOKUP($A54,'ecommerce-order (1)'!$A:$M,11,FALSE)</f>
        <v>0.34</v>
      </c>
      <c r="L54" t="str">
        <f>VLOOKUP($A54,'ecommerce-order (1)'!$A:$M,12,FALSE)</f>
        <v>EUR</v>
      </c>
      <c r="M54" t="str">
        <f>VLOOKUP($A54,'ecommerce-order (1)'!$A:$M,13,FALSE)</f>
        <v>completed</v>
      </c>
      <c r="N54" t="str">
        <f>IF(ISNA(VLOOKUP(A54,'ecommerce-order (1)'!A:A,1,FALSE)),"KEEEP","REMOVE")</f>
        <v>REMOVE</v>
      </c>
    </row>
    <row r="55" spans="1:14" x14ac:dyDescent="0.3">
      <c r="A55" t="s">
        <v>201</v>
      </c>
      <c r="B55" t="str">
        <f>VLOOKUP(A55,'ecommerce-order (1)'!$A:$M,2,FALSE)</f>
        <v>26-05-2026</v>
      </c>
      <c r="C55" t="str">
        <f>VLOOKUP($A55,'ecommerce-order (1)'!$A:$M,3,FALSE)</f>
        <v>customer0368@example.com</v>
      </c>
      <c r="D55" t="str">
        <f>VLOOKUP($A55,'ecommerce-order (1)'!$A:$M,4,FALSE)</f>
        <v>UK</v>
      </c>
      <c r="E55" t="str">
        <f>VLOOKUP($A55,'ecommerce-order (1)'!$A:$M,5,FALSE)</f>
        <v>organic</v>
      </c>
      <c r="F55" t="str">
        <f>VLOOKUP($A55,'ecommerce-order (1)'!$A:$M,6,FALSE)</f>
        <v>FR-7781</v>
      </c>
      <c r="G55" t="str">
        <f>VLOOKUP($A55,'ecommerce-order (1)'!$A:$M,7,FALSE)</f>
        <v>Storm Overtrousers</v>
      </c>
      <c r="H55">
        <f>VLOOKUP($A55,'ecommerce-order (1)'!$A:$M,8,FALSE)</f>
        <v>3</v>
      </c>
      <c r="I55">
        <f>VLOOKUP($A55,'ecommerce-order (1)'!$A:$M,9,FALSE)</f>
        <v>24</v>
      </c>
      <c r="J55">
        <f>VLOOKUP($A55,'ecommerce-order (1)'!$A:$M,10,FALSE)</f>
        <v>72</v>
      </c>
      <c r="K55">
        <f>VLOOKUP($A55,'ecommerce-order (1)'!$A:$M,11,FALSE)</f>
        <v>0.41</v>
      </c>
      <c r="L55" t="str">
        <f>VLOOKUP($A55,'ecommerce-order (1)'!$A:$M,12,FALSE)</f>
        <v>GBP</v>
      </c>
      <c r="M55" t="str">
        <f>VLOOKUP($A55,'ecommerce-order (1)'!$A:$M,13,FALSE)</f>
        <v>refunded</v>
      </c>
      <c r="N55" t="str">
        <f>IF(ISNA(VLOOKUP(A55,'ecommerce-order (1)'!A:A,1,FALSE)),"KEEEP","REMOVE")</f>
        <v>REMOVE</v>
      </c>
    </row>
    <row r="56" spans="1:14" x14ac:dyDescent="0.3">
      <c r="A56" t="s">
        <v>204</v>
      </c>
      <c r="B56" t="str">
        <f>VLOOKUP(A56,'ecommerce-order (1)'!$A:$M,2,FALSE)</f>
        <v>16-01-2026</v>
      </c>
      <c r="C56" t="str">
        <f>VLOOKUP($A56,'ecommerce-order (1)'!$A:$M,3,FALSE)</f>
        <v>customer0658@example.com</v>
      </c>
      <c r="D56" t="str">
        <f>VLOOKUP($A56,'ecommerce-order (1)'!$A:$M,4,FALSE)</f>
        <v xml:space="preserve">uk </v>
      </c>
      <c r="E56" t="str">
        <f>VLOOKUP($A56,'ecommerce-order (1)'!$A:$M,5,FALSE)</f>
        <v>direct</v>
      </c>
      <c r="F56" t="str">
        <f>VLOOKUP($A56,'ecommerce-order (1)'!$A:$M,6,FALSE)</f>
        <v>FR-8890</v>
      </c>
      <c r="G56" t="str">
        <f>VLOOKUP($A56,'ecommerce-order (1)'!$A:$M,7,FALSE)</f>
        <v>Summit Down Gilet</v>
      </c>
      <c r="H56">
        <f>VLOOKUP($A56,'ecommerce-order (1)'!$A:$M,8,FALSE)</f>
        <v>1</v>
      </c>
      <c r="I56">
        <f>VLOOKUP($A56,'ecommerce-order (1)'!$A:$M,9,FALSE)</f>
        <v>11.25</v>
      </c>
      <c r="J56">
        <f>VLOOKUP($A56,'ecommerce-order (1)'!$A:$M,10,FALSE)</f>
        <v>11.25</v>
      </c>
      <c r="K56">
        <f>VLOOKUP($A56,'ecommerce-order (1)'!$A:$M,11,FALSE)</f>
        <v>380</v>
      </c>
      <c r="L56" t="str">
        <f>VLOOKUP($A56,'ecommerce-order (1)'!$A:$M,12,FALSE)</f>
        <v>GBP</v>
      </c>
      <c r="M56" t="str">
        <f>VLOOKUP($A56,'ecommerce-order (1)'!$A:$M,13,FALSE)</f>
        <v>completed</v>
      </c>
      <c r="N56" t="str">
        <f>IF(ISNA(VLOOKUP(A56,'ecommerce-order (1)'!A:A,1,FALSE)),"KEEEP","REMOVE")</f>
        <v>REMOVE</v>
      </c>
    </row>
    <row r="57" spans="1:14" x14ac:dyDescent="0.3">
      <c r="A57" t="s">
        <v>207</v>
      </c>
      <c r="B57" t="str">
        <f>VLOOKUP(A57,'ecommerce-order (1)'!$A:$M,2,FALSE)</f>
        <v>07-04-2026</v>
      </c>
      <c r="C57" t="str">
        <f>VLOOKUP($A57,'ecommerce-order (1)'!$A:$M,3,FALSE)</f>
        <v>customer0843@example.com</v>
      </c>
      <c r="D57" t="str">
        <f>VLOOKUP($A57,'ecommerce-order (1)'!$A:$M,4,FALSE)</f>
        <v xml:space="preserve"> UK</v>
      </c>
      <c r="E57" t="str">
        <f>VLOOKUP($A57,'ecommerce-order (1)'!$A:$M,5,FALSE)</f>
        <v>paid_search</v>
      </c>
      <c r="F57" t="str">
        <f>VLOOKUP($A57,'ecommerce-order (1)'!$A:$M,6,FALSE)</f>
        <v>FR-2210</v>
      </c>
      <c r="G57" t="str">
        <f>VLOOKUP($A57,'ecommerce-order (1)'!$A:$M,7,FALSE)</f>
        <v>Trail Softshell</v>
      </c>
      <c r="H57">
        <f>VLOOKUP($A57,'ecommerce-order (1)'!$A:$M,8,FALSE)</f>
        <v>2</v>
      </c>
      <c r="I57">
        <f>VLOOKUP($A57,'ecommerce-order (1)'!$A:$M,9,FALSE)</f>
        <v>11.25</v>
      </c>
      <c r="J57">
        <f>VLOOKUP($A57,'ecommerce-order (1)'!$A:$M,10,FALSE)</f>
        <v>22.5</v>
      </c>
      <c r="K57">
        <f>VLOOKUP($A57,'ecommerce-order (1)'!$A:$M,11,FALSE)</f>
        <v>520</v>
      </c>
      <c r="L57" t="str">
        <f>VLOOKUP($A57,'ecommerce-order (1)'!$A:$M,12,FALSE)</f>
        <v>GBP</v>
      </c>
      <c r="M57" t="str">
        <f>VLOOKUP($A57,'ecommerce-order (1)'!$A:$M,13,FALSE)</f>
        <v>completed</v>
      </c>
      <c r="N57" t="str">
        <f>IF(ISNA(VLOOKUP(A57,'ecommerce-order (1)'!A:A,1,FALSE)),"KEEEP","REMOVE")</f>
        <v>REMOVE</v>
      </c>
    </row>
    <row r="58" spans="1:14" x14ac:dyDescent="0.3">
      <c r="A58" t="s">
        <v>210</v>
      </c>
      <c r="B58" t="str">
        <f>VLOOKUP(A58,'ecommerce-order (1)'!$A:$M,2,FALSE)</f>
        <v>24-04-2026</v>
      </c>
      <c r="C58" t="str">
        <f>VLOOKUP($A58,'ecommerce-order (1)'!$A:$M,3,FALSE)</f>
        <v>customer1101@example.com</v>
      </c>
      <c r="D58" t="str">
        <f>VLOOKUP($A58,'ecommerce-order (1)'!$A:$M,4,FALSE)</f>
        <v xml:space="preserve">uk </v>
      </c>
      <c r="E58" t="str">
        <f>VLOOKUP($A58,'ecommerce-order (1)'!$A:$M,5,FALSE)</f>
        <v>organic</v>
      </c>
      <c r="F58" t="str">
        <f>VLOOKUP($A58,'ecommerce-order (1)'!$A:$M,6,FALSE)</f>
        <v>FR-9902</v>
      </c>
      <c r="G58" t="str">
        <f>VLOOKUP($A58,'ecommerce-order (1)'!$A:$M,7,FALSE)</f>
        <v>Trekking Poles</v>
      </c>
      <c r="H58">
        <f>VLOOKUP($A58,'ecommerce-order (1)'!$A:$M,8,FALSE)</f>
        <v>2</v>
      </c>
      <c r="I58">
        <f>VLOOKUP($A58,'ecommerce-order (1)'!$A:$M,9,FALSE)</f>
        <v>95</v>
      </c>
      <c r="J58">
        <f>VLOOKUP($A58,'ecommerce-order (1)'!$A:$M,10,FALSE)</f>
        <v>171</v>
      </c>
      <c r="K58">
        <f>VLOOKUP($A58,'ecommerce-order (1)'!$A:$M,11,FALSE)</f>
        <v>0.52</v>
      </c>
      <c r="L58" t="str">
        <f>VLOOKUP($A58,'ecommerce-order (1)'!$A:$M,12,FALSE)</f>
        <v>GBP</v>
      </c>
      <c r="M58" t="str">
        <f>VLOOKUP($A58,'ecommerce-order (1)'!$A:$M,13,FALSE)</f>
        <v>completed</v>
      </c>
      <c r="N58" t="str">
        <f>IF(ISNA(VLOOKUP(A58,'ecommerce-order (1)'!A:A,1,FALSE)),"KEEEP","REMOVE")</f>
        <v>REMOVE</v>
      </c>
    </row>
    <row r="59" spans="1:14" x14ac:dyDescent="0.3">
      <c r="A59" t="s">
        <v>213</v>
      </c>
      <c r="B59" t="str">
        <f>VLOOKUP(A59,'ecommerce-order (1)'!$A:$M,2,FALSE)</f>
        <v>06-03-2026</v>
      </c>
      <c r="C59" t="str">
        <f>VLOOKUP($A59,'ecommerce-order (1)'!$A:$M,3,FALSE)</f>
        <v>customer1291@example.com</v>
      </c>
      <c r="D59" t="str">
        <f>VLOOKUP($A59,'ecommerce-order (1)'!$A:$M,4,FALSE)</f>
        <v>ireland</v>
      </c>
      <c r="E59" t="str">
        <f>VLOOKUP($A59,'ecommerce-order (1)'!$A:$M,5,FALSE)</f>
        <v>direct</v>
      </c>
      <c r="F59" t="str">
        <f>VLOOKUP($A59,'ecommerce-order (1)'!$A:$M,6,FALSE)</f>
        <v>FR-2210</v>
      </c>
      <c r="G59" t="str">
        <f>VLOOKUP($A59,'ecommerce-order (1)'!$A:$M,7,FALSE)</f>
        <v>Trail Softshell</v>
      </c>
      <c r="H59">
        <f>VLOOKUP($A59,'ecommerce-order (1)'!$A:$M,8,FALSE)</f>
        <v>1</v>
      </c>
      <c r="I59">
        <f>VLOOKUP($A59,'ecommerce-order (1)'!$A:$M,9,FALSE)</f>
        <v>0</v>
      </c>
      <c r="J59">
        <f>VLOOKUP($A59,'ecommerce-order (1)'!$A:$M,10,FALSE)</f>
        <v>116.1</v>
      </c>
      <c r="K59">
        <f>VLOOKUP($A59,'ecommerce-order (1)'!$A:$M,11,FALSE)</f>
        <v>520</v>
      </c>
      <c r="L59" t="str">
        <f>VLOOKUP($A59,'ecommerce-order (1)'!$A:$M,12,FALSE)</f>
        <v>EUR</v>
      </c>
      <c r="M59" t="str">
        <f>VLOOKUP($A59,'ecommerce-order (1)'!$A:$M,13,FALSE)</f>
        <v>completed</v>
      </c>
      <c r="N59" t="str">
        <f>IF(ISNA(VLOOKUP(A59,'ecommerce-order (1)'!A:A,1,FALSE)),"KEEEP","REMOVE")</f>
        <v>REMOVE</v>
      </c>
    </row>
    <row r="60" spans="1:14" x14ac:dyDescent="0.3">
      <c r="A60" t="s">
        <v>216</v>
      </c>
      <c r="B60" t="str">
        <f>VLOOKUP(A60,'ecommerce-order (1)'!$A:$M,2,FALSE)</f>
        <v>08-05-2026</v>
      </c>
      <c r="C60" t="str">
        <f>VLOOKUP($A60,'ecommerce-order (1)'!$A:$M,3,FALSE)</f>
        <v>customer0820@example.com</v>
      </c>
      <c r="D60" t="str">
        <f>VLOOKUP($A60,'ecommerce-order (1)'!$A:$M,4,FALSE)</f>
        <v>Ireland</v>
      </c>
      <c r="E60" t="str">
        <f>VLOOKUP($A60,'ecommerce-order (1)'!$A:$M,5,FALSE)</f>
        <v>direct</v>
      </c>
      <c r="F60" t="str">
        <f>VLOOKUP($A60,'ecommerce-order (1)'!$A:$M,6,FALSE)</f>
        <v>FR-4471</v>
      </c>
      <c r="G60" t="str">
        <f>VLOOKUP($A60,'ecommerce-order (1)'!$A:$M,7,FALSE)</f>
        <v>Alpine Jacket</v>
      </c>
      <c r="H60">
        <f>VLOOKUP($A60,'ecommerce-order (1)'!$A:$M,8,FALSE)</f>
        <v>2</v>
      </c>
      <c r="I60">
        <f>VLOOKUP($A60,'ecommerce-order (1)'!$A:$M,9,FALSE)</f>
        <v>40.5</v>
      </c>
      <c r="J60">
        <f>VLOOKUP($A60,'ecommerce-order (1)'!$A:$M,10,FALSE)</f>
        <v>81</v>
      </c>
      <c r="K60">
        <f>VLOOKUP($A60,'ecommerce-order (1)'!$A:$M,11,FALSE)</f>
        <v>0.64</v>
      </c>
      <c r="L60" t="str">
        <f>VLOOKUP($A60,'ecommerce-order (1)'!$A:$M,12,FALSE)</f>
        <v>GBP</v>
      </c>
      <c r="M60" t="str">
        <f>VLOOKUP($A60,'ecommerce-order (1)'!$A:$M,13,FALSE)</f>
        <v>completed</v>
      </c>
      <c r="N60" t="str">
        <f>IF(ISNA(VLOOKUP(A60,'ecommerce-order (1)'!A:A,1,FALSE)),"KEEEP","REMOVE")</f>
        <v>REMOVE</v>
      </c>
    </row>
    <row r="61" spans="1:14" x14ac:dyDescent="0.3">
      <c r="A61" t="s">
        <v>219</v>
      </c>
      <c r="B61" t="str">
        <f>VLOOKUP(A61,'ecommerce-order (1)'!$A:$M,2,FALSE)</f>
        <v>28-06-2026</v>
      </c>
      <c r="C61" t="str">
        <f>VLOOKUP($A61,'ecommerce-order (1)'!$A:$M,3,FALSE)</f>
        <v>customer0975@example.com</v>
      </c>
      <c r="D61" t="str">
        <f>VLOOKUP($A61,'ecommerce-order (1)'!$A:$M,4,FALSE)</f>
        <v xml:space="preserve"> UK</v>
      </c>
      <c r="E61" t="str">
        <f>VLOOKUP($A61,'ecommerce-order (1)'!$A:$M,5,FALSE)</f>
        <v>organic</v>
      </c>
      <c r="F61" t="str">
        <f>VLOOKUP($A61,'ecommerce-order (1)'!$A:$M,6,FALSE)</f>
        <v>FR-2210</v>
      </c>
      <c r="G61" t="str">
        <f>VLOOKUP($A61,'ecommerce-order (1)'!$A:$M,7,FALSE)</f>
        <v>Trail Softshell</v>
      </c>
      <c r="H61">
        <f>VLOOKUP($A61,'ecommerce-order (1)'!$A:$M,8,FALSE)</f>
        <v>1</v>
      </c>
      <c r="I61">
        <f>VLOOKUP($A61,'ecommerce-order (1)'!$A:$M,9,FALSE)</f>
        <v>85.5</v>
      </c>
      <c r="J61">
        <f>VLOOKUP($A61,'ecommerce-order (1)'!$A:$M,10,FALSE)</f>
        <v>85.5</v>
      </c>
      <c r="K61">
        <f>VLOOKUP($A61,'ecommerce-order (1)'!$A:$M,11,FALSE)</f>
        <v>0.52</v>
      </c>
      <c r="L61" t="str">
        <f>VLOOKUP($A61,'ecommerce-order (1)'!$A:$M,12,FALSE)</f>
        <v>EUR</v>
      </c>
      <c r="M61" t="str">
        <f>VLOOKUP($A61,'ecommerce-order (1)'!$A:$M,13,FALSE)</f>
        <v>completed</v>
      </c>
      <c r="N61" t="str">
        <f>IF(ISNA(VLOOKUP(A61,'ecommerce-order (1)'!A:A,1,FALSE)),"KEEEP","REMOVE")</f>
        <v>REMOVE</v>
      </c>
    </row>
    <row r="62" spans="1:14" x14ac:dyDescent="0.3">
      <c r="A62" t="s">
        <v>222</v>
      </c>
      <c r="B62" t="str">
        <f>VLOOKUP(A62,'ecommerce-order (1)'!$A:$M,2,FALSE)</f>
        <v>02-07-2026</v>
      </c>
      <c r="C62" t="str">
        <f>VLOOKUP($A62,'ecommerce-order (1)'!$A:$M,3,FALSE)</f>
        <v>customer0946@example.com</v>
      </c>
      <c r="D62" t="str">
        <f>VLOOKUP($A62,'ecommerce-order (1)'!$A:$M,4,FALSE)</f>
        <v>gb</v>
      </c>
      <c r="E62" t="str">
        <f>VLOOKUP($A62,'ecommerce-order (1)'!$A:$M,5,FALSE)</f>
        <v>direct</v>
      </c>
      <c r="F62" t="str">
        <f>VLOOKUP($A62,'ecommerce-order (1)'!$A:$M,6,FALSE)</f>
        <v>FR-1120</v>
      </c>
      <c r="G62" t="str">
        <f>VLOOKUP($A62,'ecommerce-order (1)'!$A:$M,7,FALSE)</f>
        <v>Fell Runner Cap</v>
      </c>
      <c r="H62">
        <f>VLOOKUP($A62,'ecommerce-order (1)'!$A:$M,8,FALSE)</f>
        <v>2</v>
      </c>
      <c r="I62">
        <f>VLOOKUP($A62,'ecommerce-order (1)'!$A:$M,9,FALSE)</f>
        <v>40.5</v>
      </c>
      <c r="J62">
        <f>VLOOKUP($A62,'ecommerce-order (1)'!$A:$M,10,FALSE)</f>
        <v>81</v>
      </c>
      <c r="K62">
        <f>VLOOKUP($A62,'ecommerce-order (1)'!$A:$M,11,FALSE)</f>
        <v>8.5000000000000006E-2</v>
      </c>
      <c r="L62" t="str">
        <f>VLOOKUP($A62,'ecommerce-order (1)'!$A:$M,12,FALSE)</f>
        <v>GBP</v>
      </c>
      <c r="M62" t="str">
        <f>VLOOKUP($A62,'ecommerce-order (1)'!$A:$M,13,FALSE)</f>
        <v>refunded</v>
      </c>
      <c r="N62" t="str">
        <f>IF(ISNA(VLOOKUP(A62,'ecommerce-order (1)'!A:A,1,FALSE)),"KEEEP","REMOVE")</f>
        <v>REMOVE</v>
      </c>
    </row>
    <row r="63" spans="1:14" x14ac:dyDescent="0.3">
      <c r="A63" t="s">
        <v>225</v>
      </c>
      <c r="B63" t="str">
        <f>VLOOKUP(A63,'ecommerce-order (1)'!$A:$M,2,FALSE)</f>
        <v>01-05-2026</v>
      </c>
      <c r="C63" t="str">
        <f>VLOOKUP($A63,'ecommerce-order (1)'!$A:$M,3,FALSE)</f>
        <v>customer0844@example.com</v>
      </c>
      <c r="D63" t="str">
        <f>VLOOKUP($A63,'ecommerce-order (1)'!$A:$M,4,FALSE)</f>
        <v xml:space="preserve">uk </v>
      </c>
      <c r="E63" t="str">
        <f>VLOOKUP($A63,'ecommerce-order (1)'!$A:$M,5,FALSE)</f>
        <v>organic</v>
      </c>
      <c r="F63" t="str">
        <f>VLOOKUP($A63,'ecommerce-order (1)'!$A:$M,6,FALSE)</f>
        <v>FR-9902</v>
      </c>
      <c r="G63" t="str">
        <f>VLOOKUP($A63,'ecommerce-order (1)'!$A:$M,7,FALSE)</f>
        <v>Trekking Poles</v>
      </c>
      <c r="H63">
        <f>VLOOKUP($A63,'ecommerce-order (1)'!$A:$M,8,FALSE)</f>
        <v>2</v>
      </c>
      <c r="I63">
        <f>VLOOKUP($A63,'ecommerce-order (1)'!$A:$M,9,FALSE)</f>
        <v>85.5</v>
      </c>
      <c r="J63">
        <f>VLOOKUP($A63,'ecommerce-order (1)'!$A:$M,10,FALSE)</f>
        <v>171</v>
      </c>
      <c r="K63">
        <f>VLOOKUP($A63,'ecommerce-order (1)'!$A:$M,11,FALSE)</f>
        <v>0.52</v>
      </c>
      <c r="L63" t="str">
        <f>VLOOKUP($A63,'ecommerce-order (1)'!$A:$M,12,FALSE)</f>
        <v>GBP</v>
      </c>
      <c r="M63" t="str">
        <f>VLOOKUP($A63,'ecommerce-order (1)'!$A:$M,13,FALSE)</f>
        <v>completed</v>
      </c>
      <c r="N63" t="str">
        <f>IF(ISNA(VLOOKUP(A63,'ecommerce-order (1)'!A:A,1,FALSE)),"KEEEP","REMOVE")</f>
        <v>REMOVE</v>
      </c>
    </row>
    <row r="64" spans="1:14" x14ac:dyDescent="0.3">
      <c r="A64" t="s">
        <v>228</v>
      </c>
      <c r="B64" t="str">
        <f>VLOOKUP(A64,'ecommerce-order (1)'!$A:$M,2,FALSE)</f>
        <v>20-01-2026</v>
      </c>
      <c r="C64" t="str">
        <f>VLOOKUP($A64,'ecommerce-order (1)'!$A:$M,3,FALSE)</f>
        <v>customer0732@example.com</v>
      </c>
      <c r="D64" t="str">
        <f>VLOOKUP($A64,'ecommerce-order (1)'!$A:$M,4,FALSE)</f>
        <v>Germany</v>
      </c>
      <c r="E64" t="str">
        <f>VLOOKUP($A64,'ecommerce-order (1)'!$A:$M,5,FALSE)</f>
        <v>organic</v>
      </c>
      <c r="F64" t="str">
        <f>VLOOKUP($A64,'ecommerce-order (1)'!$A:$M,6,FALSE)</f>
        <v>FR-3345</v>
      </c>
      <c r="G64" t="str">
        <f>VLOOKUP($A64,'ecommerce-order (1)'!$A:$M,7,FALSE)</f>
        <v>CafÃ© Latte Mug</v>
      </c>
      <c r="H64">
        <f>VLOOKUP($A64,'ecommerce-order (1)'!$A:$M,8,FALSE)</f>
        <v>3</v>
      </c>
      <c r="I64">
        <f>VLOOKUP($A64,'ecommerce-order (1)'!$A:$M,9,FALSE)</f>
        <v>11.25</v>
      </c>
      <c r="J64">
        <f>VLOOKUP($A64,'ecommerce-order (1)'!$A:$M,10,FALSE)</f>
        <v>33.75</v>
      </c>
      <c r="K64">
        <f>VLOOKUP($A64,'ecommerce-order (1)'!$A:$M,11,FALSE)</f>
        <v>340</v>
      </c>
      <c r="L64" t="str">
        <f>VLOOKUP($A64,'ecommerce-order (1)'!$A:$M,12,FALSE)</f>
        <v>GBP</v>
      </c>
      <c r="M64" t="str">
        <f>VLOOKUP($A64,'ecommerce-order (1)'!$A:$M,13,FALSE)</f>
        <v>completed</v>
      </c>
      <c r="N64" t="str">
        <f>IF(ISNA(VLOOKUP(A64,'ecommerce-order (1)'!A:A,1,FALSE)),"KEEEP","REMOVE")</f>
        <v>REMOVE</v>
      </c>
    </row>
    <row r="65" spans="1:14" x14ac:dyDescent="0.3">
      <c r="A65" t="s">
        <v>231</v>
      </c>
      <c r="B65" t="str">
        <f>VLOOKUP(A65,'ecommerce-order (1)'!$A:$M,2,FALSE)</f>
        <v>10-02-2026</v>
      </c>
      <c r="C65" t="str">
        <f>VLOOKUP($A65,'ecommerce-order (1)'!$A:$M,3,FALSE)</f>
        <v>customer1264@example.com</v>
      </c>
      <c r="D65" t="str">
        <f>VLOOKUP($A65,'ecommerce-order (1)'!$A:$M,4,FALSE)</f>
        <v>gb</v>
      </c>
      <c r="E65" t="str">
        <f>VLOOKUP($A65,'ecommerce-order (1)'!$A:$M,5,FALSE)</f>
        <v>direct</v>
      </c>
      <c r="F65" t="str">
        <f>VLOOKUP($A65,'ecommerce-order (1)'!$A:$M,6,FALSE)</f>
        <v>FR-9902</v>
      </c>
      <c r="G65" t="str">
        <f>VLOOKUP($A65,'ecommerce-order (1)'!$A:$M,7,FALSE)</f>
        <v>Trekking Poles</v>
      </c>
      <c r="H65">
        <f>VLOOKUP($A65,'ecommerce-order (1)'!$A:$M,8,FALSE)</f>
        <v>3</v>
      </c>
      <c r="I65">
        <f>VLOOKUP($A65,'ecommerce-order (1)'!$A:$M,9,FALSE)</f>
        <v>79</v>
      </c>
      <c r="J65">
        <f>VLOOKUP($A65,'ecommerce-order (1)'!$A:$M,10,FALSE)</f>
        <v>237</v>
      </c>
      <c r="K65">
        <f>VLOOKUP($A65,'ecommerce-order (1)'!$A:$M,11,FALSE)</f>
        <v>520</v>
      </c>
      <c r="L65" t="str">
        <f>VLOOKUP($A65,'ecommerce-order (1)'!$A:$M,12,FALSE)</f>
        <v>GBP</v>
      </c>
      <c r="M65" t="str">
        <f>VLOOKUP($A65,'ecommerce-order (1)'!$A:$M,13,FALSE)</f>
        <v>completed</v>
      </c>
      <c r="N65" t="str">
        <f>IF(ISNA(VLOOKUP(A65,'ecommerce-order (1)'!A:A,1,FALSE)),"KEEEP","REMOVE")</f>
        <v>REMOVE</v>
      </c>
    </row>
    <row r="66" spans="1:14" x14ac:dyDescent="0.3">
      <c r="A66" t="s">
        <v>234</v>
      </c>
      <c r="B66" t="str">
        <f>VLOOKUP(A66,'ecommerce-order (1)'!$A:$M,2,FALSE)</f>
        <v>05-09-2026</v>
      </c>
      <c r="C66" t="str">
        <f>VLOOKUP($A66,'ecommerce-order (1)'!$A:$M,3,FALSE)</f>
        <v>customer0119@example.com</v>
      </c>
      <c r="D66" t="str">
        <f>VLOOKUP($A66,'ecommerce-order (1)'!$A:$M,4,FALSE)</f>
        <v>France</v>
      </c>
      <c r="E66" t="str">
        <f>VLOOKUP($A66,'ecommerce-order (1)'!$A:$M,5,FALSE)</f>
        <v>paid_search</v>
      </c>
      <c r="F66" t="str">
        <f>VLOOKUP($A66,'ecommerce-order (1)'!$A:$M,6,FALSE)</f>
        <v>FR-3345</v>
      </c>
      <c r="G66" t="str">
        <f>VLOOKUP($A66,'ecommerce-order (1)'!$A:$M,7,FALSE)</f>
        <v>CafÃ© Latte Mug</v>
      </c>
      <c r="H66">
        <f>VLOOKUP($A66,'ecommerce-order (1)'!$A:$M,8,FALSE)</f>
        <v>3</v>
      </c>
      <c r="I66">
        <f>VLOOKUP($A66,'ecommerce-order (1)'!$A:$M,9,FALSE)</f>
        <v>89</v>
      </c>
      <c r="J66">
        <f>VLOOKUP($A66,'ecommerce-order (1)'!$A:$M,10,FALSE)</f>
        <v>267</v>
      </c>
      <c r="K66">
        <f>VLOOKUP($A66,'ecommerce-order (1)'!$A:$M,11,FALSE)</f>
        <v>0.34</v>
      </c>
      <c r="L66" t="str">
        <f>VLOOKUP($A66,'ecommerce-order (1)'!$A:$M,12,FALSE)</f>
        <v>GBP</v>
      </c>
      <c r="M66" t="str">
        <f>VLOOKUP($A66,'ecommerce-order (1)'!$A:$M,13,FALSE)</f>
        <v>completed</v>
      </c>
      <c r="N66" t="str">
        <f>IF(ISNA(VLOOKUP(A66,'ecommerce-order (1)'!A:A,1,FALSE)),"KEEEP","REMOVE")</f>
        <v>REMOVE</v>
      </c>
    </row>
    <row r="67" spans="1:14" x14ac:dyDescent="0.3">
      <c r="A67" t="s">
        <v>237</v>
      </c>
      <c r="B67" t="str">
        <f>VLOOKUP(A67,'ecommerce-order (1)'!$A:$M,2,FALSE)</f>
        <v>03/14/2026</v>
      </c>
      <c r="C67" t="str">
        <f>VLOOKUP($A67,'ecommerce-order (1)'!$A:$M,3,FALSE)</f>
        <v>customer0063@example.com</v>
      </c>
      <c r="D67" t="str">
        <f>VLOOKUP($A67,'ecommerce-order (1)'!$A:$M,4,FALSE)</f>
        <v>France</v>
      </c>
      <c r="E67" t="str">
        <f>VLOOKUP($A67,'ecommerce-order (1)'!$A:$M,5,FALSE)</f>
        <v>direct</v>
      </c>
      <c r="F67" t="str">
        <f>VLOOKUP($A67,'ecommerce-order (1)'!$A:$M,6,FALSE)</f>
        <v>FR-7781</v>
      </c>
      <c r="G67" t="str">
        <f>VLOOKUP($A67,'ecommerce-order (1)'!$A:$M,7,FALSE)</f>
        <v>Storm Overtrousers</v>
      </c>
      <c r="H67">
        <f>VLOOKUP($A67,'ecommerce-order (1)'!$A:$M,8,FALSE)</f>
        <v>2</v>
      </c>
      <c r="I67">
        <f>VLOOKUP($A67,'ecommerce-order (1)'!$A:$M,9,FALSE)</f>
        <v>45</v>
      </c>
      <c r="J67">
        <f>VLOOKUP($A67,'ecommerce-order (1)'!$A:$M,10,FALSE)</f>
        <v>90</v>
      </c>
      <c r="K67">
        <f>VLOOKUP($A67,'ecommerce-order (1)'!$A:$M,11,FALSE)</f>
        <v>410</v>
      </c>
      <c r="L67" t="str">
        <f>VLOOKUP($A67,'ecommerce-order (1)'!$A:$M,12,FALSE)</f>
        <v>GBP</v>
      </c>
      <c r="M67" t="str">
        <f>VLOOKUP($A67,'ecommerce-order (1)'!$A:$M,13,FALSE)</f>
        <v>completed</v>
      </c>
      <c r="N67" t="str">
        <f>IF(ISNA(VLOOKUP(A67,'ecommerce-order (1)'!A:A,1,FALSE)),"KEEEP","REMOVE")</f>
        <v>REMOVE</v>
      </c>
    </row>
    <row r="68" spans="1:14" x14ac:dyDescent="0.3">
      <c r="A68" t="s">
        <v>240</v>
      </c>
      <c r="B68" t="str">
        <f>VLOOKUP(A68,'ecommerce-order (1)'!$A:$M,2,FALSE)</f>
        <v>19-05-2026</v>
      </c>
      <c r="C68" t="str">
        <f>VLOOKUP($A68,'ecommerce-order (1)'!$A:$M,3,FALSE)</f>
        <v>customer0184@example.com</v>
      </c>
      <c r="D68" t="str">
        <f>VLOOKUP($A68,'ecommerce-order (1)'!$A:$M,4,FALSE)</f>
        <v>United Kingdom</v>
      </c>
      <c r="E68" t="str">
        <f>VLOOKUP($A68,'ecommerce-order (1)'!$A:$M,5,FALSE)</f>
        <v>organic</v>
      </c>
      <c r="F68" t="str">
        <f>VLOOKUP($A68,'ecommerce-order (1)'!$A:$M,6,FALSE)</f>
        <v>FR-7781</v>
      </c>
      <c r="G68" t="str">
        <f>VLOOKUP($A68,'ecommerce-order (1)'!$A:$M,7,FALSE)</f>
        <v>Storm Overtrousers</v>
      </c>
      <c r="H68">
        <f>VLOOKUP($A68,'ecommerce-order (1)'!$A:$M,8,FALSE)</f>
        <v>3</v>
      </c>
      <c r="I68">
        <f>VLOOKUP($A68,'ecommerce-order (1)'!$A:$M,9,FALSE)</f>
        <v>129</v>
      </c>
      <c r="J68">
        <f>VLOOKUP($A68,'ecommerce-order (1)'!$A:$M,10,FALSE)</f>
        <v>387</v>
      </c>
      <c r="K68">
        <f>VLOOKUP($A68,'ecommerce-order (1)'!$A:$M,11,FALSE)</f>
        <v>0.41</v>
      </c>
      <c r="L68" t="str">
        <f>VLOOKUP($A68,'ecommerce-order (1)'!$A:$M,12,FALSE)</f>
        <v>GBP</v>
      </c>
      <c r="M68" t="str">
        <f>VLOOKUP($A68,'ecommerce-order (1)'!$A:$M,13,FALSE)</f>
        <v>completed</v>
      </c>
      <c r="N68" t="str">
        <f>IF(ISNA(VLOOKUP(A68,'ecommerce-order (1)'!A:A,1,FALSE)),"KEEEP","REMOVE")</f>
        <v>REMOVE</v>
      </c>
    </row>
    <row r="69" spans="1:14" x14ac:dyDescent="0.3">
      <c r="A69" t="s">
        <v>242</v>
      </c>
      <c r="B69" t="str">
        <f>VLOOKUP(A69,'ecommerce-order (1)'!$A:$M,2,FALSE)</f>
        <v>05/17/2026</v>
      </c>
      <c r="C69" t="str">
        <f>VLOOKUP($A69,'ecommerce-order (1)'!$A:$M,3,FALSE)</f>
        <v>customer1123@example.com</v>
      </c>
      <c r="D69" t="str">
        <f>VLOOKUP($A69,'ecommerce-order (1)'!$A:$M,4,FALSE)</f>
        <v>France</v>
      </c>
      <c r="E69" t="str">
        <f>VLOOKUP($A69,'ecommerce-order (1)'!$A:$M,5,FALSE)</f>
        <v>paid_search</v>
      </c>
      <c r="F69" t="str">
        <f>VLOOKUP($A69,'ecommerce-order (1)'!$A:$M,6,FALSE)</f>
        <v>FR-8890</v>
      </c>
      <c r="G69" t="str">
        <f>VLOOKUP($A69,'ecommerce-order (1)'!$A:$M,7,FALSE)</f>
        <v>Summit Down Gilet</v>
      </c>
      <c r="H69">
        <f>VLOOKUP($A69,'ecommerce-order (1)'!$A:$M,8,FALSE)</f>
        <v>2</v>
      </c>
      <c r="I69">
        <f>VLOOKUP($A69,'ecommerce-order (1)'!$A:$M,9,FALSE)</f>
        <v>129</v>
      </c>
      <c r="J69">
        <f>VLOOKUP($A69,'ecommerce-order (1)'!$A:$M,10,FALSE)</f>
        <v>258</v>
      </c>
      <c r="K69">
        <f>VLOOKUP($A69,'ecommerce-order (1)'!$A:$M,11,FALSE)</f>
        <v>0.38</v>
      </c>
      <c r="L69" t="str">
        <f>VLOOKUP($A69,'ecommerce-order (1)'!$A:$M,12,FALSE)</f>
        <v>GBP</v>
      </c>
      <c r="M69" t="str">
        <f>VLOOKUP($A69,'ecommerce-order (1)'!$A:$M,13,FALSE)</f>
        <v>refunded</v>
      </c>
      <c r="N69" t="str">
        <f>IF(ISNA(VLOOKUP(A69,'ecommerce-order (1)'!A:A,1,FALSE)),"KEEEP","REMOVE")</f>
        <v>REMOVE</v>
      </c>
    </row>
    <row r="70" spans="1:14" x14ac:dyDescent="0.3">
      <c r="A70" t="s">
        <v>245</v>
      </c>
      <c r="B70" t="str">
        <f>VLOOKUP(A70,'ecommerce-order (1)'!$A:$M,2,FALSE)</f>
        <v>26-05-2026</v>
      </c>
      <c r="C70" t="str">
        <f>VLOOKUP($A70,'ecommerce-order (1)'!$A:$M,3,FALSE)</f>
        <v>customer0394@example.com</v>
      </c>
      <c r="D70" t="str">
        <f>VLOOKUP($A70,'ecommerce-order (1)'!$A:$M,4,FALSE)</f>
        <v>Ireland</v>
      </c>
      <c r="E70" t="str">
        <f>VLOOKUP($A70,'ecommerce-order (1)'!$A:$M,5,FALSE)</f>
        <v>paid_search</v>
      </c>
      <c r="F70" t="str">
        <f>VLOOKUP($A70,'ecommerce-order (1)'!$A:$M,6,FALSE)</f>
        <v>FR-1120</v>
      </c>
      <c r="G70" t="str">
        <f>VLOOKUP($A70,'ecommerce-order (1)'!$A:$M,7,FALSE)</f>
        <v>Fell Runner Cap</v>
      </c>
      <c r="H70">
        <f>VLOOKUP($A70,'ecommerce-order (1)'!$A:$M,8,FALSE)</f>
        <v>1</v>
      </c>
      <c r="I70">
        <f>VLOOKUP($A70,'ecommerce-order (1)'!$A:$M,9,FALSE)</f>
        <v>116.1</v>
      </c>
      <c r="J70">
        <f>VLOOKUP($A70,'ecommerce-order (1)'!$A:$M,10,FALSE)</f>
        <v>116.1</v>
      </c>
      <c r="K70">
        <f>VLOOKUP($A70,'ecommerce-order (1)'!$A:$M,11,FALSE)</f>
        <v>8.5000000000000006E-2</v>
      </c>
      <c r="L70" t="str">
        <f>VLOOKUP($A70,'ecommerce-order (1)'!$A:$M,12,FALSE)</f>
        <v>GBP</v>
      </c>
      <c r="M70" t="str">
        <f>VLOOKUP($A70,'ecommerce-order (1)'!$A:$M,13,FALSE)</f>
        <v>completed</v>
      </c>
      <c r="N70" t="str">
        <f>IF(ISNA(VLOOKUP(A70,'ecommerce-order (1)'!A:A,1,FALSE)),"KEEEP","REMOVE")</f>
        <v>REMOVE</v>
      </c>
    </row>
    <row r="71" spans="1:14" x14ac:dyDescent="0.3">
      <c r="A71" t="s">
        <v>247</v>
      </c>
      <c r="B71" t="str">
        <f>VLOOKUP(A71,'ecommerce-order (1)'!$A:$M,2,FALSE)</f>
        <v>19-03-2026</v>
      </c>
      <c r="C71" t="str">
        <f>VLOOKUP($A71,'ecommerce-order (1)'!$A:$M,3,FALSE)</f>
        <v>customer0006@example.com</v>
      </c>
      <c r="D71" t="str">
        <f>VLOOKUP($A71,'ecommerce-order (1)'!$A:$M,4,FALSE)</f>
        <v>GB</v>
      </c>
      <c r="E71" t="str">
        <f>VLOOKUP($A71,'ecommerce-order (1)'!$A:$M,5,FALSE)</f>
        <v>direct</v>
      </c>
      <c r="F71" t="str">
        <f>VLOOKUP($A71,'ecommerce-order (1)'!$A:$M,6,FALSE)</f>
        <v>FR-8890</v>
      </c>
      <c r="G71" t="str">
        <f>VLOOKUP($A71,'ecommerce-order (1)'!$A:$M,7,FALSE)</f>
        <v>Summit Down Gilet</v>
      </c>
      <c r="H71">
        <f>VLOOKUP($A71,'ecommerce-order (1)'!$A:$M,8,FALSE)</f>
        <v>2</v>
      </c>
      <c r="I71">
        <f>VLOOKUP($A71,'ecommerce-order (1)'!$A:$M,9,FALSE)</f>
        <v>24</v>
      </c>
      <c r="J71">
        <f>VLOOKUP($A71,'ecommerce-order (1)'!$A:$M,10,FALSE)</f>
        <v>48</v>
      </c>
      <c r="K71">
        <f>VLOOKUP($A71,'ecommerce-order (1)'!$A:$M,11,FALSE)</f>
        <v>380</v>
      </c>
      <c r="L71" t="str">
        <f>VLOOKUP($A71,'ecommerce-order (1)'!$A:$M,12,FALSE)</f>
        <v>EUR</v>
      </c>
      <c r="M71" t="str">
        <f>VLOOKUP($A71,'ecommerce-order (1)'!$A:$M,13,FALSE)</f>
        <v>completed</v>
      </c>
      <c r="N71" t="str">
        <f>IF(ISNA(VLOOKUP(A71,'ecommerce-order (1)'!A:A,1,FALSE)),"KEEEP","REMOVE")</f>
        <v>REMOVE</v>
      </c>
    </row>
    <row r="72" spans="1:14" x14ac:dyDescent="0.3">
      <c r="A72" t="s">
        <v>249</v>
      </c>
      <c r="B72" t="str">
        <f>VLOOKUP(A72,'ecommerce-order (1)'!$A:$M,2,FALSE)</f>
        <v>31-03-2026</v>
      </c>
      <c r="C72" t="str">
        <f>VLOOKUP($A72,'ecommerce-order (1)'!$A:$M,3,FALSE)</f>
        <v>customer0921@example.com</v>
      </c>
      <c r="D72" t="str">
        <f>VLOOKUP($A72,'ecommerce-order (1)'!$A:$M,4,FALSE)</f>
        <v>UK</v>
      </c>
      <c r="E72" t="str">
        <f>VLOOKUP($A72,'ecommerce-order (1)'!$A:$M,5,FALSE)</f>
        <v>social</v>
      </c>
      <c r="F72" t="str">
        <f>VLOOKUP($A72,'ecommerce-order (1)'!$A:$M,6,FALSE)</f>
        <v>FR-5567</v>
      </c>
      <c r="G72" t="str">
        <f>VLOOKUP($A72,'ecommerce-order (1)'!$A:$M,7,FALSE)</f>
        <v>Merino Base Layer</v>
      </c>
      <c r="H72">
        <f>VLOOKUP($A72,'ecommerce-order (1)'!$A:$M,8,FALSE)</f>
        <v>1</v>
      </c>
      <c r="I72">
        <f>VLOOKUP($A72,'ecommerce-order (1)'!$A:$M,9,FALSE)</f>
        <v>129</v>
      </c>
      <c r="J72">
        <f>VLOOKUP($A72,'ecommerce-order (1)'!$A:$M,10,FALSE)</f>
        <v>103.2</v>
      </c>
      <c r="K72">
        <f>VLOOKUP($A72,'ecommerce-order (1)'!$A:$M,11,FALSE)</f>
        <v>190</v>
      </c>
      <c r="L72" t="str">
        <f>VLOOKUP($A72,'ecommerce-order (1)'!$A:$M,12,FALSE)</f>
        <v>GBP</v>
      </c>
      <c r="M72" t="str">
        <f>VLOOKUP($A72,'ecommerce-order (1)'!$A:$M,13,FALSE)</f>
        <v>refunded</v>
      </c>
      <c r="N72" t="str">
        <f>IF(ISNA(VLOOKUP(A72,'ecommerce-order (1)'!A:A,1,FALSE)),"KEEEP","REMOVE")</f>
        <v>REMOVE</v>
      </c>
    </row>
    <row r="73" spans="1:14" x14ac:dyDescent="0.3">
      <c r="A73" t="s">
        <v>252</v>
      </c>
      <c r="B73" t="str">
        <f>VLOOKUP(A73,'ecommerce-order (1)'!$A:$M,2,FALSE)</f>
        <v>16-05-2026</v>
      </c>
      <c r="C73" t="str">
        <f>VLOOKUP($A73,'ecommerce-order (1)'!$A:$M,3,FALSE)</f>
        <v>customer0245@example.com</v>
      </c>
      <c r="D73" t="str">
        <f>VLOOKUP($A73,'ecommerce-order (1)'!$A:$M,4,FALSE)</f>
        <v>Ireland</v>
      </c>
      <c r="E73" t="str">
        <f>VLOOKUP($A73,'ecommerce-order (1)'!$A:$M,5,FALSE)</f>
        <v>social</v>
      </c>
      <c r="F73" t="str">
        <f>VLOOKUP($A73,'ecommerce-order (1)'!$A:$M,6,FALSE)</f>
        <v>FR-7781</v>
      </c>
      <c r="G73" t="str">
        <f>VLOOKUP($A73,'ecommerce-order (1)'!$A:$M,7,FALSE)</f>
        <v>Storm Overtrousers</v>
      </c>
      <c r="H73">
        <f>VLOOKUP($A73,'ecommerce-order (1)'!$A:$M,8,FALSE)</f>
        <v>1</v>
      </c>
      <c r="I73">
        <f>VLOOKUP($A73,'ecommerce-order (1)'!$A:$M,9,FALSE)</f>
        <v>12.5</v>
      </c>
      <c r="J73">
        <f>VLOOKUP($A73,'ecommerce-order (1)'!$A:$M,10,FALSE)</f>
        <v>12.5</v>
      </c>
      <c r="K73">
        <f>VLOOKUP($A73,'ecommerce-order (1)'!$A:$M,11,FALSE)</f>
        <v>0.41</v>
      </c>
      <c r="L73" t="str">
        <f>VLOOKUP($A73,'ecommerce-order (1)'!$A:$M,12,FALSE)</f>
        <v>GBP</v>
      </c>
      <c r="M73" t="str">
        <f>VLOOKUP($A73,'ecommerce-order (1)'!$A:$M,13,FALSE)</f>
        <v>completed</v>
      </c>
      <c r="N73" t="str">
        <f>IF(ISNA(VLOOKUP(A73,'ecommerce-order (1)'!A:A,1,FALSE)),"KEEEP","REMOVE")</f>
        <v>REMOVE</v>
      </c>
    </row>
    <row r="74" spans="1:14" x14ac:dyDescent="0.3">
      <c r="A74" t="s">
        <v>255</v>
      </c>
      <c r="B74" t="str">
        <f>VLOOKUP(A74,'ecommerce-order (1)'!$A:$M,2,FALSE)</f>
        <v>19-05-2026</v>
      </c>
      <c r="C74" t="str">
        <f>VLOOKUP($A74,'ecommerce-order (1)'!$A:$M,3,FALSE)</f>
        <v>customer0918@example.com</v>
      </c>
      <c r="D74" t="str">
        <f>VLOOKUP($A74,'ecommerce-order (1)'!$A:$M,4,FALSE)</f>
        <v xml:space="preserve"> UK</v>
      </c>
      <c r="E74" t="str">
        <f>VLOOKUP($A74,'ecommerce-order (1)'!$A:$M,5,FALSE)</f>
        <v>social</v>
      </c>
      <c r="F74" t="str">
        <f>VLOOKUP($A74,'ecommerce-order (1)'!$A:$M,6,FALSE)</f>
        <v>FR-3345</v>
      </c>
      <c r="G74" t="str">
        <f>VLOOKUP($A74,'ecommerce-order (1)'!$A:$M,7,FALSE)</f>
        <v>CafÃ© Latte Mug</v>
      </c>
      <c r="H74">
        <f>VLOOKUP($A74,'ecommerce-order (1)'!$A:$M,8,FALSE)</f>
        <v>3</v>
      </c>
      <c r="I74">
        <f>VLOOKUP($A74,'ecommerce-order (1)'!$A:$M,9,FALSE)</f>
        <v>21.6</v>
      </c>
      <c r="J74">
        <f>VLOOKUP($A74,'ecommerce-order (1)'!$A:$M,10,FALSE)</f>
        <v>64.8</v>
      </c>
      <c r="K74">
        <f>VLOOKUP($A74,'ecommerce-order (1)'!$A:$M,11,FALSE)</f>
        <v>0.34</v>
      </c>
      <c r="L74" t="str">
        <f>VLOOKUP($A74,'ecommerce-order (1)'!$A:$M,12,FALSE)</f>
        <v>GBP</v>
      </c>
      <c r="M74" t="str">
        <f>VLOOKUP($A74,'ecommerce-order (1)'!$A:$M,13,FALSE)</f>
        <v>completed</v>
      </c>
      <c r="N74" t="str">
        <f>IF(ISNA(VLOOKUP(A74,'ecommerce-order (1)'!A:A,1,FALSE)),"KEEEP","REMOVE")</f>
        <v>REMOVE</v>
      </c>
    </row>
    <row r="75" spans="1:14" x14ac:dyDescent="0.3">
      <c r="A75" t="s">
        <v>257</v>
      </c>
      <c r="B75" t="str">
        <f>VLOOKUP(A75,'ecommerce-order (1)'!$A:$M,2,FALSE)</f>
        <v>05/20/2026</v>
      </c>
      <c r="C75" t="str">
        <f>VLOOKUP($A75,'ecommerce-order (1)'!$A:$M,3,FALSE)</f>
        <v>customer1151@example.com</v>
      </c>
      <c r="D75" t="str">
        <f>VLOOKUP($A75,'ecommerce-order (1)'!$A:$M,4,FALSE)</f>
        <v>Ireland</v>
      </c>
      <c r="E75" t="str">
        <f>VLOOKUP($A75,'ecommerce-order (1)'!$A:$M,5,FALSE)</f>
        <v>organic</v>
      </c>
      <c r="F75" t="str">
        <f>VLOOKUP($A75,'ecommerce-order (1)'!$A:$M,6,FALSE)</f>
        <v>FR-5567</v>
      </c>
      <c r="G75" t="str">
        <f>VLOOKUP($A75,'ecommerce-order (1)'!$A:$M,7,FALSE)</f>
        <v>Merino Base Layer</v>
      </c>
      <c r="H75">
        <f>VLOOKUP($A75,'ecommerce-order (1)'!$A:$M,8,FALSE)</f>
        <v>1</v>
      </c>
      <c r="I75">
        <f>VLOOKUP($A75,'ecommerce-order (1)'!$A:$M,9,FALSE)</f>
        <v>149</v>
      </c>
      <c r="J75">
        <f>VLOOKUP($A75,'ecommerce-order (1)'!$A:$M,10,FALSE)</f>
        <v>149</v>
      </c>
      <c r="K75">
        <f>VLOOKUP($A75,'ecommerce-order (1)'!$A:$M,11,FALSE)</f>
        <v>0.19</v>
      </c>
      <c r="L75" t="str">
        <f>VLOOKUP($A75,'ecommerce-order (1)'!$A:$M,12,FALSE)</f>
        <v>GBP</v>
      </c>
      <c r="M75" t="str">
        <f>VLOOKUP($A75,'ecommerce-order (1)'!$A:$M,13,FALSE)</f>
        <v>completed</v>
      </c>
      <c r="N75" t="str">
        <f>IF(ISNA(VLOOKUP(A75,'ecommerce-order (1)'!A:A,1,FALSE)),"KEEEP","REMOVE")</f>
        <v>REMOVE</v>
      </c>
    </row>
    <row r="76" spans="1:14" x14ac:dyDescent="0.3">
      <c r="A76" t="s">
        <v>260</v>
      </c>
      <c r="B76" t="str">
        <f>VLOOKUP(A76,'ecommerce-order (1)'!$A:$M,2,FALSE)</f>
        <v>19-02-2026</v>
      </c>
      <c r="C76" t="str">
        <f>VLOOKUP($A76,'ecommerce-order (1)'!$A:$M,3,FALSE)</f>
        <v>customer0844@example.com</v>
      </c>
      <c r="D76" t="str">
        <f>VLOOKUP($A76,'ecommerce-order (1)'!$A:$M,4,FALSE)</f>
        <v>UK</v>
      </c>
      <c r="E76" t="str">
        <f>VLOOKUP($A76,'ecommerce-order (1)'!$A:$M,5,FALSE)</f>
        <v>social</v>
      </c>
      <c r="F76" t="str">
        <f>VLOOKUP($A76,'ecommerce-order (1)'!$A:$M,6,FALSE)</f>
        <v>FR-1120</v>
      </c>
      <c r="G76" t="str">
        <f>VLOOKUP($A76,'ecommerce-order (1)'!$A:$M,7,FALSE)</f>
        <v>Fell Runner Cap</v>
      </c>
      <c r="H76">
        <f>VLOOKUP($A76,'ecommerce-order (1)'!$A:$M,8,FALSE)</f>
        <v>1</v>
      </c>
      <c r="I76">
        <f>VLOOKUP($A76,'ecommerce-order (1)'!$A:$M,9,FALSE)</f>
        <v>79</v>
      </c>
      <c r="J76">
        <f>VLOOKUP($A76,'ecommerce-order (1)'!$A:$M,10,FALSE)</f>
        <v>79</v>
      </c>
      <c r="K76">
        <f>VLOOKUP($A76,'ecommerce-order (1)'!$A:$M,11,FALSE)</f>
        <v>85</v>
      </c>
      <c r="L76" t="str">
        <f>VLOOKUP($A76,'ecommerce-order (1)'!$A:$M,12,FALSE)</f>
        <v>GBP</v>
      </c>
      <c r="M76" t="str">
        <f>VLOOKUP($A76,'ecommerce-order (1)'!$A:$M,13,FALSE)</f>
        <v>completed</v>
      </c>
      <c r="N76" t="str">
        <f>IF(ISNA(VLOOKUP(A76,'ecommerce-order (1)'!A:A,1,FALSE)),"KEEEP","REMOVE")</f>
        <v>REMOVE</v>
      </c>
    </row>
    <row r="77" spans="1:14" x14ac:dyDescent="0.3">
      <c r="A77" t="s">
        <v>262</v>
      </c>
      <c r="B77" t="str">
        <f>VLOOKUP(A77,'ecommerce-order (1)'!$A:$M,2,FALSE)</f>
        <v>01-03-2026</v>
      </c>
      <c r="C77" t="str">
        <f>VLOOKUP($A77,'ecommerce-order (1)'!$A:$M,3,FALSE)</f>
        <v>customer1198@example.com</v>
      </c>
      <c r="D77" t="str">
        <f>VLOOKUP($A77,'ecommerce-order (1)'!$A:$M,4,FALSE)</f>
        <v>France</v>
      </c>
      <c r="E77" t="str">
        <f>VLOOKUP($A77,'ecommerce-order (1)'!$A:$M,5,FALSE)</f>
        <v>organic</v>
      </c>
      <c r="F77" t="str">
        <f>VLOOKUP($A77,'ecommerce-order (1)'!$A:$M,6,FALSE)</f>
        <v>FR-4471</v>
      </c>
      <c r="G77" t="str">
        <f>VLOOKUP($A77,'ecommerce-order (1)'!$A:$M,7,FALSE)</f>
        <v>Alpine Jacket</v>
      </c>
      <c r="H77">
        <f>VLOOKUP($A77,'ecommerce-order (1)'!$A:$M,8,FALSE)</f>
        <v>1</v>
      </c>
      <c r="I77">
        <f>VLOOKUP($A77,'ecommerce-order (1)'!$A:$M,9,FALSE)</f>
        <v>24</v>
      </c>
      <c r="J77">
        <f>VLOOKUP($A77,'ecommerce-order (1)'!$A:$M,10,FALSE)</f>
        <v>24</v>
      </c>
      <c r="K77">
        <f>VLOOKUP($A77,'ecommerce-order (1)'!$A:$M,11,FALSE)</f>
        <v>640</v>
      </c>
      <c r="L77" t="str">
        <f>VLOOKUP($A77,'ecommerce-order (1)'!$A:$M,12,FALSE)</f>
        <v>GBP</v>
      </c>
      <c r="M77" t="str">
        <f>VLOOKUP($A77,'ecommerce-order (1)'!$A:$M,13,FALSE)</f>
        <v>completed</v>
      </c>
      <c r="N77" t="str">
        <f>IF(ISNA(VLOOKUP(A77,'ecommerce-order (1)'!A:A,1,FALSE)),"KEEEP","REMOVE")</f>
        <v>REMOVE</v>
      </c>
    </row>
    <row r="78" spans="1:14" x14ac:dyDescent="0.3">
      <c r="A78" t="s">
        <v>265</v>
      </c>
      <c r="B78" t="str">
        <f>VLOOKUP(A78,'ecommerce-order (1)'!$A:$M,2,FALSE)</f>
        <v>14-01-2026</v>
      </c>
      <c r="C78" t="str">
        <f>VLOOKUP($A78,'ecommerce-order (1)'!$A:$M,3,FALSE)</f>
        <v>customer0369@example.com</v>
      </c>
      <c r="D78" t="str">
        <f>VLOOKUP($A78,'ecommerce-order (1)'!$A:$M,4,FALSE)</f>
        <v xml:space="preserve"> UK</v>
      </c>
      <c r="E78" t="str">
        <f>VLOOKUP($A78,'ecommerce-order (1)'!$A:$M,5,FALSE)</f>
        <v>organic</v>
      </c>
      <c r="F78" t="str">
        <f>VLOOKUP($A78,'ecommerce-order (1)'!$A:$M,6,FALSE)</f>
        <v>FR-9902</v>
      </c>
      <c r="G78" t="str">
        <f>VLOOKUP($A78,'ecommerce-order (1)'!$A:$M,7,FALSE)</f>
        <v>Trekking Poles</v>
      </c>
      <c r="H78">
        <f>VLOOKUP($A78,'ecommerce-order (1)'!$A:$M,8,FALSE)</f>
        <v>2</v>
      </c>
      <c r="I78">
        <f>VLOOKUP($A78,'ecommerce-order (1)'!$A:$M,9,FALSE)</f>
        <v>0</v>
      </c>
      <c r="J78">
        <f>VLOOKUP($A78,'ecommerce-order (1)'!$A:$M,10,FALSE)</f>
        <v>232.2</v>
      </c>
      <c r="K78">
        <f>VLOOKUP($A78,'ecommerce-order (1)'!$A:$M,11,FALSE)</f>
        <v>520</v>
      </c>
      <c r="L78" t="str">
        <f>VLOOKUP($A78,'ecommerce-order (1)'!$A:$M,12,FALSE)</f>
        <v>GBP</v>
      </c>
      <c r="M78" t="str">
        <f>VLOOKUP($A78,'ecommerce-order (1)'!$A:$M,13,FALSE)</f>
        <v>refunded</v>
      </c>
      <c r="N78" t="str">
        <f>IF(ISNA(VLOOKUP(A78,'ecommerce-order (1)'!A:A,1,FALSE)),"KEEEP","REMOVE")</f>
        <v>REMOVE</v>
      </c>
    </row>
    <row r="79" spans="1:14" x14ac:dyDescent="0.3">
      <c r="A79" t="s">
        <v>267</v>
      </c>
      <c r="B79" t="str">
        <f>VLOOKUP(A79,'ecommerce-order (1)'!$A:$M,2,FALSE)</f>
        <v>07-05-2026</v>
      </c>
      <c r="C79" t="str">
        <f>VLOOKUP($A79,'ecommerce-order (1)'!$A:$M,3,FALSE)</f>
        <v>customer0842@example.com</v>
      </c>
      <c r="D79" t="str">
        <f>VLOOKUP($A79,'ecommerce-order (1)'!$A:$M,4,FALSE)</f>
        <v xml:space="preserve">uk </v>
      </c>
      <c r="E79" t="str">
        <f>VLOOKUP($A79,'ecommerce-order (1)'!$A:$M,5,FALSE)</f>
        <v>email</v>
      </c>
      <c r="F79" t="str">
        <f>VLOOKUP($A79,'ecommerce-order (1)'!$A:$M,6,FALSE)</f>
        <v>FR-5567</v>
      </c>
      <c r="G79" t="str">
        <f>VLOOKUP($A79,'ecommerce-order (1)'!$A:$M,7,FALSE)</f>
        <v>Merino Base Layer</v>
      </c>
      <c r="H79">
        <f>VLOOKUP($A79,'ecommerce-order (1)'!$A:$M,8,FALSE)</f>
        <v>1</v>
      </c>
      <c r="I79">
        <f>VLOOKUP($A79,'ecommerce-order (1)'!$A:$M,9,FALSE)</f>
        <v>85.5</v>
      </c>
      <c r="J79">
        <f>VLOOKUP($A79,'ecommerce-order (1)'!$A:$M,10,FALSE)</f>
        <v>85.5</v>
      </c>
      <c r="K79">
        <f>VLOOKUP($A79,'ecommerce-order (1)'!$A:$M,11,FALSE)</f>
        <v>0.19</v>
      </c>
      <c r="L79" t="str">
        <f>VLOOKUP($A79,'ecommerce-order (1)'!$A:$M,12,FALSE)</f>
        <v>GBP</v>
      </c>
      <c r="M79" t="str">
        <f>VLOOKUP($A79,'ecommerce-order (1)'!$A:$M,13,FALSE)</f>
        <v>completed</v>
      </c>
      <c r="N79" t="str">
        <f>IF(ISNA(VLOOKUP(A79,'ecommerce-order (1)'!A:A,1,FALSE)),"KEEEP","REMOVE")</f>
        <v>REMOVE</v>
      </c>
    </row>
    <row r="80" spans="1:14" x14ac:dyDescent="0.3">
      <c r="A80" t="s">
        <v>270</v>
      </c>
      <c r="B80" t="str">
        <f>VLOOKUP(A80,'ecommerce-order (1)'!$A:$M,2,FALSE)</f>
        <v>23-02-2026</v>
      </c>
      <c r="C80" t="str">
        <f>VLOOKUP($A80,'ecommerce-order (1)'!$A:$M,3,FALSE)</f>
        <v>customer0427@example.com</v>
      </c>
      <c r="D80" t="str">
        <f>VLOOKUP($A80,'ecommerce-order (1)'!$A:$M,4,FALSE)</f>
        <v>Germany</v>
      </c>
      <c r="E80" t="str">
        <f>VLOOKUP($A80,'ecommerce-order (1)'!$A:$M,5,FALSE)</f>
        <v>social</v>
      </c>
      <c r="F80" t="str">
        <f>VLOOKUP($A80,'ecommerce-order (1)'!$A:$M,6,FALSE)</f>
        <v>FR-4471</v>
      </c>
      <c r="G80" t="str">
        <f>VLOOKUP($A80,'ecommerce-order (1)'!$A:$M,7,FALSE)</f>
        <v>Alpine Jacket</v>
      </c>
      <c r="H80">
        <f>VLOOKUP($A80,'ecommerce-order (1)'!$A:$M,8,FALSE)</f>
        <v>2</v>
      </c>
      <c r="I80">
        <f>VLOOKUP($A80,'ecommerce-order (1)'!$A:$M,9,FALSE)</f>
        <v>40.5</v>
      </c>
      <c r="J80">
        <f>VLOOKUP($A80,'ecommerce-order (1)'!$A:$M,10,FALSE)</f>
        <v>81</v>
      </c>
      <c r="K80">
        <f>VLOOKUP($A80,'ecommerce-order (1)'!$A:$M,11,FALSE)</f>
        <v>640</v>
      </c>
      <c r="L80" t="str">
        <f>VLOOKUP($A80,'ecommerce-order (1)'!$A:$M,12,FALSE)</f>
        <v>GBP</v>
      </c>
      <c r="M80" t="str">
        <f>VLOOKUP($A80,'ecommerce-order (1)'!$A:$M,13,FALSE)</f>
        <v>completed</v>
      </c>
      <c r="N80" t="str">
        <f>IF(ISNA(VLOOKUP(A80,'ecommerce-order (1)'!A:A,1,FALSE)),"KEEEP","REMOVE")</f>
        <v>REMOVE</v>
      </c>
    </row>
    <row r="81" spans="1:14" x14ac:dyDescent="0.3">
      <c r="A81" t="s">
        <v>273</v>
      </c>
      <c r="B81" t="str">
        <f>VLOOKUP(A81,'ecommerce-order (1)'!$A:$M,2,FALSE)</f>
        <v>19-03-2026</v>
      </c>
      <c r="C81" t="str">
        <f>VLOOKUP($A81,'ecommerce-order (1)'!$A:$M,3,FALSE)</f>
        <v>customer0461@example.com</v>
      </c>
      <c r="D81" t="str">
        <f>VLOOKUP($A81,'ecommerce-order (1)'!$A:$M,4,FALSE)</f>
        <v xml:space="preserve">uk </v>
      </c>
      <c r="E81" t="str">
        <f>VLOOKUP($A81,'ecommerce-order (1)'!$A:$M,5,FALSE)</f>
        <v>paid_search</v>
      </c>
      <c r="F81" t="str">
        <f>VLOOKUP($A81,'ecommerce-order (1)'!$A:$M,6,FALSE)</f>
        <v>FR-1120</v>
      </c>
      <c r="G81" t="str">
        <f>VLOOKUP($A81,'ecommerce-order (1)'!$A:$M,7,FALSE)</f>
        <v>Fell Runner Cap</v>
      </c>
      <c r="H81">
        <f>VLOOKUP($A81,'ecommerce-order (1)'!$A:$M,8,FALSE)</f>
        <v>1</v>
      </c>
      <c r="I81">
        <f>VLOOKUP($A81,'ecommerce-order (1)'!$A:$M,9,FALSE)</f>
        <v>79</v>
      </c>
      <c r="J81">
        <f>VLOOKUP($A81,'ecommerce-order (1)'!$A:$M,10,FALSE)</f>
        <v>79</v>
      </c>
      <c r="K81">
        <f>VLOOKUP($A81,'ecommerce-order (1)'!$A:$M,11,FALSE)</f>
        <v>85</v>
      </c>
      <c r="L81" t="str">
        <f>VLOOKUP($A81,'ecommerce-order (1)'!$A:$M,12,FALSE)</f>
        <v>EUR</v>
      </c>
      <c r="M81" t="str">
        <f>VLOOKUP($A81,'ecommerce-order (1)'!$A:$M,13,FALSE)</f>
        <v>completed</v>
      </c>
      <c r="N81" t="str">
        <f>IF(ISNA(VLOOKUP(A81,'ecommerce-order (1)'!A:A,1,FALSE)),"KEEEP","REMOVE")</f>
        <v>REMOVE</v>
      </c>
    </row>
    <row r="82" spans="1:14" x14ac:dyDescent="0.3">
      <c r="A82" t="s">
        <v>275</v>
      </c>
      <c r="B82" t="str">
        <f>VLOOKUP(A82,'ecommerce-order (1)'!$A:$M,2,FALSE)</f>
        <v>04-05-2026</v>
      </c>
      <c r="C82" t="str">
        <f>VLOOKUP($A82,'ecommerce-order (1)'!$A:$M,3,FALSE)</f>
        <v>customer0251@example.com</v>
      </c>
      <c r="D82" t="str">
        <f>VLOOKUP($A82,'ecommerce-order (1)'!$A:$M,4,FALSE)</f>
        <v xml:space="preserve"> UK</v>
      </c>
      <c r="E82" t="str">
        <f>VLOOKUP($A82,'ecommerce-order (1)'!$A:$M,5,FALSE)</f>
        <v>organic</v>
      </c>
      <c r="F82" t="str">
        <f>VLOOKUP($A82,'ecommerce-order (1)'!$A:$M,6,FALSE)</f>
        <v>FR-9902</v>
      </c>
      <c r="G82" t="str">
        <f>VLOOKUP($A82,'ecommerce-order (1)'!$A:$M,7,FALSE)</f>
        <v>Trekking Poles</v>
      </c>
      <c r="H82">
        <f>VLOOKUP($A82,'ecommerce-order (1)'!$A:$M,8,FALSE)</f>
        <v>1</v>
      </c>
      <c r="I82">
        <f>VLOOKUP($A82,'ecommerce-order (1)'!$A:$M,9,FALSE)</f>
        <v>80.099999999999994</v>
      </c>
      <c r="J82">
        <f>VLOOKUP($A82,'ecommerce-order (1)'!$A:$M,10,FALSE)</f>
        <v>80.099999999999994</v>
      </c>
      <c r="K82">
        <f>VLOOKUP($A82,'ecommerce-order (1)'!$A:$M,11,FALSE)</f>
        <v>520</v>
      </c>
      <c r="L82" t="str">
        <f>VLOOKUP($A82,'ecommerce-order (1)'!$A:$M,12,FALSE)</f>
        <v>GBP</v>
      </c>
      <c r="M82" t="str">
        <f>VLOOKUP($A82,'ecommerce-order (1)'!$A:$M,13,FALSE)</f>
        <v>completed</v>
      </c>
      <c r="N82" t="str">
        <f>IF(ISNA(VLOOKUP(A82,'ecommerce-order (1)'!A:A,1,FALSE)),"KEEEP","REMOVE")</f>
        <v>REMOVE</v>
      </c>
    </row>
    <row r="83" spans="1:14" x14ac:dyDescent="0.3">
      <c r="A83" t="s">
        <v>278</v>
      </c>
      <c r="B83" t="str">
        <f>VLOOKUP(A83,'ecommerce-order (1)'!$A:$M,2,FALSE)</f>
        <v>23-02-2026</v>
      </c>
      <c r="C83" t="str">
        <f>VLOOKUP($A83,'ecommerce-order (1)'!$A:$M,3,FALSE)</f>
        <v>customer0592@example.com</v>
      </c>
      <c r="D83" t="str">
        <f>VLOOKUP($A83,'ecommerce-order (1)'!$A:$M,4,FALSE)</f>
        <v>France</v>
      </c>
      <c r="E83" t="str">
        <f>VLOOKUP($A83,'ecommerce-order (1)'!$A:$M,5,FALSE)</f>
        <v>organic</v>
      </c>
      <c r="F83" t="str">
        <f>VLOOKUP($A83,'ecommerce-order (1)'!$A:$M,6,FALSE)</f>
        <v>FR-5567</v>
      </c>
      <c r="G83" t="str">
        <f>VLOOKUP($A83,'ecommerce-order (1)'!$A:$M,7,FALSE)</f>
        <v>Merino Base Layer</v>
      </c>
      <c r="H83">
        <f>VLOOKUP($A83,'ecommerce-order (1)'!$A:$M,8,FALSE)</f>
        <v>1</v>
      </c>
      <c r="I83">
        <f>VLOOKUP($A83,'ecommerce-order (1)'!$A:$M,9,FALSE)</f>
        <v>71.099999999999994</v>
      </c>
      <c r="J83">
        <f>VLOOKUP($A83,'ecommerce-order (1)'!$A:$M,10,FALSE)</f>
        <v>71.099999999999994</v>
      </c>
      <c r="K83">
        <f>VLOOKUP($A83,'ecommerce-order (1)'!$A:$M,11,FALSE)</f>
        <v>190</v>
      </c>
      <c r="L83" t="str">
        <f>VLOOKUP($A83,'ecommerce-order (1)'!$A:$M,12,FALSE)</f>
        <v>GBP</v>
      </c>
      <c r="M83" t="str">
        <f>VLOOKUP($A83,'ecommerce-order (1)'!$A:$M,13,FALSE)</f>
        <v>completed</v>
      </c>
      <c r="N83" t="str">
        <f>IF(ISNA(VLOOKUP(A83,'ecommerce-order (1)'!A:A,1,FALSE)),"KEEEP","REMOVE")</f>
        <v>REMOVE</v>
      </c>
    </row>
    <row r="84" spans="1:14" x14ac:dyDescent="0.3">
      <c r="A84" t="s">
        <v>280</v>
      </c>
      <c r="B84" t="str">
        <f>VLOOKUP(A84,'ecommerce-order (1)'!$A:$M,2,FALSE)</f>
        <v>06/30/2026</v>
      </c>
      <c r="C84" t="str">
        <f>VLOOKUP($A84,'ecommerce-order (1)'!$A:$M,3,FALSE)</f>
        <v>customer1164@example.com</v>
      </c>
      <c r="D84" t="str">
        <f>VLOOKUP($A84,'ecommerce-order (1)'!$A:$M,4,FALSE)</f>
        <v>Ireland</v>
      </c>
      <c r="E84" t="str">
        <f>VLOOKUP($A84,'ecommerce-order (1)'!$A:$M,5,FALSE)</f>
        <v>organic</v>
      </c>
      <c r="F84" t="str">
        <f>VLOOKUP($A84,'ecommerce-order (1)'!$A:$M,6,FALSE)</f>
        <v>FR-8890</v>
      </c>
      <c r="G84" t="str">
        <f>VLOOKUP($A84,'ecommerce-order (1)'!$A:$M,7,FALSE)</f>
        <v>Summit Down Gilet</v>
      </c>
      <c r="H84">
        <f>VLOOKUP($A84,'ecommerce-order (1)'!$A:$M,8,FALSE)</f>
        <v>-2</v>
      </c>
      <c r="I84">
        <f>VLOOKUP($A84,'ecommerce-order (1)'!$A:$M,9,FALSE)</f>
        <v>129</v>
      </c>
      <c r="J84">
        <f>VLOOKUP($A84,'ecommerce-order (1)'!$A:$M,10,FALSE)</f>
        <v>-258</v>
      </c>
      <c r="K84">
        <f>VLOOKUP($A84,'ecommerce-order (1)'!$A:$M,11,FALSE)</f>
        <v>0.38</v>
      </c>
      <c r="L84" t="str">
        <f>VLOOKUP($A84,'ecommerce-order (1)'!$A:$M,12,FALSE)</f>
        <v>GBP</v>
      </c>
      <c r="M84" t="str">
        <f>VLOOKUP($A84,'ecommerce-order (1)'!$A:$M,13,FALSE)</f>
        <v>completed</v>
      </c>
      <c r="N84" t="str">
        <f>IF(ISNA(VLOOKUP(A84,'ecommerce-order (1)'!A:A,1,FALSE)),"KEEEP","REMOVE")</f>
        <v>REMOVE</v>
      </c>
    </row>
    <row r="85" spans="1:14" x14ac:dyDescent="0.3">
      <c r="A85" t="s">
        <v>283</v>
      </c>
      <c r="B85" t="str">
        <f>VLOOKUP(A85,'ecommerce-order (1)'!$A:$M,2,FALSE)</f>
        <v>20-02-2026</v>
      </c>
      <c r="C85" t="str">
        <f>VLOOKUP($A85,'ecommerce-order (1)'!$A:$M,3,FALSE)</f>
        <v>customer0990@example.com</v>
      </c>
      <c r="D85" t="str">
        <f>VLOOKUP($A85,'ecommerce-order (1)'!$A:$M,4,FALSE)</f>
        <v>France</v>
      </c>
      <c r="E85" t="str">
        <f>VLOOKUP($A85,'ecommerce-order (1)'!$A:$M,5,FALSE)</f>
        <v>social</v>
      </c>
      <c r="F85" t="str">
        <f>VLOOKUP($A85,'ecommerce-order (1)'!$A:$M,6,FALSE)</f>
        <v>FR-5567</v>
      </c>
      <c r="G85" t="str">
        <f>VLOOKUP($A85,'ecommerce-order (1)'!$A:$M,7,FALSE)</f>
        <v>Merino Base Layer</v>
      </c>
      <c r="H85">
        <f>VLOOKUP($A85,'ecommerce-order (1)'!$A:$M,8,FALSE)</f>
        <v>1</v>
      </c>
      <c r="I85">
        <f>VLOOKUP($A85,'ecommerce-order (1)'!$A:$M,9,FALSE)</f>
        <v>79</v>
      </c>
      <c r="J85">
        <f>VLOOKUP($A85,'ecommerce-order (1)'!$A:$M,10,FALSE)</f>
        <v>79</v>
      </c>
      <c r="K85">
        <f>VLOOKUP($A85,'ecommerce-order (1)'!$A:$M,11,FALSE)</f>
        <v>190</v>
      </c>
      <c r="L85" t="str">
        <f>VLOOKUP($A85,'ecommerce-order (1)'!$A:$M,12,FALSE)</f>
        <v>GBP</v>
      </c>
      <c r="M85" t="str">
        <f>VLOOKUP($A85,'ecommerce-order (1)'!$A:$M,13,FALSE)</f>
        <v>completed</v>
      </c>
      <c r="N85" t="str">
        <f>IF(ISNA(VLOOKUP(A85,'ecommerce-order (1)'!A:A,1,FALSE)),"KEEEP","REMOVE")</f>
        <v>REMOVE</v>
      </c>
    </row>
    <row r="86" spans="1:14" x14ac:dyDescent="0.3">
      <c r="A86" t="s">
        <v>286</v>
      </c>
      <c r="B86" t="str">
        <f>VLOOKUP(A86,'ecommerce-order (1)'!$A:$M,2,FALSE)</f>
        <v>25-05-2026</v>
      </c>
      <c r="C86" t="str">
        <f>VLOOKUP($A86,'ecommerce-order (1)'!$A:$M,3,FALSE)</f>
        <v>customer0809@example.com</v>
      </c>
      <c r="D86" t="str">
        <f>VLOOKUP($A86,'ecommerce-order (1)'!$A:$M,4,FALSE)</f>
        <v xml:space="preserve">uk </v>
      </c>
      <c r="E86" t="str">
        <f>VLOOKUP($A86,'ecommerce-order (1)'!$A:$M,5,FALSE)</f>
        <v>paid_search</v>
      </c>
      <c r="F86" t="str">
        <f>VLOOKUP($A86,'ecommerce-order (1)'!$A:$M,6,FALSE)</f>
        <v>FR-7781</v>
      </c>
      <c r="G86" t="str">
        <f>VLOOKUP($A86,'ecommerce-order (1)'!$A:$M,7,FALSE)</f>
        <v>Storm Overtrousers</v>
      </c>
      <c r="H86">
        <f>VLOOKUP($A86,'ecommerce-order (1)'!$A:$M,8,FALSE)</f>
        <v>2</v>
      </c>
      <c r="I86">
        <f>VLOOKUP($A86,'ecommerce-order (1)'!$A:$M,9,FALSE)</f>
        <v>95</v>
      </c>
      <c r="J86">
        <f>VLOOKUP($A86,'ecommerce-order (1)'!$A:$M,10,FALSE)</f>
        <v>190</v>
      </c>
      <c r="K86">
        <f>VLOOKUP($A86,'ecommerce-order (1)'!$A:$M,11,FALSE)</f>
        <v>0.41</v>
      </c>
      <c r="L86" t="str">
        <f>VLOOKUP($A86,'ecommerce-order (1)'!$A:$M,12,FALSE)</f>
        <v>GBP</v>
      </c>
      <c r="M86" t="str">
        <f>VLOOKUP($A86,'ecommerce-order (1)'!$A:$M,13,FALSE)</f>
        <v>completed</v>
      </c>
      <c r="N86" t="str">
        <f>IF(ISNA(VLOOKUP(A86,'ecommerce-order (1)'!A:A,1,FALSE)),"KEEEP","REMOVE")</f>
        <v>REMOVE</v>
      </c>
    </row>
    <row r="87" spans="1:14" x14ac:dyDescent="0.3">
      <c r="A87" t="s">
        <v>289</v>
      </c>
      <c r="B87" t="str">
        <f>VLOOKUP(A87,'ecommerce-order (1)'!$A:$M,2,FALSE)</f>
        <v>22-01-2026</v>
      </c>
      <c r="C87" t="str">
        <f>VLOOKUP($A87,'ecommerce-order (1)'!$A:$M,3,FALSE)</f>
        <v>customer0638@example.com</v>
      </c>
      <c r="D87" t="str">
        <f>VLOOKUP($A87,'ecommerce-order (1)'!$A:$M,4,FALSE)</f>
        <v>Germany</v>
      </c>
      <c r="E87" t="str">
        <f>VLOOKUP($A87,'ecommerce-order (1)'!$A:$M,5,FALSE)</f>
        <v>organic</v>
      </c>
      <c r="F87" t="str">
        <f>VLOOKUP($A87,'ecommerce-order (1)'!$A:$M,6,FALSE)</f>
        <v>FR-4471</v>
      </c>
      <c r="G87" t="str">
        <f>VLOOKUP($A87,'ecommerce-order (1)'!$A:$M,7,FALSE)</f>
        <v>Alpine Jacket</v>
      </c>
      <c r="H87">
        <f>VLOOKUP($A87,'ecommerce-order (1)'!$A:$M,8,FALSE)</f>
        <v>3</v>
      </c>
      <c r="I87">
        <f>VLOOKUP($A87,'ecommerce-order (1)'!$A:$M,9,FALSE)</f>
        <v>149</v>
      </c>
      <c r="J87">
        <f>VLOOKUP($A87,'ecommerce-order (1)'!$A:$M,10,FALSE)</f>
        <v>447</v>
      </c>
      <c r="K87">
        <f>VLOOKUP($A87,'ecommerce-order (1)'!$A:$M,11,FALSE)</f>
        <v>640</v>
      </c>
      <c r="L87" t="str">
        <f>VLOOKUP($A87,'ecommerce-order (1)'!$A:$M,12,FALSE)</f>
        <v>GBP</v>
      </c>
      <c r="M87" t="str">
        <f>VLOOKUP($A87,'ecommerce-order (1)'!$A:$M,13,FALSE)</f>
        <v>refunded</v>
      </c>
      <c r="N87" t="str">
        <f>IF(ISNA(VLOOKUP(A87,'ecommerce-order (1)'!A:A,1,FALSE)),"KEEEP","REMOVE")</f>
        <v>REMOVE</v>
      </c>
    </row>
    <row r="88" spans="1:14" x14ac:dyDescent="0.3">
      <c r="A88" t="s">
        <v>292</v>
      </c>
      <c r="B88" t="str">
        <f>VLOOKUP(A88,'ecommerce-order (1)'!$A:$M,2,FALSE)</f>
        <v>03/15/2026</v>
      </c>
      <c r="C88" t="str">
        <f>VLOOKUP($A88,'ecommerce-order (1)'!$A:$M,3,FALSE)</f>
        <v>customer1232@example.com</v>
      </c>
      <c r="D88" t="str">
        <f>VLOOKUP($A88,'ecommerce-order (1)'!$A:$M,4,FALSE)</f>
        <v xml:space="preserve">uk </v>
      </c>
      <c r="E88" t="str">
        <f>VLOOKUP($A88,'ecommerce-order (1)'!$A:$M,5,FALSE)</f>
        <v>email</v>
      </c>
      <c r="F88" t="str">
        <f>VLOOKUP($A88,'ecommerce-order (1)'!$A:$M,6,FALSE)</f>
        <v>FR-3345</v>
      </c>
      <c r="G88" t="str">
        <f>VLOOKUP($A88,'ecommerce-order (1)'!$A:$M,7,FALSE)</f>
        <v>CafÃ© Latte Mug</v>
      </c>
      <c r="H88">
        <f>VLOOKUP($A88,'ecommerce-order (1)'!$A:$M,8,FALSE)</f>
        <v>3</v>
      </c>
      <c r="I88">
        <f>VLOOKUP($A88,'ecommerce-order (1)'!$A:$M,9,FALSE)</f>
        <v>79</v>
      </c>
      <c r="J88">
        <f>VLOOKUP($A88,'ecommerce-order (1)'!$A:$M,10,FALSE)</f>
        <v>237</v>
      </c>
      <c r="K88">
        <f>VLOOKUP($A88,'ecommerce-order (1)'!$A:$M,11,FALSE)</f>
        <v>340</v>
      </c>
      <c r="L88" t="str">
        <f>VLOOKUP($A88,'ecommerce-order (1)'!$A:$M,12,FALSE)</f>
        <v>GBP</v>
      </c>
      <c r="M88" t="str">
        <f>VLOOKUP($A88,'ecommerce-order (1)'!$A:$M,13,FALSE)</f>
        <v>refunded</v>
      </c>
      <c r="N88" t="str">
        <f>IF(ISNA(VLOOKUP(A88,'ecommerce-order (1)'!A:A,1,FALSE)),"KEEEP","REMOVE")</f>
        <v>REMOVE</v>
      </c>
    </row>
    <row r="89" spans="1:14" x14ac:dyDescent="0.3">
      <c r="A89" t="s">
        <v>295</v>
      </c>
      <c r="B89" t="str">
        <f>VLOOKUP(A89,'ecommerce-order (1)'!$A:$M,2,FALSE)</f>
        <v>17-01-2026</v>
      </c>
      <c r="C89" t="str">
        <f>VLOOKUP($A89,'ecommerce-order (1)'!$A:$M,3,FALSE)</f>
        <v>customer0905@example.com</v>
      </c>
      <c r="D89" t="str">
        <f>VLOOKUP($A89,'ecommerce-order (1)'!$A:$M,4,FALSE)</f>
        <v>GB</v>
      </c>
      <c r="E89" t="str">
        <f>VLOOKUP($A89,'ecommerce-order (1)'!$A:$M,5,FALSE)</f>
        <v>organic</v>
      </c>
      <c r="F89" t="str">
        <f>VLOOKUP($A89,'ecommerce-order (1)'!$A:$M,6,FALSE)</f>
        <v>FR-4471</v>
      </c>
      <c r="G89" t="str">
        <f>VLOOKUP($A89,'ecommerce-order (1)'!$A:$M,7,FALSE)</f>
        <v>Alpine Jacket</v>
      </c>
      <c r="H89">
        <f>VLOOKUP($A89,'ecommerce-order (1)'!$A:$M,8,FALSE)</f>
        <v>1</v>
      </c>
      <c r="I89">
        <f>VLOOKUP($A89,'ecommerce-order (1)'!$A:$M,9,FALSE)</f>
        <v>12.5</v>
      </c>
      <c r="J89">
        <f>VLOOKUP($A89,'ecommerce-order (1)'!$A:$M,10,FALSE)</f>
        <v>12.5</v>
      </c>
      <c r="K89">
        <f>VLOOKUP($A89,'ecommerce-order (1)'!$A:$M,11,FALSE)</f>
        <v>640</v>
      </c>
      <c r="L89" t="str">
        <f>VLOOKUP($A89,'ecommerce-order (1)'!$A:$M,12,FALSE)</f>
        <v>EUR</v>
      </c>
      <c r="M89" t="str">
        <f>VLOOKUP($A89,'ecommerce-order (1)'!$A:$M,13,FALSE)</f>
        <v>completed</v>
      </c>
      <c r="N89" t="str">
        <f>IF(ISNA(VLOOKUP(A89,'ecommerce-order (1)'!A:A,1,FALSE)),"KEEEP","REMOVE")</f>
        <v>REMOVE</v>
      </c>
    </row>
    <row r="90" spans="1:14" x14ac:dyDescent="0.3">
      <c r="A90" t="s">
        <v>297</v>
      </c>
      <c r="B90" t="str">
        <f>VLOOKUP(A90,'ecommerce-order (1)'!$A:$M,2,FALSE)</f>
        <v>07-03-2026</v>
      </c>
      <c r="C90" t="str">
        <f>VLOOKUP($A90,'ecommerce-order (1)'!$A:$M,3,FALSE)</f>
        <v>customer1220@example.com</v>
      </c>
      <c r="D90" t="str">
        <f>VLOOKUP($A90,'ecommerce-order (1)'!$A:$M,4,FALSE)</f>
        <v>Ireland</v>
      </c>
      <c r="E90" t="str">
        <f>VLOOKUP($A90,'ecommerce-order (1)'!$A:$M,5,FALSE)</f>
        <v>social</v>
      </c>
      <c r="F90" t="str">
        <f>VLOOKUP($A90,'ecommerce-order (1)'!$A:$M,6,FALSE)</f>
        <v>FR-1120</v>
      </c>
      <c r="G90" t="str">
        <f>VLOOKUP($A90,'ecommerce-order (1)'!$A:$M,7,FALSE)</f>
        <v>Fell Runner Cap</v>
      </c>
      <c r="H90">
        <f>VLOOKUP($A90,'ecommerce-order (1)'!$A:$M,8,FALSE)</f>
        <v>1</v>
      </c>
      <c r="I90">
        <f>VLOOKUP($A90,'ecommerce-order (1)'!$A:$M,9,FALSE)</f>
        <v>45</v>
      </c>
      <c r="J90">
        <f>VLOOKUP($A90,'ecommerce-order (1)'!$A:$M,10,FALSE)</f>
        <v>45</v>
      </c>
      <c r="K90">
        <f>VLOOKUP($A90,'ecommerce-order (1)'!$A:$M,11,FALSE)</f>
        <v>85</v>
      </c>
      <c r="L90" t="str">
        <f>VLOOKUP($A90,'ecommerce-order (1)'!$A:$M,12,FALSE)</f>
        <v>GBP</v>
      </c>
      <c r="M90" t="str">
        <f>VLOOKUP($A90,'ecommerce-order (1)'!$A:$M,13,FALSE)</f>
        <v>completed</v>
      </c>
      <c r="N90" t="str">
        <f>IF(ISNA(VLOOKUP(A90,'ecommerce-order (1)'!A:A,1,FALSE)),"KEEEP","REMOVE")</f>
        <v>REMOVE</v>
      </c>
    </row>
    <row r="91" spans="1:14" x14ac:dyDescent="0.3">
      <c r="A91" t="s">
        <v>300</v>
      </c>
      <c r="B91" t="str">
        <f>VLOOKUP(A91,'ecommerce-order (1)'!$A:$M,2,FALSE)</f>
        <v>26-03-2026</v>
      </c>
      <c r="C91" t="str">
        <f>VLOOKUP($A91,'ecommerce-order (1)'!$A:$M,3,FALSE)</f>
        <v>customer0751@example.com</v>
      </c>
      <c r="D91" t="str">
        <f>VLOOKUP($A91,'ecommerce-order (1)'!$A:$M,4,FALSE)</f>
        <v>UK</v>
      </c>
      <c r="E91" t="str">
        <f>VLOOKUP($A91,'ecommerce-order (1)'!$A:$M,5,FALSE)</f>
        <v>email</v>
      </c>
      <c r="F91" t="str">
        <f>VLOOKUP($A91,'ecommerce-order (1)'!$A:$M,6,FALSE)</f>
        <v>FR-9902</v>
      </c>
      <c r="G91" t="str">
        <f>VLOOKUP($A91,'ecommerce-order (1)'!$A:$M,7,FALSE)</f>
        <v>Trekking Poles</v>
      </c>
      <c r="H91">
        <f>VLOOKUP($A91,'ecommerce-order (1)'!$A:$M,8,FALSE)</f>
        <v>1</v>
      </c>
      <c r="I91">
        <f>VLOOKUP($A91,'ecommerce-order (1)'!$A:$M,9,FALSE)</f>
        <v>89</v>
      </c>
      <c r="J91">
        <f>VLOOKUP($A91,'ecommerce-order (1)'!$A:$M,10,FALSE)</f>
        <v>89</v>
      </c>
      <c r="K91">
        <f>VLOOKUP($A91,'ecommerce-order (1)'!$A:$M,11,FALSE)</f>
        <v>520</v>
      </c>
      <c r="L91" t="str">
        <f>VLOOKUP($A91,'ecommerce-order (1)'!$A:$M,12,FALSE)</f>
        <v>GBP</v>
      </c>
      <c r="M91" t="str">
        <f>VLOOKUP($A91,'ecommerce-order (1)'!$A:$M,13,FALSE)</f>
        <v>completed</v>
      </c>
      <c r="N91" t="str">
        <f>IF(ISNA(VLOOKUP(A91,'ecommerce-order (1)'!A:A,1,FALSE)),"KEEEP","REMOVE")</f>
        <v>REMOVE</v>
      </c>
    </row>
    <row r="92" spans="1:14" x14ac:dyDescent="0.3">
      <c r="A92" t="s">
        <v>303</v>
      </c>
      <c r="B92" t="str">
        <f>VLOOKUP(A92,'ecommerce-order (1)'!$A:$M,2,FALSE)</f>
        <v>04-02-2026</v>
      </c>
      <c r="C92" t="str">
        <f>VLOOKUP($A92,'ecommerce-order (1)'!$A:$M,3,FALSE)</f>
        <v>customer0381@example.com</v>
      </c>
      <c r="D92" t="str">
        <f>VLOOKUP($A92,'ecommerce-order (1)'!$A:$M,4,FALSE)</f>
        <v>France</v>
      </c>
      <c r="E92" t="str">
        <f>VLOOKUP($A92,'ecommerce-order (1)'!$A:$M,5,FALSE)</f>
        <v>organic</v>
      </c>
      <c r="F92" t="str">
        <f>VLOOKUP($A92,'ecommerce-order (1)'!$A:$M,6,FALSE)</f>
        <v>FR-4471</v>
      </c>
      <c r="G92" t="str">
        <f>VLOOKUP($A92,'ecommerce-order (1)'!$A:$M,7,FALSE)</f>
        <v>Alpine Jacket</v>
      </c>
      <c r="H92">
        <f>VLOOKUP($A92,'ecommerce-order (1)'!$A:$M,8,FALSE)</f>
        <v>-1</v>
      </c>
      <c r="I92">
        <f>VLOOKUP($A92,'ecommerce-order (1)'!$A:$M,9,FALSE)</f>
        <v>12.5</v>
      </c>
      <c r="J92">
        <f>VLOOKUP($A92,'ecommerce-order (1)'!$A:$M,10,FALSE)</f>
        <v>-12.5</v>
      </c>
      <c r="K92">
        <f>VLOOKUP($A92,'ecommerce-order (1)'!$A:$M,11,FALSE)</f>
        <v>640</v>
      </c>
      <c r="L92" t="str">
        <f>VLOOKUP($A92,'ecommerce-order (1)'!$A:$M,12,FALSE)</f>
        <v>GBP</v>
      </c>
      <c r="M92" t="str">
        <f>VLOOKUP($A92,'ecommerce-order (1)'!$A:$M,13,FALSE)</f>
        <v>completed</v>
      </c>
      <c r="N92" t="str">
        <f>IF(ISNA(VLOOKUP(A92,'ecommerce-order (1)'!A:A,1,FALSE)),"KEEEP","REMOVE")</f>
        <v>REMOVE</v>
      </c>
    </row>
    <row r="93" spans="1:14" x14ac:dyDescent="0.3">
      <c r="A93" t="s">
        <v>306</v>
      </c>
      <c r="B93" t="str">
        <f>VLOOKUP(A93,'ecommerce-order (1)'!$A:$M,2,FALSE)</f>
        <v>01-03-2026</v>
      </c>
      <c r="C93" t="str">
        <f>VLOOKUP($A93,'ecommerce-order (1)'!$A:$M,3,FALSE)</f>
        <v>customer0673@example.com</v>
      </c>
      <c r="D93" t="str">
        <f>VLOOKUP($A93,'ecommerce-order (1)'!$A:$M,4,FALSE)</f>
        <v>gb</v>
      </c>
      <c r="E93" t="str">
        <f>VLOOKUP($A93,'ecommerce-order (1)'!$A:$M,5,FALSE)</f>
        <v>direct</v>
      </c>
      <c r="F93" t="str">
        <f>VLOOKUP($A93,'ecommerce-order (1)'!$A:$M,6,FALSE)</f>
        <v>FR-4471</v>
      </c>
      <c r="G93" t="str">
        <f>VLOOKUP($A93,'ecommerce-order (1)'!$A:$M,7,FALSE)</f>
        <v>Alpine Jacket</v>
      </c>
      <c r="H93">
        <f>VLOOKUP($A93,'ecommerce-order (1)'!$A:$M,8,FALSE)</f>
        <v>-1</v>
      </c>
      <c r="I93">
        <f>VLOOKUP($A93,'ecommerce-order (1)'!$A:$M,9,FALSE)</f>
        <v>80.099999999999994</v>
      </c>
      <c r="J93">
        <f>VLOOKUP($A93,'ecommerce-order (1)'!$A:$M,10,FALSE)</f>
        <v>-80.099999999999994</v>
      </c>
      <c r="K93">
        <f>VLOOKUP($A93,'ecommerce-order (1)'!$A:$M,11,FALSE)</f>
        <v>640</v>
      </c>
      <c r="L93" t="str">
        <f>VLOOKUP($A93,'ecommerce-order (1)'!$A:$M,12,FALSE)</f>
        <v>GBP</v>
      </c>
      <c r="M93" t="str">
        <f>VLOOKUP($A93,'ecommerce-order (1)'!$A:$M,13,FALSE)</f>
        <v>completed</v>
      </c>
      <c r="N93" t="str">
        <f>IF(ISNA(VLOOKUP(A93,'ecommerce-order (1)'!A:A,1,FALSE)),"KEEEP","REMOVE")</f>
        <v>REMOVE</v>
      </c>
    </row>
    <row r="94" spans="1:14" x14ac:dyDescent="0.3">
      <c r="A94" t="s">
        <v>308</v>
      </c>
      <c r="B94" t="str">
        <f>VLOOKUP(A94,'ecommerce-order (1)'!$A:$M,2,FALSE)</f>
        <v>11-06-2026</v>
      </c>
      <c r="C94" t="str">
        <f>VLOOKUP($A94,'ecommerce-order (1)'!$A:$M,3,FALSE)</f>
        <v>customer1140@example.com</v>
      </c>
      <c r="D94" t="str">
        <f>VLOOKUP($A94,'ecommerce-order (1)'!$A:$M,4,FALSE)</f>
        <v>France</v>
      </c>
      <c r="E94" t="str">
        <f>VLOOKUP($A94,'ecommerce-order (1)'!$A:$M,5,FALSE)</f>
        <v>paid_search</v>
      </c>
      <c r="F94" t="str">
        <f>VLOOKUP($A94,'ecommerce-order (1)'!$A:$M,6,FALSE)</f>
        <v>FR-7781</v>
      </c>
      <c r="G94" t="str">
        <f>VLOOKUP($A94,'ecommerce-order (1)'!$A:$M,7,FALSE)</f>
        <v>Storm Overtrousers</v>
      </c>
      <c r="H94">
        <f>VLOOKUP($A94,'ecommerce-order (1)'!$A:$M,8,FALSE)</f>
        <v>1</v>
      </c>
      <c r="I94">
        <f>VLOOKUP($A94,'ecommerce-order (1)'!$A:$M,9,FALSE)</f>
        <v>11.25</v>
      </c>
      <c r="J94">
        <f>VLOOKUP($A94,'ecommerce-order (1)'!$A:$M,10,FALSE)</f>
        <v>11.25</v>
      </c>
      <c r="K94">
        <f>VLOOKUP($A94,'ecommerce-order (1)'!$A:$M,11,FALSE)</f>
        <v>0.41</v>
      </c>
      <c r="L94" t="str">
        <f>VLOOKUP($A94,'ecommerce-order (1)'!$A:$M,12,FALSE)</f>
        <v>EUR</v>
      </c>
      <c r="M94" t="str">
        <f>VLOOKUP($A94,'ecommerce-order (1)'!$A:$M,13,FALSE)</f>
        <v>completed</v>
      </c>
      <c r="N94" t="str">
        <f>IF(ISNA(VLOOKUP(A94,'ecommerce-order (1)'!A:A,1,FALSE)),"KEEEP","REMOVE")</f>
        <v>REMOVE</v>
      </c>
    </row>
    <row r="95" spans="1:14" x14ac:dyDescent="0.3">
      <c r="A95" t="s">
        <v>311</v>
      </c>
      <c r="B95" t="str">
        <f>VLOOKUP(A95,'ecommerce-order (1)'!$A:$M,2,FALSE)</f>
        <v>07-03-2026</v>
      </c>
      <c r="C95" t="str">
        <f>VLOOKUP($A95,'ecommerce-order (1)'!$A:$M,3,FALSE)</f>
        <v>customer0044@example.com</v>
      </c>
      <c r="D95" t="str">
        <f>VLOOKUP($A95,'ecommerce-order (1)'!$A:$M,4,FALSE)</f>
        <v>Germany</v>
      </c>
      <c r="E95" t="str">
        <f>VLOOKUP($A95,'ecommerce-order (1)'!$A:$M,5,FALSE)</f>
        <v>social</v>
      </c>
      <c r="F95" t="str">
        <f>VLOOKUP($A95,'ecommerce-order (1)'!$A:$M,6,FALSE)</f>
        <v>FR-8890</v>
      </c>
      <c r="G95" t="str">
        <f>VLOOKUP($A95,'ecommerce-order (1)'!$A:$M,7,FALSE)</f>
        <v>Summit Down Gilet</v>
      </c>
      <c r="H95">
        <f>VLOOKUP($A95,'ecommerce-order (1)'!$A:$M,8,FALSE)</f>
        <v>2</v>
      </c>
      <c r="I95">
        <f>VLOOKUP($A95,'ecommerce-order (1)'!$A:$M,9,FALSE)</f>
        <v>95</v>
      </c>
      <c r="J95">
        <f>VLOOKUP($A95,'ecommerce-order (1)'!$A:$M,10,FALSE)</f>
        <v>190</v>
      </c>
      <c r="K95">
        <f>VLOOKUP($A95,'ecommerce-order (1)'!$A:$M,11,FALSE)</f>
        <v>380</v>
      </c>
      <c r="L95" t="str">
        <f>VLOOKUP($A95,'ecommerce-order (1)'!$A:$M,12,FALSE)</f>
        <v>EUR</v>
      </c>
      <c r="M95" t="str">
        <f>VLOOKUP($A95,'ecommerce-order (1)'!$A:$M,13,FALSE)</f>
        <v>refunded</v>
      </c>
      <c r="N95" t="str">
        <f>IF(ISNA(VLOOKUP(A95,'ecommerce-order (1)'!A:A,1,FALSE)),"KEEEP","REMOVE")</f>
        <v>REMOVE</v>
      </c>
    </row>
    <row r="96" spans="1:14" x14ac:dyDescent="0.3">
      <c r="A96" t="s">
        <v>313</v>
      </c>
      <c r="B96" t="str">
        <f>VLOOKUP(A96,'ecommerce-order (1)'!$A:$M,2,FALSE)</f>
        <v>06-03-2026</v>
      </c>
      <c r="C96" t="str">
        <f>VLOOKUP($A96,'ecommerce-order (1)'!$A:$M,3,FALSE)</f>
        <v>customer0412@example.com</v>
      </c>
      <c r="D96" t="str">
        <f>VLOOKUP($A96,'ecommerce-order (1)'!$A:$M,4,FALSE)</f>
        <v>gb</v>
      </c>
      <c r="E96" t="str">
        <f>VLOOKUP($A96,'ecommerce-order (1)'!$A:$M,5,FALSE)</f>
        <v>organic</v>
      </c>
      <c r="F96" t="str">
        <f>VLOOKUP($A96,'ecommerce-order (1)'!$A:$M,6,FALSE)</f>
        <v>FR-7781</v>
      </c>
      <c r="G96" t="str">
        <f>VLOOKUP($A96,'ecommerce-order (1)'!$A:$M,7,FALSE)</f>
        <v>Storm Overtrousers</v>
      </c>
      <c r="H96">
        <f>VLOOKUP($A96,'ecommerce-order (1)'!$A:$M,8,FALSE)</f>
        <v>2</v>
      </c>
      <c r="I96">
        <f>VLOOKUP($A96,'ecommerce-order (1)'!$A:$M,9,FALSE)</f>
        <v>95</v>
      </c>
      <c r="J96">
        <f>VLOOKUP($A96,'ecommerce-order (1)'!$A:$M,10,FALSE)</f>
        <v>190</v>
      </c>
      <c r="K96">
        <f>VLOOKUP($A96,'ecommerce-order (1)'!$A:$M,11,FALSE)</f>
        <v>410</v>
      </c>
      <c r="L96" t="str">
        <f>VLOOKUP($A96,'ecommerce-order (1)'!$A:$M,12,FALSE)</f>
        <v>GBP</v>
      </c>
      <c r="M96" t="str">
        <f>VLOOKUP($A96,'ecommerce-order (1)'!$A:$M,13,FALSE)</f>
        <v>completed</v>
      </c>
      <c r="N96" t="str">
        <f>IF(ISNA(VLOOKUP(A96,'ecommerce-order (1)'!A:A,1,FALSE)),"KEEEP","REMOVE")</f>
        <v>REMOVE</v>
      </c>
    </row>
    <row r="97" spans="1:14" x14ac:dyDescent="0.3">
      <c r="A97" t="s">
        <v>104</v>
      </c>
      <c r="B97" t="str">
        <f>VLOOKUP(A97,'ecommerce-order (1)'!$A:$M,2,FALSE)</f>
        <v>14-06-2026</v>
      </c>
      <c r="C97" t="str">
        <f>VLOOKUP($A97,'ecommerce-order (1)'!$A:$M,3,FALSE)</f>
        <v>customer1056@example.com</v>
      </c>
      <c r="D97" t="str">
        <f>VLOOKUP($A97,'ecommerce-order (1)'!$A:$M,4,FALSE)</f>
        <v xml:space="preserve">uk </v>
      </c>
      <c r="E97" t="str">
        <f>VLOOKUP($A97,'ecommerce-order (1)'!$A:$M,5,FALSE)</f>
        <v>email</v>
      </c>
      <c r="F97" t="str">
        <f>VLOOKUP($A97,'ecommerce-order (1)'!$A:$M,6,FALSE)</f>
        <v>FR-5567</v>
      </c>
      <c r="G97" t="str">
        <f>VLOOKUP($A97,'ecommerce-order (1)'!$A:$M,7,FALSE)</f>
        <v>Merino Base Layer</v>
      </c>
      <c r="H97">
        <f>VLOOKUP($A97,'ecommerce-order (1)'!$A:$M,8,FALSE)</f>
        <v>1</v>
      </c>
      <c r="I97">
        <f>VLOOKUP($A97,'ecommerce-order (1)'!$A:$M,9,FALSE)</f>
        <v>45</v>
      </c>
      <c r="J97">
        <f>VLOOKUP($A97,'ecommerce-order (1)'!$A:$M,10,FALSE)</f>
        <v>45</v>
      </c>
      <c r="K97">
        <f>VLOOKUP($A97,'ecommerce-order (1)'!$A:$M,11,FALSE)</f>
        <v>0.19</v>
      </c>
      <c r="L97" t="str">
        <f>VLOOKUP($A97,'ecommerce-order (1)'!$A:$M,12,FALSE)</f>
        <v>GBP</v>
      </c>
      <c r="M97" t="str">
        <f>VLOOKUP($A97,'ecommerce-order (1)'!$A:$M,13,FALSE)</f>
        <v>completed</v>
      </c>
      <c r="N97" t="str">
        <f>IF(ISNA(VLOOKUP(A97,'ecommerce-order (1)'!A:A,1,FALSE)),"KEEEP","REMOVE")</f>
        <v>REMOVE</v>
      </c>
    </row>
    <row r="98" spans="1:14" x14ac:dyDescent="0.3">
      <c r="A98" t="s">
        <v>315</v>
      </c>
      <c r="B98" t="str">
        <f>VLOOKUP(A98,'ecommerce-order (1)'!$A:$M,2,FALSE)</f>
        <v>29-04-2026</v>
      </c>
      <c r="C98" t="str">
        <f>VLOOKUP($A98,'ecommerce-order (1)'!$A:$M,3,FALSE)</f>
        <v>customer0761@example.com</v>
      </c>
      <c r="D98" t="str">
        <f>VLOOKUP($A98,'ecommerce-order (1)'!$A:$M,4,FALSE)</f>
        <v>gb</v>
      </c>
      <c r="E98" t="str">
        <f>VLOOKUP($A98,'ecommerce-order (1)'!$A:$M,5,FALSE)</f>
        <v>direct</v>
      </c>
      <c r="F98" t="str">
        <f>VLOOKUP($A98,'ecommerce-order (1)'!$A:$M,6,FALSE)</f>
        <v>FR-2210</v>
      </c>
      <c r="G98" t="str">
        <f>VLOOKUP($A98,'ecommerce-order (1)'!$A:$M,7,FALSE)</f>
        <v>Trail Softshell</v>
      </c>
      <c r="H98">
        <f>VLOOKUP($A98,'ecommerce-order (1)'!$A:$M,8,FALSE)</f>
        <v>2</v>
      </c>
      <c r="I98">
        <f>VLOOKUP($A98,'ecommerce-order (1)'!$A:$M,9,FALSE)</f>
        <v>11.25</v>
      </c>
      <c r="J98">
        <f>VLOOKUP($A98,'ecommerce-order (1)'!$A:$M,10,FALSE)</f>
        <v>22.5</v>
      </c>
      <c r="K98">
        <f>VLOOKUP($A98,'ecommerce-order (1)'!$A:$M,11,FALSE)</f>
        <v>0.52</v>
      </c>
      <c r="L98" t="str">
        <f>VLOOKUP($A98,'ecommerce-order (1)'!$A:$M,12,FALSE)</f>
        <v>GBP</v>
      </c>
      <c r="M98" t="str">
        <f>VLOOKUP($A98,'ecommerce-order (1)'!$A:$M,13,FALSE)</f>
        <v>completed</v>
      </c>
      <c r="N98" t="str">
        <f>IF(ISNA(VLOOKUP(A98,'ecommerce-order (1)'!A:A,1,FALSE)),"KEEEP","REMOVE")</f>
        <v>REMOVE</v>
      </c>
    </row>
    <row r="99" spans="1:14" x14ac:dyDescent="0.3">
      <c r="A99" t="s">
        <v>318</v>
      </c>
      <c r="B99" t="str">
        <f>VLOOKUP(A99,'ecommerce-order (1)'!$A:$M,2,FALSE)</f>
        <v>12-06-2026</v>
      </c>
      <c r="C99" t="str">
        <f>VLOOKUP($A99,'ecommerce-order (1)'!$A:$M,3,FALSE)</f>
        <v>customer0542@example.com</v>
      </c>
      <c r="D99" t="str">
        <f>VLOOKUP($A99,'ecommerce-order (1)'!$A:$M,4,FALSE)</f>
        <v>France</v>
      </c>
      <c r="E99" t="str">
        <f>VLOOKUP($A99,'ecommerce-order (1)'!$A:$M,5,FALSE)</f>
        <v>paid_search</v>
      </c>
      <c r="F99" t="str">
        <f>VLOOKUP($A99,'ecommerce-order (1)'!$A:$M,6,FALSE)</f>
        <v>FR-8890</v>
      </c>
      <c r="G99" t="str">
        <f>VLOOKUP($A99,'ecommerce-order (1)'!$A:$M,7,FALSE)</f>
        <v>Summit Down Gilet</v>
      </c>
      <c r="H99">
        <f>VLOOKUP($A99,'ecommerce-order (1)'!$A:$M,8,FALSE)</f>
        <v>1</v>
      </c>
      <c r="I99">
        <f>VLOOKUP($A99,'ecommerce-order (1)'!$A:$M,9,FALSE)</f>
        <v>21.6</v>
      </c>
      <c r="J99">
        <f>VLOOKUP($A99,'ecommerce-order (1)'!$A:$M,10,FALSE)</f>
        <v>21.6</v>
      </c>
      <c r="K99">
        <f>VLOOKUP($A99,'ecommerce-order (1)'!$A:$M,11,FALSE)</f>
        <v>0.38</v>
      </c>
      <c r="L99" t="str">
        <f>VLOOKUP($A99,'ecommerce-order (1)'!$A:$M,12,FALSE)</f>
        <v>GBP</v>
      </c>
      <c r="M99" t="str">
        <f>VLOOKUP($A99,'ecommerce-order (1)'!$A:$M,13,FALSE)</f>
        <v>completed</v>
      </c>
      <c r="N99" t="str">
        <f>IF(ISNA(VLOOKUP(A99,'ecommerce-order (1)'!A:A,1,FALSE)),"KEEEP","REMOVE")</f>
        <v>REMOVE</v>
      </c>
    </row>
    <row r="100" spans="1:14" x14ac:dyDescent="0.3">
      <c r="A100" t="s">
        <v>321</v>
      </c>
      <c r="B100" t="str">
        <f>VLOOKUP(A100,'ecommerce-order (1)'!$A:$M,2,FALSE)</f>
        <v>25-02-2026</v>
      </c>
      <c r="C100" t="str">
        <f>VLOOKUP($A100,'ecommerce-order (1)'!$A:$M,3,FALSE)</f>
        <v>customer0579@example.com</v>
      </c>
      <c r="D100" t="str">
        <f>VLOOKUP($A100,'ecommerce-order (1)'!$A:$M,4,FALSE)</f>
        <v>United Kingdom</v>
      </c>
      <c r="E100" t="str">
        <f>VLOOKUP($A100,'ecommerce-order (1)'!$A:$M,5,FALSE)</f>
        <v>organic</v>
      </c>
      <c r="F100" t="str">
        <f>VLOOKUP($A100,'ecommerce-order (1)'!$A:$M,6,FALSE)</f>
        <v>FR-3345</v>
      </c>
      <c r="G100" t="str">
        <f>VLOOKUP($A100,'ecommerce-order (1)'!$A:$M,7,FALSE)</f>
        <v>CafÃ© Latte Mug</v>
      </c>
      <c r="H100">
        <f>VLOOKUP($A100,'ecommerce-order (1)'!$A:$M,8,FALSE)</f>
        <v>2</v>
      </c>
      <c r="I100">
        <f>VLOOKUP($A100,'ecommerce-order (1)'!$A:$M,9,FALSE)</f>
        <v>71.099999999999994</v>
      </c>
      <c r="J100">
        <f>VLOOKUP($A100,'ecommerce-order (1)'!$A:$M,10,FALSE)</f>
        <v>142.19999999999999</v>
      </c>
      <c r="K100">
        <f>VLOOKUP($A100,'ecommerce-order (1)'!$A:$M,11,FALSE)</f>
        <v>340</v>
      </c>
      <c r="L100" t="str">
        <f>VLOOKUP($A100,'ecommerce-order (1)'!$A:$M,12,FALSE)</f>
        <v>GBP</v>
      </c>
      <c r="M100" t="str">
        <f>VLOOKUP($A100,'ecommerce-order (1)'!$A:$M,13,FALSE)</f>
        <v>completed</v>
      </c>
      <c r="N100" t="str">
        <f>IF(ISNA(VLOOKUP(A100,'ecommerce-order (1)'!A:A,1,FALSE)),"KEEEP","REMOVE")</f>
        <v>REMOVE</v>
      </c>
    </row>
    <row r="101" spans="1:14" x14ac:dyDescent="0.3">
      <c r="A101" t="s">
        <v>324</v>
      </c>
      <c r="B101" t="str">
        <f>VLOOKUP(A101,'ecommerce-order (1)'!$A:$M,2,FALSE)</f>
        <v>26-05-2026</v>
      </c>
      <c r="C101" t="str">
        <f>VLOOKUP($A101,'ecommerce-order (1)'!$A:$M,3,FALSE)</f>
        <v>customer0672@example.com</v>
      </c>
      <c r="D101" t="str">
        <f>VLOOKUP($A101,'ecommerce-order (1)'!$A:$M,4,FALSE)</f>
        <v>France</v>
      </c>
      <c r="E101" t="str">
        <f>VLOOKUP($A101,'ecommerce-order (1)'!$A:$M,5,FALSE)</f>
        <v>paid_search</v>
      </c>
      <c r="F101" t="str">
        <f>VLOOKUP($A101,'ecommerce-order (1)'!$A:$M,6,FALSE)</f>
        <v>FR-8890</v>
      </c>
      <c r="G101" t="str">
        <f>VLOOKUP($A101,'ecommerce-order (1)'!$A:$M,7,FALSE)</f>
        <v>Summit Down Gilet</v>
      </c>
      <c r="H101">
        <f>VLOOKUP($A101,'ecommerce-order (1)'!$A:$M,8,FALSE)</f>
        <v>1</v>
      </c>
      <c r="I101">
        <f>VLOOKUP($A101,'ecommerce-order (1)'!$A:$M,9,FALSE)</f>
        <v>89</v>
      </c>
      <c r="J101">
        <f>VLOOKUP($A101,'ecommerce-order (1)'!$A:$M,10,FALSE)</f>
        <v>89</v>
      </c>
      <c r="K101">
        <f>VLOOKUP($A101,'ecommerce-order (1)'!$A:$M,11,FALSE)</f>
        <v>0.38</v>
      </c>
      <c r="L101" t="str">
        <f>VLOOKUP($A101,'ecommerce-order (1)'!$A:$M,12,FALSE)</f>
        <v>GBP</v>
      </c>
      <c r="M101" t="str">
        <f>VLOOKUP($A101,'ecommerce-order (1)'!$A:$M,13,FALSE)</f>
        <v>completed</v>
      </c>
      <c r="N101" t="str">
        <f>IF(ISNA(VLOOKUP(A101,'ecommerce-order (1)'!A:A,1,FALSE)),"KEEEP","REMOVE")</f>
        <v>REMOVE</v>
      </c>
    </row>
    <row r="102" spans="1:14" x14ac:dyDescent="0.3">
      <c r="A102" t="s">
        <v>326</v>
      </c>
      <c r="B102" t="str">
        <f>VLOOKUP(A102,'ecommerce-order (1)'!$A:$M,2,FALSE)</f>
        <v>05-06-2026</v>
      </c>
      <c r="C102" t="str">
        <f>VLOOKUP($A102,'ecommerce-order (1)'!$A:$M,3,FALSE)</f>
        <v>customer0891@example.com</v>
      </c>
      <c r="D102" t="str">
        <f>VLOOKUP($A102,'ecommerce-order (1)'!$A:$M,4,FALSE)</f>
        <v>United Kingdom</v>
      </c>
      <c r="E102" t="str">
        <f>VLOOKUP($A102,'ecommerce-order (1)'!$A:$M,5,FALSE)</f>
        <v>direct</v>
      </c>
      <c r="F102" t="str">
        <f>VLOOKUP($A102,'ecommerce-order (1)'!$A:$M,6,FALSE)</f>
        <v>FR-9902</v>
      </c>
      <c r="G102" t="str">
        <f>VLOOKUP($A102,'ecommerce-order (1)'!$A:$M,7,FALSE)</f>
        <v>Trekking Poles</v>
      </c>
      <c r="H102">
        <f>VLOOKUP($A102,'ecommerce-order (1)'!$A:$M,8,FALSE)</f>
        <v>2</v>
      </c>
      <c r="I102">
        <f>VLOOKUP($A102,'ecommerce-order (1)'!$A:$M,9,FALSE)</f>
        <v>80.099999999999994</v>
      </c>
      <c r="J102">
        <f>VLOOKUP($A102,'ecommerce-order (1)'!$A:$M,10,FALSE)</f>
        <v>160.19999999999999</v>
      </c>
      <c r="K102">
        <f>VLOOKUP($A102,'ecommerce-order (1)'!$A:$M,11,FALSE)</f>
        <v>0.52</v>
      </c>
      <c r="L102" t="str">
        <f>VLOOKUP($A102,'ecommerce-order (1)'!$A:$M,12,FALSE)</f>
        <v>GBP</v>
      </c>
      <c r="M102" t="str">
        <f>VLOOKUP($A102,'ecommerce-order (1)'!$A:$M,13,FALSE)</f>
        <v>completed</v>
      </c>
      <c r="N102" t="str">
        <f>IF(ISNA(VLOOKUP(A102,'ecommerce-order (1)'!A:A,1,FALSE)),"KEEEP","REMOVE")</f>
        <v>REMOVE</v>
      </c>
    </row>
    <row r="103" spans="1:14" x14ac:dyDescent="0.3">
      <c r="A103" t="s">
        <v>329</v>
      </c>
      <c r="B103" t="str">
        <f>VLOOKUP(A103,'ecommerce-order (1)'!$A:$M,2,FALSE)</f>
        <v>03/29/2026</v>
      </c>
      <c r="C103" t="str">
        <f>VLOOKUP($A103,'ecommerce-order (1)'!$A:$M,3,FALSE)</f>
        <v>customer0068@example.com</v>
      </c>
      <c r="D103" t="str">
        <f>VLOOKUP($A103,'ecommerce-order (1)'!$A:$M,4,FALSE)</f>
        <v>gb</v>
      </c>
      <c r="E103" t="str">
        <f>VLOOKUP($A103,'ecommerce-order (1)'!$A:$M,5,FALSE)</f>
        <v>social</v>
      </c>
      <c r="F103" t="str">
        <f>VLOOKUP($A103,'ecommerce-order (1)'!$A:$M,6,FALSE)</f>
        <v>FR-8890</v>
      </c>
      <c r="G103" t="str">
        <f>VLOOKUP($A103,'ecommerce-order (1)'!$A:$M,7,FALSE)</f>
        <v>Summit Down Gilet</v>
      </c>
      <c r="H103">
        <f>VLOOKUP($A103,'ecommerce-order (1)'!$A:$M,8,FALSE)</f>
        <v>3</v>
      </c>
      <c r="I103">
        <f>VLOOKUP($A103,'ecommerce-order (1)'!$A:$M,9,FALSE)</f>
        <v>24</v>
      </c>
      <c r="J103">
        <f>VLOOKUP($A103,'ecommerce-order (1)'!$A:$M,10,FALSE)</f>
        <v>72</v>
      </c>
      <c r="K103">
        <f>VLOOKUP($A103,'ecommerce-order (1)'!$A:$M,11,FALSE)</f>
        <v>380</v>
      </c>
      <c r="L103" t="str">
        <f>VLOOKUP($A103,'ecommerce-order (1)'!$A:$M,12,FALSE)</f>
        <v>GBP</v>
      </c>
      <c r="M103" t="str">
        <f>VLOOKUP($A103,'ecommerce-order (1)'!$A:$M,13,FALSE)</f>
        <v>completed</v>
      </c>
      <c r="N103" t="str">
        <f>IF(ISNA(VLOOKUP(A103,'ecommerce-order (1)'!A:A,1,FALSE)),"KEEEP","REMOVE")</f>
        <v>REMOVE</v>
      </c>
    </row>
    <row r="104" spans="1:14" x14ac:dyDescent="0.3">
      <c r="A104" t="s">
        <v>332</v>
      </c>
      <c r="B104" t="str">
        <f>VLOOKUP(A104,'ecommerce-order (1)'!$A:$M,2,FALSE)</f>
        <v>25-06-2026</v>
      </c>
      <c r="C104" t="str">
        <f>VLOOKUP($A104,'ecommerce-order (1)'!$A:$M,3,FALSE)</f>
        <v>customer0929@example.com</v>
      </c>
      <c r="D104" t="str">
        <f>VLOOKUP($A104,'ecommerce-order (1)'!$A:$M,4,FALSE)</f>
        <v xml:space="preserve">uk </v>
      </c>
      <c r="E104" t="str">
        <f>VLOOKUP($A104,'ecommerce-order (1)'!$A:$M,5,FALSE)</f>
        <v>email</v>
      </c>
      <c r="F104" t="str">
        <f>VLOOKUP($A104,'ecommerce-order (1)'!$A:$M,6,FALSE)</f>
        <v>FR-3345</v>
      </c>
      <c r="G104" t="str">
        <f>VLOOKUP($A104,'ecommerce-order (1)'!$A:$M,7,FALSE)</f>
        <v>CafÃ© Latte Mug</v>
      </c>
      <c r="H104">
        <f>VLOOKUP($A104,'ecommerce-order (1)'!$A:$M,8,FALSE)</f>
        <v>3</v>
      </c>
      <c r="I104">
        <f>VLOOKUP($A104,'ecommerce-order (1)'!$A:$M,9,FALSE)</f>
        <v>45</v>
      </c>
      <c r="J104">
        <f>VLOOKUP($A104,'ecommerce-order (1)'!$A:$M,10,FALSE)</f>
        <v>135</v>
      </c>
      <c r="K104">
        <f>VLOOKUP($A104,'ecommerce-order (1)'!$A:$M,11,FALSE)</f>
        <v>0.34</v>
      </c>
      <c r="L104" t="str">
        <f>VLOOKUP($A104,'ecommerce-order (1)'!$A:$M,12,FALSE)</f>
        <v>GBP</v>
      </c>
      <c r="M104" t="str">
        <f>VLOOKUP($A104,'ecommerce-order (1)'!$A:$M,13,FALSE)</f>
        <v>completed</v>
      </c>
      <c r="N104" t="str">
        <f>IF(ISNA(VLOOKUP(A104,'ecommerce-order (1)'!A:A,1,FALSE)),"KEEEP","REMOVE")</f>
        <v>REMOVE</v>
      </c>
    </row>
    <row r="105" spans="1:14" x14ac:dyDescent="0.3">
      <c r="A105" t="s">
        <v>335</v>
      </c>
      <c r="B105" t="str">
        <f>VLOOKUP(A105,'ecommerce-order (1)'!$A:$M,2,FALSE)</f>
        <v>04-07-2026</v>
      </c>
      <c r="C105" t="str">
        <f>VLOOKUP($A105,'ecommerce-order (1)'!$A:$M,3,FALSE)</f>
        <v>customer0061@example.com</v>
      </c>
      <c r="D105" t="str">
        <f>VLOOKUP($A105,'ecommerce-order (1)'!$A:$M,4,FALSE)</f>
        <v>Germany</v>
      </c>
      <c r="E105" t="str">
        <f>VLOOKUP($A105,'ecommerce-order (1)'!$A:$M,5,FALSE)</f>
        <v>social</v>
      </c>
      <c r="F105" t="str">
        <f>VLOOKUP($A105,'ecommerce-order (1)'!$A:$M,6,FALSE)</f>
        <v>FR-8890</v>
      </c>
      <c r="G105" t="str">
        <f>VLOOKUP($A105,'ecommerce-order (1)'!$A:$M,7,FALSE)</f>
        <v>Summit Down Gilet</v>
      </c>
      <c r="H105">
        <f>VLOOKUP($A105,'ecommerce-order (1)'!$A:$M,8,FALSE)</f>
        <v>2</v>
      </c>
      <c r="I105">
        <f>VLOOKUP($A105,'ecommerce-order (1)'!$A:$M,9,FALSE)</f>
        <v>45</v>
      </c>
      <c r="J105">
        <f>VLOOKUP($A105,'ecommerce-order (1)'!$A:$M,10,FALSE)</f>
        <v>90</v>
      </c>
      <c r="K105">
        <f>VLOOKUP($A105,'ecommerce-order (1)'!$A:$M,11,FALSE)</f>
        <v>0.38</v>
      </c>
      <c r="L105" t="str">
        <f>VLOOKUP($A105,'ecommerce-order (1)'!$A:$M,12,FALSE)</f>
        <v>EUR</v>
      </c>
      <c r="M105" t="str">
        <f>VLOOKUP($A105,'ecommerce-order (1)'!$A:$M,13,FALSE)</f>
        <v>refunded</v>
      </c>
      <c r="N105" t="str">
        <f>IF(ISNA(VLOOKUP(A105,'ecommerce-order (1)'!A:A,1,FALSE)),"KEEEP","REMOVE")</f>
        <v>REMOVE</v>
      </c>
    </row>
    <row r="106" spans="1:14" x14ac:dyDescent="0.3">
      <c r="A106" t="s">
        <v>338</v>
      </c>
      <c r="B106" t="str">
        <f>VLOOKUP(A106,'ecommerce-order (1)'!$A:$M,2,FALSE)</f>
        <v>03-05-2026</v>
      </c>
      <c r="C106" t="str">
        <f>VLOOKUP($A106,'ecommerce-order (1)'!$A:$M,3,FALSE)</f>
        <v>customer0183@example.com</v>
      </c>
      <c r="D106" t="str">
        <f>VLOOKUP($A106,'ecommerce-order (1)'!$A:$M,4,FALSE)</f>
        <v xml:space="preserve"> UK</v>
      </c>
      <c r="E106" t="str">
        <f>VLOOKUP($A106,'ecommerce-order (1)'!$A:$M,5,FALSE)</f>
        <v>email</v>
      </c>
      <c r="F106" t="str">
        <f>VLOOKUP($A106,'ecommerce-order (1)'!$A:$M,6,FALSE)</f>
        <v>FR-8890</v>
      </c>
      <c r="G106" t="str">
        <f>VLOOKUP($A106,'ecommerce-order (1)'!$A:$M,7,FALSE)</f>
        <v>Summit Down Gilet</v>
      </c>
      <c r="H106">
        <f>VLOOKUP($A106,'ecommerce-order (1)'!$A:$M,8,FALSE)</f>
        <v>2</v>
      </c>
      <c r="I106">
        <f>VLOOKUP($A106,'ecommerce-order (1)'!$A:$M,9,FALSE)</f>
        <v>79</v>
      </c>
      <c r="J106">
        <f>VLOOKUP($A106,'ecommerce-order (1)'!$A:$M,10,FALSE)</f>
        <v>158</v>
      </c>
      <c r="K106">
        <f>VLOOKUP($A106,'ecommerce-order (1)'!$A:$M,11,FALSE)</f>
        <v>0.38</v>
      </c>
      <c r="L106" t="str">
        <f>VLOOKUP($A106,'ecommerce-order (1)'!$A:$M,12,FALSE)</f>
        <v>GBP</v>
      </c>
      <c r="M106" t="str">
        <f>VLOOKUP($A106,'ecommerce-order (1)'!$A:$M,13,FALSE)</f>
        <v>completed</v>
      </c>
      <c r="N106" t="str">
        <f>IF(ISNA(VLOOKUP(A106,'ecommerce-order (1)'!A:A,1,FALSE)),"KEEEP","REMOVE")</f>
        <v>REMOVE</v>
      </c>
    </row>
    <row r="107" spans="1:14" x14ac:dyDescent="0.3">
      <c r="A107" t="s">
        <v>341</v>
      </c>
      <c r="B107" t="str">
        <f>VLOOKUP(A107,'ecommerce-order (1)'!$A:$M,2,FALSE)</f>
        <v>22-04-2026</v>
      </c>
      <c r="C107" t="str">
        <f>VLOOKUP($A107,'ecommerce-order (1)'!$A:$M,3,FALSE)</f>
        <v>customer0541@example.com</v>
      </c>
      <c r="D107" t="str">
        <f>VLOOKUP($A107,'ecommerce-order (1)'!$A:$M,4,FALSE)</f>
        <v>United Kingdom</v>
      </c>
      <c r="E107" t="str">
        <f>VLOOKUP($A107,'ecommerce-order (1)'!$A:$M,5,FALSE)</f>
        <v>social</v>
      </c>
      <c r="F107" t="str">
        <f>VLOOKUP($A107,'ecommerce-order (1)'!$A:$M,6,FALSE)</f>
        <v>FR-5567</v>
      </c>
      <c r="G107" t="str">
        <f>VLOOKUP($A107,'ecommerce-order (1)'!$A:$M,7,FALSE)</f>
        <v>Merino Base Layer</v>
      </c>
      <c r="H107">
        <f>VLOOKUP($A107,'ecommerce-order (1)'!$A:$M,8,FALSE)</f>
        <v>2</v>
      </c>
      <c r="I107">
        <f>VLOOKUP($A107,'ecommerce-order (1)'!$A:$M,9,FALSE)</f>
        <v>89</v>
      </c>
      <c r="J107">
        <f>VLOOKUP($A107,'ecommerce-order (1)'!$A:$M,10,FALSE)</f>
        <v>178</v>
      </c>
      <c r="K107">
        <f>VLOOKUP($A107,'ecommerce-order (1)'!$A:$M,11,FALSE)</f>
        <v>0.19</v>
      </c>
      <c r="L107" t="str">
        <f>VLOOKUP($A107,'ecommerce-order (1)'!$A:$M,12,FALSE)</f>
        <v>GBP</v>
      </c>
      <c r="M107" t="str">
        <f>VLOOKUP($A107,'ecommerce-order (1)'!$A:$M,13,FALSE)</f>
        <v>completed</v>
      </c>
      <c r="N107" t="str">
        <f>IF(ISNA(VLOOKUP(A107,'ecommerce-order (1)'!A:A,1,FALSE)),"KEEEP","REMOVE")</f>
        <v>REMOVE</v>
      </c>
    </row>
    <row r="108" spans="1:14" x14ac:dyDescent="0.3">
      <c r="A108" t="s">
        <v>344</v>
      </c>
      <c r="B108" t="str">
        <f>VLOOKUP(A108,'ecommerce-order (1)'!$A:$M,2,FALSE)</f>
        <v>23-05-2026</v>
      </c>
      <c r="C108" t="str">
        <f>VLOOKUP($A108,'ecommerce-order (1)'!$A:$M,3,FALSE)</f>
        <v>customer0327@example.com</v>
      </c>
      <c r="D108" t="str">
        <f>VLOOKUP($A108,'ecommerce-order (1)'!$A:$M,4,FALSE)</f>
        <v>France</v>
      </c>
      <c r="E108" t="str">
        <f>VLOOKUP($A108,'ecommerce-order (1)'!$A:$M,5,FALSE)</f>
        <v>social</v>
      </c>
      <c r="F108" t="str">
        <f>VLOOKUP($A108,'ecommerce-order (1)'!$A:$M,6,FALSE)</f>
        <v>FR-9902</v>
      </c>
      <c r="G108" t="str">
        <f>VLOOKUP($A108,'ecommerce-order (1)'!$A:$M,7,FALSE)</f>
        <v>Trekking Poles</v>
      </c>
      <c r="H108">
        <f>VLOOKUP($A108,'ecommerce-order (1)'!$A:$M,8,FALSE)</f>
        <v>2</v>
      </c>
      <c r="I108">
        <f>VLOOKUP($A108,'ecommerce-order (1)'!$A:$M,9,FALSE)</f>
        <v>95</v>
      </c>
      <c r="J108">
        <f>VLOOKUP($A108,'ecommerce-order (1)'!$A:$M,10,FALSE)</f>
        <v>190</v>
      </c>
      <c r="K108">
        <f>VLOOKUP($A108,'ecommerce-order (1)'!$A:$M,11,FALSE)</f>
        <v>0.52</v>
      </c>
      <c r="L108" t="str">
        <f>VLOOKUP($A108,'ecommerce-order (1)'!$A:$M,12,FALSE)</f>
        <v>GBP</v>
      </c>
      <c r="M108" t="str">
        <f>VLOOKUP($A108,'ecommerce-order (1)'!$A:$M,13,FALSE)</f>
        <v>completed</v>
      </c>
      <c r="N108" t="str">
        <f>IF(ISNA(VLOOKUP(A108,'ecommerce-order (1)'!A:A,1,FALSE)),"KEEEP","REMOVE")</f>
        <v>REMOVE</v>
      </c>
    </row>
    <row r="109" spans="1:14" x14ac:dyDescent="0.3">
      <c r="A109" t="s">
        <v>347</v>
      </c>
      <c r="B109" t="str">
        <f>VLOOKUP(A109,'ecommerce-order (1)'!$A:$M,2,FALSE)</f>
        <v>01/13/2026</v>
      </c>
      <c r="C109" t="str">
        <f>VLOOKUP($A109,'ecommerce-order (1)'!$A:$M,3,FALSE)</f>
        <v>customer0273@example.com</v>
      </c>
      <c r="D109" t="str">
        <f>VLOOKUP($A109,'ecommerce-order (1)'!$A:$M,4,FALSE)</f>
        <v xml:space="preserve"> UK</v>
      </c>
      <c r="E109" t="str">
        <f>VLOOKUP($A109,'ecommerce-order (1)'!$A:$M,5,FALSE)</f>
        <v>social</v>
      </c>
      <c r="F109" t="str">
        <f>VLOOKUP($A109,'ecommerce-order (1)'!$A:$M,6,FALSE)</f>
        <v>FR-2210</v>
      </c>
      <c r="G109" t="str">
        <f>VLOOKUP($A109,'ecommerce-order (1)'!$A:$M,7,FALSE)</f>
        <v>Trail Softshell</v>
      </c>
      <c r="H109">
        <f>VLOOKUP($A109,'ecommerce-order (1)'!$A:$M,8,FALSE)</f>
        <v>3</v>
      </c>
      <c r="I109">
        <f>VLOOKUP($A109,'ecommerce-order (1)'!$A:$M,9,FALSE)</f>
        <v>129</v>
      </c>
      <c r="J109">
        <f>VLOOKUP($A109,'ecommerce-order (1)'!$A:$M,10,FALSE)</f>
        <v>387</v>
      </c>
      <c r="K109">
        <f>VLOOKUP($A109,'ecommerce-order (1)'!$A:$M,11,FALSE)</f>
        <v>520</v>
      </c>
      <c r="L109" t="str">
        <f>VLOOKUP($A109,'ecommerce-order (1)'!$A:$M,12,FALSE)</f>
        <v>EUR</v>
      </c>
      <c r="M109" t="str">
        <f>VLOOKUP($A109,'ecommerce-order (1)'!$A:$M,13,FALSE)</f>
        <v>refunded</v>
      </c>
      <c r="N109" t="str">
        <f>IF(ISNA(VLOOKUP(A109,'ecommerce-order (1)'!A:A,1,FALSE)),"KEEEP","REMOVE")</f>
        <v>REMOVE</v>
      </c>
    </row>
    <row r="110" spans="1:14" x14ac:dyDescent="0.3">
      <c r="A110" t="s">
        <v>350</v>
      </c>
      <c r="B110" t="str">
        <f>VLOOKUP(A110,'ecommerce-order (1)'!$A:$M,2,FALSE)</f>
        <v>04/13/2026</v>
      </c>
      <c r="C110" t="str">
        <f>VLOOKUP($A110,'ecommerce-order (1)'!$A:$M,3,FALSE)</f>
        <v>customer0524@example.com</v>
      </c>
      <c r="D110" t="str">
        <f>VLOOKUP($A110,'ecommerce-order (1)'!$A:$M,4,FALSE)</f>
        <v>gb</v>
      </c>
      <c r="E110" t="str">
        <f>VLOOKUP($A110,'ecommerce-order (1)'!$A:$M,5,FALSE)</f>
        <v>paid_search</v>
      </c>
      <c r="F110" t="str">
        <f>VLOOKUP($A110,'ecommerce-order (1)'!$A:$M,6,FALSE)</f>
        <v>FR-9902</v>
      </c>
      <c r="G110" t="str">
        <f>VLOOKUP($A110,'ecommerce-order (1)'!$A:$M,7,FALSE)</f>
        <v>Trekking Poles</v>
      </c>
      <c r="H110">
        <f>VLOOKUP($A110,'ecommerce-order (1)'!$A:$M,8,FALSE)</f>
        <v>2</v>
      </c>
      <c r="I110">
        <f>VLOOKUP($A110,'ecommerce-order (1)'!$A:$M,9,FALSE)</f>
        <v>134.1</v>
      </c>
      <c r="J110">
        <f>VLOOKUP($A110,'ecommerce-order (1)'!$A:$M,10,FALSE)</f>
        <v>268.2</v>
      </c>
      <c r="K110">
        <f>VLOOKUP($A110,'ecommerce-order (1)'!$A:$M,11,FALSE)</f>
        <v>520</v>
      </c>
      <c r="L110" t="str">
        <f>VLOOKUP($A110,'ecommerce-order (1)'!$A:$M,12,FALSE)</f>
        <v>GBP</v>
      </c>
      <c r="M110" t="str">
        <f>VLOOKUP($A110,'ecommerce-order (1)'!$A:$M,13,FALSE)</f>
        <v>refunded</v>
      </c>
      <c r="N110" t="str">
        <f>IF(ISNA(VLOOKUP(A110,'ecommerce-order (1)'!A:A,1,FALSE)),"KEEEP","REMOVE")</f>
        <v>REMOVE</v>
      </c>
    </row>
    <row r="111" spans="1:14" x14ac:dyDescent="0.3">
      <c r="A111" t="s">
        <v>353</v>
      </c>
      <c r="B111" t="str">
        <f>VLOOKUP(A111,'ecommerce-order (1)'!$A:$M,2,FALSE)</f>
        <v>22-05-2026</v>
      </c>
      <c r="C111" t="str">
        <f>VLOOKUP($A111,'ecommerce-order (1)'!$A:$M,3,FALSE)</f>
        <v>customer1305@example.com</v>
      </c>
      <c r="D111" t="str">
        <f>VLOOKUP($A111,'ecommerce-order (1)'!$A:$M,4,FALSE)</f>
        <v xml:space="preserve"> UK</v>
      </c>
      <c r="E111" t="str">
        <f>VLOOKUP($A111,'ecommerce-order (1)'!$A:$M,5,FALSE)</f>
        <v>organic</v>
      </c>
      <c r="F111" t="str">
        <f>VLOOKUP($A111,'ecommerce-order (1)'!$A:$M,6,FALSE)</f>
        <v>FR-4471</v>
      </c>
      <c r="G111" t="str">
        <f>VLOOKUP($A111,'ecommerce-order (1)'!$A:$M,7,FALSE)</f>
        <v>Alpine Jacket</v>
      </c>
      <c r="H111">
        <f>VLOOKUP($A111,'ecommerce-order (1)'!$A:$M,8,FALSE)</f>
        <v>2</v>
      </c>
      <c r="I111">
        <f>VLOOKUP($A111,'ecommerce-order (1)'!$A:$M,9,FALSE)</f>
        <v>0</v>
      </c>
      <c r="J111">
        <f>VLOOKUP($A111,'ecommerce-order (1)'!$A:$M,10,FALSE)</f>
        <v>160.19999999999999</v>
      </c>
      <c r="K111">
        <f>VLOOKUP($A111,'ecommerce-order (1)'!$A:$M,11,FALSE)</f>
        <v>0.64</v>
      </c>
      <c r="L111" t="str">
        <f>VLOOKUP($A111,'ecommerce-order (1)'!$A:$M,12,FALSE)</f>
        <v>GBP</v>
      </c>
      <c r="M111" t="str">
        <f>VLOOKUP($A111,'ecommerce-order (1)'!$A:$M,13,FALSE)</f>
        <v>completed</v>
      </c>
      <c r="N111" t="str">
        <f>IF(ISNA(VLOOKUP(A111,'ecommerce-order (1)'!A:A,1,FALSE)),"KEEEP","REMOVE")</f>
        <v>REMOVE</v>
      </c>
    </row>
    <row r="112" spans="1:14" x14ac:dyDescent="0.3">
      <c r="A112" t="s">
        <v>356</v>
      </c>
      <c r="B112" t="str">
        <f>VLOOKUP(A112,'ecommerce-order (1)'!$A:$M,2,FALSE)</f>
        <v>21-03-2026</v>
      </c>
      <c r="C112" t="str">
        <f>VLOOKUP($A112,'ecommerce-order (1)'!$A:$M,3,FALSE)</f>
        <v>customer1001@example.com</v>
      </c>
      <c r="D112" t="str">
        <f>VLOOKUP($A112,'ecommerce-order (1)'!$A:$M,4,FALSE)</f>
        <v>Germany</v>
      </c>
      <c r="E112" t="str">
        <f>VLOOKUP($A112,'ecommerce-order (1)'!$A:$M,5,FALSE)</f>
        <v>paid_search</v>
      </c>
      <c r="F112" t="str">
        <f>VLOOKUP($A112,'ecommerce-order (1)'!$A:$M,6,FALSE)</f>
        <v>FR-4471</v>
      </c>
      <c r="G112" t="str">
        <f>VLOOKUP($A112,'ecommerce-order (1)'!$A:$M,7,FALSE)</f>
        <v>Alpine Jacket</v>
      </c>
      <c r="H112">
        <f>VLOOKUP($A112,'ecommerce-order (1)'!$A:$M,8,FALSE)</f>
        <v>1</v>
      </c>
      <c r="I112">
        <f>VLOOKUP($A112,'ecommerce-order (1)'!$A:$M,9,FALSE)</f>
        <v>11.25</v>
      </c>
      <c r="J112">
        <f>VLOOKUP($A112,'ecommerce-order (1)'!$A:$M,10,FALSE)</f>
        <v>11.25</v>
      </c>
      <c r="K112">
        <f>VLOOKUP($A112,'ecommerce-order (1)'!$A:$M,11,FALSE)</f>
        <v>640</v>
      </c>
      <c r="L112" t="str">
        <f>VLOOKUP($A112,'ecommerce-order (1)'!$A:$M,12,FALSE)</f>
        <v>EUR</v>
      </c>
      <c r="M112" t="str">
        <f>VLOOKUP($A112,'ecommerce-order (1)'!$A:$M,13,FALSE)</f>
        <v>completed</v>
      </c>
      <c r="N112" t="str">
        <f>IF(ISNA(VLOOKUP(A112,'ecommerce-order (1)'!A:A,1,FALSE)),"KEEEP","REMOVE")</f>
        <v>REMOVE</v>
      </c>
    </row>
    <row r="113" spans="1:14" x14ac:dyDescent="0.3">
      <c r="A113" t="s">
        <v>359</v>
      </c>
      <c r="B113" t="str">
        <f>VLOOKUP(A113,'ecommerce-order (1)'!$A:$M,2,FALSE)</f>
        <v>17-06-2026</v>
      </c>
      <c r="C113" t="str">
        <f>VLOOKUP($A113,'ecommerce-order (1)'!$A:$M,3,FALSE)</f>
        <v>customer0058@example.com</v>
      </c>
      <c r="D113" t="str">
        <f>VLOOKUP($A113,'ecommerce-order (1)'!$A:$M,4,FALSE)</f>
        <v>gb</v>
      </c>
      <c r="E113" t="str">
        <f>VLOOKUP($A113,'ecommerce-order (1)'!$A:$M,5,FALSE)</f>
        <v>social</v>
      </c>
      <c r="F113" t="str">
        <f>VLOOKUP($A113,'ecommerce-order (1)'!$A:$M,6,FALSE)</f>
        <v>FR-4471</v>
      </c>
      <c r="G113" t="str">
        <f>VLOOKUP($A113,'ecommerce-order (1)'!$A:$M,7,FALSE)</f>
        <v>Alpine Jacket</v>
      </c>
      <c r="H113">
        <f>VLOOKUP($A113,'ecommerce-order (1)'!$A:$M,8,FALSE)</f>
        <v>1</v>
      </c>
      <c r="I113">
        <f>VLOOKUP($A113,'ecommerce-order (1)'!$A:$M,9,FALSE)</f>
        <v>45</v>
      </c>
      <c r="J113">
        <f>VLOOKUP($A113,'ecommerce-order (1)'!$A:$M,10,FALSE)</f>
        <v>45</v>
      </c>
      <c r="K113">
        <f>VLOOKUP($A113,'ecommerce-order (1)'!$A:$M,11,FALSE)</f>
        <v>0.64</v>
      </c>
      <c r="L113" t="str">
        <f>VLOOKUP($A113,'ecommerce-order (1)'!$A:$M,12,FALSE)</f>
        <v>GBP</v>
      </c>
      <c r="M113" t="str">
        <f>VLOOKUP($A113,'ecommerce-order (1)'!$A:$M,13,FALSE)</f>
        <v>completed</v>
      </c>
      <c r="N113" t="str">
        <f>IF(ISNA(VLOOKUP(A113,'ecommerce-order (1)'!A:A,1,FALSE)),"KEEEP","REMOVE")</f>
        <v>REMOVE</v>
      </c>
    </row>
    <row r="114" spans="1:14" x14ac:dyDescent="0.3">
      <c r="A114" t="s">
        <v>362</v>
      </c>
      <c r="B114" t="str">
        <f>VLOOKUP(A114,'ecommerce-order (1)'!$A:$M,2,FALSE)</f>
        <v>28-01-2026</v>
      </c>
      <c r="C114" t="str">
        <f>VLOOKUP($A114,'ecommerce-order (1)'!$A:$M,3,FALSE)</f>
        <v>customer0981@example.com</v>
      </c>
      <c r="D114" t="str">
        <f>VLOOKUP($A114,'ecommerce-order (1)'!$A:$M,4,FALSE)</f>
        <v>Ireland</v>
      </c>
      <c r="E114" t="str">
        <f>VLOOKUP($A114,'ecommerce-order (1)'!$A:$M,5,FALSE)</f>
        <v>paid_search</v>
      </c>
      <c r="F114" t="str">
        <f>VLOOKUP($A114,'ecommerce-order (1)'!$A:$M,6,FALSE)</f>
        <v>FR-1120</v>
      </c>
      <c r="G114" t="str">
        <f>VLOOKUP($A114,'ecommerce-order (1)'!$A:$M,7,FALSE)</f>
        <v>Fell Runner Cap</v>
      </c>
      <c r="H114">
        <f>VLOOKUP($A114,'ecommerce-order (1)'!$A:$M,8,FALSE)</f>
        <v>3</v>
      </c>
      <c r="I114">
        <f>VLOOKUP($A114,'ecommerce-order (1)'!$A:$M,9,FALSE)</f>
        <v>129</v>
      </c>
      <c r="J114">
        <f>VLOOKUP($A114,'ecommerce-order (1)'!$A:$M,10,FALSE)</f>
        <v>387</v>
      </c>
      <c r="K114">
        <f>VLOOKUP($A114,'ecommerce-order (1)'!$A:$M,11,FALSE)</f>
        <v>85</v>
      </c>
      <c r="L114" t="str">
        <f>VLOOKUP($A114,'ecommerce-order (1)'!$A:$M,12,FALSE)</f>
        <v>GBP</v>
      </c>
      <c r="M114" t="str">
        <f>VLOOKUP($A114,'ecommerce-order (1)'!$A:$M,13,FALSE)</f>
        <v>completed</v>
      </c>
      <c r="N114" t="str">
        <f>IF(ISNA(VLOOKUP(A114,'ecommerce-order (1)'!A:A,1,FALSE)),"KEEEP","REMOVE")</f>
        <v>REMOVE</v>
      </c>
    </row>
    <row r="115" spans="1:14" x14ac:dyDescent="0.3">
      <c r="A115" t="s">
        <v>365</v>
      </c>
      <c r="B115" t="str">
        <f>VLOOKUP(A115,'ecommerce-order (1)'!$A:$M,2,FALSE)</f>
        <v>17-05-2026</v>
      </c>
      <c r="C115" t="str">
        <f>VLOOKUP($A115,'ecommerce-order (1)'!$A:$M,3,FALSE)</f>
        <v>customer0114@example.com</v>
      </c>
      <c r="D115" t="str">
        <f>VLOOKUP($A115,'ecommerce-order (1)'!$A:$M,4,FALSE)</f>
        <v>Ireland</v>
      </c>
      <c r="E115" t="str">
        <f>VLOOKUP($A115,'ecommerce-order (1)'!$A:$M,5,FALSE)</f>
        <v>paid_search</v>
      </c>
      <c r="F115" t="str">
        <f>VLOOKUP($A115,'ecommerce-order (1)'!$A:$M,6,FALSE)</f>
        <v>FR-9902</v>
      </c>
      <c r="G115" t="str">
        <f>VLOOKUP($A115,'ecommerce-order (1)'!$A:$M,7,FALSE)</f>
        <v>Trekking Poles</v>
      </c>
      <c r="H115">
        <f>VLOOKUP($A115,'ecommerce-order (1)'!$A:$M,8,FALSE)</f>
        <v>1</v>
      </c>
      <c r="I115">
        <f>VLOOKUP($A115,'ecommerce-order (1)'!$A:$M,9,FALSE)</f>
        <v>45</v>
      </c>
      <c r="J115">
        <f>VLOOKUP($A115,'ecommerce-order (1)'!$A:$M,10,FALSE)</f>
        <v>45</v>
      </c>
      <c r="K115">
        <f>VLOOKUP($A115,'ecommerce-order (1)'!$A:$M,11,FALSE)</f>
        <v>0.52</v>
      </c>
      <c r="L115" t="str">
        <f>VLOOKUP($A115,'ecommerce-order (1)'!$A:$M,12,FALSE)</f>
        <v>GBP</v>
      </c>
      <c r="M115" t="str">
        <f>VLOOKUP($A115,'ecommerce-order (1)'!$A:$M,13,FALSE)</f>
        <v>refunded</v>
      </c>
      <c r="N115" t="str">
        <f>IF(ISNA(VLOOKUP(A115,'ecommerce-order (1)'!A:A,1,FALSE)),"KEEEP","REMOVE")</f>
        <v>REMOVE</v>
      </c>
    </row>
    <row r="116" spans="1:14" x14ac:dyDescent="0.3">
      <c r="A116" t="s">
        <v>368</v>
      </c>
      <c r="B116" t="str">
        <f>VLOOKUP(A116,'ecommerce-order (1)'!$A:$M,2,FALSE)</f>
        <v>07-01-2026</v>
      </c>
      <c r="C116" t="str">
        <f>VLOOKUP($A116,'ecommerce-order (1)'!$A:$M,3,FALSE)</f>
        <v>customer0626@example.com</v>
      </c>
      <c r="D116" t="str">
        <f>VLOOKUP($A116,'ecommerce-order (1)'!$A:$M,4,FALSE)</f>
        <v xml:space="preserve"> UK</v>
      </c>
      <c r="E116" t="str">
        <f>VLOOKUP($A116,'ecommerce-order (1)'!$A:$M,5,FALSE)</f>
        <v>direct</v>
      </c>
      <c r="F116" t="str">
        <f>VLOOKUP($A116,'ecommerce-order (1)'!$A:$M,6,FALSE)</f>
        <v>FR-1120</v>
      </c>
      <c r="G116" t="str">
        <f>VLOOKUP($A116,'ecommerce-order (1)'!$A:$M,7,FALSE)</f>
        <v>Fell Runner Cap</v>
      </c>
      <c r="H116">
        <f>VLOOKUP($A116,'ecommerce-order (1)'!$A:$M,8,FALSE)</f>
        <v>3</v>
      </c>
      <c r="I116">
        <f>VLOOKUP($A116,'ecommerce-order (1)'!$A:$M,9,FALSE)</f>
        <v>116.1</v>
      </c>
      <c r="J116">
        <f>VLOOKUP($A116,'ecommerce-order (1)'!$A:$M,10,FALSE)</f>
        <v>348.3</v>
      </c>
      <c r="K116">
        <f>VLOOKUP($A116,'ecommerce-order (1)'!$A:$M,11,FALSE)</f>
        <v>85</v>
      </c>
      <c r="L116" t="str">
        <f>VLOOKUP($A116,'ecommerce-order (1)'!$A:$M,12,FALSE)</f>
        <v>EUR</v>
      </c>
      <c r="M116" t="str">
        <f>VLOOKUP($A116,'ecommerce-order (1)'!$A:$M,13,FALSE)</f>
        <v>refunded</v>
      </c>
      <c r="N116" t="str">
        <f>IF(ISNA(VLOOKUP(A116,'ecommerce-order (1)'!A:A,1,FALSE)),"KEEEP","REMOVE")</f>
        <v>REMOVE</v>
      </c>
    </row>
    <row r="117" spans="1:14" x14ac:dyDescent="0.3">
      <c r="A117" t="s">
        <v>371</v>
      </c>
      <c r="B117" t="str">
        <f>VLOOKUP(A117,'ecommerce-order (1)'!$A:$M,2,FALSE)</f>
        <v>22-04-2026</v>
      </c>
      <c r="C117" t="str">
        <f>VLOOKUP($A117,'ecommerce-order (1)'!$A:$M,3,FALSE)</f>
        <v>customer0512@example.com</v>
      </c>
      <c r="D117" t="str">
        <f>VLOOKUP($A117,'ecommerce-order (1)'!$A:$M,4,FALSE)</f>
        <v xml:space="preserve">uk </v>
      </c>
      <c r="E117" t="str">
        <f>VLOOKUP($A117,'ecommerce-order (1)'!$A:$M,5,FALSE)</f>
        <v>paid_search</v>
      </c>
      <c r="F117" t="str">
        <f>VLOOKUP($A117,'ecommerce-order (1)'!$A:$M,6,FALSE)</f>
        <v>FR-5567</v>
      </c>
      <c r="G117" t="str">
        <f>VLOOKUP($A117,'ecommerce-order (1)'!$A:$M,7,FALSE)</f>
        <v>Merino Base Layer</v>
      </c>
      <c r="H117">
        <f>VLOOKUP($A117,'ecommerce-order (1)'!$A:$M,8,FALSE)</f>
        <v>1</v>
      </c>
      <c r="I117">
        <f>VLOOKUP($A117,'ecommerce-order (1)'!$A:$M,9,FALSE)</f>
        <v>129</v>
      </c>
      <c r="J117">
        <f>VLOOKUP($A117,'ecommerce-order (1)'!$A:$M,10,FALSE)</f>
        <v>129</v>
      </c>
      <c r="K117">
        <f>VLOOKUP($A117,'ecommerce-order (1)'!$A:$M,11,FALSE)</f>
        <v>0.19</v>
      </c>
      <c r="L117" t="str">
        <f>VLOOKUP($A117,'ecommerce-order (1)'!$A:$M,12,FALSE)</f>
        <v>GBP</v>
      </c>
      <c r="M117" t="str">
        <f>VLOOKUP($A117,'ecommerce-order (1)'!$A:$M,13,FALSE)</f>
        <v>completed</v>
      </c>
      <c r="N117" t="str">
        <f>IF(ISNA(VLOOKUP(A117,'ecommerce-order (1)'!A:A,1,FALSE)),"KEEEP","REMOVE")</f>
        <v>REMOVE</v>
      </c>
    </row>
    <row r="118" spans="1:14" x14ac:dyDescent="0.3">
      <c r="A118" t="s">
        <v>373</v>
      </c>
      <c r="B118" t="str">
        <f>VLOOKUP(A118,'ecommerce-order (1)'!$A:$M,2,FALSE)</f>
        <v>25-06-2026</v>
      </c>
      <c r="C118" t="str">
        <f>VLOOKUP($A118,'ecommerce-order (1)'!$A:$M,3,FALSE)</f>
        <v>customer0942@example.com</v>
      </c>
      <c r="D118" t="str">
        <f>VLOOKUP($A118,'ecommerce-order (1)'!$A:$M,4,FALSE)</f>
        <v xml:space="preserve">uk </v>
      </c>
      <c r="E118" t="str">
        <f>VLOOKUP($A118,'ecommerce-order (1)'!$A:$M,5,FALSE)</f>
        <v>direct</v>
      </c>
      <c r="F118" t="str">
        <f>VLOOKUP($A118,'ecommerce-order (1)'!$A:$M,6,FALSE)</f>
        <v>FR-9902</v>
      </c>
      <c r="G118" t="str">
        <f>VLOOKUP($A118,'ecommerce-order (1)'!$A:$M,7,FALSE)</f>
        <v>Trekking Poles</v>
      </c>
      <c r="H118">
        <f>VLOOKUP($A118,'ecommerce-order (1)'!$A:$M,8,FALSE)</f>
        <v>1</v>
      </c>
      <c r="I118">
        <f>VLOOKUP($A118,'ecommerce-order (1)'!$A:$M,9,FALSE)</f>
        <v>24</v>
      </c>
      <c r="J118">
        <f>VLOOKUP($A118,'ecommerce-order (1)'!$A:$M,10,FALSE)</f>
        <v>24</v>
      </c>
      <c r="K118">
        <f>VLOOKUP($A118,'ecommerce-order (1)'!$A:$M,11,FALSE)</f>
        <v>0.52</v>
      </c>
      <c r="L118" t="str">
        <f>VLOOKUP($A118,'ecommerce-order (1)'!$A:$M,12,FALSE)</f>
        <v>GBP</v>
      </c>
      <c r="M118" t="str">
        <f>VLOOKUP($A118,'ecommerce-order (1)'!$A:$M,13,FALSE)</f>
        <v>completed</v>
      </c>
      <c r="N118" t="str">
        <f>IF(ISNA(VLOOKUP(A118,'ecommerce-order (1)'!A:A,1,FALSE)),"KEEEP","REMOVE")</f>
        <v>REMOVE</v>
      </c>
    </row>
    <row r="119" spans="1:14" x14ac:dyDescent="0.3">
      <c r="A119" t="s">
        <v>375</v>
      </c>
      <c r="B119" t="str">
        <f>VLOOKUP(A119,'ecommerce-order (1)'!$A:$M,2,FALSE)</f>
        <v>09-06-2026</v>
      </c>
      <c r="C119" t="str">
        <f>VLOOKUP($A119,'ecommerce-order (1)'!$A:$M,3,FALSE)</f>
        <v>customer0095@example.com</v>
      </c>
      <c r="D119" t="str">
        <f>VLOOKUP($A119,'ecommerce-order (1)'!$A:$M,4,FALSE)</f>
        <v>GB</v>
      </c>
      <c r="E119" t="str">
        <f>VLOOKUP($A119,'ecommerce-order (1)'!$A:$M,5,FALSE)</f>
        <v>direct</v>
      </c>
      <c r="F119" t="str">
        <f>VLOOKUP($A119,'ecommerce-order (1)'!$A:$M,6,FALSE)</f>
        <v>FR-4471</v>
      </c>
      <c r="G119" t="str">
        <f>VLOOKUP($A119,'ecommerce-order (1)'!$A:$M,7,FALSE)</f>
        <v>Alpine Jacket</v>
      </c>
      <c r="H119">
        <f>VLOOKUP($A119,'ecommerce-order (1)'!$A:$M,8,FALSE)</f>
        <v>1</v>
      </c>
      <c r="I119">
        <f>VLOOKUP($A119,'ecommerce-order (1)'!$A:$M,9,FALSE)</f>
        <v>24</v>
      </c>
      <c r="J119">
        <f>VLOOKUP($A119,'ecommerce-order (1)'!$A:$M,10,FALSE)</f>
        <v>20.399999999999999</v>
      </c>
      <c r="K119">
        <f>VLOOKUP($A119,'ecommerce-order (1)'!$A:$M,11,FALSE)</f>
        <v>0.64</v>
      </c>
      <c r="L119" t="str">
        <f>VLOOKUP($A119,'ecommerce-order (1)'!$A:$M,12,FALSE)</f>
        <v>GBP</v>
      </c>
      <c r="M119" t="str">
        <f>VLOOKUP($A119,'ecommerce-order (1)'!$A:$M,13,FALSE)</f>
        <v>completed</v>
      </c>
      <c r="N119" t="str">
        <f>IF(ISNA(VLOOKUP(A119,'ecommerce-order (1)'!A:A,1,FALSE)),"KEEEP","REMOVE")</f>
        <v>REMOVE</v>
      </c>
    </row>
    <row r="120" spans="1:14" x14ac:dyDescent="0.3">
      <c r="A120" t="s">
        <v>378</v>
      </c>
      <c r="B120" t="str">
        <f>VLOOKUP(A120,'ecommerce-order (1)'!$A:$M,2,FALSE)</f>
        <v>16-02-2026</v>
      </c>
      <c r="C120" t="str">
        <f>VLOOKUP($A120,'ecommerce-order (1)'!$A:$M,3,FALSE)</f>
        <v>customer0104@example.com</v>
      </c>
      <c r="D120" t="str">
        <f>VLOOKUP($A120,'ecommerce-order (1)'!$A:$M,4,FALSE)</f>
        <v xml:space="preserve"> UK</v>
      </c>
      <c r="E120" t="str">
        <f>VLOOKUP($A120,'ecommerce-order (1)'!$A:$M,5,FALSE)</f>
        <v>email</v>
      </c>
      <c r="F120" t="str">
        <f>VLOOKUP($A120,'ecommerce-order (1)'!$A:$M,6,FALSE)</f>
        <v>FR-7781</v>
      </c>
      <c r="G120" t="str">
        <f>VLOOKUP($A120,'ecommerce-order (1)'!$A:$M,7,FALSE)</f>
        <v>Storm Overtrousers</v>
      </c>
      <c r="H120">
        <f>VLOOKUP($A120,'ecommerce-order (1)'!$A:$M,8,FALSE)</f>
        <v>1</v>
      </c>
      <c r="I120">
        <f>VLOOKUP($A120,'ecommerce-order (1)'!$A:$M,9,FALSE)</f>
        <v>0</v>
      </c>
      <c r="J120">
        <f>VLOOKUP($A120,'ecommerce-order (1)'!$A:$M,10,FALSE)</f>
        <v>24</v>
      </c>
      <c r="K120">
        <f>VLOOKUP($A120,'ecommerce-order (1)'!$A:$M,11,FALSE)</f>
        <v>410</v>
      </c>
      <c r="L120" t="str">
        <f>VLOOKUP($A120,'ecommerce-order (1)'!$A:$M,12,FALSE)</f>
        <v>GBP</v>
      </c>
      <c r="M120" t="str">
        <f>VLOOKUP($A120,'ecommerce-order (1)'!$A:$M,13,FALSE)</f>
        <v>completed</v>
      </c>
      <c r="N120" t="str">
        <f>IF(ISNA(VLOOKUP(A120,'ecommerce-order (1)'!A:A,1,FALSE)),"KEEEP","REMOVE")</f>
        <v>REMOVE</v>
      </c>
    </row>
    <row r="121" spans="1:14" x14ac:dyDescent="0.3">
      <c r="A121" t="s">
        <v>380</v>
      </c>
      <c r="B121" t="str">
        <f>VLOOKUP(A121,'ecommerce-order (1)'!$A:$M,2,FALSE)</f>
        <v>12-05-2026</v>
      </c>
      <c r="C121" t="str">
        <f>VLOOKUP($A121,'ecommerce-order (1)'!$A:$M,3,FALSE)</f>
        <v>customer0563@example.com</v>
      </c>
      <c r="D121" t="str">
        <f>VLOOKUP($A121,'ecommerce-order (1)'!$A:$M,4,FALSE)</f>
        <v>Ireland</v>
      </c>
      <c r="E121" t="str">
        <f>VLOOKUP($A121,'ecommerce-order (1)'!$A:$M,5,FALSE)</f>
        <v>paid_search</v>
      </c>
      <c r="F121" t="str">
        <f>VLOOKUP($A121,'ecommerce-order (1)'!$A:$M,6,FALSE)</f>
        <v>FR-5567</v>
      </c>
      <c r="G121" t="str">
        <f>VLOOKUP($A121,'ecommerce-order (1)'!$A:$M,7,FALSE)</f>
        <v>Merino Base Layer</v>
      </c>
      <c r="H121">
        <f>VLOOKUP($A121,'ecommerce-order (1)'!$A:$M,8,FALSE)</f>
        <v>3</v>
      </c>
      <c r="I121">
        <f>VLOOKUP($A121,'ecommerce-order (1)'!$A:$M,9,FALSE)</f>
        <v>89</v>
      </c>
      <c r="J121">
        <f>VLOOKUP($A121,'ecommerce-order (1)'!$A:$M,10,FALSE)</f>
        <v>267</v>
      </c>
      <c r="K121">
        <f>VLOOKUP($A121,'ecommerce-order (1)'!$A:$M,11,FALSE)</f>
        <v>0.19</v>
      </c>
      <c r="L121" t="str">
        <f>VLOOKUP($A121,'ecommerce-order (1)'!$A:$M,12,FALSE)</f>
        <v>GBP</v>
      </c>
      <c r="M121" t="str">
        <f>VLOOKUP($A121,'ecommerce-order (1)'!$A:$M,13,FALSE)</f>
        <v>refunded</v>
      </c>
      <c r="N121" t="str">
        <f>IF(ISNA(VLOOKUP(A121,'ecommerce-order (1)'!A:A,1,FALSE)),"KEEEP","REMOVE")</f>
        <v>REMOVE</v>
      </c>
    </row>
    <row r="122" spans="1:14" x14ac:dyDescent="0.3">
      <c r="A122" t="s">
        <v>383</v>
      </c>
      <c r="B122" t="str">
        <f>VLOOKUP(A122,'ecommerce-order (1)'!$A:$M,2,FALSE)</f>
        <v>11-01-2026</v>
      </c>
      <c r="C122" t="str">
        <f>VLOOKUP($A122,'ecommerce-order (1)'!$A:$M,3,FALSE)</f>
        <v>customer0693@example.com</v>
      </c>
      <c r="D122" t="str">
        <f>VLOOKUP($A122,'ecommerce-order (1)'!$A:$M,4,FALSE)</f>
        <v>France</v>
      </c>
      <c r="E122" t="str">
        <f>VLOOKUP($A122,'ecommerce-order (1)'!$A:$M,5,FALSE)</f>
        <v>organic</v>
      </c>
      <c r="F122" t="str">
        <f>VLOOKUP($A122,'ecommerce-order (1)'!$A:$M,6,FALSE)</f>
        <v>FR-4471</v>
      </c>
      <c r="G122" t="str">
        <f>VLOOKUP($A122,'ecommerce-order (1)'!$A:$M,7,FALSE)</f>
        <v>Alpine Jacket</v>
      </c>
      <c r="H122">
        <f>VLOOKUP($A122,'ecommerce-order (1)'!$A:$M,8,FALSE)</f>
        <v>1</v>
      </c>
      <c r="I122">
        <f>VLOOKUP($A122,'ecommerce-order (1)'!$A:$M,9,FALSE)</f>
        <v>40.5</v>
      </c>
      <c r="J122">
        <f>VLOOKUP($A122,'ecommerce-order (1)'!$A:$M,10,FALSE)</f>
        <v>40.5</v>
      </c>
      <c r="K122">
        <f>VLOOKUP($A122,'ecommerce-order (1)'!$A:$M,11,FALSE)</f>
        <v>640</v>
      </c>
      <c r="L122" t="str">
        <f>VLOOKUP($A122,'ecommerce-order (1)'!$A:$M,12,FALSE)</f>
        <v>GBP</v>
      </c>
      <c r="M122" t="str">
        <f>VLOOKUP($A122,'ecommerce-order (1)'!$A:$M,13,FALSE)</f>
        <v>completed</v>
      </c>
      <c r="N122" t="str">
        <f>IF(ISNA(VLOOKUP(A122,'ecommerce-order (1)'!A:A,1,FALSE)),"KEEEP","REMOVE")</f>
        <v>REMOVE</v>
      </c>
    </row>
    <row r="123" spans="1:14" x14ac:dyDescent="0.3">
      <c r="A123" t="s">
        <v>385</v>
      </c>
      <c r="B123" t="str">
        <f>VLOOKUP(A123,'ecommerce-order (1)'!$A:$M,2,FALSE)</f>
        <v>06-02-2026</v>
      </c>
      <c r="C123" t="str">
        <f>VLOOKUP($A123,'ecommerce-order (1)'!$A:$M,3,FALSE)</f>
        <v>customer0195@example.com</v>
      </c>
      <c r="D123" t="str">
        <f>VLOOKUP($A123,'ecommerce-order (1)'!$A:$M,4,FALSE)</f>
        <v>UK</v>
      </c>
      <c r="E123" t="str">
        <f>VLOOKUP($A123,'ecommerce-order (1)'!$A:$M,5,FALSE)</f>
        <v>email</v>
      </c>
      <c r="F123" t="str">
        <f>VLOOKUP($A123,'ecommerce-order (1)'!$A:$M,6,FALSE)</f>
        <v>FR-1120</v>
      </c>
      <c r="G123" t="str">
        <f>VLOOKUP($A123,'ecommerce-order (1)'!$A:$M,7,FALSE)</f>
        <v>Fell Runner Cap</v>
      </c>
      <c r="H123">
        <f>VLOOKUP($A123,'ecommerce-order (1)'!$A:$M,8,FALSE)</f>
        <v>1</v>
      </c>
      <c r="I123">
        <f>VLOOKUP($A123,'ecommerce-order (1)'!$A:$M,9,FALSE)</f>
        <v>134.1</v>
      </c>
      <c r="J123">
        <f>VLOOKUP($A123,'ecommerce-order (1)'!$A:$M,10,FALSE)</f>
        <v>134.1</v>
      </c>
      <c r="K123">
        <f>VLOOKUP($A123,'ecommerce-order (1)'!$A:$M,11,FALSE)</f>
        <v>85</v>
      </c>
      <c r="L123" t="str">
        <f>VLOOKUP($A123,'ecommerce-order (1)'!$A:$M,12,FALSE)</f>
        <v>GBP</v>
      </c>
      <c r="M123" t="str">
        <f>VLOOKUP($A123,'ecommerce-order (1)'!$A:$M,13,FALSE)</f>
        <v>refunded</v>
      </c>
      <c r="N123" t="str">
        <f>IF(ISNA(VLOOKUP(A123,'ecommerce-order (1)'!A:A,1,FALSE)),"KEEEP","REMOVE")</f>
        <v>REMOVE</v>
      </c>
    </row>
    <row r="124" spans="1:14" x14ac:dyDescent="0.3">
      <c r="A124" t="s">
        <v>388</v>
      </c>
      <c r="B124" t="str">
        <f>VLOOKUP(A124,'ecommerce-order (1)'!$A:$M,2,FALSE)</f>
        <v>21-01-2026</v>
      </c>
      <c r="C124" t="str">
        <f>VLOOKUP($A124,'ecommerce-order (1)'!$A:$M,3,FALSE)</f>
        <v>customer0782@example.com</v>
      </c>
      <c r="D124" t="str">
        <f>VLOOKUP($A124,'ecommerce-order (1)'!$A:$M,4,FALSE)</f>
        <v xml:space="preserve"> UK</v>
      </c>
      <c r="E124" t="str">
        <f>VLOOKUP($A124,'ecommerce-order (1)'!$A:$M,5,FALSE)</f>
        <v>social</v>
      </c>
      <c r="F124" t="str">
        <f>VLOOKUP($A124,'ecommerce-order (1)'!$A:$M,6,FALSE)</f>
        <v>FR-9902</v>
      </c>
      <c r="G124" t="str">
        <f>VLOOKUP($A124,'ecommerce-order (1)'!$A:$M,7,FALSE)</f>
        <v>Trekking Poles</v>
      </c>
      <c r="H124">
        <f>VLOOKUP($A124,'ecommerce-order (1)'!$A:$M,8,FALSE)</f>
        <v>3</v>
      </c>
      <c r="I124">
        <f>VLOOKUP($A124,'ecommerce-order (1)'!$A:$M,9,FALSE)</f>
        <v>129</v>
      </c>
      <c r="J124">
        <f>VLOOKUP($A124,'ecommerce-order (1)'!$A:$M,10,FALSE)</f>
        <v>387</v>
      </c>
      <c r="K124">
        <f>VLOOKUP($A124,'ecommerce-order (1)'!$A:$M,11,FALSE)</f>
        <v>520</v>
      </c>
      <c r="L124" t="str">
        <f>VLOOKUP($A124,'ecommerce-order (1)'!$A:$M,12,FALSE)</f>
        <v>GBP</v>
      </c>
      <c r="M124" t="str">
        <f>VLOOKUP($A124,'ecommerce-order (1)'!$A:$M,13,FALSE)</f>
        <v>refunded</v>
      </c>
      <c r="N124" t="str">
        <f>IF(ISNA(VLOOKUP(A124,'ecommerce-order (1)'!A:A,1,FALSE)),"KEEEP","REMOVE")</f>
        <v>REMOVE</v>
      </c>
    </row>
    <row r="125" spans="1:14" x14ac:dyDescent="0.3">
      <c r="A125" t="s">
        <v>391</v>
      </c>
      <c r="B125" t="str">
        <f>VLOOKUP(A125,'ecommerce-order (1)'!$A:$M,2,FALSE)</f>
        <v>15-02-2026</v>
      </c>
      <c r="C125" t="str">
        <f>VLOOKUP($A125,'ecommerce-order (1)'!$A:$M,3,FALSE)</f>
        <v>customer1357@example.com</v>
      </c>
      <c r="D125" t="str">
        <f>VLOOKUP($A125,'ecommerce-order (1)'!$A:$M,4,FALSE)</f>
        <v>Ireland</v>
      </c>
      <c r="E125" t="str">
        <f>VLOOKUP($A125,'ecommerce-order (1)'!$A:$M,5,FALSE)</f>
        <v>email</v>
      </c>
      <c r="F125" t="str">
        <f>VLOOKUP($A125,'ecommerce-order (1)'!$A:$M,6,FALSE)</f>
        <v>FR-3345</v>
      </c>
      <c r="G125" t="str">
        <f>VLOOKUP($A125,'ecommerce-order (1)'!$A:$M,7,FALSE)</f>
        <v>CafÃ© Latte Mug</v>
      </c>
      <c r="H125">
        <f>VLOOKUP($A125,'ecommerce-order (1)'!$A:$M,8,FALSE)</f>
        <v>2</v>
      </c>
      <c r="I125">
        <f>VLOOKUP($A125,'ecommerce-order (1)'!$A:$M,9,FALSE)</f>
        <v>129</v>
      </c>
      <c r="J125">
        <f>VLOOKUP($A125,'ecommerce-order (1)'!$A:$M,10,FALSE)</f>
        <v>258</v>
      </c>
      <c r="K125">
        <f>VLOOKUP($A125,'ecommerce-order (1)'!$A:$M,11,FALSE)</f>
        <v>340</v>
      </c>
      <c r="L125" t="str">
        <f>VLOOKUP($A125,'ecommerce-order (1)'!$A:$M,12,FALSE)</f>
        <v>GBP</v>
      </c>
      <c r="M125" t="str">
        <f>VLOOKUP($A125,'ecommerce-order (1)'!$A:$M,13,FALSE)</f>
        <v>completed</v>
      </c>
      <c r="N125" t="str">
        <f>IF(ISNA(VLOOKUP(A125,'ecommerce-order (1)'!A:A,1,FALSE)),"KEEEP","REMOVE")</f>
        <v>REMOVE</v>
      </c>
    </row>
    <row r="126" spans="1:14" x14ac:dyDescent="0.3">
      <c r="A126" t="s">
        <v>393</v>
      </c>
      <c r="B126" t="str">
        <f>VLOOKUP(A126,'ecommerce-order (1)'!$A:$M,2,FALSE)</f>
        <v>08-03-2026</v>
      </c>
      <c r="C126" t="str">
        <f>VLOOKUP($A126,'ecommerce-order (1)'!$A:$M,3,FALSE)</f>
        <v>customer0132@example.com</v>
      </c>
      <c r="D126" t="str">
        <f>VLOOKUP($A126,'ecommerce-order (1)'!$A:$M,4,FALSE)</f>
        <v>GB</v>
      </c>
      <c r="E126" t="str">
        <f>VLOOKUP($A126,'ecommerce-order (1)'!$A:$M,5,FALSE)</f>
        <v>direct</v>
      </c>
      <c r="F126" t="str">
        <f>VLOOKUP($A126,'ecommerce-order (1)'!$A:$M,6,FALSE)</f>
        <v>FR-4471</v>
      </c>
      <c r="G126" t="str">
        <f>VLOOKUP($A126,'ecommerce-order (1)'!$A:$M,7,FALSE)</f>
        <v>Alpine Jacket</v>
      </c>
      <c r="H126">
        <f>VLOOKUP($A126,'ecommerce-order (1)'!$A:$M,8,FALSE)</f>
        <v>3</v>
      </c>
      <c r="I126">
        <f>VLOOKUP($A126,'ecommerce-order (1)'!$A:$M,9,FALSE)</f>
        <v>129</v>
      </c>
      <c r="J126">
        <f>VLOOKUP($A126,'ecommerce-order (1)'!$A:$M,10,FALSE)</f>
        <v>348.3</v>
      </c>
      <c r="K126">
        <f>VLOOKUP($A126,'ecommerce-order (1)'!$A:$M,11,FALSE)</f>
        <v>640</v>
      </c>
      <c r="L126" t="str">
        <f>VLOOKUP($A126,'ecommerce-order (1)'!$A:$M,12,FALSE)</f>
        <v>GBP</v>
      </c>
      <c r="M126" t="str">
        <f>VLOOKUP($A126,'ecommerce-order (1)'!$A:$M,13,FALSE)</f>
        <v>completed</v>
      </c>
      <c r="N126" t="str">
        <f>IF(ISNA(VLOOKUP(A126,'ecommerce-order (1)'!A:A,1,FALSE)),"KEEEP","REMOVE")</f>
        <v>REMOVE</v>
      </c>
    </row>
    <row r="127" spans="1:14" x14ac:dyDescent="0.3">
      <c r="A127" t="s">
        <v>396</v>
      </c>
      <c r="B127" t="str">
        <f>VLOOKUP(A127,'ecommerce-order (1)'!$A:$M,2,FALSE)</f>
        <v>10-04-2026</v>
      </c>
      <c r="C127" t="str">
        <f>VLOOKUP($A127,'ecommerce-order (1)'!$A:$M,3,FALSE)</f>
        <v>customer0950@example.com</v>
      </c>
      <c r="D127" t="str">
        <f>VLOOKUP($A127,'ecommerce-order (1)'!$A:$M,4,FALSE)</f>
        <v>United Kingdom</v>
      </c>
      <c r="E127" t="str">
        <f>VLOOKUP($A127,'ecommerce-order (1)'!$A:$M,5,FALSE)</f>
        <v>social</v>
      </c>
      <c r="F127" t="str">
        <f>VLOOKUP($A127,'ecommerce-order (1)'!$A:$M,6,FALSE)</f>
        <v>FR-5567</v>
      </c>
      <c r="G127" t="str">
        <f>VLOOKUP($A127,'ecommerce-order (1)'!$A:$M,7,FALSE)</f>
        <v>Merino Base Layer</v>
      </c>
      <c r="H127">
        <f>VLOOKUP($A127,'ecommerce-order (1)'!$A:$M,8,FALSE)</f>
        <v>1</v>
      </c>
      <c r="I127">
        <f>VLOOKUP($A127,'ecommerce-order (1)'!$A:$M,9,FALSE)</f>
        <v>134.1</v>
      </c>
      <c r="J127">
        <f>VLOOKUP($A127,'ecommerce-order (1)'!$A:$M,10,FALSE)</f>
        <v>134.1</v>
      </c>
      <c r="K127">
        <f>VLOOKUP($A127,'ecommerce-order (1)'!$A:$M,11,FALSE)</f>
        <v>190</v>
      </c>
      <c r="L127" t="str">
        <f>VLOOKUP($A127,'ecommerce-order (1)'!$A:$M,12,FALSE)</f>
        <v>EUR</v>
      </c>
      <c r="M127" t="str">
        <f>VLOOKUP($A127,'ecommerce-order (1)'!$A:$M,13,FALSE)</f>
        <v>completed</v>
      </c>
      <c r="N127" t="str">
        <f>IF(ISNA(VLOOKUP(A127,'ecommerce-order (1)'!A:A,1,FALSE)),"KEEEP","REMOVE")</f>
        <v>REMOVE</v>
      </c>
    </row>
    <row r="128" spans="1:14" x14ac:dyDescent="0.3">
      <c r="A128" t="s">
        <v>399</v>
      </c>
      <c r="B128" t="str">
        <f>VLOOKUP(A128,'ecommerce-order (1)'!$A:$M,2,FALSE)</f>
        <v>20-03-2026</v>
      </c>
      <c r="C128" t="str">
        <f>VLOOKUP($A128,'ecommerce-order (1)'!$A:$M,3,FALSE)</f>
        <v>customer0226@example.com</v>
      </c>
      <c r="D128" t="str">
        <f>VLOOKUP($A128,'ecommerce-order (1)'!$A:$M,4,FALSE)</f>
        <v>Germany</v>
      </c>
      <c r="E128" t="str">
        <f>VLOOKUP($A128,'ecommerce-order (1)'!$A:$M,5,FALSE)</f>
        <v>paid_search</v>
      </c>
      <c r="F128" t="str">
        <f>VLOOKUP($A128,'ecommerce-order (1)'!$A:$M,6,FALSE)</f>
        <v>FR-9902</v>
      </c>
      <c r="G128" t="str">
        <f>VLOOKUP($A128,'ecommerce-order (1)'!$A:$M,7,FALSE)</f>
        <v>Trekking Poles</v>
      </c>
      <c r="H128">
        <f>VLOOKUP($A128,'ecommerce-order (1)'!$A:$M,8,FALSE)</f>
        <v>3</v>
      </c>
      <c r="I128">
        <f>VLOOKUP($A128,'ecommerce-order (1)'!$A:$M,9,FALSE)</f>
        <v>95</v>
      </c>
      <c r="J128">
        <f>VLOOKUP($A128,'ecommerce-order (1)'!$A:$M,10,FALSE)</f>
        <v>285</v>
      </c>
      <c r="K128">
        <f>VLOOKUP($A128,'ecommerce-order (1)'!$A:$M,11,FALSE)</f>
        <v>520</v>
      </c>
      <c r="L128" t="str">
        <f>VLOOKUP($A128,'ecommerce-order (1)'!$A:$M,12,FALSE)</f>
        <v>GBP</v>
      </c>
      <c r="M128" t="str">
        <f>VLOOKUP($A128,'ecommerce-order (1)'!$A:$M,13,FALSE)</f>
        <v>refunded</v>
      </c>
      <c r="N128" t="str">
        <f>IF(ISNA(VLOOKUP(A128,'ecommerce-order (1)'!A:A,1,FALSE)),"KEEEP","REMOVE")</f>
        <v>REMOVE</v>
      </c>
    </row>
    <row r="129" spans="1:14" x14ac:dyDescent="0.3">
      <c r="A129" t="s">
        <v>401</v>
      </c>
      <c r="B129" t="str">
        <f>VLOOKUP(A129,'ecommerce-order (1)'!$A:$M,2,FALSE)</f>
        <v>02/19/2026</v>
      </c>
      <c r="C129" t="str">
        <f>VLOOKUP($A129,'ecommerce-order (1)'!$A:$M,3,FALSE)</f>
        <v>customer0782@example.com</v>
      </c>
      <c r="D129" t="str">
        <f>VLOOKUP($A129,'ecommerce-order (1)'!$A:$M,4,FALSE)</f>
        <v>Ireland</v>
      </c>
      <c r="E129" t="str">
        <f>VLOOKUP($A129,'ecommerce-order (1)'!$A:$M,5,FALSE)</f>
        <v>email</v>
      </c>
      <c r="F129" t="str">
        <f>VLOOKUP($A129,'ecommerce-order (1)'!$A:$M,6,FALSE)</f>
        <v>FR-5567</v>
      </c>
      <c r="G129" t="str">
        <f>VLOOKUP($A129,'ecommerce-order (1)'!$A:$M,7,FALSE)</f>
        <v>Merino Base Layer</v>
      </c>
      <c r="H129">
        <f>VLOOKUP($A129,'ecommerce-order (1)'!$A:$M,8,FALSE)</f>
        <v>1</v>
      </c>
      <c r="I129">
        <f>VLOOKUP($A129,'ecommerce-order (1)'!$A:$M,9,FALSE)</f>
        <v>79</v>
      </c>
      <c r="J129">
        <f>VLOOKUP($A129,'ecommerce-order (1)'!$A:$M,10,FALSE)</f>
        <v>79</v>
      </c>
      <c r="K129">
        <f>VLOOKUP($A129,'ecommerce-order (1)'!$A:$M,11,FALSE)</f>
        <v>190</v>
      </c>
      <c r="L129" t="str">
        <f>VLOOKUP($A129,'ecommerce-order (1)'!$A:$M,12,FALSE)</f>
        <v>GBP</v>
      </c>
      <c r="M129" t="str">
        <f>VLOOKUP($A129,'ecommerce-order (1)'!$A:$M,13,FALSE)</f>
        <v>completed</v>
      </c>
      <c r="N129" t="str">
        <f>IF(ISNA(VLOOKUP(A129,'ecommerce-order (1)'!A:A,1,FALSE)),"KEEEP","REMOVE")</f>
        <v>REMOVE</v>
      </c>
    </row>
    <row r="130" spans="1:14" x14ac:dyDescent="0.3">
      <c r="A130" t="s">
        <v>403</v>
      </c>
      <c r="B130" t="str">
        <f>VLOOKUP(A130,'ecommerce-order (1)'!$A:$M,2,FALSE)</f>
        <v>02-02-2026</v>
      </c>
      <c r="C130" t="str">
        <f>VLOOKUP($A130,'ecommerce-order (1)'!$A:$M,3,FALSE)</f>
        <v>customer0410@example.com</v>
      </c>
      <c r="D130" t="str">
        <f>VLOOKUP($A130,'ecommerce-order (1)'!$A:$M,4,FALSE)</f>
        <v>GB</v>
      </c>
      <c r="E130" t="str">
        <f>VLOOKUP($A130,'ecommerce-order (1)'!$A:$M,5,FALSE)</f>
        <v>paid_search</v>
      </c>
      <c r="F130" t="str">
        <f>VLOOKUP($A130,'ecommerce-order (1)'!$A:$M,6,FALSE)</f>
        <v>FR-9902</v>
      </c>
      <c r="G130" t="str">
        <f>VLOOKUP($A130,'ecommerce-order (1)'!$A:$M,7,FALSE)</f>
        <v>Trekking Poles</v>
      </c>
      <c r="H130">
        <f>VLOOKUP($A130,'ecommerce-order (1)'!$A:$M,8,FALSE)</f>
        <v>1</v>
      </c>
      <c r="I130">
        <f>VLOOKUP($A130,'ecommerce-order (1)'!$A:$M,9,FALSE)</f>
        <v>80.099999999999994</v>
      </c>
      <c r="J130">
        <f>VLOOKUP($A130,'ecommerce-order (1)'!$A:$M,10,FALSE)</f>
        <v>80.099999999999994</v>
      </c>
      <c r="K130">
        <f>VLOOKUP($A130,'ecommerce-order (1)'!$A:$M,11,FALSE)</f>
        <v>520</v>
      </c>
      <c r="L130" t="str">
        <f>VLOOKUP($A130,'ecommerce-order (1)'!$A:$M,12,FALSE)</f>
        <v>GBP</v>
      </c>
      <c r="M130" t="str">
        <f>VLOOKUP($A130,'ecommerce-order (1)'!$A:$M,13,FALSE)</f>
        <v>completed</v>
      </c>
      <c r="N130" t="str">
        <f>IF(ISNA(VLOOKUP(A130,'ecommerce-order (1)'!A:A,1,FALSE)),"KEEEP","REMOVE")</f>
        <v>REMOVE</v>
      </c>
    </row>
    <row r="131" spans="1:14" x14ac:dyDescent="0.3">
      <c r="A131" t="s">
        <v>406</v>
      </c>
      <c r="B131" t="str">
        <f>VLOOKUP(A131,'ecommerce-order (1)'!$A:$M,2,FALSE)</f>
        <v>28-03-2026</v>
      </c>
      <c r="C131" t="str">
        <f>VLOOKUP($A131,'ecommerce-order (1)'!$A:$M,3,FALSE)</f>
        <v>customer0661@example.com</v>
      </c>
      <c r="D131" t="str">
        <f>VLOOKUP($A131,'ecommerce-order (1)'!$A:$M,4,FALSE)</f>
        <v>GB</v>
      </c>
      <c r="E131" t="str">
        <f>VLOOKUP($A131,'ecommerce-order (1)'!$A:$M,5,FALSE)</f>
        <v>social</v>
      </c>
      <c r="F131" t="str">
        <f>VLOOKUP($A131,'ecommerce-order (1)'!$A:$M,6,FALSE)</f>
        <v>FR-7781</v>
      </c>
      <c r="G131" t="str">
        <f>VLOOKUP($A131,'ecommerce-order (1)'!$A:$M,7,FALSE)</f>
        <v>Storm Overtrousers</v>
      </c>
      <c r="H131">
        <f>VLOOKUP($A131,'ecommerce-order (1)'!$A:$M,8,FALSE)</f>
        <v>3</v>
      </c>
      <c r="I131">
        <f>VLOOKUP($A131,'ecommerce-order (1)'!$A:$M,9,FALSE)</f>
        <v>11.25</v>
      </c>
      <c r="J131">
        <f>VLOOKUP($A131,'ecommerce-order (1)'!$A:$M,10,FALSE)</f>
        <v>33.75</v>
      </c>
      <c r="K131">
        <f>VLOOKUP($A131,'ecommerce-order (1)'!$A:$M,11,FALSE)</f>
        <v>0</v>
      </c>
      <c r="L131" t="str">
        <f>VLOOKUP($A131,'ecommerce-order (1)'!$A:$M,12,FALSE)</f>
        <v>GBP</v>
      </c>
      <c r="M131" t="str">
        <f>VLOOKUP($A131,'ecommerce-order (1)'!$A:$M,13,FALSE)</f>
        <v>completed</v>
      </c>
      <c r="N131" t="str">
        <f>IF(ISNA(VLOOKUP(A131,'ecommerce-order (1)'!A:A,1,FALSE)),"KEEEP","REMOVE")</f>
        <v>REMOVE</v>
      </c>
    </row>
    <row r="132" spans="1:14" x14ac:dyDescent="0.3">
      <c r="A132" t="s">
        <v>408</v>
      </c>
      <c r="B132" t="str">
        <f>VLOOKUP(A132,'ecommerce-order (1)'!$A:$M,2,FALSE)</f>
        <v>23-04-2026</v>
      </c>
      <c r="C132" t="str">
        <f>VLOOKUP($A132,'ecommerce-order (1)'!$A:$M,3,FALSE)</f>
        <v>customer1089@example.com</v>
      </c>
      <c r="D132" t="str">
        <f>VLOOKUP($A132,'ecommerce-order (1)'!$A:$M,4,FALSE)</f>
        <v>Germany</v>
      </c>
      <c r="E132" t="str">
        <f>VLOOKUP($A132,'ecommerce-order (1)'!$A:$M,5,FALSE)</f>
        <v>organic</v>
      </c>
      <c r="F132" t="str">
        <f>VLOOKUP($A132,'ecommerce-order (1)'!$A:$M,6,FALSE)</f>
        <v>FR-5567</v>
      </c>
      <c r="G132" t="str">
        <f>VLOOKUP($A132,'ecommerce-order (1)'!$A:$M,7,FALSE)</f>
        <v>Merino Base Layer</v>
      </c>
      <c r="H132">
        <f>VLOOKUP($A132,'ecommerce-order (1)'!$A:$M,8,FALSE)</f>
        <v>2</v>
      </c>
      <c r="I132">
        <f>VLOOKUP($A132,'ecommerce-order (1)'!$A:$M,9,FALSE)</f>
        <v>149</v>
      </c>
      <c r="J132">
        <f>VLOOKUP($A132,'ecommerce-order (1)'!$A:$M,10,FALSE)</f>
        <v>298</v>
      </c>
      <c r="K132">
        <f>VLOOKUP($A132,'ecommerce-order (1)'!$A:$M,11,FALSE)</f>
        <v>0.19</v>
      </c>
      <c r="L132" t="str">
        <f>VLOOKUP($A132,'ecommerce-order (1)'!$A:$M,12,FALSE)</f>
        <v>GBP</v>
      </c>
      <c r="M132" t="str">
        <f>VLOOKUP($A132,'ecommerce-order (1)'!$A:$M,13,FALSE)</f>
        <v>completed</v>
      </c>
      <c r="N132" t="str">
        <f>IF(ISNA(VLOOKUP(A132,'ecommerce-order (1)'!A:A,1,FALSE)),"KEEEP","REMOVE")</f>
        <v>REMOVE</v>
      </c>
    </row>
    <row r="133" spans="1:14" x14ac:dyDescent="0.3">
      <c r="A133" t="s">
        <v>410</v>
      </c>
      <c r="B133" t="str">
        <f>VLOOKUP(A133,'ecommerce-order (1)'!$A:$M,2,FALSE)</f>
        <v>16-01-2026</v>
      </c>
      <c r="C133" t="str">
        <f>VLOOKUP($A133,'ecommerce-order (1)'!$A:$M,3,FALSE)</f>
        <v>customer0025@example.com</v>
      </c>
      <c r="D133" t="str">
        <f>VLOOKUP($A133,'ecommerce-order (1)'!$A:$M,4,FALSE)</f>
        <v>France</v>
      </c>
      <c r="E133" t="str">
        <f>VLOOKUP($A133,'ecommerce-order (1)'!$A:$M,5,FALSE)</f>
        <v>paid_search</v>
      </c>
      <c r="F133" t="str">
        <f>VLOOKUP($A133,'ecommerce-order (1)'!$A:$M,6,FALSE)</f>
        <v>FR-3345</v>
      </c>
      <c r="G133" t="str">
        <f>VLOOKUP($A133,'ecommerce-order (1)'!$A:$M,7,FALSE)</f>
        <v>CafÃ© Latte Mug</v>
      </c>
      <c r="H133">
        <f>VLOOKUP($A133,'ecommerce-order (1)'!$A:$M,8,FALSE)</f>
        <v>3</v>
      </c>
      <c r="I133">
        <f>VLOOKUP($A133,'ecommerce-order (1)'!$A:$M,9,FALSE)</f>
        <v>12.5</v>
      </c>
      <c r="J133">
        <f>VLOOKUP($A133,'ecommerce-order (1)'!$A:$M,10,FALSE)</f>
        <v>37.5</v>
      </c>
      <c r="K133">
        <f>VLOOKUP($A133,'ecommerce-order (1)'!$A:$M,11,FALSE)</f>
        <v>340</v>
      </c>
      <c r="L133" t="str">
        <f>VLOOKUP($A133,'ecommerce-order (1)'!$A:$M,12,FALSE)</f>
        <v>GBP</v>
      </c>
      <c r="M133" t="str">
        <f>VLOOKUP($A133,'ecommerce-order (1)'!$A:$M,13,FALSE)</f>
        <v>completed</v>
      </c>
      <c r="N133" t="str">
        <f>IF(ISNA(VLOOKUP(A133,'ecommerce-order (1)'!A:A,1,FALSE)),"KEEEP","REMOVE")</f>
        <v>REMOVE</v>
      </c>
    </row>
    <row r="134" spans="1:14" x14ac:dyDescent="0.3">
      <c r="A134" t="s">
        <v>412</v>
      </c>
      <c r="B134" t="str">
        <f>VLOOKUP(A134,'ecommerce-order (1)'!$A:$M,2,FALSE)</f>
        <v>11-03-2026</v>
      </c>
      <c r="C134" t="str">
        <f>VLOOKUP($A134,'ecommerce-order (1)'!$A:$M,3,FALSE)</f>
        <v>customer0327@example.com</v>
      </c>
      <c r="D134" t="str">
        <f>VLOOKUP($A134,'ecommerce-order (1)'!$A:$M,4,FALSE)</f>
        <v>United Kingdom</v>
      </c>
      <c r="E134" t="str">
        <f>VLOOKUP($A134,'ecommerce-order (1)'!$A:$M,5,FALSE)</f>
        <v>organic</v>
      </c>
      <c r="F134" t="str">
        <f>VLOOKUP($A134,'ecommerce-order (1)'!$A:$M,6,FALSE)</f>
        <v>FR-3345</v>
      </c>
      <c r="G134" t="str">
        <f>VLOOKUP($A134,'ecommerce-order (1)'!$A:$M,7,FALSE)</f>
        <v>CafÃ© Latte Mug</v>
      </c>
      <c r="H134">
        <f>VLOOKUP($A134,'ecommerce-order (1)'!$A:$M,8,FALSE)</f>
        <v>1</v>
      </c>
      <c r="I134">
        <f>VLOOKUP($A134,'ecommerce-order (1)'!$A:$M,9,FALSE)</f>
        <v>95</v>
      </c>
      <c r="J134">
        <f>VLOOKUP($A134,'ecommerce-order (1)'!$A:$M,10,FALSE)</f>
        <v>95</v>
      </c>
      <c r="K134">
        <f>VLOOKUP($A134,'ecommerce-order (1)'!$A:$M,11,FALSE)</f>
        <v>340</v>
      </c>
      <c r="L134" t="str">
        <f>VLOOKUP($A134,'ecommerce-order (1)'!$A:$M,12,FALSE)</f>
        <v>GBP</v>
      </c>
      <c r="M134" t="str">
        <f>VLOOKUP($A134,'ecommerce-order (1)'!$A:$M,13,FALSE)</f>
        <v>refunded</v>
      </c>
      <c r="N134" t="str">
        <f>IF(ISNA(VLOOKUP(A134,'ecommerce-order (1)'!A:A,1,FALSE)),"KEEEP","REMOVE")</f>
        <v>REMOVE</v>
      </c>
    </row>
    <row r="135" spans="1:14" x14ac:dyDescent="0.3">
      <c r="A135" t="s">
        <v>414</v>
      </c>
      <c r="B135" t="str">
        <f>VLOOKUP(A135,'ecommerce-order (1)'!$A:$M,2,FALSE)</f>
        <v>30-03-2026</v>
      </c>
      <c r="C135" t="str">
        <f>VLOOKUP($A135,'ecommerce-order (1)'!$A:$M,3,FALSE)</f>
        <v>customer1378@example.com</v>
      </c>
      <c r="D135" t="str">
        <f>VLOOKUP($A135,'ecommerce-order (1)'!$A:$M,4,FALSE)</f>
        <v>ireland</v>
      </c>
      <c r="E135" t="str">
        <f>VLOOKUP($A135,'ecommerce-order (1)'!$A:$M,5,FALSE)</f>
        <v>direct</v>
      </c>
      <c r="F135" t="str">
        <f>VLOOKUP($A135,'ecommerce-order (1)'!$A:$M,6,FALSE)</f>
        <v>FR-4471</v>
      </c>
      <c r="G135" t="str">
        <f>VLOOKUP($A135,'ecommerce-order (1)'!$A:$M,7,FALSE)</f>
        <v>Alpine Jacket</v>
      </c>
      <c r="H135">
        <f>VLOOKUP($A135,'ecommerce-order (1)'!$A:$M,8,FALSE)</f>
        <v>-1</v>
      </c>
      <c r="I135">
        <f>VLOOKUP($A135,'ecommerce-order (1)'!$A:$M,9,FALSE)</f>
        <v>45</v>
      </c>
      <c r="J135">
        <f>VLOOKUP($A135,'ecommerce-order (1)'!$A:$M,10,FALSE)</f>
        <v>-45</v>
      </c>
      <c r="K135">
        <f>VLOOKUP($A135,'ecommerce-order (1)'!$A:$M,11,FALSE)</f>
        <v>640</v>
      </c>
      <c r="L135" t="str">
        <f>VLOOKUP($A135,'ecommerce-order (1)'!$A:$M,12,FALSE)</f>
        <v>GBP</v>
      </c>
      <c r="M135" t="str">
        <f>VLOOKUP($A135,'ecommerce-order (1)'!$A:$M,13,FALSE)</f>
        <v>completed</v>
      </c>
      <c r="N135" t="str">
        <f>IF(ISNA(VLOOKUP(A135,'ecommerce-order (1)'!A:A,1,FALSE)),"KEEEP","REMOVE")</f>
        <v>REMOVE</v>
      </c>
    </row>
    <row r="136" spans="1:14" x14ac:dyDescent="0.3">
      <c r="A136" t="s">
        <v>415</v>
      </c>
      <c r="B136" t="str">
        <f>VLOOKUP(A136,'ecommerce-order (1)'!$A:$M,2,FALSE)</f>
        <v>30-04-2026</v>
      </c>
      <c r="C136" t="str">
        <f>VLOOKUP($A136,'ecommerce-order (1)'!$A:$M,3,FALSE)</f>
        <v>customer0238@example.com</v>
      </c>
      <c r="D136" t="str">
        <f>VLOOKUP($A136,'ecommerce-order (1)'!$A:$M,4,FALSE)</f>
        <v>United Kingdom</v>
      </c>
      <c r="E136" t="str">
        <f>VLOOKUP($A136,'ecommerce-order (1)'!$A:$M,5,FALSE)</f>
        <v>email</v>
      </c>
      <c r="F136" t="str">
        <f>VLOOKUP($A136,'ecommerce-order (1)'!$A:$M,6,FALSE)</f>
        <v>FR-5567</v>
      </c>
      <c r="G136" t="str">
        <f>VLOOKUP($A136,'ecommerce-order (1)'!$A:$M,7,FALSE)</f>
        <v>Merino Base Layer</v>
      </c>
      <c r="H136">
        <f>VLOOKUP($A136,'ecommerce-order (1)'!$A:$M,8,FALSE)</f>
        <v>3</v>
      </c>
      <c r="I136">
        <f>VLOOKUP($A136,'ecommerce-order (1)'!$A:$M,9,FALSE)</f>
        <v>0</v>
      </c>
      <c r="J136">
        <f>VLOOKUP($A136,'ecommerce-order (1)'!$A:$M,10,FALSE)</f>
        <v>348.3</v>
      </c>
      <c r="K136">
        <f>VLOOKUP($A136,'ecommerce-order (1)'!$A:$M,11,FALSE)</f>
        <v>0.19</v>
      </c>
      <c r="L136" t="str">
        <f>VLOOKUP($A136,'ecommerce-order (1)'!$A:$M,12,FALSE)</f>
        <v>GBP</v>
      </c>
      <c r="M136" t="str">
        <f>VLOOKUP($A136,'ecommerce-order (1)'!$A:$M,13,FALSE)</f>
        <v>completed</v>
      </c>
      <c r="N136" t="str">
        <f>IF(ISNA(VLOOKUP(A136,'ecommerce-order (1)'!A:A,1,FALSE)),"KEEEP","REMOVE")</f>
        <v>REMOVE</v>
      </c>
    </row>
    <row r="137" spans="1:14" x14ac:dyDescent="0.3">
      <c r="A137" t="s">
        <v>418</v>
      </c>
      <c r="B137" t="str">
        <f>VLOOKUP(A137,'ecommerce-order (1)'!$A:$M,2,FALSE)</f>
        <v>30-04-2026</v>
      </c>
      <c r="C137" t="str">
        <f>VLOOKUP($A137,'ecommerce-order (1)'!$A:$M,3,FALSE)</f>
        <v>customer0501@example.com</v>
      </c>
      <c r="D137" t="str">
        <f>VLOOKUP($A137,'ecommerce-order (1)'!$A:$M,4,FALSE)</f>
        <v>Ireland</v>
      </c>
      <c r="E137" t="str">
        <f>VLOOKUP($A137,'ecommerce-order (1)'!$A:$M,5,FALSE)</f>
        <v>direct</v>
      </c>
      <c r="F137" t="str">
        <f>VLOOKUP($A137,'ecommerce-order (1)'!$A:$M,6,FALSE)</f>
        <v>FR-9902</v>
      </c>
      <c r="G137" t="str">
        <f>VLOOKUP($A137,'ecommerce-order (1)'!$A:$M,7,FALSE)</f>
        <v>Trekking Poles</v>
      </c>
      <c r="H137">
        <f>VLOOKUP($A137,'ecommerce-order (1)'!$A:$M,8,FALSE)</f>
        <v>2</v>
      </c>
      <c r="I137">
        <f>VLOOKUP($A137,'ecommerce-order (1)'!$A:$M,9,FALSE)</f>
        <v>80.099999999999994</v>
      </c>
      <c r="J137">
        <f>VLOOKUP($A137,'ecommerce-order (1)'!$A:$M,10,FALSE)</f>
        <v>160.19999999999999</v>
      </c>
      <c r="K137">
        <f>VLOOKUP($A137,'ecommerce-order (1)'!$A:$M,11,FALSE)</f>
        <v>0.52</v>
      </c>
      <c r="L137" t="str">
        <f>VLOOKUP($A137,'ecommerce-order (1)'!$A:$M,12,FALSE)</f>
        <v>EUR</v>
      </c>
      <c r="M137" t="str">
        <f>VLOOKUP($A137,'ecommerce-order (1)'!$A:$M,13,FALSE)</f>
        <v>completed</v>
      </c>
      <c r="N137" t="str">
        <f>IF(ISNA(VLOOKUP(A137,'ecommerce-order (1)'!A:A,1,FALSE)),"KEEEP","REMOVE")</f>
        <v>REMOVE</v>
      </c>
    </row>
    <row r="138" spans="1:14" x14ac:dyDescent="0.3">
      <c r="A138" t="s">
        <v>420</v>
      </c>
      <c r="B138" t="str">
        <f>VLOOKUP(A138,'ecommerce-order (1)'!$A:$M,2,FALSE)</f>
        <v>03-07-2026</v>
      </c>
      <c r="C138" t="str">
        <f>VLOOKUP($A138,'ecommerce-order (1)'!$A:$M,3,FALSE)</f>
        <v>customer1277@example.com</v>
      </c>
      <c r="D138" t="str">
        <f>VLOOKUP($A138,'ecommerce-order (1)'!$A:$M,4,FALSE)</f>
        <v>United Kingdom</v>
      </c>
      <c r="E138" t="str">
        <f>VLOOKUP($A138,'ecommerce-order (1)'!$A:$M,5,FALSE)</f>
        <v>social</v>
      </c>
      <c r="F138" t="str">
        <f>VLOOKUP($A138,'ecommerce-order (1)'!$A:$M,6,FALSE)</f>
        <v>FR-9902</v>
      </c>
      <c r="G138" t="str">
        <f>VLOOKUP($A138,'ecommerce-order (1)'!$A:$M,7,FALSE)</f>
        <v>Trekking Poles</v>
      </c>
      <c r="H138">
        <f>VLOOKUP($A138,'ecommerce-order (1)'!$A:$M,8,FALSE)</f>
        <v>2</v>
      </c>
      <c r="I138">
        <f>VLOOKUP($A138,'ecommerce-order (1)'!$A:$M,9,FALSE)</f>
        <v>40.5</v>
      </c>
      <c r="J138">
        <f>VLOOKUP($A138,'ecommerce-order (1)'!$A:$M,10,FALSE)</f>
        <v>81</v>
      </c>
      <c r="K138">
        <f>VLOOKUP($A138,'ecommerce-order (1)'!$A:$M,11,FALSE)</f>
        <v>0.52</v>
      </c>
      <c r="L138" t="str">
        <f>VLOOKUP($A138,'ecommerce-order (1)'!$A:$M,12,FALSE)</f>
        <v>GBP</v>
      </c>
      <c r="M138" t="str">
        <f>VLOOKUP($A138,'ecommerce-order (1)'!$A:$M,13,FALSE)</f>
        <v>completed</v>
      </c>
      <c r="N138" t="str">
        <f>IF(ISNA(VLOOKUP(A138,'ecommerce-order (1)'!A:A,1,FALSE)),"KEEEP","REMOVE")</f>
        <v>REMOVE</v>
      </c>
    </row>
    <row r="139" spans="1:14" x14ac:dyDescent="0.3">
      <c r="A139" t="s">
        <v>423</v>
      </c>
      <c r="B139" t="str">
        <f>VLOOKUP(A139,'ecommerce-order (1)'!$A:$M,2,FALSE)</f>
        <v>09-06-2026</v>
      </c>
      <c r="C139" t="str">
        <f>VLOOKUP($A139,'ecommerce-order (1)'!$A:$M,3,FALSE)</f>
        <v>customer0682@example.com</v>
      </c>
      <c r="D139" t="str">
        <f>VLOOKUP($A139,'ecommerce-order (1)'!$A:$M,4,FALSE)</f>
        <v>gb</v>
      </c>
      <c r="E139" t="str">
        <f>VLOOKUP($A139,'ecommerce-order (1)'!$A:$M,5,FALSE)</f>
        <v>paid_search</v>
      </c>
      <c r="F139" t="str">
        <f>VLOOKUP($A139,'ecommerce-order (1)'!$A:$M,6,FALSE)</f>
        <v>FR-4471</v>
      </c>
      <c r="G139" t="str">
        <f>VLOOKUP($A139,'ecommerce-order (1)'!$A:$M,7,FALSE)</f>
        <v>Alpine Jacket</v>
      </c>
      <c r="H139">
        <f>VLOOKUP($A139,'ecommerce-order (1)'!$A:$M,8,FALSE)</f>
        <v>2</v>
      </c>
      <c r="I139">
        <f>VLOOKUP($A139,'ecommerce-order (1)'!$A:$M,9,FALSE)</f>
        <v>134.1</v>
      </c>
      <c r="J139">
        <f>VLOOKUP($A139,'ecommerce-order (1)'!$A:$M,10,FALSE)</f>
        <v>268.2</v>
      </c>
      <c r="K139">
        <f>VLOOKUP($A139,'ecommerce-order (1)'!$A:$M,11,FALSE)</f>
        <v>0.64</v>
      </c>
      <c r="L139" t="str">
        <f>VLOOKUP($A139,'ecommerce-order (1)'!$A:$M,12,FALSE)</f>
        <v>GBP</v>
      </c>
      <c r="M139" t="str">
        <f>VLOOKUP($A139,'ecommerce-order (1)'!$A:$M,13,FALSE)</f>
        <v>completed</v>
      </c>
      <c r="N139" t="str">
        <f>IF(ISNA(VLOOKUP(A139,'ecommerce-order (1)'!A:A,1,FALSE)),"KEEEP","REMOVE")</f>
        <v>REMOVE</v>
      </c>
    </row>
    <row r="140" spans="1:14" x14ac:dyDescent="0.3">
      <c r="A140" t="s">
        <v>425</v>
      </c>
      <c r="B140" t="str">
        <f>VLOOKUP(A140,'ecommerce-order (1)'!$A:$M,2,FALSE)</f>
        <v>29-05-2026</v>
      </c>
      <c r="C140" t="str">
        <f>VLOOKUP($A140,'ecommerce-order (1)'!$A:$M,3,FALSE)</f>
        <v>customer0642@example.com</v>
      </c>
      <c r="D140" t="str">
        <f>VLOOKUP($A140,'ecommerce-order (1)'!$A:$M,4,FALSE)</f>
        <v>GB</v>
      </c>
      <c r="E140" t="str">
        <f>VLOOKUP($A140,'ecommerce-order (1)'!$A:$M,5,FALSE)</f>
        <v>social</v>
      </c>
      <c r="F140" t="str">
        <f>VLOOKUP($A140,'ecommerce-order (1)'!$A:$M,6,FALSE)</f>
        <v>FR-4471</v>
      </c>
      <c r="G140" t="str">
        <f>VLOOKUP($A140,'ecommerce-order (1)'!$A:$M,7,FALSE)</f>
        <v>Alpine Jacket</v>
      </c>
      <c r="H140">
        <f>VLOOKUP($A140,'ecommerce-order (1)'!$A:$M,8,FALSE)</f>
        <v>2</v>
      </c>
      <c r="I140">
        <f>VLOOKUP($A140,'ecommerce-order (1)'!$A:$M,9,FALSE)</f>
        <v>85.5</v>
      </c>
      <c r="J140">
        <f>VLOOKUP($A140,'ecommerce-order (1)'!$A:$M,10,FALSE)</f>
        <v>171</v>
      </c>
      <c r="K140">
        <f>VLOOKUP($A140,'ecommerce-order (1)'!$A:$M,11,FALSE)</f>
        <v>0.64</v>
      </c>
      <c r="L140" t="str">
        <f>VLOOKUP($A140,'ecommerce-order (1)'!$A:$M,12,FALSE)</f>
        <v>GBP</v>
      </c>
      <c r="M140" t="str">
        <f>VLOOKUP($A140,'ecommerce-order (1)'!$A:$M,13,FALSE)</f>
        <v>completed</v>
      </c>
      <c r="N140" t="str">
        <f>IF(ISNA(VLOOKUP(A140,'ecommerce-order (1)'!A:A,1,FALSE)),"KEEEP","REMOVE")</f>
        <v>REMOVE</v>
      </c>
    </row>
    <row r="141" spans="1:14" x14ac:dyDescent="0.3">
      <c r="A141" t="s">
        <v>428</v>
      </c>
      <c r="B141" t="str">
        <f>VLOOKUP(A141,'ecommerce-order (1)'!$A:$M,2,FALSE)</f>
        <v>06-01-2026</v>
      </c>
      <c r="C141" t="str">
        <f>VLOOKUP($A141,'ecommerce-order (1)'!$A:$M,3,FALSE)</f>
        <v>customer1371@example.com</v>
      </c>
      <c r="D141" t="str">
        <f>VLOOKUP($A141,'ecommerce-order (1)'!$A:$M,4,FALSE)</f>
        <v>United Kingdom</v>
      </c>
      <c r="E141" t="str">
        <f>VLOOKUP($A141,'ecommerce-order (1)'!$A:$M,5,FALSE)</f>
        <v>direct</v>
      </c>
      <c r="F141" t="str">
        <f>VLOOKUP($A141,'ecommerce-order (1)'!$A:$M,6,FALSE)</f>
        <v>FR-1120</v>
      </c>
      <c r="G141" t="str">
        <f>VLOOKUP($A141,'ecommerce-order (1)'!$A:$M,7,FALSE)</f>
        <v>Fell Runner Cap</v>
      </c>
      <c r="H141">
        <f>VLOOKUP($A141,'ecommerce-order (1)'!$A:$M,8,FALSE)</f>
        <v>1</v>
      </c>
      <c r="I141">
        <f>VLOOKUP($A141,'ecommerce-order (1)'!$A:$M,9,FALSE)</f>
        <v>71.099999999999994</v>
      </c>
      <c r="J141">
        <f>VLOOKUP($A141,'ecommerce-order (1)'!$A:$M,10,FALSE)</f>
        <v>71.099999999999994</v>
      </c>
      <c r="K141">
        <f>VLOOKUP($A141,'ecommerce-order (1)'!$A:$M,11,FALSE)</f>
        <v>85</v>
      </c>
      <c r="L141" t="str">
        <f>VLOOKUP($A141,'ecommerce-order (1)'!$A:$M,12,FALSE)</f>
        <v>GBP</v>
      </c>
      <c r="M141" t="str">
        <f>VLOOKUP($A141,'ecommerce-order (1)'!$A:$M,13,FALSE)</f>
        <v>refunded</v>
      </c>
      <c r="N141" t="str">
        <f>IF(ISNA(VLOOKUP(A141,'ecommerce-order (1)'!A:A,1,FALSE)),"KEEEP","REMOVE")</f>
        <v>REMOVE</v>
      </c>
    </row>
    <row r="142" spans="1:14" x14ac:dyDescent="0.3">
      <c r="A142" t="s">
        <v>431</v>
      </c>
      <c r="B142" t="str">
        <f>VLOOKUP(A142,'ecommerce-order (1)'!$A:$M,2,FALSE)</f>
        <v>19-05-2026</v>
      </c>
      <c r="C142" t="str">
        <f>VLOOKUP($A142,'ecommerce-order (1)'!$A:$M,3,FALSE)</f>
        <v>customer1101@example.com</v>
      </c>
      <c r="D142" t="str">
        <f>VLOOKUP($A142,'ecommerce-order (1)'!$A:$M,4,FALSE)</f>
        <v>ireland</v>
      </c>
      <c r="E142" t="str">
        <f>VLOOKUP($A142,'ecommerce-order (1)'!$A:$M,5,FALSE)</f>
        <v>direct</v>
      </c>
      <c r="F142" t="str">
        <f>VLOOKUP($A142,'ecommerce-order (1)'!$A:$M,6,FALSE)</f>
        <v>FR-7781</v>
      </c>
      <c r="G142" t="str">
        <f>VLOOKUP($A142,'ecommerce-order (1)'!$A:$M,7,FALSE)</f>
        <v>Storm Overtrousers</v>
      </c>
      <c r="H142">
        <f>VLOOKUP($A142,'ecommerce-order (1)'!$A:$M,8,FALSE)</f>
        <v>1</v>
      </c>
      <c r="I142">
        <f>VLOOKUP($A142,'ecommerce-order (1)'!$A:$M,9,FALSE)</f>
        <v>45</v>
      </c>
      <c r="J142">
        <f>VLOOKUP($A142,'ecommerce-order (1)'!$A:$M,10,FALSE)</f>
        <v>45</v>
      </c>
      <c r="K142">
        <f>VLOOKUP($A142,'ecommerce-order (1)'!$A:$M,11,FALSE)</f>
        <v>0.41</v>
      </c>
      <c r="L142" t="str">
        <f>VLOOKUP($A142,'ecommerce-order (1)'!$A:$M,12,FALSE)</f>
        <v>GBP</v>
      </c>
      <c r="M142" t="str">
        <f>VLOOKUP($A142,'ecommerce-order (1)'!$A:$M,13,FALSE)</f>
        <v>completed</v>
      </c>
      <c r="N142" t="str">
        <f>IF(ISNA(VLOOKUP(A142,'ecommerce-order (1)'!A:A,1,FALSE)),"KEEEP","REMOVE")</f>
        <v>REMOVE</v>
      </c>
    </row>
    <row r="143" spans="1:14" x14ac:dyDescent="0.3">
      <c r="A143" t="s">
        <v>432</v>
      </c>
      <c r="B143" t="str">
        <f>VLOOKUP(A143,'ecommerce-order (1)'!$A:$M,2,FALSE)</f>
        <v>15-02-2026</v>
      </c>
      <c r="C143" t="str">
        <f>VLOOKUP($A143,'ecommerce-order (1)'!$A:$M,3,FALSE)</f>
        <v>customer1305@example.com</v>
      </c>
      <c r="D143" t="str">
        <f>VLOOKUP($A143,'ecommerce-order (1)'!$A:$M,4,FALSE)</f>
        <v>United Kingdom</v>
      </c>
      <c r="E143" t="str">
        <f>VLOOKUP($A143,'ecommerce-order (1)'!$A:$M,5,FALSE)</f>
        <v>paid_search</v>
      </c>
      <c r="F143" t="str">
        <f>VLOOKUP($A143,'ecommerce-order (1)'!$A:$M,6,FALSE)</f>
        <v>FR-3345</v>
      </c>
      <c r="G143" t="str">
        <f>VLOOKUP($A143,'ecommerce-order (1)'!$A:$M,7,FALSE)</f>
        <v>CafÃ© Latte Mug</v>
      </c>
      <c r="H143">
        <f>VLOOKUP($A143,'ecommerce-order (1)'!$A:$M,8,FALSE)</f>
        <v>2</v>
      </c>
      <c r="I143">
        <f>VLOOKUP($A143,'ecommerce-order (1)'!$A:$M,9,FALSE)</f>
        <v>129</v>
      </c>
      <c r="J143">
        <f>VLOOKUP($A143,'ecommerce-order (1)'!$A:$M,10,FALSE)</f>
        <v>258</v>
      </c>
      <c r="K143">
        <f>VLOOKUP($A143,'ecommerce-order (1)'!$A:$M,11,FALSE)</f>
        <v>340</v>
      </c>
      <c r="L143" t="str">
        <f>VLOOKUP($A143,'ecommerce-order (1)'!$A:$M,12,FALSE)</f>
        <v>EUR</v>
      </c>
      <c r="M143" t="str">
        <f>VLOOKUP($A143,'ecommerce-order (1)'!$A:$M,13,FALSE)</f>
        <v>completed</v>
      </c>
      <c r="N143" t="str">
        <f>IF(ISNA(VLOOKUP(A143,'ecommerce-order (1)'!A:A,1,FALSE)),"KEEEP","REMOVE")</f>
        <v>REMOVE</v>
      </c>
    </row>
    <row r="144" spans="1:14" x14ac:dyDescent="0.3">
      <c r="A144" t="s">
        <v>433</v>
      </c>
      <c r="B144" t="str">
        <f>VLOOKUP(A144,'ecommerce-order (1)'!$A:$M,2,FALSE)</f>
        <v>20-04-2026</v>
      </c>
      <c r="C144" t="str">
        <f>VLOOKUP($A144,'ecommerce-order (1)'!$A:$M,3,FALSE)</f>
        <v>customer0703@example.com</v>
      </c>
      <c r="D144" t="str">
        <f>VLOOKUP($A144,'ecommerce-order (1)'!$A:$M,4,FALSE)</f>
        <v>Ireland</v>
      </c>
      <c r="E144" t="str">
        <f>VLOOKUP($A144,'ecommerce-order (1)'!$A:$M,5,FALSE)</f>
        <v>direct</v>
      </c>
      <c r="F144" t="str">
        <f>VLOOKUP($A144,'ecommerce-order (1)'!$A:$M,6,FALSE)</f>
        <v>FR-9902</v>
      </c>
      <c r="G144" t="str">
        <f>VLOOKUP($A144,'ecommerce-order (1)'!$A:$M,7,FALSE)</f>
        <v>Trekking Poles</v>
      </c>
      <c r="H144">
        <f>VLOOKUP($A144,'ecommerce-order (1)'!$A:$M,8,FALSE)</f>
        <v>3</v>
      </c>
      <c r="I144">
        <f>VLOOKUP($A144,'ecommerce-order (1)'!$A:$M,9,FALSE)</f>
        <v>95</v>
      </c>
      <c r="J144">
        <f>VLOOKUP($A144,'ecommerce-order (1)'!$A:$M,10,FALSE)</f>
        <v>285</v>
      </c>
      <c r="K144">
        <f>VLOOKUP($A144,'ecommerce-order (1)'!$A:$M,11,FALSE)</f>
        <v>0.52</v>
      </c>
      <c r="L144" t="str">
        <f>VLOOKUP($A144,'ecommerce-order (1)'!$A:$M,12,FALSE)</f>
        <v>GBP</v>
      </c>
      <c r="M144" t="str">
        <f>VLOOKUP($A144,'ecommerce-order (1)'!$A:$M,13,FALSE)</f>
        <v>refunded</v>
      </c>
      <c r="N144" t="str">
        <f>IF(ISNA(VLOOKUP(A144,'ecommerce-order (1)'!A:A,1,FALSE)),"KEEEP","REMOVE")</f>
        <v>REMOVE</v>
      </c>
    </row>
    <row r="145" spans="1:14" x14ac:dyDescent="0.3">
      <c r="A145" t="s">
        <v>436</v>
      </c>
      <c r="B145" t="str">
        <f>VLOOKUP(A145,'ecommerce-order (1)'!$A:$M,2,FALSE)</f>
        <v>13-05-2026</v>
      </c>
      <c r="C145" t="str">
        <f>VLOOKUP($A145,'ecommerce-order (1)'!$A:$M,3,FALSE)</f>
        <v>customer0394@example.com</v>
      </c>
      <c r="D145" t="str">
        <f>VLOOKUP($A145,'ecommerce-order (1)'!$A:$M,4,FALSE)</f>
        <v>France</v>
      </c>
      <c r="E145" t="str">
        <f>VLOOKUP($A145,'ecommerce-order (1)'!$A:$M,5,FALSE)</f>
        <v>organic</v>
      </c>
      <c r="F145" t="str">
        <f>VLOOKUP($A145,'ecommerce-order (1)'!$A:$M,6,FALSE)</f>
        <v>FR-3345</v>
      </c>
      <c r="G145" t="str">
        <f>VLOOKUP($A145,'ecommerce-order (1)'!$A:$M,7,FALSE)</f>
        <v>CafÃ© Latte Mug</v>
      </c>
      <c r="H145">
        <f>VLOOKUP($A145,'ecommerce-order (1)'!$A:$M,8,FALSE)</f>
        <v>1</v>
      </c>
      <c r="I145">
        <f>VLOOKUP($A145,'ecommerce-order (1)'!$A:$M,9,FALSE)</f>
        <v>24</v>
      </c>
      <c r="J145">
        <f>VLOOKUP($A145,'ecommerce-order (1)'!$A:$M,10,FALSE)</f>
        <v>24</v>
      </c>
      <c r="K145">
        <f>VLOOKUP($A145,'ecommerce-order (1)'!$A:$M,11,FALSE)</f>
        <v>0.34</v>
      </c>
      <c r="L145" t="str">
        <f>VLOOKUP($A145,'ecommerce-order (1)'!$A:$M,12,FALSE)</f>
        <v>GBP</v>
      </c>
      <c r="M145" t="str">
        <f>VLOOKUP($A145,'ecommerce-order (1)'!$A:$M,13,FALSE)</f>
        <v>completed</v>
      </c>
      <c r="N145" t="str">
        <f>IF(ISNA(VLOOKUP(A145,'ecommerce-order (1)'!A:A,1,FALSE)),"KEEEP","REMOVE")</f>
        <v>REMOVE</v>
      </c>
    </row>
    <row r="146" spans="1:14" x14ac:dyDescent="0.3">
      <c r="A146" t="s">
        <v>437</v>
      </c>
      <c r="B146" t="str">
        <f>VLOOKUP(A146,'ecommerce-order (1)'!$A:$M,2,FALSE)</f>
        <v>07-06-2026</v>
      </c>
      <c r="C146" t="str">
        <f>VLOOKUP($A146,'ecommerce-order (1)'!$A:$M,3,FALSE)</f>
        <v>customer0695@example.com</v>
      </c>
      <c r="D146" t="str">
        <f>VLOOKUP($A146,'ecommerce-order (1)'!$A:$M,4,FALSE)</f>
        <v>ireland</v>
      </c>
      <c r="E146" t="str">
        <f>VLOOKUP($A146,'ecommerce-order (1)'!$A:$M,5,FALSE)</f>
        <v>direct</v>
      </c>
      <c r="F146" t="str">
        <f>VLOOKUP($A146,'ecommerce-order (1)'!$A:$M,6,FALSE)</f>
        <v>FR-2210</v>
      </c>
      <c r="G146" t="str">
        <f>VLOOKUP($A146,'ecommerce-order (1)'!$A:$M,7,FALSE)</f>
        <v>Trail Softshell</v>
      </c>
      <c r="H146">
        <f>VLOOKUP($A146,'ecommerce-order (1)'!$A:$M,8,FALSE)</f>
        <v>1</v>
      </c>
      <c r="I146">
        <f>VLOOKUP($A146,'ecommerce-order (1)'!$A:$M,9,FALSE)</f>
        <v>71.099999999999994</v>
      </c>
      <c r="J146">
        <f>VLOOKUP($A146,'ecommerce-order (1)'!$A:$M,10,FALSE)</f>
        <v>71.099999999999994</v>
      </c>
      <c r="K146">
        <f>VLOOKUP($A146,'ecommerce-order (1)'!$A:$M,11,FALSE)</f>
        <v>0.52</v>
      </c>
      <c r="L146" t="str">
        <f>VLOOKUP($A146,'ecommerce-order (1)'!$A:$M,12,FALSE)</f>
        <v>GBP</v>
      </c>
      <c r="M146" t="str">
        <f>VLOOKUP($A146,'ecommerce-order (1)'!$A:$M,13,FALSE)</f>
        <v>completed</v>
      </c>
      <c r="N146" t="str">
        <f>IF(ISNA(VLOOKUP(A146,'ecommerce-order (1)'!A:A,1,FALSE)),"KEEEP","REMOVE")</f>
        <v>REMOVE</v>
      </c>
    </row>
    <row r="147" spans="1:14" x14ac:dyDescent="0.3">
      <c r="A147" t="s">
        <v>439</v>
      </c>
      <c r="B147" t="str">
        <f>VLOOKUP(A147,'ecommerce-order (1)'!$A:$M,2,FALSE)</f>
        <v>02-05-2026</v>
      </c>
      <c r="C147" t="str">
        <f>VLOOKUP($A147,'ecommerce-order (1)'!$A:$M,3,FALSE)</f>
        <v>customer1129@example.com</v>
      </c>
      <c r="D147" t="str">
        <f>VLOOKUP($A147,'ecommerce-order (1)'!$A:$M,4,FALSE)</f>
        <v>UK</v>
      </c>
      <c r="E147" t="str">
        <f>VLOOKUP($A147,'ecommerce-order (1)'!$A:$M,5,FALSE)</f>
        <v>organic</v>
      </c>
      <c r="F147" t="str">
        <f>VLOOKUP($A147,'ecommerce-order (1)'!$A:$M,6,FALSE)</f>
        <v>FR-5567</v>
      </c>
      <c r="G147" t="str">
        <f>VLOOKUP($A147,'ecommerce-order (1)'!$A:$M,7,FALSE)</f>
        <v>Merino Base Layer</v>
      </c>
      <c r="H147">
        <f>VLOOKUP($A147,'ecommerce-order (1)'!$A:$M,8,FALSE)</f>
        <v>2</v>
      </c>
      <c r="I147">
        <f>VLOOKUP($A147,'ecommerce-order (1)'!$A:$M,9,FALSE)</f>
        <v>116.1</v>
      </c>
      <c r="J147">
        <f>VLOOKUP($A147,'ecommerce-order (1)'!$A:$M,10,FALSE)</f>
        <v>232.2</v>
      </c>
      <c r="K147">
        <f>VLOOKUP($A147,'ecommerce-order (1)'!$A:$M,11,FALSE)</f>
        <v>0.19</v>
      </c>
      <c r="L147" t="str">
        <f>VLOOKUP($A147,'ecommerce-order (1)'!$A:$M,12,FALSE)</f>
        <v>GBP</v>
      </c>
      <c r="M147" t="str">
        <f>VLOOKUP($A147,'ecommerce-order (1)'!$A:$M,13,FALSE)</f>
        <v>completed</v>
      </c>
      <c r="N147" t="str">
        <f>IF(ISNA(VLOOKUP(A147,'ecommerce-order (1)'!A:A,1,FALSE)),"KEEEP","REMOVE")</f>
        <v>REMOVE</v>
      </c>
    </row>
    <row r="148" spans="1:14" x14ac:dyDescent="0.3">
      <c r="A148" t="s">
        <v>442</v>
      </c>
      <c r="B148" t="str">
        <f>VLOOKUP(A148,'ecommerce-order (1)'!$A:$M,2,FALSE)</f>
        <v>24-02-2026</v>
      </c>
      <c r="C148" t="str">
        <f>VLOOKUP($A148,'ecommerce-order (1)'!$A:$M,3,FALSE)</f>
        <v>customer0034@example.com</v>
      </c>
      <c r="D148" t="str">
        <f>VLOOKUP($A148,'ecommerce-order (1)'!$A:$M,4,FALSE)</f>
        <v>ireland</v>
      </c>
      <c r="E148" t="str">
        <f>VLOOKUP($A148,'ecommerce-order (1)'!$A:$M,5,FALSE)</f>
        <v>social</v>
      </c>
      <c r="F148" t="str">
        <f>VLOOKUP($A148,'ecommerce-order (1)'!$A:$M,6,FALSE)</f>
        <v>FR-2210</v>
      </c>
      <c r="G148" t="str">
        <f>VLOOKUP($A148,'ecommerce-order (1)'!$A:$M,7,FALSE)</f>
        <v>Trail Softshell</v>
      </c>
      <c r="H148">
        <f>VLOOKUP($A148,'ecommerce-order (1)'!$A:$M,8,FALSE)</f>
        <v>1</v>
      </c>
      <c r="I148">
        <f>VLOOKUP($A148,'ecommerce-order (1)'!$A:$M,9,FALSE)</f>
        <v>45</v>
      </c>
      <c r="J148">
        <f>VLOOKUP($A148,'ecommerce-order (1)'!$A:$M,10,FALSE)</f>
        <v>45</v>
      </c>
      <c r="K148">
        <f>VLOOKUP($A148,'ecommerce-order (1)'!$A:$M,11,FALSE)</f>
        <v>520</v>
      </c>
      <c r="L148" t="str">
        <f>VLOOKUP($A148,'ecommerce-order (1)'!$A:$M,12,FALSE)</f>
        <v>GBP</v>
      </c>
      <c r="M148" t="str">
        <f>VLOOKUP($A148,'ecommerce-order (1)'!$A:$M,13,FALSE)</f>
        <v>completed</v>
      </c>
      <c r="N148" t="str">
        <f>IF(ISNA(VLOOKUP(A148,'ecommerce-order (1)'!A:A,1,FALSE)),"KEEEP","REMOVE")</f>
        <v>REMOVE</v>
      </c>
    </row>
    <row r="149" spans="1:14" x14ac:dyDescent="0.3">
      <c r="A149" t="s">
        <v>445</v>
      </c>
      <c r="B149" t="str">
        <f>VLOOKUP(A149,'ecommerce-order (1)'!$A:$M,2,FALSE)</f>
        <v>08-03-2026</v>
      </c>
      <c r="C149" t="str">
        <f>VLOOKUP($A149,'ecommerce-order (1)'!$A:$M,3,FALSE)</f>
        <v>customer0186@example.com</v>
      </c>
      <c r="D149" t="str">
        <f>VLOOKUP($A149,'ecommerce-order (1)'!$A:$M,4,FALSE)</f>
        <v>UK</v>
      </c>
      <c r="E149" t="str">
        <f>VLOOKUP($A149,'ecommerce-order (1)'!$A:$M,5,FALSE)</f>
        <v>paid_search</v>
      </c>
      <c r="F149" t="str">
        <f>VLOOKUP($A149,'ecommerce-order (1)'!$A:$M,6,FALSE)</f>
        <v>FR-9902</v>
      </c>
      <c r="G149" t="str">
        <f>VLOOKUP($A149,'ecommerce-order (1)'!$A:$M,7,FALSE)</f>
        <v>Trekking Poles</v>
      </c>
      <c r="H149">
        <f>VLOOKUP($A149,'ecommerce-order (1)'!$A:$M,8,FALSE)</f>
        <v>1</v>
      </c>
      <c r="I149">
        <f>VLOOKUP($A149,'ecommerce-order (1)'!$A:$M,9,FALSE)</f>
        <v>149</v>
      </c>
      <c r="J149">
        <f>VLOOKUP($A149,'ecommerce-order (1)'!$A:$M,10,FALSE)</f>
        <v>149</v>
      </c>
      <c r="K149">
        <f>VLOOKUP($A149,'ecommerce-order (1)'!$A:$M,11,FALSE)</f>
        <v>520</v>
      </c>
      <c r="L149" t="str">
        <f>VLOOKUP($A149,'ecommerce-order (1)'!$A:$M,12,FALSE)</f>
        <v>GBP</v>
      </c>
      <c r="M149" t="str">
        <f>VLOOKUP($A149,'ecommerce-order (1)'!$A:$M,13,FALSE)</f>
        <v>completed</v>
      </c>
      <c r="N149" t="str">
        <f>IF(ISNA(VLOOKUP(A149,'ecommerce-order (1)'!A:A,1,FALSE)),"KEEEP","REMOVE")</f>
        <v>REMOVE</v>
      </c>
    </row>
    <row r="150" spans="1:14" x14ac:dyDescent="0.3">
      <c r="A150" t="s">
        <v>447</v>
      </c>
      <c r="B150" t="str">
        <f>VLOOKUP(A150,'ecommerce-order (1)'!$A:$M,2,FALSE)</f>
        <v>05-03-2026</v>
      </c>
      <c r="C150" t="str">
        <f>VLOOKUP($A150,'ecommerce-order (1)'!$A:$M,3,FALSE)</f>
        <v>customer0077@example.com</v>
      </c>
      <c r="D150" t="str">
        <f>VLOOKUP($A150,'ecommerce-order (1)'!$A:$M,4,FALSE)</f>
        <v xml:space="preserve">uk </v>
      </c>
      <c r="E150" t="str">
        <f>VLOOKUP($A150,'ecommerce-order (1)'!$A:$M,5,FALSE)</f>
        <v>social</v>
      </c>
      <c r="F150" t="str">
        <f>VLOOKUP($A150,'ecommerce-order (1)'!$A:$M,6,FALSE)</f>
        <v>FR-5567</v>
      </c>
      <c r="G150" t="str">
        <f>VLOOKUP($A150,'ecommerce-order (1)'!$A:$M,7,FALSE)</f>
        <v>Merino Base Layer</v>
      </c>
      <c r="H150">
        <f>VLOOKUP($A150,'ecommerce-order (1)'!$A:$M,8,FALSE)</f>
        <v>-2</v>
      </c>
      <c r="I150">
        <f>VLOOKUP($A150,'ecommerce-order (1)'!$A:$M,9,FALSE)</f>
        <v>129</v>
      </c>
      <c r="J150">
        <f>VLOOKUP($A150,'ecommerce-order (1)'!$A:$M,10,FALSE)</f>
        <v>-258</v>
      </c>
      <c r="K150">
        <f>VLOOKUP($A150,'ecommerce-order (1)'!$A:$M,11,FALSE)</f>
        <v>190</v>
      </c>
      <c r="L150" t="str">
        <f>VLOOKUP($A150,'ecommerce-order (1)'!$A:$M,12,FALSE)</f>
        <v>GBP</v>
      </c>
      <c r="M150" t="str">
        <f>VLOOKUP($A150,'ecommerce-order (1)'!$A:$M,13,FALSE)</f>
        <v>completed</v>
      </c>
      <c r="N150" t="str">
        <f>IF(ISNA(VLOOKUP(A150,'ecommerce-order (1)'!A:A,1,FALSE)),"KEEEP","REMOVE")</f>
        <v>REMOVE</v>
      </c>
    </row>
    <row r="151" spans="1:14" x14ac:dyDescent="0.3">
      <c r="A151" t="s">
        <v>450</v>
      </c>
      <c r="B151" t="str">
        <f>VLOOKUP(A151,'ecommerce-order (1)'!$A:$M,2,FALSE)</f>
        <v>25-04-2026</v>
      </c>
      <c r="C151" t="str">
        <f>VLOOKUP($A151,'ecommerce-order (1)'!$A:$M,3,FALSE)</f>
        <v>customer0734@example.com</v>
      </c>
      <c r="D151" t="str">
        <f>VLOOKUP($A151,'ecommerce-order (1)'!$A:$M,4,FALSE)</f>
        <v>GB</v>
      </c>
      <c r="E151" t="str">
        <f>VLOOKUP($A151,'ecommerce-order (1)'!$A:$M,5,FALSE)</f>
        <v>organic</v>
      </c>
      <c r="F151" t="str">
        <f>VLOOKUP($A151,'ecommerce-order (1)'!$A:$M,6,FALSE)</f>
        <v>FR-7781</v>
      </c>
      <c r="G151" t="str">
        <f>VLOOKUP($A151,'ecommerce-order (1)'!$A:$M,7,FALSE)</f>
        <v>Storm Overtrousers</v>
      </c>
      <c r="H151">
        <f>VLOOKUP($A151,'ecommerce-order (1)'!$A:$M,8,FALSE)</f>
        <v>1</v>
      </c>
      <c r="I151">
        <f>VLOOKUP($A151,'ecommerce-order (1)'!$A:$M,9,FALSE)</f>
        <v>45</v>
      </c>
      <c r="J151">
        <f>VLOOKUP($A151,'ecommerce-order (1)'!$A:$M,10,FALSE)</f>
        <v>45</v>
      </c>
      <c r="K151">
        <f>VLOOKUP($A151,'ecommerce-order (1)'!$A:$M,11,FALSE)</f>
        <v>0.41</v>
      </c>
      <c r="L151" t="str">
        <f>VLOOKUP($A151,'ecommerce-order (1)'!$A:$M,12,FALSE)</f>
        <v>GBP</v>
      </c>
      <c r="M151" t="str">
        <f>VLOOKUP($A151,'ecommerce-order (1)'!$A:$M,13,FALSE)</f>
        <v>refunded</v>
      </c>
      <c r="N151" t="str">
        <f>IF(ISNA(VLOOKUP(A151,'ecommerce-order (1)'!A:A,1,FALSE)),"KEEEP","REMOVE")</f>
        <v>REMOVE</v>
      </c>
    </row>
    <row r="152" spans="1:14" x14ac:dyDescent="0.3">
      <c r="A152" t="s">
        <v>452</v>
      </c>
      <c r="B152" t="str">
        <f>VLOOKUP(A152,'ecommerce-order (1)'!$A:$M,2,FALSE)</f>
        <v>03/28/2026</v>
      </c>
      <c r="C152" t="str">
        <f>VLOOKUP($A152,'ecommerce-order (1)'!$A:$M,3,FALSE)</f>
        <v>customer0274@example.com</v>
      </c>
      <c r="D152" t="str">
        <f>VLOOKUP($A152,'ecommerce-order (1)'!$A:$M,4,FALSE)</f>
        <v>UK</v>
      </c>
      <c r="E152" t="str">
        <f>VLOOKUP($A152,'ecommerce-order (1)'!$A:$M,5,FALSE)</f>
        <v>paid_search</v>
      </c>
      <c r="F152" t="str">
        <f>VLOOKUP($A152,'ecommerce-order (1)'!$A:$M,6,FALSE)</f>
        <v>FR-4471</v>
      </c>
      <c r="G152" t="str">
        <f>VLOOKUP($A152,'ecommerce-order (1)'!$A:$M,7,FALSE)</f>
        <v>Alpine Jacket</v>
      </c>
      <c r="H152">
        <f>VLOOKUP($A152,'ecommerce-order (1)'!$A:$M,8,FALSE)</f>
        <v>2</v>
      </c>
      <c r="I152">
        <f>VLOOKUP($A152,'ecommerce-order (1)'!$A:$M,9,FALSE)</f>
        <v>0</v>
      </c>
      <c r="J152">
        <f>VLOOKUP($A152,'ecommerce-order (1)'!$A:$M,10,FALSE)</f>
        <v>142.19999999999999</v>
      </c>
      <c r="K152">
        <f>VLOOKUP($A152,'ecommerce-order (1)'!$A:$M,11,FALSE)</f>
        <v>640</v>
      </c>
      <c r="L152" t="str">
        <f>VLOOKUP($A152,'ecommerce-order (1)'!$A:$M,12,FALSE)</f>
        <v>GBP</v>
      </c>
      <c r="M152" t="str">
        <f>VLOOKUP($A152,'ecommerce-order (1)'!$A:$M,13,FALSE)</f>
        <v>completed</v>
      </c>
      <c r="N152" t="str">
        <f>IF(ISNA(VLOOKUP(A152,'ecommerce-order (1)'!A:A,1,FALSE)),"KEEEP","REMOVE")</f>
        <v>REMOVE</v>
      </c>
    </row>
    <row r="153" spans="1:14" x14ac:dyDescent="0.3">
      <c r="A153" t="s">
        <v>455</v>
      </c>
      <c r="B153" t="str">
        <f>VLOOKUP(A153,'ecommerce-order (1)'!$A:$M,2,FALSE)</f>
        <v>13-05-2026</v>
      </c>
      <c r="C153" t="str">
        <f>VLOOKUP($A153,'ecommerce-order (1)'!$A:$M,3,FALSE)</f>
        <v>customer0850@example.com</v>
      </c>
      <c r="D153" t="str">
        <f>VLOOKUP($A153,'ecommerce-order (1)'!$A:$M,4,FALSE)</f>
        <v xml:space="preserve">uk </v>
      </c>
      <c r="E153" t="str">
        <f>VLOOKUP($A153,'ecommerce-order (1)'!$A:$M,5,FALSE)</f>
        <v>paid_search</v>
      </c>
      <c r="F153" t="str">
        <f>VLOOKUP($A153,'ecommerce-order (1)'!$A:$M,6,FALSE)</f>
        <v>FR-7781</v>
      </c>
      <c r="G153" t="str">
        <f>VLOOKUP($A153,'ecommerce-order (1)'!$A:$M,7,FALSE)</f>
        <v>Storm Overtrousers</v>
      </c>
      <c r="H153">
        <f>VLOOKUP($A153,'ecommerce-order (1)'!$A:$M,8,FALSE)</f>
        <v>3</v>
      </c>
      <c r="I153">
        <f>VLOOKUP($A153,'ecommerce-order (1)'!$A:$M,9,FALSE)</f>
        <v>116.1</v>
      </c>
      <c r="J153">
        <f>VLOOKUP($A153,'ecommerce-order (1)'!$A:$M,10,FALSE)</f>
        <v>348.3</v>
      </c>
      <c r="K153">
        <f>VLOOKUP($A153,'ecommerce-order (1)'!$A:$M,11,FALSE)</f>
        <v>0.41</v>
      </c>
      <c r="L153" t="str">
        <f>VLOOKUP($A153,'ecommerce-order (1)'!$A:$M,12,FALSE)</f>
        <v>GBP</v>
      </c>
      <c r="M153" t="str">
        <f>VLOOKUP($A153,'ecommerce-order (1)'!$A:$M,13,FALSE)</f>
        <v>completed</v>
      </c>
      <c r="N153" t="str">
        <f>IF(ISNA(VLOOKUP(A153,'ecommerce-order (1)'!A:A,1,FALSE)),"KEEEP","REMOVE")</f>
        <v>REMOVE</v>
      </c>
    </row>
    <row r="154" spans="1:14" x14ac:dyDescent="0.3">
      <c r="A154" t="s">
        <v>457</v>
      </c>
      <c r="B154" t="str">
        <f>VLOOKUP(A154,'ecommerce-order (1)'!$A:$M,2,FALSE)</f>
        <v>09-01-2026</v>
      </c>
      <c r="C154" t="str">
        <f>VLOOKUP($A154,'ecommerce-order (1)'!$A:$M,3,FALSE)</f>
        <v>customer1301@example.com</v>
      </c>
      <c r="D154" t="str">
        <f>VLOOKUP($A154,'ecommerce-order (1)'!$A:$M,4,FALSE)</f>
        <v>Ireland</v>
      </c>
      <c r="E154" t="str">
        <f>VLOOKUP($A154,'ecommerce-order (1)'!$A:$M,5,FALSE)</f>
        <v>direct</v>
      </c>
      <c r="F154" t="str">
        <f>VLOOKUP($A154,'ecommerce-order (1)'!$A:$M,6,FALSE)</f>
        <v>FR-5567</v>
      </c>
      <c r="G154" t="str">
        <f>VLOOKUP($A154,'ecommerce-order (1)'!$A:$M,7,FALSE)</f>
        <v>Merino Base Layer</v>
      </c>
      <c r="H154">
        <f>VLOOKUP($A154,'ecommerce-order (1)'!$A:$M,8,FALSE)</f>
        <v>1</v>
      </c>
      <c r="I154">
        <f>VLOOKUP($A154,'ecommerce-order (1)'!$A:$M,9,FALSE)</f>
        <v>79</v>
      </c>
      <c r="J154">
        <f>VLOOKUP($A154,'ecommerce-order (1)'!$A:$M,10,FALSE)</f>
        <v>79</v>
      </c>
      <c r="K154">
        <f>VLOOKUP($A154,'ecommerce-order (1)'!$A:$M,11,FALSE)</f>
        <v>190</v>
      </c>
      <c r="L154" t="str">
        <f>VLOOKUP($A154,'ecommerce-order (1)'!$A:$M,12,FALSE)</f>
        <v>GBP</v>
      </c>
      <c r="M154" t="str">
        <f>VLOOKUP($A154,'ecommerce-order (1)'!$A:$M,13,FALSE)</f>
        <v>refunded</v>
      </c>
      <c r="N154" t="str">
        <f>IF(ISNA(VLOOKUP(A154,'ecommerce-order (1)'!A:A,1,FALSE)),"KEEEP","REMOVE")</f>
        <v>REMOVE</v>
      </c>
    </row>
    <row r="155" spans="1:14" x14ac:dyDescent="0.3">
      <c r="A155" t="s">
        <v>459</v>
      </c>
      <c r="B155" t="str">
        <f>VLOOKUP(A155,'ecommerce-order (1)'!$A:$M,2,FALSE)</f>
        <v>22-05-2026</v>
      </c>
      <c r="C155" t="str">
        <f>VLOOKUP($A155,'ecommerce-order (1)'!$A:$M,3,FALSE)</f>
        <v>customer1291@example.com</v>
      </c>
      <c r="D155" t="str">
        <f>VLOOKUP($A155,'ecommerce-order (1)'!$A:$M,4,FALSE)</f>
        <v>Ireland</v>
      </c>
      <c r="E155" t="str">
        <f>VLOOKUP($A155,'ecommerce-order (1)'!$A:$M,5,FALSE)</f>
        <v>direct</v>
      </c>
      <c r="F155" t="str">
        <f>VLOOKUP($A155,'ecommerce-order (1)'!$A:$M,6,FALSE)</f>
        <v>FR-8890</v>
      </c>
      <c r="G155" t="str">
        <f>VLOOKUP($A155,'ecommerce-order (1)'!$A:$M,7,FALSE)</f>
        <v>Summit Down Gilet</v>
      </c>
      <c r="H155">
        <f>VLOOKUP($A155,'ecommerce-order (1)'!$A:$M,8,FALSE)</f>
        <v>3</v>
      </c>
      <c r="I155">
        <f>VLOOKUP($A155,'ecommerce-order (1)'!$A:$M,9,FALSE)</f>
        <v>79</v>
      </c>
      <c r="J155">
        <f>VLOOKUP($A155,'ecommerce-order (1)'!$A:$M,10,FALSE)</f>
        <v>237</v>
      </c>
      <c r="K155">
        <f>VLOOKUP($A155,'ecommerce-order (1)'!$A:$M,11,FALSE)</f>
        <v>0.38</v>
      </c>
      <c r="L155" t="str">
        <f>VLOOKUP($A155,'ecommerce-order (1)'!$A:$M,12,FALSE)</f>
        <v>EUR</v>
      </c>
      <c r="M155" t="str">
        <f>VLOOKUP($A155,'ecommerce-order (1)'!$A:$M,13,FALSE)</f>
        <v>completed</v>
      </c>
      <c r="N155" t="str">
        <f>IF(ISNA(VLOOKUP(A155,'ecommerce-order (1)'!A:A,1,FALSE)),"KEEEP","REMOVE")</f>
        <v>REMOVE</v>
      </c>
    </row>
    <row r="156" spans="1:14" x14ac:dyDescent="0.3">
      <c r="A156" t="s">
        <v>460</v>
      </c>
      <c r="B156" t="str">
        <f>VLOOKUP(A156,'ecommerce-order (1)'!$A:$M,2,FALSE)</f>
        <v>26-06-2026</v>
      </c>
      <c r="C156" t="str">
        <f>VLOOKUP($A156,'ecommerce-order (1)'!$A:$M,3,FALSE)</f>
        <v>customer1174@example.com</v>
      </c>
      <c r="D156" t="str">
        <f>VLOOKUP($A156,'ecommerce-order (1)'!$A:$M,4,FALSE)</f>
        <v xml:space="preserve"> UK</v>
      </c>
      <c r="E156" t="str">
        <f>VLOOKUP($A156,'ecommerce-order (1)'!$A:$M,5,FALSE)</f>
        <v>social</v>
      </c>
      <c r="F156" t="str">
        <f>VLOOKUP($A156,'ecommerce-order (1)'!$A:$M,6,FALSE)</f>
        <v>FR-1120</v>
      </c>
      <c r="G156" t="str">
        <f>VLOOKUP($A156,'ecommerce-order (1)'!$A:$M,7,FALSE)</f>
        <v>Fell Runner Cap</v>
      </c>
      <c r="H156">
        <f>VLOOKUP($A156,'ecommerce-order (1)'!$A:$M,8,FALSE)</f>
        <v>1</v>
      </c>
      <c r="I156">
        <f>VLOOKUP($A156,'ecommerce-order (1)'!$A:$M,9,FALSE)</f>
        <v>129</v>
      </c>
      <c r="J156">
        <f>VLOOKUP($A156,'ecommerce-order (1)'!$A:$M,10,FALSE)</f>
        <v>129</v>
      </c>
      <c r="K156">
        <f>VLOOKUP($A156,'ecommerce-order (1)'!$A:$M,11,FALSE)</f>
        <v>8.5000000000000006E-2</v>
      </c>
      <c r="L156" t="str">
        <f>VLOOKUP($A156,'ecommerce-order (1)'!$A:$M,12,FALSE)</f>
        <v>GBP</v>
      </c>
      <c r="M156" t="str">
        <f>VLOOKUP($A156,'ecommerce-order (1)'!$A:$M,13,FALSE)</f>
        <v>refunded</v>
      </c>
      <c r="N156" t="str">
        <f>IF(ISNA(VLOOKUP(A156,'ecommerce-order (1)'!A:A,1,FALSE)),"KEEEP","REMOVE")</f>
        <v>REMOVE</v>
      </c>
    </row>
    <row r="157" spans="1:14" x14ac:dyDescent="0.3">
      <c r="A157" t="s">
        <v>463</v>
      </c>
      <c r="B157" t="str">
        <f>VLOOKUP(A157,'ecommerce-order (1)'!$A:$M,2,FALSE)</f>
        <v>07-01-2026</v>
      </c>
      <c r="C157" t="str">
        <f>VLOOKUP($A157,'ecommerce-order (1)'!$A:$M,3,FALSE)</f>
        <v>customer1265@example.com</v>
      </c>
      <c r="D157" t="str">
        <f>VLOOKUP($A157,'ecommerce-order (1)'!$A:$M,4,FALSE)</f>
        <v>Germany</v>
      </c>
      <c r="E157" t="str">
        <f>VLOOKUP($A157,'ecommerce-order (1)'!$A:$M,5,FALSE)</f>
        <v>social</v>
      </c>
      <c r="F157" t="str">
        <f>VLOOKUP($A157,'ecommerce-order (1)'!$A:$M,6,FALSE)</f>
        <v>FR-8890</v>
      </c>
      <c r="G157" t="str">
        <f>VLOOKUP($A157,'ecommerce-order (1)'!$A:$M,7,FALSE)</f>
        <v>Summit Down Gilet</v>
      </c>
      <c r="H157">
        <f>VLOOKUP($A157,'ecommerce-order (1)'!$A:$M,8,FALSE)</f>
        <v>3</v>
      </c>
      <c r="I157">
        <f>VLOOKUP($A157,'ecommerce-order (1)'!$A:$M,9,FALSE)</f>
        <v>0</v>
      </c>
      <c r="J157">
        <f>VLOOKUP($A157,'ecommerce-order (1)'!$A:$M,10,FALSE)</f>
        <v>328.95</v>
      </c>
      <c r="K157">
        <f>VLOOKUP($A157,'ecommerce-order (1)'!$A:$M,11,FALSE)</f>
        <v>380</v>
      </c>
      <c r="L157" t="str">
        <f>VLOOKUP($A157,'ecommerce-order (1)'!$A:$M,12,FALSE)</f>
        <v>GBP</v>
      </c>
      <c r="M157" t="str">
        <f>VLOOKUP($A157,'ecommerce-order (1)'!$A:$M,13,FALSE)</f>
        <v>completed</v>
      </c>
      <c r="N157" t="str">
        <f>IF(ISNA(VLOOKUP(A157,'ecommerce-order (1)'!A:A,1,FALSE)),"KEEEP","REMOVE")</f>
        <v>REMOVE</v>
      </c>
    </row>
    <row r="158" spans="1:14" x14ac:dyDescent="0.3">
      <c r="A158" t="s">
        <v>465</v>
      </c>
      <c r="B158" t="str">
        <f>VLOOKUP(A158,'ecommerce-order (1)'!$A:$M,2,FALSE)</f>
        <v>01-03-2026</v>
      </c>
      <c r="C158" t="str">
        <f>VLOOKUP($A158,'ecommerce-order (1)'!$A:$M,3,FALSE)</f>
        <v>customer1278@example.com</v>
      </c>
      <c r="D158" t="str">
        <f>VLOOKUP($A158,'ecommerce-order (1)'!$A:$M,4,FALSE)</f>
        <v>Germany</v>
      </c>
      <c r="E158" t="str">
        <f>VLOOKUP($A158,'ecommerce-order (1)'!$A:$M,5,FALSE)</f>
        <v>email</v>
      </c>
      <c r="F158" t="str">
        <f>VLOOKUP($A158,'ecommerce-order (1)'!$A:$M,6,FALSE)</f>
        <v>FR-7781</v>
      </c>
      <c r="G158" t="str">
        <f>VLOOKUP($A158,'ecommerce-order (1)'!$A:$M,7,FALSE)</f>
        <v>Storm Overtrousers</v>
      </c>
      <c r="H158">
        <f>VLOOKUP($A158,'ecommerce-order (1)'!$A:$M,8,FALSE)</f>
        <v>3</v>
      </c>
      <c r="I158">
        <f>VLOOKUP($A158,'ecommerce-order (1)'!$A:$M,9,FALSE)</f>
        <v>11.25</v>
      </c>
      <c r="J158">
        <f>VLOOKUP($A158,'ecommerce-order (1)'!$A:$M,10,FALSE)</f>
        <v>33.75</v>
      </c>
      <c r="K158">
        <f>VLOOKUP($A158,'ecommerce-order (1)'!$A:$M,11,FALSE)</f>
        <v>410</v>
      </c>
      <c r="L158" t="str">
        <f>VLOOKUP($A158,'ecommerce-order (1)'!$A:$M,12,FALSE)</f>
        <v>GBP</v>
      </c>
      <c r="M158" t="str">
        <f>VLOOKUP($A158,'ecommerce-order (1)'!$A:$M,13,FALSE)</f>
        <v>completed</v>
      </c>
      <c r="N158" t="str">
        <f>IF(ISNA(VLOOKUP(A158,'ecommerce-order (1)'!A:A,1,FALSE)),"KEEEP","REMOVE")</f>
        <v>REMOVE</v>
      </c>
    </row>
    <row r="159" spans="1:14" x14ac:dyDescent="0.3">
      <c r="A159" t="s">
        <v>467</v>
      </c>
      <c r="B159" t="str">
        <f>VLOOKUP(A159,'ecommerce-order (1)'!$A:$M,2,FALSE)</f>
        <v>05-02-2026</v>
      </c>
      <c r="C159" t="str">
        <f>VLOOKUP($A159,'ecommerce-order (1)'!$A:$M,3,FALSE)</f>
        <v>customer0489@example.com</v>
      </c>
      <c r="D159" t="str">
        <f>VLOOKUP($A159,'ecommerce-order (1)'!$A:$M,4,FALSE)</f>
        <v>Germany</v>
      </c>
      <c r="E159" t="str">
        <f>VLOOKUP($A159,'ecommerce-order (1)'!$A:$M,5,FALSE)</f>
        <v>direct</v>
      </c>
      <c r="F159" t="str">
        <f>VLOOKUP($A159,'ecommerce-order (1)'!$A:$M,6,FALSE)</f>
        <v>FR-7781</v>
      </c>
      <c r="G159" t="str">
        <f>VLOOKUP($A159,'ecommerce-order (1)'!$A:$M,7,FALSE)</f>
        <v>Storm Overtrousers</v>
      </c>
      <c r="H159">
        <f>VLOOKUP($A159,'ecommerce-order (1)'!$A:$M,8,FALSE)</f>
        <v>1</v>
      </c>
      <c r="I159">
        <f>VLOOKUP($A159,'ecommerce-order (1)'!$A:$M,9,FALSE)</f>
        <v>11.25</v>
      </c>
      <c r="J159">
        <f>VLOOKUP($A159,'ecommerce-order (1)'!$A:$M,10,FALSE)</f>
        <v>11.25</v>
      </c>
      <c r="K159">
        <f>VLOOKUP($A159,'ecommerce-order (1)'!$A:$M,11,FALSE)</f>
        <v>410</v>
      </c>
      <c r="L159" t="str">
        <f>VLOOKUP($A159,'ecommerce-order (1)'!$A:$M,12,FALSE)</f>
        <v>GBP</v>
      </c>
      <c r="M159" t="str">
        <f>VLOOKUP($A159,'ecommerce-order (1)'!$A:$M,13,FALSE)</f>
        <v>refunded</v>
      </c>
      <c r="N159" t="str">
        <f>IF(ISNA(VLOOKUP(A159,'ecommerce-order (1)'!A:A,1,FALSE)),"KEEEP","REMOVE")</f>
        <v>REMOVE</v>
      </c>
    </row>
    <row r="160" spans="1:14" x14ac:dyDescent="0.3">
      <c r="A160" t="s">
        <v>470</v>
      </c>
      <c r="B160" t="str">
        <f>VLOOKUP(A160,'ecommerce-order (1)'!$A:$M,2,FALSE)</f>
        <v>17-01-2026</v>
      </c>
      <c r="C160" t="str">
        <f>VLOOKUP($A160,'ecommerce-order (1)'!$A:$M,3,FALSE)</f>
        <v>customer0357@example.com</v>
      </c>
      <c r="D160" t="str">
        <f>VLOOKUP($A160,'ecommerce-order (1)'!$A:$M,4,FALSE)</f>
        <v>GB</v>
      </c>
      <c r="E160" t="str">
        <f>VLOOKUP($A160,'ecommerce-order (1)'!$A:$M,5,FALSE)</f>
        <v>direct</v>
      </c>
      <c r="F160" t="str">
        <f>VLOOKUP($A160,'ecommerce-order (1)'!$A:$M,6,FALSE)</f>
        <v>FR-5567</v>
      </c>
      <c r="G160" t="str">
        <f>VLOOKUP($A160,'ecommerce-order (1)'!$A:$M,7,FALSE)</f>
        <v>Merino Base Layer</v>
      </c>
      <c r="H160">
        <f>VLOOKUP($A160,'ecommerce-order (1)'!$A:$M,8,FALSE)</f>
        <v>1</v>
      </c>
      <c r="I160">
        <f>VLOOKUP($A160,'ecommerce-order (1)'!$A:$M,9,FALSE)</f>
        <v>149</v>
      </c>
      <c r="J160">
        <f>VLOOKUP($A160,'ecommerce-order (1)'!$A:$M,10,FALSE)</f>
        <v>149</v>
      </c>
      <c r="K160">
        <f>VLOOKUP($A160,'ecommerce-order (1)'!$A:$M,11,FALSE)</f>
        <v>190</v>
      </c>
      <c r="L160" t="str">
        <f>VLOOKUP($A160,'ecommerce-order (1)'!$A:$M,12,FALSE)</f>
        <v>GBP</v>
      </c>
      <c r="M160" t="str">
        <f>VLOOKUP($A160,'ecommerce-order (1)'!$A:$M,13,FALSE)</f>
        <v>refunded</v>
      </c>
      <c r="N160" t="str">
        <f>IF(ISNA(VLOOKUP(A160,'ecommerce-order (1)'!A:A,1,FALSE)),"KEEEP","REMOVE")</f>
        <v>REMOVE</v>
      </c>
    </row>
    <row r="161" spans="1:14" x14ac:dyDescent="0.3">
      <c r="A161" t="s">
        <v>472</v>
      </c>
      <c r="B161" t="str">
        <f>VLOOKUP(A161,'ecommerce-order (1)'!$A:$M,2,FALSE)</f>
        <v>03-11-2026</v>
      </c>
      <c r="C161" t="str">
        <f>VLOOKUP($A161,'ecommerce-order (1)'!$A:$M,3,FALSE)</f>
        <v>customer1323@example.com</v>
      </c>
      <c r="D161" t="str">
        <f>VLOOKUP($A161,'ecommerce-order (1)'!$A:$M,4,FALSE)</f>
        <v>gb</v>
      </c>
      <c r="E161" t="str">
        <f>VLOOKUP($A161,'ecommerce-order (1)'!$A:$M,5,FALSE)</f>
        <v>email</v>
      </c>
      <c r="F161" t="str">
        <f>VLOOKUP($A161,'ecommerce-order (1)'!$A:$M,6,FALSE)</f>
        <v>FR-7781</v>
      </c>
      <c r="G161" t="str">
        <f>VLOOKUP($A161,'ecommerce-order (1)'!$A:$M,7,FALSE)</f>
        <v>Storm Overtrousers</v>
      </c>
      <c r="H161">
        <f>VLOOKUP($A161,'ecommerce-order (1)'!$A:$M,8,FALSE)</f>
        <v>1</v>
      </c>
      <c r="I161">
        <f>VLOOKUP($A161,'ecommerce-order (1)'!$A:$M,9,FALSE)</f>
        <v>79</v>
      </c>
      <c r="J161">
        <f>VLOOKUP($A161,'ecommerce-order (1)'!$A:$M,10,FALSE)</f>
        <v>79</v>
      </c>
      <c r="K161">
        <f>VLOOKUP($A161,'ecommerce-order (1)'!$A:$M,11,FALSE)</f>
        <v>410</v>
      </c>
      <c r="L161" t="str">
        <f>VLOOKUP($A161,'ecommerce-order (1)'!$A:$M,12,FALSE)</f>
        <v>GBP</v>
      </c>
      <c r="M161" t="str">
        <f>VLOOKUP($A161,'ecommerce-order (1)'!$A:$M,13,FALSE)</f>
        <v>refunded</v>
      </c>
      <c r="N161" t="str">
        <f>IF(ISNA(VLOOKUP(A161,'ecommerce-order (1)'!A:A,1,FALSE)),"KEEEP","REMOVE")</f>
        <v>REMOVE</v>
      </c>
    </row>
    <row r="162" spans="1:14" x14ac:dyDescent="0.3">
      <c r="A162" t="s">
        <v>475</v>
      </c>
      <c r="B162" t="str">
        <f>VLOOKUP(A162,'ecommerce-order (1)'!$A:$M,2,FALSE)</f>
        <v>04-02-2026</v>
      </c>
      <c r="C162" t="str">
        <f>VLOOKUP($A162,'ecommerce-order (1)'!$A:$M,3,FALSE)</f>
        <v>customer0080@example.com</v>
      </c>
      <c r="D162" t="str">
        <f>VLOOKUP($A162,'ecommerce-order (1)'!$A:$M,4,FALSE)</f>
        <v>Ireland</v>
      </c>
      <c r="E162" t="str">
        <f>VLOOKUP($A162,'ecommerce-order (1)'!$A:$M,5,FALSE)</f>
        <v>social</v>
      </c>
      <c r="F162" t="str">
        <f>VLOOKUP($A162,'ecommerce-order (1)'!$A:$M,6,FALSE)</f>
        <v>FR-7781</v>
      </c>
      <c r="G162" t="str">
        <f>VLOOKUP($A162,'ecommerce-order (1)'!$A:$M,7,FALSE)</f>
        <v>Storm Overtrousers</v>
      </c>
      <c r="H162">
        <f>VLOOKUP($A162,'ecommerce-order (1)'!$A:$M,8,FALSE)</f>
        <v>2</v>
      </c>
      <c r="I162">
        <f>VLOOKUP($A162,'ecommerce-order (1)'!$A:$M,9,FALSE)</f>
        <v>11.25</v>
      </c>
      <c r="J162">
        <f>VLOOKUP($A162,'ecommerce-order (1)'!$A:$M,10,FALSE)</f>
        <v>20.25</v>
      </c>
      <c r="K162">
        <f>VLOOKUP($A162,'ecommerce-order (1)'!$A:$M,11,FALSE)</f>
        <v>410</v>
      </c>
      <c r="L162" t="str">
        <f>VLOOKUP($A162,'ecommerce-order (1)'!$A:$M,12,FALSE)</f>
        <v>GBP</v>
      </c>
      <c r="M162" t="str">
        <f>VLOOKUP($A162,'ecommerce-order (1)'!$A:$M,13,FALSE)</f>
        <v>completed</v>
      </c>
      <c r="N162" t="str">
        <f>IF(ISNA(VLOOKUP(A162,'ecommerce-order (1)'!A:A,1,FALSE)),"KEEEP","REMOVE")</f>
        <v>REMOVE</v>
      </c>
    </row>
    <row r="163" spans="1:14" x14ac:dyDescent="0.3">
      <c r="A163" t="s">
        <v>477</v>
      </c>
      <c r="B163" t="str">
        <f>VLOOKUP(A163,'ecommerce-order (1)'!$A:$M,2,FALSE)</f>
        <v>10-04-2026</v>
      </c>
      <c r="C163" t="str">
        <f>VLOOKUP($A163,'ecommerce-order (1)'!$A:$M,3,FALSE)</f>
        <v>customer1164@example.com</v>
      </c>
      <c r="D163" t="str">
        <f>VLOOKUP($A163,'ecommerce-order (1)'!$A:$M,4,FALSE)</f>
        <v>ireland</v>
      </c>
      <c r="E163" t="str">
        <f>VLOOKUP($A163,'ecommerce-order (1)'!$A:$M,5,FALSE)</f>
        <v>organic</v>
      </c>
      <c r="F163" t="str">
        <f>VLOOKUP($A163,'ecommerce-order (1)'!$A:$M,6,FALSE)</f>
        <v>FR-5567</v>
      </c>
      <c r="G163" t="str">
        <f>VLOOKUP($A163,'ecommerce-order (1)'!$A:$M,7,FALSE)</f>
        <v>Merino Base Layer</v>
      </c>
      <c r="H163">
        <f>VLOOKUP($A163,'ecommerce-order (1)'!$A:$M,8,FALSE)</f>
        <v>1</v>
      </c>
      <c r="I163">
        <f>VLOOKUP($A163,'ecommerce-order (1)'!$A:$M,9,FALSE)</f>
        <v>45</v>
      </c>
      <c r="J163">
        <f>VLOOKUP($A163,'ecommerce-order (1)'!$A:$M,10,FALSE)</f>
        <v>40.5</v>
      </c>
      <c r="K163">
        <f>VLOOKUP($A163,'ecommerce-order (1)'!$A:$M,11,FALSE)</f>
        <v>190</v>
      </c>
      <c r="L163" t="str">
        <f>VLOOKUP($A163,'ecommerce-order (1)'!$A:$M,12,FALSE)</f>
        <v>GBP</v>
      </c>
      <c r="M163" t="str">
        <f>VLOOKUP($A163,'ecommerce-order (1)'!$A:$M,13,FALSE)</f>
        <v>completed</v>
      </c>
      <c r="N163" t="str">
        <f>IF(ISNA(VLOOKUP(A163,'ecommerce-order (1)'!A:A,1,FALSE)),"KEEEP","REMOVE")</f>
        <v>REMOVE</v>
      </c>
    </row>
    <row r="164" spans="1:14" x14ac:dyDescent="0.3">
      <c r="A164" t="s">
        <v>478</v>
      </c>
      <c r="B164" t="str">
        <f>VLOOKUP(A164,'ecommerce-order (1)'!$A:$M,2,FALSE)</f>
        <v>03-05-2026</v>
      </c>
      <c r="C164" t="str">
        <f>VLOOKUP($A164,'ecommerce-order (1)'!$A:$M,3,FALSE)</f>
        <v>customer0851@example.com</v>
      </c>
      <c r="D164" t="str">
        <f>VLOOKUP($A164,'ecommerce-order (1)'!$A:$M,4,FALSE)</f>
        <v>United Kingdom</v>
      </c>
      <c r="E164" t="str">
        <f>VLOOKUP($A164,'ecommerce-order (1)'!$A:$M,5,FALSE)</f>
        <v>email</v>
      </c>
      <c r="F164" t="str">
        <f>VLOOKUP($A164,'ecommerce-order (1)'!$A:$M,6,FALSE)</f>
        <v>FR-4471</v>
      </c>
      <c r="G164" t="str">
        <f>VLOOKUP($A164,'ecommerce-order (1)'!$A:$M,7,FALSE)</f>
        <v>Alpine Jacket</v>
      </c>
      <c r="H164">
        <f>VLOOKUP($A164,'ecommerce-order (1)'!$A:$M,8,FALSE)</f>
        <v>3</v>
      </c>
      <c r="I164">
        <f>VLOOKUP($A164,'ecommerce-order (1)'!$A:$M,9,FALSE)</f>
        <v>116.1</v>
      </c>
      <c r="J164">
        <f>VLOOKUP($A164,'ecommerce-order (1)'!$A:$M,10,FALSE)</f>
        <v>348.3</v>
      </c>
      <c r="K164">
        <f>VLOOKUP($A164,'ecommerce-order (1)'!$A:$M,11,FALSE)</f>
        <v>0.64</v>
      </c>
      <c r="L164" t="str">
        <f>VLOOKUP($A164,'ecommerce-order (1)'!$A:$M,12,FALSE)</f>
        <v>GBP</v>
      </c>
      <c r="M164" t="str">
        <f>VLOOKUP($A164,'ecommerce-order (1)'!$A:$M,13,FALSE)</f>
        <v>completed</v>
      </c>
      <c r="N164" t="str">
        <f>IF(ISNA(VLOOKUP(A164,'ecommerce-order (1)'!A:A,1,FALSE)),"KEEEP","REMOVE")</f>
        <v>REMOVE</v>
      </c>
    </row>
    <row r="165" spans="1:14" x14ac:dyDescent="0.3">
      <c r="A165" t="s">
        <v>480</v>
      </c>
      <c r="B165" t="str">
        <f>VLOOKUP(A165,'ecommerce-order (1)'!$A:$M,2,FALSE)</f>
        <v>26-06-2026</v>
      </c>
      <c r="C165" t="str">
        <f>VLOOKUP($A165,'ecommerce-order (1)'!$A:$M,3,FALSE)</f>
        <v>customer0214@example.com</v>
      </c>
      <c r="D165" t="str">
        <f>VLOOKUP($A165,'ecommerce-order (1)'!$A:$M,4,FALSE)</f>
        <v>ireland</v>
      </c>
      <c r="E165" t="str">
        <f>VLOOKUP($A165,'ecommerce-order (1)'!$A:$M,5,FALSE)</f>
        <v>social</v>
      </c>
      <c r="F165" t="str">
        <f>VLOOKUP($A165,'ecommerce-order (1)'!$A:$M,6,FALSE)</f>
        <v>FR-1120</v>
      </c>
      <c r="G165" t="str">
        <f>VLOOKUP($A165,'ecommerce-order (1)'!$A:$M,7,FALSE)</f>
        <v>Fell Runner Cap</v>
      </c>
      <c r="H165">
        <f>VLOOKUP($A165,'ecommerce-order (1)'!$A:$M,8,FALSE)</f>
        <v>2</v>
      </c>
      <c r="I165">
        <f>VLOOKUP($A165,'ecommerce-order (1)'!$A:$M,9,FALSE)</f>
        <v>71.099999999999994</v>
      </c>
      <c r="J165">
        <f>VLOOKUP($A165,'ecommerce-order (1)'!$A:$M,10,FALSE)</f>
        <v>142.19999999999999</v>
      </c>
      <c r="K165">
        <f>VLOOKUP($A165,'ecommerce-order (1)'!$A:$M,11,FALSE)</f>
        <v>8.5000000000000006E-2</v>
      </c>
      <c r="L165" t="str">
        <f>VLOOKUP($A165,'ecommerce-order (1)'!$A:$M,12,FALSE)</f>
        <v>GBP</v>
      </c>
      <c r="M165" t="str">
        <f>VLOOKUP($A165,'ecommerce-order (1)'!$A:$M,13,FALSE)</f>
        <v>refunded</v>
      </c>
      <c r="N165" t="str">
        <f>IF(ISNA(VLOOKUP(A165,'ecommerce-order (1)'!A:A,1,FALSE)),"KEEEP","REMOVE")</f>
        <v>REMOVE</v>
      </c>
    </row>
    <row r="166" spans="1:14" x14ac:dyDescent="0.3">
      <c r="A166" t="s">
        <v>482</v>
      </c>
      <c r="B166" t="str">
        <f>VLOOKUP(A166,'ecommerce-order (1)'!$A:$M,2,FALSE)</f>
        <v>09-02-2026</v>
      </c>
      <c r="C166" t="str">
        <f>VLOOKUP($A166,'ecommerce-order (1)'!$A:$M,3,FALSE)</f>
        <v>customer1025@example.com</v>
      </c>
      <c r="D166" t="str">
        <f>VLOOKUP($A166,'ecommerce-order (1)'!$A:$M,4,FALSE)</f>
        <v>ireland</v>
      </c>
      <c r="E166" t="str">
        <f>VLOOKUP($A166,'ecommerce-order (1)'!$A:$M,5,FALSE)</f>
        <v>paid_search</v>
      </c>
      <c r="F166" t="str">
        <f>VLOOKUP($A166,'ecommerce-order (1)'!$A:$M,6,FALSE)</f>
        <v>FR-4471</v>
      </c>
      <c r="G166" t="str">
        <f>VLOOKUP($A166,'ecommerce-order (1)'!$A:$M,7,FALSE)</f>
        <v>Alpine Jacket</v>
      </c>
      <c r="H166">
        <f>VLOOKUP($A166,'ecommerce-order (1)'!$A:$M,8,FALSE)</f>
        <v>1</v>
      </c>
      <c r="I166">
        <f>VLOOKUP($A166,'ecommerce-order (1)'!$A:$M,9,FALSE)</f>
        <v>45</v>
      </c>
      <c r="J166">
        <f>VLOOKUP($A166,'ecommerce-order (1)'!$A:$M,10,FALSE)</f>
        <v>45</v>
      </c>
      <c r="K166">
        <f>VLOOKUP($A166,'ecommerce-order (1)'!$A:$M,11,FALSE)</f>
        <v>640</v>
      </c>
      <c r="L166" t="str">
        <f>VLOOKUP($A166,'ecommerce-order (1)'!$A:$M,12,FALSE)</f>
        <v>GBP</v>
      </c>
      <c r="M166" t="str">
        <f>VLOOKUP($A166,'ecommerce-order (1)'!$A:$M,13,FALSE)</f>
        <v>completed</v>
      </c>
      <c r="N166" t="str">
        <f>IF(ISNA(VLOOKUP(A166,'ecommerce-order (1)'!A:A,1,FALSE)),"KEEEP","REMOVE")</f>
        <v>REMOVE</v>
      </c>
    </row>
    <row r="167" spans="1:14" x14ac:dyDescent="0.3">
      <c r="A167" t="s">
        <v>485</v>
      </c>
      <c r="B167" t="str">
        <f>VLOOKUP(A167,'ecommerce-order (1)'!$A:$M,2,FALSE)</f>
        <v>18-02-2026</v>
      </c>
      <c r="C167" t="str">
        <f>VLOOKUP($A167,'ecommerce-order (1)'!$A:$M,3,FALSE)</f>
        <v>customer0479@example.com</v>
      </c>
      <c r="D167" t="str">
        <f>VLOOKUP($A167,'ecommerce-order (1)'!$A:$M,4,FALSE)</f>
        <v>GB</v>
      </c>
      <c r="E167" t="str">
        <f>VLOOKUP($A167,'ecommerce-order (1)'!$A:$M,5,FALSE)</f>
        <v>paid_search</v>
      </c>
      <c r="F167" t="str">
        <f>VLOOKUP($A167,'ecommerce-order (1)'!$A:$M,6,FALSE)</f>
        <v>FR-8890</v>
      </c>
      <c r="G167" t="str">
        <f>VLOOKUP($A167,'ecommerce-order (1)'!$A:$M,7,FALSE)</f>
        <v>Summit Down Gilet</v>
      </c>
      <c r="H167">
        <f>VLOOKUP($A167,'ecommerce-order (1)'!$A:$M,8,FALSE)</f>
        <v>1</v>
      </c>
      <c r="I167">
        <f>VLOOKUP($A167,'ecommerce-order (1)'!$A:$M,9,FALSE)</f>
        <v>45</v>
      </c>
      <c r="J167">
        <f>VLOOKUP($A167,'ecommerce-order (1)'!$A:$M,10,FALSE)</f>
        <v>45</v>
      </c>
      <c r="K167">
        <f>VLOOKUP($A167,'ecommerce-order (1)'!$A:$M,11,FALSE)</f>
        <v>380</v>
      </c>
      <c r="L167" t="str">
        <f>VLOOKUP($A167,'ecommerce-order (1)'!$A:$M,12,FALSE)</f>
        <v>GBP</v>
      </c>
      <c r="M167" t="str">
        <f>VLOOKUP($A167,'ecommerce-order (1)'!$A:$M,13,FALSE)</f>
        <v>completed</v>
      </c>
      <c r="N167" t="str">
        <f>IF(ISNA(VLOOKUP(A167,'ecommerce-order (1)'!A:A,1,FALSE)),"KEEEP","REMOVE")</f>
        <v>REMOVE</v>
      </c>
    </row>
    <row r="168" spans="1:14" x14ac:dyDescent="0.3">
      <c r="A168" t="s">
        <v>488</v>
      </c>
      <c r="B168" t="str">
        <f>VLOOKUP(A168,'ecommerce-order (1)'!$A:$M,2,FALSE)</f>
        <v>24-05-2026</v>
      </c>
      <c r="C168" t="str">
        <f>VLOOKUP($A168,'ecommerce-order (1)'!$A:$M,3,FALSE)</f>
        <v>customer0240@example.com</v>
      </c>
      <c r="D168" t="str">
        <f>VLOOKUP($A168,'ecommerce-order (1)'!$A:$M,4,FALSE)</f>
        <v>GB</v>
      </c>
      <c r="E168" t="str">
        <f>VLOOKUP($A168,'ecommerce-order (1)'!$A:$M,5,FALSE)</f>
        <v>organic</v>
      </c>
      <c r="F168" t="str">
        <f>VLOOKUP($A168,'ecommerce-order (1)'!$A:$M,6,FALSE)</f>
        <v>FR-4471</v>
      </c>
      <c r="G168" t="str">
        <f>VLOOKUP($A168,'ecommerce-order (1)'!$A:$M,7,FALSE)</f>
        <v>Alpine Jacket</v>
      </c>
      <c r="H168">
        <f>VLOOKUP($A168,'ecommerce-order (1)'!$A:$M,8,FALSE)</f>
        <v>1</v>
      </c>
      <c r="I168">
        <f>VLOOKUP($A168,'ecommerce-order (1)'!$A:$M,9,FALSE)</f>
        <v>95</v>
      </c>
      <c r="J168">
        <f>VLOOKUP($A168,'ecommerce-order (1)'!$A:$M,10,FALSE)</f>
        <v>76</v>
      </c>
      <c r="K168">
        <f>VLOOKUP($A168,'ecommerce-order (1)'!$A:$M,11,FALSE)</f>
        <v>0.64</v>
      </c>
      <c r="L168" t="str">
        <f>VLOOKUP($A168,'ecommerce-order (1)'!$A:$M,12,FALSE)</f>
        <v>GBP</v>
      </c>
      <c r="M168" t="str">
        <f>VLOOKUP($A168,'ecommerce-order (1)'!$A:$M,13,FALSE)</f>
        <v>refunded</v>
      </c>
      <c r="N168" t="str">
        <f>IF(ISNA(VLOOKUP(A168,'ecommerce-order (1)'!A:A,1,FALSE)),"KEEEP","REMOVE")</f>
        <v>REMOVE</v>
      </c>
    </row>
    <row r="169" spans="1:14" x14ac:dyDescent="0.3">
      <c r="A169" t="s">
        <v>491</v>
      </c>
      <c r="B169" t="str">
        <f>VLOOKUP(A169,'ecommerce-order (1)'!$A:$M,2,FALSE)</f>
        <v>26-06-2026</v>
      </c>
      <c r="C169" t="str">
        <f>VLOOKUP($A169,'ecommerce-order (1)'!$A:$M,3,FALSE)</f>
        <v>customer0390@example.com</v>
      </c>
      <c r="D169" t="str">
        <f>VLOOKUP($A169,'ecommerce-order (1)'!$A:$M,4,FALSE)</f>
        <v>gb</v>
      </c>
      <c r="E169" t="str">
        <f>VLOOKUP($A169,'ecommerce-order (1)'!$A:$M,5,FALSE)</f>
        <v>social</v>
      </c>
      <c r="F169" t="str">
        <f>VLOOKUP($A169,'ecommerce-order (1)'!$A:$M,6,FALSE)</f>
        <v>FR-1120</v>
      </c>
      <c r="G169" t="str">
        <f>VLOOKUP($A169,'ecommerce-order (1)'!$A:$M,7,FALSE)</f>
        <v>Fell Runner Cap</v>
      </c>
      <c r="H169">
        <f>VLOOKUP($A169,'ecommerce-order (1)'!$A:$M,8,FALSE)</f>
        <v>1</v>
      </c>
      <c r="I169">
        <f>VLOOKUP($A169,'ecommerce-order (1)'!$A:$M,9,FALSE)</f>
        <v>79</v>
      </c>
      <c r="J169">
        <f>VLOOKUP($A169,'ecommerce-order (1)'!$A:$M,10,FALSE)</f>
        <v>79</v>
      </c>
      <c r="K169">
        <f>VLOOKUP($A169,'ecommerce-order (1)'!$A:$M,11,FALSE)</f>
        <v>8.5000000000000006E-2</v>
      </c>
      <c r="L169" t="str">
        <f>VLOOKUP($A169,'ecommerce-order (1)'!$A:$M,12,FALSE)</f>
        <v>GBP</v>
      </c>
      <c r="M169" t="str">
        <f>VLOOKUP($A169,'ecommerce-order (1)'!$A:$M,13,FALSE)</f>
        <v>completed</v>
      </c>
      <c r="N169" t="str">
        <f>IF(ISNA(VLOOKUP(A169,'ecommerce-order (1)'!A:A,1,FALSE)),"KEEEP","REMOVE")</f>
        <v>REMOVE</v>
      </c>
    </row>
    <row r="170" spans="1:14" x14ac:dyDescent="0.3">
      <c r="A170" t="s">
        <v>493</v>
      </c>
      <c r="B170" t="str">
        <f>VLOOKUP(A170,'ecommerce-order (1)'!$A:$M,2,FALSE)</f>
        <v>11-01-2026</v>
      </c>
      <c r="C170" t="str">
        <f>VLOOKUP($A170,'ecommerce-order (1)'!$A:$M,3,FALSE)</f>
        <v>customer1197@example.com</v>
      </c>
      <c r="D170" t="str">
        <f>VLOOKUP($A170,'ecommerce-order (1)'!$A:$M,4,FALSE)</f>
        <v>ireland</v>
      </c>
      <c r="E170" t="str">
        <f>VLOOKUP($A170,'ecommerce-order (1)'!$A:$M,5,FALSE)</f>
        <v>organic</v>
      </c>
      <c r="F170" t="str">
        <f>VLOOKUP($A170,'ecommerce-order (1)'!$A:$M,6,FALSE)</f>
        <v>FR-9902</v>
      </c>
      <c r="G170" t="str">
        <f>VLOOKUP($A170,'ecommerce-order (1)'!$A:$M,7,FALSE)</f>
        <v>Trekking Poles</v>
      </c>
      <c r="H170">
        <f>VLOOKUP($A170,'ecommerce-order (1)'!$A:$M,8,FALSE)</f>
        <v>2</v>
      </c>
      <c r="I170">
        <f>VLOOKUP($A170,'ecommerce-order (1)'!$A:$M,9,FALSE)</f>
        <v>80.099999999999994</v>
      </c>
      <c r="J170">
        <f>VLOOKUP($A170,'ecommerce-order (1)'!$A:$M,10,FALSE)</f>
        <v>160.19999999999999</v>
      </c>
      <c r="K170">
        <f>VLOOKUP($A170,'ecommerce-order (1)'!$A:$M,11,FALSE)</f>
        <v>520</v>
      </c>
      <c r="L170" t="str">
        <f>VLOOKUP($A170,'ecommerce-order (1)'!$A:$M,12,FALSE)</f>
        <v>GBP</v>
      </c>
      <c r="M170" t="str">
        <f>VLOOKUP($A170,'ecommerce-order (1)'!$A:$M,13,FALSE)</f>
        <v>completed</v>
      </c>
      <c r="N170" t="str">
        <f>IF(ISNA(VLOOKUP(A170,'ecommerce-order (1)'!A:A,1,FALSE)),"KEEEP","REMOVE")</f>
        <v>REMOVE</v>
      </c>
    </row>
    <row r="171" spans="1:14" x14ac:dyDescent="0.3">
      <c r="A171" t="s">
        <v>495</v>
      </c>
      <c r="B171" t="str">
        <f>VLOOKUP(A171,'ecommerce-order (1)'!$A:$M,2,FALSE)</f>
        <v>08-05-2026</v>
      </c>
      <c r="C171" t="str">
        <f>VLOOKUP($A171,'ecommerce-order (1)'!$A:$M,3,FALSE)</f>
        <v>customer0748@example.com</v>
      </c>
      <c r="D171" t="str">
        <f>VLOOKUP($A171,'ecommerce-order (1)'!$A:$M,4,FALSE)</f>
        <v>gb</v>
      </c>
      <c r="E171" t="str">
        <f>VLOOKUP($A171,'ecommerce-order (1)'!$A:$M,5,FALSE)</f>
        <v>paid_search</v>
      </c>
      <c r="F171" t="str">
        <f>VLOOKUP($A171,'ecommerce-order (1)'!$A:$M,6,FALSE)</f>
        <v>FR-2210</v>
      </c>
      <c r="G171" t="str">
        <f>VLOOKUP($A171,'ecommerce-order (1)'!$A:$M,7,FALSE)</f>
        <v>Trail Softshell</v>
      </c>
      <c r="H171">
        <f>VLOOKUP($A171,'ecommerce-order (1)'!$A:$M,8,FALSE)</f>
        <v>2</v>
      </c>
      <c r="I171">
        <f>VLOOKUP($A171,'ecommerce-order (1)'!$A:$M,9,FALSE)</f>
        <v>79</v>
      </c>
      <c r="J171">
        <f>VLOOKUP($A171,'ecommerce-order (1)'!$A:$M,10,FALSE)</f>
        <v>158</v>
      </c>
      <c r="K171">
        <f>VLOOKUP($A171,'ecommerce-order (1)'!$A:$M,11,FALSE)</f>
        <v>0.52</v>
      </c>
      <c r="L171" t="str">
        <f>VLOOKUP($A171,'ecommerce-order (1)'!$A:$M,12,FALSE)</f>
        <v>GBP</v>
      </c>
      <c r="M171" t="str">
        <f>VLOOKUP($A171,'ecommerce-order (1)'!$A:$M,13,FALSE)</f>
        <v>refunded</v>
      </c>
      <c r="N171" t="str">
        <f>IF(ISNA(VLOOKUP(A171,'ecommerce-order (1)'!A:A,1,FALSE)),"KEEEP","REMOVE")</f>
        <v>REMOVE</v>
      </c>
    </row>
    <row r="172" spans="1:14" x14ac:dyDescent="0.3">
      <c r="A172" t="s">
        <v>497</v>
      </c>
      <c r="B172" t="str">
        <f>VLOOKUP(A172,'ecommerce-order (1)'!$A:$M,2,FALSE)</f>
        <v>01-02-2026</v>
      </c>
      <c r="C172" t="str">
        <f>VLOOKUP($A172,'ecommerce-order (1)'!$A:$M,3,FALSE)</f>
        <v>customer0473@example.com</v>
      </c>
      <c r="D172" t="str">
        <f>VLOOKUP($A172,'ecommerce-order (1)'!$A:$M,4,FALSE)</f>
        <v>gb</v>
      </c>
      <c r="E172" t="str">
        <f>VLOOKUP($A172,'ecommerce-order (1)'!$A:$M,5,FALSE)</f>
        <v>paid_search</v>
      </c>
      <c r="F172" t="str">
        <f>VLOOKUP($A172,'ecommerce-order (1)'!$A:$M,6,FALSE)</f>
        <v>FR-1120</v>
      </c>
      <c r="G172" t="str">
        <f>VLOOKUP($A172,'ecommerce-order (1)'!$A:$M,7,FALSE)</f>
        <v>Fell Runner Cap</v>
      </c>
      <c r="H172">
        <f>VLOOKUP($A172,'ecommerce-order (1)'!$A:$M,8,FALSE)</f>
        <v>3</v>
      </c>
      <c r="I172">
        <f>VLOOKUP($A172,'ecommerce-order (1)'!$A:$M,9,FALSE)</f>
        <v>149</v>
      </c>
      <c r="J172">
        <f>VLOOKUP($A172,'ecommerce-order (1)'!$A:$M,10,FALSE)</f>
        <v>447</v>
      </c>
      <c r="K172">
        <f>VLOOKUP($A172,'ecommerce-order (1)'!$A:$M,11,FALSE)</f>
        <v>85</v>
      </c>
      <c r="L172" t="str">
        <f>VLOOKUP($A172,'ecommerce-order (1)'!$A:$M,12,FALSE)</f>
        <v>GBP</v>
      </c>
      <c r="M172" t="str">
        <f>VLOOKUP($A172,'ecommerce-order (1)'!$A:$M,13,FALSE)</f>
        <v>completed</v>
      </c>
      <c r="N172" t="str">
        <f>IF(ISNA(VLOOKUP(A172,'ecommerce-order (1)'!A:A,1,FALSE)),"KEEEP","REMOVE")</f>
        <v>REMOVE</v>
      </c>
    </row>
    <row r="173" spans="1:14" x14ac:dyDescent="0.3">
      <c r="A173" t="s">
        <v>500</v>
      </c>
      <c r="B173" t="str">
        <f>VLOOKUP(A173,'ecommerce-order (1)'!$A:$M,2,FALSE)</f>
        <v>03/25/2026</v>
      </c>
      <c r="C173" t="str">
        <f>VLOOKUP($A173,'ecommerce-order (1)'!$A:$M,3,FALSE)</f>
        <v>customer0991@example.com</v>
      </c>
      <c r="D173" t="str">
        <f>VLOOKUP($A173,'ecommerce-order (1)'!$A:$M,4,FALSE)</f>
        <v>gb</v>
      </c>
      <c r="E173" t="str">
        <f>VLOOKUP($A173,'ecommerce-order (1)'!$A:$M,5,FALSE)</f>
        <v>email</v>
      </c>
      <c r="F173" t="str">
        <f>VLOOKUP($A173,'ecommerce-order (1)'!$A:$M,6,FALSE)</f>
        <v>FR-2210</v>
      </c>
      <c r="G173" t="str">
        <f>VLOOKUP($A173,'ecommerce-order (1)'!$A:$M,7,FALSE)</f>
        <v>Trail Softshell</v>
      </c>
      <c r="H173">
        <f>VLOOKUP($A173,'ecommerce-order (1)'!$A:$M,8,FALSE)</f>
        <v>2</v>
      </c>
      <c r="I173">
        <f>VLOOKUP($A173,'ecommerce-order (1)'!$A:$M,9,FALSE)</f>
        <v>95</v>
      </c>
      <c r="J173">
        <f>VLOOKUP($A173,'ecommerce-order (1)'!$A:$M,10,FALSE)</f>
        <v>190</v>
      </c>
      <c r="K173">
        <f>VLOOKUP($A173,'ecommerce-order (1)'!$A:$M,11,FALSE)</f>
        <v>520</v>
      </c>
      <c r="L173" t="str">
        <f>VLOOKUP($A173,'ecommerce-order (1)'!$A:$M,12,FALSE)</f>
        <v>EUR</v>
      </c>
      <c r="M173" t="str">
        <f>VLOOKUP($A173,'ecommerce-order (1)'!$A:$M,13,FALSE)</f>
        <v>refunded</v>
      </c>
      <c r="N173" t="str">
        <f>IF(ISNA(VLOOKUP(A173,'ecommerce-order (1)'!A:A,1,FALSE)),"KEEEP","REMOVE")</f>
        <v>REMOVE</v>
      </c>
    </row>
    <row r="174" spans="1:14" x14ac:dyDescent="0.3">
      <c r="A174" t="s">
        <v>503</v>
      </c>
      <c r="B174" t="str">
        <f>VLOOKUP(A174,'ecommerce-order (1)'!$A:$M,2,FALSE)</f>
        <v>28-04-2026</v>
      </c>
      <c r="C174" t="str">
        <f>VLOOKUP($A174,'ecommerce-order (1)'!$A:$M,3,FALSE)</f>
        <v>customer0835@example.com</v>
      </c>
      <c r="D174" t="str">
        <f>VLOOKUP($A174,'ecommerce-order (1)'!$A:$M,4,FALSE)</f>
        <v>UK</v>
      </c>
      <c r="E174" t="str">
        <f>VLOOKUP($A174,'ecommerce-order (1)'!$A:$M,5,FALSE)</f>
        <v>social</v>
      </c>
      <c r="F174" t="str">
        <f>VLOOKUP($A174,'ecommerce-order (1)'!$A:$M,6,FALSE)</f>
        <v>FR-4471</v>
      </c>
      <c r="G174" t="str">
        <f>VLOOKUP($A174,'ecommerce-order (1)'!$A:$M,7,FALSE)</f>
        <v>Alpine Jacket</v>
      </c>
      <c r="H174">
        <f>VLOOKUP($A174,'ecommerce-order (1)'!$A:$M,8,FALSE)</f>
        <v>1</v>
      </c>
      <c r="I174">
        <f>VLOOKUP($A174,'ecommerce-order (1)'!$A:$M,9,FALSE)</f>
        <v>24</v>
      </c>
      <c r="J174">
        <f>VLOOKUP($A174,'ecommerce-order (1)'!$A:$M,10,FALSE)</f>
        <v>24</v>
      </c>
      <c r="K174">
        <f>VLOOKUP($A174,'ecommerce-order (1)'!$A:$M,11,FALSE)</f>
        <v>0.64</v>
      </c>
      <c r="L174" t="str">
        <f>VLOOKUP($A174,'ecommerce-order (1)'!$A:$M,12,FALSE)</f>
        <v>GBP</v>
      </c>
      <c r="M174" t="str">
        <f>VLOOKUP($A174,'ecommerce-order (1)'!$A:$M,13,FALSE)</f>
        <v>refunded</v>
      </c>
      <c r="N174" t="str">
        <f>IF(ISNA(VLOOKUP(A174,'ecommerce-order (1)'!A:A,1,FALSE)),"KEEEP","REMOVE")</f>
        <v>REMOVE</v>
      </c>
    </row>
    <row r="175" spans="1:14" x14ac:dyDescent="0.3">
      <c r="A175" t="s">
        <v>506</v>
      </c>
      <c r="B175" t="str">
        <f>VLOOKUP(A175,'ecommerce-order (1)'!$A:$M,2,FALSE)</f>
        <v>12-02-2026</v>
      </c>
      <c r="C175" t="str">
        <f>VLOOKUP($A175,'ecommerce-order (1)'!$A:$M,3,FALSE)</f>
        <v>customer0753@example.com</v>
      </c>
      <c r="D175" t="str">
        <f>VLOOKUP($A175,'ecommerce-order (1)'!$A:$M,4,FALSE)</f>
        <v xml:space="preserve"> UK</v>
      </c>
      <c r="E175" t="str">
        <f>VLOOKUP($A175,'ecommerce-order (1)'!$A:$M,5,FALSE)</f>
        <v>organic</v>
      </c>
      <c r="F175" t="str">
        <f>VLOOKUP($A175,'ecommerce-order (1)'!$A:$M,6,FALSE)</f>
        <v>FR-9902</v>
      </c>
      <c r="G175" t="str">
        <f>VLOOKUP($A175,'ecommerce-order (1)'!$A:$M,7,FALSE)</f>
        <v>Trekking Poles</v>
      </c>
      <c r="H175">
        <f>VLOOKUP($A175,'ecommerce-order (1)'!$A:$M,8,FALSE)</f>
        <v>3</v>
      </c>
      <c r="I175">
        <f>VLOOKUP($A175,'ecommerce-order (1)'!$A:$M,9,FALSE)</f>
        <v>149</v>
      </c>
      <c r="J175">
        <f>VLOOKUP($A175,'ecommerce-order (1)'!$A:$M,10,FALSE)</f>
        <v>447</v>
      </c>
      <c r="K175">
        <f>VLOOKUP($A175,'ecommerce-order (1)'!$A:$M,11,FALSE)</f>
        <v>520</v>
      </c>
      <c r="L175" t="str">
        <f>VLOOKUP($A175,'ecommerce-order (1)'!$A:$M,12,FALSE)</f>
        <v>GBP</v>
      </c>
      <c r="M175" t="str">
        <f>VLOOKUP($A175,'ecommerce-order (1)'!$A:$M,13,FALSE)</f>
        <v>completed</v>
      </c>
      <c r="N175" t="str">
        <f>IF(ISNA(VLOOKUP(A175,'ecommerce-order (1)'!A:A,1,FALSE)),"KEEEP","REMOVE")</f>
        <v>REMOVE</v>
      </c>
    </row>
    <row r="176" spans="1:14" x14ac:dyDescent="0.3">
      <c r="A176" t="s">
        <v>509</v>
      </c>
      <c r="B176" t="str">
        <f>VLOOKUP(A176,'ecommerce-order (1)'!$A:$M,2,FALSE)</f>
        <v>26-06-2026</v>
      </c>
      <c r="C176" t="str">
        <f>VLOOKUP($A176,'ecommerce-order (1)'!$A:$M,3,FALSE)</f>
        <v>customer1243@example.com</v>
      </c>
      <c r="D176" t="str">
        <f>VLOOKUP($A176,'ecommerce-order (1)'!$A:$M,4,FALSE)</f>
        <v>gb</v>
      </c>
      <c r="E176" t="str">
        <f>VLOOKUP($A176,'ecommerce-order (1)'!$A:$M,5,FALSE)</f>
        <v>organic</v>
      </c>
      <c r="F176" t="str">
        <f>VLOOKUP($A176,'ecommerce-order (1)'!$A:$M,6,FALSE)</f>
        <v>FR-8890</v>
      </c>
      <c r="G176" t="str">
        <f>VLOOKUP($A176,'ecommerce-order (1)'!$A:$M,7,FALSE)</f>
        <v>Summit Down Gilet</v>
      </c>
      <c r="H176">
        <f>VLOOKUP($A176,'ecommerce-order (1)'!$A:$M,8,FALSE)</f>
        <v>1</v>
      </c>
      <c r="I176">
        <f>VLOOKUP($A176,'ecommerce-order (1)'!$A:$M,9,FALSE)</f>
        <v>134.1</v>
      </c>
      <c r="J176">
        <f>VLOOKUP($A176,'ecommerce-order (1)'!$A:$M,10,FALSE)</f>
        <v>134.1</v>
      </c>
      <c r="K176">
        <f>VLOOKUP($A176,'ecommerce-order (1)'!$A:$M,11,FALSE)</f>
        <v>0.38</v>
      </c>
      <c r="L176" t="str">
        <f>VLOOKUP($A176,'ecommerce-order (1)'!$A:$M,12,FALSE)</f>
        <v>GBP</v>
      </c>
      <c r="M176" t="str">
        <f>VLOOKUP($A176,'ecommerce-order (1)'!$A:$M,13,FALSE)</f>
        <v>completed</v>
      </c>
      <c r="N176" t="str">
        <f>IF(ISNA(VLOOKUP(A176,'ecommerce-order (1)'!A:A,1,FALSE)),"KEEEP","REMOVE")</f>
        <v>REMOVE</v>
      </c>
    </row>
    <row r="177" spans="1:14" x14ac:dyDescent="0.3">
      <c r="A177" t="s">
        <v>511</v>
      </c>
      <c r="B177" t="str">
        <f>VLOOKUP(A177,'ecommerce-order (1)'!$A:$M,2,FALSE)</f>
        <v>22-02-2026</v>
      </c>
      <c r="C177" t="str">
        <f>VLOOKUP($A177,'ecommerce-order (1)'!$A:$M,3,FALSE)</f>
        <v>customer0238@example.com</v>
      </c>
      <c r="D177" t="str">
        <f>VLOOKUP($A177,'ecommerce-order (1)'!$A:$M,4,FALSE)</f>
        <v>UK</v>
      </c>
      <c r="E177" t="str">
        <f>VLOOKUP($A177,'ecommerce-order (1)'!$A:$M,5,FALSE)</f>
        <v>email</v>
      </c>
      <c r="F177" t="str">
        <f>VLOOKUP($A177,'ecommerce-order (1)'!$A:$M,6,FALSE)</f>
        <v>FR-8890</v>
      </c>
      <c r="G177" t="str">
        <f>VLOOKUP($A177,'ecommerce-order (1)'!$A:$M,7,FALSE)</f>
        <v>Summit Down Gilet</v>
      </c>
      <c r="H177">
        <f>VLOOKUP($A177,'ecommerce-order (1)'!$A:$M,8,FALSE)</f>
        <v>2</v>
      </c>
      <c r="I177">
        <f>VLOOKUP($A177,'ecommerce-order (1)'!$A:$M,9,FALSE)</f>
        <v>0</v>
      </c>
      <c r="J177">
        <f>VLOOKUP($A177,'ecommerce-order (1)'!$A:$M,10,FALSE)</f>
        <v>190</v>
      </c>
      <c r="K177">
        <f>VLOOKUP($A177,'ecommerce-order (1)'!$A:$M,11,FALSE)</f>
        <v>380</v>
      </c>
      <c r="L177" t="str">
        <f>VLOOKUP($A177,'ecommerce-order (1)'!$A:$M,12,FALSE)</f>
        <v>GBP</v>
      </c>
      <c r="M177" t="str">
        <f>VLOOKUP($A177,'ecommerce-order (1)'!$A:$M,13,FALSE)</f>
        <v>refunded</v>
      </c>
      <c r="N177" t="str">
        <f>IF(ISNA(VLOOKUP(A177,'ecommerce-order (1)'!A:A,1,FALSE)),"KEEEP","REMOVE")</f>
        <v>REMOVE</v>
      </c>
    </row>
    <row r="178" spans="1:14" x14ac:dyDescent="0.3">
      <c r="A178" t="s">
        <v>513</v>
      </c>
      <c r="B178" t="str">
        <f>VLOOKUP(A178,'ecommerce-order (1)'!$A:$M,2,FALSE)</f>
        <v>03-06-2026</v>
      </c>
      <c r="C178" t="str">
        <f>VLOOKUP($A178,'ecommerce-order (1)'!$A:$M,3,FALSE)</f>
        <v>customer1192@example.com</v>
      </c>
      <c r="D178" t="str">
        <f>VLOOKUP($A178,'ecommerce-order (1)'!$A:$M,4,FALSE)</f>
        <v>France</v>
      </c>
      <c r="E178" t="str">
        <f>VLOOKUP($A178,'ecommerce-order (1)'!$A:$M,5,FALSE)</f>
        <v>email</v>
      </c>
      <c r="F178" t="str">
        <f>VLOOKUP($A178,'ecommerce-order (1)'!$A:$M,6,FALSE)</f>
        <v>FR-2210</v>
      </c>
      <c r="G178" t="str">
        <f>VLOOKUP($A178,'ecommerce-order (1)'!$A:$M,7,FALSE)</f>
        <v>Trail Softshell</v>
      </c>
      <c r="H178">
        <f>VLOOKUP($A178,'ecommerce-order (1)'!$A:$M,8,FALSE)</f>
        <v>3</v>
      </c>
      <c r="I178">
        <f>VLOOKUP($A178,'ecommerce-order (1)'!$A:$M,9,FALSE)</f>
        <v>79</v>
      </c>
      <c r="J178">
        <f>VLOOKUP($A178,'ecommerce-order (1)'!$A:$M,10,FALSE)</f>
        <v>237</v>
      </c>
      <c r="K178">
        <f>VLOOKUP($A178,'ecommerce-order (1)'!$A:$M,11,FALSE)</f>
        <v>0.52</v>
      </c>
      <c r="L178" t="str">
        <f>VLOOKUP($A178,'ecommerce-order (1)'!$A:$M,12,FALSE)</f>
        <v>EUR</v>
      </c>
      <c r="M178" t="str">
        <f>VLOOKUP($A178,'ecommerce-order (1)'!$A:$M,13,FALSE)</f>
        <v>completed</v>
      </c>
      <c r="N178" t="str">
        <f>IF(ISNA(VLOOKUP(A178,'ecommerce-order (1)'!A:A,1,FALSE)),"KEEEP","REMOVE")</f>
        <v>REMOVE</v>
      </c>
    </row>
    <row r="179" spans="1:14" x14ac:dyDescent="0.3">
      <c r="A179" t="s">
        <v>516</v>
      </c>
      <c r="B179" t="str">
        <f>VLOOKUP(A179,'ecommerce-order (1)'!$A:$M,2,FALSE)</f>
        <v>02-04-2026</v>
      </c>
      <c r="C179" t="str">
        <f>VLOOKUP($A179,'ecommerce-order (1)'!$A:$M,3,FALSE)</f>
        <v>customer0029@example.com</v>
      </c>
      <c r="D179" t="str">
        <f>VLOOKUP($A179,'ecommerce-order (1)'!$A:$M,4,FALSE)</f>
        <v>GB</v>
      </c>
      <c r="E179" t="str">
        <f>VLOOKUP($A179,'ecommerce-order (1)'!$A:$M,5,FALSE)</f>
        <v>paid_search</v>
      </c>
      <c r="F179" t="str">
        <f>VLOOKUP($A179,'ecommerce-order (1)'!$A:$M,6,FALSE)</f>
        <v>FR-8890</v>
      </c>
      <c r="G179" t="str">
        <f>VLOOKUP($A179,'ecommerce-order (1)'!$A:$M,7,FALSE)</f>
        <v>Summit Down Gilet</v>
      </c>
      <c r="H179">
        <f>VLOOKUP($A179,'ecommerce-order (1)'!$A:$M,8,FALSE)</f>
        <v>2</v>
      </c>
      <c r="I179">
        <f>VLOOKUP($A179,'ecommerce-order (1)'!$A:$M,9,FALSE)</f>
        <v>11.25</v>
      </c>
      <c r="J179">
        <f>VLOOKUP($A179,'ecommerce-order (1)'!$A:$M,10,FALSE)</f>
        <v>22.5</v>
      </c>
      <c r="K179">
        <f>VLOOKUP($A179,'ecommerce-order (1)'!$A:$M,11,FALSE)</f>
        <v>380</v>
      </c>
      <c r="L179" t="str">
        <f>VLOOKUP($A179,'ecommerce-order (1)'!$A:$M,12,FALSE)</f>
        <v>GBP</v>
      </c>
      <c r="M179" t="str">
        <f>VLOOKUP($A179,'ecommerce-order (1)'!$A:$M,13,FALSE)</f>
        <v>completed</v>
      </c>
      <c r="N179" t="str">
        <f>IF(ISNA(VLOOKUP(A179,'ecommerce-order (1)'!A:A,1,FALSE)),"KEEEP","REMOVE")</f>
        <v>REMOVE</v>
      </c>
    </row>
    <row r="180" spans="1:14" x14ac:dyDescent="0.3">
      <c r="A180" t="s">
        <v>518</v>
      </c>
      <c r="B180" t="str">
        <f>VLOOKUP(A180,'ecommerce-order (1)'!$A:$M,2,FALSE)</f>
        <v>09-01-2026</v>
      </c>
      <c r="C180" t="str">
        <f>VLOOKUP($A180,'ecommerce-order (1)'!$A:$M,3,FALSE)</f>
        <v>customer0373@example.com</v>
      </c>
      <c r="D180" t="str">
        <f>VLOOKUP($A180,'ecommerce-order (1)'!$A:$M,4,FALSE)</f>
        <v>Ireland</v>
      </c>
      <c r="E180" t="str">
        <f>VLOOKUP($A180,'ecommerce-order (1)'!$A:$M,5,FALSE)</f>
        <v>direct</v>
      </c>
      <c r="F180" t="str">
        <f>VLOOKUP($A180,'ecommerce-order (1)'!$A:$M,6,FALSE)</f>
        <v>FR-7781</v>
      </c>
      <c r="G180" t="str">
        <f>VLOOKUP($A180,'ecommerce-order (1)'!$A:$M,7,FALSE)</f>
        <v>Storm Overtrousers</v>
      </c>
      <c r="H180">
        <f>VLOOKUP($A180,'ecommerce-order (1)'!$A:$M,8,FALSE)</f>
        <v>1</v>
      </c>
      <c r="I180">
        <f>VLOOKUP($A180,'ecommerce-order (1)'!$A:$M,9,FALSE)</f>
        <v>116.1</v>
      </c>
      <c r="J180">
        <f>VLOOKUP($A180,'ecommerce-order (1)'!$A:$M,10,FALSE)</f>
        <v>116.1</v>
      </c>
      <c r="K180">
        <f>VLOOKUP($A180,'ecommerce-order (1)'!$A:$M,11,FALSE)</f>
        <v>410</v>
      </c>
      <c r="L180" t="str">
        <f>VLOOKUP($A180,'ecommerce-order (1)'!$A:$M,12,FALSE)</f>
        <v>GBP</v>
      </c>
      <c r="M180" t="str">
        <f>VLOOKUP($A180,'ecommerce-order (1)'!$A:$M,13,FALSE)</f>
        <v>completed</v>
      </c>
      <c r="N180" t="str">
        <f>IF(ISNA(VLOOKUP(A180,'ecommerce-order (1)'!A:A,1,FALSE)),"KEEEP","REMOVE")</f>
        <v>REMOVE</v>
      </c>
    </row>
    <row r="181" spans="1:14" x14ac:dyDescent="0.3">
      <c r="A181" t="s">
        <v>520</v>
      </c>
      <c r="B181" t="str">
        <f>VLOOKUP(A181,'ecommerce-order (1)'!$A:$M,2,FALSE)</f>
        <v>19-06-2026</v>
      </c>
      <c r="C181" t="str">
        <f>VLOOKUP($A181,'ecommerce-order (1)'!$A:$M,3,FALSE)</f>
        <v>customer0010@example.com</v>
      </c>
      <c r="D181" t="str">
        <f>VLOOKUP($A181,'ecommerce-order (1)'!$A:$M,4,FALSE)</f>
        <v>gb</v>
      </c>
      <c r="E181" t="str">
        <f>VLOOKUP($A181,'ecommerce-order (1)'!$A:$M,5,FALSE)</f>
        <v>paid_search</v>
      </c>
      <c r="F181" t="str">
        <f>VLOOKUP($A181,'ecommerce-order (1)'!$A:$M,6,FALSE)</f>
        <v>FR-5567</v>
      </c>
      <c r="G181" t="str">
        <f>VLOOKUP($A181,'ecommerce-order (1)'!$A:$M,7,FALSE)</f>
        <v>Merino Base Layer</v>
      </c>
      <c r="H181">
        <f>VLOOKUP($A181,'ecommerce-order (1)'!$A:$M,8,FALSE)</f>
        <v>3</v>
      </c>
      <c r="I181">
        <f>VLOOKUP($A181,'ecommerce-order (1)'!$A:$M,9,FALSE)</f>
        <v>134.1</v>
      </c>
      <c r="J181">
        <f>VLOOKUP($A181,'ecommerce-order (1)'!$A:$M,10,FALSE)</f>
        <v>402.3</v>
      </c>
      <c r="K181">
        <f>VLOOKUP($A181,'ecommerce-order (1)'!$A:$M,11,FALSE)</f>
        <v>0.19</v>
      </c>
      <c r="L181" t="str">
        <f>VLOOKUP($A181,'ecommerce-order (1)'!$A:$M,12,FALSE)</f>
        <v>EUR</v>
      </c>
      <c r="M181" t="str">
        <f>VLOOKUP($A181,'ecommerce-order (1)'!$A:$M,13,FALSE)</f>
        <v>completed</v>
      </c>
      <c r="N181" t="str">
        <f>IF(ISNA(VLOOKUP(A181,'ecommerce-order (1)'!A:A,1,FALSE)),"KEEEP","REMOVE")</f>
        <v>REMOVE</v>
      </c>
    </row>
    <row r="182" spans="1:14" x14ac:dyDescent="0.3">
      <c r="A182" t="s">
        <v>522</v>
      </c>
      <c r="B182" t="str">
        <f>VLOOKUP(A182,'ecommerce-order (1)'!$A:$M,2,FALSE)</f>
        <v>08-01-2026</v>
      </c>
      <c r="C182" t="str">
        <f>VLOOKUP($A182,'ecommerce-order (1)'!$A:$M,3,FALSE)</f>
        <v>customer0258@example.com</v>
      </c>
      <c r="D182" t="str">
        <f>VLOOKUP($A182,'ecommerce-order (1)'!$A:$M,4,FALSE)</f>
        <v xml:space="preserve"> UK</v>
      </c>
      <c r="E182" t="str">
        <f>VLOOKUP($A182,'ecommerce-order (1)'!$A:$M,5,FALSE)</f>
        <v>paid_search</v>
      </c>
      <c r="F182" t="str">
        <f>VLOOKUP($A182,'ecommerce-order (1)'!$A:$M,6,FALSE)</f>
        <v>FR-2210</v>
      </c>
      <c r="G182" t="str">
        <f>VLOOKUP($A182,'ecommerce-order (1)'!$A:$M,7,FALSE)</f>
        <v>Trail Softshell</v>
      </c>
      <c r="H182">
        <f>VLOOKUP($A182,'ecommerce-order (1)'!$A:$M,8,FALSE)</f>
        <v>1</v>
      </c>
      <c r="I182">
        <f>VLOOKUP($A182,'ecommerce-order (1)'!$A:$M,9,FALSE)</f>
        <v>24</v>
      </c>
      <c r="J182">
        <f>VLOOKUP($A182,'ecommerce-order (1)'!$A:$M,10,FALSE)</f>
        <v>24</v>
      </c>
      <c r="K182">
        <f>VLOOKUP($A182,'ecommerce-order (1)'!$A:$M,11,FALSE)</f>
        <v>520</v>
      </c>
      <c r="L182" t="str">
        <f>VLOOKUP($A182,'ecommerce-order (1)'!$A:$M,12,FALSE)</f>
        <v>GBP</v>
      </c>
      <c r="M182" t="str">
        <f>VLOOKUP($A182,'ecommerce-order (1)'!$A:$M,13,FALSE)</f>
        <v>completed</v>
      </c>
      <c r="N182" t="str">
        <f>IF(ISNA(VLOOKUP(A182,'ecommerce-order (1)'!A:A,1,FALSE)),"KEEEP","REMOVE")</f>
        <v>REMOVE</v>
      </c>
    </row>
    <row r="183" spans="1:14" x14ac:dyDescent="0.3">
      <c r="A183" t="s">
        <v>524</v>
      </c>
      <c r="B183" t="str">
        <f>VLOOKUP(A183,'ecommerce-order (1)'!$A:$M,2,FALSE)</f>
        <v>13-05-2026</v>
      </c>
      <c r="C183" t="str">
        <f>VLOOKUP($A183,'ecommerce-order (1)'!$A:$M,3,FALSE)</f>
        <v>customer0581@example.com</v>
      </c>
      <c r="D183" t="str">
        <f>VLOOKUP($A183,'ecommerce-order (1)'!$A:$M,4,FALSE)</f>
        <v>UK</v>
      </c>
      <c r="E183" t="str">
        <f>VLOOKUP($A183,'ecommerce-order (1)'!$A:$M,5,FALSE)</f>
        <v>paid_search</v>
      </c>
      <c r="F183" t="str">
        <f>VLOOKUP($A183,'ecommerce-order (1)'!$A:$M,6,FALSE)</f>
        <v>FR-2210</v>
      </c>
      <c r="G183" t="str">
        <f>VLOOKUP($A183,'ecommerce-order (1)'!$A:$M,7,FALSE)</f>
        <v>Trail Softshell</v>
      </c>
      <c r="H183">
        <f>VLOOKUP($A183,'ecommerce-order (1)'!$A:$M,8,FALSE)</f>
        <v>1</v>
      </c>
      <c r="I183">
        <f>VLOOKUP($A183,'ecommerce-order (1)'!$A:$M,9,FALSE)</f>
        <v>45</v>
      </c>
      <c r="J183">
        <f>VLOOKUP($A183,'ecommerce-order (1)'!$A:$M,10,FALSE)</f>
        <v>45</v>
      </c>
      <c r="K183">
        <f>VLOOKUP($A183,'ecommerce-order (1)'!$A:$M,11,FALSE)</f>
        <v>0.52</v>
      </c>
      <c r="L183" t="str">
        <f>VLOOKUP($A183,'ecommerce-order (1)'!$A:$M,12,FALSE)</f>
        <v>GBP</v>
      </c>
      <c r="M183" t="str">
        <f>VLOOKUP($A183,'ecommerce-order (1)'!$A:$M,13,FALSE)</f>
        <v>completed</v>
      </c>
      <c r="N183" t="str">
        <f>IF(ISNA(VLOOKUP(A183,'ecommerce-order (1)'!A:A,1,FALSE)),"KEEEP","REMOVE")</f>
        <v>REMOVE</v>
      </c>
    </row>
    <row r="184" spans="1:14" x14ac:dyDescent="0.3">
      <c r="A184" t="s">
        <v>526</v>
      </c>
      <c r="B184" t="str">
        <f>VLOOKUP(A184,'ecommerce-order (1)'!$A:$M,2,FALSE)</f>
        <v>24-06-2026</v>
      </c>
      <c r="C184" t="str">
        <f>VLOOKUP($A184,'ecommerce-order (1)'!$A:$M,3,FALSE)</f>
        <v>customer1278@example.com</v>
      </c>
      <c r="D184" t="str">
        <f>VLOOKUP($A184,'ecommerce-order (1)'!$A:$M,4,FALSE)</f>
        <v xml:space="preserve">uk </v>
      </c>
      <c r="E184" t="str">
        <f>VLOOKUP($A184,'ecommerce-order (1)'!$A:$M,5,FALSE)</f>
        <v>direct</v>
      </c>
      <c r="F184" t="str">
        <f>VLOOKUP($A184,'ecommerce-order (1)'!$A:$M,6,FALSE)</f>
        <v>FR-1120</v>
      </c>
      <c r="G184" t="str">
        <f>VLOOKUP($A184,'ecommerce-order (1)'!$A:$M,7,FALSE)</f>
        <v>Fell Runner Cap</v>
      </c>
      <c r="H184">
        <f>VLOOKUP($A184,'ecommerce-order (1)'!$A:$M,8,FALSE)</f>
        <v>3</v>
      </c>
      <c r="I184">
        <f>VLOOKUP($A184,'ecommerce-order (1)'!$A:$M,9,FALSE)</f>
        <v>40.5</v>
      </c>
      <c r="J184">
        <f>VLOOKUP($A184,'ecommerce-order (1)'!$A:$M,10,FALSE)</f>
        <v>121.5</v>
      </c>
      <c r="K184">
        <f>VLOOKUP($A184,'ecommerce-order (1)'!$A:$M,11,FALSE)</f>
        <v>8.5000000000000006E-2</v>
      </c>
      <c r="L184" t="str">
        <f>VLOOKUP($A184,'ecommerce-order (1)'!$A:$M,12,FALSE)</f>
        <v>EUR</v>
      </c>
      <c r="M184" t="str">
        <f>VLOOKUP($A184,'ecommerce-order (1)'!$A:$M,13,FALSE)</f>
        <v>completed</v>
      </c>
      <c r="N184" t="str">
        <f>IF(ISNA(VLOOKUP(A184,'ecommerce-order (1)'!A:A,1,FALSE)),"KEEEP","REMOVE")</f>
        <v>REMOVE</v>
      </c>
    </row>
    <row r="185" spans="1:14" x14ac:dyDescent="0.3">
      <c r="A185" t="s">
        <v>528</v>
      </c>
      <c r="B185" t="str">
        <f>VLOOKUP(A185,'ecommerce-order (1)'!$A:$M,2,FALSE)</f>
        <v>05-02-2026</v>
      </c>
      <c r="C185" t="str">
        <f>VLOOKUP($A185,'ecommerce-order (1)'!$A:$M,3,FALSE)</f>
        <v>customer0904@example.com</v>
      </c>
      <c r="D185" t="str">
        <f>VLOOKUP($A185,'ecommerce-order (1)'!$A:$M,4,FALSE)</f>
        <v xml:space="preserve">uk </v>
      </c>
      <c r="E185" t="str">
        <f>VLOOKUP($A185,'ecommerce-order (1)'!$A:$M,5,FALSE)</f>
        <v>email</v>
      </c>
      <c r="F185" t="str">
        <f>VLOOKUP($A185,'ecommerce-order (1)'!$A:$M,6,FALSE)</f>
        <v>FR-4471</v>
      </c>
      <c r="G185" t="str">
        <f>VLOOKUP($A185,'ecommerce-order (1)'!$A:$M,7,FALSE)</f>
        <v>Alpine Jacket</v>
      </c>
      <c r="H185">
        <f>VLOOKUP($A185,'ecommerce-order (1)'!$A:$M,8,FALSE)</f>
        <v>1</v>
      </c>
      <c r="I185">
        <f>VLOOKUP($A185,'ecommerce-order (1)'!$A:$M,9,FALSE)</f>
        <v>95</v>
      </c>
      <c r="J185">
        <f>VLOOKUP($A185,'ecommerce-order (1)'!$A:$M,10,FALSE)</f>
        <v>95</v>
      </c>
      <c r="K185">
        <f>VLOOKUP($A185,'ecommerce-order (1)'!$A:$M,11,FALSE)</f>
        <v>640</v>
      </c>
      <c r="L185" t="str">
        <f>VLOOKUP($A185,'ecommerce-order (1)'!$A:$M,12,FALSE)</f>
        <v>GBP</v>
      </c>
      <c r="M185" t="str">
        <f>VLOOKUP($A185,'ecommerce-order (1)'!$A:$M,13,FALSE)</f>
        <v>completed</v>
      </c>
      <c r="N185" t="str">
        <f>IF(ISNA(VLOOKUP(A185,'ecommerce-order (1)'!A:A,1,FALSE)),"KEEEP","REMOVE")</f>
        <v>REMOVE</v>
      </c>
    </row>
    <row r="186" spans="1:14" x14ac:dyDescent="0.3">
      <c r="A186" t="s">
        <v>530</v>
      </c>
      <c r="B186" t="str">
        <f>VLOOKUP(A186,'ecommerce-order (1)'!$A:$M,2,FALSE)</f>
        <v>21-03-2026</v>
      </c>
      <c r="C186" t="str">
        <f>VLOOKUP($A186,'ecommerce-order (1)'!$A:$M,3,FALSE)</f>
        <v>customer0840@example.com</v>
      </c>
      <c r="D186" t="str">
        <f>VLOOKUP($A186,'ecommerce-order (1)'!$A:$M,4,FALSE)</f>
        <v>France</v>
      </c>
      <c r="E186" t="str">
        <f>VLOOKUP($A186,'ecommerce-order (1)'!$A:$M,5,FALSE)</f>
        <v>social</v>
      </c>
      <c r="F186" t="str">
        <f>VLOOKUP($A186,'ecommerce-order (1)'!$A:$M,6,FALSE)</f>
        <v>FR-3345</v>
      </c>
      <c r="G186" t="str">
        <f>VLOOKUP($A186,'ecommerce-order (1)'!$A:$M,7,FALSE)</f>
        <v>CafÃ© Latte Mug</v>
      </c>
      <c r="H186">
        <f>VLOOKUP($A186,'ecommerce-order (1)'!$A:$M,8,FALSE)</f>
        <v>2</v>
      </c>
      <c r="I186">
        <f>VLOOKUP($A186,'ecommerce-order (1)'!$A:$M,9,FALSE)</f>
        <v>45</v>
      </c>
      <c r="J186">
        <f>VLOOKUP($A186,'ecommerce-order (1)'!$A:$M,10,FALSE)</f>
        <v>90</v>
      </c>
      <c r="K186">
        <f>VLOOKUP($A186,'ecommerce-order (1)'!$A:$M,11,FALSE)</f>
        <v>340</v>
      </c>
      <c r="L186" t="str">
        <f>VLOOKUP($A186,'ecommerce-order (1)'!$A:$M,12,FALSE)</f>
        <v>EUR</v>
      </c>
      <c r="M186" t="str">
        <f>VLOOKUP($A186,'ecommerce-order (1)'!$A:$M,13,FALSE)</f>
        <v>refunded</v>
      </c>
      <c r="N186" t="str">
        <f>IF(ISNA(VLOOKUP(A186,'ecommerce-order (1)'!A:A,1,FALSE)),"KEEEP","REMOVE")</f>
        <v>REMOVE</v>
      </c>
    </row>
    <row r="187" spans="1:14" x14ac:dyDescent="0.3">
      <c r="A187" t="s">
        <v>532</v>
      </c>
      <c r="B187" t="str">
        <f>VLOOKUP(A187,'ecommerce-order (1)'!$A:$M,2,FALSE)</f>
        <v>28-05-2026</v>
      </c>
      <c r="C187" t="str">
        <f>VLOOKUP($A187,'ecommerce-order (1)'!$A:$M,3,FALSE)</f>
        <v>customer1164@example.com</v>
      </c>
      <c r="D187" t="str">
        <f>VLOOKUP($A187,'ecommerce-order (1)'!$A:$M,4,FALSE)</f>
        <v>United Kingdom</v>
      </c>
      <c r="E187" t="str">
        <f>VLOOKUP($A187,'ecommerce-order (1)'!$A:$M,5,FALSE)</f>
        <v>organic</v>
      </c>
      <c r="F187" t="str">
        <f>VLOOKUP($A187,'ecommerce-order (1)'!$A:$M,6,FALSE)</f>
        <v>FR-8890</v>
      </c>
      <c r="G187" t="str">
        <f>VLOOKUP($A187,'ecommerce-order (1)'!$A:$M,7,FALSE)</f>
        <v>Summit Down Gilet</v>
      </c>
      <c r="H187">
        <f>VLOOKUP($A187,'ecommerce-order (1)'!$A:$M,8,FALSE)</f>
        <v>1</v>
      </c>
      <c r="I187">
        <f>VLOOKUP($A187,'ecommerce-order (1)'!$A:$M,9,FALSE)</f>
        <v>0</v>
      </c>
      <c r="J187">
        <f>VLOOKUP($A187,'ecommerce-order (1)'!$A:$M,10,FALSE)</f>
        <v>40.5</v>
      </c>
      <c r="K187">
        <f>VLOOKUP($A187,'ecommerce-order (1)'!$A:$M,11,FALSE)</f>
        <v>0.38</v>
      </c>
      <c r="L187" t="str">
        <f>VLOOKUP($A187,'ecommerce-order (1)'!$A:$M,12,FALSE)</f>
        <v>GBP</v>
      </c>
      <c r="M187" t="str">
        <f>VLOOKUP($A187,'ecommerce-order (1)'!$A:$M,13,FALSE)</f>
        <v>completed</v>
      </c>
      <c r="N187" t="str">
        <f>IF(ISNA(VLOOKUP(A187,'ecommerce-order (1)'!A:A,1,FALSE)),"KEEEP","REMOVE")</f>
        <v>REMOVE</v>
      </c>
    </row>
    <row r="188" spans="1:14" x14ac:dyDescent="0.3">
      <c r="A188" t="s">
        <v>534</v>
      </c>
      <c r="B188" t="str">
        <f>VLOOKUP(A188,'ecommerce-order (1)'!$A:$M,2,FALSE)</f>
        <v>25-02-2026</v>
      </c>
      <c r="C188" t="str">
        <f>VLOOKUP($A188,'ecommerce-order (1)'!$A:$M,3,FALSE)</f>
        <v>customer0833@example.com</v>
      </c>
      <c r="D188" t="str">
        <f>VLOOKUP($A188,'ecommerce-order (1)'!$A:$M,4,FALSE)</f>
        <v>ireland</v>
      </c>
      <c r="E188" t="str">
        <f>VLOOKUP($A188,'ecommerce-order (1)'!$A:$M,5,FALSE)</f>
        <v>organic</v>
      </c>
      <c r="F188" t="str">
        <f>VLOOKUP($A188,'ecommerce-order (1)'!$A:$M,6,FALSE)</f>
        <v>FR-7781</v>
      </c>
      <c r="G188" t="str">
        <f>VLOOKUP($A188,'ecommerce-order (1)'!$A:$M,7,FALSE)</f>
        <v>Storm Overtrousers</v>
      </c>
      <c r="H188">
        <f>VLOOKUP($A188,'ecommerce-order (1)'!$A:$M,8,FALSE)</f>
        <v>1</v>
      </c>
      <c r="I188">
        <f>VLOOKUP($A188,'ecommerce-order (1)'!$A:$M,9,FALSE)</f>
        <v>45</v>
      </c>
      <c r="J188">
        <f>VLOOKUP($A188,'ecommerce-order (1)'!$A:$M,10,FALSE)</f>
        <v>45</v>
      </c>
      <c r="K188">
        <f>VLOOKUP($A188,'ecommerce-order (1)'!$A:$M,11,FALSE)</f>
        <v>410</v>
      </c>
      <c r="L188" t="str">
        <f>VLOOKUP($A188,'ecommerce-order (1)'!$A:$M,12,FALSE)</f>
        <v>GBP</v>
      </c>
      <c r="M188" t="str">
        <f>VLOOKUP($A188,'ecommerce-order (1)'!$A:$M,13,FALSE)</f>
        <v>refunded</v>
      </c>
      <c r="N188" t="str">
        <f>IF(ISNA(VLOOKUP(A188,'ecommerce-order (1)'!A:A,1,FALSE)),"KEEEP","REMOVE")</f>
        <v>REMOVE</v>
      </c>
    </row>
    <row r="189" spans="1:14" x14ac:dyDescent="0.3">
      <c r="A189" t="s">
        <v>536</v>
      </c>
      <c r="B189" t="str">
        <f>VLOOKUP(A189,'ecommerce-order (1)'!$A:$M,2,FALSE)</f>
        <v>22-03-2026</v>
      </c>
      <c r="C189" t="str">
        <f>VLOOKUP($A189,'ecommerce-order (1)'!$A:$M,3,FALSE)</f>
        <v>customer0959@example.com</v>
      </c>
      <c r="D189" t="str">
        <f>VLOOKUP($A189,'ecommerce-order (1)'!$A:$M,4,FALSE)</f>
        <v>ireland</v>
      </c>
      <c r="E189" t="str">
        <f>VLOOKUP($A189,'ecommerce-order (1)'!$A:$M,5,FALSE)</f>
        <v>organic</v>
      </c>
      <c r="F189" t="str">
        <f>VLOOKUP($A189,'ecommerce-order (1)'!$A:$M,6,FALSE)</f>
        <v>FR-4471</v>
      </c>
      <c r="G189" t="str">
        <f>VLOOKUP($A189,'ecommerce-order (1)'!$A:$M,7,FALSE)</f>
        <v>Alpine Jacket</v>
      </c>
      <c r="H189">
        <f>VLOOKUP($A189,'ecommerce-order (1)'!$A:$M,8,FALSE)</f>
        <v>3</v>
      </c>
      <c r="I189">
        <f>VLOOKUP($A189,'ecommerce-order (1)'!$A:$M,9,FALSE)</f>
        <v>149</v>
      </c>
      <c r="J189">
        <f>VLOOKUP($A189,'ecommerce-order (1)'!$A:$M,10,FALSE)</f>
        <v>447</v>
      </c>
      <c r="K189">
        <f>VLOOKUP($A189,'ecommerce-order (1)'!$A:$M,11,FALSE)</f>
        <v>640</v>
      </c>
      <c r="L189" t="str">
        <f>VLOOKUP($A189,'ecommerce-order (1)'!$A:$M,12,FALSE)</f>
        <v>GBP</v>
      </c>
      <c r="M189" t="str">
        <f>VLOOKUP($A189,'ecommerce-order (1)'!$A:$M,13,FALSE)</f>
        <v>refunded</v>
      </c>
      <c r="N189" t="str">
        <f>IF(ISNA(VLOOKUP(A189,'ecommerce-order (1)'!A:A,1,FALSE)),"KEEEP","REMOVE")</f>
        <v>REMOVE</v>
      </c>
    </row>
    <row r="190" spans="1:14" x14ac:dyDescent="0.3">
      <c r="A190" t="s">
        <v>539</v>
      </c>
      <c r="B190" t="str">
        <f>VLOOKUP(A190,'ecommerce-order (1)'!$A:$M,2,FALSE)</f>
        <v>29-03-2026</v>
      </c>
      <c r="C190" t="str">
        <f>VLOOKUP($A190,'ecommerce-order (1)'!$A:$M,3,FALSE)</f>
        <v>customer0462@example.com</v>
      </c>
      <c r="D190" t="str">
        <f>VLOOKUP($A190,'ecommerce-order (1)'!$A:$M,4,FALSE)</f>
        <v>France</v>
      </c>
      <c r="E190" t="str">
        <f>VLOOKUP($A190,'ecommerce-order (1)'!$A:$M,5,FALSE)</f>
        <v>paid_search</v>
      </c>
      <c r="F190" t="str">
        <f>VLOOKUP($A190,'ecommerce-order (1)'!$A:$M,6,FALSE)</f>
        <v>FR-7781</v>
      </c>
      <c r="G190" t="str">
        <f>VLOOKUP($A190,'ecommerce-order (1)'!$A:$M,7,FALSE)</f>
        <v>Storm Overtrousers</v>
      </c>
      <c r="H190">
        <f>VLOOKUP($A190,'ecommerce-order (1)'!$A:$M,8,FALSE)</f>
        <v>3</v>
      </c>
      <c r="I190">
        <f>VLOOKUP($A190,'ecommerce-order (1)'!$A:$M,9,FALSE)</f>
        <v>95</v>
      </c>
      <c r="J190">
        <f>VLOOKUP($A190,'ecommerce-order (1)'!$A:$M,10,FALSE)</f>
        <v>285</v>
      </c>
      <c r="K190">
        <f>VLOOKUP($A190,'ecommerce-order (1)'!$A:$M,11,FALSE)</f>
        <v>410</v>
      </c>
      <c r="L190" t="str">
        <f>VLOOKUP($A190,'ecommerce-order (1)'!$A:$M,12,FALSE)</f>
        <v>GBP</v>
      </c>
      <c r="M190" t="str">
        <f>VLOOKUP($A190,'ecommerce-order (1)'!$A:$M,13,FALSE)</f>
        <v>completed</v>
      </c>
      <c r="N190" t="str">
        <f>IF(ISNA(VLOOKUP(A190,'ecommerce-order (1)'!A:A,1,FALSE)),"KEEEP","REMOVE")</f>
        <v>REMOVE</v>
      </c>
    </row>
    <row r="191" spans="1:14" x14ac:dyDescent="0.3">
      <c r="A191" t="s">
        <v>542</v>
      </c>
      <c r="B191" t="str">
        <f>VLOOKUP(A191,'ecommerce-order (1)'!$A:$M,2,FALSE)</f>
        <v>13-03-2026</v>
      </c>
      <c r="C191" t="str">
        <f>VLOOKUP($A191,'ecommerce-order (1)'!$A:$M,3,FALSE)</f>
        <v>customer1265@example.com</v>
      </c>
      <c r="D191" t="str">
        <f>VLOOKUP($A191,'ecommerce-order (1)'!$A:$M,4,FALSE)</f>
        <v>Ireland</v>
      </c>
      <c r="E191" t="str">
        <f>VLOOKUP($A191,'ecommerce-order (1)'!$A:$M,5,FALSE)</f>
        <v>social</v>
      </c>
      <c r="F191" t="str">
        <f>VLOOKUP($A191,'ecommerce-order (1)'!$A:$M,6,FALSE)</f>
        <v>FR-8890</v>
      </c>
      <c r="G191" t="str">
        <f>VLOOKUP($A191,'ecommerce-order (1)'!$A:$M,7,FALSE)</f>
        <v>Summit Down Gilet</v>
      </c>
      <c r="H191">
        <f>VLOOKUP($A191,'ecommerce-order (1)'!$A:$M,8,FALSE)</f>
        <v>2</v>
      </c>
      <c r="I191">
        <f>VLOOKUP($A191,'ecommerce-order (1)'!$A:$M,9,FALSE)</f>
        <v>21.6</v>
      </c>
      <c r="J191">
        <f>VLOOKUP($A191,'ecommerce-order (1)'!$A:$M,10,FALSE)</f>
        <v>43.2</v>
      </c>
      <c r="K191">
        <f>VLOOKUP($A191,'ecommerce-order (1)'!$A:$M,11,FALSE)</f>
        <v>380</v>
      </c>
      <c r="L191" t="str">
        <f>VLOOKUP($A191,'ecommerce-order (1)'!$A:$M,12,FALSE)</f>
        <v>GBP</v>
      </c>
      <c r="M191" t="str">
        <f>VLOOKUP($A191,'ecommerce-order (1)'!$A:$M,13,FALSE)</f>
        <v>completed</v>
      </c>
      <c r="N191" t="str">
        <f>IF(ISNA(VLOOKUP(A191,'ecommerce-order (1)'!A:A,1,FALSE)),"KEEEP","REMOVE")</f>
        <v>REMOVE</v>
      </c>
    </row>
    <row r="192" spans="1:14" x14ac:dyDescent="0.3">
      <c r="A192" t="s">
        <v>543</v>
      </c>
      <c r="B192" t="str">
        <f>VLOOKUP(A192,'ecommerce-order (1)'!$A:$M,2,FALSE)</f>
        <v>14-03-2026</v>
      </c>
      <c r="C192" t="str">
        <f>VLOOKUP($A192,'ecommerce-order (1)'!$A:$M,3,FALSE)</f>
        <v>customer0416@example.com</v>
      </c>
      <c r="D192" t="str">
        <f>VLOOKUP($A192,'ecommerce-order (1)'!$A:$M,4,FALSE)</f>
        <v>GB</v>
      </c>
      <c r="E192" t="str">
        <f>VLOOKUP($A192,'ecommerce-order (1)'!$A:$M,5,FALSE)</f>
        <v>paid_search</v>
      </c>
      <c r="F192" t="str">
        <f>VLOOKUP($A192,'ecommerce-order (1)'!$A:$M,6,FALSE)</f>
        <v>FR-7781</v>
      </c>
      <c r="G192" t="str">
        <f>VLOOKUP($A192,'ecommerce-order (1)'!$A:$M,7,FALSE)</f>
        <v>Storm Overtrousers</v>
      </c>
      <c r="H192">
        <f>VLOOKUP($A192,'ecommerce-order (1)'!$A:$M,8,FALSE)</f>
        <v>1</v>
      </c>
      <c r="I192">
        <f>VLOOKUP($A192,'ecommerce-order (1)'!$A:$M,9,FALSE)</f>
        <v>24</v>
      </c>
      <c r="J192">
        <f>VLOOKUP($A192,'ecommerce-order (1)'!$A:$M,10,FALSE)</f>
        <v>24</v>
      </c>
      <c r="K192">
        <f>VLOOKUP($A192,'ecommerce-order (1)'!$A:$M,11,FALSE)</f>
        <v>410</v>
      </c>
      <c r="L192" t="str">
        <f>VLOOKUP($A192,'ecommerce-order (1)'!$A:$M,12,FALSE)</f>
        <v>EUR</v>
      </c>
      <c r="M192" t="str">
        <f>VLOOKUP($A192,'ecommerce-order (1)'!$A:$M,13,FALSE)</f>
        <v>completed</v>
      </c>
      <c r="N192" t="str">
        <f>IF(ISNA(VLOOKUP(A192,'ecommerce-order (1)'!A:A,1,FALSE)),"KEEEP","REMOVE")</f>
        <v>REMOVE</v>
      </c>
    </row>
    <row r="193" spans="1:14" x14ac:dyDescent="0.3">
      <c r="A193" t="s">
        <v>545</v>
      </c>
      <c r="B193" t="str">
        <f>VLOOKUP(A193,'ecommerce-order (1)'!$A:$M,2,FALSE)</f>
        <v>07-04-2026</v>
      </c>
      <c r="C193" t="str">
        <f>VLOOKUP($A193,'ecommerce-order (1)'!$A:$M,3,FALSE)</f>
        <v>customer1012@example.com</v>
      </c>
      <c r="D193" t="str">
        <f>VLOOKUP($A193,'ecommerce-order (1)'!$A:$M,4,FALSE)</f>
        <v xml:space="preserve"> UK</v>
      </c>
      <c r="E193" t="str">
        <f>VLOOKUP($A193,'ecommerce-order (1)'!$A:$M,5,FALSE)</f>
        <v>email</v>
      </c>
      <c r="F193" t="str">
        <f>VLOOKUP($A193,'ecommerce-order (1)'!$A:$M,6,FALSE)</f>
        <v>FR-3345</v>
      </c>
      <c r="G193" t="str">
        <f>VLOOKUP($A193,'ecommerce-order (1)'!$A:$M,7,FALSE)</f>
        <v>CafÃ© Latte Mug</v>
      </c>
      <c r="H193">
        <f>VLOOKUP($A193,'ecommerce-order (1)'!$A:$M,8,FALSE)</f>
        <v>2</v>
      </c>
      <c r="I193">
        <f>VLOOKUP($A193,'ecommerce-order (1)'!$A:$M,9,FALSE)</f>
        <v>116.1</v>
      </c>
      <c r="J193">
        <f>VLOOKUP($A193,'ecommerce-order (1)'!$A:$M,10,FALSE)</f>
        <v>232.2</v>
      </c>
      <c r="K193">
        <f>VLOOKUP($A193,'ecommerce-order (1)'!$A:$M,11,FALSE)</f>
        <v>340</v>
      </c>
      <c r="L193" t="str">
        <f>VLOOKUP($A193,'ecommerce-order (1)'!$A:$M,12,FALSE)</f>
        <v>EUR</v>
      </c>
      <c r="M193" t="str">
        <f>VLOOKUP($A193,'ecommerce-order (1)'!$A:$M,13,FALSE)</f>
        <v>completed</v>
      </c>
      <c r="N193" t="str">
        <f>IF(ISNA(VLOOKUP(A193,'ecommerce-order (1)'!A:A,1,FALSE)),"KEEEP","REMOVE")</f>
        <v>REMOVE</v>
      </c>
    </row>
    <row r="194" spans="1:14" x14ac:dyDescent="0.3">
      <c r="A194" t="s">
        <v>547</v>
      </c>
      <c r="B194" t="str">
        <f>VLOOKUP(A194,'ecommerce-order (1)'!$A:$M,2,FALSE)</f>
        <v>02-04-2026</v>
      </c>
      <c r="C194" t="str">
        <f>VLOOKUP($A194,'ecommerce-order (1)'!$A:$M,3,FALSE)</f>
        <v>customer1341@example.com</v>
      </c>
      <c r="D194" t="str">
        <f>VLOOKUP($A194,'ecommerce-order (1)'!$A:$M,4,FALSE)</f>
        <v>ireland</v>
      </c>
      <c r="E194" t="str">
        <f>VLOOKUP($A194,'ecommerce-order (1)'!$A:$M,5,FALSE)</f>
        <v>social</v>
      </c>
      <c r="F194" t="str">
        <f>VLOOKUP($A194,'ecommerce-order (1)'!$A:$M,6,FALSE)</f>
        <v>FR-3345</v>
      </c>
      <c r="G194" t="str">
        <f>VLOOKUP($A194,'ecommerce-order (1)'!$A:$M,7,FALSE)</f>
        <v>CafÃ© Latte Mug</v>
      </c>
      <c r="H194">
        <f>VLOOKUP($A194,'ecommerce-order (1)'!$A:$M,8,FALSE)</f>
        <v>1</v>
      </c>
      <c r="I194">
        <f>VLOOKUP($A194,'ecommerce-order (1)'!$A:$M,9,FALSE)</f>
        <v>89</v>
      </c>
      <c r="J194">
        <f>VLOOKUP($A194,'ecommerce-order (1)'!$A:$M,10,FALSE)</f>
        <v>89</v>
      </c>
      <c r="K194">
        <f>VLOOKUP($A194,'ecommerce-order (1)'!$A:$M,11,FALSE)</f>
        <v>340</v>
      </c>
      <c r="L194" t="str">
        <f>VLOOKUP($A194,'ecommerce-order (1)'!$A:$M,12,FALSE)</f>
        <v>GBP</v>
      </c>
      <c r="M194" t="str">
        <f>VLOOKUP($A194,'ecommerce-order (1)'!$A:$M,13,FALSE)</f>
        <v>completed</v>
      </c>
      <c r="N194" t="str">
        <f>IF(ISNA(VLOOKUP(A194,'ecommerce-order (1)'!A:A,1,FALSE)),"KEEEP","REMOVE")</f>
        <v>REMOVE</v>
      </c>
    </row>
    <row r="195" spans="1:14" x14ac:dyDescent="0.3">
      <c r="A195" t="s">
        <v>549</v>
      </c>
      <c r="B195" t="str">
        <f>VLOOKUP(A195,'ecommerce-order (1)'!$A:$M,2,FALSE)</f>
        <v>11-05-2026</v>
      </c>
      <c r="C195" t="str">
        <f>VLOOKUP($A195,'ecommerce-order (1)'!$A:$M,3,FALSE)</f>
        <v>customer0888@example.com</v>
      </c>
      <c r="D195" t="str">
        <f>VLOOKUP($A195,'ecommerce-order (1)'!$A:$M,4,FALSE)</f>
        <v>France</v>
      </c>
      <c r="E195" t="str">
        <f>VLOOKUP($A195,'ecommerce-order (1)'!$A:$M,5,FALSE)</f>
        <v>paid_search</v>
      </c>
      <c r="F195" t="str">
        <f>VLOOKUP($A195,'ecommerce-order (1)'!$A:$M,6,FALSE)</f>
        <v>FR-9902</v>
      </c>
      <c r="G195" t="str">
        <f>VLOOKUP($A195,'ecommerce-order (1)'!$A:$M,7,FALSE)</f>
        <v>Trekking Poles</v>
      </c>
      <c r="H195">
        <f>VLOOKUP($A195,'ecommerce-order (1)'!$A:$M,8,FALSE)</f>
        <v>3</v>
      </c>
      <c r="I195">
        <f>VLOOKUP($A195,'ecommerce-order (1)'!$A:$M,9,FALSE)</f>
        <v>45</v>
      </c>
      <c r="J195">
        <f>VLOOKUP($A195,'ecommerce-order (1)'!$A:$M,10,FALSE)</f>
        <v>135</v>
      </c>
      <c r="K195">
        <f>VLOOKUP($A195,'ecommerce-order (1)'!$A:$M,11,FALSE)</f>
        <v>0.52</v>
      </c>
      <c r="L195" t="str">
        <f>VLOOKUP($A195,'ecommerce-order (1)'!$A:$M,12,FALSE)</f>
        <v>GBP</v>
      </c>
      <c r="M195" t="str">
        <f>VLOOKUP($A195,'ecommerce-order (1)'!$A:$M,13,FALSE)</f>
        <v>completed</v>
      </c>
      <c r="N195" t="str">
        <f>IF(ISNA(VLOOKUP(A195,'ecommerce-order (1)'!A:A,1,FALSE)),"KEEEP","REMOVE")</f>
        <v>REMOVE</v>
      </c>
    </row>
    <row r="196" spans="1:14" x14ac:dyDescent="0.3">
      <c r="A196" t="s">
        <v>551</v>
      </c>
      <c r="B196" t="str">
        <f>VLOOKUP(A196,'ecommerce-order (1)'!$A:$M,2,FALSE)</f>
        <v>02-07-2026</v>
      </c>
      <c r="C196" t="str">
        <f>VLOOKUP($A196,'ecommerce-order (1)'!$A:$M,3,FALSE)</f>
        <v>customer1380@example.com</v>
      </c>
      <c r="D196" t="str">
        <f>VLOOKUP($A196,'ecommerce-order (1)'!$A:$M,4,FALSE)</f>
        <v xml:space="preserve"> UK</v>
      </c>
      <c r="E196" t="str">
        <f>VLOOKUP($A196,'ecommerce-order (1)'!$A:$M,5,FALSE)</f>
        <v>paid_search</v>
      </c>
      <c r="F196" t="str">
        <f>VLOOKUP($A196,'ecommerce-order (1)'!$A:$M,6,FALSE)</f>
        <v>FR-8890</v>
      </c>
      <c r="G196" t="str">
        <f>VLOOKUP($A196,'ecommerce-order (1)'!$A:$M,7,FALSE)</f>
        <v>Summit Down Gilet</v>
      </c>
      <c r="H196">
        <f>VLOOKUP($A196,'ecommerce-order (1)'!$A:$M,8,FALSE)</f>
        <v>1</v>
      </c>
      <c r="I196">
        <f>VLOOKUP($A196,'ecommerce-order (1)'!$A:$M,9,FALSE)</f>
        <v>149</v>
      </c>
      <c r="J196">
        <f>VLOOKUP($A196,'ecommerce-order (1)'!$A:$M,10,FALSE)</f>
        <v>149</v>
      </c>
      <c r="K196">
        <f>VLOOKUP($A196,'ecommerce-order (1)'!$A:$M,11,FALSE)</f>
        <v>0.38</v>
      </c>
      <c r="L196" t="str">
        <f>VLOOKUP($A196,'ecommerce-order (1)'!$A:$M,12,FALSE)</f>
        <v>GBP</v>
      </c>
      <c r="M196" t="str">
        <f>VLOOKUP($A196,'ecommerce-order (1)'!$A:$M,13,FALSE)</f>
        <v>completed</v>
      </c>
      <c r="N196" t="str">
        <f>IF(ISNA(VLOOKUP(A196,'ecommerce-order (1)'!A:A,1,FALSE)),"KEEEP","REMOVE")</f>
        <v>REMOVE</v>
      </c>
    </row>
    <row r="197" spans="1:14" x14ac:dyDescent="0.3">
      <c r="A197" t="s">
        <v>553</v>
      </c>
      <c r="B197" t="str">
        <f>VLOOKUP(A197,'ecommerce-order (1)'!$A:$M,2,FALSE)</f>
        <v>26-05-2026</v>
      </c>
      <c r="C197" t="str">
        <f>VLOOKUP($A197,'ecommerce-order (1)'!$A:$M,3,FALSE)</f>
        <v>customer0387@example.com</v>
      </c>
      <c r="D197" t="str">
        <f>VLOOKUP($A197,'ecommerce-order (1)'!$A:$M,4,FALSE)</f>
        <v>ireland</v>
      </c>
      <c r="E197" t="str">
        <f>VLOOKUP($A197,'ecommerce-order (1)'!$A:$M,5,FALSE)</f>
        <v>email</v>
      </c>
      <c r="F197" t="str">
        <f>VLOOKUP($A197,'ecommerce-order (1)'!$A:$M,6,FALSE)</f>
        <v>FR-4471</v>
      </c>
      <c r="G197" t="str">
        <f>VLOOKUP($A197,'ecommerce-order (1)'!$A:$M,7,FALSE)</f>
        <v>Alpine Jacket</v>
      </c>
      <c r="H197">
        <f>VLOOKUP($A197,'ecommerce-order (1)'!$A:$M,8,FALSE)</f>
        <v>1</v>
      </c>
      <c r="I197">
        <f>VLOOKUP($A197,'ecommerce-order (1)'!$A:$M,9,FALSE)</f>
        <v>85.5</v>
      </c>
      <c r="J197">
        <f>VLOOKUP($A197,'ecommerce-order (1)'!$A:$M,10,FALSE)</f>
        <v>85.5</v>
      </c>
      <c r="K197">
        <f>VLOOKUP($A197,'ecommerce-order (1)'!$A:$M,11,FALSE)</f>
        <v>0.64</v>
      </c>
      <c r="L197" t="str">
        <f>VLOOKUP($A197,'ecommerce-order (1)'!$A:$M,12,FALSE)</f>
        <v>GBP</v>
      </c>
      <c r="M197" t="str">
        <f>VLOOKUP($A197,'ecommerce-order (1)'!$A:$M,13,FALSE)</f>
        <v>completed</v>
      </c>
      <c r="N197" t="str">
        <f>IF(ISNA(VLOOKUP(A197,'ecommerce-order (1)'!A:A,1,FALSE)),"KEEEP","REMOVE")</f>
        <v>REMOVE</v>
      </c>
    </row>
    <row r="198" spans="1:14" x14ac:dyDescent="0.3">
      <c r="A198" t="s">
        <v>555</v>
      </c>
      <c r="B198" t="str">
        <f>VLOOKUP(A198,'ecommerce-order (1)'!$A:$M,2,FALSE)</f>
        <v>22-04-2026</v>
      </c>
      <c r="C198" t="str">
        <f>VLOOKUP($A198,'ecommerce-order (1)'!$A:$M,3,FALSE)</f>
        <v>customer0845@example.com</v>
      </c>
      <c r="D198" t="str">
        <f>VLOOKUP($A198,'ecommerce-order (1)'!$A:$M,4,FALSE)</f>
        <v>France</v>
      </c>
      <c r="E198" t="str">
        <f>VLOOKUP($A198,'ecommerce-order (1)'!$A:$M,5,FALSE)</f>
        <v>email</v>
      </c>
      <c r="F198" t="str">
        <f>VLOOKUP($A198,'ecommerce-order (1)'!$A:$M,6,FALSE)</f>
        <v>FR-5567</v>
      </c>
      <c r="G198" t="str">
        <f>VLOOKUP($A198,'ecommerce-order (1)'!$A:$M,7,FALSE)</f>
        <v>Merino Base Layer</v>
      </c>
      <c r="H198">
        <f>VLOOKUP($A198,'ecommerce-order (1)'!$A:$M,8,FALSE)</f>
        <v>1</v>
      </c>
      <c r="I198">
        <f>VLOOKUP($A198,'ecommerce-order (1)'!$A:$M,9,FALSE)</f>
        <v>89</v>
      </c>
      <c r="J198">
        <f>VLOOKUP($A198,'ecommerce-order (1)'!$A:$M,10,FALSE)</f>
        <v>89</v>
      </c>
      <c r="K198">
        <f>VLOOKUP($A198,'ecommerce-order (1)'!$A:$M,11,FALSE)</f>
        <v>0.19</v>
      </c>
      <c r="L198" t="str">
        <f>VLOOKUP($A198,'ecommerce-order (1)'!$A:$M,12,FALSE)</f>
        <v>EUR</v>
      </c>
      <c r="M198" t="str">
        <f>VLOOKUP($A198,'ecommerce-order (1)'!$A:$M,13,FALSE)</f>
        <v>completed</v>
      </c>
      <c r="N198" t="str">
        <f>IF(ISNA(VLOOKUP(A198,'ecommerce-order (1)'!A:A,1,FALSE)),"KEEEP","REMOVE")</f>
        <v>REMOVE</v>
      </c>
    </row>
    <row r="199" spans="1:14" x14ac:dyDescent="0.3">
      <c r="A199" t="s">
        <v>557</v>
      </c>
      <c r="B199" t="str">
        <f>VLOOKUP(A199,'ecommerce-order (1)'!$A:$M,2,FALSE)</f>
        <v>04-03-2026</v>
      </c>
      <c r="C199" t="str">
        <f>VLOOKUP($A199,'ecommerce-order (1)'!$A:$M,3,FALSE)</f>
        <v>customer0646@example.com</v>
      </c>
      <c r="D199" t="str">
        <f>VLOOKUP($A199,'ecommerce-order (1)'!$A:$M,4,FALSE)</f>
        <v>GB</v>
      </c>
      <c r="E199" t="str">
        <f>VLOOKUP($A199,'ecommerce-order (1)'!$A:$M,5,FALSE)</f>
        <v>social</v>
      </c>
      <c r="F199" t="str">
        <f>VLOOKUP($A199,'ecommerce-order (1)'!$A:$M,6,FALSE)</f>
        <v>FR-4471</v>
      </c>
      <c r="G199" t="str">
        <f>VLOOKUP($A199,'ecommerce-order (1)'!$A:$M,7,FALSE)</f>
        <v>Alpine Jacket</v>
      </c>
      <c r="H199">
        <f>VLOOKUP($A199,'ecommerce-order (1)'!$A:$M,8,FALSE)</f>
        <v>2</v>
      </c>
      <c r="I199">
        <f>VLOOKUP($A199,'ecommerce-order (1)'!$A:$M,9,FALSE)</f>
        <v>71.099999999999994</v>
      </c>
      <c r="J199">
        <f>VLOOKUP($A199,'ecommerce-order (1)'!$A:$M,10,FALSE)</f>
        <v>142.19999999999999</v>
      </c>
      <c r="K199">
        <f>VLOOKUP($A199,'ecommerce-order (1)'!$A:$M,11,FALSE)</f>
        <v>640</v>
      </c>
      <c r="L199" t="str">
        <f>VLOOKUP($A199,'ecommerce-order (1)'!$A:$M,12,FALSE)</f>
        <v>GBP</v>
      </c>
      <c r="M199" t="str">
        <f>VLOOKUP($A199,'ecommerce-order (1)'!$A:$M,13,FALSE)</f>
        <v>completed</v>
      </c>
      <c r="N199" t="str">
        <f>IF(ISNA(VLOOKUP(A199,'ecommerce-order (1)'!A:A,1,FALSE)),"KEEEP","REMOVE")</f>
        <v>REMOVE</v>
      </c>
    </row>
    <row r="200" spans="1:14" x14ac:dyDescent="0.3">
      <c r="A200" t="s">
        <v>560</v>
      </c>
      <c r="B200" t="str">
        <f>VLOOKUP(A200,'ecommerce-order (1)'!$A:$M,2,FALSE)</f>
        <v>24-05-2026</v>
      </c>
      <c r="C200" t="str">
        <f>VLOOKUP($A200,'ecommerce-order (1)'!$A:$M,3,FALSE)</f>
        <v>customer1325@example.com</v>
      </c>
      <c r="D200" t="str">
        <f>VLOOKUP($A200,'ecommerce-order (1)'!$A:$M,4,FALSE)</f>
        <v>GB</v>
      </c>
      <c r="E200" t="str">
        <f>VLOOKUP($A200,'ecommerce-order (1)'!$A:$M,5,FALSE)</f>
        <v>email</v>
      </c>
      <c r="F200" t="str">
        <f>VLOOKUP($A200,'ecommerce-order (1)'!$A:$M,6,FALSE)</f>
        <v>FR-2210</v>
      </c>
      <c r="G200" t="str">
        <f>VLOOKUP($A200,'ecommerce-order (1)'!$A:$M,7,FALSE)</f>
        <v>Trail Softshell</v>
      </c>
      <c r="H200">
        <f>VLOOKUP($A200,'ecommerce-order (1)'!$A:$M,8,FALSE)</f>
        <v>2</v>
      </c>
      <c r="I200">
        <f>VLOOKUP($A200,'ecommerce-order (1)'!$A:$M,9,FALSE)</f>
        <v>149</v>
      </c>
      <c r="J200">
        <f>VLOOKUP($A200,'ecommerce-order (1)'!$A:$M,10,FALSE)</f>
        <v>298</v>
      </c>
      <c r="K200">
        <f>VLOOKUP($A200,'ecommerce-order (1)'!$A:$M,11,FALSE)</f>
        <v>0.52</v>
      </c>
      <c r="L200" t="str">
        <f>VLOOKUP($A200,'ecommerce-order (1)'!$A:$M,12,FALSE)</f>
        <v>GBP</v>
      </c>
      <c r="M200" t="str">
        <f>VLOOKUP($A200,'ecommerce-order (1)'!$A:$M,13,FALSE)</f>
        <v>refunded</v>
      </c>
      <c r="N200" t="str">
        <f>IF(ISNA(VLOOKUP(A200,'ecommerce-order (1)'!A:A,1,FALSE)),"KEEEP","REMOVE")</f>
        <v>REMOVE</v>
      </c>
    </row>
    <row r="201" spans="1:14" x14ac:dyDescent="0.3">
      <c r="A201" t="s">
        <v>30</v>
      </c>
      <c r="B201" t="str">
        <f>VLOOKUP(A201,'ecommerce-order (1)'!$A:$M,2,FALSE)</f>
        <v>14-06-2026</v>
      </c>
      <c r="C201" t="str">
        <f>VLOOKUP($A201,'ecommerce-order (1)'!$A:$M,3,FALSE)</f>
        <v>customer0858@example.com</v>
      </c>
      <c r="D201" t="str">
        <f>VLOOKUP($A201,'ecommerce-order (1)'!$A:$M,4,FALSE)</f>
        <v>UK</v>
      </c>
      <c r="E201" t="str">
        <f>VLOOKUP($A201,'ecommerce-order (1)'!$A:$M,5,FALSE)</f>
        <v>email</v>
      </c>
      <c r="F201" t="str">
        <f>VLOOKUP($A201,'ecommerce-order (1)'!$A:$M,6,FALSE)</f>
        <v>FR-1120</v>
      </c>
      <c r="G201" t="str">
        <f>VLOOKUP($A201,'ecommerce-order (1)'!$A:$M,7,FALSE)</f>
        <v>Fell Runner Cap</v>
      </c>
      <c r="H201">
        <f>VLOOKUP($A201,'ecommerce-order (1)'!$A:$M,8,FALSE)</f>
        <v>1</v>
      </c>
      <c r="I201">
        <f>VLOOKUP($A201,'ecommerce-order (1)'!$A:$M,9,FALSE)</f>
        <v>0</v>
      </c>
      <c r="J201">
        <f>VLOOKUP($A201,'ecommerce-order (1)'!$A:$M,10,FALSE)</f>
        <v>45</v>
      </c>
      <c r="K201">
        <f>VLOOKUP($A201,'ecommerce-order (1)'!$A:$M,11,FALSE)</f>
        <v>8.5000000000000006E-2</v>
      </c>
      <c r="L201" t="str">
        <f>VLOOKUP($A201,'ecommerce-order (1)'!$A:$M,12,FALSE)</f>
        <v>GBP</v>
      </c>
      <c r="M201" t="str">
        <f>VLOOKUP($A201,'ecommerce-order (1)'!$A:$M,13,FALSE)</f>
        <v>completed</v>
      </c>
      <c r="N201" t="str">
        <f>IF(ISNA(VLOOKUP(A201,'ecommerce-order (1)'!A:A,1,FALSE)),"KEEEP","REMOVE")</f>
        <v>REMOVE</v>
      </c>
    </row>
    <row r="202" spans="1:14" x14ac:dyDescent="0.3">
      <c r="A202" t="s">
        <v>66</v>
      </c>
      <c r="B202" t="str">
        <f>VLOOKUP(A202,'ecommerce-order (1)'!$A:$M,2,FALSE)</f>
        <v>16-02-2026</v>
      </c>
      <c r="C202" t="str">
        <f>VLOOKUP($A202,'ecommerce-order (1)'!$A:$M,3,FALSE)</f>
        <v>customer0805@example.com</v>
      </c>
      <c r="D202" t="str">
        <f>VLOOKUP($A202,'ecommerce-order (1)'!$A:$M,4,FALSE)</f>
        <v xml:space="preserve"> UK</v>
      </c>
      <c r="E202" t="str">
        <f>VLOOKUP($A202,'ecommerce-order (1)'!$A:$M,5,FALSE)</f>
        <v>paid_search</v>
      </c>
      <c r="F202" t="str">
        <f>VLOOKUP($A202,'ecommerce-order (1)'!$A:$M,6,FALSE)</f>
        <v>FR-5567</v>
      </c>
      <c r="G202" t="str">
        <f>VLOOKUP($A202,'ecommerce-order (1)'!$A:$M,7,FALSE)</f>
        <v>Merino Base Layer</v>
      </c>
      <c r="H202">
        <f>VLOOKUP($A202,'ecommerce-order (1)'!$A:$M,8,FALSE)</f>
        <v>1</v>
      </c>
      <c r="I202">
        <f>VLOOKUP($A202,'ecommerce-order (1)'!$A:$M,9,FALSE)</f>
        <v>95</v>
      </c>
      <c r="J202">
        <f>VLOOKUP($A202,'ecommerce-order (1)'!$A:$M,10,FALSE)</f>
        <v>95</v>
      </c>
      <c r="K202">
        <f>VLOOKUP($A202,'ecommerce-order (1)'!$A:$M,11,FALSE)</f>
        <v>190</v>
      </c>
      <c r="L202" t="str">
        <f>VLOOKUP($A202,'ecommerce-order (1)'!$A:$M,12,FALSE)</f>
        <v>EUR</v>
      </c>
      <c r="M202" t="str">
        <f>VLOOKUP($A202,'ecommerce-order (1)'!$A:$M,13,FALSE)</f>
        <v>refunded</v>
      </c>
      <c r="N202" t="str">
        <f>IF(ISNA(VLOOKUP(A202,'ecommerce-order (1)'!A:A,1,FALSE)),"KEEEP","REMOVE")</f>
        <v>REMOVE</v>
      </c>
    </row>
    <row r="203" spans="1:14" x14ac:dyDescent="0.3">
      <c r="A203" t="s">
        <v>69</v>
      </c>
      <c r="B203" t="str">
        <f>VLOOKUP(A203,'ecommerce-order (1)'!$A:$M,2,FALSE)</f>
        <v>21-04-2026</v>
      </c>
      <c r="C203" t="str">
        <f>VLOOKUP($A203,'ecommerce-order (1)'!$A:$M,3,FALSE)</f>
        <v>customer0123@example.com</v>
      </c>
      <c r="D203" t="str">
        <f>VLOOKUP($A203,'ecommerce-order (1)'!$A:$M,4,FALSE)</f>
        <v xml:space="preserve"> UK</v>
      </c>
      <c r="E203" t="str">
        <f>VLOOKUP($A203,'ecommerce-order (1)'!$A:$M,5,FALSE)</f>
        <v>email</v>
      </c>
      <c r="F203" t="str">
        <f>VLOOKUP($A203,'ecommerce-order (1)'!$A:$M,6,FALSE)</f>
        <v>FR-7781</v>
      </c>
      <c r="G203" t="str">
        <f>VLOOKUP($A203,'ecommerce-order (1)'!$A:$M,7,FALSE)</f>
        <v>Storm Overtrousers</v>
      </c>
      <c r="H203">
        <f>VLOOKUP($A203,'ecommerce-order (1)'!$A:$M,8,FALSE)</f>
        <v>1</v>
      </c>
      <c r="I203">
        <f>VLOOKUP($A203,'ecommerce-order (1)'!$A:$M,9,FALSE)</f>
        <v>45</v>
      </c>
      <c r="J203">
        <f>VLOOKUP($A203,'ecommerce-order (1)'!$A:$M,10,FALSE)</f>
        <v>45</v>
      </c>
      <c r="K203">
        <f>VLOOKUP($A203,'ecommerce-order (1)'!$A:$M,11,FALSE)</f>
        <v>0.41</v>
      </c>
      <c r="L203" t="str">
        <f>VLOOKUP($A203,'ecommerce-order (1)'!$A:$M,12,FALSE)</f>
        <v>GBP</v>
      </c>
      <c r="M203" t="str">
        <f>VLOOKUP($A203,'ecommerce-order (1)'!$A:$M,13,FALSE)</f>
        <v>completed</v>
      </c>
      <c r="N203" t="str">
        <f>IF(ISNA(VLOOKUP(A203,'ecommerce-order (1)'!A:A,1,FALSE)),"KEEEP","REMOVE")</f>
        <v>REMOVE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AA928D-8C14-41B8-8932-E636EFC348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ecommerce-order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agarwal</dc:creator>
  <cp:lastModifiedBy>mudit agarwal</cp:lastModifiedBy>
  <dcterms:created xsi:type="dcterms:W3CDTF">2026-09-08T14:42:30Z</dcterms:created>
  <dcterms:modified xsi:type="dcterms:W3CDTF">2026-09-09T15:30:30Z</dcterms:modified>
</cp:coreProperties>
</file>